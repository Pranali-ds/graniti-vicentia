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D4BEED-AF60-4FB4-B6C9-A22334F54CB0}" xr6:coauthVersionLast="47" xr6:coauthVersionMax="47" xr10:uidLastSave="{00000000-0000-0000-0000-000000000000}"/>
  <bookViews>
    <workbookView xWindow="-110" yWindow="-110" windowWidth="19420" windowHeight="10300" firstSheet="7" activeTab="9" xr2:uid="{F0E26B20-8B24-4327-9CCC-51EC5F4D9BCD}"/>
  </bookViews>
  <sheets>
    <sheet name="0_June 30 25 revised AP import " sheetId="17" r:id="rId1"/>
    <sheet name="1_June 30 25 AP import from sps" sheetId="1" r:id="rId2"/>
    <sheet name="2_June 30 25 AR Import from SPS" sheetId="16" r:id="rId3"/>
    <sheet name="3_July 25 Revenue" sheetId="4" r:id="rId4"/>
    <sheet name="3_July 25 Revenue modified" sheetId="19" r:id="rId5"/>
    <sheet name="4_Aug 25 Revenue" sheetId="8" r:id="rId6"/>
    <sheet name="4_Aug 25 Revenue modified" sheetId="20" r:id="rId7"/>
    <sheet name="5_July 25 COGS" sheetId="2" r:id="rId8"/>
    <sheet name="6_Aug 25 COGS " sheetId="12" r:id="rId9"/>
    <sheet name="6_Aug 25 COGS  modified" sheetId="18" r:id="rId10"/>
    <sheet name="7_July 25 Customs clearence" sheetId="10" r:id="rId11"/>
    <sheet name="8_Aug 25 Customs clearence " sheetId="13" r:id="rId12"/>
  </sheets>
  <definedNames>
    <definedName name="_xlnm._FilterDatabase" localSheetId="0" hidden="1">'0_June 30 25 revised AP import '!$A$4:$O$4</definedName>
    <definedName name="_xlnm._FilterDatabase" localSheetId="1" hidden="1">'1_June 30 25 AP import from sps'!$A$1:$K$1557</definedName>
    <definedName name="_xlnm._FilterDatabase" localSheetId="2" hidden="1">'2_June 30 25 AR Import from SPS'!$A$2:$H$1027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8" l="1"/>
  <c r="H1" i="20"/>
  <c r="G1" i="20"/>
  <c r="K3" i="20"/>
  <c r="K2" i="20"/>
  <c r="K1" i="20"/>
  <c r="H1" i="19"/>
  <c r="G1" i="19"/>
  <c r="O12" i="19"/>
  <c r="O11" i="19"/>
  <c r="O10" i="19"/>
  <c r="O13" i="19" s="1"/>
  <c r="M7" i="19"/>
  <c r="H6" i="19"/>
  <c r="H3025" i="18"/>
  <c r="H1" i="18" s="1"/>
  <c r="L2408" i="18"/>
  <c r="L2407" i="18"/>
  <c r="L2406" i="18"/>
  <c r="L2405" i="18"/>
  <c r="L2404" i="18"/>
  <c r="L2403" i="18"/>
  <c r="L2402" i="18"/>
  <c r="L2401" i="18"/>
  <c r="L2400" i="18"/>
  <c r="L2399" i="18"/>
  <c r="L2398" i="18"/>
  <c r="L2397" i="18"/>
  <c r="L2396" i="18"/>
  <c r="L2395" i="18"/>
  <c r="L2394" i="18"/>
  <c r="L2393" i="18"/>
  <c r="L2392" i="18"/>
  <c r="L2391" i="18"/>
  <c r="L2390" i="18"/>
  <c r="L2389" i="18"/>
  <c r="L2388" i="18"/>
  <c r="L2387" i="18"/>
  <c r="L2386" i="18"/>
  <c r="L2385" i="18"/>
  <c r="L2384" i="18"/>
  <c r="L2383" i="18"/>
  <c r="L2382" i="18"/>
  <c r="L2381" i="18"/>
  <c r="L2380" i="18"/>
  <c r="L2379" i="18"/>
  <c r="L2378" i="18"/>
  <c r="L2377" i="18"/>
  <c r="L2376" i="18"/>
  <c r="L2375" i="18"/>
  <c r="L2374" i="18"/>
  <c r="L2373" i="18"/>
  <c r="L2372" i="18"/>
  <c r="L2371" i="18"/>
  <c r="L2370" i="18"/>
  <c r="L2369" i="18"/>
  <c r="L2368" i="18"/>
  <c r="L2367" i="18"/>
  <c r="L2366" i="18"/>
  <c r="L2365" i="18"/>
  <c r="L2364" i="18"/>
  <c r="L2363" i="18"/>
  <c r="L2362" i="18"/>
  <c r="L2361" i="18"/>
  <c r="L2360" i="18"/>
  <c r="L2359" i="18"/>
  <c r="L2358" i="18"/>
  <c r="L2357" i="18"/>
  <c r="L2356" i="18"/>
  <c r="L2355" i="18"/>
  <c r="L2354" i="18"/>
  <c r="L2353" i="18"/>
  <c r="L2352" i="18"/>
  <c r="L2351" i="18"/>
  <c r="L2350" i="18"/>
  <c r="L2349" i="18"/>
  <c r="L2348" i="18"/>
  <c r="L2347" i="18"/>
  <c r="L2346" i="18"/>
  <c r="L2345" i="18"/>
  <c r="L2344" i="18"/>
  <c r="L2343" i="18"/>
  <c r="L2342" i="18"/>
  <c r="L2341" i="18"/>
  <c r="L2340" i="18"/>
  <c r="L2339" i="18"/>
  <c r="L2338" i="18"/>
  <c r="L2337" i="18"/>
  <c r="L2336" i="18"/>
  <c r="L2335" i="18"/>
  <c r="L2334" i="18"/>
  <c r="L2333" i="18"/>
  <c r="L2332" i="18"/>
  <c r="L2331" i="18"/>
  <c r="L2330" i="18"/>
  <c r="L2329" i="18"/>
  <c r="L2328" i="18"/>
  <c r="L2327" i="18"/>
  <c r="L2326" i="18"/>
  <c r="L2325" i="18"/>
  <c r="L2324" i="18"/>
  <c r="L2323" i="18"/>
  <c r="L2322" i="18"/>
  <c r="L2321" i="18"/>
  <c r="L2320" i="18"/>
  <c r="L2319" i="18"/>
  <c r="L2318" i="18"/>
  <c r="L2317" i="18"/>
  <c r="L2316" i="18"/>
  <c r="L2315" i="18"/>
  <c r="L2314" i="18"/>
  <c r="L2313" i="18"/>
  <c r="L2312" i="18"/>
  <c r="L2311" i="18"/>
  <c r="L2310" i="18"/>
  <c r="L2309" i="18"/>
  <c r="L2308" i="18"/>
  <c r="L2307" i="18"/>
  <c r="L2306" i="18"/>
  <c r="L2305" i="18"/>
  <c r="L2304" i="18"/>
  <c r="L2303" i="18"/>
  <c r="L2302" i="18"/>
  <c r="L2301" i="18"/>
  <c r="L2300" i="18"/>
  <c r="L2299" i="18"/>
  <c r="L2298" i="18"/>
  <c r="L2297" i="18"/>
  <c r="L2296" i="18"/>
  <c r="L2295" i="18"/>
  <c r="L2294" i="18"/>
  <c r="L2293" i="18"/>
  <c r="L2292" i="18"/>
  <c r="L2291" i="18"/>
  <c r="L2290" i="18"/>
  <c r="L2289" i="18"/>
  <c r="L2288" i="18"/>
  <c r="L2287" i="18"/>
  <c r="L2286" i="18"/>
  <c r="L2285" i="18"/>
  <c r="L2284" i="18"/>
  <c r="L2283" i="18"/>
  <c r="L2282" i="18"/>
  <c r="L2281" i="18"/>
  <c r="L2280" i="18"/>
  <c r="L2279" i="18"/>
  <c r="L2278" i="18"/>
  <c r="L2277" i="18"/>
  <c r="L2276" i="18"/>
  <c r="L2275" i="18"/>
  <c r="L2274" i="18"/>
  <c r="L2273" i="18"/>
  <c r="L2272" i="18"/>
  <c r="L2271" i="18"/>
  <c r="L2270" i="18"/>
  <c r="L2269" i="18"/>
  <c r="L2268" i="18"/>
  <c r="L2267" i="18"/>
  <c r="L2266" i="18"/>
  <c r="L2265" i="18"/>
  <c r="L2264" i="18"/>
  <c r="L2263" i="18"/>
  <c r="L2262" i="18"/>
  <c r="L2261" i="18"/>
  <c r="L2260" i="18"/>
  <c r="L2259" i="18"/>
  <c r="L2258" i="18"/>
  <c r="L2257" i="18"/>
  <c r="L2256" i="18"/>
  <c r="L2255" i="18"/>
  <c r="L2254" i="18"/>
  <c r="L2253" i="18"/>
  <c r="L2252" i="18"/>
  <c r="L2251" i="18"/>
  <c r="L2250" i="18"/>
  <c r="L2249" i="18"/>
  <c r="L2248" i="18"/>
  <c r="L2247" i="18"/>
  <c r="L2246" i="18"/>
  <c r="L2245" i="18"/>
  <c r="L2244" i="18"/>
  <c r="L2243" i="18"/>
  <c r="L2242" i="18"/>
  <c r="L2241" i="18"/>
  <c r="L2240" i="18"/>
  <c r="L2239" i="18"/>
  <c r="L2238" i="18"/>
  <c r="L2237" i="18"/>
  <c r="L2236" i="18"/>
  <c r="L2235" i="18"/>
  <c r="L2234" i="18"/>
  <c r="L2233" i="18"/>
  <c r="L2232" i="18"/>
  <c r="L2231" i="18"/>
  <c r="L2230" i="18"/>
  <c r="L2229" i="18"/>
  <c r="L2228" i="18"/>
  <c r="L2227" i="18"/>
  <c r="L2226" i="18"/>
  <c r="L2225" i="18"/>
  <c r="L2224" i="18"/>
  <c r="L2223" i="18"/>
  <c r="L2222" i="18"/>
  <c r="L2221" i="18"/>
  <c r="L2220" i="18"/>
  <c r="L2219" i="18"/>
  <c r="L2218" i="18"/>
  <c r="L2217" i="18"/>
  <c r="L2216" i="18"/>
  <c r="L2215" i="18"/>
  <c r="L2214" i="18"/>
  <c r="L2213" i="18"/>
  <c r="L2212" i="18"/>
  <c r="L2211" i="18"/>
  <c r="L2210" i="18"/>
  <c r="L2209" i="18"/>
  <c r="L2208" i="18"/>
  <c r="L2207" i="18"/>
  <c r="L2206" i="18"/>
  <c r="L2205" i="18"/>
  <c r="L2204" i="18"/>
  <c r="L2203" i="18"/>
  <c r="L2202" i="18"/>
  <c r="L2201" i="18"/>
  <c r="L2200" i="18"/>
  <c r="L2199" i="18"/>
  <c r="L2198" i="18"/>
  <c r="L2197" i="18"/>
  <c r="L2196" i="18"/>
  <c r="L2195" i="18"/>
  <c r="L2194" i="18"/>
  <c r="L2193" i="18"/>
  <c r="L2192" i="18"/>
  <c r="L2191" i="18"/>
  <c r="L2190" i="18"/>
  <c r="L2189" i="18"/>
  <c r="L2188" i="18"/>
  <c r="L2187" i="18"/>
  <c r="L2186" i="18"/>
  <c r="L2185" i="18"/>
  <c r="L2184" i="18"/>
  <c r="L2183" i="18"/>
  <c r="L2182" i="18"/>
  <c r="L2181" i="18"/>
  <c r="L2180" i="18"/>
  <c r="L2179" i="18"/>
  <c r="L2178" i="18"/>
  <c r="L2177" i="18"/>
  <c r="L2176" i="18"/>
  <c r="L2175" i="18"/>
  <c r="L2174" i="18"/>
  <c r="L2173" i="18"/>
  <c r="L2172" i="18"/>
  <c r="L2171" i="18"/>
  <c r="L2170" i="18"/>
  <c r="L2169" i="18"/>
  <c r="L2168" i="18"/>
  <c r="L2167" i="18"/>
  <c r="L2166" i="18"/>
  <c r="L2165" i="18"/>
  <c r="L2164" i="18"/>
  <c r="L2163" i="18"/>
  <c r="L2162" i="18"/>
  <c r="L2161" i="18"/>
  <c r="L2160" i="18"/>
  <c r="L2159" i="18"/>
  <c r="L2158" i="18"/>
  <c r="L2157" i="18"/>
  <c r="L2156" i="18"/>
  <c r="L2155" i="18"/>
  <c r="L2154" i="18"/>
  <c r="L2153" i="18"/>
  <c r="L2152" i="18"/>
  <c r="L2151" i="18"/>
  <c r="L2150" i="18"/>
  <c r="L2149" i="18"/>
  <c r="L2148" i="18"/>
  <c r="L2147" i="18"/>
  <c r="L2146" i="18"/>
  <c r="L2145" i="18"/>
  <c r="L2144" i="18"/>
  <c r="L2143" i="18"/>
  <c r="L2142" i="18"/>
  <c r="L2141" i="18"/>
  <c r="L2140" i="18"/>
  <c r="L2139" i="18"/>
  <c r="L2138" i="18"/>
  <c r="L2137" i="18"/>
  <c r="L2136" i="18"/>
  <c r="L2135" i="18"/>
  <c r="L2134" i="18"/>
  <c r="L2133" i="18"/>
  <c r="L2132" i="18"/>
  <c r="L2131" i="18"/>
  <c r="L2130" i="18"/>
  <c r="L2129" i="18"/>
  <c r="L2128" i="18"/>
  <c r="L2127" i="18"/>
  <c r="L2126" i="18"/>
  <c r="L2125" i="18"/>
  <c r="L2124" i="18"/>
  <c r="L2123" i="18"/>
  <c r="L2122" i="18"/>
  <c r="L2121" i="18"/>
  <c r="L2120" i="18"/>
  <c r="L2119" i="18"/>
  <c r="L2118" i="18"/>
  <c r="L2117" i="18"/>
  <c r="L2116" i="18"/>
  <c r="L2115" i="18"/>
  <c r="L2114" i="18"/>
  <c r="L2113" i="18"/>
  <c r="L2112" i="18"/>
  <c r="L2111" i="18"/>
  <c r="L2110" i="18"/>
  <c r="L2109" i="18"/>
  <c r="L2108" i="18"/>
  <c r="L2107" i="18"/>
  <c r="L2106" i="18"/>
  <c r="L2105" i="18"/>
  <c r="L2104" i="18"/>
  <c r="L2103" i="18"/>
  <c r="L2102" i="18"/>
  <c r="L2101" i="18"/>
  <c r="L2100" i="18"/>
  <c r="L2099" i="18"/>
  <c r="L2098" i="18"/>
  <c r="L2097" i="18"/>
  <c r="L2096" i="18"/>
  <c r="L2095" i="18"/>
  <c r="L2094" i="18"/>
  <c r="L2093" i="18"/>
  <c r="L2092" i="18"/>
  <c r="L2091" i="18"/>
  <c r="L2090" i="18"/>
  <c r="L2089" i="18"/>
  <c r="L2088" i="18"/>
  <c r="L2087" i="18"/>
  <c r="L2086" i="18"/>
  <c r="L2085" i="18"/>
  <c r="L2084" i="18"/>
  <c r="L2083" i="18"/>
  <c r="L2082" i="18"/>
  <c r="L2081" i="18"/>
  <c r="L2080" i="18"/>
  <c r="L2079" i="18"/>
  <c r="L2078" i="18"/>
  <c r="L2077" i="18"/>
  <c r="L2076" i="18"/>
  <c r="L2075" i="18"/>
  <c r="L2074" i="18"/>
  <c r="L2073" i="18"/>
  <c r="L2072" i="18"/>
  <c r="L2071" i="18"/>
  <c r="L2070" i="18"/>
  <c r="L2069" i="18"/>
  <c r="L2068" i="18"/>
  <c r="L2067" i="18"/>
  <c r="L2066" i="18"/>
  <c r="L2065" i="18"/>
  <c r="L2064" i="18"/>
  <c r="L2063" i="18"/>
  <c r="L2062" i="18"/>
  <c r="L2061" i="18"/>
  <c r="L2060" i="18"/>
  <c r="L2059" i="18"/>
  <c r="L2058" i="18"/>
  <c r="L2057" i="18"/>
  <c r="L2056" i="18"/>
  <c r="L2055" i="18"/>
  <c r="L2054" i="18"/>
  <c r="L2053" i="18"/>
  <c r="L2052" i="18"/>
  <c r="L2051" i="18"/>
  <c r="L2050" i="18"/>
  <c r="L2049" i="18"/>
  <c r="L2048" i="18"/>
  <c r="L2047" i="18"/>
  <c r="L2046" i="18"/>
  <c r="L2045" i="18"/>
  <c r="L2044" i="18"/>
  <c r="L2043" i="18"/>
  <c r="L2042" i="18"/>
  <c r="L2041" i="18"/>
  <c r="L2040" i="18"/>
  <c r="L2039" i="18"/>
  <c r="L2038" i="18"/>
  <c r="L2037" i="18"/>
  <c r="L2036" i="18"/>
  <c r="L2035" i="18"/>
  <c r="L2034" i="18"/>
  <c r="L2033" i="18"/>
  <c r="L2032" i="18"/>
  <c r="L2031" i="18"/>
  <c r="L2030" i="18"/>
  <c r="L2029" i="18"/>
  <c r="L2028" i="18"/>
  <c r="L2027" i="18"/>
  <c r="L2026" i="18"/>
  <c r="L2025" i="18"/>
  <c r="L2024" i="18"/>
  <c r="K1013" i="18"/>
  <c r="K1012" i="18"/>
  <c r="K1011" i="18"/>
  <c r="K1010" i="18"/>
  <c r="K1009" i="18"/>
  <c r="K1008" i="18"/>
  <c r="K1007" i="18"/>
  <c r="K1006" i="18"/>
  <c r="K1005" i="18"/>
  <c r="K1004" i="18"/>
  <c r="K1003" i="18"/>
  <c r="K1002" i="18"/>
  <c r="K1001" i="18"/>
  <c r="K1000" i="18"/>
  <c r="K999" i="18"/>
  <c r="K998" i="18"/>
  <c r="K997" i="18"/>
  <c r="K996" i="18"/>
  <c r="K995" i="18"/>
  <c r="K994" i="18"/>
  <c r="K993" i="18"/>
  <c r="K992" i="18"/>
  <c r="K991" i="18"/>
  <c r="K990" i="18"/>
  <c r="K989" i="18"/>
  <c r="K988" i="18"/>
  <c r="K987" i="18"/>
  <c r="K986" i="18"/>
  <c r="K985" i="18"/>
  <c r="K984" i="18"/>
  <c r="K983" i="18"/>
  <c r="K982" i="18"/>
  <c r="K981" i="18"/>
  <c r="K980" i="18"/>
  <c r="K979" i="18"/>
  <c r="K978" i="18"/>
  <c r="K977" i="18"/>
  <c r="K976" i="18"/>
  <c r="K975" i="18"/>
  <c r="K974" i="18"/>
  <c r="K973" i="18"/>
  <c r="K972" i="18"/>
  <c r="K971" i="18"/>
  <c r="K970" i="18"/>
  <c r="K969" i="18"/>
  <c r="K968" i="18"/>
  <c r="K967" i="18"/>
  <c r="K966" i="18"/>
  <c r="K965" i="18"/>
  <c r="K964" i="18"/>
  <c r="K963" i="18"/>
  <c r="K962" i="18"/>
  <c r="K961" i="18"/>
  <c r="K960" i="18"/>
  <c r="K959" i="18"/>
  <c r="K958" i="18"/>
  <c r="K957" i="18"/>
  <c r="K956" i="18"/>
  <c r="K955" i="18"/>
  <c r="K954" i="18"/>
  <c r="K953" i="18"/>
  <c r="K952" i="18"/>
  <c r="K951" i="18"/>
  <c r="K950" i="18"/>
  <c r="K949" i="18"/>
  <c r="K948" i="18"/>
  <c r="K947" i="18"/>
  <c r="K946" i="18"/>
  <c r="K945" i="18"/>
  <c r="K944" i="18"/>
  <c r="K943" i="18"/>
  <c r="K942" i="18"/>
  <c r="K941" i="18"/>
  <c r="K940" i="18"/>
  <c r="K939" i="18"/>
  <c r="K938" i="18"/>
  <c r="K937" i="18"/>
  <c r="K936" i="18"/>
  <c r="K935" i="18"/>
  <c r="K934" i="18"/>
  <c r="K933" i="18"/>
  <c r="K932" i="18"/>
  <c r="K931" i="18"/>
  <c r="K930" i="18"/>
  <c r="K929" i="18"/>
  <c r="K928" i="18"/>
  <c r="K927" i="18"/>
  <c r="K926" i="18"/>
  <c r="K925" i="18"/>
  <c r="K924" i="18"/>
  <c r="K923" i="18"/>
  <c r="K922" i="18"/>
  <c r="K921" i="18"/>
  <c r="K920" i="18"/>
  <c r="K919" i="18"/>
  <c r="K918" i="18"/>
  <c r="K917" i="18"/>
  <c r="K916" i="18"/>
  <c r="K915" i="18"/>
  <c r="K914" i="18"/>
  <c r="K913" i="18"/>
  <c r="K912" i="18"/>
  <c r="K911" i="18"/>
  <c r="K910" i="18"/>
  <c r="K909" i="18"/>
  <c r="K908" i="18"/>
  <c r="K907" i="18"/>
  <c r="K906" i="18"/>
  <c r="K905" i="18"/>
  <c r="K904" i="18"/>
  <c r="K903" i="18"/>
  <c r="K902" i="18"/>
  <c r="K901" i="18"/>
  <c r="K900" i="18"/>
  <c r="K899" i="18"/>
  <c r="K898" i="18"/>
  <c r="K897" i="18"/>
  <c r="K896" i="18"/>
  <c r="K895" i="18"/>
  <c r="K894" i="18"/>
  <c r="K893" i="18"/>
  <c r="K892" i="18"/>
  <c r="K891" i="18"/>
  <c r="K890" i="18"/>
  <c r="K889" i="18"/>
  <c r="K888" i="18"/>
  <c r="K887" i="18"/>
  <c r="K886" i="18"/>
  <c r="K885" i="18"/>
  <c r="K884" i="18"/>
  <c r="K883" i="18"/>
  <c r="K882" i="18"/>
  <c r="K881" i="18"/>
  <c r="K880" i="18"/>
  <c r="K879" i="18"/>
  <c r="K878" i="18"/>
  <c r="K877" i="18"/>
  <c r="K876" i="18"/>
  <c r="K875" i="18"/>
  <c r="K874" i="18"/>
  <c r="K873" i="18"/>
  <c r="K872" i="18"/>
  <c r="K871" i="18"/>
  <c r="K870" i="18"/>
  <c r="K869" i="18"/>
  <c r="K868" i="18"/>
  <c r="K867" i="18"/>
  <c r="K866" i="18"/>
  <c r="K865" i="18"/>
  <c r="K864" i="18"/>
  <c r="K863" i="18"/>
  <c r="K862" i="18"/>
  <c r="K861" i="18"/>
  <c r="K860" i="18"/>
  <c r="K859" i="18"/>
  <c r="K858" i="18"/>
  <c r="K857" i="18"/>
  <c r="K856" i="18"/>
  <c r="K855" i="18"/>
  <c r="K854" i="18"/>
  <c r="K853" i="18"/>
  <c r="K852" i="18"/>
  <c r="K851" i="18"/>
  <c r="K850" i="18"/>
  <c r="K849" i="18"/>
  <c r="K848" i="18"/>
  <c r="K847" i="18"/>
  <c r="K846" i="18"/>
  <c r="K845" i="18"/>
  <c r="K844" i="18"/>
  <c r="K843" i="18"/>
  <c r="K842" i="18"/>
  <c r="K841" i="18"/>
  <c r="K840" i="18"/>
  <c r="K839" i="18"/>
  <c r="K838" i="18"/>
  <c r="K837" i="18"/>
  <c r="K836" i="18"/>
  <c r="K835" i="18"/>
  <c r="K834" i="18"/>
  <c r="K833" i="18"/>
  <c r="K832" i="18"/>
  <c r="K831" i="18"/>
  <c r="K830" i="18"/>
  <c r="K829" i="18"/>
  <c r="K828" i="18"/>
  <c r="K827" i="18"/>
  <c r="K826" i="18"/>
  <c r="K825" i="18"/>
  <c r="K824" i="18"/>
  <c r="K823" i="18"/>
  <c r="K822" i="18"/>
  <c r="K821" i="18"/>
  <c r="K820" i="18"/>
  <c r="K819" i="18"/>
  <c r="K818" i="18"/>
  <c r="K817" i="18"/>
  <c r="K816" i="18"/>
  <c r="K815" i="18"/>
  <c r="K814" i="18"/>
  <c r="K813" i="18"/>
  <c r="K812" i="18"/>
  <c r="K811" i="18"/>
  <c r="K810" i="18"/>
  <c r="K809" i="18"/>
  <c r="K808" i="18"/>
  <c r="K807" i="18"/>
  <c r="K806" i="18"/>
  <c r="K805" i="18"/>
  <c r="K804" i="18"/>
  <c r="K803" i="18"/>
  <c r="K802" i="18"/>
  <c r="K801" i="18"/>
  <c r="K800" i="18"/>
  <c r="K799" i="18"/>
  <c r="K798" i="18"/>
  <c r="K797" i="18"/>
  <c r="K796" i="18"/>
  <c r="K795" i="18"/>
  <c r="K794" i="18"/>
  <c r="K793" i="18"/>
  <c r="K792" i="18"/>
  <c r="K791" i="18"/>
  <c r="K790" i="18"/>
  <c r="K789" i="18"/>
  <c r="K788" i="18"/>
  <c r="K787" i="18"/>
  <c r="K786" i="18"/>
  <c r="K785" i="18"/>
  <c r="K784" i="18"/>
  <c r="K783" i="18"/>
  <c r="K782" i="18"/>
  <c r="K781" i="18"/>
  <c r="K780" i="18"/>
  <c r="K779" i="18"/>
  <c r="K778" i="18"/>
  <c r="K777" i="18"/>
  <c r="K776" i="18"/>
  <c r="K775" i="18"/>
  <c r="K774" i="18"/>
  <c r="K773" i="18"/>
  <c r="K772" i="18"/>
  <c r="K771" i="18"/>
  <c r="K770" i="18"/>
  <c r="K769" i="18"/>
  <c r="K768" i="18"/>
  <c r="K767" i="18"/>
  <c r="K766" i="18"/>
  <c r="K765" i="18"/>
  <c r="K764" i="18"/>
  <c r="K763" i="18"/>
  <c r="K762" i="18"/>
  <c r="K761" i="18"/>
  <c r="K760" i="18"/>
  <c r="K759" i="18"/>
  <c r="K758" i="18"/>
  <c r="K757" i="18"/>
  <c r="K756" i="18"/>
  <c r="K755" i="18"/>
  <c r="K754" i="18"/>
  <c r="K753" i="18"/>
  <c r="K752" i="18"/>
  <c r="K751" i="18"/>
  <c r="K750" i="18"/>
  <c r="K749" i="18"/>
  <c r="K748" i="18"/>
  <c r="K747" i="18"/>
  <c r="K746" i="18"/>
  <c r="K745" i="18"/>
  <c r="K744" i="18"/>
  <c r="K743" i="18"/>
  <c r="K742" i="18"/>
  <c r="K741" i="18"/>
  <c r="K740" i="18"/>
  <c r="K739" i="18"/>
  <c r="K738" i="18"/>
  <c r="K737" i="18"/>
  <c r="K736" i="18"/>
  <c r="K735" i="18"/>
  <c r="K734" i="18"/>
  <c r="K733" i="18"/>
  <c r="K732" i="18"/>
  <c r="K731" i="18"/>
  <c r="K730" i="18"/>
  <c r="K729" i="18"/>
  <c r="K728" i="18"/>
  <c r="K727" i="18"/>
  <c r="K726" i="18"/>
  <c r="K725" i="18"/>
  <c r="K724" i="18"/>
  <c r="K723" i="18"/>
  <c r="K722" i="18"/>
  <c r="K721" i="18"/>
  <c r="K720" i="18"/>
  <c r="K719" i="18"/>
  <c r="K718" i="18"/>
  <c r="K717" i="18"/>
  <c r="K716" i="18"/>
  <c r="K715" i="18"/>
  <c r="K714" i="18"/>
  <c r="K713" i="18"/>
  <c r="K712" i="18"/>
  <c r="K711" i="18"/>
  <c r="K710" i="18"/>
  <c r="K709" i="18"/>
  <c r="K708" i="18"/>
  <c r="K707" i="18"/>
  <c r="K706" i="18"/>
  <c r="K705" i="18"/>
  <c r="K704" i="18"/>
  <c r="K703" i="18"/>
  <c r="K702" i="18"/>
  <c r="K701" i="18"/>
  <c r="K700" i="18"/>
  <c r="K699" i="18"/>
  <c r="K698" i="18"/>
  <c r="K697" i="18"/>
  <c r="K696" i="18"/>
  <c r="K695" i="18"/>
  <c r="K694" i="18"/>
  <c r="K693" i="18"/>
  <c r="K692" i="18"/>
  <c r="K691" i="18"/>
  <c r="K690" i="18"/>
  <c r="K689" i="18"/>
  <c r="K688" i="18"/>
  <c r="K687" i="18"/>
  <c r="K686" i="18"/>
  <c r="K685" i="18"/>
  <c r="K684" i="18"/>
  <c r="K683" i="18"/>
  <c r="K682" i="18"/>
  <c r="K681" i="18"/>
  <c r="K680" i="18"/>
  <c r="K679" i="18"/>
  <c r="K678" i="18"/>
  <c r="K677" i="18"/>
  <c r="K676" i="18"/>
  <c r="K675" i="18"/>
  <c r="K674" i="18"/>
  <c r="K673" i="18"/>
  <c r="K672" i="18"/>
  <c r="K671" i="18"/>
  <c r="K670" i="18"/>
  <c r="K669" i="18"/>
  <c r="K668" i="18"/>
  <c r="K667" i="18"/>
  <c r="K666" i="18"/>
  <c r="K665" i="18"/>
  <c r="K664" i="18"/>
  <c r="K663" i="18"/>
  <c r="K662" i="18"/>
  <c r="K661" i="18"/>
  <c r="K660" i="18"/>
  <c r="K659" i="18"/>
  <c r="K658" i="18"/>
  <c r="K657" i="18"/>
  <c r="K656" i="18"/>
  <c r="K655" i="18"/>
  <c r="K654" i="18"/>
  <c r="K653" i="18"/>
  <c r="K652" i="18"/>
  <c r="K651" i="18"/>
  <c r="K650" i="18"/>
  <c r="K649" i="18"/>
  <c r="K648" i="18"/>
  <c r="K647" i="18"/>
  <c r="K646" i="18"/>
  <c r="K645" i="18"/>
  <c r="K644" i="18"/>
  <c r="K643" i="18"/>
  <c r="K642" i="18"/>
  <c r="K641" i="18"/>
  <c r="K640" i="18"/>
  <c r="K639" i="18"/>
  <c r="K638" i="18"/>
  <c r="K637" i="18"/>
  <c r="K636" i="18"/>
  <c r="K635" i="18"/>
  <c r="K634" i="18"/>
  <c r="K633" i="18"/>
  <c r="K632" i="18"/>
  <c r="K631" i="18"/>
  <c r="K630" i="18"/>
  <c r="K629" i="18"/>
  <c r="K628" i="18"/>
  <c r="K627" i="18"/>
  <c r="K626" i="18"/>
  <c r="K625" i="18"/>
  <c r="K624" i="18"/>
  <c r="K623" i="18"/>
  <c r="K622" i="18"/>
  <c r="K621" i="18"/>
  <c r="K620" i="18"/>
  <c r="K619" i="18"/>
  <c r="K618" i="18"/>
  <c r="K617" i="18"/>
  <c r="K616" i="18"/>
  <c r="K615" i="18"/>
  <c r="K614" i="18"/>
  <c r="K613" i="18"/>
  <c r="K612" i="18"/>
  <c r="K611" i="18"/>
  <c r="K610" i="18"/>
  <c r="K609" i="18"/>
  <c r="K608" i="18"/>
  <c r="K607" i="18"/>
  <c r="K606" i="18"/>
  <c r="K605" i="18"/>
  <c r="K604" i="18"/>
  <c r="K603" i="18"/>
  <c r="K602" i="18"/>
  <c r="K601" i="18"/>
  <c r="K600" i="18"/>
  <c r="K599" i="18"/>
  <c r="K598" i="18"/>
  <c r="K597" i="18"/>
  <c r="K596" i="18"/>
  <c r="K595" i="18"/>
  <c r="K594" i="18"/>
  <c r="K593" i="18"/>
  <c r="K592" i="18"/>
  <c r="K591" i="18"/>
  <c r="K590" i="18"/>
  <c r="K589" i="18"/>
  <c r="K588" i="18"/>
  <c r="K587" i="18"/>
  <c r="K586" i="18"/>
  <c r="K585" i="18"/>
  <c r="K584" i="18"/>
  <c r="K583" i="18"/>
  <c r="K582" i="18"/>
  <c r="K581" i="18"/>
  <c r="K580" i="18"/>
  <c r="K579" i="18"/>
  <c r="K578" i="18"/>
  <c r="K577" i="18"/>
  <c r="K576" i="18"/>
  <c r="K575" i="18"/>
  <c r="K574" i="18"/>
  <c r="K573" i="18"/>
  <c r="K572" i="18"/>
  <c r="K571" i="18"/>
  <c r="K570" i="18"/>
  <c r="K569" i="18"/>
  <c r="K568" i="18"/>
  <c r="K567" i="18"/>
  <c r="K566" i="18"/>
  <c r="K565" i="18"/>
  <c r="K564" i="18"/>
  <c r="K563" i="18"/>
  <c r="K562" i="18"/>
  <c r="K561" i="18"/>
  <c r="K560" i="18"/>
  <c r="K559" i="18"/>
  <c r="K558" i="18"/>
  <c r="K557" i="18"/>
  <c r="K556" i="18"/>
  <c r="K555" i="18"/>
  <c r="K554" i="18"/>
  <c r="K553" i="18"/>
  <c r="K552" i="18"/>
  <c r="K551" i="18"/>
  <c r="K550" i="18"/>
  <c r="K549" i="18"/>
  <c r="K548" i="18"/>
  <c r="K547" i="18"/>
  <c r="K546" i="18"/>
  <c r="K545" i="18"/>
  <c r="K544" i="18"/>
  <c r="K543" i="18"/>
  <c r="K542" i="18"/>
  <c r="K541" i="18"/>
  <c r="K540" i="18"/>
  <c r="K539" i="18"/>
  <c r="K538" i="18"/>
  <c r="K537" i="18"/>
  <c r="K536" i="18"/>
  <c r="K535" i="18"/>
  <c r="K534" i="18"/>
  <c r="K533" i="18"/>
  <c r="K532" i="18"/>
  <c r="K531" i="18"/>
  <c r="K530" i="18"/>
  <c r="K529" i="18"/>
  <c r="K528" i="18"/>
  <c r="K527" i="18"/>
  <c r="K526" i="18"/>
  <c r="K525" i="18"/>
  <c r="K524" i="18"/>
  <c r="K523" i="18"/>
  <c r="K522" i="18"/>
  <c r="K521" i="18"/>
  <c r="K520" i="18"/>
  <c r="K519" i="18"/>
  <c r="K518" i="18"/>
  <c r="K517" i="18"/>
  <c r="K516" i="18"/>
  <c r="K515" i="18"/>
  <c r="K514" i="18"/>
  <c r="K513" i="18"/>
  <c r="K512" i="18"/>
  <c r="K511" i="18"/>
  <c r="K510" i="18"/>
  <c r="K509" i="18"/>
  <c r="K508" i="18"/>
  <c r="K507" i="18"/>
  <c r="K506" i="18"/>
  <c r="K505" i="18"/>
  <c r="K504" i="18"/>
  <c r="K503" i="18"/>
  <c r="K502" i="18"/>
  <c r="K501" i="18"/>
  <c r="K500" i="18"/>
  <c r="K499" i="18"/>
  <c r="K498" i="18"/>
  <c r="K497" i="18"/>
  <c r="K496" i="18"/>
  <c r="K495" i="18"/>
  <c r="K494" i="18"/>
  <c r="K493" i="18"/>
  <c r="K492" i="18"/>
  <c r="K491" i="18"/>
  <c r="K490" i="18"/>
  <c r="K489" i="18"/>
  <c r="K488" i="18"/>
  <c r="K487" i="18"/>
  <c r="K486" i="18"/>
  <c r="K485" i="18"/>
  <c r="K484" i="18"/>
  <c r="K483" i="18"/>
  <c r="K482" i="18"/>
  <c r="K481" i="18"/>
  <c r="K480" i="18"/>
  <c r="K479" i="18"/>
  <c r="K478" i="18"/>
  <c r="K477" i="18"/>
  <c r="K476" i="18"/>
  <c r="K475" i="18"/>
  <c r="K474" i="18"/>
  <c r="K473" i="18"/>
  <c r="K472" i="18"/>
  <c r="K471" i="18"/>
  <c r="K470" i="18"/>
  <c r="K469" i="18"/>
  <c r="K468" i="18"/>
  <c r="K467" i="18"/>
  <c r="K466" i="18"/>
  <c r="K465" i="18"/>
  <c r="K464" i="18"/>
  <c r="K463" i="18"/>
  <c r="K462" i="18"/>
  <c r="K461" i="18"/>
  <c r="K460" i="18"/>
  <c r="K459" i="18"/>
  <c r="K458" i="18"/>
  <c r="K457" i="18"/>
  <c r="K456" i="18"/>
  <c r="K455" i="18"/>
  <c r="K454" i="18"/>
  <c r="K453" i="18"/>
  <c r="K452" i="18"/>
  <c r="K451" i="18"/>
  <c r="K450" i="18"/>
  <c r="K449" i="18"/>
  <c r="K448" i="18"/>
  <c r="K447" i="18"/>
  <c r="K446" i="18"/>
  <c r="K445" i="18"/>
  <c r="K444" i="18"/>
  <c r="K443" i="18"/>
  <c r="K442" i="18"/>
  <c r="K441" i="18"/>
  <c r="K440" i="18"/>
  <c r="K439" i="18"/>
  <c r="K438" i="18"/>
  <c r="K437" i="18"/>
  <c r="K436" i="18"/>
  <c r="K435" i="18"/>
  <c r="K434" i="18"/>
  <c r="K433" i="18"/>
  <c r="K432" i="18"/>
  <c r="K431" i="18"/>
  <c r="K430" i="18"/>
  <c r="K429" i="18"/>
  <c r="K428" i="18"/>
  <c r="K427" i="18"/>
  <c r="K426" i="18"/>
  <c r="K425" i="18"/>
  <c r="K424" i="18"/>
  <c r="K423" i="18"/>
  <c r="K422" i="18"/>
  <c r="K421" i="18"/>
  <c r="K420" i="18"/>
  <c r="K419" i="18"/>
  <c r="K418" i="18"/>
  <c r="K417" i="18"/>
  <c r="K416" i="18"/>
  <c r="K415" i="18"/>
  <c r="K414" i="18"/>
  <c r="K413" i="18"/>
  <c r="K412" i="18"/>
  <c r="K411" i="18"/>
  <c r="K410" i="18"/>
  <c r="K409" i="18"/>
  <c r="K408" i="18"/>
  <c r="K407" i="18"/>
  <c r="K406" i="18"/>
  <c r="K405" i="18"/>
  <c r="K404" i="18"/>
  <c r="K403" i="18"/>
  <c r="K402" i="18"/>
  <c r="K401" i="18"/>
  <c r="K400" i="18"/>
  <c r="K399" i="18"/>
  <c r="K398" i="18"/>
  <c r="K397" i="18"/>
  <c r="K396" i="18"/>
  <c r="K395" i="18"/>
  <c r="K394" i="18"/>
  <c r="K393" i="18"/>
  <c r="K392" i="18"/>
  <c r="K391" i="18"/>
  <c r="K390" i="18"/>
  <c r="K389" i="18"/>
  <c r="K388" i="18"/>
  <c r="K387" i="18"/>
  <c r="K386" i="18"/>
  <c r="K385" i="18"/>
  <c r="K384" i="18"/>
  <c r="K383" i="18"/>
  <c r="K382" i="18"/>
  <c r="K381" i="18"/>
  <c r="K380" i="18"/>
  <c r="K379" i="18"/>
  <c r="K378" i="18"/>
  <c r="K377" i="18"/>
  <c r="K376" i="18"/>
  <c r="K375" i="18"/>
  <c r="K374" i="18"/>
  <c r="K373" i="18"/>
  <c r="K372" i="18"/>
  <c r="K371" i="18"/>
  <c r="K370" i="18"/>
  <c r="K369" i="18"/>
  <c r="K368" i="18"/>
  <c r="K367" i="18"/>
  <c r="K366" i="18"/>
  <c r="K365" i="18"/>
  <c r="K364" i="18"/>
  <c r="K363" i="18"/>
  <c r="K362" i="18"/>
  <c r="K361" i="18"/>
  <c r="K360" i="18"/>
  <c r="K359" i="18"/>
  <c r="K358" i="18"/>
  <c r="K357" i="18"/>
  <c r="K356" i="18"/>
  <c r="K355" i="18"/>
  <c r="K354" i="18"/>
  <c r="K353" i="18"/>
  <c r="K352" i="18"/>
  <c r="K351" i="18"/>
  <c r="K350" i="18"/>
  <c r="K349" i="18"/>
  <c r="K348" i="18"/>
  <c r="K347" i="18"/>
  <c r="K346" i="18"/>
  <c r="K345" i="18"/>
  <c r="K344" i="18"/>
  <c r="K343" i="18"/>
  <c r="K342" i="18"/>
  <c r="K341" i="18"/>
  <c r="K340" i="18"/>
  <c r="K339" i="18"/>
  <c r="K338" i="18"/>
  <c r="K337" i="18"/>
  <c r="K336" i="18"/>
  <c r="K335" i="18"/>
  <c r="K334" i="18"/>
  <c r="K333" i="18"/>
  <c r="K332" i="18"/>
  <c r="K331" i="18"/>
  <c r="K330" i="18"/>
  <c r="K329" i="18"/>
  <c r="K328" i="18"/>
  <c r="K327" i="18"/>
  <c r="K326" i="18"/>
  <c r="K325" i="18"/>
  <c r="K324" i="18"/>
  <c r="K323" i="18"/>
  <c r="K322" i="18"/>
  <c r="K321" i="18"/>
  <c r="K320" i="18"/>
  <c r="K319" i="18"/>
  <c r="K318" i="18"/>
  <c r="K317" i="18"/>
  <c r="K316" i="18"/>
  <c r="K315" i="18"/>
  <c r="K314" i="18"/>
  <c r="K313" i="18"/>
  <c r="K312" i="18"/>
  <c r="K311" i="18"/>
  <c r="K310" i="18"/>
  <c r="K309" i="18"/>
  <c r="K308" i="18"/>
  <c r="K307" i="18"/>
  <c r="K306" i="18"/>
  <c r="K305" i="18"/>
  <c r="K304" i="18"/>
  <c r="K303" i="18"/>
  <c r="K302" i="18"/>
  <c r="K301" i="18"/>
  <c r="K300" i="18"/>
  <c r="K299" i="18"/>
  <c r="K298" i="18"/>
  <c r="K297" i="18"/>
  <c r="K296" i="18"/>
  <c r="K295" i="18"/>
  <c r="K294" i="18"/>
  <c r="K293" i="18"/>
  <c r="K292" i="18"/>
  <c r="K291" i="18"/>
  <c r="K290" i="18"/>
  <c r="K289" i="18"/>
  <c r="K288" i="18"/>
  <c r="K287" i="18"/>
  <c r="K286" i="18"/>
  <c r="K285" i="18"/>
  <c r="K284" i="18"/>
  <c r="K283" i="18"/>
  <c r="K282" i="18"/>
  <c r="K281" i="18"/>
  <c r="K280" i="18"/>
  <c r="K279" i="18"/>
  <c r="K278" i="18"/>
  <c r="K277" i="18"/>
  <c r="K276" i="18"/>
  <c r="K275" i="18"/>
  <c r="K274" i="18"/>
  <c r="K273" i="18"/>
  <c r="K272" i="18"/>
  <c r="K271" i="18"/>
  <c r="K270" i="18"/>
  <c r="K269" i="18"/>
  <c r="K268" i="18"/>
  <c r="K267" i="18"/>
  <c r="K266" i="18"/>
  <c r="K265" i="18"/>
  <c r="K264" i="18"/>
  <c r="K263" i="18"/>
  <c r="K262" i="18"/>
  <c r="K261" i="18"/>
  <c r="K260" i="18"/>
  <c r="K259" i="18"/>
  <c r="K258" i="18"/>
  <c r="K257" i="18"/>
  <c r="K256" i="18"/>
  <c r="K255" i="18"/>
  <c r="K254" i="18"/>
  <c r="K253" i="18"/>
  <c r="K252" i="18"/>
  <c r="K251" i="18"/>
  <c r="K250" i="18"/>
  <c r="K249" i="18"/>
  <c r="K248" i="18"/>
  <c r="K247" i="18"/>
  <c r="K246" i="18"/>
  <c r="K245" i="18"/>
  <c r="K244" i="18"/>
  <c r="K243" i="18"/>
  <c r="K242" i="18"/>
  <c r="K241" i="18"/>
  <c r="K240" i="18"/>
  <c r="K239" i="18"/>
  <c r="K238" i="18"/>
  <c r="K237" i="18"/>
  <c r="K236" i="18"/>
  <c r="K235" i="18"/>
  <c r="K234" i="18"/>
  <c r="K233" i="18"/>
  <c r="K232" i="18"/>
  <c r="K231" i="18"/>
  <c r="K230" i="18"/>
  <c r="K229" i="18"/>
  <c r="K228" i="18"/>
  <c r="K227" i="18"/>
  <c r="K226" i="18"/>
  <c r="K225" i="18"/>
  <c r="K224" i="18"/>
  <c r="K223" i="18"/>
  <c r="K222" i="18"/>
  <c r="K221" i="18"/>
  <c r="K220" i="18"/>
  <c r="K219" i="18"/>
  <c r="K218" i="18"/>
  <c r="K217" i="18"/>
  <c r="K216" i="18"/>
  <c r="K215" i="18"/>
  <c r="K214" i="18"/>
  <c r="K213" i="18"/>
  <c r="K212" i="18"/>
  <c r="K211" i="18"/>
  <c r="K210" i="18"/>
  <c r="K209" i="18"/>
  <c r="K208" i="18"/>
  <c r="K207" i="18"/>
  <c r="K206" i="18"/>
  <c r="K205" i="18"/>
  <c r="K204" i="18"/>
  <c r="K203" i="18"/>
  <c r="K202" i="18"/>
  <c r="K201" i="18"/>
  <c r="K200" i="18"/>
  <c r="K199" i="18"/>
  <c r="K198" i="18"/>
  <c r="K197" i="18"/>
  <c r="K196" i="18"/>
  <c r="K195" i="18"/>
  <c r="K194" i="18"/>
  <c r="K193" i="18"/>
  <c r="K192" i="18"/>
  <c r="K191" i="18"/>
  <c r="K190" i="18"/>
  <c r="K189" i="18"/>
  <c r="K188" i="18"/>
  <c r="K187" i="18"/>
  <c r="K186" i="18"/>
  <c r="K185" i="18"/>
  <c r="K184" i="18"/>
  <c r="K183" i="18"/>
  <c r="K182" i="18"/>
  <c r="K181" i="18"/>
  <c r="K180" i="18"/>
  <c r="K179" i="18"/>
  <c r="K178" i="18"/>
  <c r="K177" i="18"/>
  <c r="K176" i="18"/>
  <c r="K175" i="18"/>
  <c r="K174" i="18"/>
  <c r="K173" i="18"/>
  <c r="K172" i="18"/>
  <c r="K171" i="18"/>
  <c r="K170" i="18"/>
  <c r="K169" i="18"/>
  <c r="K168" i="18"/>
  <c r="K167" i="18"/>
  <c r="K166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7" i="18"/>
  <c r="K126" i="18"/>
  <c r="K125" i="18"/>
  <c r="K124" i="18"/>
  <c r="K123" i="18"/>
  <c r="K122" i="18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H117" i="2"/>
  <c r="G117" i="2"/>
  <c r="H111" i="2"/>
  <c r="G111" i="2"/>
  <c r="G854" i="2"/>
  <c r="G836" i="2"/>
  <c r="G856" i="2" s="1"/>
  <c r="H856" i="2"/>
  <c r="L1" i="18" l="1"/>
  <c r="K1" i="18"/>
  <c r="K1014" i="18"/>
  <c r="H857" i="2"/>
  <c r="O120" i="17"/>
  <c r="O119" i="17"/>
  <c r="O118" i="17"/>
  <c r="O117" i="17"/>
  <c r="O116" i="17"/>
  <c r="O115" i="17"/>
  <c r="O114" i="17"/>
  <c r="O113" i="17"/>
  <c r="O112" i="17"/>
  <c r="O111" i="17"/>
  <c r="O110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E1" i="17"/>
  <c r="O1" i="17" l="1"/>
  <c r="J946" i="1" l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J1" i="1" s="1"/>
  <c r="I5" i="1"/>
  <c r="H5" i="1"/>
  <c r="H6" i="4"/>
  <c r="M7" i="4"/>
  <c r="G1" i="16"/>
  <c r="G1" i="4"/>
  <c r="O12" i="4"/>
  <c r="O11" i="4" l="1"/>
  <c r="O10" i="4"/>
  <c r="O13" i="4" s="1"/>
  <c r="G1" i="8"/>
  <c r="K2" i="8"/>
  <c r="K3" i="8"/>
  <c r="K1" i="8"/>
  <c r="G1" i="13" l="1"/>
  <c r="H1" i="12" l="1"/>
  <c r="G1" i="12"/>
  <c r="L1" i="12"/>
  <c r="L1501" i="12"/>
  <c r="L1500" i="12"/>
  <c r="L1499" i="12"/>
  <c r="L1498" i="12"/>
  <c r="L1497" i="12"/>
  <c r="L1496" i="12"/>
  <c r="L1495" i="12"/>
  <c r="L1494" i="12"/>
  <c r="L1493" i="12"/>
  <c r="L1492" i="12"/>
  <c r="L1491" i="12"/>
  <c r="L1490" i="12"/>
  <c r="L1489" i="12"/>
  <c r="L1488" i="12"/>
  <c r="L1487" i="12"/>
  <c r="L1486" i="12"/>
  <c r="L1485" i="12"/>
  <c r="L1484" i="12"/>
  <c r="L1483" i="12"/>
  <c r="L1482" i="12"/>
  <c r="L1481" i="12"/>
  <c r="L1480" i="12"/>
  <c r="L1479" i="12"/>
  <c r="L1478" i="12"/>
  <c r="L1477" i="12"/>
  <c r="L1476" i="12"/>
  <c r="L1475" i="12"/>
  <c r="L1474" i="12"/>
  <c r="L1473" i="12"/>
  <c r="L1472" i="12"/>
  <c r="L1471" i="12"/>
  <c r="L1470" i="12"/>
  <c r="L1469" i="12"/>
  <c r="L1468" i="12"/>
  <c r="L1467" i="12"/>
  <c r="L1466" i="12"/>
  <c r="L1465" i="12"/>
  <c r="L1464" i="12"/>
  <c r="L1463" i="12"/>
  <c r="L1462" i="12"/>
  <c r="L1461" i="12"/>
  <c r="L1460" i="12"/>
  <c r="L1459" i="12"/>
  <c r="L1458" i="12"/>
  <c r="L1457" i="12"/>
  <c r="L1456" i="12"/>
  <c r="L1455" i="12"/>
  <c r="L1454" i="12"/>
  <c r="L1453" i="12"/>
  <c r="L1452" i="12"/>
  <c r="L1451" i="12"/>
  <c r="L1450" i="12"/>
  <c r="L1449" i="12"/>
  <c r="L1448" i="12"/>
  <c r="L1447" i="12"/>
  <c r="L1446" i="12"/>
  <c r="L1445" i="12"/>
  <c r="L1444" i="12"/>
  <c r="L1443" i="12"/>
  <c r="L1442" i="12"/>
  <c r="L1441" i="12"/>
  <c r="L1440" i="12"/>
  <c r="L1439" i="12"/>
  <c r="L1438" i="12"/>
  <c r="L1437" i="12"/>
  <c r="L1436" i="12"/>
  <c r="L1435" i="12"/>
  <c r="L1434" i="12"/>
  <c r="L1433" i="12"/>
  <c r="L1432" i="12"/>
  <c r="L1431" i="12"/>
  <c r="L1430" i="12"/>
  <c r="L1429" i="12"/>
  <c r="L1428" i="12"/>
  <c r="L1427" i="12"/>
  <c r="L1426" i="12"/>
  <c r="L1425" i="12"/>
  <c r="L1424" i="12"/>
  <c r="L1423" i="12"/>
  <c r="L1422" i="12"/>
  <c r="L1421" i="12"/>
  <c r="L1420" i="12"/>
  <c r="L1419" i="12"/>
  <c r="L1418" i="12"/>
  <c r="L1417" i="12"/>
  <c r="L1416" i="12"/>
  <c r="L1415" i="12"/>
  <c r="L1414" i="12"/>
  <c r="L1413" i="12"/>
  <c r="L1412" i="12"/>
  <c r="L1411" i="12"/>
  <c r="L1410" i="12"/>
  <c r="L1409" i="12"/>
  <c r="L1408" i="12"/>
  <c r="L1407" i="12"/>
  <c r="L1406" i="12"/>
  <c r="L1405" i="12"/>
  <c r="L1404" i="12"/>
  <c r="L1403" i="12"/>
  <c r="L1402" i="12"/>
  <c r="L1401" i="12"/>
  <c r="L1400" i="12"/>
  <c r="L1399" i="12"/>
  <c r="L1398" i="12"/>
  <c r="L1397" i="12"/>
  <c r="L1396" i="12"/>
  <c r="L1395" i="12"/>
  <c r="L1394" i="12"/>
  <c r="L1393" i="12"/>
  <c r="L1392" i="12"/>
  <c r="L1391" i="12"/>
  <c r="L1390" i="12"/>
  <c r="L1389" i="12"/>
  <c r="L1388" i="12"/>
  <c r="L1387" i="12"/>
  <c r="L1386" i="12"/>
  <c r="L1385" i="12"/>
  <c r="L1384" i="12"/>
  <c r="L1383" i="12"/>
  <c r="L1382" i="12"/>
  <c r="L1381" i="12"/>
  <c r="L1380" i="12"/>
  <c r="L1379" i="12"/>
  <c r="L1378" i="12"/>
  <c r="L1377" i="12"/>
  <c r="L1376" i="12"/>
  <c r="L1375" i="12"/>
  <c r="L1374" i="12"/>
  <c r="L1373" i="12"/>
  <c r="L1372" i="12"/>
  <c r="L1371" i="12"/>
  <c r="L1370" i="12"/>
  <c r="L1369" i="12"/>
  <c r="L1368" i="12"/>
  <c r="L1367" i="12"/>
  <c r="L1366" i="12"/>
  <c r="L1365" i="12"/>
  <c r="L1364" i="12"/>
  <c r="L1363" i="12"/>
  <c r="L1362" i="12"/>
  <c r="L1361" i="12"/>
  <c r="L1360" i="12"/>
  <c r="L1359" i="12"/>
  <c r="L1358" i="12"/>
  <c r="L1357" i="12"/>
  <c r="L1356" i="12"/>
  <c r="L1355" i="12"/>
  <c r="L1354" i="12"/>
  <c r="L1353" i="12"/>
  <c r="L1352" i="12"/>
  <c r="L1351" i="12"/>
  <c r="L1350" i="12"/>
  <c r="L1349" i="12"/>
  <c r="L1348" i="12"/>
  <c r="L1347" i="12"/>
  <c r="L1346" i="12"/>
  <c r="L1345" i="12"/>
  <c r="L1344" i="12"/>
  <c r="L1343" i="12"/>
  <c r="L1342" i="12"/>
  <c r="L1341" i="12"/>
  <c r="L1340" i="12"/>
  <c r="L1339" i="12"/>
  <c r="L1338" i="12"/>
  <c r="L1337" i="12"/>
  <c r="L1336" i="12"/>
  <c r="L1335" i="12"/>
  <c r="L1334" i="12"/>
  <c r="L1333" i="12"/>
  <c r="L1332" i="12"/>
  <c r="L1331" i="12"/>
  <c r="L1330" i="12"/>
  <c r="L1329" i="12"/>
  <c r="L1328" i="12"/>
  <c r="L1327" i="12"/>
  <c r="L1326" i="12"/>
  <c r="L1325" i="12"/>
  <c r="L1324" i="12"/>
  <c r="L1323" i="12"/>
  <c r="L1322" i="12"/>
  <c r="L1321" i="12"/>
  <c r="L1320" i="12"/>
  <c r="L1319" i="12"/>
  <c r="L1318" i="12"/>
  <c r="L1317" i="12"/>
  <c r="L1316" i="12"/>
  <c r="L1315" i="12"/>
  <c r="L1314" i="12"/>
  <c r="L1313" i="12"/>
  <c r="L1312" i="12"/>
  <c r="L1311" i="12"/>
  <c r="L1310" i="12"/>
  <c r="L1309" i="12"/>
  <c r="L1308" i="12"/>
  <c r="L1307" i="12"/>
  <c r="L1306" i="12"/>
  <c r="L1305" i="12"/>
  <c r="L1304" i="12"/>
  <c r="L1303" i="12"/>
  <c r="L1302" i="12"/>
  <c r="L1301" i="12"/>
  <c r="L1300" i="12"/>
  <c r="L1299" i="12"/>
  <c r="L1298" i="12"/>
  <c r="L1297" i="12"/>
  <c r="L1296" i="12"/>
  <c r="L1295" i="12"/>
  <c r="L1294" i="12"/>
  <c r="L1293" i="12"/>
  <c r="L1292" i="12"/>
  <c r="L1291" i="12"/>
  <c r="L1290" i="12"/>
  <c r="L1289" i="12"/>
  <c r="L1288" i="12"/>
  <c r="L1287" i="12"/>
  <c r="L1286" i="12"/>
  <c r="L1285" i="12"/>
  <c r="L1284" i="12"/>
  <c r="L1283" i="12"/>
  <c r="L1282" i="12"/>
  <c r="L1281" i="12"/>
  <c r="L1280" i="12"/>
  <c r="L1279" i="12"/>
  <c r="L1278" i="12"/>
  <c r="L1277" i="12"/>
  <c r="L1276" i="12"/>
  <c r="L1275" i="12"/>
  <c r="L1274" i="12"/>
  <c r="L1273" i="12"/>
  <c r="L1272" i="12"/>
  <c r="L1271" i="12"/>
  <c r="L1270" i="12"/>
  <c r="L1269" i="12"/>
  <c r="L1268" i="12"/>
  <c r="L1267" i="12"/>
  <c r="L1266" i="12"/>
  <c r="L1265" i="12"/>
  <c r="L1264" i="12"/>
  <c r="L1263" i="12"/>
  <c r="L1262" i="12"/>
  <c r="L1261" i="12"/>
  <c r="L1260" i="12"/>
  <c r="L1259" i="12"/>
  <c r="L1258" i="12"/>
  <c r="L1257" i="12"/>
  <c r="L1256" i="12"/>
  <c r="L1255" i="12"/>
  <c r="L1254" i="12"/>
  <c r="L1253" i="12"/>
  <c r="L1252" i="12"/>
  <c r="L1251" i="12"/>
  <c r="L1250" i="12"/>
  <c r="L1249" i="12"/>
  <c r="L1248" i="12"/>
  <c r="L1247" i="12"/>
  <c r="L1246" i="12"/>
  <c r="L1245" i="12"/>
  <c r="L1244" i="12"/>
  <c r="L1243" i="12"/>
  <c r="L1242" i="12"/>
  <c r="L1241" i="12"/>
  <c r="L1240" i="12"/>
  <c r="L1239" i="12"/>
  <c r="L1238" i="12"/>
  <c r="L1237" i="12"/>
  <c r="L1236" i="12"/>
  <c r="L1235" i="12"/>
  <c r="L1234" i="12"/>
  <c r="L1233" i="12"/>
  <c r="L1232" i="12"/>
  <c r="L1231" i="12"/>
  <c r="L1230" i="12"/>
  <c r="L1229" i="12"/>
  <c r="L1228" i="12"/>
  <c r="L1227" i="12"/>
  <c r="L1226" i="12"/>
  <c r="L1225" i="12"/>
  <c r="L1224" i="12"/>
  <c r="L1223" i="12"/>
  <c r="L1222" i="12"/>
  <c r="L1221" i="12"/>
  <c r="L1220" i="12"/>
  <c r="L1219" i="12"/>
  <c r="L1218" i="12"/>
  <c r="L1217" i="12"/>
  <c r="L1216" i="12"/>
  <c r="L1215" i="12"/>
  <c r="L1214" i="12"/>
  <c r="L1213" i="12"/>
  <c r="L1212" i="12"/>
  <c r="L1211" i="12"/>
  <c r="L1210" i="12"/>
  <c r="L1209" i="12"/>
  <c r="L1208" i="12"/>
  <c r="L1207" i="12"/>
  <c r="L1206" i="12"/>
  <c r="L1205" i="12"/>
  <c r="L1204" i="12"/>
  <c r="L1203" i="12"/>
  <c r="L1202" i="12"/>
  <c r="L1201" i="12"/>
  <c r="L1200" i="12"/>
  <c r="L1199" i="12"/>
  <c r="L1198" i="12"/>
  <c r="L1197" i="12"/>
  <c r="L1196" i="12"/>
  <c r="L1195" i="12"/>
  <c r="L1194" i="12"/>
  <c r="L1193" i="12"/>
  <c r="L1192" i="12"/>
  <c r="L1191" i="12"/>
  <c r="L1190" i="12"/>
  <c r="L1189" i="12"/>
  <c r="L1188" i="12"/>
  <c r="L1187" i="12"/>
  <c r="L1186" i="12"/>
  <c r="L1185" i="12"/>
  <c r="L1184" i="12"/>
  <c r="L1183" i="12"/>
  <c r="L1182" i="12"/>
  <c r="L1181" i="12"/>
  <c r="L1180" i="12"/>
  <c r="L1179" i="12"/>
  <c r="L1178" i="12"/>
  <c r="L1177" i="12"/>
  <c r="L1176" i="12"/>
  <c r="L1175" i="12"/>
  <c r="L1174" i="12"/>
  <c r="L1173" i="12"/>
  <c r="L1172" i="12"/>
  <c r="L1171" i="12"/>
  <c r="L1170" i="12"/>
  <c r="L1169" i="12"/>
  <c r="L1168" i="12"/>
  <c r="L1167" i="12"/>
  <c r="L1166" i="12"/>
  <c r="L1165" i="12"/>
  <c r="L1164" i="12"/>
  <c r="L1163" i="12"/>
  <c r="L1162" i="12"/>
  <c r="L1161" i="12"/>
  <c r="L1160" i="12"/>
  <c r="L1159" i="12"/>
  <c r="L1158" i="12"/>
  <c r="L1157" i="12"/>
  <c r="L1156" i="12"/>
  <c r="L1155" i="12"/>
  <c r="L1154" i="12"/>
  <c r="L1153" i="12"/>
  <c r="L1152" i="12"/>
  <c r="L1151" i="12"/>
  <c r="L1150" i="12"/>
  <c r="L1149" i="12"/>
  <c r="L1148" i="12"/>
  <c r="L1147" i="12"/>
  <c r="L1146" i="12"/>
  <c r="L1145" i="12"/>
  <c r="L1144" i="12"/>
  <c r="L1143" i="12"/>
  <c r="L1142" i="12"/>
  <c r="L1141" i="12"/>
  <c r="L1140" i="12"/>
  <c r="L1139" i="12"/>
  <c r="L1138" i="12"/>
  <c r="L1137" i="12"/>
  <c r="L1136" i="12"/>
  <c r="L1135" i="12"/>
  <c r="L1134" i="12"/>
  <c r="L1133" i="12"/>
  <c r="L1132" i="12"/>
  <c r="L1131" i="12"/>
  <c r="L1130" i="12"/>
  <c r="L1129" i="12"/>
  <c r="L1128" i="12"/>
  <c r="L1127" i="12"/>
  <c r="L1126" i="12"/>
  <c r="L1125" i="12"/>
  <c r="L1124" i="12"/>
  <c r="L1123" i="12"/>
  <c r="L1122" i="12"/>
  <c r="L1121" i="12"/>
  <c r="L1120" i="12"/>
  <c r="L1119" i="12"/>
  <c r="L1118" i="12"/>
  <c r="L1117" i="12"/>
  <c r="L1116" i="12"/>
  <c r="L1115" i="12"/>
  <c r="L1114" i="12"/>
  <c r="L1113" i="12"/>
  <c r="L1112" i="12"/>
  <c r="L1111" i="12"/>
  <c r="L1110" i="12"/>
  <c r="L1109" i="12"/>
  <c r="L1108" i="12"/>
  <c r="L1107" i="12"/>
  <c r="L1106" i="12"/>
  <c r="L1105" i="12"/>
  <c r="L1104" i="12"/>
  <c r="L1103" i="12"/>
  <c r="L1102" i="12"/>
  <c r="L1101" i="12"/>
  <c r="L1100" i="12"/>
  <c r="L1099" i="12"/>
  <c r="L1098" i="12"/>
  <c r="L1097" i="12"/>
  <c r="L1096" i="12"/>
  <c r="L1095" i="12"/>
  <c r="L1094" i="12"/>
  <c r="L1093" i="12"/>
  <c r="L1092" i="12"/>
  <c r="L1091" i="12"/>
  <c r="L1090" i="12"/>
  <c r="L1089" i="12"/>
  <c r="L1088" i="12"/>
  <c r="L1087" i="12"/>
  <c r="L1086" i="12"/>
  <c r="L1085" i="12"/>
  <c r="L1084" i="12"/>
  <c r="L1083" i="12"/>
  <c r="L1082" i="12"/>
  <c r="L1081" i="12"/>
  <c r="L1080" i="12"/>
  <c r="L1079" i="12"/>
  <c r="L1078" i="12"/>
  <c r="L1077" i="12"/>
  <c r="L1076" i="12"/>
  <c r="L1075" i="12"/>
  <c r="L1074" i="12"/>
  <c r="L1073" i="12"/>
  <c r="L1072" i="12"/>
  <c r="L1071" i="12"/>
  <c r="L1070" i="12"/>
  <c r="L1069" i="12"/>
  <c r="L1068" i="12"/>
  <c r="L1067" i="12"/>
  <c r="L1066" i="12"/>
  <c r="L1065" i="12"/>
  <c r="L1064" i="12"/>
  <c r="L1063" i="12"/>
  <c r="L1062" i="12"/>
  <c r="L1061" i="12"/>
  <c r="L1060" i="12"/>
  <c r="L1059" i="12"/>
  <c r="L1058" i="12"/>
  <c r="L1057" i="12"/>
  <c r="L1056" i="12"/>
  <c r="L1055" i="12"/>
  <c r="L1054" i="12"/>
  <c r="L1053" i="12"/>
  <c r="L1052" i="12"/>
  <c r="L1051" i="12"/>
  <c r="L1050" i="12"/>
  <c r="L1049" i="12"/>
  <c r="L1048" i="12"/>
  <c r="L1047" i="12"/>
  <c r="L1046" i="12"/>
  <c r="L1045" i="12"/>
  <c r="L1044" i="12"/>
  <c r="L1043" i="12"/>
  <c r="L1042" i="12"/>
  <c r="L1041" i="12"/>
  <c r="L1040" i="12"/>
  <c r="L1039" i="12"/>
  <c r="L1038" i="12"/>
  <c r="L1037" i="12"/>
  <c r="L1036" i="12"/>
  <c r="L1035" i="12"/>
  <c r="L1034" i="12"/>
  <c r="L1033" i="12"/>
  <c r="L1032" i="12"/>
  <c r="L1031" i="12"/>
  <c r="L1030" i="12"/>
  <c r="L1029" i="12"/>
  <c r="L1028" i="12"/>
  <c r="L1027" i="12"/>
  <c r="L1026" i="12"/>
  <c r="L1025" i="12"/>
  <c r="L1024" i="12"/>
  <c r="L1023" i="12"/>
  <c r="L1022" i="12"/>
  <c r="L1021" i="12"/>
  <c r="L1020" i="12"/>
  <c r="L1019" i="12"/>
  <c r="L1018" i="12"/>
  <c r="L1017" i="12"/>
  <c r="L1016" i="12"/>
  <c r="L1015" i="12"/>
  <c r="H1014" i="12"/>
  <c r="K1014" i="12"/>
  <c r="K1013" i="12"/>
  <c r="K1012" i="12"/>
  <c r="K1011" i="12"/>
  <c r="K1010" i="12"/>
  <c r="K1009" i="12"/>
  <c r="K1008" i="12"/>
  <c r="K1007" i="12"/>
  <c r="K1006" i="12"/>
  <c r="K1005" i="12"/>
  <c r="K1004" i="12"/>
  <c r="K1003" i="12"/>
  <c r="K1002" i="12"/>
  <c r="K1001" i="12"/>
  <c r="K1000" i="12"/>
  <c r="K999" i="12"/>
  <c r="K998" i="12"/>
  <c r="K997" i="12"/>
  <c r="K996" i="12"/>
  <c r="K995" i="12"/>
  <c r="K994" i="12"/>
  <c r="K993" i="12"/>
  <c r="K992" i="12"/>
  <c r="K991" i="12"/>
  <c r="K990" i="12"/>
  <c r="K989" i="12"/>
  <c r="K988" i="12"/>
  <c r="K987" i="12"/>
  <c r="K986" i="12"/>
  <c r="K985" i="12"/>
  <c r="K984" i="12"/>
  <c r="K983" i="12"/>
  <c r="K982" i="12"/>
  <c r="K981" i="12"/>
  <c r="K980" i="12"/>
  <c r="K979" i="12"/>
  <c r="K978" i="12"/>
  <c r="K977" i="12"/>
  <c r="K976" i="12"/>
  <c r="K975" i="12"/>
  <c r="K974" i="12"/>
  <c r="K973" i="12"/>
  <c r="K972" i="12"/>
  <c r="K971" i="12"/>
  <c r="K970" i="12"/>
  <c r="K969" i="12"/>
  <c r="K968" i="12"/>
  <c r="K967" i="12"/>
  <c r="K966" i="12"/>
  <c r="K965" i="12"/>
  <c r="K964" i="12"/>
  <c r="K963" i="12"/>
  <c r="K962" i="12"/>
  <c r="K961" i="12"/>
  <c r="K960" i="12"/>
  <c r="K959" i="12"/>
  <c r="K958" i="12"/>
  <c r="K957" i="12"/>
  <c r="K956" i="12"/>
  <c r="K955" i="12"/>
  <c r="K954" i="12"/>
  <c r="K953" i="12"/>
  <c r="K952" i="12"/>
  <c r="K951" i="12"/>
  <c r="K950" i="12"/>
  <c r="K949" i="12"/>
  <c r="K948" i="12"/>
  <c r="K947" i="12"/>
  <c r="K946" i="12"/>
  <c r="K945" i="12"/>
  <c r="K944" i="12"/>
  <c r="K943" i="12"/>
  <c r="K942" i="12"/>
  <c r="K941" i="12"/>
  <c r="K940" i="12"/>
  <c r="K939" i="12"/>
  <c r="K938" i="12"/>
  <c r="K937" i="12"/>
  <c r="K936" i="12"/>
  <c r="K935" i="12"/>
  <c r="K934" i="12"/>
  <c r="K933" i="12"/>
  <c r="K932" i="12"/>
  <c r="K931" i="12"/>
  <c r="K930" i="12"/>
  <c r="K929" i="12"/>
  <c r="K928" i="12"/>
  <c r="K927" i="12"/>
  <c r="K926" i="12"/>
  <c r="K925" i="12"/>
  <c r="K924" i="12"/>
  <c r="K923" i="12"/>
  <c r="K922" i="12"/>
  <c r="K921" i="12"/>
  <c r="K920" i="12"/>
  <c r="K919" i="12"/>
  <c r="K918" i="12"/>
  <c r="K917" i="12"/>
  <c r="K916" i="12"/>
  <c r="K915" i="12"/>
  <c r="K914" i="12"/>
  <c r="K913" i="12"/>
  <c r="K912" i="12"/>
  <c r="K911" i="12"/>
  <c r="K910" i="12"/>
  <c r="K909" i="12"/>
  <c r="K908" i="12"/>
  <c r="K907" i="12"/>
  <c r="K906" i="12"/>
  <c r="K905" i="12"/>
  <c r="K904" i="12"/>
  <c r="K903" i="12"/>
  <c r="K902" i="12"/>
  <c r="K901" i="12"/>
  <c r="K900" i="12"/>
  <c r="K899" i="12"/>
  <c r="K898" i="12"/>
  <c r="K897" i="12"/>
  <c r="K896" i="12"/>
  <c r="K895" i="12"/>
  <c r="K894" i="12"/>
  <c r="K893" i="12"/>
  <c r="K892" i="12"/>
  <c r="K891" i="12"/>
  <c r="K890" i="12"/>
  <c r="K889" i="12"/>
  <c r="K888" i="12"/>
  <c r="K887" i="12"/>
  <c r="K886" i="12"/>
  <c r="K885" i="12"/>
  <c r="K884" i="12"/>
  <c r="K883" i="12"/>
  <c r="K882" i="12"/>
  <c r="K881" i="12"/>
  <c r="K880" i="12"/>
  <c r="K879" i="12"/>
  <c r="K878" i="12"/>
  <c r="K877" i="12"/>
  <c r="K876" i="12"/>
  <c r="K875" i="12"/>
  <c r="K874" i="12"/>
  <c r="K873" i="12"/>
  <c r="K872" i="12"/>
  <c r="K871" i="12"/>
  <c r="K870" i="12"/>
  <c r="K869" i="12"/>
  <c r="K868" i="12"/>
  <c r="K867" i="12"/>
  <c r="K866" i="12"/>
  <c r="K865" i="12"/>
  <c r="K864" i="12"/>
  <c r="K863" i="12"/>
  <c r="K862" i="12"/>
  <c r="K861" i="12"/>
  <c r="K860" i="12"/>
  <c r="K859" i="12"/>
  <c r="K858" i="12"/>
  <c r="K857" i="12"/>
  <c r="K856" i="12"/>
  <c r="K855" i="12"/>
  <c r="K854" i="12"/>
  <c r="K853" i="12"/>
  <c r="K852" i="12"/>
  <c r="K851" i="12"/>
  <c r="K850" i="12"/>
  <c r="K849" i="12"/>
  <c r="K848" i="12"/>
  <c r="K847" i="12"/>
  <c r="K846" i="12"/>
  <c r="K845" i="12"/>
  <c r="K844" i="12"/>
  <c r="K843" i="12"/>
  <c r="K842" i="12"/>
  <c r="K841" i="12"/>
  <c r="K840" i="12"/>
  <c r="K839" i="12"/>
  <c r="K838" i="12"/>
  <c r="K837" i="12"/>
  <c r="K836" i="12"/>
  <c r="K835" i="12"/>
  <c r="K834" i="12"/>
  <c r="K833" i="12"/>
  <c r="K832" i="12"/>
  <c r="K831" i="12"/>
  <c r="K830" i="12"/>
  <c r="K829" i="12"/>
  <c r="K828" i="12"/>
  <c r="K827" i="12"/>
  <c r="K826" i="12"/>
  <c r="K825" i="12"/>
  <c r="K824" i="12"/>
  <c r="K823" i="12"/>
  <c r="K822" i="12"/>
  <c r="K821" i="12"/>
  <c r="K820" i="12"/>
  <c r="K819" i="12"/>
  <c r="K818" i="12"/>
  <c r="K817" i="12"/>
  <c r="K816" i="12"/>
  <c r="K815" i="12"/>
  <c r="K814" i="12"/>
  <c r="K813" i="12"/>
  <c r="K812" i="12"/>
  <c r="K811" i="12"/>
  <c r="K810" i="12"/>
  <c r="K809" i="12"/>
  <c r="K808" i="12"/>
  <c r="K807" i="12"/>
  <c r="K806" i="12"/>
  <c r="K805" i="12"/>
  <c r="K804" i="12"/>
  <c r="K803" i="12"/>
  <c r="K802" i="12"/>
  <c r="K801" i="12"/>
  <c r="K800" i="12"/>
  <c r="K799" i="12"/>
  <c r="K798" i="12"/>
  <c r="K797" i="12"/>
  <c r="K796" i="12"/>
  <c r="K795" i="12"/>
  <c r="K794" i="12"/>
  <c r="K793" i="12"/>
  <c r="K792" i="12"/>
  <c r="K791" i="12"/>
  <c r="K790" i="12"/>
  <c r="K789" i="12"/>
  <c r="K788" i="12"/>
  <c r="K787" i="12"/>
  <c r="K786" i="12"/>
  <c r="K785" i="12"/>
  <c r="K784" i="12"/>
  <c r="K783" i="12"/>
  <c r="K782" i="12"/>
  <c r="K781" i="12"/>
  <c r="K780" i="12"/>
  <c r="K779" i="12"/>
  <c r="K778" i="12"/>
  <c r="K777" i="12"/>
  <c r="K776" i="12"/>
  <c r="K775" i="12"/>
  <c r="K774" i="12"/>
  <c r="K773" i="12"/>
  <c r="K772" i="12"/>
  <c r="K771" i="12"/>
  <c r="K770" i="12"/>
  <c r="K769" i="12"/>
  <c r="K768" i="12"/>
  <c r="K767" i="12"/>
  <c r="K766" i="12"/>
  <c r="K765" i="12"/>
  <c r="K764" i="12"/>
  <c r="K763" i="12"/>
  <c r="K762" i="12"/>
  <c r="K761" i="12"/>
  <c r="K760" i="12"/>
  <c r="K759" i="12"/>
  <c r="K758" i="12"/>
  <c r="K757" i="12"/>
  <c r="K756" i="12"/>
  <c r="K755" i="12"/>
  <c r="K754" i="12"/>
  <c r="K753" i="12"/>
  <c r="K752" i="12"/>
  <c r="K751" i="12"/>
  <c r="K750" i="12"/>
  <c r="K749" i="12"/>
  <c r="K748" i="12"/>
  <c r="K747" i="12"/>
  <c r="K746" i="12"/>
  <c r="K745" i="12"/>
  <c r="K744" i="12"/>
  <c r="K743" i="12"/>
  <c r="K742" i="12"/>
  <c r="K741" i="12"/>
  <c r="K740" i="12"/>
  <c r="K739" i="12"/>
  <c r="K738" i="12"/>
  <c r="K737" i="12"/>
  <c r="K736" i="12"/>
  <c r="K735" i="12"/>
  <c r="K734" i="12"/>
  <c r="K733" i="12"/>
  <c r="K732" i="12"/>
  <c r="K731" i="12"/>
  <c r="K730" i="12"/>
  <c r="K729" i="12"/>
  <c r="K728" i="12"/>
  <c r="K727" i="12"/>
  <c r="K726" i="12"/>
  <c r="K725" i="12"/>
  <c r="K724" i="12"/>
  <c r="K723" i="12"/>
  <c r="K722" i="12"/>
  <c r="K721" i="12"/>
  <c r="K720" i="12"/>
  <c r="K719" i="12"/>
  <c r="K718" i="12"/>
  <c r="K717" i="12"/>
  <c r="K716" i="12"/>
  <c r="K715" i="12"/>
  <c r="K714" i="12"/>
  <c r="K713" i="12"/>
  <c r="K712" i="12"/>
  <c r="K711" i="12"/>
  <c r="K710" i="12"/>
  <c r="K709" i="12"/>
  <c r="K708" i="12"/>
  <c r="K707" i="12"/>
  <c r="K706" i="12"/>
  <c r="K705" i="12"/>
  <c r="K704" i="12"/>
  <c r="K703" i="12"/>
  <c r="K702" i="12"/>
  <c r="K701" i="12"/>
  <c r="K700" i="12"/>
  <c r="K699" i="12"/>
  <c r="K698" i="12"/>
  <c r="K697" i="12"/>
  <c r="K696" i="12"/>
  <c r="K695" i="12"/>
  <c r="K694" i="12"/>
  <c r="K693" i="12"/>
  <c r="K692" i="12"/>
  <c r="K691" i="12"/>
  <c r="K690" i="12"/>
  <c r="K689" i="12"/>
  <c r="K688" i="12"/>
  <c r="K687" i="12"/>
  <c r="K686" i="12"/>
  <c r="K685" i="12"/>
  <c r="K684" i="12"/>
  <c r="K683" i="12"/>
  <c r="K682" i="12"/>
  <c r="K681" i="12"/>
  <c r="K680" i="12"/>
  <c r="K679" i="12"/>
  <c r="K678" i="12"/>
  <c r="K677" i="12"/>
  <c r="K676" i="12"/>
  <c r="K675" i="12"/>
  <c r="K674" i="12"/>
  <c r="K673" i="12"/>
  <c r="K672" i="12"/>
  <c r="K671" i="12"/>
  <c r="K670" i="12"/>
  <c r="K669" i="12"/>
  <c r="K668" i="12"/>
  <c r="K667" i="12"/>
  <c r="K666" i="12"/>
  <c r="K665" i="12"/>
  <c r="K664" i="12"/>
  <c r="K663" i="12"/>
  <c r="K662" i="12"/>
  <c r="K661" i="12"/>
  <c r="K660" i="12"/>
  <c r="K659" i="12"/>
  <c r="K658" i="12"/>
  <c r="K657" i="12"/>
  <c r="K656" i="12"/>
  <c r="K655" i="12"/>
  <c r="K654" i="12"/>
  <c r="K653" i="12"/>
  <c r="K652" i="12"/>
  <c r="K651" i="12"/>
  <c r="K650" i="12"/>
  <c r="K649" i="12"/>
  <c r="K648" i="12"/>
  <c r="K647" i="12"/>
  <c r="K646" i="12"/>
  <c r="K645" i="12"/>
  <c r="K644" i="12"/>
  <c r="K643" i="12"/>
  <c r="K642" i="12"/>
  <c r="K641" i="12"/>
  <c r="K640" i="12"/>
  <c r="K639" i="12"/>
  <c r="K638" i="12"/>
  <c r="K637" i="12"/>
  <c r="K636" i="12"/>
  <c r="K635" i="12"/>
  <c r="K634" i="12"/>
  <c r="K633" i="12"/>
  <c r="K632" i="12"/>
  <c r="K631" i="12"/>
  <c r="K630" i="12"/>
  <c r="K629" i="12"/>
  <c r="K628" i="12"/>
  <c r="K627" i="12"/>
  <c r="K626" i="12"/>
  <c r="K625" i="12"/>
  <c r="K624" i="12"/>
  <c r="K623" i="12"/>
  <c r="K622" i="12"/>
  <c r="K621" i="12"/>
  <c r="K620" i="12"/>
  <c r="K619" i="12"/>
  <c r="K618" i="12"/>
  <c r="K617" i="12"/>
  <c r="K616" i="12"/>
  <c r="K615" i="12"/>
  <c r="K614" i="12"/>
  <c r="K613" i="12"/>
  <c r="K612" i="12"/>
  <c r="K611" i="12"/>
  <c r="K610" i="12"/>
  <c r="K609" i="12"/>
  <c r="K608" i="12"/>
  <c r="K607" i="12"/>
  <c r="K606" i="12"/>
  <c r="K605" i="12"/>
  <c r="K604" i="12"/>
  <c r="K603" i="12"/>
  <c r="K602" i="12"/>
  <c r="K601" i="12"/>
  <c r="K600" i="12"/>
  <c r="K599" i="12"/>
  <c r="K598" i="12"/>
  <c r="K597" i="12"/>
  <c r="K596" i="12"/>
  <c r="K595" i="12"/>
  <c r="K594" i="12"/>
  <c r="K593" i="12"/>
  <c r="K592" i="12"/>
  <c r="K591" i="12"/>
  <c r="K590" i="12"/>
  <c r="K589" i="12"/>
  <c r="K588" i="12"/>
  <c r="K587" i="12"/>
  <c r="K586" i="12"/>
  <c r="K585" i="12"/>
  <c r="K584" i="12"/>
  <c r="K583" i="12"/>
  <c r="K582" i="12"/>
  <c r="K581" i="12"/>
  <c r="K580" i="12"/>
  <c r="K579" i="12"/>
  <c r="K578" i="12"/>
  <c r="K577" i="12"/>
  <c r="K576" i="12"/>
  <c r="K575" i="12"/>
  <c r="K574" i="12"/>
  <c r="K573" i="12"/>
  <c r="K572" i="12"/>
  <c r="K571" i="12"/>
  <c r="K570" i="12"/>
  <c r="K569" i="12"/>
  <c r="K568" i="12"/>
  <c r="K567" i="12"/>
  <c r="K566" i="12"/>
  <c r="K565" i="12"/>
  <c r="K564" i="12"/>
  <c r="K563" i="12"/>
  <c r="K562" i="12"/>
  <c r="K561" i="12"/>
  <c r="K560" i="12"/>
  <c r="K559" i="12"/>
  <c r="K558" i="12"/>
  <c r="K557" i="12"/>
  <c r="K556" i="12"/>
  <c r="K555" i="12"/>
  <c r="K554" i="12"/>
  <c r="K553" i="12"/>
  <c r="K552" i="12"/>
  <c r="K551" i="12"/>
  <c r="K550" i="12"/>
  <c r="K549" i="12"/>
  <c r="K548" i="12"/>
  <c r="K547" i="12"/>
  <c r="K546" i="12"/>
  <c r="K545" i="12"/>
  <c r="K544" i="12"/>
  <c r="K543" i="12"/>
  <c r="K542" i="12"/>
  <c r="K541" i="12"/>
  <c r="K540" i="12"/>
  <c r="K539" i="12"/>
  <c r="K538" i="12"/>
  <c r="K537" i="12"/>
  <c r="K536" i="12"/>
  <c r="K535" i="12"/>
  <c r="K534" i="12"/>
  <c r="K533" i="12"/>
  <c r="K532" i="12"/>
  <c r="K531" i="12"/>
  <c r="K530" i="12"/>
  <c r="K529" i="12"/>
  <c r="K528" i="12"/>
  <c r="K527" i="12"/>
  <c r="K526" i="12"/>
  <c r="K525" i="12"/>
  <c r="K524" i="12"/>
  <c r="K523" i="12"/>
  <c r="K522" i="12"/>
  <c r="K521" i="12"/>
  <c r="K520" i="12"/>
  <c r="K519" i="12"/>
  <c r="K518" i="12"/>
  <c r="K517" i="12"/>
  <c r="K516" i="12"/>
  <c r="K515" i="12"/>
  <c r="K514" i="12"/>
  <c r="K513" i="12"/>
  <c r="K512" i="12"/>
  <c r="K511" i="12"/>
  <c r="K510" i="12"/>
  <c r="K509" i="12"/>
  <c r="K508" i="12"/>
  <c r="K507" i="12"/>
  <c r="K506" i="12"/>
  <c r="K505" i="12"/>
  <c r="K504" i="12"/>
  <c r="K503" i="12"/>
  <c r="K502" i="12"/>
  <c r="K501" i="12"/>
  <c r="K500" i="12"/>
  <c r="K499" i="12"/>
  <c r="K498" i="12"/>
  <c r="K497" i="12"/>
  <c r="K496" i="12"/>
  <c r="K495" i="12"/>
  <c r="K494" i="12"/>
  <c r="K493" i="12"/>
  <c r="K492" i="12"/>
  <c r="K491" i="12"/>
  <c r="K490" i="12"/>
  <c r="K489" i="12"/>
  <c r="K488" i="12"/>
  <c r="K487" i="12"/>
  <c r="K486" i="12"/>
  <c r="K485" i="12"/>
  <c r="K484" i="12"/>
  <c r="K483" i="12"/>
  <c r="K482" i="12"/>
  <c r="K481" i="12"/>
  <c r="K480" i="12"/>
  <c r="K479" i="12"/>
  <c r="K478" i="12"/>
  <c r="K477" i="12"/>
  <c r="K476" i="12"/>
  <c r="K475" i="12"/>
  <c r="K474" i="12"/>
  <c r="K473" i="12"/>
  <c r="K472" i="12"/>
  <c r="K471" i="12"/>
  <c r="K470" i="12"/>
  <c r="K469" i="12"/>
  <c r="K468" i="12"/>
  <c r="K467" i="12"/>
  <c r="K466" i="12"/>
  <c r="K465" i="12"/>
  <c r="K464" i="12"/>
  <c r="K463" i="12"/>
  <c r="K462" i="12"/>
  <c r="K461" i="12"/>
  <c r="K460" i="12"/>
  <c r="K459" i="12"/>
  <c r="K458" i="12"/>
  <c r="K457" i="12"/>
  <c r="K456" i="12"/>
  <c r="K455" i="12"/>
  <c r="K454" i="12"/>
  <c r="K453" i="12"/>
  <c r="K452" i="12"/>
  <c r="K451" i="12"/>
  <c r="K450" i="12"/>
  <c r="K449" i="12"/>
  <c r="K448" i="12"/>
  <c r="K447" i="12"/>
  <c r="K446" i="12"/>
  <c r="K445" i="12"/>
  <c r="K444" i="12"/>
  <c r="K443" i="12"/>
  <c r="K442" i="12"/>
  <c r="K441" i="12"/>
  <c r="K440" i="12"/>
  <c r="K439" i="12"/>
  <c r="K438" i="12"/>
  <c r="K437" i="12"/>
  <c r="K436" i="12"/>
  <c r="K435" i="12"/>
  <c r="K434" i="12"/>
  <c r="K433" i="12"/>
  <c r="K432" i="12"/>
  <c r="K431" i="12"/>
  <c r="K430" i="12"/>
  <c r="K429" i="12"/>
  <c r="K428" i="12"/>
  <c r="K427" i="12"/>
  <c r="K426" i="12"/>
  <c r="K425" i="12"/>
  <c r="K424" i="12"/>
  <c r="K423" i="12"/>
  <c r="K422" i="12"/>
  <c r="K421" i="12"/>
  <c r="K420" i="12"/>
  <c r="K419" i="12"/>
  <c r="K418" i="12"/>
  <c r="K417" i="12"/>
  <c r="K416" i="12"/>
  <c r="K415" i="12"/>
  <c r="K414" i="12"/>
  <c r="K413" i="12"/>
  <c r="K412" i="12"/>
  <c r="K411" i="12"/>
  <c r="K410" i="12"/>
  <c r="K409" i="12"/>
  <c r="K408" i="12"/>
  <c r="K407" i="12"/>
  <c r="K406" i="12"/>
  <c r="K405" i="12"/>
  <c r="K404" i="12"/>
  <c r="K403" i="12"/>
  <c r="K402" i="12"/>
  <c r="K401" i="12"/>
  <c r="K400" i="12"/>
  <c r="K399" i="12"/>
  <c r="K398" i="12"/>
  <c r="K397" i="12"/>
  <c r="K396" i="12"/>
  <c r="K395" i="12"/>
  <c r="K394" i="12"/>
  <c r="K393" i="12"/>
  <c r="K392" i="12"/>
  <c r="K391" i="12"/>
  <c r="K390" i="12"/>
  <c r="K389" i="12"/>
  <c r="K388" i="12"/>
  <c r="K387" i="12"/>
  <c r="K386" i="12"/>
  <c r="K385" i="12"/>
  <c r="K384" i="12"/>
  <c r="K383" i="12"/>
  <c r="K382" i="12"/>
  <c r="K381" i="12"/>
  <c r="K380" i="12"/>
  <c r="K379" i="12"/>
  <c r="K378" i="12"/>
  <c r="K377" i="12"/>
  <c r="K376" i="12"/>
  <c r="K375" i="12"/>
  <c r="K374" i="12"/>
  <c r="K373" i="12"/>
  <c r="K372" i="12"/>
  <c r="K371" i="12"/>
  <c r="K370" i="12"/>
  <c r="K369" i="12"/>
  <c r="K368" i="12"/>
  <c r="K367" i="12"/>
  <c r="K366" i="12"/>
  <c r="K365" i="12"/>
  <c r="K364" i="12"/>
  <c r="K363" i="12"/>
  <c r="K362" i="12"/>
  <c r="K361" i="12"/>
  <c r="K360" i="12"/>
  <c r="K359" i="12"/>
  <c r="K358" i="12"/>
  <c r="K357" i="12"/>
  <c r="K356" i="12"/>
  <c r="K355" i="12"/>
  <c r="K354" i="12"/>
  <c r="K353" i="12"/>
  <c r="K352" i="12"/>
  <c r="K351" i="12"/>
  <c r="K350" i="12"/>
  <c r="K349" i="12"/>
  <c r="K348" i="12"/>
  <c r="K347" i="12"/>
  <c r="K346" i="12"/>
  <c r="K345" i="12"/>
  <c r="K344" i="12"/>
  <c r="K343" i="12"/>
  <c r="K342" i="12"/>
  <c r="K341" i="12"/>
  <c r="K340" i="12"/>
  <c r="K339" i="12"/>
  <c r="K338" i="12"/>
  <c r="K337" i="12"/>
  <c r="K336" i="12"/>
  <c r="K335" i="12"/>
  <c r="K334" i="12"/>
  <c r="K333" i="12"/>
  <c r="K332" i="12"/>
  <c r="K331" i="12"/>
  <c r="K330" i="12"/>
  <c r="K329" i="12"/>
  <c r="K328" i="12"/>
  <c r="K327" i="12"/>
  <c r="K326" i="12"/>
  <c r="K325" i="12"/>
  <c r="K324" i="12"/>
  <c r="K323" i="12"/>
  <c r="K322" i="12"/>
  <c r="K321" i="12"/>
  <c r="K320" i="12"/>
  <c r="K319" i="12"/>
  <c r="K318" i="12"/>
  <c r="K317" i="12"/>
  <c r="K316" i="12"/>
  <c r="K315" i="12"/>
  <c r="K314" i="12"/>
  <c r="K313" i="12"/>
  <c r="K312" i="12"/>
  <c r="K311" i="12"/>
  <c r="K310" i="12"/>
  <c r="K309" i="12"/>
  <c r="K308" i="12"/>
  <c r="K307" i="12"/>
  <c r="K306" i="12"/>
  <c r="K305" i="12"/>
  <c r="K304" i="12"/>
  <c r="K303" i="12"/>
  <c r="K302" i="12"/>
  <c r="K301" i="12"/>
  <c r="K300" i="12"/>
  <c r="K299" i="12"/>
  <c r="K298" i="12"/>
  <c r="K297" i="12"/>
  <c r="K296" i="12"/>
  <c r="K295" i="12"/>
  <c r="K294" i="12"/>
  <c r="K293" i="12"/>
  <c r="K292" i="12"/>
  <c r="K291" i="12"/>
  <c r="K290" i="12"/>
  <c r="K289" i="12"/>
  <c r="K288" i="12"/>
  <c r="K287" i="12"/>
  <c r="K286" i="12"/>
  <c r="K285" i="12"/>
  <c r="K284" i="12"/>
  <c r="K283" i="12"/>
  <c r="K282" i="12"/>
  <c r="K281" i="12"/>
  <c r="K280" i="12"/>
  <c r="K279" i="12"/>
  <c r="K278" i="12"/>
  <c r="K277" i="12"/>
  <c r="K276" i="12"/>
  <c r="K275" i="12"/>
  <c r="K274" i="12"/>
  <c r="K273" i="12"/>
  <c r="K272" i="12"/>
  <c r="K271" i="12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K256" i="12"/>
  <c r="K255" i="12"/>
  <c r="K254" i="12"/>
  <c r="K253" i="12"/>
  <c r="K252" i="12"/>
  <c r="K251" i="12"/>
  <c r="K250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1" i="12" s="1"/>
  <c r="H1" i="10" l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1" i="1" l="1"/>
  <c r="D1" i="1"/>
</calcChain>
</file>

<file path=xl/sharedStrings.xml><?xml version="1.0" encoding="utf-8"?>
<sst xmlns="http://schemas.openxmlformats.org/spreadsheetml/2006/main" count="49971" uniqueCount="4733">
  <si>
    <t>Party Name</t>
  </si>
  <si>
    <t>Invoice #</t>
  </si>
  <si>
    <t>Invoice Date</t>
  </si>
  <si>
    <t>Balance Due</t>
  </si>
  <si>
    <t>911 Trucking LLC</t>
  </si>
  <si>
    <t>AGM Tools, Inc.</t>
  </si>
  <si>
    <t>All America Forwarding Inc</t>
  </si>
  <si>
    <t>IN-21463</t>
  </si>
  <si>
    <t>Aluguard</t>
  </si>
  <si>
    <t>KV20230519P01</t>
  </si>
  <si>
    <t>KV20230920P01</t>
  </si>
  <si>
    <t>KV20230922P1</t>
  </si>
  <si>
    <t>KV20231207P02</t>
  </si>
  <si>
    <t>KV20240508P01</t>
  </si>
  <si>
    <t>KV20231220P01</t>
  </si>
  <si>
    <t>AMY  ACT CO., LTD</t>
  </si>
  <si>
    <t>W-0616</t>
  </si>
  <si>
    <t>AN CUONG WOOD -WORKING JOINT STOCK COMPANY</t>
  </si>
  <si>
    <t>W-1113</t>
  </si>
  <si>
    <t>20241150</t>
  </si>
  <si>
    <t>W-1217</t>
  </si>
  <si>
    <t>W-1224</t>
  </si>
  <si>
    <t>PrePayment  - PO43452/SPS</t>
  </si>
  <si>
    <t>W-0303</t>
  </si>
  <si>
    <t>W-0527</t>
  </si>
  <si>
    <t>W-0602</t>
  </si>
  <si>
    <t>W-0620</t>
  </si>
  <si>
    <t>42961-invoice</t>
  </si>
  <si>
    <t>ANIDRIDEDESIGN</t>
  </si>
  <si>
    <t>1/2025</t>
  </si>
  <si>
    <t>Art is Love, LLC / Interia Hospitality</t>
  </si>
  <si>
    <t>43422-Invoice</t>
  </si>
  <si>
    <t>ARTLINE GROUP</t>
  </si>
  <si>
    <t>PrePayment  - PO1267/NetSuite</t>
  </si>
  <si>
    <t>ATLAS CONCORDE S.p.A</t>
  </si>
  <si>
    <t>54701/VE</t>
  </si>
  <si>
    <t>9197/VE</t>
  </si>
  <si>
    <t>9662/VE</t>
  </si>
  <si>
    <t>10039/VE</t>
  </si>
  <si>
    <t>12285/VE</t>
  </si>
  <si>
    <t>14086/VE</t>
  </si>
  <si>
    <t>16430/VE</t>
  </si>
  <si>
    <t>19718/VE</t>
  </si>
  <si>
    <t>19814/VE</t>
  </si>
  <si>
    <t>19839/VE</t>
  </si>
  <si>
    <t>20698/VE</t>
  </si>
  <si>
    <t>21629/VE</t>
  </si>
  <si>
    <t>22487/VE</t>
  </si>
  <si>
    <t>29975/VE</t>
  </si>
  <si>
    <t>ATLAS CONCORDE USA</t>
  </si>
  <si>
    <t>Beijing Topli Decorative Materials Co., LTD</t>
  </si>
  <si>
    <t>240412USA-254</t>
  </si>
  <si>
    <t>240919USA-714</t>
  </si>
  <si>
    <t>240923USA-725</t>
  </si>
  <si>
    <t>241024USA-832</t>
  </si>
  <si>
    <t>241024USA-836</t>
  </si>
  <si>
    <t>241115USA-919</t>
  </si>
  <si>
    <t>241120USA-938</t>
  </si>
  <si>
    <t>241115USA-925</t>
  </si>
  <si>
    <t>250331USA-225</t>
  </si>
  <si>
    <t>W-0409</t>
  </si>
  <si>
    <t>250605USA-411</t>
  </si>
  <si>
    <t>BusBot/Freedom Logistics (Denim)</t>
  </si>
  <si>
    <t>21927-788</t>
  </si>
  <si>
    <t>21927-1025</t>
  </si>
  <si>
    <t>C.H. Robinson Worldwide, Inc</t>
  </si>
  <si>
    <t>Cambodian Zulite Stone Co., Ltd.</t>
  </si>
  <si>
    <t>GV2024101</t>
  </si>
  <si>
    <t>GV2024001</t>
  </si>
  <si>
    <t>GV2024100-Balance</t>
  </si>
  <si>
    <t>GV2025003-Balance</t>
  </si>
  <si>
    <t>GV2025007</t>
  </si>
  <si>
    <t>GV2025009</t>
  </si>
  <si>
    <t>GV2025010</t>
  </si>
  <si>
    <t>GV2025011</t>
  </si>
  <si>
    <t>GV2025008</t>
  </si>
  <si>
    <t>GV2025014</t>
  </si>
  <si>
    <t>GV2025012-1&amp;2</t>
  </si>
  <si>
    <t>GV2025012-3&amp;4</t>
  </si>
  <si>
    <t>GV2025013</t>
  </si>
  <si>
    <t>GV2025017</t>
  </si>
  <si>
    <t>GV2025019</t>
  </si>
  <si>
    <t>CERAMICA REFIN SPA -ITALY</t>
  </si>
  <si>
    <t>31/VE</t>
  </si>
  <si>
    <t>4864/VE</t>
  </si>
  <si>
    <t>CM Hospitality</t>
  </si>
  <si>
    <t>Dal Tile</t>
  </si>
  <si>
    <t>W-0529</t>
  </si>
  <si>
    <t>Durkan Carpet</t>
  </si>
  <si>
    <t>32988 - Invoice</t>
  </si>
  <si>
    <t>Easy Stones</t>
  </si>
  <si>
    <t>EMIL AMERICA</t>
  </si>
  <si>
    <t>EQUIPE CERAMICAS</t>
  </si>
  <si>
    <t>F.B. STONES S.R.L.</t>
  </si>
  <si>
    <t>W-0530</t>
  </si>
  <si>
    <t>Fabricut Contract /S.Harris</t>
  </si>
  <si>
    <t>Fama</t>
  </si>
  <si>
    <t>22533248-E</t>
  </si>
  <si>
    <t>22533263-E</t>
  </si>
  <si>
    <t>22533488-E</t>
  </si>
  <si>
    <t>22533489-E</t>
  </si>
  <si>
    <t>22533845-E</t>
  </si>
  <si>
    <t>22534127-E</t>
  </si>
  <si>
    <t>Fenabel</t>
  </si>
  <si>
    <t>1 / 1552</t>
  </si>
  <si>
    <t>Fil Doux Textiles</t>
  </si>
  <si>
    <t>INV24801</t>
  </si>
  <si>
    <t>FPD SHPK</t>
  </si>
  <si>
    <t>26919 - Invoice</t>
  </si>
  <si>
    <t>GIBAM SHOPS SPA</t>
  </si>
  <si>
    <t>2022-FE-0000488</t>
  </si>
  <si>
    <t>2022-FE-0000590</t>
  </si>
  <si>
    <t>215, 216, 217, 218</t>
  </si>
  <si>
    <t>276, 277, 540, 541, 542, 543</t>
  </si>
  <si>
    <t>2023-FE-0000289</t>
  </si>
  <si>
    <t>2023-FE-0000325</t>
  </si>
  <si>
    <t>335, 342, 374, 550</t>
  </si>
  <si>
    <t>336, 341, 375, 378, 551</t>
  </si>
  <si>
    <t>337, 343, 376, 552</t>
  </si>
  <si>
    <t>2023-FE-0000353</t>
  </si>
  <si>
    <t>357, 358, 359</t>
  </si>
  <si>
    <t>2023-FE-0000360</t>
  </si>
  <si>
    <t>2023-FE-0000361</t>
  </si>
  <si>
    <t>2023-FE-0000362</t>
  </si>
  <si>
    <t>2023-FE-0000363</t>
  </si>
  <si>
    <t>2023-FE-0000371</t>
  </si>
  <si>
    <t>2023-FE-0000373</t>
  </si>
  <si>
    <t>397, 398, 401, 403, 405</t>
  </si>
  <si>
    <t>2023-FE-0000394</t>
  </si>
  <si>
    <t>2023-FE-0000395</t>
  </si>
  <si>
    <t>2023-FE-0000396</t>
  </si>
  <si>
    <t>400, 402, 404, 406, 410</t>
  </si>
  <si>
    <t>2023-FE-0000418</t>
  </si>
  <si>
    <t>2023-FE-0000420</t>
  </si>
  <si>
    <t>426,427,429, 431</t>
  </si>
  <si>
    <t>428, 430</t>
  </si>
  <si>
    <t>2023-FE-0000434</t>
  </si>
  <si>
    <t>365, 368, 370, 372, 460, 546</t>
  </si>
  <si>
    <t>366, 458, 547</t>
  </si>
  <si>
    <t>367, 369, 459, 461, 548</t>
  </si>
  <si>
    <t>2023-FE-0000438</t>
  </si>
  <si>
    <t>2023-FE-0000439</t>
  </si>
  <si>
    <t>2023-FE-0000441</t>
  </si>
  <si>
    <t>2023-FE-0000455</t>
  </si>
  <si>
    <t>2023-FE-0000456</t>
  </si>
  <si>
    <t>2023-FE-0000457</t>
  </si>
  <si>
    <t>421, 440</t>
  </si>
  <si>
    <t>442, 475</t>
  </si>
  <si>
    <t>465, 466</t>
  </si>
  <si>
    <t>2023-FE-0000474</t>
  </si>
  <si>
    <t>492, 488, 497, 501, 505</t>
  </si>
  <si>
    <t>489, 502, 506</t>
  </si>
  <si>
    <t>490, 493, 495, 503</t>
  </si>
  <si>
    <t>491, 494, 496, 504, 507</t>
  </si>
  <si>
    <t>2023-FE-0000514</t>
  </si>
  <si>
    <t>511, 512, 517, 520</t>
  </si>
  <si>
    <t>2023-FE-0000513</t>
  </si>
  <si>
    <t>2023-FE-0000515</t>
  </si>
  <si>
    <t>2023-FE-0000516</t>
  </si>
  <si>
    <t>518, 521</t>
  </si>
  <si>
    <t>522, 527, 537, 539</t>
  </si>
  <si>
    <t>2023-FE-0000531</t>
  </si>
  <si>
    <t>2023-FE-0000533</t>
  </si>
  <si>
    <t>2023-FE-0000535</t>
  </si>
  <si>
    <t>2023-FE-0000538</t>
  </si>
  <si>
    <t>2023-FE-0000544</t>
  </si>
  <si>
    <t>2023-FE-0000549</t>
  </si>
  <si>
    <t>2023-FE-0000553</t>
  </si>
  <si>
    <t>524, 525, 529, 532, 534</t>
  </si>
  <si>
    <t>530, 536</t>
  </si>
  <si>
    <t>554, 555, 556, 557, 558, 559, 566</t>
  </si>
  <si>
    <t>36065 - PI</t>
  </si>
  <si>
    <t>2023-FE-0000392</t>
  </si>
  <si>
    <t>2024-FE-0000001</t>
  </si>
  <si>
    <t>2024-FE-0000010</t>
  </si>
  <si>
    <t>16, 17, 18, 19</t>
  </si>
  <si>
    <t>2024-FE-0000025</t>
  </si>
  <si>
    <t>22, 23, 24, 26, 27</t>
  </si>
  <si>
    <t>2024-FE-0000037</t>
  </si>
  <si>
    <t>2024-FE-0000036</t>
  </si>
  <si>
    <t>2024-FE-0000035</t>
  </si>
  <si>
    <t>2024-FE-0000038</t>
  </si>
  <si>
    <t>39, 40, 41, 50, 56</t>
  </si>
  <si>
    <t>2024-FE-0000052, 88</t>
  </si>
  <si>
    <t>2024-FE-0000054</t>
  </si>
  <si>
    <t>2024-FE-0000053</t>
  </si>
  <si>
    <t>2024-FE-0000058</t>
  </si>
  <si>
    <t>59, 66, 67, 68</t>
  </si>
  <si>
    <t>2024-FE-0000062</t>
  </si>
  <si>
    <t>2024-FE-0000063</t>
  </si>
  <si>
    <t>2024-FE-0000069</t>
  </si>
  <si>
    <t>2024-FE-0000077,78</t>
  </si>
  <si>
    <t>2024-FE-0000074</t>
  </si>
  <si>
    <t>2024-FE-0000075</t>
  </si>
  <si>
    <t>71, 73, 76,  79, 89, 90, 91</t>
  </si>
  <si>
    <t>2024-FE-0000085</t>
  </si>
  <si>
    <t>2024-FE-0000084</t>
  </si>
  <si>
    <t>2024-FE-0000086</t>
  </si>
  <si>
    <t>2024-FE-0000082</t>
  </si>
  <si>
    <t>2024-FE-0000083</t>
  </si>
  <si>
    <t>2024-FE-0000081</t>
  </si>
  <si>
    <t>95, 96, 97</t>
  </si>
  <si>
    <t>118, 123, 124, 127, 128, 134, 135, 136, 196</t>
  </si>
  <si>
    <t>2023-FE-0000499</t>
  </si>
  <si>
    <t>2023-FE-0000509</t>
  </si>
  <si>
    <t>2023-FE-0000510</t>
  </si>
  <si>
    <t>180, 181, 187, 188, 189</t>
  </si>
  <si>
    <t>2024-FE-0000191</t>
  </si>
  <si>
    <t>194, 195</t>
  </si>
  <si>
    <t>2024-FE-0000197</t>
  </si>
  <si>
    <t>202, 203, 204, 205, 206, 207, 22</t>
  </si>
  <si>
    <t>222, 223, 224</t>
  </si>
  <si>
    <t>2024-FE-0000236</t>
  </si>
  <si>
    <t>2024-FE-0000238</t>
  </si>
  <si>
    <t>2024-FE-0000243</t>
  </si>
  <si>
    <t>2024-FE-0000244</t>
  </si>
  <si>
    <t>2024-FE-0000267</t>
  </si>
  <si>
    <t>2024-FE-0000266</t>
  </si>
  <si>
    <t>2024-FE-0000168</t>
  </si>
  <si>
    <t>2023-FE-0000364</t>
  </si>
  <si>
    <t>269, 270. 272, 311</t>
  </si>
  <si>
    <t>260, 261, 262, 271, 313</t>
  </si>
  <si>
    <t>2024-FE-0000264</t>
  </si>
  <si>
    <t>259, 263, 273, 274, 275, 276</t>
  </si>
  <si>
    <t>280, 281, 283, 285</t>
  </si>
  <si>
    <t>282, 284</t>
  </si>
  <si>
    <t>2024-FE-0000288</t>
  </si>
  <si>
    <t>291, 292</t>
  </si>
  <si>
    <t>300, 302, 304</t>
  </si>
  <si>
    <t>2024-FE-0000298</t>
  </si>
  <si>
    <t>2024-FE-0000297</t>
  </si>
  <si>
    <t>2024-FE-0000300</t>
  </si>
  <si>
    <t>299, 301, 303</t>
  </si>
  <si>
    <t>2024-FE-0000318</t>
  </si>
  <si>
    <t>2024-FE-0000310</t>
  </si>
  <si>
    <t>2024-FE-0000315</t>
  </si>
  <si>
    <t>2024-FE-0000316</t>
  </si>
  <si>
    <t>2024-FE-0000317</t>
  </si>
  <si>
    <t>2024-FE-0000319</t>
  </si>
  <si>
    <t>2024-FE-0000328</t>
  </si>
  <si>
    <t>2024-FE-0000329</t>
  </si>
  <si>
    <t>2024-FE-0000330</t>
  </si>
  <si>
    <t>2024-FE-0000331</t>
  </si>
  <si>
    <t>314, 327</t>
  </si>
  <si>
    <t>321, 323, 324, 332, 334, 336, 338</t>
  </si>
  <si>
    <t>333, 335, 337, 339</t>
  </si>
  <si>
    <t>2024-FE-0000358</t>
  </si>
  <si>
    <t>2024-FE-0000359</t>
  </si>
  <si>
    <t>2024-FE-0000360</t>
  </si>
  <si>
    <t>2024-FE-0000361</t>
  </si>
  <si>
    <t>2024-FE-0000362</t>
  </si>
  <si>
    <t>2024-FE-0000364</t>
  </si>
  <si>
    <t>2024-FE-0000365</t>
  </si>
  <si>
    <t>2024-FE-0000366</t>
  </si>
  <si>
    <t>2024-FE-0000371</t>
  </si>
  <si>
    <t>367, 368, 369</t>
  </si>
  <si>
    <t>2024-FE-0000390</t>
  </si>
  <si>
    <t>2024-FE-0000391</t>
  </si>
  <si>
    <t>2024-FE-0000389</t>
  </si>
  <si>
    <t>2024-FE-0000392</t>
  </si>
  <si>
    <t>394, 397</t>
  </si>
  <si>
    <t>2024-FE-0000395</t>
  </si>
  <si>
    <t>393, 396</t>
  </si>
  <si>
    <t>398, 399</t>
  </si>
  <si>
    <t>410, 420</t>
  </si>
  <si>
    <t>2024-FE-0000401</t>
  </si>
  <si>
    <t>2024-FE-0000402</t>
  </si>
  <si>
    <t>2024-FE-0000403</t>
  </si>
  <si>
    <t>2024-FE-0000404</t>
  </si>
  <si>
    <t>2024-FE-0000422</t>
  </si>
  <si>
    <t>418, 419</t>
  </si>
  <si>
    <t>2024-FE-0000423</t>
  </si>
  <si>
    <t>2024-FE-0000424</t>
  </si>
  <si>
    <t>411, 412, 426</t>
  </si>
  <si>
    <t>2024-FE-0000428, 430</t>
  </si>
  <si>
    <t>2024-FE-0000429, 431</t>
  </si>
  <si>
    <t>2024-FE-0000432</t>
  </si>
  <si>
    <t>433, 434, 435, 436, 437, 445, 446, 448, 450,453 , 454</t>
  </si>
  <si>
    <t>2024-FE-0000451</t>
  </si>
  <si>
    <t>2024-FE-0000455</t>
  </si>
  <si>
    <t>2024-FE-0000460</t>
  </si>
  <si>
    <t>2025-FE-0000005, 6 , 7</t>
  </si>
  <si>
    <t>2024-FE-0000421, 12</t>
  </si>
  <si>
    <t>2025-FE-0000013</t>
  </si>
  <si>
    <t>2025-FE-0000014</t>
  </si>
  <si>
    <t>2025-FE-0000015</t>
  </si>
  <si>
    <t>2025-FE-0000016</t>
  </si>
  <si>
    <t>2025-FE-0000017</t>
  </si>
  <si>
    <t>2025-FE-0000018</t>
  </si>
  <si>
    <t>2025-FE-0000019</t>
  </si>
  <si>
    <t>2025-FE-0000020</t>
  </si>
  <si>
    <t>2025-FE-0000021</t>
  </si>
  <si>
    <t>2025-FE-0000023</t>
  </si>
  <si>
    <t>2025-FE-0000031</t>
  </si>
  <si>
    <t>2025-FE-0000032</t>
  </si>
  <si>
    <t>2025-FE-0000034</t>
  </si>
  <si>
    <t>33, 37</t>
  </si>
  <si>
    <t>2025-FE-0000040</t>
  </si>
  <si>
    <t>2025-FE-0000041</t>
  </si>
  <si>
    <t>W-0509</t>
  </si>
  <si>
    <t>Graniti Fiandre Italy</t>
  </si>
  <si>
    <t>Graniti Vicentia</t>
  </si>
  <si>
    <t>GRANITI VICENTIA REALTY 2</t>
  </si>
  <si>
    <t>GREEN RIVER INTL INC</t>
  </si>
  <si>
    <t>SR410-2,SR410-4</t>
  </si>
  <si>
    <t>SR393-4,SR393-4S,SR410-3,</t>
  </si>
  <si>
    <t>GV Facades LLC</t>
  </si>
  <si>
    <t>Whitaker 04-29-2024 to 05-05-2024</t>
  </si>
  <si>
    <t>HWY6 05-27-2024 to 06-02-2024</t>
  </si>
  <si>
    <t>LQ Memphis Window Treatment 05-27-2024 to 06-02-2024</t>
  </si>
  <si>
    <t>The Eden 05-27-2024 to 06-02-2024</t>
  </si>
  <si>
    <t>Tribute-Element Carmel IN  FF&amp;E 05-27-2024 to 06-02-2024</t>
  </si>
  <si>
    <t>Wyndham Kingman AZ 05-27-2024 to 06-02-2024</t>
  </si>
  <si>
    <t>Residence Inn Fort Smith 08-19-2024 to 08-25-2024</t>
  </si>
  <si>
    <t>GSR 12-02-2024 to 12-08-2024</t>
  </si>
  <si>
    <t>HWY6 12-02-2024 to 12-08-2024</t>
  </si>
  <si>
    <t>GV TRANSFER</t>
  </si>
  <si>
    <t>Las Vegas Trade Show 1074 05-05-2025 to 05-11-2025</t>
  </si>
  <si>
    <t>Jonathan Ramirez HWY6 05-19-2025 to 05-25-2025</t>
  </si>
  <si>
    <t>335 8th St NY 05-26-2025 to 06-01-2025</t>
  </si>
  <si>
    <t>1430 Lincoln BLVD L.A 06-23-2025 to 06-29-2025</t>
  </si>
  <si>
    <t>HWY6 Fab Shop 06-23-2025 to 06-29-2025</t>
  </si>
  <si>
    <t>Sahara Las Vegas 06-23-2025 to 06-29-2025</t>
  </si>
  <si>
    <t>Urban Atelier Group LLC 06-23-2025 to 06-29-2025</t>
  </si>
  <si>
    <t>HARMONY HOSPITALITY CO LTD</t>
  </si>
  <si>
    <t>GV048,ctnr6</t>
  </si>
  <si>
    <t>GV048</t>
  </si>
  <si>
    <t>SR273-41</t>
  </si>
  <si>
    <t>SR273-41P2</t>
  </si>
  <si>
    <t>SR382-4</t>
  </si>
  <si>
    <t>SR382-4P2</t>
  </si>
  <si>
    <t>SR410-9</t>
  </si>
  <si>
    <t>SR434</t>
  </si>
  <si>
    <t>W-0617</t>
  </si>
  <si>
    <t>SR382-2P3</t>
  </si>
  <si>
    <t>SR393-10P2</t>
  </si>
  <si>
    <t>W-0623</t>
  </si>
  <si>
    <t>SR151-10</t>
  </si>
  <si>
    <t>SR395-5</t>
  </si>
  <si>
    <t>HD EXPO/Hunter Hotel Investment Conference,</t>
  </si>
  <si>
    <t>851642-2071</t>
  </si>
  <si>
    <t>HEBEI VINCENTAA SCULPTURE ENGINEER CO LTD</t>
  </si>
  <si>
    <t>DO24-00152</t>
  </si>
  <si>
    <t>Hilltop Stones Inc.</t>
  </si>
  <si>
    <t>W-0612</t>
  </si>
  <si>
    <t>HJ sink</t>
  </si>
  <si>
    <t>Hollywood Bed &amp; Spring Co.</t>
  </si>
  <si>
    <t>Home Depot</t>
  </si>
  <si>
    <t>H6105-313399</t>
  </si>
  <si>
    <t>H6140-255187</t>
  </si>
  <si>
    <t>Hotel Engine</t>
  </si>
  <si>
    <t>496386-2501</t>
  </si>
  <si>
    <t>496386-2502</t>
  </si>
  <si>
    <t>25069285668</t>
  </si>
  <si>
    <t>Indus Trade &amp; Technology</t>
  </si>
  <si>
    <t>W-0521</t>
  </si>
  <si>
    <t>INTERGLOBO(FREIGHT)</t>
  </si>
  <si>
    <t>GE/028223/2024</t>
  </si>
  <si>
    <t>GE/029931/2024</t>
  </si>
  <si>
    <t>GE/000126/2025</t>
  </si>
  <si>
    <t>GE/000127/2025</t>
  </si>
  <si>
    <t>ICB/000170/2025</t>
  </si>
  <si>
    <t>RLN00012/2025</t>
  </si>
  <si>
    <t>ICB/000313/2025</t>
  </si>
  <si>
    <t>ICB/000351/2025</t>
  </si>
  <si>
    <t>ICB/000352/2025</t>
  </si>
  <si>
    <t>GE/000665/2025</t>
  </si>
  <si>
    <t>GE/000694/2025</t>
  </si>
  <si>
    <t>ICB/000515/2025</t>
  </si>
  <si>
    <t>GE/001153/2025</t>
  </si>
  <si>
    <t>GE/001157/2025</t>
  </si>
  <si>
    <t>GE/001164/2025</t>
  </si>
  <si>
    <t>GE/001166/2025</t>
  </si>
  <si>
    <t>GE/002002/2025</t>
  </si>
  <si>
    <t>ICB/001106/2025</t>
  </si>
  <si>
    <t>GE/002502/2025</t>
  </si>
  <si>
    <t>GE/002628/2025</t>
  </si>
  <si>
    <t>ICB/001204/2025</t>
  </si>
  <si>
    <t>ICB/001536/2025</t>
  </si>
  <si>
    <t>GE/001504/2025</t>
  </si>
  <si>
    <t>ICB/002051/2025</t>
  </si>
  <si>
    <t>ICB/002054/2025</t>
  </si>
  <si>
    <t>ICB/002144/2025</t>
  </si>
  <si>
    <t>ICB/002152/2025</t>
  </si>
  <si>
    <t>GE/004632/2025</t>
  </si>
  <si>
    <t>GE/004649/2025</t>
  </si>
  <si>
    <t>ICB/002281/2025</t>
  </si>
  <si>
    <t>ICB/002350/2025</t>
  </si>
  <si>
    <t>GE/004927/2025</t>
  </si>
  <si>
    <t>ICB/002553/2025</t>
  </si>
  <si>
    <t>ICB/002651/2025</t>
  </si>
  <si>
    <t>ICB/002666/2025</t>
  </si>
  <si>
    <t>RLN000183/2025</t>
  </si>
  <si>
    <t>ICB/003352/2025</t>
  </si>
  <si>
    <t>ICB/003355/2025</t>
  </si>
  <si>
    <t>ICB/003414/2025</t>
  </si>
  <si>
    <t>ICB/003417/2025</t>
  </si>
  <si>
    <t>RLN000217/2025</t>
  </si>
  <si>
    <t>GE/016650/2025</t>
  </si>
  <si>
    <t>IGM0005992025</t>
  </si>
  <si>
    <t>IGM0006002025</t>
  </si>
  <si>
    <t>RLN0003622025</t>
  </si>
  <si>
    <t>RLN0003642025</t>
  </si>
  <si>
    <t>ICB/003962/2025</t>
  </si>
  <si>
    <t>RLN00418/2025</t>
  </si>
  <si>
    <t>RLN000422/2025</t>
  </si>
  <si>
    <t>RLN000423/2025</t>
  </si>
  <si>
    <t>RLN00422/2025</t>
  </si>
  <si>
    <t>RLN00423/2025</t>
  </si>
  <si>
    <t>ICB/006985/2025</t>
  </si>
  <si>
    <t>ICB/009186/2025</t>
  </si>
  <si>
    <t>ICB/009188/2025</t>
  </si>
  <si>
    <t>ICB/009254/2025</t>
  </si>
  <si>
    <t>ICB/009255/2025</t>
  </si>
  <si>
    <t>ICB/009256/2025</t>
  </si>
  <si>
    <t>ICB/009257/2025</t>
  </si>
  <si>
    <t>ICB/009258/2025</t>
  </si>
  <si>
    <t>ICB/009259/2025</t>
  </si>
  <si>
    <t>ICB/009260/2025</t>
  </si>
  <si>
    <t>ICB/009947/2025</t>
  </si>
  <si>
    <t>ICB/010420/2025</t>
  </si>
  <si>
    <t>Jaipur Rugs SRL</t>
  </si>
  <si>
    <t>Jasfer Industry Co., Limited</t>
  </si>
  <si>
    <t>22JS010701</t>
  </si>
  <si>
    <t>23JSF10001</t>
  </si>
  <si>
    <t>23JSF08019</t>
  </si>
  <si>
    <t>23JSF10033</t>
  </si>
  <si>
    <t>24JSF03048</t>
  </si>
  <si>
    <t>34188 - PI</t>
  </si>
  <si>
    <t>35261 - PI</t>
  </si>
  <si>
    <t>35455 - PI</t>
  </si>
  <si>
    <t>35950 - PI</t>
  </si>
  <si>
    <t>23JSF08031</t>
  </si>
  <si>
    <t>23JSF11029</t>
  </si>
  <si>
    <t>23BDL05029</t>
  </si>
  <si>
    <t>24JS011901 - PI</t>
  </si>
  <si>
    <t>23JSF04044</t>
  </si>
  <si>
    <t>23BL092801</t>
  </si>
  <si>
    <t xml:space="preserve">PrePayment  - </t>
  </si>
  <si>
    <t>20240307  -PI</t>
  </si>
  <si>
    <t>24JSF03035 - PI</t>
  </si>
  <si>
    <t>23JS120407</t>
  </si>
  <si>
    <t>23JSF11005</t>
  </si>
  <si>
    <t>24JSF01009</t>
  </si>
  <si>
    <t>23RT120101</t>
  </si>
  <si>
    <t>24JSF03029</t>
  </si>
  <si>
    <t>W-0429</t>
  </si>
  <si>
    <t>24JSF04107 (R002)</t>
  </si>
  <si>
    <t>24JSF04108-A (R002) - PI</t>
  </si>
  <si>
    <t>24JSF04108-B (R002) - PI</t>
  </si>
  <si>
    <t>24JSF04108-C (R002)</t>
  </si>
  <si>
    <t>24JSF04106-A (R002)</t>
  </si>
  <si>
    <t>23JS100503</t>
  </si>
  <si>
    <t>23JSF10017</t>
  </si>
  <si>
    <t>39227-PI</t>
  </si>
  <si>
    <t>24JSF05019</t>
  </si>
  <si>
    <t>W-0618 $105602.53</t>
  </si>
  <si>
    <t>35902 - PI</t>
  </si>
  <si>
    <t>24JS010303 23GBCI392</t>
  </si>
  <si>
    <t>PrePayment  - PO34677/SPS</t>
  </si>
  <si>
    <t>PrePayment  - PO33742/SPS</t>
  </si>
  <si>
    <t>PrePayment  - PO38987/SPS</t>
  </si>
  <si>
    <t>24JSF06012</t>
  </si>
  <si>
    <t>WHGV2406 -1</t>
  </si>
  <si>
    <t>24JSF05009</t>
  </si>
  <si>
    <t>24JSF05010</t>
  </si>
  <si>
    <t>24JSF05040</t>
  </si>
  <si>
    <t>24JSF07027</t>
  </si>
  <si>
    <t>23RT122103</t>
  </si>
  <si>
    <t>24JSF05005</t>
  </si>
  <si>
    <t>24JSF07007</t>
  </si>
  <si>
    <t>24JSF07026</t>
  </si>
  <si>
    <t>AG-GRVG-RZ231015</t>
  </si>
  <si>
    <t>24JSF06042</t>
  </si>
  <si>
    <t>24JSF07071</t>
  </si>
  <si>
    <t>23RT110301</t>
  </si>
  <si>
    <t>24RT041801</t>
  </si>
  <si>
    <t>24JSF05041</t>
  </si>
  <si>
    <t>24JSF08034</t>
  </si>
  <si>
    <t>24JSF09040</t>
  </si>
  <si>
    <t>24JSF09049</t>
  </si>
  <si>
    <t>24JSF08003</t>
  </si>
  <si>
    <t>24JSF08026A</t>
  </si>
  <si>
    <t>24JSF08041</t>
  </si>
  <si>
    <t>24BL060401</t>
  </si>
  <si>
    <t>24JS082101</t>
  </si>
  <si>
    <t>24RT052801</t>
  </si>
  <si>
    <t>24RT082701</t>
  </si>
  <si>
    <t>24RT082801</t>
  </si>
  <si>
    <t>24JSF02004</t>
  </si>
  <si>
    <t>24JSF06001</t>
  </si>
  <si>
    <t>24JSF08032</t>
  </si>
  <si>
    <t>24JSF05006</t>
  </si>
  <si>
    <t>W-1008</t>
  </si>
  <si>
    <t>24JSF06028</t>
  </si>
  <si>
    <t>24JSF07049</t>
  </si>
  <si>
    <t>24JSF07075</t>
  </si>
  <si>
    <t>24RT071603</t>
  </si>
  <si>
    <t>24JSF-MT0601</t>
  </si>
  <si>
    <t>24JSF08065</t>
  </si>
  <si>
    <t>24JSF07062</t>
  </si>
  <si>
    <t>24JSF07063</t>
  </si>
  <si>
    <t>24BL070202</t>
  </si>
  <si>
    <t>24JSF08056</t>
  </si>
  <si>
    <t>24RT051102</t>
  </si>
  <si>
    <t>24RT070601</t>
  </si>
  <si>
    <t>W-1104</t>
  </si>
  <si>
    <t>24JSF10019</t>
  </si>
  <si>
    <t>24JSF09018</t>
  </si>
  <si>
    <t>24JS090201</t>
  </si>
  <si>
    <t>24JSF06102</t>
  </si>
  <si>
    <t>24JSF08069</t>
  </si>
  <si>
    <t>24JSF11068</t>
  </si>
  <si>
    <t>24JSF08023</t>
  </si>
  <si>
    <t>24RT101905</t>
  </si>
  <si>
    <t>24JSF07060</t>
  </si>
  <si>
    <t>24BL092301</t>
  </si>
  <si>
    <t>24JS090403</t>
  </si>
  <si>
    <t>W-1204</t>
  </si>
  <si>
    <t>24JS080904</t>
  </si>
  <si>
    <t>24RT052204</t>
  </si>
  <si>
    <t>24JS083002</t>
  </si>
  <si>
    <t>24JSF09010</t>
  </si>
  <si>
    <t>24JS110405</t>
  </si>
  <si>
    <t>24JSF07024</t>
  </si>
  <si>
    <t>24JSF08020</t>
  </si>
  <si>
    <t>24JSF08029</t>
  </si>
  <si>
    <t>24JSF09055</t>
  </si>
  <si>
    <t>W-0103</t>
  </si>
  <si>
    <t>24JSF12050</t>
  </si>
  <si>
    <t>24JS110401</t>
  </si>
  <si>
    <t>24JSF10027</t>
  </si>
  <si>
    <t>W-0109</t>
  </si>
  <si>
    <t>24JSF08070</t>
  </si>
  <si>
    <t>WHGV2409-1</t>
  </si>
  <si>
    <t>24JSF02010</t>
  </si>
  <si>
    <t>W-0117</t>
  </si>
  <si>
    <t>24BL123001</t>
  </si>
  <si>
    <t>25JSF01021</t>
  </si>
  <si>
    <t>24JSF08001</t>
  </si>
  <si>
    <t>24JSF08051</t>
  </si>
  <si>
    <t>24JSF12032</t>
  </si>
  <si>
    <t>24JS111306</t>
  </si>
  <si>
    <t>24JSF04008</t>
  </si>
  <si>
    <t>24JSF11008</t>
  </si>
  <si>
    <t>24JSF11009</t>
  </si>
  <si>
    <t>24JSF12046</t>
  </si>
  <si>
    <t>24RT092505</t>
  </si>
  <si>
    <t>24JS112001</t>
  </si>
  <si>
    <t>24JSF10056</t>
  </si>
  <si>
    <t>24JSF11004</t>
  </si>
  <si>
    <t>24JSF12008</t>
  </si>
  <si>
    <t>W-0124</t>
  </si>
  <si>
    <t>25JSF01004</t>
  </si>
  <si>
    <t>24JSF07044</t>
  </si>
  <si>
    <t>24JSF10039</t>
  </si>
  <si>
    <t>24BL110706</t>
  </si>
  <si>
    <t>24JSF08073</t>
  </si>
  <si>
    <t>24RT10051</t>
  </si>
  <si>
    <t>24BL111011</t>
  </si>
  <si>
    <t>24BL111108</t>
  </si>
  <si>
    <t>24JS111903</t>
  </si>
  <si>
    <t>25JS02701</t>
  </si>
  <si>
    <t>25JSF02018</t>
  </si>
  <si>
    <t>W-0402</t>
  </si>
  <si>
    <t>W-0414</t>
  </si>
  <si>
    <t>25JSF03092</t>
  </si>
  <si>
    <t>W-0422</t>
  </si>
  <si>
    <t>25JSF03107</t>
  </si>
  <si>
    <t>25BL031501</t>
  </si>
  <si>
    <t>24BL022901</t>
  </si>
  <si>
    <t>W-0506</t>
  </si>
  <si>
    <t>W-0508</t>
  </si>
  <si>
    <t>24RT111401</t>
  </si>
  <si>
    <t>24JS121102</t>
  </si>
  <si>
    <t>24RT112802</t>
  </si>
  <si>
    <t>INVOICE  NO.:25BL012401</t>
  </si>
  <si>
    <t>INVOICE  NO.:25RT030503</t>
  </si>
  <si>
    <t>PI NO.:24JS121601</t>
  </si>
  <si>
    <t>24JS111408</t>
  </si>
  <si>
    <t>25RT021301</t>
  </si>
  <si>
    <t>24BL123005</t>
  </si>
  <si>
    <t>25JSF01022</t>
  </si>
  <si>
    <t>25JS040601</t>
  </si>
  <si>
    <t>25BL040802</t>
  </si>
  <si>
    <t>25JSF03038</t>
  </si>
  <si>
    <t>25JSF03064</t>
  </si>
  <si>
    <t>25JS02135</t>
  </si>
  <si>
    <t>25BL041601</t>
  </si>
  <si>
    <t>25BL031204</t>
  </si>
  <si>
    <t>25JS011601</t>
  </si>
  <si>
    <t>25JSF03067</t>
  </si>
  <si>
    <t>25BL040401</t>
  </si>
  <si>
    <t>24JSF11060</t>
  </si>
  <si>
    <t>25JSF03200</t>
  </si>
  <si>
    <t>25BL030705</t>
  </si>
  <si>
    <t>24RT103106</t>
  </si>
  <si>
    <t>24JS112601</t>
  </si>
  <si>
    <t>24JS121106</t>
  </si>
  <si>
    <t>24JSF11024</t>
  </si>
  <si>
    <t>24JSF11028</t>
  </si>
  <si>
    <t>25BL011605</t>
  </si>
  <si>
    <t>25BL020701</t>
  </si>
  <si>
    <t>25BL021302</t>
  </si>
  <si>
    <t>25BL030704</t>
  </si>
  <si>
    <t>25RT022002</t>
  </si>
  <si>
    <t>25RT040202</t>
  </si>
  <si>
    <t>25JSF03209</t>
  </si>
  <si>
    <t>24JSF11039</t>
  </si>
  <si>
    <t>25JSF01051</t>
  </si>
  <si>
    <t>W-0522</t>
  </si>
  <si>
    <t>25JSF050241</t>
  </si>
  <si>
    <t>24JSF11061</t>
  </si>
  <si>
    <t>24BL010601</t>
  </si>
  <si>
    <t>24BL120402</t>
  </si>
  <si>
    <t>25JSF01055</t>
  </si>
  <si>
    <t>25JSF04038</t>
  </si>
  <si>
    <t>25RT021202</t>
  </si>
  <si>
    <t>25JSF02008</t>
  </si>
  <si>
    <t>25RT010901</t>
  </si>
  <si>
    <t>25JSF02017</t>
  </si>
  <si>
    <t>25JS020701</t>
  </si>
  <si>
    <t>25JS011606</t>
  </si>
  <si>
    <t>25JS012001</t>
  </si>
  <si>
    <t>25JSF03053</t>
  </si>
  <si>
    <t>25JSF01031</t>
  </si>
  <si>
    <t>24JSF08043</t>
  </si>
  <si>
    <t>24JSF04042</t>
  </si>
  <si>
    <t>24JSF11059</t>
  </si>
  <si>
    <t>25BL021201</t>
  </si>
  <si>
    <t>25BL021202</t>
  </si>
  <si>
    <t>24AG552GRV-V</t>
  </si>
  <si>
    <t>25JS032502</t>
  </si>
  <si>
    <t>25JSF02006</t>
  </si>
  <si>
    <t>24JSF12036</t>
  </si>
  <si>
    <t>25JSF02016</t>
  </si>
  <si>
    <t>25JSF01016</t>
  </si>
  <si>
    <t>25JS032703</t>
  </si>
  <si>
    <t>24JSF12017</t>
  </si>
  <si>
    <t>24JSF12037</t>
  </si>
  <si>
    <t>24JS092501</t>
  </si>
  <si>
    <t>24JS101601</t>
  </si>
  <si>
    <t>24JS120607</t>
  </si>
  <si>
    <t>24JSF10073</t>
  </si>
  <si>
    <t>25JSF01010</t>
  </si>
  <si>
    <t>25BL022701</t>
  </si>
  <si>
    <t>24BL112004</t>
  </si>
  <si>
    <t>25JSF02070</t>
  </si>
  <si>
    <t>25BL030706</t>
  </si>
  <si>
    <t>24JS112003</t>
  </si>
  <si>
    <t>24JS121201</t>
  </si>
  <si>
    <t>25RT032501</t>
  </si>
  <si>
    <t>25GB0073</t>
  </si>
  <si>
    <t>24JS110705</t>
  </si>
  <si>
    <t>W-0610</t>
  </si>
  <si>
    <t>25JS010401</t>
  </si>
  <si>
    <t>25JSF01041</t>
  </si>
  <si>
    <t>25JS032705</t>
  </si>
  <si>
    <t>25BL042101</t>
  </si>
  <si>
    <t>25JSF03217</t>
  </si>
  <si>
    <t>25JSF04010</t>
  </si>
  <si>
    <t>25JSF04047</t>
  </si>
  <si>
    <t>24RT090901</t>
  </si>
  <si>
    <t>24JSF12014</t>
  </si>
  <si>
    <t>25RT02201</t>
  </si>
  <si>
    <t>25RT030502</t>
  </si>
  <si>
    <t>25RT030706</t>
  </si>
  <si>
    <t>25RT04010</t>
  </si>
  <si>
    <t>25JSF01007</t>
  </si>
  <si>
    <t>25JSF05069</t>
  </si>
  <si>
    <t>36587 - Invoice</t>
  </si>
  <si>
    <t>40329 - Invoice</t>
  </si>
  <si>
    <t>36505 - Invoice</t>
  </si>
  <si>
    <t>24RT111401-1</t>
  </si>
  <si>
    <t>37618 - Invoice</t>
  </si>
  <si>
    <t>42446-invoice</t>
  </si>
  <si>
    <t>Juniper Design Group</t>
  </si>
  <si>
    <t>W-0415</t>
  </si>
  <si>
    <t>Koby Singletary</t>
  </si>
  <si>
    <t>SZPECM146501</t>
  </si>
  <si>
    <t>SZPECY797601</t>
  </si>
  <si>
    <t>SZPM04241100</t>
  </si>
  <si>
    <t>SZPM58410300</t>
  </si>
  <si>
    <t>SZPM73195300</t>
  </si>
  <si>
    <t>USW2520549D01</t>
  </si>
  <si>
    <t>K.Singletary Reimbursable</t>
  </si>
  <si>
    <t>KRONOS CERAMICHE</t>
  </si>
  <si>
    <t>W-0625</t>
  </si>
  <si>
    <t>Kuartz Surfaces &amp; Kitchens</t>
  </si>
  <si>
    <t>K2808</t>
  </si>
  <si>
    <t>K2926</t>
  </si>
  <si>
    <t>Lift Service Now</t>
  </si>
  <si>
    <t>Luis Hernandez</t>
  </si>
  <si>
    <t>MAERSK LINE</t>
  </si>
  <si>
    <t>duplicate payment/credit</t>
  </si>
  <si>
    <t>Marmite Sp. z o.o - Poland</t>
  </si>
  <si>
    <t>Marvelous Surfaces</t>
  </si>
  <si>
    <t>Projects-2024</t>
  </si>
  <si>
    <t>MASOMEX GLOBAL</t>
  </si>
  <si>
    <t>MMG/2024-25/10</t>
  </si>
  <si>
    <t>W-0220</t>
  </si>
  <si>
    <t>24/09</t>
  </si>
  <si>
    <t>MDC Wallcovering</t>
  </si>
  <si>
    <t>Mediterranean Shipping Company MSC</t>
  </si>
  <si>
    <t>credit from overpayment</t>
  </si>
  <si>
    <t>MELLOWLAND FURNISHING INC</t>
  </si>
  <si>
    <t>W-0811</t>
  </si>
  <si>
    <t>W-0817</t>
  </si>
  <si>
    <t>W-0116</t>
  </si>
  <si>
    <t>32045 - Invoice</t>
  </si>
  <si>
    <t>32541 - Invoice</t>
  </si>
  <si>
    <t>Midstream &amp; Terminal</t>
  </si>
  <si>
    <t>MileStone Florim USA, Inc.</t>
  </si>
  <si>
    <t>90457176 - 60294</t>
  </si>
  <si>
    <t>Milliken</t>
  </si>
  <si>
    <t>PrePayment  - PO60188</t>
  </si>
  <si>
    <t>Mirage Granito Ceramico S.p.A.</t>
  </si>
  <si>
    <t>25336/VE</t>
  </si>
  <si>
    <t>30934/VE</t>
  </si>
  <si>
    <t>45453/VE</t>
  </si>
  <si>
    <t>48449/VE</t>
  </si>
  <si>
    <t>266/VE</t>
  </si>
  <si>
    <t>1200/VE</t>
  </si>
  <si>
    <t>6262/VE</t>
  </si>
  <si>
    <t>7130/VE</t>
  </si>
  <si>
    <t>7266/VE</t>
  </si>
  <si>
    <t>7302/VE</t>
  </si>
  <si>
    <t>8906/VE</t>
  </si>
  <si>
    <t>9937/VE</t>
  </si>
  <si>
    <t>15341/VE</t>
  </si>
  <si>
    <t>15364/VE</t>
  </si>
  <si>
    <t>19542/VE</t>
  </si>
  <si>
    <t>21576/VE</t>
  </si>
  <si>
    <t>24874/VE</t>
  </si>
  <si>
    <t>24905/VE</t>
  </si>
  <si>
    <t>24802/VE</t>
  </si>
  <si>
    <t>Modular Shower Walls</t>
  </si>
  <si>
    <t>S020359</t>
  </si>
  <si>
    <t>S020448</t>
  </si>
  <si>
    <t>S020537</t>
  </si>
  <si>
    <t>S020365</t>
  </si>
  <si>
    <t>S020971</t>
  </si>
  <si>
    <t>S020972</t>
  </si>
  <si>
    <t>S020973</t>
  </si>
  <si>
    <t>S020974-RPL</t>
  </si>
  <si>
    <t>S020975</t>
  </si>
  <si>
    <t>S021038</t>
  </si>
  <si>
    <t>S021063</t>
  </si>
  <si>
    <t>S021064</t>
  </si>
  <si>
    <t>S021076</t>
  </si>
  <si>
    <t>S021121</t>
  </si>
  <si>
    <t>S021134</t>
  </si>
  <si>
    <t>S021137</t>
  </si>
  <si>
    <t>S021152</t>
  </si>
  <si>
    <t>S021153</t>
  </si>
  <si>
    <t>S021191</t>
  </si>
  <si>
    <t>S021249</t>
  </si>
  <si>
    <t>S021254</t>
  </si>
  <si>
    <t>S021275</t>
  </si>
  <si>
    <t>S021295</t>
  </si>
  <si>
    <t>S021470</t>
  </si>
  <si>
    <t>S021471</t>
  </si>
  <si>
    <t>1374e7d1-71a0-443a-bf70-5277a700ce9a</t>
  </si>
  <si>
    <t>b0d91988-30ee-432a-8a79-2bb9d511fec8</t>
  </si>
  <si>
    <t>Modular Vanity tops &amp; Bases</t>
  </si>
  <si>
    <t>Momentum Group</t>
  </si>
  <si>
    <t>824013041 - PF</t>
  </si>
  <si>
    <t>W-0403</t>
  </si>
  <si>
    <t>PrePayment  - PO1258/NetSuite</t>
  </si>
  <si>
    <t>W-0513</t>
  </si>
  <si>
    <t>W-0604</t>
  </si>
  <si>
    <t>W-0609</t>
  </si>
  <si>
    <t>Monster displays</t>
  </si>
  <si>
    <t>PrePayment  - PO45773/NetSuite</t>
  </si>
  <si>
    <t>PrePayment  - PO60080/NetSuite</t>
  </si>
  <si>
    <t>MS International, Inc.</t>
  </si>
  <si>
    <t>1118352890-IN</t>
  </si>
  <si>
    <t>Muraspec Decorative Solutions Limited/Barclays</t>
  </si>
  <si>
    <t>W11262024</t>
  </si>
  <si>
    <t>MW Logistics, LLC</t>
  </si>
  <si>
    <t>National Wallcovering</t>
  </si>
  <si>
    <t>PrePayment  - PO60620/NetSuite</t>
  </si>
  <si>
    <t>Natucer Ceramica</t>
  </si>
  <si>
    <t>E/301</t>
  </si>
  <si>
    <t>37810B</t>
  </si>
  <si>
    <t>E/201</t>
  </si>
  <si>
    <t>OCEAN NETWORK EXPRESS</t>
  </si>
  <si>
    <t>USN323264</t>
  </si>
  <si>
    <t>Orient Overseas Container line LTD / OOCL (USA) INC.</t>
  </si>
  <si>
    <t>12/18/2024</t>
  </si>
  <si>
    <t>Oriental Weavers International Egypt</t>
  </si>
  <si>
    <t>PADRON FLOORING &amp; DESIGN CENTER</t>
  </si>
  <si>
    <t>W-0606</t>
  </si>
  <si>
    <t>Pantarei</t>
  </si>
  <si>
    <t>W-0207 $234,289.27</t>
  </si>
  <si>
    <t>W-0215 $140,370.71</t>
  </si>
  <si>
    <t>W-06142024</t>
  </si>
  <si>
    <t>W-0710</t>
  </si>
  <si>
    <t>W-0719</t>
  </si>
  <si>
    <t>PrePayment  - PO36504/SPS</t>
  </si>
  <si>
    <t>W-0920</t>
  </si>
  <si>
    <t>39946 - Invoice</t>
  </si>
  <si>
    <t>35216 - Invoice</t>
  </si>
  <si>
    <t>Papatya</t>
  </si>
  <si>
    <t>W-06072024</t>
  </si>
  <si>
    <t>W-06122024</t>
  </si>
  <si>
    <t>Paycargo</t>
  </si>
  <si>
    <t>PIERMARIA NEW FORM SRL</t>
  </si>
  <si>
    <t>W-0212</t>
  </si>
  <si>
    <t>Quartz America</t>
  </si>
  <si>
    <t>PrePayment  - PO60012/NetSuite</t>
  </si>
  <si>
    <t>Ramon Garcia Mexico</t>
  </si>
  <si>
    <t>A2023 237</t>
  </si>
  <si>
    <t>A2023 2</t>
  </si>
  <si>
    <t>RAYTOP INDUSTRY CO.,LTD</t>
  </si>
  <si>
    <t>W-0316</t>
  </si>
  <si>
    <t>W-0408</t>
  </si>
  <si>
    <t>W-0824</t>
  </si>
  <si>
    <t>W-0229</t>
  </si>
  <si>
    <t>RICHWOOD HOSPITALITY CO LTD</t>
  </si>
  <si>
    <t>SR411-6</t>
  </si>
  <si>
    <t>W-0710 $121,645.48</t>
  </si>
  <si>
    <t>SR262-04P,SR262-3</t>
  </si>
  <si>
    <t>PrePayment  - PO43955/SPS</t>
  </si>
  <si>
    <t>W-1030</t>
  </si>
  <si>
    <t>W-1108</t>
  </si>
  <si>
    <t>W-1118</t>
  </si>
  <si>
    <t>W-1219</t>
  </si>
  <si>
    <t>PrePayment  - PO1262/NetSuite</t>
  </si>
  <si>
    <t>W-0108</t>
  </si>
  <si>
    <t>W-0113</t>
  </si>
  <si>
    <t>SR431</t>
  </si>
  <si>
    <t>GV047</t>
  </si>
  <si>
    <t>SR151-9</t>
  </si>
  <si>
    <t>W-0205</t>
  </si>
  <si>
    <t>SR382-2P1</t>
  </si>
  <si>
    <t>W-0307</t>
  </si>
  <si>
    <t>W-0318</t>
  </si>
  <si>
    <t>W-0320</t>
  </si>
  <si>
    <t>SR307-2,cntr3</t>
  </si>
  <si>
    <t>SR307-2,cntr4,5,6</t>
  </si>
  <si>
    <t>W-0407</t>
  </si>
  <si>
    <t>SR307-7,SR425</t>
  </si>
  <si>
    <t>ocean freight cost SR411-14P2</t>
  </si>
  <si>
    <t>SR173-5C,SR173-5K,SR382-3</t>
  </si>
  <si>
    <t>SR307-2</t>
  </si>
  <si>
    <t>W-0514</t>
  </si>
  <si>
    <t>SR173-5K</t>
  </si>
  <si>
    <t>SR407-13</t>
  </si>
  <si>
    <t>GV048,cntr3</t>
  </si>
  <si>
    <t>SR405-3P</t>
  </si>
  <si>
    <t>W-0523</t>
  </si>
  <si>
    <t>SR273-52</t>
  </si>
  <si>
    <t>W-0206</t>
  </si>
  <si>
    <t>W-0618</t>
  </si>
  <si>
    <t>SR273-35_2nd-1</t>
  </si>
  <si>
    <t>SR405-2</t>
  </si>
  <si>
    <t>SR407-5</t>
  </si>
  <si>
    <t>SR411-5P2</t>
  </si>
  <si>
    <t>SANTA ROSA MARBLE</t>
  </si>
  <si>
    <t>Shaw Industries Inc.  Patcraft</t>
  </si>
  <si>
    <t>W-0621</t>
  </si>
  <si>
    <t>Shaw Integrated Solutions</t>
  </si>
  <si>
    <t>Shenzhen Double Building Materials Co., Ltd.</t>
  </si>
  <si>
    <t>W-1126</t>
  </si>
  <si>
    <t>SICIS THE ART FACTORY</t>
  </si>
  <si>
    <t>SI178092</t>
  </si>
  <si>
    <t>Signature Flooring</t>
  </si>
  <si>
    <t>N-1143438</t>
  </si>
  <si>
    <t>Sponge Cushion Inc.</t>
  </si>
  <si>
    <t>3024504</t>
  </si>
  <si>
    <t>Sponge Cushion/L &amp; p Financial Serv</t>
  </si>
  <si>
    <t>PrePayment  - PO592/NetSuite</t>
  </si>
  <si>
    <t>STG Logistics</t>
  </si>
  <si>
    <t>StonePeak Ceramics Inc-30593</t>
  </si>
  <si>
    <t>PrePayment  - PO43225/SPS</t>
  </si>
  <si>
    <t>SUNTECK TRANSPORT</t>
  </si>
  <si>
    <t>100000384743M</t>
  </si>
  <si>
    <t>14544120</t>
  </si>
  <si>
    <t>Tarkett</t>
  </si>
  <si>
    <t>PrePayment  - PO42793/SPS</t>
  </si>
  <si>
    <t>W-0423</t>
  </si>
  <si>
    <t>TM Leader Contract</t>
  </si>
  <si>
    <t>PrePayment  - PO45776/NetSuite</t>
  </si>
  <si>
    <t>TransCeramica-4042</t>
  </si>
  <si>
    <t>Truist Card Services</t>
  </si>
  <si>
    <t>Y21I1DWV-hotel</t>
  </si>
  <si>
    <t>U.S. CUSTOMS AND BORDER PROTECTION</t>
  </si>
  <si>
    <t>0614834-1</t>
  </si>
  <si>
    <t>0616589-9</t>
  </si>
  <si>
    <t>0614835-8</t>
  </si>
  <si>
    <t>0614730-1</t>
  </si>
  <si>
    <t>0587014-8</t>
  </si>
  <si>
    <t>0587016-3</t>
  </si>
  <si>
    <t>0587015-5</t>
  </si>
  <si>
    <t>0587023-9</t>
  </si>
  <si>
    <t>0616587-3</t>
  </si>
  <si>
    <t>3/24/2025</t>
  </si>
  <si>
    <t>0587015-5 &amp; 0587016-3</t>
  </si>
  <si>
    <t>0618535-01</t>
  </si>
  <si>
    <t>EKH-0898744-1</t>
  </si>
  <si>
    <t>0587014-8 &amp; 0587023-9</t>
  </si>
  <si>
    <t>EKH-1006587-1</t>
  </si>
  <si>
    <t>0624426-4</t>
  </si>
  <si>
    <t>06/24/2025</t>
  </si>
  <si>
    <t>U.S. Vinyl</t>
  </si>
  <si>
    <t>39753 - pi</t>
  </si>
  <si>
    <t>U.S. Vinyl Manufacturing</t>
  </si>
  <si>
    <t>PrePayment  - PO60195/NetSuite</t>
  </si>
  <si>
    <t>PrePayment  - PO60028/NetSuite</t>
  </si>
  <si>
    <t>PrePayment  - PO60340/NetSuite</t>
  </si>
  <si>
    <t>Uline</t>
  </si>
  <si>
    <t>Uniik Design Solutions</t>
  </si>
  <si>
    <t>Unite Oak International,Inc.</t>
  </si>
  <si>
    <t>UNITED CARGO EXPRESS</t>
  </si>
  <si>
    <t>United Rentals</t>
  </si>
  <si>
    <t>VEI MAY WOODEN APPLIANCES COMPANY LIMITED</t>
  </si>
  <si>
    <t>SR411-9_4th</t>
  </si>
  <si>
    <t>Wall &amp; Deco</t>
  </si>
  <si>
    <t>Wells Fargo Equipment Finance Manufacturer Services Group</t>
  </si>
  <si>
    <t>5034680910</t>
  </si>
  <si>
    <t>WILSONART LLC</t>
  </si>
  <si>
    <t>PrePayment  - PO60078/NetSuite</t>
  </si>
  <si>
    <t>WOW USA, Inc.</t>
  </si>
  <si>
    <t>W-0528</t>
  </si>
  <si>
    <t>WRIGHT EXPRESS FINANCIAL SERVICES CORPORATION/Exxon</t>
  </si>
  <si>
    <t>WYNDHAM HOTELS &amp; RESORTS INC</t>
  </si>
  <si>
    <t>XIAMEN DEYUAN PANMIN TRADING CO., LTD.</t>
  </si>
  <si>
    <t>GV2024087-B</t>
  </si>
  <si>
    <t>GV2024066-D</t>
  </si>
  <si>
    <t xml:space="preserve">PrePayment </t>
  </si>
  <si>
    <t>YESENYE FURNITURE</t>
  </si>
  <si>
    <t>W-1105</t>
  </si>
  <si>
    <t>ZBOM Cabinets Crop.</t>
  </si>
  <si>
    <t>ZB202305011USA</t>
  </si>
  <si>
    <t>ZB202304012USA</t>
  </si>
  <si>
    <t>ZB202406008USA</t>
  </si>
  <si>
    <t>ZB202405009USA, ZB202407028USA,ZB202405043USA</t>
  </si>
  <si>
    <t>ZB202405015USA</t>
  </si>
  <si>
    <t>W-0310</t>
  </si>
  <si>
    <t>ZB202407028USA-1</t>
  </si>
  <si>
    <t>Do not know</t>
  </si>
  <si>
    <t>ZB202503027USA</t>
  </si>
  <si>
    <t>Laxmi-0664</t>
  </si>
  <si>
    <t>W-0627</t>
  </si>
  <si>
    <t>ZB202406008USA-5</t>
  </si>
  <si>
    <t>ZB202410026USA</t>
  </si>
  <si>
    <t>June 30th balance is $3.6m reduced by common invoices in Netsuite</t>
  </si>
  <si>
    <t>Customer</t>
  </si>
  <si>
    <t>Invoice#</t>
  </si>
  <si>
    <t>Invoice Dt.</t>
  </si>
  <si>
    <t>Due Dt.</t>
  </si>
  <si>
    <t>001 Customer Deposits/Dummy Customer</t>
  </si>
  <si>
    <t/>
  </si>
  <si>
    <t>06-20</t>
  </si>
  <si>
    <t>06-21</t>
  </si>
  <si>
    <t>AAA Hospitality - Embassy Suites Las Colinas TX</t>
  </si>
  <si>
    <t>Invoice</t>
  </si>
  <si>
    <t>33396</t>
  </si>
  <si>
    <t>35203</t>
  </si>
  <si>
    <t>33050</t>
  </si>
  <si>
    <t>ESLC - Corridor Lobby Carpet</t>
  </si>
  <si>
    <t>33396/2</t>
  </si>
  <si>
    <t>36933</t>
  </si>
  <si>
    <t>ATTIC STOCK MATERIAL</t>
  </si>
  <si>
    <t>AAA Hotel Management, Inc.</t>
  </si>
  <si>
    <t>33645</t>
  </si>
  <si>
    <t>Embassy Suites - Irving Additional Trim PCS</t>
  </si>
  <si>
    <t>33145/12</t>
  </si>
  <si>
    <t>TILES</t>
  </si>
  <si>
    <t>33133</t>
  </si>
  <si>
    <t>WINDOW TREATMENT</t>
  </si>
  <si>
    <t>33145/11</t>
  </si>
  <si>
    <t>33142/2</t>
  </si>
  <si>
    <t>BEDDDING</t>
  </si>
  <si>
    <t>34575</t>
  </si>
  <si>
    <t>33131/7</t>
  </si>
  <si>
    <t>LIGHTING</t>
  </si>
  <si>
    <t>33132/2</t>
  </si>
  <si>
    <t>ARTWORK &amp; MIRRORS</t>
  </si>
  <si>
    <t>33132/6</t>
  </si>
  <si>
    <t>33148/5</t>
  </si>
  <si>
    <t>WALLCOVERING</t>
  </si>
  <si>
    <t>34869</t>
  </si>
  <si>
    <t>34944</t>
  </si>
  <si>
    <t>33129/24</t>
  </si>
  <si>
    <t>SEATING</t>
  </si>
  <si>
    <t>33130/22</t>
  </si>
  <si>
    <t>CASEGOODS</t>
  </si>
  <si>
    <t>AFP 103 Corp</t>
  </si>
  <si>
    <t>37373</t>
  </si>
  <si>
    <t>Doubletree Miami Airport</t>
  </si>
  <si>
    <t>AFP 108 Corp.</t>
  </si>
  <si>
    <t>37255/3</t>
  </si>
  <si>
    <t>AFP108-2024-GV00</t>
  </si>
  <si>
    <t>Double tree Rochester</t>
  </si>
  <si>
    <t>Angles Contractor, INC./Carlton Apartments</t>
  </si>
  <si>
    <t>33760</t>
  </si>
  <si>
    <t>33760/2</t>
  </si>
  <si>
    <t>APD Construction - The Place</t>
  </si>
  <si>
    <t>37855/4</t>
  </si>
  <si>
    <t>The Place Port Aransas TX - GC SCOPE</t>
  </si>
  <si>
    <t>37855/8</t>
  </si>
  <si>
    <t>37855/9</t>
  </si>
  <si>
    <t>Ascent Home2 Montgomery</t>
  </si>
  <si>
    <t>36775/2</t>
  </si>
  <si>
    <t>GR CASEGOODS</t>
  </si>
  <si>
    <t>36789/2</t>
  </si>
  <si>
    <t>PA OUTDOOR</t>
  </si>
  <si>
    <t>36788/2</t>
  </si>
  <si>
    <t>PA ARTWORK</t>
  </si>
  <si>
    <t>36793/9</t>
  </si>
  <si>
    <t>PA FINISHES</t>
  </si>
  <si>
    <t>36776/3</t>
  </si>
  <si>
    <t>GR QUARTZ COUNTERTOPS</t>
  </si>
  <si>
    <t>36791/2</t>
  </si>
  <si>
    <t>PA OUTLETS</t>
  </si>
  <si>
    <t>36776/2</t>
  </si>
  <si>
    <t>36786</t>
  </si>
  <si>
    <t>PA QUARTZ COUNTERTOPS</t>
  </si>
  <si>
    <t>37090</t>
  </si>
  <si>
    <t>37090/3</t>
  </si>
  <si>
    <t>36773/6</t>
  </si>
  <si>
    <t>GR SEATING</t>
  </si>
  <si>
    <t>36779/3</t>
  </si>
  <si>
    <t>GR BEDSET/BEDDING</t>
  </si>
  <si>
    <t>36785/3</t>
  </si>
  <si>
    <t>PA CASEGOODS</t>
  </si>
  <si>
    <t>36789/3</t>
  </si>
  <si>
    <t>36789/4</t>
  </si>
  <si>
    <t>36792</t>
  </si>
  <si>
    <t>PA BATH ACCESSORIES</t>
  </si>
  <si>
    <t>Ascent Hospitality Courtyard - Meridian, MS</t>
  </si>
  <si>
    <t>38710/2</t>
  </si>
  <si>
    <t>38710/3</t>
  </si>
  <si>
    <t>Ascent Hospitality Element Carmel Indiana</t>
  </si>
  <si>
    <t>35786</t>
  </si>
  <si>
    <t>Change order Element Carmel</t>
  </si>
  <si>
    <t>36748</t>
  </si>
  <si>
    <t>add on pool floor tiles &amp; pavers</t>
  </si>
  <si>
    <t>36748/2</t>
  </si>
  <si>
    <t>36748/3</t>
  </si>
  <si>
    <t>35786/2</t>
  </si>
  <si>
    <t>36748/4</t>
  </si>
  <si>
    <t>36748/5</t>
  </si>
  <si>
    <t>36407</t>
  </si>
  <si>
    <t>PA QUARTZ</t>
  </si>
  <si>
    <t>35786/4</t>
  </si>
  <si>
    <t>38009</t>
  </si>
  <si>
    <t>35786/6</t>
  </si>
  <si>
    <t>35610/4</t>
  </si>
  <si>
    <t>35606</t>
  </si>
  <si>
    <t>PA WINDOW TREATMENT</t>
  </si>
  <si>
    <t>35602/7</t>
  </si>
  <si>
    <t>PA SEATING</t>
  </si>
  <si>
    <t>35786/7</t>
  </si>
  <si>
    <t>37812</t>
  </si>
  <si>
    <t>Ascent Hospitality Hampton Inn &amp; Suites  Montgomery-South Airport,AL</t>
  </si>
  <si>
    <t>38626</t>
  </si>
  <si>
    <t>38626/2</t>
  </si>
  <si>
    <t>Ascent hospitality Home2 Suites Fairburn GA</t>
  </si>
  <si>
    <t>37358</t>
  </si>
  <si>
    <t>37854</t>
  </si>
  <si>
    <t>36012/3</t>
  </si>
  <si>
    <t>Ascent hospitality Home2 Suites Fairburn GA-Additional items(1)</t>
  </si>
  <si>
    <t>36012/4</t>
  </si>
  <si>
    <t>35714/6</t>
  </si>
  <si>
    <t>GR BATH</t>
  </si>
  <si>
    <t>35715</t>
  </si>
  <si>
    <t>GR FINISHES</t>
  </si>
  <si>
    <t>36012/6</t>
  </si>
  <si>
    <t>Ascent hospitality Home2 West Lafayette IN</t>
  </si>
  <si>
    <t>36005</t>
  </si>
  <si>
    <t>PUBLIC AREAS MILLWORK</t>
  </si>
  <si>
    <t>35700/2</t>
  </si>
  <si>
    <t>PA - Casegoods</t>
  </si>
  <si>
    <t>35704/2</t>
  </si>
  <si>
    <t>PA - Outdoor</t>
  </si>
  <si>
    <t>37450</t>
  </si>
  <si>
    <t>35995</t>
  </si>
  <si>
    <t>GUEST ROOMS BATH</t>
  </si>
  <si>
    <t>Ascent Hospitality Management Co</t>
  </si>
  <si>
    <t>39083</t>
  </si>
  <si>
    <t>39025</t>
  </si>
  <si>
    <t>39025/2</t>
  </si>
  <si>
    <t>Ascent hospitality Towneplace West Lafayette IN</t>
  </si>
  <si>
    <t>36899</t>
  </si>
  <si>
    <t>GR CASEGOODS &amp; CASEGOOD FABRICS</t>
  </si>
  <si>
    <t>36919/5</t>
  </si>
  <si>
    <t>36900</t>
  </si>
  <si>
    <t>GR MILLWORKS</t>
  </si>
  <si>
    <t>36902</t>
  </si>
  <si>
    <t>GR WINDOW TREATMENT</t>
  </si>
  <si>
    <t>36915</t>
  </si>
  <si>
    <t>36919/6</t>
  </si>
  <si>
    <t>36868</t>
  </si>
  <si>
    <t>GR ART WORKS</t>
  </si>
  <si>
    <t>36894</t>
  </si>
  <si>
    <t>GR MIRROR</t>
  </si>
  <si>
    <t>36896</t>
  </si>
  <si>
    <t>GR LIGHTING</t>
  </si>
  <si>
    <t>36896/2</t>
  </si>
  <si>
    <t>36897</t>
  </si>
  <si>
    <t>GR DECORATIVE PILLOWS &amp; DECORATIVE PILLOW FABRICS</t>
  </si>
  <si>
    <t>36899/2</t>
  </si>
  <si>
    <t>36901</t>
  </si>
  <si>
    <t>GR QUARTZ TOP</t>
  </si>
  <si>
    <t>36904/4</t>
  </si>
  <si>
    <t>36915/2</t>
  </si>
  <si>
    <t>36919/7</t>
  </si>
  <si>
    <t>36903/3</t>
  </si>
  <si>
    <t>GR PLUMBING &amp; BATH ACCESSORIES</t>
  </si>
  <si>
    <t>36905</t>
  </si>
  <si>
    <t>PA SEATING &amp; SEATING FABRICS</t>
  </si>
  <si>
    <t>36909</t>
  </si>
  <si>
    <t>36919/9</t>
  </si>
  <si>
    <t>36919/8</t>
  </si>
  <si>
    <t>36867</t>
  </si>
  <si>
    <t>GR ACCESSORIES</t>
  </si>
  <si>
    <t>36897/2</t>
  </si>
  <si>
    <t>36898/3</t>
  </si>
  <si>
    <t>GR SEATING &amp; SEATING FABRICS</t>
  </si>
  <si>
    <t>36903/4</t>
  </si>
  <si>
    <t>36918</t>
  </si>
  <si>
    <t>PA PLUMBING FIXTURES &amp; ACCESSORIES</t>
  </si>
  <si>
    <t>36895</t>
  </si>
  <si>
    <t>GR BEDDING</t>
  </si>
  <si>
    <t>36899/4</t>
  </si>
  <si>
    <t>36919/11</t>
  </si>
  <si>
    <t>36899/3</t>
  </si>
  <si>
    <t>36900/2</t>
  </si>
  <si>
    <t>36906</t>
  </si>
  <si>
    <t>36914</t>
  </si>
  <si>
    <t>PA MIRROR</t>
  </si>
  <si>
    <t>36919/10</t>
  </si>
  <si>
    <t>36905/3</t>
  </si>
  <si>
    <t>36906/3</t>
  </si>
  <si>
    <t>36906/4</t>
  </si>
  <si>
    <t>36904/5</t>
  </si>
  <si>
    <t>36905/5</t>
  </si>
  <si>
    <t>36895/2</t>
  </si>
  <si>
    <t>36898/4</t>
  </si>
  <si>
    <t>36906/2</t>
  </si>
  <si>
    <t>36910</t>
  </si>
  <si>
    <t>PA MILLWORK</t>
  </si>
  <si>
    <t>36919/12</t>
  </si>
  <si>
    <t>36906/5</t>
  </si>
  <si>
    <t>36910/2</t>
  </si>
  <si>
    <t>36896/3</t>
  </si>
  <si>
    <t>36908</t>
  </si>
  <si>
    <t>PA LIGHTING</t>
  </si>
  <si>
    <t>38652</t>
  </si>
  <si>
    <t>37237/2</t>
  </si>
  <si>
    <t>Ascent hospitality Towneplace West Lafayette IN- Additional Items</t>
  </si>
  <si>
    <t>36905/4</t>
  </si>
  <si>
    <t>36907</t>
  </si>
  <si>
    <t>PA DECORATIVE PILLOW &amp; DECORATIVE PILLOW FABRICS</t>
  </si>
  <si>
    <t>37237</t>
  </si>
  <si>
    <t>36896/4</t>
  </si>
  <si>
    <t>36908/3</t>
  </si>
  <si>
    <t>36912</t>
  </si>
  <si>
    <t>PA ACCESSORIES</t>
  </si>
  <si>
    <t>36913</t>
  </si>
  <si>
    <t>PA INDOOR POOL &amp; ENTRY PATIO</t>
  </si>
  <si>
    <t>36916</t>
  </si>
  <si>
    <t>PA MISCELANEOUS</t>
  </si>
  <si>
    <t>36918/2</t>
  </si>
  <si>
    <t>36919/13</t>
  </si>
  <si>
    <t>36908/2</t>
  </si>
  <si>
    <t>36906/6</t>
  </si>
  <si>
    <t>36913/2</t>
  </si>
  <si>
    <t>36906/7</t>
  </si>
  <si>
    <t>36913/3</t>
  </si>
  <si>
    <t>36906/8</t>
  </si>
  <si>
    <t>36911</t>
  </si>
  <si>
    <t>PA QUARTZ TOP</t>
  </si>
  <si>
    <t>36916/2</t>
  </si>
  <si>
    <t>36903/5</t>
  </si>
  <si>
    <t>36905/2</t>
  </si>
  <si>
    <t>Ascent Hospitality Tribute Carmel Indiana</t>
  </si>
  <si>
    <t>37205</t>
  </si>
  <si>
    <t>add on quarry tiles</t>
  </si>
  <si>
    <t>37205/2</t>
  </si>
  <si>
    <t>37205/3</t>
  </si>
  <si>
    <t>37294</t>
  </si>
  <si>
    <t>37294/2</t>
  </si>
  <si>
    <t>37218</t>
  </si>
  <si>
    <t>37662</t>
  </si>
  <si>
    <t>wallcovering @ Fitness room</t>
  </si>
  <si>
    <t>37757</t>
  </si>
  <si>
    <t>extra surround tiles</t>
  </si>
  <si>
    <t>37853</t>
  </si>
  <si>
    <t>thresholds @ guest bath</t>
  </si>
  <si>
    <t>38080</t>
  </si>
  <si>
    <t>Ballroom tables</t>
  </si>
  <si>
    <t>38279</t>
  </si>
  <si>
    <t>38279/2</t>
  </si>
  <si>
    <t>38279/3</t>
  </si>
  <si>
    <t>36674/2</t>
  </si>
  <si>
    <t>38279/4</t>
  </si>
  <si>
    <t>36661</t>
  </si>
  <si>
    <t>GR PILLOWS</t>
  </si>
  <si>
    <t>36656</t>
  </si>
  <si>
    <t>36662</t>
  </si>
  <si>
    <t>GR SEATINGS</t>
  </si>
  <si>
    <t>36665/11</t>
  </si>
  <si>
    <t>37757/2</t>
  </si>
  <si>
    <t>36659/4</t>
  </si>
  <si>
    <t>36672</t>
  </si>
  <si>
    <t>PA MISCELLANEOUS</t>
  </si>
  <si>
    <t>37757/3</t>
  </si>
  <si>
    <t>36661/2</t>
  </si>
  <si>
    <t>36670/2</t>
  </si>
  <si>
    <t>36674/3</t>
  </si>
  <si>
    <t>36668/3</t>
  </si>
  <si>
    <t>36671/5</t>
  </si>
  <si>
    <t>37451</t>
  </si>
  <si>
    <t>Artwork</t>
  </si>
  <si>
    <t>38152</t>
  </si>
  <si>
    <t>Artwork @ Restaurant</t>
  </si>
  <si>
    <t>36665/12</t>
  </si>
  <si>
    <t>37391</t>
  </si>
  <si>
    <t>signage</t>
  </si>
  <si>
    <t>Ascent Hospitality- Autograph Huntsville</t>
  </si>
  <si>
    <t>38478/2</t>
  </si>
  <si>
    <t>38630/6</t>
  </si>
  <si>
    <t>2nd &amp; 8TH FLOOR FINISHES</t>
  </si>
  <si>
    <t>38630/7</t>
  </si>
  <si>
    <t>38630/9</t>
  </si>
  <si>
    <t>38630/8</t>
  </si>
  <si>
    <t>38630/10</t>
  </si>
  <si>
    <t>38630/11</t>
  </si>
  <si>
    <t>38747</t>
  </si>
  <si>
    <t>1st floor finishes</t>
  </si>
  <si>
    <t>38747/2</t>
  </si>
  <si>
    <t>38747/3</t>
  </si>
  <si>
    <t>38630/12</t>
  </si>
  <si>
    <t>38630/14</t>
  </si>
  <si>
    <t>38478/3</t>
  </si>
  <si>
    <t>38630/15</t>
  </si>
  <si>
    <t>38630/16</t>
  </si>
  <si>
    <t>38630/17</t>
  </si>
  <si>
    <t>38630/20</t>
  </si>
  <si>
    <t>38630/18</t>
  </si>
  <si>
    <t>38630/19</t>
  </si>
  <si>
    <t>38630/21</t>
  </si>
  <si>
    <t>38341</t>
  </si>
  <si>
    <t>Autograph Huntsville - Stairs, Sculpture and Benches</t>
  </si>
  <si>
    <t>38478/4</t>
  </si>
  <si>
    <t>38747/13</t>
  </si>
  <si>
    <t>39081</t>
  </si>
  <si>
    <t>Ascent Hospitality- Autograph Montogmery</t>
  </si>
  <si>
    <t>38233</t>
  </si>
  <si>
    <t>Autograph Trilogy</t>
  </si>
  <si>
    <t>38233/2</t>
  </si>
  <si>
    <t>38017</t>
  </si>
  <si>
    <t>Guest Bath - Tiles</t>
  </si>
  <si>
    <t>38017/2</t>
  </si>
  <si>
    <t>38017/4</t>
  </si>
  <si>
    <t>38233/3</t>
  </si>
  <si>
    <t>38017/7</t>
  </si>
  <si>
    <t>Ascent hospitality/Fairfield Inn &amp; Suites</t>
  </si>
  <si>
    <t>36056</t>
  </si>
  <si>
    <t>Ascent Residence inn Montgomery</t>
  </si>
  <si>
    <t>37676/5</t>
  </si>
  <si>
    <t>37692/6</t>
  </si>
  <si>
    <t>PA FLOOR FINISHES</t>
  </si>
  <si>
    <t>37693/2</t>
  </si>
  <si>
    <t>PA VINYL WALLCOVERING-FF</t>
  </si>
  <si>
    <t>Auburn Hospitality Group</t>
  </si>
  <si>
    <t>38275/4</t>
  </si>
  <si>
    <t>38380/2</t>
  </si>
  <si>
    <t>AUTOGRAPH MAYA-PS</t>
  </si>
  <si>
    <t>36920</t>
  </si>
  <si>
    <t>0055074467</t>
  </si>
  <si>
    <t>Autograph Maya Scottsdale AZ - Outdoor Seating</t>
  </si>
  <si>
    <t>36920/2</t>
  </si>
  <si>
    <t>BMK Construction LLC</t>
  </si>
  <si>
    <t>35912/4</t>
  </si>
  <si>
    <t>Ulana Ward Village - Block F</t>
  </si>
  <si>
    <t>Brighter Vision Group, LP</t>
  </si>
  <si>
    <t>37641</t>
  </si>
  <si>
    <t>PA VINYL WALLCOVERINGS-FF</t>
  </si>
  <si>
    <t>CAMBRIA NASHVILLE</t>
  </si>
  <si>
    <t>33909</t>
  </si>
  <si>
    <t>WINDOWS SILL</t>
  </si>
  <si>
    <t>33644</t>
  </si>
  <si>
    <t>Missed or extra items</t>
  </si>
  <si>
    <t>33794</t>
  </si>
  <si>
    <t>Add on lighting</t>
  </si>
  <si>
    <t>33309/9</t>
  </si>
  <si>
    <t>PUBLIC AREAS FINISHES</t>
  </si>
  <si>
    <t>34423/2</t>
  </si>
  <si>
    <t>Add on tiles</t>
  </si>
  <si>
    <t>34237</t>
  </si>
  <si>
    <t>33318/4</t>
  </si>
  <si>
    <t>34423</t>
  </si>
  <si>
    <t>34959/2</t>
  </si>
  <si>
    <t>33315/7</t>
  </si>
  <si>
    <t>PUBLIC AREAS SEATING</t>
  </si>
  <si>
    <t>35093</t>
  </si>
  <si>
    <t>Add on tiles /Flooring</t>
  </si>
  <si>
    <t>35093/2</t>
  </si>
  <si>
    <t>35093/3</t>
  </si>
  <si>
    <t>34959/3</t>
  </si>
  <si>
    <t>33312/5</t>
  </si>
  <si>
    <t>GUEST ROOMS QUARTZ</t>
  </si>
  <si>
    <t>33313/6</t>
  </si>
  <si>
    <t>33314/23</t>
  </si>
  <si>
    <t>GUEST ROOMS FINISHES</t>
  </si>
  <si>
    <t>33315/8</t>
  </si>
  <si>
    <t>35040</t>
  </si>
  <si>
    <t>Add on pavers</t>
  </si>
  <si>
    <t>33309/13</t>
  </si>
  <si>
    <t>34424</t>
  </si>
  <si>
    <t>Add on wall coverings</t>
  </si>
  <si>
    <t>34959/4</t>
  </si>
  <si>
    <t>35093/4</t>
  </si>
  <si>
    <t>33318/5</t>
  </si>
  <si>
    <t>34701</t>
  </si>
  <si>
    <t>Add on meeting room table &amp; chairs</t>
  </si>
  <si>
    <t>35040/2</t>
  </si>
  <si>
    <t>35093/6</t>
  </si>
  <si>
    <t>35185</t>
  </si>
  <si>
    <t>led strips for bed bases</t>
  </si>
  <si>
    <t>35174</t>
  </si>
  <si>
    <t>Fireplace panel</t>
  </si>
  <si>
    <t>35093/7</t>
  </si>
  <si>
    <t>35461</t>
  </si>
  <si>
    <t>Add on corridor lights</t>
  </si>
  <si>
    <t>33319/3</t>
  </si>
  <si>
    <t>PUBLIC AREAS QUARTZ</t>
  </si>
  <si>
    <t>35093/8</t>
  </si>
  <si>
    <t>35185/2</t>
  </si>
  <si>
    <t>CANDLEWOOD EASTRIDGE TN</t>
  </si>
  <si>
    <t>34726</t>
  </si>
  <si>
    <t>Added on items or Missing</t>
  </si>
  <si>
    <t>34726/3</t>
  </si>
  <si>
    <t>34726/4</t>
  </si>
  <si>
    <t>34726/6</t>
  </si>
  <si>
    <t>34726/7</t>
  </si>
  <si>
    <t>34726/8</t>
  </si>
  <si>
    <t>34726/10</t>
  </si>
  <si>
    <t>Candlewood Suites -Columbus,Oh-Kautilya group</t>
  </si>
  <si>
    <t>35341/5</t>
  </si>
  <si>
    <t>35343/2</t>
  </si>
  <si>
    <t>37620</t>
  </si>
  <si>
    <t>37211/2</t>
  </si>
  <si>
    <t>Candlewood Suites -GR &amp; PA</t>
  </si>
  <si>
    <t>34989/2</t>
  </si>
  <si>
    <t>Candlewood Suites Columbus, OH</t>
  </si>
  <si>
    <t>35327/4</t>
  </si>
  <si>
    <t>GR LIGHTING (Light Bulbs Not Included)</t>
  </si>
  <si>
    <t>35334/2</t>
  </si>
  <si>
    <t>35338/2</t>
  </si>
  <si>
    <t>35344/2</t>
  </si>
  <si>
    <t>37241/2</t>
  </si>
  <si>
    <t>38012</t>
  </si>
  <si>
    <t>Comfort Inn, Rebrand, Princeton IL</t>
  </si>
  <si>
    <t>37238</t>
  </si>
  <si>
    <t>37238/2</t>
  </si>
  <si>
    <t>Courtyard Denver Stadium</t>
  </si>
  <si>
    <t>37948</t>
  </si>
  <si>
    <t>COURY HOSPITALITY (TRIBUTE SEAHAUS)</t>
  </si>
  <si>
    <t>37747/2</t>
  </si>
  <si>
    <t>1025.3044</t>
  </si>
  <si>
    <t>37747/3</t>
  </si>
  <si>
    <t>37747/4</t>
  </si>
  <si>
    <t>1025.3057</t>
  </si>
  <si>
    <t>Tribute Seahaus Atlantic City NJ - Public Area</t>
  </si>
  <si>
    <t>37811/14</t>
  </si>
  <si>
    <t>CPNA Management &amp; Services Inc.</t>
  </si>
  <si>
    <t>36417/10</t>
  </si>
  <si>
    <t>Daniel Van Dyke Construction Inc</t>
  </si>
  <si>
    <t>32021/4</t>
  </si>
  <si>
    <t>The cottages at blackwood Groves: Cabinets / Tops</t>
  </si>
  <si>
    <t>Daren R Snider Construction</t>
  </si>
  <si>
    <t>34711</t>
  </si>
  <si>
    <t>CANDLEWOOD SUITES</t>
  </si>
  <si>
    <t>DFW Joseph Investments LLC</t>
  </si>
  <si>
    <t>37762</t>
  </si>
  <si>
    <t>37762/2</t>
  </si>
  <si>
    <t>37051/6</t>
  </si>
  <si>
    <t>GR ARTWORK/ MIRROR/ ACCESSORIES</t>
  </si>
  <si>
    <t>37051/7</t>
  </si>
  <si>
    <t>37051/8</t>
  </si>
  <si>
    <t>37052/10</t>
  </si>
  <si>
    <t>37052/11</t>
  </si>
  <si>
    <t>37052/13</t>
  </si>
  <si>
    <t>37053/4</t>
  </si>
  <si>
    <t>37060/7</t>
  </si>
  <si>
    <t>PA FINISHES ARCHITECTURAL</t>
  </si>
  <si>
    <t>37061/4</t>
  </si>
  <si>
    <t>PA FURNITURE</t>
  </si>
  <si>
    <t>37063/5</t>
  </si>
  <si>
    <t>37064</t>
  </si>
  <si>
    <t>37066/2</t>
  </si>
  <si>
    <t>37067/2</t>
  </si>
  <si>
    <t>PA OUTDOOR FURNITURE</t>
  </si>
  <si>
    <t>DWAYNE CLARK</t>
  </si>
  <si>
    <t>33184</t>
  </si>
  <si>
    <t>33663</t>
  </si>
  <si>
    <t>Dwaynes House</t>
  </si>
  <si>
    <t>33815</t>
  </si>
  <si>
    <t>Dwanyes House</t>
  </si>
  <si>
    <t>35020</t>
  </si>
  <si>
    <t>33246</t>
  </si>
  <si>
    <t>35020/2</t>
  </si>
  <si>
    <t>36042</t>
  </si>
  <si>
    <t>ECHO SUITES  /MCP Development, Inc</t>
  </si>
  <si>
    <t>35170</t>
  </si>
  <si>
    <t>Echo Fort Worth</t>
  </si>
  <si>
    <t>35171/2</t>
  </si>
  <si>
    <t>Echo Gateway</t>
  </si>
  <si>
    <t>35170/2</t>
  </si>
  <si>
    <t>35171/8</t>
  </si>
  <si>
    <t>35171/11</t>
  </si>
  <si>
    <t>38173/3</t>
  </si>
  <si>
    <t>Echo - Pasadena</t>
  </si>
  <si>
    <t>35170/5</t>
  </si>
  <si>
    <t>38752</t>
  </si>
  <si>
    <t>38753</t>
  </si>
  <si>
    <t>Echo Katy</t>
  </si>
  <si>
    <t>Econo Lodge Augusta GA</t>
  </si>
  <si>
    <t>34641/5</t>
  </si>
  <si>
    <t>Project Name: Econo Lodge Augusta GA</t>
  </si>
  <si>
    <t>ELEMENT FORTSMITH, ARKANSAS</t>
  </si>
  <si>
    <t>36942/2</t>
  </si>
  <si>
    <t>36942/3</t>
  </si>
  <si>
    <t>36942/4</t>
  </si>
  <si>
    <t>36942/5</t>
  </si>
  <si>
    <t>36942/7</t>
  </si>
  <si>
    <t>36942/6</t>
  </si>
  <si>
    <t>36942/10</t>
  </si>
  <si>
    <t>36942/8</t>
  </si>
  <si>
    <t>36942/9</t>
  </si>
  <si>
    <t>36942/11</t>
  </si>
  <si>
    <t>36942/12</t>
  </si>
  <si>
    <t>36726</t>
  </si>
  <si>
    <t>GR BATH ACCESSORIES</t>
  </si>
  <si>
    <t>36727/7</t>
  </si>
  <si>
    <t>36730/6</t>
  </si>
  <si>
    <t>36731/5</t>
  </si>
  <si>
    <t>36732/2</t>
  </si>
  <si>
    <t>36733</t>
  </si>
  <si>
    <t>PA DECORATIVE PILLOWS</t>
  </si>
  <si>
    <t>36735/2</t>
  </si>
  <si>
    <t>36739/2</t>
  </si>
  <si>
    <t>36740/7</t>
  </si>
  <si>
    <t>36942/14</t>
  </si>
  <si>
    <t>Fairfield Denver</t>
  </si>
  <si>
    <t>38690/2</t>
  </si>
  <si>
    <t>GR - Wallcovering Change Order</t>
  </si>
  <si>
    <t>39075</t>
  </si>
  <si>
    <t>Fairfield Inn - Jeffersonville, OH</t>
  </si>
  <si>
    <t>36273</t>
  </si>
  <si>
    <t>ART WORK</t>
  </si>
  <si>
    <t>36274</t>
  </si>
  <si>
    <t>36275</t>
  </si>
  <si>
    <t>Fairfield Inn Gadsden AL</t>
  </si>
  <si>
    <t>37750/4</t>
  </si>
  <si>
    <t>38650/4</t>
  </si>
  <si>
    <t>Public Area - Tiles</t>
  </si>
  <si>
    <t>38282</t>
  </si>
  <si>
    <t>38282/2</t>
  </si>
  <si>
    <t>38282/3</t>
  </si>
  <si>
    <t>38282/5</t>
  </si>
  <si>
    <t>38282/4</t>
  </si>
  <si>
    <t>38282/6</t>
  </si>
  <si>
    <t>38282/9</t>
  </si>
  <si>
    <t>38282/10</t>
  </si>
  <si>
    <t>38282/7</t>
  </si>
  <si>
    <t>Fairfield Inn GV HEADQUARTERS, HOUSTON</t>
  </si>
  <si>
    <t>33872</t>
  </si>
  <si>
    <t>FAIRFIELD INN- MODEL ROOM</t>
  </si>
  <si>
    <t>Fairfield Townplace East Hartford</t>
  </si>
  <si>
    <t>38682</t>
  </si>
  <si>
    <t>37579</t>
  </si>
  <si>
    <t>35809</t>
  </si>
  <si>
    <t>PA SEATING- FF</t>
  </si>
  <si>
    <t>Galaxy Hotels Group</t>
  </si>
  <si>
    <t>38499</t>
  </si>
  <si>
    <t>Dhillon Hotel, LLC</t>
  </si>
  <si>
    <t>Park Inn by Radisson</t>
  </si>
  <si>
    <t>Grand Sierra Resort &amp; Casino</t>
  </si>
  <si>
    <t>30580/6</t>
  </si>
  <si>
    <t>346604</t>
  </si>
  <si>
    <t>LOFT 2 SUITES</t>
  </si>
  <si>
    <t>30582/8</t>
  </si>
  <si>
    <t>347362</t>
  </si>
  <si>
    <t>IMPERIAL_QUEEN CONN. SUITES</t>
  </si>
  <si>
    <t>30577/9</t>
  </si>
  <si>
    <t>AMBASSADOR SUITES</t>
  </si>
  <si>
    <t>30577/10</t>
  </si>
  <si>
    <t>30577/11</t>
  </si>
  <si>
    <t>30577/12</t>
  </si>
  <si>
    <t>30579/18</t>
  </si>
  <si>
    <t>346146</t>
  </si>
  <si>
    <t>LOFT 1 SUITES</t>
  </si>
  <si>
    <t>30581/19</t>
  </si>
  <si>
    <t>347070</t>
  </si>
  <si>
    <t>IMPERIAL_ EXECUTIVE SUITES</t>
  </si>
  <si>
    <t>32055/2</t>
  </si>
  <si>
    <t>P0358303</t>
  </si>
  <si>
    <t>GSR Bowling Alley VIP Lounge - PHASE 1</t>
  </si>
  <si>
    <t>32180/2</t>
  </si>
  <si>
    <t>P0358249-BA</t>
  </si>
  <si>
    <t>GSR Regular Rooms Phase 3 Bath Accessories</t>
  </si>
  <si>
    <t>32302/2</t>
  </si>
  <si>
    <t>GSR STANDARD ROOMS STOCK ITEMS</t>
  </si>
  <si>
    <t>32302/3</t>
  </si>
  <si>
    <t>32180/3</t>
  </si>
  <si>
    <t>32302/4</t>
  </si>
  <si>
    <t>32302/5</t>
  </si>
  <si>
    <t>32176/2</t>
  </si>
  <si>
    <t>P0358249-QZ</t>
  </si>
  <si>
    <t>GSR Regular Rooms Phase 3 Quartz</t>
  </si>
  <si>
    <t>32302/6</t>
  </si>
  <si>
    <t>30412/14</t>
  </si>
  <si>
    <t>348741</t>
  </si>
  <si>
    <t>Phase 2: GSR Presidential Suites (2465, 2471, 2565, 2571, 2665, 2671)</t>
  </si>
  <si>
    <t>30578/12</t>
  </si>
  <si>
    <t>348289</t>
  </si>
  <si>
    <t>Phase 2: DIPLOMAT SUITES (2435, 2335, 2235, 2135, 2035, 1935)</t>
  </si>
  <si>
    <t>32215</t>
  </si>
  <si>
    <t>361852</t>
  </si>
  <si>
    <t>GSR Summit Room Elevator Lobby and Corridor Phase 2</t>
  </si>
  <si>
    <t>32467</t>
  </si>
  <si>
    <t>362630</t>
  </si>
  <si>
    <t>GSR BOWLING ALLEY SUSPENDED MIRROR MOSAICS &amp; WOOD MOSAIC ART</t>
  </si>
  <si>
    <t>30577/13</t>
  </si>
  <si>
    <t>32302/7</t>
  </si>
  <si>
    <t>32177/6</t>
  </si>
  <si>
    <t>P0358249-TILE</t>
  </si>
  <si>
    <t>GSR Regular Rooms Phase 3 Tiles</t>
  </si>
  <si>
    <t>35623</t>
  </si>
  <si>
    <t>400829</t>
  </si>
  <si>
    <t>DUAL SLIDING SHOWER DOOR</t>
  </si>
  <si>
    <t>37968</t>
  </si>
  <si>
    <t>P0424948</t>
  </si>
  <si>
    <t>Additional Slabs and Base</t>
  </si>
  <si>
    <t>38244</t>
  </si>
  <si>
    <t>P0429163</t>
  </si>
  <si>
    <t>Additional Quartz Slabs - Suites</t>
  </si>
  <si>
    <t>30577/14</t>
  </si>
  <si>
    <t>32302/8</t>
  </si>
  <si>
    <t>32086/12</t>
  </si>
  <si>
    <t>New Warehouse (IMPROVEMENTS)</t>
  </si>
  <si>
    <t>33652</t>
  </si>
  <si>
    <t>Hampton Downtown Montgomery</t>
  </si>
  <si>
    <t>35524</t>
  </si>
  <si>
    <t>Hampton Inn &amp; Suites  Enterprise,AL</t>
  </si>
  <si>
    <t>34358</t>
  </si>
  <si>
    <t>GUEST ROOMS ARTWORK/MIRROR</t>
  </si>
  <si>
    <t>34357</t>
  </si>
  <si>
    <t>GUEST ROOMS LIGHTING</t>
  </si>
  <si>
    <t>34363/4</t>
  </si>
  <si>
    <t>34364/2</t>
  </si>
  <si>
    <t>34364/6</t>
  </si>
  <si>
    <t>34356</t>
  </si>
  <si>
    <t>GUEST ROOMS SEATING</t>
  </si>
  <si>
    <t>34363/7</t>
  </si>
  <si>
    <t>34363/8</t>
  </si>
  <si>
    <t>34358/2</t>
  </si>
  <si>
    <t>34364/7</t>
  </si>
  <si>
    <t>34356/2</t>
  </si>
  <si>
    <t>34357/2</t>
  </si>
  <si>
    <t>34364/8</t>
  </si>
  <si>
    <t>Hampton Inn Katy TX</t>
  </si>
  <si>
    <t>37930/4</t>
  </si>
  <si>
    <t>36367/11</t>
  </si>
  <si>
    <t>FINISHES -GR</t>
  </si>
  <si>
    <t>36374/2</t>
  </si>
  <si>
    <t>OUTDOOR - PA</t>
  </si>
  <si>
    <t>36357/6</t>
  </si>
  <si>
    <t>SEATING - GR</t>
  </si>
  <si>
    <t>36365/3</t>
  </si>
  <si>
    <t>QUARTZ - GR</t>
  </si>
  <si>
    <t>36368/4</t>
  </si>
  <si>
    <t>SEATING -PA</t>
  </si>
  <si>
    <t>36374</t>
  </si>
  <si>
    <t>39070</t>
  </si>
  <si>
    <t>Hampton Inn Nashville</t>
  </si>
  <si>
    <t>38613/2</t>
  </si>
  <si>
    <t>38613</t>
  </si>
  <si>
    <t>38637/2</t>
  </si>
  <si>
    <t>Hampton Inn Nashville - Public Area</t>
  </si>
  <si>
    <t>HAMPTON INN PEARLAND</t>
  </si>
  <si>
    <t>34826/2</t>
  </si>
  <si>
    <t>33807/6</t>
  </si>
  <si>
    <t>FINISHES - TILES</t>
  </si>
  <si>
    <t>36102</t>
  </si>
  <si>
    <t>37434</t>
  </si>
  <si>
    <t>34554/3</t>
  </si>
  <si>
    <t>34557/2</t>
  </si>
  <si>
    <t>PUBLIC AREAS WINDOW TREATMENTS</t>
  </si>
  <si>
    <t>34558/3</t>
  </si>
  <si>
    <t>PUBLIC AREAS ARTWORK</t>
  </si>
  <si>
    <t>34559/5</t>
  </si>
  <si>
    <t>34559/6</t>
  </si>
  <si>
    <t>34561/3</t>
  </si>
  <si>
    <t>35036/3</t>
  </si>
  <si>
    <t>BATH ACCESSORIES ADDS</t>
  </si>
  <si>
    <t>35036/4</t>
  </si>
  <si>
    <t>37434/5</t>
  </si>
  <si>
    <t>34559/7</t>
  </si>
  <si>
    <t>37434/2</t>
  </si>
  <si>
    <t>37434/3</t>
  </si>
  <si>
    <t>Hampton Inn Rosenberg</t>
  </si>
  <si>
    <t>34037/10</t>
  </si>
  <si>
    <t>BATH</t>
  </si>
  <si>
    <t>38445</t>
  </si>
  <si>
    <t>37972</t>
  </si>
  <si>
    <t>37977/3</t>
  </si>
  <si>
    <t>MILLWORK - PA</t>
  </si>
  <si>
    <t>37972/2</t>
  </si>
  <si>
    <t>34038/10</t>
  </si>
  <si>
    <t>FINISHES</t>
  </si>
  <si>
    <t>37972/3</t>
  </si>
  <si>
    <t>37976/10</t>
  </si>
  <si>
    <t>FINISHES - PA</t>
  </si>
  <si>
    <t>37976/11</t>
  </si>
  <si>
    <t>37976/5</t>
  </si>
  <si>
    <t>37977</t>
  </si>
  <si>
    <t>37978</t>
  </si>
  <si>
    <t>QUARTZ-PA</t>
  </si>
  <si>
    <t>37978/2</t>
  </si>
  <si>
    <t>38548</t>
  </si>
  <si>
    <t>PA Lighting</t>
  </si>
  <si>
    <t>Hawthorn Suites.</t>
  </si>
  <si>
    <t>38520/7</t>
  </si>
  <si>
    <t>Hawthorne Suites- Alpine WY</t>
  </si>
  <si>
    <t>38182/2</t>
  </si>
  <si>
    <t>38182/3</t>
  </si>
  <si>
    <t>38182/4</t>
  </si>
  <si>
    <t>HB Ca</t>
  </si>
  <si>
    <t>38677</t>
  </si>
  <si>
    <t>Hestan Winery</t>
  </si>
  <si>
    <t>39027</t>
  </si>
  <si>
    <t>Hilton Garden Inn Nashville</t>
  </si>
  <si>
    <t>37229/14</t>
  </si>
  <si>
    <t>38274/4</t>
  </si>
  <si>
    <t>36499/3</t>
  </si>
  <si>
    <t>PA ART WORK</t>
  </si>
  <si>
    <t>36501/2</t>
  </si>
  <si>
    <t>36504/3</t>
  </si>
  <si>
    <t>PA - WALL COVERING</t>
  </si>
  <si>
    <t>36506/5</t>
  </si>
  <si>
    <t>PA - FINISHES</t>
  </si>
  <si>
    <t>37229/15</t>
  </si>
  <si>
    <t>37229/2</t>
  </si>
  <si>
    <t>38274/2</t>
  </si>
  <si>
    <t>HILTON WARWICK</t>
  </si>
  <si>
    <t>37137</t>
  </si>
  <si>
    <t>PO-HILTON WARWICK</t>
  </si>
  <si>
    <t>Sanjay Patel</t>
  </si>
  <si>
    <t>Holiday Inn Express - Zion, IL</t>
  </si>
  <si>
    <t>33668/2</t>
  </si>
  <si>
    <t>Holiday Inn Express</t>
  </si>
  <si>
    <t>Holiday Inn Pauls Valley - Pete Patel</t>
  </si>
  <si>
    <t>35022/2</t>
  </si>
  <si>
    <t>Holiday Inn Express - Surrounds</t>
  </si>
  <si>
    <t>36298</t>
  </si>
  <si>
    <t>HOME 2 SUITES - Lake Jackson, TX</t>
  </si>
  <si>
    <t>38179</t>
  </si>
  <si>
    <t>38179/2</t>
  </si>
  <si>
    <t>38369</t>
  </si>
  <si>
    <t>38369/2</t>
  </si>
  <si>
    <t>35400/3</t>
  </si>
  <si>
    <t>PUBLIC AREAS OUTDOOR</t>
  </si>
  <si>
    <t>35389/3</t>
  </si>
  <si>
    <t>GUEST ROOMS CASEGOODS</t>
  </si>
  <si>
    <t>36941/2</t>
  </si>
  <si>
    <t>HOME 2 SUITES - Lake Jackson, TX - Extra Items</t>
  </si>
  <si>
    <t>35385/3</t>
  </si>
  <si>
    <t>35395/2</t>
  </si>
  <si>
    <t>PUBLIC AREAS LIGHTING</t>
  </si>
  <si>
    <t>35397/2</t>
  </si>
  <si>
    <t>35403/2</t>
  </si>
  <si>
    <t>ACCESSORIES</t>
  </si>
  <si>
    <t>36941</t>
  </si>
  <si>
    <t>36941/3</t>
  </si>
  <si>
    <t>Home 2 Suites Phoenix AZ</t>
  </si>
  <si>
    <t>34493</t>
  </si>
  <si>
    <t>Hometown Inn &amp; Suites, Memphis TN</t>
  </si>
  <si>
    <t>36617</t>
  </si>
  <si>
    <t>37415</t>
  </si>
  <si>
    <t>38010</t>
  </si>
  <si>
    <t>36798</t>
  </si>
  <si>
    <t>PA  DECORATIVE PANELS</t>
  </si>
  <si>
    <t>36801/2</t>
  </si>
  <si>
    <t>36797</t>
  </si>
  <si>
    <t>Homewood Suites by Hilton</t>
  </si>
  <si>
    <t>38757</t>
  </si>
  <si>
    <t>Chairs</t>
  </si>
  <si>
    <t>Hotel Beacon NYC</t>
  </si>
  <si>
    <t>38064/3</t>
  </si>
  <si>
    <t>38078</t>
  </si>
  <si>
    <t>GR COUNTERTOP @ WET BARS - V.I.F</t>
  </si>
  <si>
    <t>38072</t>
  </si>
  <si>
    <t>GR UPHOLSTERY SEATING</t>
  </si>
  <si>
    <t>38074</t>
  </si>
  <si>
    <t>GR LAQUER DOORS- V.I.F</t>
  </si>
  <si>
    <t>38075/2</t>
  </si>
  <si>
    <t>GR KITCHEN CABINETRY - V.I.F</t>
  </si>
  <si>
    <t>38077/2</t>
  </si>
  <si>
    <t>GR WET BAR CABINETRY - V.I.F</t>
  </si>
  <si>
    <t>38105/3</t>
  </si>
  <si>
    <t>38112</t>
  </si>
  <si>
    <t>Hotel Tops USA/La Quinta Albany, GA</t>
  </si>
  <si>
    <t>36049</t>
  </si>
  <si>
    <t>LIGHTING- FF&amp;E</t>
  </si>
  <si>
    <t>Imagine Porcelain Co. IPC.</t>
  </si>
  <si>
    <t>36932</t>
  </si>
  <si>
    <t>po-nash</t>
  </si>
  <si>
    <t>35789/3</t>
  </si>
  <si>
    <t>po-Rafael Movento</t>
  </si>
  <si>
    <t>36849/11</t>
  </si>
  <si>
    <t>po-pete res</t>
  </si>
  <si>
    <t>Innovativo Design</t>
  </si>
  <si>
    <t>33620</t>
  </si>
  <si>
    <t>Offices</t>
  </si>
  <si>
    <t>33613</t>
  </si>
  <si>
    <t>Nancy Paolino - Lounge Chairs (Personal)</t>
  </si>
  <si>
    <t>Jaimin Patel</t>
  </si>
  <si>
    <t>34868/7</t>
  </si>
  <si>
    <t>Element ft Smith, AR</t>
  </si>
  <si>
    <t>36626</t>
  </si>
  <si>
    <t>Residence Inn, Ft. Smith AR - Guest Room &amp; Guest Bath</t>
  </si>
  <si>
    <t>35071/2</t>
  </si>
  <si>
    <t>OUTDOOR FURNITURE</t>
  </si>
  <si>
    <t>34486/6</t>
  </si>
  <si>
    <t>SHOWER/BATH ACCESSORIES</t>
  </si>
  <si>
    <t>34487/3</t>
  </si>
  <si>
    <t>MILLWORK &amp; COUNTERTOPS</t>
  </si>
  <si>
    <t>35012/10</t>
  </si>
  <si>
    <t>Element Ft. Smith, AR</t>
  </si>
  <si>
    <t>35012/11</t>
  </si>
  <si>
    <t>35012/3</t>
  </si>
  <si>
    <t>35062</t>
  </si>
  <si>
    <t>PA LIGHTING - FF&amp;E</t>
  </si>
  <si>
    <t>35063/3</t>
  </si>
  <si>
    <t>PA SEATING -FF&amp;E</t>
  </si>
  <si>
    <t>35064</t>
  </si>
  <si>
    <t>PA WINDOW TREATMENT-FF&amp;E- TBD</t>
  </si>
  <si>
    <t>35065/6</t>
  </si>
  <si>
    <t>35066</t>
  </si>
  <si>
    <t>PA VINYL WALLCOVERING-FF&amp;E</t>
  </si>
  <si>
    <t>35067/2</t>
  </si>
  <si>
    <t>PA WALL TILE-FF</t>
  </si>
  <si>
    <t>35068</t>
  </si>
  <si>
    <t>PA ACCESSORIES-FF</t>
  </si>
  <si>
    <t>35068/2</t>
  </si>
  <si>
    <t>35069/3</t>
  </si>
  <si>
    <t>PA MILLWORK- GC ITEMS</t>
  </si>
  <si>
    <t>35071/3</t>
  </si>
  <si>
    <t>36625</t>
  </si>
  <si>
    <t>Jay Sun Hospitality LLC / La Quinta La Habra,CA</t>
  </si>
  <si>
    <t>37095</t>
  </si>
  <si>
    <t>36231/2</t>
  </si>
  <si>
    <t>GR SEATING - FF&amp;E</t>
  </si>
  <si>
    <t>36235/2</t>
  </si>
  <si>
    <t>PA SEATING- FF&amp;E</t>
  </si>
  <si>
    <t>36235</t>
  </si>
  <si>
    <t>36231/3</t>
  </si>
  <si>
    <t>36233</t>
  </si>
  <si>
    <t>GR FINISHES - FF</t>
  </si>
  <si>
    <t>36234</t>
  </si>
  <si>
    <t>GR BEDDING &amp; BEDDING FABRICATION - OS&amp;E</t>
  </si>
  <si>
    <t>36237</t>
  </si>
  <si>
    <t>PA FLOOR FINISHES - FF&amp;E</t>
  </si>
  <si>
    <t>35429/6</t>
  </si>
  <si>
    <t>GE CASEGOODS - FF</t>
  </si>
  <si>
    <t>35438/4</t>
  </si>
  <si>
    <t>PA CASEGOODS - FF</t>
  </si>
  <si>
    <t>35440/6</t>
  </si>
  <si>
    <t>36231/4</t>
  </si>
  <si>
    <t>36235/3</t>
  </si>
  <si>
    <t>JERRY OSBOURNE ASSOCIATES HAMPTOM INN HAZARD KY</t>
  </si>
  <si>
    <t>32572/5</t>
  </si>
  <si>
    <t>24841</t>
  </si>
  <si>
    <t>Hampton Inn &amp; Suites</t>
  </si>
  <si>
    <t>Kanti kusum Inc</t>
  </si>
  <si>
    <t>35289</t>
  </si>
  <si>
    <t>WINGATE AUGUSTA EXTRA ITEMS</t>
  </si>
  <si>
    <t>34853/2</t>
  </si>
  <si>
    <t>PUBLIC AREA FINISHES</t>
  </si>
  <si>
    <t>34512</t>
  </si>
  <si>
    <t>ARTWORK</t>
  </si>
  <si>
    <t>34515/3</t>
  </si>
  <si>
    <t>LIGHTING &amp; LIGHTING FABRIC</t>
  </si>
  <si>
    <t>34517</t>
  </si>
  <si>
    <t>QUARTZ</t>
  </si>
  <si>
    <t>34845</t>
  </si>
  <si>
    <t>PUBLIC AREA ARTWORK</t>
  </si>
  <si>
    <t>34848/2</t>
  </si>
  <si>
    <t>PUBLIC AREA LIGHTING</t>
  </si>
  <si>
    <t>34851/2</t>
  </si>
  <si>
    <t>PUBLIC AREA QUARTZ TOP - GC ITEMS</t>
  </si>
  <si>
    <t>34849</t>
  </si>
  <si>
    <t>PUBLIC AREA WINDOW TREATMENT WTR</t>
  </si>
  <si>
    <t>34519</t>
  </si>
  <si>
    <t>WINDOW TREATMENT &amp; WINDOW TREATMENT FABRIC</t>
  </si>
  <si>
    <t>34513/2</t>
  </si>
  <si>
    <t>BEDDING &amp; BEDDING FABRIC</t>
  </si>
  <si>
    <t>34515/4</t>
  </si>
  <si>
    <t>34518/4</t>
  </si>
  <si>
    <t>34521/4</t>
  </si>
  <si>
    <t>Wingate Augusta - GUEST BATH ITEMS</t>
  </si>
  <si>
    <t>34846/3</t>
  </si>
  <si>
    <t>PUBLIC AREA CASEGOODS</t>
  </si>
  <si>
    <t>34850/3</t>
  </si>
  <si>
    <t>PUBLIC AREA MILLWORK</t>
  </si>
  <si>
    <t>34851</t>
  </si>
  <si>
    <t>34514/3</t>
  </si>
  <si>
    <t>CASEGOODS &amp; CASEGOODS FABRIC</t>
  </si>
  <si>
    <t>34515</t>
  </si>
  <si>
    <t>34519/2</t>
  </si>
  <si>
    <t>34520/5</t>
  </si>
  <si>
    <t>34520/6</t>
  </si>
  <si>
    <t>34521/5</t>
  </si>
  <si>
    <t>34847/3</t>
  </si>
  <si>
    <t>PUBLIC AREA SEATING</t>
  </si>
  <si>
    <t>34848/3</t>
  </si>
  <si>
    <t>34850/4</t>
  </si>
  <si>
    <t>34851/3</t>
  </si>
  <si>
    <t>34852</t>
  </si>
  <si>
    <t>PUBLIC AREA BATHROOM ACCESSORIES</t>
  </si>
  <si>
    <t>34852/2</t>
  </si>
  <si>
    <t>34853/3</t>
  </si>
  <si>
    <t>34853/4</t>
  </si>
  <si>
    <t>35289/2</t>
  </si>
  <si>
    <t>35289/3</t>
  </si>
  <si>
    <t>35289/4</t>
  </si>
  <si>
    <t>37042</t>
  </si>
  <si>
    <t>Wingate Augusta Additional Lighting Item</t>
  </si>
  <si>
    <t>Kimpton Monaco Baltimore</t>
  </si>
  <si>
    <t>38735</t>
  </si>
  <si>
    <t>38735/2</t>
  </si>
  <si>
    <t>Kings Bay Coastal Hotel Management LLC / Wingate Kingsland</t>
  </si>
  <si>
    <t>Kings Construction</t>
  </si>
  <si>
    <t>29008/2</t>
  </si>
  <si>
    <t>25968/2</t>
  </si>
  <si>
    <t>32296/2</t>
  </si>
  <si>
    <t>32296/3</t>
  </si>
  <si>
    <t>32296</t>
  </si>
  <si>
    <t>30036/4</t>
  </si>
  <si>
    <t>Gas Station Port Arthur</t>
  </si>
  <si>
    <t>31872</t>
  </si>
  <si>
    <t>Port Arthur Gas Station Additional Items</t>
  </si>
  <si>
    <t>32645</t>
  </si>
  <si>
    <t>FM 529</t>
  </si>
  <si>
    <t>32667</t>
  </si>
  <si>
    <t>32818</t>
  </si>
  <si>
    <t>31256</t>
  </si>
  <si>
    <t>Als House Finalized</t>
  </si>
  <si>
    <t>32538/2</t>
  </si>
  <si>
    <t>32998</t>
  </si>
  <si>
    <t>33005</t>
  </si>
  <si>
    <t>33021</t>
  </si>
  <si>
    <t>33164</t>
  </si>
  <si>
    <t>33164/2</t>
  </si>
  <si>
    <t>33194</t>
  </si>
  <si>
    <t>33271</t>
  </si>
  <si>
    <t>33230</t>
  </si>
  <si>
    <t>33463</t>
  </si>
  <si>
    <t>33490</t>
  </si>
  <si>
    <t>33601</t>
  </si>
  <si>
    <t>33609</t>
  </si>
  <si>
    <t>31256/2</t>
  </si>
  <si>
    <t>33742</t>
  </si>
  <si>
    <t>31256/3</t>
  </si>
  <si>
    <t>33966</t>
  </si>
  <si>
    <t>33966/2</t>
  </si>
  <si>
    <t>31256/4</t>
  </si>
  <si>
    <t>34499</t>
  </si>
  <si>
    <t>Als House Additional Tiles</t>
  </si>
  <si>
    <t>34687</t>
  </si>
  <si>
    <t>34716</t>
  </si>
  <si>
    <t>34687/2</t>
  </si>
  <si>
    <t>34716/2</t>
  </si>
  <si>
    <t>34576</t>
  </si>
  <si>
    <t>34746</t>
  </si>
  <si>
    <t>34784</t>
  </si>
  <si>
    <t>249</t>
  </si>
  <si>
    <t>34883</t>
  </si>
  <si>
    <t>34883/2</t>
  </si>
  <si>
    <t>34961</t>
  </si>
  <si>
    <t>34986</t>
  </si>
  <si>
    <t>34576/2</t>
  </si>
  <si>
    <t>34576/3</t>
  </si>
  <si>
    <t>34576/4</t>
  </si>
  <si>
    <t>34576/5</t>
  </si>
  <si>
    <t>34499/2</t>
  </si>
  <si>
    <t>31256/5</t>
  </si>
  <si>
    <t>34499/3</t>
  </si>
  <si>
    <t>34499/4</t>
  </si>
  <si>
    <t>35031</t>
  </si>
  <si>
    <t>35199</t>
  </si>
  <si>
    <t>Als House Additional tile</t>
  </si>
  <si>
    <t>35199/2</t>
  </si>
  <si>
    <t>36413</t>
  </si>
  <si>
    <t>Additional Pavers</t>
  </si>
  <si>
    <t>36010</t>
  </si>
  <si>
    <t>34576/6</t>
  </si>
  <si>
    <t>36613</t>
  </si>
  <si>
    <t>Pavers &amp; Slabs</t>
  </si>
  <si>
    <t>36613/2</t>
  </si>
  <si>
    <t>38155</t>
  </si>
  <si>
    <t>Als House Additional Boost White Slabs</t>
  </si>
  <si>
    <t>38484</t>
  </si>
  <si>
    <t>Clay Rd</t>
  </si>
  <si>
    <t>38485</t>
  </si>
  <si>
    <t>Al House Additional Slabs</t>
  </si>
  <si>
    <t>38484/2</t>
  </si>
  <si>
    <t>36010/3</t>
  </si>
  <si>
    <t>36613/3</t>
  </si>
  <si>
    <t>38648</t>
  </si>
  <si>
    <t>39024</t>
  </si>
  <si>
    <t>Kyle Hicks</t>
  </si>
  <si>
    <t>La Quinta - Chelsea,AL</t>
  </si>
  <si>
    <t>37459</t>
  </si>
  <si>
    <t>GUEST ROOMS &amp; PUBLIC AREAS WINDOW TREATMENT</t>
  </si>
  <si>
    <t>37459/2</t>
  </si>
  <si>
    <t>La Quinta Athens Alabama</t>
  </si>
  <si>
    <t>36752/3</t>
  </si>
  <si>
    <t>GR CASEGOODS - FF</t>
  </si>
  <si>
    <t>36762/10</t>
  </si>
  <si>
    <t>PA FLOOR FINISHES - FF</t>
  </si>
  <si>
    <t>36763/5</t>
  </si>
  <si>
    <t>PA VINYL WALLCOVERING - FF</t>
  </si>
  <si>
    <t>La Quinta by Wyndham</t>
  </si>
  <si>
    <t>La Quinta by Wyndham Dallas DFW Airport N</t>
  </si>
  <si>
    <t>36041/2</t>
  </si>
  <si>
    <t>36554</t>
  </si>
  <si>
    <t>34794/10</t>
  </si>
  <si>
    <t>CASEGOODS - FF&amp;E</t>
  </si>
  <si>
    <t>34795/8</t>
  </si>
  <si>
    <t>LIGHTING - FF&amp;E</t>
  </si>
  <si>
    <t>34798/7</t>
  </si>
  <si>
    <t>FINISHES - GR</t>
  </si>
  <si>
    <t>34809/15</t>
  </si>
  <si>
    <t>34810/10</t>
  </si>
  <si>
    <t>PA VINYL WALLCOVERING - FF&amp;E</t>
  </si>
  <si>
    <t>34810/11</t>
  </si>
  <si>
    <t>34805/7</t>
  </si>
  <si>
    <t>PA CASEGOODS - FF&amp;E</t>
  </si>
  <si>
    <t>La Quinta Hawthorn - DeSoto,TX</t>
  </si>
  <si>
    <t>35802</t>
  </si>
  <si>
    <t>BATH-ACCESSORIES</t>
  </si>
  <si>
    <t>35780</t>
  </si>
  <si>
    <t>La Quinta -Desoto, Tx</t>
  </si>
  <si>
    <t>35782</t>
  </si>
  <si>
    <t>LA QUINTA - Hawthorne</t>
  </si>
  <si>
    <t>35780/2</t>
  </si>
  <si>
    <t>37619</t>
  </si>
  <si>
    <t>37619/2</t>
  </si>
  <si>
    <t>37619/3</t>
  </si>
  <si>
    <t>37047</t>
  </si>
  <si>
    <t>PA - WALL TILE - FF&amp;E</t>
  </si>
  <si>
    <t>37619/4</t>
  </si>
  <si>
    <t>37619/5</t>
  </si>
  <si>
    <t>37619/6</t>
  </si>
  <si>
    <t>35780/3</t>
  </si>
  <si>
    <t>35782/2</t>
  </si>
  <si>
    <t>35945/2</t>
  </si>
  <si>
    <t>GR MILLWORK</t>
  </si>
  <si>
    <t>35946/5</t>
  </si>
  <si>
    <t>GR _ HS ARTWORK</t>
  </si>
  <si>
    <t>35947/5</t>
  </si>
  <si>
    <t>GR _ HS CASEGOODS - FF</t>
  </si>
  <si>
    <t>35947/6</t>
  </si>
  <si>
    <t>35949/2</t>
  </si>
  <si>
    <t>GR _ HS SEATING - FF</t>
  </si>
  <si>
    <t>35951/5</t>
  </si>
  <si>
    <t>GR _ HS FINISHES - FF</t>
  </si>
  <si>
    <t>35952/3</t>
  </si>
  <si>
    <t>GR _ HS QUARTZ - FF</t>
  </si>
  <si>
    <t>35953</t>
  </si>
  <si>
    <t>GR _ HS BEDDING</t>
  </si>
  <si>
    <t>35954/3</t>
  </si>
  <si>
    <t>35955/6</t>
  </si>
  <si>
    <t>PA - CASEGOODS - FF</t>
  </si>
  <si>
    <t>35956/3</t>
  </si>
  <si>
    <t>PA - LIGHTING - FF</t>
  </si>
  <si>
    <t>35957/7</t>
  </si>
  <si>
    <t>PA - SEATING - FF</t>
  </si>
  <si>
    <t>35959/4</t>
  </si>
  <si>
    <t>35959/6</t>
  </si>
  <si>
    <t>35960/5</t>
  </si>
  <si>
    <t>35961/4</t>
  </si>
  <si>
    <t>PA - WALL TILE - FF</t>
  </si>
  <si>
    <t>35962/3</t>
  </si>
  <si>
    <t>PA - ACCESSORIES</t>
  </si>
  <si>
    <t>35964/2</t>
  </si>
  <si>
    <t>PA QUARTZ - GC ITEMS</t>
  </si>
  <si>
    <t>37397</t>
  </si>
  <si>
    <t>37619/7</t>
  </si>
  <si>
    <t>37979</t>
  </si>
  <si>
    <t>La Quinta Hawthorn - Miamisburg, OH</t>
  </si>
  <si>
    <t>35756/3</t>
  </si>
  <si>
    <t>GR -LQ CASEGOODS - FF&amp;E</t>
  </si>
  <si>
    <t>35758/3</t>
  </si>
  <si>
    <t>GR -LQ SEATING - FF&amp;E</t>
  </si>
  <si>
    <t>35760/5</t>
  </si>
  <si>
    <t>GR -LQ FINISHES - FF</t>
  </si>
  <si>
    <t>35763/4</t>
  </si>
  <si>
    <t>GR -LQ SHOWER/BATH ACCESSORIES - OS</t>
  </si>
  <si>
    <t>35766/3</t>
  </si>
  <si>
    <t>GR -HS CASEGOODS - FF&amp;E</t>
  </si>
  <si>
    <t>35769</t>
  </si>
  <si>
    <t>GR -HS WINDOW TREATMENT</t>
  </si>
  <si>
    <t>La Quinta Inn- Galveston, TX</t>
  </si>
  <si>
    <t>26974/3</t>
  </si>
  <si>
    <t>WALL TILE # 12019.059</t>
  </si>
  <si>
    <t>26967/4</t>
  </si>
  <si>
    <t>MILLWORK # 12019.059</t>
  </si>
  <si>
    <t>31355/5</t>
  </si>
  <si>
    <t>La Quinta INN-Springdale OH</t>
  </si>
  <si>
    <t>37758</t>
  </si>
  <si>
    <t>LA QUINTA ORLANDO</t>
  </si>
  <si>
    <t>33951/4</t>
  </si>
  <si>
    <t>33945/3</t>
  </si>
  <si>
    <t>33569/7</t>
  </si>
  <si>
    <t>GUEST ROOMS WINDOW TREATMENT</t>
  </si>
  <si>
    <t>33953/3</t>
  </si>
  <si>
    <t>PA ACCESSORIES - FF</t>
  </si>
  <si>
    <t>LA QUINTA SHONTO AZ</t>
  </si>
  <si>
    <t>37833</t>
  </si>
  <si>
    <t>Headboard wall vinyl</t>
  </si>
  <si>
    <t>38154</t>
  </si>
  <si>
    <t>Additional carpets</t>
  </si>
  <si>
    <t>38481</t>
  </si>
  <si>
    <t>La Quinta, Anaheim CA</t>
  </si>
  <si>
    <t>34013/2</t>
  </si>
  <si>
    <t>SEATING - FF</t>
  </si>
  <si>
    <t>33983/3</t>
  </si>
  <si>
    <t>Guest Bath Items</t>
  </si>
  <si>
    <t>33983/4</t>
  </si>
  <si>
    <t>34010</t>
  </si>
  <si>
    <t>ARTWORK &amp; MIRRORS - FF&amp;E</t>
  </si>
  <si>
    <t>34011/3</t>
  </si>
  <si>
    <t>CASEGOODS - FF</t>
  </si>
  <si>
    <t>34012</t>
  </si>
  <si>
    <t>34013/3</t>
  </si>
  <si>
    <t>34016</t>
  </si>
  <si>
    <t>BED BASES</t>
  </si>
  <si>
    <t>34112/2</t>
  </si>
  <si>
    <t>34113</t>
  </si>
  <si>
    <t>PA LIGHTING- FF</t>
  </si>
  <si>
    <t>34114/2</t>
  </si>
  <si>
    <t>34120</t>
  </si>
  <si>
    <t>PA MILLWORK - GC ITEMS</t>
  </si>
  <si>
    <t>34013/5</t>
  </si>
  <si>
    <t>34114/3</t>
  </si>
  <si>
    <t>34011/4</t>
  </si>
  <si>
    <t>33983/8</t>
  </si>
  <si>
    <t>33983/9</t>
  </si>
  <si>
    <t>34013/7</t>
  </si>
  <si>
    <t>34017</t>
  </si>
  <si>
    <t>MILLWORK</t>
  </si>
  <si>
    <t>34119/2</t>
  </si>
  <si>
    <t>34013/8</t>
  </si>
  <si>
    <t>34016/2</t>
  </si>
  <si>
    <t>34112/4</t>
  </si>
  <si>
    <t>34114/5</t>
  </si>
  <si>
    <t>34120/2</t>
  </si>
  <si>
    <t>La Quinta, Huntsville AL</t>
  </si>
  <si>
    <t>34735/4</t>
  </si>
  <si>
    <t>31910/10</t>
  </si>
  <si>
    <t>La Quinta Huntsville AL (Bath Scope)</t>
  </si>
  <si>
    <t>32688/2</t>
  </si>
  <si>
    <t>WINDOW TREATMENT - FF&amp;E</t>
  </si>
  <si>
    <t>La Quinta- Santa Rosa, CA</t>
  </si>
  <si>
    <t>38742</t>
  </si>
  <si>
    <t>Lansdowne Resort &amp; Spa</t>
  </si>
  <si>
    <t>33487/3</t>
  </si>
  <si>
    <t>Laquinta Homewood Alabama</t>
  </si>
  <si>
    <t>37511</t>
  </si>
  <si>
    <t>LaQuinta Inn &amp; Suites Oxford AL</t>
  </si>
  <si>
    <t>38371</t>
  </si>
  <si>
    <t>38371/2</t>
  </si>
  <si>
    <t>38371/4</t>
  </si>
  <si>
    <t>37420/2</t>
  </si>
  <si>
    <t>37420/3</t>
  </si>
  <si>
    <t>37420/4</t>
  </si>
  <si>
    <t>LaQuinta Inn Pharr TX</t>
  </si>
  <si>
    <t>33753</t>
  </si>
  <si>
    <t>33822/3</t>
  </si>
  <si>
    <t>37363</t>
  </si>
  <si>
    <t>LaQuinta McAllen</t>
  </si>
  <si>
    <t>36644</t>
  </si>
  <si>
    <t>Laquinta Memphis</t>
  </si>
  <si>
    <t>33340/2</t>
  </si>
  <si>
    <t>PUBLIC AREAS LIGHTING - FF</t>
  </si>
  <si>
    <t>33344/3</t>
  </si>
  <si>
    <t>PUBLIC AREAS VINYL WALLCOVERING - FF&amp;E</t>
  </si>
  <si>
    <t>33345/3</t>
  </si>
  <si>
    <t>PUBLIC AREAS WALL TILE - FF</t>
  </si>
  <si>
    <t>34765</t>
  </si>
  <si>
    <t>36128</t>
  </si>
  <si>
    <t>La Quinta Memphis Additional Bath Items</t>
  </si>
  <si>
    <t>36128/2</t>
  </si>
  <si>
    <t>36855/6</t>
  </si>
  <si>
    <t>33346/2</t>
  </si>
  <si>
    <t>PUBLIC AREAS ACCESSORIES - GC ITEMS</t>
  </si>
  <si>
    <t>33328/5</t>
  </si>
  <si>
    <t>GUEST ROOMS CASEGOODS - FF&amp;E</t>
  </si>
  <si>
    <t>33330/7</t>
  </si>
  <si>
    <t>GUEST ROOMS SEATING - FF&amp;E</t>
  </si>
  <si>
    <t>33331/3</t>
  </si>
  <si>
    <t>33332/2</t>
  </si>
  <si>
    <t>GUEST ROOMS FINISHES - FF&amp;E</t>
  </si>
  <si>
    <t>33337/7</t>
  </si>
  <si>
    <t>GUEST ROOMS MILLWORK &amp; COUNTERTOPS - GC ITEMS</t>
  </si>
  <si>
    <t>33339/4</t>
  </si>
  <si>
    <t>PUBLIC AREAS CASEGOODS - FF</t>
  </si>
  <si>
    <t>33340/3</t>
  </si>
  <si>
    <t>33341/8</t>
  </si>
  <si>
    <t>PUBLIC AREAS SEATING - FF</t>
  </si>
  <si>
    <t>33342/3</t>
  </si>
  <si>
    <t>PUBLIC AREAS WINDOW TREATMENT - TBD - FF</t>
  </si>
  <si>
    <t>33343/8</t>
  </si>
  <si>
    <t>PUBLIC AREA</t>
  </si>
  <si>
    <t>33346/3</t>
  </si>
  <si>
    <t>33347/4</t>
  </si>
  <si>
    <t>PUBLIC AREAS MILLWORK - GC ITEMS</t>
  </si>
  <si>
    <t>33348/2</t>
  </si>
  <si>
    <t>PUBLIC AREAS QUARTZ TOP - GC ITEMS</t>
  </si>
  <si>
    <t>36128/5</t>
  </si>
  <si>
    <t>36855/7</t>
  </si>
  <si>
    <t>36855/8</t>
  </si>
  <si>
    <t>LaQuinta/Hawthone - Knoxville TN - AMit</t>
  </si>
  <si>
    <t>33702/3</t>
  </si>
  <si>
    <t>GUEST ROOMS _ LQ ARTWORK</t>
  </si>
  <si>
    <t>33705/4</t>
  </si>
  <si>
    <t>GUEST ROOMS _ LQ SEATING - FF</t>
  </si>
  <si>
    <t>33721</t>
  </si>
  <si>
    <t>PUBLIC AREAS CASEGOODS - FF&amp;E</t>
  </si>
  <si>
    <t>33724</t>
  </si>
  <si>
    <t>PUBLIC AREAS WINDOW TREATMENT - TBD - FF&amp;E</t>
  </si>
  <si>
    <t>33729/2</t>
  </si>
  <si>
    <t>33707/6</t>
  </si>
  <si>
    <t>GUEST ROOMS _ LQ FINISHES - FF&amp;E</t>
  </si>
  <si>
    <t>Las Vegas Resort Holdings, LLC</t>
  </si>
  <si>
    <t>35727</t>
  </si>
  <si>
    <t>227334</t>
  </si>
  <si>
    <t>noodle den chairs</t>
  </si>
  <si>
    <t>36746</t>
  </si>
  <si>
    <t>P0240431</t>
  </si>
  <si>
    <t>Restroom Tiles</t>
  </si>
  <si>
    <t>26630/7</t>
  </si>
  <si>
    <t>148928</t>
  </si>
  <si>
    <t>Sahara Marra Tower FF&amp;E</t>
  </si>
  <si>
    <t>33017</t>
  </si>
  <si>
    <t>Bazaar Meats Restaurant Dining Chairs Fabrication</t>
  </si>
  <si>
    <t>35257</t>
  </si>
  <si>
    <t>221314</t>
  </si>
  <si>
    <t>Gold Outlets</t>
  </si>
  <si>
    <t>37621/3</t>
  </si>
  <si>
    <t>P0253441</t>
  </si>
  <si>
    <t>Azilo Cocktail Club</t>
  </si>
  <si>
    <t>36746/2</t>
  </si>
  <si>
    <t>36746/3</t>
  </si>
  <si>
    <t>38273/5</t>
  </si>
  <si>
    <t>SLV Alexandria MUR</t>
  </si>
  <si>
    <t>38273</t>
  </si>
  <si>
    <t>38273/3</t>
  </si>
  <si>
    <t>38273/9</t>
  </si>
  <si>
    <t>38273/7</t>
  </si>
  <si>
    <t>38273/8</t>
  </si>
  <si>
    <t>38273/4</t>
  </si>
  <si>
    <t>38273/6</t>
  </si>
  <si>
    <t>38273/10</t>
  </si>
  <si>
    <t>37904</t>
  </si>
  <si>
    <t>P0252878</t>
  </si>
  <si>
    <t>Marra Room Tiles</t>
  </si>
  <si>
    <t>38273/11</t>
  </si>
  <si>
    <t>38273/12</t>
  </si>
  <si>
    <t>38273/2</t>
  </si>
  <si>
    <t>37904/2</t>
  </si>
  <si>
    <t>37904/3</t>
  </si>
  <si>
    <t>38273/13</t>
  </si>
  <si>
    <t>38273/14</t>
  </si>
  <si>
    <t>38890</t>
  </si>
  <si>
    <t>35620</t>
  </si>
  <si>
    <t>P0256547</t>
  </si>
  <si>
    <t>SLS Phase 3</t>
  </si>
  <si>
    <t>37621/2</t>
  </si>
  <si>
    <t>LQ Kingston</t>
  </si>
  <si>
    <t>34993/10</t>
  </si>
  <si>
    <t>34885/2</t>
  </si>
  <si>
    <t>Additional - GUEST ROOMS SHOWER BATH ACCESSORIES</t>
  </si>
  <si>
    <t>LQ Management, LLC C/o HSI Design Group</t>
  </si>
  <si>
    <t>17311/2</t>
  </si>
  <si>
    <t>92658</t>
  </si>
  <si>
    <t>Inn#1029 CLEVELAND</t>
  </si>
  <si>
    <t>Magnolia LXR Dallas TX -</t>
  </si>
  <si>
    <t>33495</t>
  </si>
  <si>
    <t>LXR Magnolia Dallas, TX - Mock Up Room</t>
  </si>
  <si>
    <t>34086</t>
  </si>
  <si>
    <t>33495/3</t>
  </si>
  <si>
    <t>33495/4</t>
  </si>
  <si>
    <t>34086/4</t>
  </si>
  <si>
    <t>33495/5</t>
  </si>
  <si>
    <t>Mesquite Gaming</t>
  </si>
  <si>
    <t>38577/3</t>
  </si>
  <si>
    <t>CORRIDORS FINISHES</t>
  </si>
  <si>
    <t>39077</t>
  </si>
  <si>
    <t>Microtel - Tracy Ca</t>
  </si>
  <si>
    <t>36590</t>
  </si>
  <si>
    <t>Wall Tiles</t>
  </si>
  <si>
    <t>Milender-White</t>
  </si>
  <si>
    <t>37072</t>
  </si>
  <si>
    <t>Milender-White  1430 Lincoln Boulevard</t>
  </si>
  <si>
    <t>38099</t>
  </si>
  <si>
    <t>501 Broadway</t>
  </si>
  <si>
    <t>37071</t>
  </si>
  <si>
    <t>Milender-White 1650 Lincoln Blvd</t>
  </si>
  <si>
    <t>37072/2</t>
  </si>
  <si>
    <t>Monsoon Flower LLC</t>
  </si>
  <si>
    <t>37960/2</t>
  </si>
  <si>
    <t>37959</t>
  </si>
  <si>
    <t>37957/2</t>
  </si>
  <si>
    <t>37961/3</t>
  </si>
  <si>
    <t>37961/4</t>
  </si>
  <si>
    <t>37955/3</t>
  </si>
  <si>
    <t>ARTWORKS</t>
  </si>
  <si>
    <t>37956</t>
  </si>
  <si>
    <t>BEDDING</t>
  </si>
  <si>
    <t>37957/3</t>
  </si>
  <si>
    <t>Nancy Paolino</t>
  </si>
  <si>
    <t>32559/2</t>
  </si>
  <si>
    <t>32303</t>
  </si>
  <si>
    <t>Palm Beach house</t>
  </si>
  <si>
    <t>32303/2</t>
  </si>
  <si>
    <t>33261</t>
  </si>
  <si>
    <t>Palm Beach House Additional Tile</t>
  </si>
  <si>
    <t>32303/3</t>
  </si>
  <si>
    <t>33233</t>
  </si>
  <si>
    <t>Palm Beach Slabs</t>
  </si>
  <si>
    <t>33506</t>
  </si>
  <si>
    <t>33506/2</t>
  </si>
  <si>
    <t>36512/2</t>
  </si>
  <si>
    <t>Palm Beach House</t>
  </si>
  <si>
    <t>New crest image Magnolia Dallas</t>
  </si>
  <si>
    <t>31522</t>
  </si>
  <si>
    <t>New Rock Tile</t>
  </si>
  <si>
    <t>36931/2</t>
  </si>
  <si>
    <t>TILE</t>
  </si>
  <si>
    <t>Newcrest Image</t>
  </si>
  <si>
    <t>36439/3</t>
  </si>
  <si>
    <t>Days Inn by Wyndham Atlantic City Oceanfront-Boardwalk</t>
  </si>
  <si>
    <t>35972</t>
  </si>
  <si>
    <t>screen</t>
  </si>
  <si>
    <t>Newcrest Management, LLC</t>
  </si>
  <si>
    <t>37140</t>
  </si>
  <si>
    <t>Warwick Hotel</t>
  </si>
  <si>
    <t>Nick Platt Construction</t>
  </si>
  <si>
    <t>NICOLE BAILEY INTERIORS</t>
  </si>
  <si>
    <t>30358</t>
  </si>
  <si>
    <t>po-630 hedwig</t>
  </si>
  <si>
    <t>30358/2</t>
  </si>
  <si>
    <t>Noordin Prasla</t>
  </si>
  <si>
    <t>35348</t>
  </si>
  <si>
    <t>Noordin Kitchen</t>
  </si>
  <si>
    <t>Northlake Innkeepers I Ltd.</t>
  </si>
  <si>
    <t>37285</t>
  </si>
  <si>
    <t>37271/14</t>
  </si>
  <si>
    <t>Cambria, North Lake TX_Conference Centre_</t>
  </si>
  <si>
    <t>37279/3</t>
  </si>
  <si>
    <t>Overland Park KS</t>
  </si>
  <si>
    <t>33157</t>
  </si>
  <si>
    <t>PO-Overland Park KS</t>
  </si>
  <si>
    <t>Padua Realty Company</t>
  </si>
  <si>
    <t>38950</t>
  </si>
  <si>
    <t>Pitt-Cran Hospitality, LLC/ Wingate Cranberry</t>
  </si>
  <si>
    <t>38123/4</t>
  </si>
  <si>
    <t>38123/5</t>
  </si>
  <si>
    <t>38126</t>
  </si>
  <si>
    <t>GR DECORATIVE PILLOW</t>
  </si>
  <si>
    <t>38132/2</t>
  </si>
  <si>
    <t>38122/3</t>
  </si>
  <si>
    <t>38128/2</t>
  </si>
  <si>
    <t>38121/2</t>
  </si>
  <si>
    <t>GR ARTWORK</t>
  </si>
  <si>
    <t>38124/3</t>
  </si>
  <si>
    <t>38121/3</t>
  </si>
  <si>
    <t>38123/3</t>
  </si>
  <si>
    <t>38124/2</t>
  </si>
  <si>
    <t>38122/4</t>
  </si>
  <si>
    <t>Prince Preferred Hotels</t>
  </si>
  <si>
    <t>36567/4</t>
  </si>
  <si>
    <t>36567/6</t>
  </si>
  <si>
    <t>36568/3</t>
  </si>
  <si>
    <t>GR LIGHTING - FF</t>
  </si>
  <si>
    <t>36580/4</t>
  </si>
  <si>
    <t>36585</t>
  </si>
  <si>
    <t>36585/4</t>
  </si>
  <si>
    <t>Ramada Plaza Resort &amp;amp; Suites Orlando/  MIC Hotel Corp</t>
  </si>
  <si>
    <t>37651</t>
  </si>
  <si>
    <t>38543</t>
  </si>
  <si>
    <t>38543/2</t>
  </si>
  <si>
    <t>38093</t>
  </si>
  <si>
    <t>38096/4</t>
  </si>
  <si>
    <t>38543/3</t>
  </si>
  <si>
    <t>38543/4</t>
  </si>
  <si>
    <t>Ray Dayal</t>
  </si>
  <si>
    <t>31363</t>
  </si>
  <si>
    <t>Clar</t>
  </si>
  <si>
    <t>CLARION HOTEL NASHVILLE</t>
  </si>
  <si>
    <t>Red Roof Plus-Manassas</t>
  </si>
  <si>
    <t>33283</t>
  </si>
  <si>
    <t>Residence Inn Indianapolis,IN</t>
  </si>
  <si>
    <t>38296</t>
  </si>
  <si>
    <t>Residence Inn Indianapolis Guestrooms &amp;  Public Area</t>
  </si>
  <si>
    <t>37765/2</t>
  </si>
  <si>
    <t>37765/3</t>
  </si>
  <si>
    <t>37765/6</t>
  </si>
  <si>
    <t>37765/7</t>
  </si>
  <si>
    <t>37767/3</t>
  </si>
  <si>
    <t>37767/5</t>
  </si>
  <si>
    <t>37768</t>
  </si>
  <si>
    <t>37769/4</t>
  </si>
  <si>
    <t>37769/6</t>
  </si>
  <si>
    <t>37769/7</t>
  </si>
  <si>
    <t>37771</t>
  </si>
  <si>
    <t>GR BED BASES</t>
  </si>
  <si>
    <t>37772/2</t>
  </si>
  <si>
    <t>GR SHOWER BATH ACCESSORIES</t>
  </si>
  <si>
    <t>37772/5</t>
  </si>
  <si>
    <t>37774/3</t>
  </si>
  <si>
    <t>GR QUARTZ</t>
  </si>
  <si>
    <t>37774/4</t>
  </si>
  <si>
    <t>37777/3</t>
  </si>
  <si>
    <t>PA CASEGOOD</t>
  </si>
  <si>
    <t>37779</t>
  </si>
  <si>
    <t>PA SEATING -FF</t>
  </si>
  <si>
    <t>37779/2</t>
  </si>
  <si>
    <t>37780</t>
  </si>
  <si>
    <t>37781/10</t>
  </si>
  <si>
    <t>37781/9</t>
  </si>
  <si>
    <t>37782</t>
  </si>
  <si>
    <t>37782/2</t>
  </si>
  <si>
    <t>37785</t>
  </si>
  <si>
    <t>38296/4</t>
  </si>
  <si>
    <t>Rio Vista Holdings LLC</t>
  </si>
  <si>
    <t>35119/2</t>
  </si>
  <si>
    <t>Ritzway Group, LLC / Crowne Plaza Galleria Area</t>
  </si>
  <si>
    <t>35785</t>
  </si>
  <si>
    <t>35785/2</t>
  </si>
  <si>
    <t>RMZ Construction</t>
  </si>
  <si>
    <t>35267</t>
  </si>
  <si>
    <t>Sam Shah</t>
  </si>
  <si>
    <t>36306</t>
  </si>
  <si>
    <t>Comfort Inn Renovation</t>
  </si>
  <si>
    <t>36306/2</t>
  </si>
  <si>
    <t>36306/3</t>
  </si>
  <si>
    <t>36529</t>
  </si>
  <si>
    <t>36529/2</t>
  </si>
  <si>
    <t>36847</t>
  </si>
  <si>
    <t>36529/3</t>
  </si>
  <si>
    <t>36529/4</t>
  </si>
  <si>
    <t>36529/5</t>
  </si>
  <si>
    <t>37666</t>
  </si>
  <si>
    <t>PO-Sparkling white</t>
  </si>
  <si>
    <t>36306/4</t>
  </si>
  <si>
    <t>38518</t>
  </si>
  <si>
    <t>SAM SHAH / ISHA REALTY INC. -COMFORT INN - GALVESTON</t>
  </si>
  <si>
    <t>31858</t>
  </si>
  <si>
    <t>34457</t>
  </si>
  <si>
    <t>Sam Shah Residence</t>
  </si>
  <si>
    <t>32075</t>
  </si>
  <si>
    <t>home kitchen</t>
  </si>
  <si>
    <t>33692</t>
  </si>
  <si>
    <t>32075/3</t>
  </si>
  <si>
    <t>SAPIEN STONE INC</t>
  </si>
  <si>
    <t>30711</t>
  </si>
  <si>
    <t>PO-SUBLIME DISPLAY</t>
  </si>
  <si>
    <t>SUBLIME CUSTONM STONE</t>
  </si>
  <si>
    <t>Shri Omkara LLC</t>
  </si>
  <si>
    <t>38848</t>
  </si>
  <si>
    <t>Sigma Marble Granite and Tile</t>
  </si>
  <si>
    <t>26086/3</t>
  </si>
  <si>
    <t>C.O# 73052</t>
  </si>
  <si>
    <t>55 WAUGH</t>
  </si>
  <si>
    <t>SKIMS Retail</t>
  </si>
  <si>
    <t>38406/4</t>
  </si>
  <si>
    <t>Skims retail projects</t>
  </si>
  <si>
    <t>SMD Contracting, Inc</t>
  </si>
  <si>
    <t>38336</t>
  </si>
  <si>
    <t>Chilis Orange City</t>
  </si>
  <si>
    <t>Someshwar Motel LLC - Comfort Inn Ogallala, NE</t>
  </si>
  <si>
    <t>37914/5</t>
  </si>
  <si>
    <t>37918/2</t>
  </si>
  <si>
    <t>PA SEATINGS</t>
  </si>
  <si>
    <t>Stay Bridge - Manteca - CA - Aman Dhillon</t>
  </si>
  <si>
    <t>34654</t>
  </si>
  <si>
    <t>34660/9</t>
  </si>
  <si>
    <t>34655</t>
  </si>
  <si>
    <t>34650/4</t>
  </si>
  <si>
    <t>34657/4</t>
  </si>
  <si>
    <t>34443/8</t>
  </si>
  <si>
    <t>GUESTROOM FIXTURES AND EQUIPMENT</t>
  </si>
  <si>
    <t>34446/6</t>
  </si>
  <si>
    <t>34452/3</t>
  </si>
  <si>
    <t>QUARTZ- TOP</t>
  </si>
  <si>
    <t>34454/11</t>
  </si>
  <si>
    <t>34649/2</t>
  </si>
  <si>
    <t>34650/5</t>
  </si>
  <si>
    <t>34653</t>
  </si>
  <si>
    <t>PA MIRRORS</t>
  </si>
  <si>
    <t>34656/3</t>
  </si>
  <si>
    <t>34657/5</t>
  </si>
  <si>
    <t>34658/2</t>
  </si>
  <si>
    <t>34659</t>
  </si>
  <si>
    <t>34660/10</t>
  </si>
  <si>
    <t>35784/2</t>
  </si>
  <si>
    <t>STONE EDGE COUNTERTTOPS</t>
  </si>
  <si>
    <t>33012</t>
  </si>
  <si>
    <t>po-cruz 8/23/ uni ice</t>
  </si>
  <si>
    <t>StonePeak Ceramics, INC.</t>
  </si>
  <si>
    <t>30574</t>
  </si>
  <si>
    <t>201 79th street New York Tile - Truck #12 - West Shipment 2</t>
  </si>
  <si>
    <t>Sunray Group / Holiday Inn Burlington Hotel &amp; Conference Centre CANADA</t>
  </si>
  <si>
    <t>34843/4</t>
  </si>
  <si>
    <t>HICWDBURPA2023-0025-R01</t>
  </si>
  <si>
    <t>Seating</t>
  </si>
  <si>
    <t>34843/5</t>
  </si>
  <si>
    <t>SUPREME BRIGHT ATLANTIC CITY LLC (TRIBUTE SEAHAUS)</t>
  </si>
  <si>
    <t>37467/8</t>
  </si>
  <si>
    <t>Tribute Seahaus Atlantic City NJ - GR FINISHES</t>
  </si>
  <si>
    <t>38047/13</t>
  </si>
  <si>
    <t>TSAC - GC Scope Public Area</t>
  </si>
  <si>
    <t>38047/19</t>
  </si>
  <si>
    <t>39078</t>
  </si>
  <si>
    <t>39079</t>
  </si>
  <si>
    <t>Supreme Bright Westlake I LLC</t>
  </si>
  <si>
    <t>34927</t>
  </si>
  <si>
    <t>Taj mahal flooring and wall tiles in guest bath</t>
  </si>
  <si>
    <t>34842/4</t>
  </si>
  <si>
    <t>WADTX - Mock Up Room FF&amp;E</t>
  </si>
  <si>
    <t>SWINERTON</t>
  </si>
  <si>
    <t>38181/3</t>
  </si>
  <si>
    <t>The C.A. Harrison Companies, LLC</t>
  </si>
  <si>
    <t>31238</t>
  </si>
  <si>
    <t>Tabacco - LED Mirrors</t>
  </si>
  <si>
    <t>The Eden</t>
  </si>
  <si>
    <t>34502/7</t>
  </si>
  <si>
    <t>The Place Port Aransas TX</t>
  </si>
  <si>
    <t>37859/4</t>
  </si>
  <si>
    <t>GR FINISHES ARCHITECTURAL</t>
  </si>
  <si>
    <t>37861/3</t>
  </si>
  <si>
    <t>37865/7</t>
  </si>
  <si>
    <t>Trilogy Autograph Huntsville</t>
  </si>
  <si>
    <t>39040</t>
  </si>
  <si>
    <t>Trylon LLC/ RJ Construction LTD</t>
  </si>
  <si>
    <t>38675</t>
  </si>
  <si>
    <t>PA - PLANTERS</t>
  </si>
  <si>
    <t>Two one two</t>
  </si>
  <si>
    <t>38622</t>
  </si>
  <si>
    <t>Amiri Beverly Center, CA project</t>
  </si>
  <si>
    <t>Urban Atelier Group LLC</t>
  </si>
  <si>
    <t>36072/5</t>
  </si>
  <si>
    <t>Cabinets/Bath Accessories/Decorative Lighting</t>
  </si>
  <si>
    <t>36095</t>
  </si>
  <si>
    <t>Countertops</t>
  </si>
  <si>
    <t>Watermark Commercial Contractors LLC</t>
  </si>
  <si>
    <t>33991/2</t>
  </si>
  <si>
    <t>Fishpond Living at Alice</t>
  </si>
  <si>
    <t>33443/4</t>
  </si>
  <si>
    <t>VERNON PIONEER CROSSING</t>
  </si>
  <si>
    <t>38049/2</t>
  </si>
  <si>
    <t>Millpond Alice</t>
  </si>
  <si>
    <t>Weaver Cooke Construction, LLC&gt;</t>
  </si>
  <si>
    <t>30816/3</t>
  </si>
  <si>
    <t>The Lofts at Whitaker Park - Multi-family</t>
  </si>
  <si>
    <t>Westport KC</t>
  </si>
  <si>
    <t>33154</t>
  </si>
  <si>
    <t>PO-WESTPORT KC</t>
  </si>
  <si>
    <t>Wingate - Erlanger, KY</t>
  </si>
  <si>
    <t>35981/4</t>
  </si>
  <si>
    <t>36952</t>
  </si>
  <si>
    <t>Wingate - Erlanger, KY- Window Treament</t>
  </si>
  <si>
    <t>35981/5</t>
  </si>
  <si>
    <t>35981/6</t>
  </si>
  <si>
    <t>36952/2</t>
  </si>
  <si>
    <t>Wingate by Wyndham-Farmington, NM.</t>
  </si>
  <si>
    <t>36143/6</t>
  </si>
  <si>
    <t>36143/7</t>
  </si>
  <si>
    <t>36147/2</t>
  </si>
  <si>
    <t>PA SEATING &amp; SEATING FABRIC</t>
  </si>
  <si>
    <t>36148</t>
  </si>
  <si>
    <t>PA VINYL WALLCOVERING</t>
  </si>
  <si>
    <t>36151/2</t>
  </si>
  <si>
    <t>PUBLIC RESTROOM ACCESSORIES</t>
  </si>
  <si>
    <t>36147/3</t>
  </si>
  <si>
    <t>36143/8</t>
  </si>
  <si>
    <t>36136</t>
  </si>
  <si>
    <t>36138/2</t>
  </si>
  <si>
    <t>36140/5</t>
  </si>
  <si>
    <t>GR GUEST BATH ITEMS</t>
  </si>
  <si>
    <t>36520/2</t>
  </si>
  <si>
    <t>CARPET</t>
  </si>
  <si>
    <t>36132/4</t>
  </si>
  <si>
    <t>36133/7</t>
  </si>
  <si>
    <t>GR CASE GOODS</t>
  </si>
  <si>
    <t>36134/2</t>
  </si>
  <si>
    <t>36141</t>
  </si>
  <si>
    <t>36144</t>
  </si>
  <si>
    <t>PA DECORATIVE PILLOW &amp; PILLOW FABRIC</t>
  </si>
  <si>
    <t>36147/4</t>
  </si>
  <si>
    <t>36149/2</t>
  </si>
  <si>
    <t>36153</t>
  </si>
  <si>
    <t>Wingate Owensboro_KY</t>
  </si>
  <si>
    <t>35528/3</t>
  </si>
  <si>
    <t>35529/5</t>
  </si>
  <si>
    <t>35529/7</t>
  </si>
  <si>
    <t>36550</t>
  </si>
  <si>
    <t>PUBLIC AREAS CARPET &amp; CARPET PAD</t>
  </si>
  <si>
    <t>Wingate/ Hawthorne Kingman</t>
  </si>
  <si>
    <t>35318</t>
  </si>
  <si>
    <t>Add tiles short from SO#34894</t>
  </si>
  <si>
    <t>35318/2</t>
  </si>
  <si>
    <t>35104</t>
  </si>
  <si>
    <t>35104/2</t>
  </si>
  <si>
    <t>35104/3</t>
  </si>
  <si>
    <t>36295</t>
  </si>
  <si>
    <t>additional wall vinyl</t>
  </si>
  <si>
    <t>35104/6</t>
  </si>
  <si>
    <t>WYNDHAM D&amp;C CONFERENCE BOOTH / WYNDHAM BRAND</t>
  </si>
  <si>
    <t>34731</t>
  </si>
  <si>
    <t>34731/2</t>
  </si>
  <si>
    <t>Wyndham Garden Ann Arbor</t>
  </si>
  <si>
    <t>38228</t>
  </si>
  <si>
    <t>WYNDHAM GARDEN INN- MANASSAS, VA</t>
  </si>
  <si>
    <t>38449/3</t>
  </si>
  <si>
    <t>GR SEATING &amp; SEATING FABRIC</t>
  </si>
  <si>
    <t>38449/2</t>
  </si>
  <si>
    <t>Wyndham Trademark Fredericksburg</t>
  </si>
  <si>
    <t>35965/2</t>
  </si>
  <si>
    <t>Yale Tile &amp; Stone, LLC</t>
  </si>
  <si>
    <t>YLH CONSTRUCTION COMPANY</t>
  </si>
  <si>
    <t>32239/3</t>
  </si>
  <si>
    <t>DREWRY / ROYCRAFT CONDO</t>
  </si>
  <si>
    <t>Date</t>
  </si>
  <si>
    <t>July revenue</t>
  </si>
  <si>
    <t>CANDLEWOOD LAFAYETTE</t>
  </si>
  <si>
    <t>33495/7</t>
  </si>
  <si>
    <t>A11001 - Accounts Receivable (New)</t>
  </si>
  <si>
    <t>A40001 - Sales Income (New)</t>
  </si>
  <si>
    <t>33565/10</t>
  </si>
  <si>
    <t>33722/5</t>
  </si>
  <si>
    <t>34086/8</t>
  </si>
  <si>
    <t>34113/2</t>
  </si>
  <si>
    <t>La Quinta Inn &amp; Suites- Seatac Airport- Seattle WA</t>
  </si>
  <si>
    <t>34289/3</t>
  </si>
  <si>
    <t>36159/4</t>
  </si>
  <si>
    <t>37579/3</t>
  </si>
  <si>
    <t>37759/3</t>
  </si>
  <si>
    <t>37959/2</t>
  </si>
  <si>
    <t>35796/2</t>
  </si>
  <si>
    <t>LaQuinta - Naples - FL - Raj Mukkirla</t>
  </si>
  <si>
    <t>37579/2</t>
  </si>
  <si>
    <t>38235/4</t>
  </si>
  <si>
    <t>38382/3</t>
  </si>
  <si>
    <t>38403/2</t>
  </si>
  <si>
    <t>38403/3</t>
  </si>
  <si>
    <t>38403/4</t>
  </si>
  <si>
    <t>38394/3</t>
  </si>
  <si>
    <t>35797/2</t>
  </si>
  <si>
    <t>35809/2</t>
  </si>
  <si>
    <t>37676/2</t>
  </si>
  <si>
    <t>37683/7</t>
  </si>
  <si>
    <t>38525/2</t>
  </si>
  <si>
    <t>LaQuinta Yakima WA</t>
  </si>
  <si>
    <t>35431/7</t>
  </si>
  <si>
    <t>36783/5</t>
  </si>
  <si>
    <t>37061/6</t>
  </si>
  <si>
    <t>37271/12</t>
  </si>
  <si>
    <t>37288/5</t>
  </si>
  <si>
    <t>37288/6</t>
  </si>
  <si>
    <t>37762/3</t>
  </si>
  <si>
    <t>36569/2</t>
  </si>
  <si>
    <t>36576/2</t>
  </si>
  <si>
    <t>36580/2</t>
  </si>
  <si>
    <t>36582/2</t>
  </si>
  <si>
    <t>36583/4</t>
  </si>
  <si>
    <t>38388/2</t>
  </si>
  <si>
    <t>38386/3</t>
  </si>
  <si>
    <t>38394/2</t>
  </si>
  <si>
    <t>38213/6</t>
  </si>
  <si>
    <t>36849/10</t>
  </si>
  <si>
    <t>37090/2</t>
  </si>
  <si>
    <t>37678/6</t>
  </si>
  <si>
    <t>38301/3</t>
  </si>
  <si>
    <t>38304/2</t>
  </si>
  <si>
    <t>38299/2</t>
  </si>
  <si>
    <t>38305/4</t>
  </si>
  <si>
    <t>38305/6</t>
  </si>
  <si>
    <t>38325/5</t>
  </si>
  <si>
    <t>38516/2</t>
  </si>
  <si>
    <t>34035/3</t>
  </si>
  <si>
    <t>Continental Inns of America La Quinta Inn</t>
  </si>
  <si>
    <t>36567/5</t>
  </si>
  <si>
    <t>36568/2</t>
  </si>
  <si>
    <t>36569/3</t>
  </si>
  <si>
    <t>36578/2</t>
  </si>
  <si>
    <t>36580/3</t>
  </si>
  <si>
    <t>36583/5</t>
  </si>
  <si>
    <t>37977/5</t>
  </si>
  <si>
    <t>38235/5</t>
  </si>
  <si>
    <t>35228/10</t>
  </si>
  <si>
    <t>36579/3</t>
  </si>
  <si>
    <t>36758/3</t>
  </si>
  <si>
    <t>36766/3</t>
  </si>
  <si>
    <t>36920/4</t>
  </si>
  <si>
    <t>37412/4</t>
  </si>
  <si>
    <t>37759/4</t>
  </si>
  <si>
    <t>38357/2</t>
  </si>
  <si>
    <t>38361/2</t>
  </si>
  <si>
    <t>38362/2</t>
  </si>
  <si>
    <t>38363/2</t>
  </si>
  <si>
    <t>38365/8</t>
  </si>
  <si>
    <t>38368/3</t>
  </si>
  <si>
    <t>38386/5</t>
  </si>
  <si>
    <t>LQ Hawthorne Leavenworth</t>
  </si>
  <si>
    <t>Interior Dezyn</t>
  </si>
  <si>
    <t>Chesterfield Hospitality Inc.</t>
  </si>
  <si>
    <t>Residence Inn Pearland, TX</t>
  </si>
  <si>
    <t>RENFROW DECORATIVE CENTER</t>
  </si>
  <si>
    <t>Ascent hospitality Townplace Suites Fairburn IN</t>
  </si>
  <si>
    <t>35760/7</t>
  </si>
  <si>
    <t>A40007 - Service Income (New)</t>
  </si>
  <si>
    <t>A40006 - Delivery Income (New)</t>
  </si>
  <si>
    <t>Debit</t>
  </si>
  <si>
    <t>Aug revenue</t>
  </si>
  <si>
    <t>37684/3</t>
  </si>
  <si>
    <t>35804/4</t>
  </si>
  <si>
    <t>38235/6</t>
  </si>
  <si>
    <t>38299/3</t>
  </si>
  <si>
    <t>38301/4</t>
  </si>
  <si>
    <t>38304/3</t>
  </si>
  <si>
    <t>37697/3</t>
  </si>
  <si>
    <t>Classic American Homes &amp; Renovations</t>
  </si>
  <si>
    <t>37412/2</t>
  </si>
  <si>
    <t>38292/2</t>
  </si>
  <si>
    <t>36663/2</t>
  </si>
  <si>
    <t>36681/10</t>
  </si>
  <si>
    <t>36681/9</t>
  </si>
  <si>
    <t>Comfort suites NC330</t>
  </si>
  <si>
    <t>36782/2</t>
  </si>
  <si>
    <t>36782/4</t>
  </si>
  <si>
    <t>36786/3</t>
  </si>
  <si>
    <t>37676/4</t>
  </si>
  <si>
    <t>37677/3</t>
  </si>
  <si>
    <t>37678/3</t>
  </si>
  <si>
    <t>37678/7</t>
  </si>
  <si>
    <t>37683/10</t>
  </si>
  <si>
    <t>37683/9</t>
  </si>
  <si>
    <t>37688/3</t>
  </si>
  <si>
    <t>37690/2</t>
  </si>
  <si>
    <t>Veranda Homes</t>
  </si>
  <si>
    <t>37697/4</t>
  </si>
  <si>
    <t>37698/3</t>
  </si>
  <si>
    <t>38251/3</t>
  </si>
  <si>
    <t>38251/5</t>
  </si>
  <si>
    <t>38252/2</t>
  </si>
  <si>
    <t>38253/2</t>
  </si>
  <si>
    <t>33948/4</t>
  </si>
  <si>
    <t>33951/5</t>
  </si>
  <si>
    <t>37685/5</t>
  </si>
  <si>
    <t>38204/2</t>
  </si>
  <si>
    <t>35795/2</t>
  </si>
  <si>
    <t>38403/5</t>
  </si>
  <si>
    <t>33565/11</t>
  </si>
  <si>
    <t>33565/12</t>
  </si>
  <si>
    <t>HOME2 SOMERSET</t>
  </si>
  <si>
    <t>33566/7</t>
  </si>
  <si>
    <t>33566/9</t>
  </si>
  <si>
    <t>33569/4</t>
  </si>
  <si>
    <t>33569/5</t>
  </si>
  <si>
    <t>33575/6</t>
  </si>
  <si>
    <t>33945/4</t>
  </si>
  <si>
    <t>33946/3</t>
  </si>
  <si>
    <t>33948/5</t>
  </si>
  <si>
    <t>33950/2</t>
  </si>
  <si>
    <t>33950/8</t>
  </si>
  <si>
    <t>33951/6</t>
  </si>
  <si>
    <t>33958/4</t>
  </si>
  <si>
    <t>33959/8</t>
  </si>
  <si>
    <t>36456/6</t>
  </si>
  <si>
    <t>38391/9</t>
  </si>
  <si>
    <t>33950/13</t>
  </si>
  <si>
    <t>37092/3</t>
  </si>
  <si>
    <t>37412/3</t>
  </si>
  <si>
    <t>38643/3</t>
  </si>
  <si>
    <t>33951/7</t>
  </si>
  <si>
    <t>34411/3</t>
  </si>
  <si>
    <t>35309/2</t>
  </si>
  <si>
    <t>36801/5</t>
  </si>
  <si>
    <t>36913/5</t>
  </si>
  <si>
    <t>38206/2</t>
  </si>
  <si>
    <t>38724/2</t>
  </si>
  <si>
    <t>31154/2</t>
  </si>
  <si>
    <t>31461/9</t>
  </si>
  <si>
    <t>31464/7</t>
  </si>
  <si>
    <t>31651/6</t>
  </si>
  <si>
    <t>31762/6</t>
  </si>
  <si>
    <t>31847/4</t>
  </si>
  <si>
    <t>31877/6</t>
  </si>
  <si>
    <t>31877/7</t>
  </si>
  <si>
    <t>32086/21</t>
  </si>
  <si>
    <t>32302/9</t>
  </si>
  <si>
    <t>32388/4</t>
  </si>
  <si>
    <t>32401/5</t>
  </si>
  <si>
    <t>32521/4</t>
  </si>
  <si>
    <t>32691/2</t>
  </si>
  <si>
    <t>32807/12</t>
  </si>
  <si>
    <t>32807/13</t>
  </si>
  <si>
    <t>32847/2</t>
  </si>
  <si>
    <t>32888/4</t>
  </si>
  <si>
    <t>32981/4</t>
  </si>
  <si>
    <t>32983/14</t>
  </si>
  <si>
    <t>33025/7</t>
  </si>
  <si>
    <t>33025/8</t>
  </si>
  <si>
    <t>33257/20</t>
  </si>
  <si>
    <t>33309/14</t>
  </si>
  <si>
    <t>33309/15</t>
  </si>
  <si>
    <t>33314/24</t>
  </si>
  <si>
    <t>33314/25</t>
  </si>
  <si>
    <t>33315/10</t>
  </si>
  <si>
    <t>33343/9</t>
  </si>
  <si>
    <t>33374/14</t>
  </si>
  <si>
    <t>33374/15</t>
  </si>
  <si>
    <t>33385/8</t>
  </si>
  <si>
    <t>33385/9</t>
  </si>
  <si>
    <t>33390/3</t>
  </si>
  <si>
    <t>33472/12</t>
  </si>
  <si>
    <t>33478/9</t>
  </si>
  <si>
    <t>33495/8</t>
  </si>
  <si>
    <t>33539/10</t>
  </si>
  <si>
    <t>33558/11</t>
  </si>
  <si>
    <t>33560/4</t>
  </si>
  <si>
    <t>33562/5</t>
  </si>
  <si>
    <t>33570/6</t>
  </si>
  <si>
    <t>33644/4</t>
  </si>
  <si>
    <t>33725/11</t>
  </si>
  <si>
    <t>33760/3</t>
  </si>
  <si>
    <t>33853/3</t>
  </si>
  <si>
    <t>33856/7</t>
  </si>
  <si>
    <t>33884/4</t>
  </si>
  <si>
    <t>33948/7</t>
  </si>
  <si>
    <t>33950/14</t>
  </si>
  <si>
    <t>33950/15</t>
  </si>
  <si>
    <t>33951/8</t>
  </si>
  <si>
    <t>33953/5</t>
  </si>
  <si>
    <t>33959/9</t>
  </si>
  <si>
    <t>33967/2</t>
  </si>
  <si>
    <t>33974/7</t>
  </si>
  <si>
    <t>34012/3</t>
  </si>
  <si>
    <t>34012/4</t>
  </si>
  <si>
    <t>34013/9</t>
  </si>
  <si>
    <t>34036/5</t>
  </si>
  <si>
    <t>34063/5</t>
  </si>
  <si>
    <t>34067/3</t>
  </si>
  <si>
    <t>34113/3</t>
  </si>
  <si>
    <t>34170/5</t>
  </si>
  <si>
    <t>34170/6</t>
  </si>
  <si>
    <t>White River Flooring, Inc.</t>
  </si>
  <si>
    <t>34171/5</t>
  </si>
  <si>
    <t>34173/3</t>
  </si>
  <si>
    <t>34173/4</t>
  </si>
  <si>
    <t>34294/12</t>
  </si>
  <si>
    <t>34363/10</t>
  </si>
  <si>
    <t>34363/9</t>
  </si>
  <si>
    <t>34402/9</t>
  </si>
  <si>
    <t>34405/2</t>
  </si>
  <si>
    <t>34443/9</t>
  </si>
  <si>
    <t>34445/2</t>
  </si>
  <si>
    <t>34445/3</t>
  </si>
  <si>
    <t>34449/2</t>
  </si>
  <si>
    <t>34452/4</t>
  </si>
  <si>
    <t>34479/4</t>
  </si>
  <si>
    <t>34482/2</t>
  </si>
  <si>
    <t>34502/8</t>
  </si>
  <si>
    <t>34502/9</t>
  </si>
  <si>
    <t>34514/4</t>
  </si>
  <si>
    <t>34521/6</t>
  </si>
  <si>
    <t>34559/10</t>
  </si>
  <si>
    <t>34559/11</t>
  </si>
  <si>
    <t>34559/8</t>
  </si>
  <si>
    <t>34559/9</t>
  </si>
  <si>
    <t>34560/2</t>
  </si>
  <si>
    <t>34601/2</t>
  </si>
  <si>
    <t>34602/10</t>
  </si>
  <si>
    <t>34602/11</t>
  </si>
  <si>
    <t>34611/3</t>
  </si>
  <si>
    <t>34640/2</t>
  </si>
  <si>
    <t>34649/3</t>
  </si>
  <si>
    <t>34657/6</t>
  </si>
  <si>
    <t>34658/3</t>
  </si>
  <si>
    <t>34660/11</t>
  </si>
  <si>
    <t>34660/12</t>
  </si>
  <si>
    <t>34660/13</t>
  </si>
  <si>
    <t>34697/19</t>
  </si>
  <si>
    <t>34697/20</t>
  </si>
  <si>
    <t>34697/21</t>
  </si>
  <si>
    <t>34697/22</t>
  </si>
  <si>
    <t>34697/23</t>
  </si>
  <si>
    <t>34697/24</t>
  </si>
  <si>
    <t>34697/25</t>
  </si>
  <si>
    <t>34697/26</t>
  </si>
  <si>
    <t>34697/27</t>
  </si>
  <si>
    <t>34699/2</t>
  </si>
  <si>
    <t>34731/3</t>
  </si>
  <si>
    <t>34758/7</t>
  </si>
  <si>
    <t>34758/8</t>
  </si>
  <si>
    <t>34807/10</t>
  </si>
  <si>
    <t>34807/11</t>
  </si>
  <si>
    <t>34809/16</t>
  </si>
  <si>
    <t>34843/6</t>
  </si>
  <si>
    <t>34853/5</t>
  </si>
  <si>
    <t>34853/6</t>
  </si>
  <si>
    <t>34913/2</t>
  </si>
  <si>
    <t>34916/3</t>
  </si>
  <si>
    <t>34970/3</t>
  </si>
  <si>
    <t>35012/12</t>
  </si>
  <si>
    <t>35057/6</t>
  </si>
  <si>
    <t>35065/7</t>
  </si>
  <si>
    <t>35066/2</t>
  </si>
  <si>
    <t>Wingate by Wyndham / Indianapolis</t>
  </si>
  <si>
    <t>35082/6</t>
  </si>
  <si>
    <t>35101/10</t>
  </si>
  <si>
    <t>35101/9</t>
  </si>
  <si>
    <t>35103/7</t>
  </si>
  <si>
    <t>35113/2</t>
  </si>
  <si>
    <t>35121/3</t>
  </si>
  <si>
    <t>35139/2</t>
  </si>
  <si>
    <t>35162/3</t>
  </si>
  <si>
    <t>35170/6</t>
  </si>
  <si>
    <t>35224/2</t>
  </si>
  <si>
    <t>35234/3</t>
  </si>
  <si>
    <t>35235/5</t>
  </si>
  <si>
    <t>35235/6</t>
  </si>
  <si>
    <t>35235/7</t>
  </si>
  <si>
    <t>La Quinta San Antonio 1</t>
  </si>
  <si>
    <t>35235/8</t>
  </si>
  <si>
    <t>35266/14</t>
  </si>
  <si>
    <t>35266/15</t>
  </si>
  <si>
    <t>35289/5</t>
  </si>
  <si>
    <t>35309/3</t>
  </si>
  <si>
    <t>35322/10</t>
  </si>
  <si>
    <t>35322/11</t>
  </si>
  <si>
    <t>Mehr Consultancy</t>
  </si>
  <si>
    <t>35327/5</t>
  </si>
  <si>
    <t>35333/7</t>
  </si>
  <si>
    <t>35336/4</t>
  </si>
  <si>
    <t>35349/14</t>
  </si>
  <si>
    <t>35349/2</t>
  </si>
  <si>
    <t>35392/5</t>
  </si>
  <si>
    <t>35399/10</t>
  </si>
  <si>
    <t>35431/8</t>
  </si>
  <si>
    <t>35438/5</t>
  </si>
  <si>
    <t>35438/6</t>
  </si>
  <si>
    <t>35440/8</t>
  </si>
  <si>
    <t>35441/9</t>
  </si>
  <si>
    <t>35446/5</t>
  </si>
  <si>
    <t>35485/5</t>
  </si>
  <si>
    <t>35492/5</t>
  </si>
  <si>
    <t>35497/4</t>
  </si>
  <si>
    <t>35501/12</t>
  </si>
  <si>
    <t>35545/3</t>
  </si>
  <si>
    <t>35595/7</t>
  </si>
  <si>
    <t>35597/4</t>
  </si>
  <si>
    <t>35599/9</t>
  </si>
  <si>
    <t>35602/8</t>
  </si>
  <si>
    <t>35606/2</t>
  </si>
  <si>
    <t>35606/4</t>
  </si>
  <si>
    <t>35611/13</t>
  </si>
  <si>
    <t>35611/14</t>
  </si>
  <si>
    <t>35611/15</t>
  </si>
  <si>
    <t>35614/10</t>
  </si>
  <si>
    <t>35620/10</t>
  </si>
  <si>
    <t>35620/6</t>
  </si>
  <si>
    <t>35620/7</t>
  </si>
  <si>
    <t>35620/8</t>
  </si>
  <si>
    <t>35620/9</t>
  </si>
  <si>
    <t>35654/5</t>
  </si>
  <si>
    <t>35654/6</t>
  </si>
  <si>
    <t>35654/7</t>
  </si>
  <si>
    <t>35698/3</t>
  </si>
  <si>
    <t>CAMARATA MASONRY SYSTEMS</t>
  </si>
  <si>
    <t>35711/5</t>
  </si>
  <si>
    <t>First Capital Advisors</t>
  </si>
  <si>
    <t>35727/2</t>
  </si>
  <si>
    <t>35728/11</t>
  </si>
  <si>
    <t>35756/4</t>
  </si>
  <si>
    <t>35763/5</t>
  </si>
  <si>
    <t>35772/5</t>
  </si>
  <si>
    <t>35784/4</t>
  </si>
  <si>
    <t>35785/3</t>
  </si>
  <si>
    <t>35796/4</t>
  </si>
  <si>
    <t>35796/5</t>
  </si>
  <si>
    <t>Fyffe Construction CO/ LaQuinta Manchester</t>
  </si>
  <si>
    <t>35797/3</t>
  </si>
  <si>
    <t>Homewood Suites Beaumont</t>
  </si>
  <si>
    <t>35797/4</t>
  </si>
  <si>
    <t>35799/5</t>
  </si>
  <si>
    <t>35799/6</t>
  </si>
  <si>
    <t>35800/4</t>
  </si>
  <si>
    <t>35804/5</t>
  </si>
  <si>
    <t>35807/3</t>
  </si>
  <si>
    <t>35807/4</t>
  </si>
  <si>
    <t>35808/3</t>
  </si>
  <si>
    <t>35808/4</t>
  </si>
  <si>
    <t>35809/3</t>
  </si>
  <si>
    <t>35809/4</t>
  </si>
  <si>
    <t>35811/2</t>
  </si>
  <si>
    <t>35812/3</t>
  </si>
  <si>
    <t>35812/4</t>
  </si>
  <si>
    <t>Sunbridge Venetian LP Inc.</t>
  </si>
  <si>
    <t>35812/5</t>
  </si>
  <si>
    <t>CAPITOL HOTEL NASHVILLE/Dan</t>
  </si>
  <si>
    <t>35813/2</t>
  </si>
  <si>
    <t>35813/3</t>
  </si>
  <si>
    <t>Marriott Fairfield Harrisburg PA</t>
  </si>
  <si>
    <t>35912/6</t>
  </si>
  <si>
    <t>35940/4</t>
  </si>
  <si>
    <t>35942/8</t>
  </si>
  <si>
    <t>35949/5</t>
  </si>
  <si>
    <t>LA QUINTA MODEL ROOM / GV HEADQUARTERS, HOUSTON</t>
  </si>
  <si>
    <t>35957/8</t>
  </si>
  <si>
    <t>35959/10</t>
  </si>
  <si>
    <t>35959/11</t>
  </si>
  <si>
    <t>36008/8</t>
  </si>
  <si>
    <t>36008/9</t>
  </si>
  <si>
    <t>36016/3</t>
  </si>
  <si>
    <t>36016/4</t>
  </si>
  <si>
    <t>36016/5</t>
  </si>
  <si>
    <t>36016/6</t>
  </si>
  <si>
    <t>36016/7</t>
  </si>
  <si>
    <t>36016/8</t>
  </si>
  <si>
    <t>36016/9</t>
  </si>
  <si>
    <t>36048/4</t>
  </si>
  <si>
    <t>36072/7</t>
  </si>
  <si>
    <t>36072/8</t>
  </si>
  <si>
    <t>36073/10</t>
  </si>
  <si>
    <t>36073/11</t>
  </si>
  <si>
    <t>36073/12</t>
  </si>
  <si>
    <t>36081/2</t>
  </si>
  <si>
    <t>36081/3</t>
  </si>
  <si>
    <t>36095/2</t>
  </si>
  <si>
    <t>36096/5</t>
  </si>
  <si>
    <t>36096/7</t>
  </si>
  <si>
    <t>36096/8</t>
  </si>
  <si>
    <t>36096/9</t>
  </si>
  <si>
    <t>36133/8</t>
  </si>
  <si>
    <t>36155/3</t>
  </si>
  <si>
    <t>36155/4</t>
  </si>
  <si>
    <t>36158/3</t>
  </si>
  <si>
    <t>36158/4</t>
  </si>
  <si>
    <t>36162/5</t>
  </si>
  <si>
    <t>36199/11</t>
  </si>
  <si>
    <t>36234/2</t>
  </si>
  <si>
    <t>36237/2</t>
  </si>
  <si>
    <t>36240/5</t>
  </si>
  <si>
    <t>36240/6</t>
  </si>
  <si>
    <t>36240/7</t>
  </si>
  <si>
    <t>36247/2</t>
  </si>
  <si>
    <t>LAQUINTA YUMA AZ</t>
  </si>
  <si>
    <t>36247/3</t>
  </si>
  <si>
    <t>36247/4</t>
  </si>
  <si>
    <t>Courtyard Navy Yard, Philadelphia</t>
  </si>
  <si>
    <t>36316/5</t>
  </si>
  <si>
    <t>36317/2</t>
  </si>
  <si>
    <t>36327/8</t>
  </si>
  <si>
    <t>36327/9</t>
  </si>
  <si>
    <t>36329/4</t>
  </si>
  <si>
    <t>36333/5</t>
  </si>
  <si>
    <t>36363/2</t>
  </si>
  <si>
    <t>36365/4</t>
  </si>
  <si>
    <t>36373/8</t>
  </si>
  <si>
    <t>36417/11</t>
  </si>
  <si>
    <t>36432/8</t>
  </si>
  <si>
    <t>36456/8</t>
  </si>
  <si>
    <t>36465/3</t>
  </si>
  <si>
    <t>CORNER STONE FLOORING COMPANIES</t>
  </si>
  <si>
    <t>36465/4</t>
  </si>
  <si>
    <t>La Quinta -Madison WI -Savan Patel</t>
  </si>
  <si>
    <t>36465/5</t>
  </si>
  <si>
    <t>36469/3</t>
  </si>
  <si>
    <t>36469/4</t>
  </si>
  <si>
    <t>36473/6</t>
  </si>
  <si>
    <t>36488/7</t>
  </si>
  <si>
    <t>36489/2</t>
  </si>
  <si>
    <t>36501/3</t>
  </si>
  <si>
    <t>36504/4</t>
  </si>
  <si>
    <t>36505/6</t>
  </si>
  <si>
    <t>36520/3</t>
  </si>
  <si>
    <t>36569/6</t>
  </si>
  <si>
    <t>36571/5</t>
  </si>
  <si>
    <t>36574/2</t>
  </si>
  <si>
    <t>36575/5</t>
  </si>
  <si>
    <t>36582/7</t>
  </si>
  <si>
    <t>36582/8</t>
  </si>
  <si>
    <t>36583/7</t>
  </si>
  <si>
    <t>36585/5</t>
  </si>
  <si>
    <t>36647/3</t>
  </si>
  <si>
    <t>36649/3</t>
  </si>
  <si>
    <t>36654/2</t>
  </si>
  <si>
    <t>36660/4</t>
  </si>
  <si>
    <t>36674/4</t>
  </si>
  <si>
    <t>36677/4</t>
  </si>
  <si>
    <t>36681/11</t>
  </si>
  <si>
    <t>36703/2</t>
  </si>
  <si>
    <t>36705/2</t>
  </si>
  <si>
    <t>36716/4</t>
  </si>
  <si>
    <t>36719/3</t>
  </si>
  <si>
    <t>36720/5</t>
  </si>
  <si>
    <t>36721/3</t>
  </si>
  <si>
    <t>36724/2</t>
  </si>
  <si>
    <t>36727/10</t>
  </si>
  <si>
    <t>36727/9</t>
  </si>
  <si>
    <t>36729/2</t>
  </si>
  <si>
    <t>Nandas Holding Ltd.c/o Sunray Group</t>
  </si>
  <si>
    <t>36734/2</t>
  </si>
  <si>
    <t>36737/5</t>
  </si>
  <si>
    <t>36740/10</t>
  </si>
  <si>
    <t>36740/11</t>
  </si>
  <si>
    <t>36740/12</t>
  </si>
  <si>
    <t>36755/10</t>
  </si>
  <si>
    <t>36762/11</t>
  </si>
  <si>
    <t>36763/6</t>
  </si>
  <si>
    <t>36765/4</t>
  </si>
  <si>
    <t>36766/4</t>
  </si>
  <si>
    <t>36771/2</t>
  </si>
  <si>
    <t>The Stroud Group</t>
  </si>
  <si>
    <t>36771/3</t>
  </si>
  <si>
    <t>36782/5</t>
  </si>
  <si>
    <t>36793/10</t>
  </si>
  <si>
    <t>36793/11</t>
  </si>
  <si>
    <t>36799/7</t>
  </si>
  <si>
    <t>36803/10</t>
  </si>
  <si>
    <t>36803/9</t>
  </si>
  <si>
    <t>36870/13</t>
  </si>
  <si>
    <t>36870/14</t>
  </si>
  <si>
    <t>36871/5</t>
  </si>
  <si>
    <t>36883/2</t>
  </si>
  <si>
    <t>36903/8</t>
  </si>
  <si>
    <t>36904/7</t>
  </si>
  <si>
    <t>36904/8</t>
  </si>
  <si>
    <t>36910/3</t>
  </si>
  <si>
    <t>36910/4</t>
  </si>
  <si>
    <t>36915/3</t>
  </si>
  <si>
    <t>36919/14</t>
  </si>
  <si>
    <t>36919/15</t>
  </si>
  <si>
    <t>36919/16</t>
  </si>
  <si>
    <t>36919/17</t>
  </si>
  <si>
    <t>36920/5</t>
  </si>
  <si>
    <t>36931/3</t>
  </si>
  <si>
    <t>Hampton Inn &amp; Suites Enterprise,AL</t>
  </si>
  <si>
    <t>36942/15</t>
  </si>
  <si>
    <t>36943/2</t>
  </si>
  <si>
    <t>36952/3</t>
  </si>
  <si>
    <t>36965/8</t>
  </si>
  <si>
    <t>36990/11</t>
  </si>
  <si>
    <t>37006/15</t>
  </si>
  <si>
    <t>37006/16</t>
  </si>
  <si>
    <t>37006/17</t>
  </si>
  <si>
    <t>37006/18</t>
  </si>
  <si>
    <t>37006/19</t>
  </si>
  <si>
    <t>37054/4</t>
  </si>
  <si>
    <t>37060/10</t>
  </si>
  <si>
    <t>37060/11</t>
  </si>
  <si>
    <t>37060/12</t>
  </si>
  <si>
    <t>37060/8</t>
  </si>
  <si>
    <t>37060/9</t>
  </si>
  <si>
    <t>37071/2</t>
  </si>
  <si>
    <t>37073/13</t>
  </si>
  <si>
    <t>37086/3</t>
  </si>
  <si>
    <t>37092/4</t>
  </si>
  <si>
    <t>37108/8</t>
  </si>
  <si>
    <t>37149/6</t>
  </si>
  <si>
    <t>37153/4</t>
  </si>
  <si>
    <t>37156/4</t>
  </si>
  <si>
    <t>37213/5</t>
  </si>
  <si>
    <t>37228/6</t>
  </si>
  <si>
    <t>37229/16</t>
  </si>
  <si>
    <t>37229/17</t>
  </si>
  <si>
    <t>37229/18</t>
  </si>
  <si>
    <t>37239/2</t>
  </si>
  <si>
    <t>37260/22</t>
  </si>
  <si>
    <t>Acoya South Bay</t>
  </si>
  <si>
    <t>37260/23</t>
  </si>
  <si>
    <t>EXPOSED DESIGN GROUP</t>
  </si>
  <si>
    <t>37260/24</t>
  </si>
  <si>
    <t>37260/25</t>
  </si>
  <si>
    <t>37260/26</t>
  </si>
  <si>
    <t>37271/15</t>
  </si>
  <si>
    <t>37279/4</t>
  </si>
  <si>
    <t>37280/11</t>
  </si>
  <si>
    <t>37281/3</t>
  </si>
  <si>
    <t>37289/11</t>
  </si>
  <si>
    <t>37289/12</t>
  </si>
  <si>
    <t>37290/3</t>
  </si>
  <si>
    <t>37296/5</t>
  </si>
  <si>
    <t>37304/3</t>
  </si>
  <si>
    <t>37304/4</t>
  </si>
  <si>
    <t>37311/5</t>
  </si>
  <si>
    <t>37356/4</t>
  </si>
  <si>
    <t>37365/3</t>
  </si>
  <si>
    <t>37373/2</t>
  </si>
  <si>
    <t>37467/10</t>
  </si>
  <si>
    <t>37468/2</t>
  </si>
  <si>
    <t>CCMH Metro Center LLC</t>
  </si>
  <si>
    <t>37470/5</t>
  </si>
  <si>
    <t>37472/5</t>
  </si>
  <si>
    <t>37478/4</t>
  </si>
  <si>
    <t>37598/7</t>
  </si>
  <si>
    <t>37599/5</t>
  </si>
  <si>
    <t>37606/14</t>
  </si>
  <si>
    <t>37608/3</t>
  </si>
  <si>
    <t>37611/5</t>
  </si>
  <si>
    <t>37611/6</t>
  </si>
  <si>
    <t>37614/5</t>
  </si>
  <si>
    <t>37614/6</t>
  </si>
  <si>
    <t>37627/4</t>
  </si>
  <si>
    <t>37656/2</t>
  </si>
  <si>
    <t>37676/6</t>
  </si>
  <si>
    <t>37679/2</t>
  </si>
  <si>
    <t>37680/11</t>
  </si>
  <si>
    <t>Devkrupa Hospitality Inc</t>
  </si>
  <si>
    <t>37680/12</t>
  </si>
  <si>
    <t>37692/7</t>
  </si>
  <si>
    <t>37692/8</t>
  </si>
  <si>
    <t>37692/9</t>
  </si>
  <si>
    <t>37696/3</t>
  </si>
  <si>
    <t>37726/2</t>
  </si>
  <si>
    <t>Sonder</t>
  </si>
  <si>
    <t>37746/4</t>
  </si>
  <si>
    <t>37767/6</t>
  </si>
  <si>
    <t>37769/8</t>
  </si>
  <si>
    <t>37769/9</t>
  </si>
  <si>
    <t>THE TD GROUP</t>
  </si>
  <si>
    <t>37772/6</t>
  </si>
  <si>
    <t>Layered Dimensions Interior Design</t>
  </si>
  <si>
    <t>37779/3</t>
  </si>
  <si>
    <t>LAQUINTA TRINIDAD CO</t>
  </si>
  <si>
    <t>37781/11</t>
  </si>
  <si>
    <t>La Quinta Brookshire TX</t>
  </si>
  <si>
    <t>37781/12</t>
  </si>
  <si>
    <t>37783/4</t>
  </si>
  <si>
    <t>La Quinta Inn - Sarasota FL - Raj Mukkirla</t>
  </si>
  <si>
    <t>ECHO SUITES /MCP Development, Inc</t>
  </si>
  <si>
    <t>37832/2</t>
  </si>
  <si>
    <t>37855/10</t>
  </si>
  <si>
    <t>37855/11</t>
  </si>
  <si>
    <t>37865/8</t>
  </si>
  <si>
    <t>37865/9</t>
  </si>
  <si>
    <t>37876/4</t>
  </si>
  <si>
    <t>37880/3</t>
  </si>
  <si>
    <t>37880/4</t>
  </si>
  <si>
    <t>37881/4</t>
  </si>
  <si>
    <t>37881/5</t>
  </si>
  <si>
    <t>37904/5</t>
  </si>
  <si>
    <t>37906/11</t>
  </si>
  <si>
    <t>37906/12</t>
  </si>
  <si>
    <t>37906/13</t>
  </si>
  <si>
    <t>37913/4</t>
  </si>
  <si>
    <t>37914/7</t>
  </si>
  <si>
    <t>37914/8</t>
  </si>
  <si>
    <t>37915/7</t>
  </si>
  <si>
    <t>37920/3</t>
  </si>
  <si>
    <t>37923/5</t>
  </si>
  <si>
    <t>37924/3</t>
  </si>
  <si>
    <t>37947/10</t>
  </si>
  <si>
    <t>37962/5</t>
  </si>
  <si>
    <t>37967/8</t>
  </si>
  <si>
    <t>37970/11</t>
  </si>
  <si>
    <t>37970/12</t>
  </si>
  <si>
    <t>37970/13</t>
  </si>
  <si>
    <t>37976/12</t>
  </si>
  <si>
    <t>37976/13</t>
  </si>
  <si>
    <t>37976/14</t>
  </si>
  <si>
    <t>37991/6</t>
  </si>
  <si>
    <t>37994/5</t>
  </si>
  <si>
    <t>38002/8</t>
  </si>
  <si>
    <t>38024/2</t>
  </si>
  <si>
    <t>38036/13</t>
  </si>
  <si>
    <t>38044/4</t>
  </si>
  <si>
    <t>38045/4</t>
  </si>
  <si>
    <t>38047/20</t>
  </si>
  <si>
    <t>38047/21</t>
  </si>
  <si>
    <t>38064/4</t>
  </si>
  <si>
    <t>38064/5</t>
  </si>
  <si>
    <t>38064/6</t>
  </si>
  <si>
    <t>38073/3</t>
  </si>
  <si>
    <t>38082/5</t>
  </si>
  <si>
    <t>38083/2</t>
  </si>
  <si>
    <t>38097/6</t>
  </si>
  <si>
    <t>38099/2</t>
  </si>
  <si>
    <t>38141/12</t>
  </si>
  <si>
    <t>38141/13</t>
  </si>
  <si>
    <t>38141/14</t>
  </si>
  <si>
    <t>38141/15</t>
  </si>
  <si>
    <t>38141/16</t>
  </si>
  <si>
    <t>38142/3</t>
  </si>
  <si>
    <t>38145/3</t>
  </si>
  <si>
    <t>38145/4</t>
  </si>
  <si>
    <t>38146/2</t>
  </si>
  <si>
    <t>38154/2</t>
  </si>
  <si>
    <t>Interstate Construction Corp</t>
  </si>
  <si>
    <t>38168/2</t>
  </si>
  <si>
    <t>38173/5</t>
  </si>
  <si>
    <t>38181/4</t>
  </si>
  <si>
    <t>38181/5</t>
  </si>
  <si>
    <t>38193/7</t>
  </si>
  <si>
    <t>Krushiker Hospitality Group, Inc/ Homewood Suites- Fayetteville, AR</t>
  </si>
  <si>
    <t>38202/4</t>
  </si>
  <si>
    <t>38202/5</t>
  </si>
  <si>
    <t>38203/8</t>
  </si>
  <si>
    <t>38212/9</t>
  </si>
  <si>
    <t>38219/5</t>
  </si>
  <si>
    <t>38238/5</t>
  </si>
  <si>
    <t>38239/6</t>
  </si>
  <si>
    <t>38239/7</t>
  </si>
  <si>
    <t>38243/2</t>
  </si>
  <si>
    <t>38251/6</t>
  </si>
  <si>
    <t>38253/3</t>
  </si>
  <si>
    <t>Wyndham Garden Newark</t>
  </si>
  <si>
    <t>38256/2</t>
  </si>
  <si>
    <t>38257/2</t>
  </si>
  <si>
    <t>38258/3</t>
  </si>
  <si>
    <t>38258/4</t>
  </si>
  <si>
    <t>38259/3</t>
  </si>
  <si>
    <t>38259/4</t>
  </si>
  <si>
    <t>38263/2</t>
  </si>
  <si>
    <t>38264/4</t>
  </si>
  <si>
    <t>38273/16</t>
  </si>
  <si>
    <t>38273/17</t>
  </si>
  <si>
    <t>38278/5</t>
  </si>
  <si>
    <t>38282/11</t>
  </si>
  <si>
    <t>38296/5</t>
  </si>
  <si>
    <t>38296/6</t>
  </si>
  <si>
    <t>38297/3</t>
  </si>
  <si>
    <t>38299/5</t>
  </si>
  <si>
    <t>38305/8</t>
  </si>
  <si>
    <t>38305/9</t>
  </si>
  <si>
    <t>38318/2</t>
  </si>
  <si>
    <t>38327/10</t>
  </si>
  <si>
    <t>38329/3</t>
  </si>
  <si>
    <t>38331/3</t>
  </si>
  <si>
    <t>38359/3</t>
  </si>
  <si>
    <t>38360/2</t>
  </si>
  <si>
    <t>38363/3</t>
  </si>
  <si>
    <t>38366/5</t>
  </si>
  <si>
    <t>38373/11</t>
  </si>
  <si>
    <t>38376/2</t>
  </si>
  <si>
    <t>38396/2</t>
  </si>
  <si>
    <t>38403/7</t>
  </si>
  <si>
    <t>38411/3</t>
  </si>
  <si>
    <t>38412/6</t>
  </si>
  <si>
    <t>38419/10</t>
  </si>
  <si>
    <t>38419/11</t>
  </si>
  <si>
    <t>38422/3</t>
  </si>
  <si>
    <t>38422/4</t>
  </si>
  <si>
    <t>38443/2</t>
  </si>
  <si>
    <t>38445/2</t>
  </si>
  <si>
    <t>38478/5</t>
  </si>
  <si>
    <t>38521/5</t>
  </si>
  <si>
    <t>38543/5</t>
  </si>
  <si>
    <t>38555/10</t>
  </si>
  <si>
    <t>38565/9</t>
  </si>
  <si>
    <t>38567/2</t>
  </si>
  <si>
    <t>38576/2</t>
  </si>
  <si>
    <t>38577/5</t>
  </si>
  <si>
    <t>38580/2</t>
  </si>
  <si>
    <t>38587/4</t>
  </si>
  <si>
    <t>38587/5</t>
  </si>
  <si>
    <t>38612/2</t>
  </si>
  <si>
    <t>38628/10</t>
  </si>
  <si>
    <t>38628/9</t>
  </si>
  <si>
    <t>38630/23</t>
  </si>
  <si>
    <t>38630/24</t>
  </si>
  <si>
    <t>38630/25</t>
  </si>
  <si>
    <t>38630/26</t>
  </si>
  <si>
    <t>38636/2</t>
  </si>
  <si>
    <t>38637/3</t>
  </si>
  <si>
    <t>38654/2</t>
  </si>
  <si>
    <t>38671/6</t>
  </si>
  <si>
    <t>38671/7</t>
  </si>
  <si>
    <t>38672/2</t>
  </si>
  <si>
    <t>38672/3</t>
  </si>
  <si>
    <t>38738/2</t>
  </si>
  <si>
    <t>38740/2</t>
  </si>
  <si>
    <t>38747/14</t>
  </si>
  <si>
    <t>38754/3</t>
  </si>
  <si>
    <t>38755/4</t>
  </si>
  <si>
    <t>39040/2</t>
  </si>
  <si>
    <t>39081/2</t>
  </si>
  <si>
    <t>28481/5</t>
  </si>
  <si>
    <t>30816/8</t>
  </si>
  <si>
    <t>31759/3</t>
  </si>
  <si>
    <t>32174/4</t>
  </si>
  <si>
    <t>32178/6</t>
  </si>
  <si>
    <t>32179/4</t>
  </si>
  <si>
    <t>32181/3</t>
  </si>
  <si>
    <t>32210/3</t>
  </si>
  <si>
    <t>32215/2</t>
  </si>
  <si>
    <t>32217/6</t>
  </si>
  <si>
    <t>32554/2</t>
  </si>
  <si>
    <t>32650/2</t>
  </si>
  <si>
    <t>32791/4</t>
  </si>
  <si>
    <t>32813/3</t>
  </si>
  <si>
    <t>33553/5</t>
  </si>
  <si>
    <t>33554/4</t>
  </si>
  <si>
    <t>33555/2</t>
  </si>
  <si>
    <t>33556/8</t>
  </si>
  <si>
    <t>33557/2</t>
  </si>
  <si>
    <t>33559/5</t>
  </si>
  <si>
    <t>33560/3</t>
  </si>
  <si>
    <t>33561/3</t>
  </si>
  <si>
    <t>33587/2</t>
  </si>
  <si>
    <t>33652/3</t>
  </si>
  <si>
    <t>33729/4</t>
  </si>
  <si>
    <t>33860/2</t>
  </si>
  <si>
    <t>33876/2</t>
  </si>
  <si>
    <t>33884/3</t>
  </si>
  <si>
    <t>33921/4</t>
  </si>
  <si>
    <t>33926/2</t>
  </si>
  <si>
    <t>33983/5</t>
  </si>
  <si>
    <t>33983/6</t>
  </si>
  <si>
    <t>33983/7</t>
  </si>
  <si>
    <t>34012/2</t>
  </si>
  <si>
    <t>34114/4</t>
  </si>
  <si>
    <t>34212/3</t>
  </si>
  <si>
    <t>34483/13</t>
  </si>
  <si>
    <t>34520/7</t>
  </si>
  <si>
    <t>34757/8</t>
  </si>
  <si>
    <t>34758/6</t>
  </si>
  <si>
    <t>34807/5</t>
  </si>
  <si>
    <t>35001/2</t>
  </si>
  <si>
    <t>35103/5</t>
  </si>
  <si>
    <t>35103/6</t>
  </si>
  <si>
    <t>35207/9</t>
  </si>
  <si>
    <t>35250/6</t>
  </si>
  <si>
    <t>35266/10</t>
  </si>
  <si>
    <t>35266/11</t>
  </si>
  <si>
    <t>35266/12</t>
  </si>
  <si>
    <t>35266/13</t>
  </si>
  <si>
    <t>35266/3</t>
  </si>
  <si>
    <t>35266/8</t>
  </si>
  <si>
    <t>35274/10</t>
  </si>
  <si>
    <t>35363/4</t>
  </si>
  <si>
    <t>35412/2</t>
  </si>
  <si>
    <t>LaQuinta - Stafford - TX</t>
  </si>
  <si>
    <t>35422/2</t>
  </si>
  <si>
    <t>35432/5</t>
  </si>
  <si>
    <t>335 8th Avenue</t>
  </si>
  <si>
    <t>35437/3</t>
  </si>
  <si>
    <t>35440/7</t>
  </si>
  <si>
    <t>35441/3</t>
  </si>
  <si>
    <t>35441/4</t>
  </si>
  <si>
    <t>35441/6</t>
  </si>
  <si>
    <t>35441/8</t>
  </si>
  <si>
    <t>35444/3</t>
  </si>
  <si>
    <t>35445/7</t>
  </si>
  <si>
    <t>35446/4</t>
  </si>
  <si>
    <t>CANDLEWOOD - PERRYSBERG</t>
  </si>
  <si>
    <t>35485/4</t>
  </si>
  <si>
    <t>Pinnacle Hospitality Partners / Hilton Garden inn Nashville</t>
  </si>
  <si>
    <t>35490/3</t>
  </si>
  <si>
    <t>35528/4</t>
  </si>
  <si>
    <t>35529/8</t>
  </si>
  <si>
    <t>35530/2</t>
  </si>
  <si>
    <t>35533/2</t>
  </si>
  <si>
    <t>35535/2</t>
  </si>
  <si>
    <t>35538/4</t>
  </si>
  <si>
    <t>35539/3</t>
  </si>
  <si>
    <t>35540/2</t>
  </si>
  <si>
    <t>35543/3</t>
  </si>
  <si>
    <t>35545/2</t>
  </si>
  <si>
    <t>35546/9</t>
  </si>
  <si>
    <t>35606/3</t>
  </si>
  <si>
    <t>35784/3</t>
  </si>
  <si>
    <t>35794/2</t>
  </si>
  <si>
    <t>35795/3</t>
  </si>
  <si>
    <t>35796/3</t>
  </si>
  <si>
    <t>35799/4</t>
  </si>
  <si>
    <t>35800/3</t>
  </si>
  <si>
    <t>35807/2</t>
  </si>
  <si>
    <t>35808/2</t>
  </si>
  <si>
    <t>Guru Krishna Corporation</t>
  </si>
  <si>
    <t>35812/2</t>
  </si>
  <si>
    <t>35870/5</t>
  </si>
  <si>
    <t>36072/6</t>
  </si>
  <si>
    <t>36096/6</t>
  </si>
  <si>
    <t>36155/2</t>
  </si>
  <si>
    <t>36158/2</t>
  </si>
  <si>
    <t>36159/5</t>
  </si>
  <si>
    <t>36160/2</t>
  </si>
  <si>
    <t>36162/4</t>
  </si>
  <si>
    <t>36199/10</t>
  </si>
  <si>
    <t>36318/2</t>
  </si>
  <si>
    <t>36442/2</t>
  </si>
  <si>
    <t>36647/2</t>
  </si>
  <si>
    <t>36649/2</t>
  </si>
  <si>
    <t>36718/3</t>
  </si>
  <si>
    <t>36849/12</t>
  </si>
  <si>
    <t>37135/2</t>
  </si>
  <si>
    <t>37255/4</t>
  </si>
  <si>
    <t>37260/21</t>
  </si>
  <si>
    <t>37316/2</t>
  </si>
  <si>
    <t>37316/3</t>
  </si>
  <si>
    <t>37316/5</t>
  </si>
  <si>
    <t>37316/6</t>
  </si>
  <si>
    <t>37365/2</t>
  </si>
  <si>
    <t>37418/10</t>
  </si>
  <si>
    <t>37625/2</t>
  </si>
  <si>
    <t>37644/2</t>
  </si>
  <si>
    <t>37644/3</t>
  </si>
  <si>
    <t>37744/5</t>
  </si>
  <si>
    <t>37744/6</t>
  </si>
  <si>
    <t>37766/3</t>
  </si>
  <si>
    <t>37770/2</t>
  </si>
  <si>
    <t>37770/3</t>
  </si>
  <si>
    <t>37775/3</t>
  </si>
  <si>
    <t>37784/2</t>
  </si>
  <si>
    <t>37904/4</t>
  </si>
  <si>
    <t>37953/2</t>
  </si>
  <si>
    <t>37955/2</t>
  </si>
  <si>
    <t>37955/4</t>
  </si>
  <si>
    <t>37957/4</t>
  </si>
  <si>
    <t>37958/5</t>
  </si>
  <si>
    <t>37958/6</t>
  </si>
  <si>
    <t>37959/3</t>
  </si>
  <si>
    <t>37960/3</t>
  </si>
  <si>
    <t>37961/5</t>
  </si>
  <si>
    <t>38021/3</t>
  </si>
  <si>
    <t>38132/3</t>
  </si>
  <si>
    <t>38172/2</t>
  </si>
  <si>
    <t>38172/4</t>
  </si>
  <si>
    <t>38172/6</t>
  </si>
  <si>
    <t>38172/7</t>
  </si>
  <si>
    <t>38220/2</t>
  </si>
  <si>
    <t>38221/2</t>
  </si>
  <si>
    <t>38222/2</t>
  </si>
  <si>
    <t>38222/3</t>
  </si>
  <si>
    <t>38248/3</t>
  </si>
  <si>
    <t>38264/3</t>
  </si>
  <si>
    <t>38371/3</t>
  </si>
  <si>
    <t>Swift DBM LLC</t>
  </si>
  <si>
    <t>38371/5</t>
  </si>
  <si>
    <t>38477/2</t>
  </si>
  <si>
    <t>38507/4</t>
  </si>
  <si>
    <t>38508/2</t>
  </si>
  <si>
    <t>38515/3</t>
  </si>
  <si>
    <t>38544/2</t>
  </si>
  <si>
    <t>38544/3</t>
  </si>
  <si>
    <t>38544/4</t>
  </si>
  <si>
    <t>38553/2</t>
  </si>
  <si>
    <t>38606/2</t>
  </si>
  <si>
    <t>38671/5</t>
  </si>
  <si>
    <t>38733/3</t>
  </si>
  <si>
    <t>38805/2</t>
  </si>
  <si>
    <t>38820/2</t>
  </si>
  <si>
    <t>38820/3</t>
  </si>
  <si>
    <t>Wyndham Garden Romulus Detroit Metro Airport</t>
  </si>
  <si>
    <t>Sea Glass Beach Place LLC</t>
  </si>
  <si>
    <t>TOWNEPLACE SUITES - OKC</t>
  </si>
  <si>
    <t>39086/2</t>
  </si>
  <si>
    <t>Wingate by Wyndham Pueblo CO.</t>
  </si>
  <si>
    <t>Best Western Premiere / Colorado Hospitality</t>
  </si>
  <si>
    <t>Fairfield Inn - Indianapolis</t>
  </si>
  <si>
    <t>The DOI Residence/ DEAZLY INC.</t>
  </si>
  <si>
    <t>Staybridge Suites c/o Ravi Designs</t>
  </si>
  <si>
    <t>Lynden Hospitality 2, LLC</t>
  </si>
  <si>
    <t>La Quinta Inn Richmond</t>
  </si>
  <si>
    <t>Ritzway Group, LLC / Sheraton Columbus</t>
  </si>
  <si>
    <t>AUTOGRAPH TRILOGY HUNTSVILLE AL</t>
  </si>
  <si>
    <t>AJA Investments LLC/ Wyndham Lake Charles</t>
  </si>
  <si>
    <t>UPNEXT HOSPITALITY - STAYBRIDGE</t>
  </si>
  <si>
    <t>SUBLIME CUSTOM STONE</t>
  </si>
  <si>
    <t>HIGHLAND STORES LLC-CIC</t>
  </si>
  <si>
    <t>Ramada Plaza Resort &amp; Suites Orlando/ MIC Hotel Corp</t>
  </si>
  <si>
    <t>A-1 Clackamas LLC</t>
  </si>
  <si>
    <t>Super 8 motel - TN.</t>
  </si>
  <si>
    <t>Body Harmony (Anthony Buck)</t>
  </si>
  <si>
    <t>Innovation Hospitality Purveyors</t>
  </si>
  <si>
    <t>Quality Inn Del Valle</t>
  </si>
  <si>
    <t>Mitch Cox Construction</t>
  </si>
  <si>
    <t>Springhill Greensboro NC</t>
  </si>
  <si>
    <t>La Quinta Auburn AL</t>
  </si>
  <si>
    <t>HFD HAWTHORN/LA QUINTA, MEBANE, NC</t>
  </si>
  <si>
    <t>Finecraft Contractors</t>
  </si>
  <si>
    <t>Floor Source</t>
  </si>
  <si>
    <t>MCP Group</t>
  </si>
  <si>
    <t>E&amp;S Flooring LLC</t>
  </si>
  <si>
    <t>Supreme Bright Albuquerque I, LLC</t>
  </si>
  <si>
    <t>Intertech Flooring</t>
  </si>
  <si>
    <t>Contractors Tiles Plus</t>
  </si>
  <si>
    <t>AQUATERRA OUTDOORS</t>
  </si>
  <si>
    <t>SET Floors</t>
  </si>
  <si>
    <t>Landrys</t>
  </si>
  <si>
    <t>ZENITH ROOFING SERVICES</t>
  </si>
  <si>
    <t>Atmosphere Commercial Interiors</t>
  </si>
  <si>
    <t>ISLAMIC EDUCATION CENTER</t>
  </si>
  <si>
    <t>Darien Heights Residences</t>
  </si>
  <si>
    <t>TOWNEPLACE SUITES, DALLAS</t>
  </si>
  <si>
    <t>Wingate Sheboygan WI - 01954</t>
  </si>
  <si>
    <t>Goodall Distributors</t>
  </si>
  <si>
    <t>HSI Design Group</t>
  </si>
  <si>
    <t>Installations plus</t>
  </si>
  <si>
    <t>GROSE &amp; MANZ BUILDERS LLC</t>
  </si>
  <si>
    <t>ELEMENT OPELIKA AL</t>
  </si>
  <si>
    <t>Tommy Wong</t>
  </si>
  <si>
    <t>Link Floors</t>
  </si>
  <si>
    <t>Gaurang(Gary) Patel</t>
  </si>
  <si>
    <t>DEVEN BHAKTA PORT ARANSAS HOME</t>
  </si>
  <si>
    <t>Didier Nader</t>
  </si>
  <si>
    <t>Schoenfelder Renovations</t>
  </si>
  <si>
    <t>Holiday Inn Express and Suites</t>
  </si>
  <si>
    <t>Hampton Inn Corpus Christi</t>
  </si>
  <si>
    <t>Marino Construction</t>
  </si>
  <si>
    <t>Pinnacle Marble And Granite, Inc</t>
  </si>
  <si>
    <t>Vedi Hospitality LLC</t>
  </si>
  <si>
    <t>My Grout Guyz Inc</t>
  </si>
  <si>
    <t>Trinity Contract Flooring</t>
  </si>
  <si>
    <t>ASHWIN PATEL</t>
  </si>
  <si>
    <t>SSC Construction</t>
  </si>
  <si>
    <t>Southwest Contracting LP</t>
  </si>
  <si>
    <t>La Quinta Inn &amp; Suites-Mansfield, OH</t>
  </si>
  <si>
    <t>Jenkins Contract Flooring, LLC</t>
  </si>
  <si>
    <t>Homewood Suites Fayetteville</t>
  </si>
  <si>
    <t>Hampton Inn &amp; Suite - NM</t>
  </si>
  <si>
    <t>ALPHA REMODELING</t>
  </si>
  <si>
    <t>Iannacone Residence</t>
  </si>
  <si>
    <t>American Stone Co of Texas LP</t>
  </si>
  <si>
    <t>Specialty Tile Products Inc.</t>
  </si>
  <si>
    <t>Auburn Lodging LLC</t>
  </si>
  <si>
    <t>Bridgerland Group</t>
  </si>
  <si>
    <t>L Peters Construction, Inc.</t>
  </si>
  <si>
    <t>Days Inn in Georgetown</t>
  </si>
  <si>
    <t>STONERIDGE HOSPITALITY GROUP</t>
  </si>
  <si>
    <t>Soma construction</t>
  </si>
  <si>
    <t>PRIME SAY LLC</t>
  </si>
  <si>
    <t>CONTEMPO builders</t>
  </si>
  <si>
    <t>Triton Stone</t>
  </si>
  <si>
    <t>Davaco - Chilies Restroom remodel Woodlands. TX</t>
  </si>
  <si>
    <t>FLOORSCAPES</t>
  </si>
  <si>
    <t>Treco Enterprises Inc.</t>
  </si>
  <si>
    <t>La Quinta Albq West</t>
  </si>
  <si>
    <t>Home 2 Suite by Hilton</t>
  </si>
  <si>
    <t>Gulf Coast Hotel Group,LLC DBA Doubletree by Hilton</t>
  </si>
  <si>
    <t>Apex Imaging Services</t>
  </si>
  <si>
    <t>Rock River Valley Flooring Inc</t>
  </si>
  <si>
    <t>Anish Patel</t>
  </si>
  <si>
    <t>Queen City Winnelson</t>
  </si>
  <si>
    <t>Total Floors</t>
  </si>
  <si>
    <t>Kevin Sims</t>
  </si>
  <si>
    <t>Contempo Builder</t>
  </si>
  <si>
    <t>AAA Hotel Company/ Home2Suties Springdale OH</t>
  </si>
  <si>
    <t>Medallion Hospitality</t>
  </si>
  <si>
    <t>Apple Investments LLC</t>
  </si>
  <si>
    <t>Jerry Osborne &amp; Associates, LLC</t>
  </si>
  <si>
    <t>MTZ Tile Stone LLC</t>
  </si>
  <si>
    <t>Texas Floor Covering</t>
  </si>
  <si>
    <t>PREDOCK</t>
  </si>
  <si>
    <t>FLOOR INSPIRATIONS</t>
  </si>
  <si>
    <t>Hampton 801 Walnut</t>
  </si>
  <si>
    <t>JDL Flooring Solutions Inc</t>
  </si>
  <si>
    <t>Steve Hari/ Best Western TN</t>
  </si>
  <si>
    <t>33569/6</t>
  </si>
  <si>
    <t>33512/9</t>
  </si>
  <si>
    <t>36064/2</t>
  </si>
  <si>
    <t>La Quinta - Fort Lauderdale - FL - Rob Song</t>
  </si>
  <si>
    <t>Double Tree</t>
  </si>
  <si>
    <t>Pinnacle Marble &amp; Granite, Inc.</t>
  </si>
  <si>
    <t>Wheel Fish Group</t>
  </si>
  <si>
    <t xml:space="preserve">Credit </t>
  </si>
  <si>
    <t>Account #</t>
  </si>
  <si>
    <t>Account#</t>
  </si>
  <si>
    <t>S5239097.001</t>
  </si>
  <si>
    <t>S5245695</t>
  </si>
  <si>
    <t>S5248719.001</t>
  </si>
  <si>
    <t>Fasco Fasteners and Supply</t>
  </si>
  <si>
    <t>NEFCO</t>
  </si>
  <si>
    <t>A50001 - Cost Of Goods Sold (New)</t>
  </si>
  <si>
    <t>A12001 - Inventory (New)</t>
  </si>
  <si>
    <t>SR412-2</t>
  </si>
  <si>
    <t>SR173-5PC</t>
  </si>
  <si>
    <t>GRES DE ARAGON, S.A.</t>
  </si>
  <si>
    <t>AMY ACT CO., LTD</t>
  </si>
  <si>
    <t>INV-HE.05-02-03-25</t>
  </si>
  <si>
    <t>SR173-5PM</t>
  </si>
  <si>
    <t>FJ24693315</t>
  </si>
  <si>
    <t>SR405-2S</t>
  </si>
  <si>
    <t>ZB202501005USA</t>
  </si>
  <si>
    <t>SR350-13</t>
  </si>
  <si>
    <t>SR350-9</t>
  </si>
  <si>
    <t>SR350-9PA</t>
  </si>
  <si>
    <t>SR350-9S</t>
  </si>
  <si>
    <t>23BL121201</t>
  </si>
  <si>
    <t>25BL032501</t>
  </si>
  <si>
    <t>22530781-E</t>
  </si>
  <si>
    <t>22530968-E</t>
  </si>
  <si>
    <t>Smink Studio</t>
  </si>
  <si>
    <t>INV-1277</t>
  </si>
  <si>
    <t>SR411-12P1</t>
  </si>
  <si>
    <t>25JSF03078</t>
  </si>
  <si>
    <t>SR273-52P3</t>
  </si>
  <si>
    <t>23JSF12050</t>
  </si>
  <si>
    <t>25AG543GRV-V</t>
  </si>
  <si>
    <t>22532283-E</t>
  </si>
  <si>
    <t>25JSF02044</t>
  </si>
  <si>
    <t>25JS032704</t>
  </si>
  <si>
    <t>25JS051504</t>
  </si>
  <si>
    <t>24BL110405</t>
  </si>
  <si>
    <t>24JS10707</t>
  </si>
  <si>
    <t>4BL111402</t>
  </si>
  <si>
    <t>24BL111403</t>
  </si>
  <si>
    <t>24BL111405</t>
  </si>
  <si>
    <t>24BL111406</t>
  </si>
  <si>
    <t>24BL111407</t>
  </si>
  <si>
    <t>24JSF11021</t>
  </si>
  <si>
    <t>24JSF11037</t>
  </si>
  <si>
    <t>24BL112302</t>
  </si>
  <si>
    <t>24JSF11049</t>
  </si>
  <si>
    <t>24JS121801</t>
  </si>
  <si>
    <t>24BL120203</t>
  </si>
  <si>
    <t>24BL120508</t>
  </si>
  <si>
    <t>GV2024106-A-Balance-2</t>
  </si>
  <si>
    <t>GV2025003</t>
  </si>
  <si>
    <t>GV2025002</t>
  </si>
  <si>
    <t>GV2025008-B</t>
  </si>
  <si>
    <t>GV2025009-B</t>
  </si>
  <si>
    <t>GV2025007-B</t>
  </si>
  <si>
    <t>GV2025011-B</t>
  </si>
  <si>
    <t>GV2025010-B</t>
  </si>
  <si>
    <t>23JS120909</t>
  </si>
  <si>
    <t>24BL040204</t>
  </si>
  <si>
    <t>24BL051705</t>
  </si>
  <si>
    <t>24RT060101</t>
  </si>
  <si>
    <t>WHGV2408-1</t>
  </si>
  <si>
    <t>24JSF09005</t>
  </si>
  <si>
    <t>24JS081306</t>
  </si>
  <si>
    <t>24JS081305</t>
  </si>
  <si>
    <t>24JSF06014</t>
  </si>
  <si>
    <t>24JS081301</t>
  </si>
  <si>
    <t>24RT091801</t>
  </si>
  <si>
    <t>SR411-11</t>
  </si>
  <si>
    <t>24JS090404</t>
  </si>
  <si>
    <t>24JSF08007</t>
  </si>
  <si>
    <t>24BL073001</t>
  </si>
  <si>
    <t>EXP2024000000498</t>
  </si>
  <si>
    <t>:24JS083101</t>
  </si>
  <si>
    <t>24JSF05018</t>
  </si>
  <si>
    <t>24JSF08059</t>
  </si>
  <si>
    <t>24BL091202</t>
  </si>
  <si>
    <t>24JSF10040</t>
  </si>
  <si>
    <t>24JS101604</t>
  </si>
  <si>
    <t>24BL100801</t>
  </si>
  <si>
    <t>24JS101606</t>
  </si>
  <si>
    <t>24BL102512</t>
  </si>
  <si>
    <t>24JSF08047</t>
  </si>
  <si>
    <t>24JS101909</t>
  </si>
  <si>
    <t>PI-25AG329GRV-V</t>
  </si>
  <si>
    <t>24AR100901</t>
  </si>
  <si>
    <t>24JSF07074</t>
  </si>
  <si>
    <t>24ISF10034</t>
  </si>
  <si>
    <t>24JSF09052</t>
  </si>
  <si>
    <t>24JS102401</t>
  </si>
  <si>
    <t>24JSF07018</t>
  </si>
  <si>
    <t>24BL101801</t>
  </si>
  <si>
    <t>24JSF07051</t>
  </si>
  <si>
    <t>24RT110203</t>
  </si>
  <si>
    <t>24JSF10034</t>
  </si>
  <si>
    <t>24BL110102</t>
  </si>
  <si>
    <t>24JS102903</t>
  </si>
  <si>
    <t>GV2024087</t>
  </si>
  <si>
    <t>24JSF07072</t>
  </si>
  <si>
    <t>24JS110803</t>
  </si>
  <si>
    <t>24RT110602</t>
  </si>
  <si>
    <t>GV2024089</t>
  </si>
  <si>
    <t>GV2024094</t>
  </si>
  <si>
    <t>GV2024091</t>
  </si>
  <si>
    <t>GV2024093</t>
  </si>
  <si>
    <t>24JSF11045</t>
  </si>
  <si>
    <t>:24JS120405</t>
  </si>
  <si>
    <t>23BL062701</t>
  </si>
  <si>
    <t>24JSF11035</t>
  </si>
  <si>
    <t>24JSF03012</t>
  </si>
  <si>
    <t>24JSF08036</t>
  </si>
  <si>
    <t>24JSF08044</t>
  </si>
  <si>
    <t>24JSF09050</t>
  </si>
  <si>
    <t>24RT073005</t>
  </si>
  <si>
    <t>24JS090401</t>
  </si>
  <si>
    <t>24BL100705</t>
  </si>
  <si>
    <t>24BL092506</t>
  </si>
  <si>
    <t>24JSF10005</t>
  </si>
  <si>
    <t>24BL092702</t>
  </si>
  <si>
    <t>24RT101607</t>
  </si>
  <si>
    <t>24JSF11003</t>
  </si>
  <si>
    <t>24JS101205</t>
  </si>
  <si>
    <t>24JSF09048</t>
  </si>
  <si>
    <t>24BL101206</t>
  </si>
  <si>
    <t>24BL101201</t>
  </si>
  <si>
    <t>24BL101506</t>
  </si>
  <si>
    <t>24JS101103</t>
  </si>
  <si>
    <t>ZB202410029USA</t>
  </si>
  <si>
    <t>24JSF09030</t>
  </si>
  <si>
    <t>24RT102506</t>
  </si>
  <si>
    <t>22530969-E</t>
  </si>
  <si>
    <t>24RT051002</t>
  </si>
  <si>
    <t>24JSF10049</t>
  </si>
  <si>
    <t>24RT102510</t>
  </si>
  <si>
    <t>24RT102509</t>
  </si>
  <si>
    <t>24RT102511</t>
  </si>
  <si>
    <t>24JSF10008</t>
  </si>
  <si>
    <t>24JS103001</t>
  </si>
  <si>
    <t>24JS101706</t>
  </si>
  <si>
    <t>24JS110108</t>
  </si>
  <si>
    <t>24JSF11005</t>
  </si>
  <si>
    <t>24RT110105</t>
  </si>
  <si>
    <t>24JS110808</t>
  </si>
  <si>
    <t>24BL102902</t>
  </si>
  <si>
    <t>24JSF11006</t>
  </si>
  <si>
    <t>24JSF09020</t>
  </si>
  <si>
    <t>24JSF10064</t>
  </si>
  <si>
    <t>24JSF11016</t>
  </si>
  <si>
    <t>24JSF11002</t>
  </si>
  <si>
    <t>24RT110701</t>
  </si>
  <si>
    <t>23BL121204</t>
  </si>
  <si>
    <t>24JSF10071</t>
  </si>
  <si>
    <t>24JSF11011</t>
  </si>
  <si>
    <t>24JSF08010</t>
  </si>
  <si>
    <t>24JSF11029</t>
  </si>
  <si>
    <t>24RT111102</t>
  </si>
  <si>
    <t>24JSF11022</t>
  </si>
  <si>
    <t>24RT111407</t>
  </si>
  <si>
    <t>24JSF11033</t>
  </si>
  <si>
    <t>24JS111101</t>
  </si>
  <si>
    <t>24RT112701</t>
  </si>
  <si>
    <t>24JS111304</t>
  </si>
  <si>
    <t>24JSF12012</t>
  </si>
  <si>
    <t>24JSF12013</t>
  </si>
  <si>
    <t>24JSF10020</t>
  </si>
  <si>
    <t>24JSF11064</t>
  </si>
  <si>
    <t>24RT111801</t>
  </si>
  <si>
    <t>24JS112005</t>
  </si>
  <si>
    <t>24JS112006</t>
  </si>
  <si>
    <t>24RT112108</t>
  </si>
  <si>
    <t>24RT111203</t>
  </si>
  <si>
    <t>24JSF11038</t>
  </si>
  <si>
    <t>24BL112201</t>
  </si>
  <si>
    <t>24JSF11050</t>
  </si>
  <si>
    <t>24JS120205</t>
  </si>
  <si>
    <t>24JSF12016</t>
  </si>
  <si>
    <t>24RT110505</t>
  </si>
  <si>
    <t>24JS112607</t>
  </si>
  <si>
    <t>24JS112702</t>
  </si>
  <si>
    <t>24JS102508</t>
  </si>
  <si>
    <t>24JSF11065</t>
  </si>
  <si>
    <t>24JSF09056</t>
  </si>
  <si>
    <t>24JSF11053</t>
  </si>
  <si>
    <t>24JS121702</t>
  </si>
  <si>
    <t>24JSF11030</t>
  </si>
  <si>
    <t>24RT120905</t>
  </si>
  <si>
    <t>24JSF12009</t>
  </si>
  <si>
    <t>24JSF12033</t>
  </si>
  <si>
    <t>24JSF12015</t>
  </si>
  <si>
    <t>24JSF12004</t>
  </si>
  <si>
    <t>24JSF12024</t>
  </si>
  <si>
    <t>24JS122003</t>
  </si>
  <si>
    <t>INV-GV-01-02-25</t>
  </si>
  <si>
    <t>24JSF12030</t>
  </si>
  <si>
    <t>25JSF01053</t>
  </si>
  <si>
    <t>22RT051003</t>
  </si>
  <si>
    <t>GV2024078</t>
  </si>
  <si>
    <t>GV2024100</t>
  </si>
  <si>
    <t>SR173-5TPC</t>
  </si>
  <si>
    <t>GV2025005</t>
  </si>
  <si>
    <t>SR273-54P1,SR411-14,SR395-6,SR393-16</t>
  </si>
  <si>
    <t>SR173-5</t>
  </si>
  <si>
    <t>SR173-5TPM</t>
  </si>
  <si>
    <t>155, 156</t>
  </si>
  <si>
    <t>22531839-E</t>
  </si>
  <si>
    <t>MMG/24-25/12</t>
  </si>
  <si>
    <t>24RT111101</t>
  </si>
  <si>
    <t>1297/VE</t>
  </si>
  <si>
    <t>AGT AGAC SAN VE TIC A.S.</t>
  </si>
  <si>
    <t>GTB2025000000209</t>
  </si>
  <si>
    <t>24JSF05101</t>
  </si>
  <si>
    <t>24JSF12052</t>
  </si>
  <si>
    <t>25RT010904</t>
  </si>
  <si>
    <t>25RT010903</t>
  </si>
  <si>
    <t>25BL022402</t>
  </si>
  <si>
    <t>ID Collection</t>
  </si>
  <si>
    <t>A51001 - Freight - Out - Expense (New)</t>
  </si>
  <si>
    <t>Summary by vendor</t>
  </si>
  <si>
    <t>Laxmi - some suppliers are positive below so no prepaid. Are they correct ?</t>
  </si>
  <si>
    <t>A20001 - Accounts Payable Suppliers &amp; Vendors (New)</t>
  </si>
  <si>
    <t>Description</t>
  </si>
  <si>
    <t>Import July 25 cogs for materials from SPS to Netsuite</t>
  </si>
  <si>
    <t>Import July 25 cogs for freight from SPS to Netsuite</t>
  </si>
  <si>
    <t xml:space="preserve">To balance July 25  Freight debits and credits in SPS </t>
  </si>
  <si>
    <t>Vendor</t>
  </si>
  <si>
    <t>Decription</t>
  </si>
  <si>
    <t>Cr</t>
  </si>
  <si>
    <t>A50003 - Customs Clearance (New)</t>
  </si>
  <si>
    <t>customs clearence, July 25 in SPS</t>
  </si>
  <si>
    <t>Aug 25 product revenue in SPS</t>
  </si>
  <si>
    <t>Aug 25 service revenue in SPS</t>
  </si>
  <si>
    <t>July 25 Product revenue in SPS</t>
  </si>
  <si>
    <t>July 25 Service revenue in SPS</t>
  </si>
  <si>
    <t>July 25 Freight revenue in SPS</t>
  </si>
  <si>
    <t>do not import</t>
  </si>
  <si>
    <t>Material</t>
  </si>
  <si>
    <t>Freight</t>
  </si>
  <si>
    <t>Elastron</t>
  </si>
  <si>
    <t>24US/34 -PI</t>
  </si>
  <si>
    <t>24US/35 - PI</t>
  </si>
  <si>
    <t>24US/33 - PI</t>
  </si>
  <si>
    <t>Wendover Art Group</t>
  </si>
  <si>
    <t>36648 - PI</t>
  </si>
  <si>
    <t>The Coveworks Inc.</t>
  </si>
  <si>
    <t>29876 - PI</t>
  </si>
  <si>
    <t>\</t>
  </si>
  <si>
    <t>24BL100703</t>
  </si>
  <si>
    <t>24JS100701</t>
  </si>
  <si>
    <t>SR393-8P3</t>
  </si>
  <si>
    <t>SR273-33,ctnr1.2,GV002-8,GV038</t>
  </si>
  <si>
    <t>SR307-2,cntr1,2</t>
  </si>
  <si>
    <t>SR173-5B2</t>
  </si>
  <si>
    <t>24JSF04101</t>
  </si>
  <si>
    <t>24JSF04102</t>
  </si>
  <si>
    <t>24JSF04103</t>
  </si>
  <si>
    <t>GV038</t>
  </si>
  <si>
    <t>24JS090901</t>
  </si>
  <si>
    <t>SR253-3P3</t>
  </si>
  <si>
    <t>24RT070901</t>
  </si>
  <si>
    <t>SR273-44</t>
  </si>
  <si>
    <t>SR395-3P2</t>
  </si>
  <si>
    <t>SR411-11P3</t>
  </si>
  <si>
    <t>SR407-9</t>
  </si>
  <si>
    <t>24BL101809</t>
  </si>
  <si>
    <t>24BL102904</t>
  </si>
  <si>
    <t>SR297-10</t>
  </si>
  <si>
    <t>SR297-9</t>
  </si>
  <si>
    <t>SR297-11</t>
  </si>
  <si>
    <t>SR273-12P2</t>
  </si>
  <si>
    <t>24JS110502</t>
  </si>
  <si>
    <t>SR350-8</t>
  </si>
  <si>
    <t>24JS110106</t>
  </si>
  <si>
    <t>24JS110708</t>
  </si>
  <si>
    <t>24BL110402</t>
  </si>
  <si>
    <t>SR273-48</t>
  </si>
  <si>
    <t>SR393-10</t>
  </si>
  <si>
    <t>24JS120208</t>
  </si>
  <si>
    <t>24JS120207</t>
  </si>
  <si>
    <t>24BL111305</t>
  </si>
  <si>
    <t>24JSF07078</t>
  </si>
  <si>
    <t>SR307-3</t>
  </si>
  <si>
    <t>24JS111906</t>
  </si>
  <si>
    <t>24BL071801</t>
  </si>
  <si>
    <t>24JS122401</t>
  </si>
  <si>
    <t>24JSF11047</t>
  </si>
  <si>
    <t>24BL113001</t>
  </si>
  <si>
    <t>24JS120206</t>
  </si>
  <si>
    <t>24JS120203</t>
  </si>
  <si>
    <t>24JSF12102</t>
  </si>
  <si>
    <t>24RT120601</t>
  </si>
  <si>
    <t>24JS120406</t>
  </si>
  <si>
    <t>25JSF01047</t>
  </si>
  <si>
    <t>SR350-11</t>
  </si>
  <si>
    <t>24JS121101</t>
  </si>
  <si>
    <t>24JSF12025</t>
  </si>
  <si>
    <t>SR411-7</t>
  </si>
  <si>
    <t>SR407-12</t>
  </si>
  <si>
    <t>24RT122701</t>
  </si>
  <si>
    <t>SR419-1</t>
  </si>
  <si>
    <t>25JSF01006</t>
  </si>
  <si>
    <t>SR407-12-1</t>
  </si>
  <si>
    <t>SR407-15</t>
  </si>
  <si>
    <t>SR173-5C, 5V, 5K, SR350</t>
  </si>
  <si>
    <t>22532306-E</t>
  </si>
  <si>
    <t>24JSF12005</t>
  </si>
  <si>
    <t>24JSF07070</t>
  </si>
  <si>
    <t>24JSF12058</t>
  </si>
  <si>
    <t>25JSF01028</t>
  </si>
  <si>
    <t>SR173-5.cntr1,SR273-36P4</t>
  </si>
  <si>
    <t>25JSF02019</t>
  </si>
  <si>
    <t>25JSF02020</t>
  </si>
  <si>
    <t>SR173-3P3</t>
  </si>
  <si>
    <t>24JS102504</t>
  </si>
  <si>
    <t>SR411-8P3</t>
  </si>
  <si>
    <t>24BL123003</t>
  </si>
  <si>
    <t>SR173-5S</t>
  </si>
  <si>
    <t>24JSF11034</t>
  </si>
  <si>
    <t>SR412</t>
  </si>
  <si>
    <t>SR253-3P4</t>
  </si>
  <si>
    <t>25RT010405</t>
  </si>
  <si>
    <t>25JS020702</t>
  </si>
  <si>
    <t>25JS020704</t>
  </si>
  <si>
    <t>24BL120403</t>
  </si>
  <si>
    <t>SR173-3P4</t>
  </si>
  <si>
    <t>25BL021801</t>
  </si>
  <si>
    <t>GV047-1</t>
  </si>
  <si>
    <t>GV2024064</t>
  </si>
  <si>
    <t>24BL100603</t>
  </si>
  <si>
    <t>GV2024069</t>
  </si>
  <si>
    <t>GV2024073</t>
  </si>
  <si>
    <t>24JSF11048</t>
  </si>
  <si>
    <t>GV2024077</t>
  </si>
  <si>
    <t>24JS103008</t>
  </si>
  <si>
    <t>GV2024076</t>
  </si>
  <si>
    <t>GV2024075</t>
  </si>
  <si>
    <t>GV2024080</t>
  </si>
  <si>
    <t>24BL111402</t>
  </si>
  <si>
    <t>24RT111502</t>
  </si>
  <si>
    <t>24RT111501</t>
  </si>
  <si>
    <t>GV2024067</t>
  </si>
  <si>
    <t>GV2024067-B</t>
  </si>
  <si>
    <t>24JS120202</t>
  </si>
  <si>
    <t>24JS120201</t>
  </si>
  <si>
    <t>24JSF11046</t>
  </si>
  <si>
    <t>GV2024102</t>
  </si>
  <si>
    <t>SR297-23</t>
  </si>
  <si>
    <t>JMS / MILLENIUM BCP</t>
  </si>
  <si>
    <t>FT 1/34873</t>
  </si>
  <si>
    <t>EXRJ/202425/0960</t>
  </si>
  <si>
    <t>EXRJ/202425/0891</t>
  </si>
  <si>
    <t>24JSF12048</t>
  </si>
  <si>
    <t>24JSF12049</t>
  </si>
  <si>
    <t>GV048-1</t>
  </si>
  <si>
    <t>SR411-8P5</t>
  </si>
  <si>
    <t>SR391-2</t>
  </si>
  <si>
    <t>23JS031401</t>
  </si>
  <si>
    <t>24RT043003</t>
  </si>
  <si>
    <t>24JS062401</t>
  </si>
  <si>
    <t>24RT101807</t>
  </si>
  <si>
    <t>24JS071902</t>
  </si>
  <si>
    <t>24JS081304</t>
  </si>
  <si>
    <t>24RT082101</t>
  </si>
  <si>
    <t>24JSF11010-1</t>
  </si>
  <si>
    <t>24JSF11010-2</t>
  </si>
  <si>
    <t>24JSF11010-3</t>
  </si>
  <si>
    <t>24JSF11010-4</t>
  </si>
  <si>
    <t>24JSF11010-5</t>
  </si>
  <si>
    <t>24JSF11010-6</t>
  </si>
  <si>
    <t>Foshan Global Bridge Import &amp; Export</t>
  </si>
  <si>
    <t>24GBCI342</t>
  </si>
  <si>
    <t>24RT111202</t>
  </si>
  <si>
    <t>24JSF12101</t>
  </si>
  <si>
    <t>SR173-5K,SR173-5C,</t>
  </si>
  <si>
    <t>24JS120906</t>
  </si>
  <si>
    <t>ZB202409014USA</t>
  </si>
  <si>
    <t>23JS032403</t>
  </si>
  <si>
    <t>GV042</t>
  </si>
  <si>
    <t>25JSF01036</t>
  </si>
  <si>
    <t>25JSF03054</t>
  </si>
  <si>
    <t>25JSF02101</t>
  </si>
  <si>
    <t>24JSF11001</t>
  </si>
  <si>
    <t>24BL102511</t>
  </si>
  <si>
    <t>24JSF10069</t>
  </si>
  <si>
    <t>24BL103006</t>
  </si>
  <si>
    <t>24JSF10017</t>
  </si>
  <si>
    <t>24RT111904</t>
  </si>
  <si>
    <t>24RT112703</t>
  </si>
  <si>
    <t>22448000-E</t>
  </si>
  <si>
    <t>22530967-E</t>
  </si>
  <si>
    <t>36264/VE</t>
  </si>
  <si>
    <t>SR411-13,cntr1,2,3</t>
  </si>
  <si>
    <t>SR393-14P3</t>
  </si>
  <si>
    <t>SR273-44P2</t>
  </si>
  <si>
    <t>25RT011608</t>
  </si>
  <si>
    <t>SR393-14P4</t>
  </si>
  <si>
    <t>SR393-14P6</t>
  </si>
  <si>
    <t>26803/VE</t>
  </si>
  <si>
    <t>FT 1/36203</t>
  </si>
  <si>
    <t>24JS101101</t>
  </si>
  <si>
    <t>24JSF10052</t>
  </si>
  <si>
    <t>22532939-E</t>
  </si>
  <si>
    <t>24RT111902</t>
  </si>
  <si>
    <t>25JSF01024</t>
  </si>
  <si>
    <t>25JSF03010</t>
  </si>
  <si>
    <t>25JK030501</t>
  </si>
  <si>
    <t>35424 - PI</t>
  </si>
  <si>
    <t>35427 - PI</t>
  </si>
  <si>
    <t>F18782</t>
  </si>
  <si>
    <t>35429 - PI</t>
  </si>
  <si>
    <t>43820-Invoice</t>
  </si>
  <si>
    <t>25RT011606</t>
  </si>
  <si>
    <t>24JSF11027</t>
  </si>
  <si>
    <t>31097 - PI</t>
  </si>
  <si>
    <t>32044 - Invoice</t>
  </si>
  <si>
    <t>Encore Hospitality</t>
  </si>
  <si>
    <t>35389 - PI</t>
  </si>
  <si>
    <t>11017/VE</t>
  </si>
  <si>
    <t>23BL121403</t>
  </si>
  <si>
    <t>24JSF01003</t>
  </si>
  <si>
    <t>24RT101908</t>
  </si>
  <si>
    <t>GV2024070</t>
  </si>
  <si>
    <t>42256-invoice</t>
  </si>
  <si>
    <t>Wolf Gordan</t>
  </si>
  <si>
    <t>42316-pi</t>
  </si>
  <si>
    <t>MMG/24-25/11</t>
  </si>
  <si>
    <t>24JSF10044</t>
  </si>
  <si>
    <t>SR271</t>
  </si>
  <si>
    <t>1-3594591</t>
  </si>
  <si>
    <t>1-3594679</t>
  </si>
  <si>
    <t>43568 - pi</t>
  </si>
  <si>
    <t>24RT120602</t>
  </si>
  <si>
    <t>25RT020701</t>
  </si>
  <si>
    <t>250221USA-122</t>
  </si>
  <si>
    <t>SR272-02P. CTN#15-1</t>
  </si>
  <si>
    <t>35479 - PI</t>
  </si>
  <si>
    <t>1-3569261</t>
  </si>
  <si>
    <t>24JSF10009-1</t>
  </si>
  <si>
    <t>Phillip Jeffries</t>
  </si>
  <si>
    <t>42317-pi</t>
  </si>
  <si>
    <t>1-3581874</t>
  </si>
  <si>
    <t>33518/VE</t>
  </si>
  <si>
    <t>25BL031401</t>
  </si>
  <si>
    <t>KV20231005P01</t>
  </si>
  <si>
    <t>Aug  material cost transferred from sps</t>
  </si>
  <si>
    <t>Aug 25 customs clerarence in netsuite</t>
  </si>
  <si>
    <t>Green agrees to SPS income statement</t>
  </si>
  <si>
    <t>Items in green agree  to SPS</t>
  </si>
  <si>
    <t>Product</t>
  </si>
  <si>
    <t>service</t>
  </si>
  <si>
    <t>delivery'</t>
  </si>
  <si>
    <t>33574/3</t>
  </si>
  <si>
    <t>Tico</t>
  </si>
  <si>
    <t>33286/2</t>
  </si>
  <si>
    <t>35101/8</t>
  </si>
  <si>
    <t>36456/7</t>
  </si>
  <si>
    <t>37350/2</t>
  </si>
  <si>
    <t>Gene Cathey</t>
  </si>
  <si>
    <t>38011/2</t>
  </si>
  <si>
    <t>Capital Commercial Flooring, Inc.</t>
  </si>
  <si>
    <t>38148/2</t>
  </si>
  <si>
    <t>38643/4</t>
  </si>
  <si>
    <t>H-M Tile, Marble and Hardwood Floor</t>
  </si>
  <si>
    <t>38684/3</t>
  </si>
  <si>
    <t>Bridger Land Group</t>
  </si>
  <si>
    <t>DO NOT IMPORT</t>
  </si>
  <si>
    <t>agrees to</t>
  </si>
  <si>
    <t>income</t>
  </si>
  <si>
    <t>statement in</t>
  </si>
  <si>
    <t>sps</t>
  </si>
  <si>
    <t>Aug 25 delivery revenue in SPS</t>
  </si>
  <si>
    <t>300 E 50th St - Shower Jambs</t>
  </si>
  <si>
    <t>37350</t>
  </si>
  <si>
    <t>Job Name</t>
  </si>
  <si>
    <t>Cust. PO#</t>
  </si>
  <si>
    <t>Project</t>
  </si>
  <si>
    <t xml:space="preserve">Marriott - </t>
  </si>
  <si>
    <t>Hwy 6 ppty</t>
  </si>
  <si>
    <t>Marriott - Hwy 6 ppty</t>
  </si>
  <si>
    <t>save as values</t>
  </si>
  <si>
    <t>AR account A 11001</t>
  </si>
  <si>
    <t>x</t>
  </si>
  <si>
    <t>We need the account or item information, If item then we need quantity along with description or memo</t>
  </si>
  <si>
    <t>why the invoice no. is same from line 1st to 17th</t>
  </si>
  <si>
    <t>What is do not know on line 1542</t>
  </si>
  <si>
    <t>why there are negative balances</t>
  </si>
  <si>
    <t>1. In netsuite invoice no. will be autogenerated y this Invoice # if you want to track then y there are blank</t>
  </si>
  <si>
    <t>2. what is job name is it project , are you using project module</t>
  </si>
  <si>
    <t>3. Item info, qty &amp; description</t>
  </si>
  <si>
    <t>4. Why there are negative balances you have give same invoice no. but different date</t>
  </si>
  <si>
    <t>5. If there is credit memo &amp; invoice then we need to tag credit memo to that invoice . This info you need to provide us</t>
  </si>
  <si>
    <t>1. if its je what account need to be debited &amp; what need to be credited</t>
  </si>
  <si>
    <t>2. why there is 0 for line 10</t>
  </si>
  <si>
    <t>3. why there are negative balances.</t>
  </si>
  <si>
    <t>4.Do not import- first 2 lines should not be imported</t>
  </si>
  <si>
    <t>5. what about invoice nos</t>
  </si>
  <si>
    <t>1. why 0 &amp; negative amounts</t>
  </si>
  <si>
    <t xml:space="preserve">2. what are this small amount in small points </t>
  </si>
  <si>
    <t>1. Why are you debiting accounts payables needs to be credited</t>
  </si>
  <si>
    <t>Dhruvsoft Remarks</t>
  </si>
  <si>
    <t>3. if charges then what is item</t>
  </si>
  <si>
    <t>Dhruvsoft Comments</t>
  </si>
  <si>
    <t>Total by invoice</t>
  </si>
  <si>
    <t>advance payments are more than supplier bill = negative balanance</t>
  </si>
  <si>
    <t>can we import as text into netsuite ?</t>
  </si>
  <si>
    <t>collapse column c and d into memo column in netsuite</t>
  </si>
  <si>
    <t>No</t>
  </si>
  <si>
    <t>All offsetiing negative and positive are deleted. The remaining negative will stay as they represent excess or advance  payments</t>
  </si>
  <si>
    <t>column A and B but its not a JE. It is an import of data into those accounts</t>
  </si>
  <si>
    <t>discount or zero billing but we still need to show it and not delete the data</t>
  </si>
  <si>
    <t>advance or excess payments</t>
  </si>
  <si>
    <t>do not import relates to yellow shaded area. It is a check of the total</t>
  </si>
  <si>
    <t>these stay if they relate to q4</t>
  </si>
  <si>
    <t>Amount</t>
  </si>
  <si>
    <t>Invoice date</t>
  </si>
  <si>
    <t>Import this column</t>
  </si>
  <si>
    <t xml:space="preserve">Import this </t>
  </si>
  <si>
    <t>column</t>
  </si>
  <si>
    <t>Import into A20001; Aditya to set up contra</t>
  </si>
  <si>
    <t>account as the offset account</t>
  </si>
  <si>
    <t xml:space="preserve">Ignore …import invoice totals </t>
  </si>
  <si>
    <t>Import - 'do not know'</t>
  </si>
  <si>
    <t xml:space="preserve">Dhruvsoft to ignore </t>
  </si>
  <si>
    <t>data to the right</t>
  </si>
  <si>
    <t>Import into A1101 and contra account (Aditrya/Laxmi to set up)</t>
  </si>
  <si>
    <t>Dhruvsoft to ignore yellow below</t>
  </si>
  <si>
    <t>Dhruvsoft to ignore yellow</t>
  </si>
  <si>
    <t>freight</t>
  </si>
  <si>
    <t>cogs</t>
  </si>
  <si>
    <t>Freight or</t>
  </si>
  <si>
    <t>Cost of Goods</t>
  </si>
  <si>
    <t>sold (COGS)</t>
  </si>
  <si>
    <t>42930/  241115USA-919 / JXLU4315557</t>
  </si>
  <si>
    <t>45764//INV24801</t>
  </si>
  <si>
    <t>GranitiFiandre S.p. A.</t>
  </si>
  <si>
    <t>24JSF12017 EGHU8224062  44263</t>
  </si>
  <si>
    <t>SR151-10 - to under AP bill</t>
  </si>
  <si>
    <t>SR151-10 - to enter inventory cost</t>
  </si>
  <si>
    <t>24RT103106- inventory</t>
  </si>
  <si>
    <t>24JS110705- inventory</t>
  </si>
  <si>
    <t>24JS111408- inventory</t>
  </si>
  <si>
    <t>24RT112802- inventory</t>
  </si>
  <si>
    <t>SR173-5S1- inventory</t>
  </si>
  <si>
    <t>24JS121106- inventory</t>
  </si>
  <si>
    <t>SR273-32P2- inventory</t>
  </si>
  <si>
    <t>22534127-E- inventory</t>
  </si>
  <si>
    <t>24RT111401 - AP</t>
  </si>
  <si>
    <t>24RT111401 - Inventory</t>
  </si>
  <si>
    <t>SR273-41P2 - Inventory</t>
  </si>
  <si>
    <t>SR273-41- Inventory</t>
  </si>
  <si>
    <t>24JS121102- Inventory</t>
  </si>
  <si>
    <t>SR173-5PM - inventory</t>
  </si>
  <si>
    <t>SR173-5PM -AP</t>
  </si>
  <si>
    <t>8118121367 - inventory</t>
  </si>
  <si>
    <t>8118121367- AP</t>
  </si>
  <si>
    <t>24JS110401 - AP</t>
  </si>
  <si>
    <t>24JS110401 - Inventory</t>
  </si>
  <si>
    <t>24RT103106 - AP</t>
  </si>
  <si>
    <t>24RT103106 - Inventory</t>
  </si>
  <si>
    <t>SR382-3 - AP</t>
  </si>
  <si>
    <t>SR382-3 - Inventory</t>
  </si>
  <si>
    <t>DO24-00152 - AP</t>
  </si>
  <si>
    <t>DO24-00152 - Inventory</t>
  </si>
  <si>
    <t>24JSF11028 - AP</t>
  </si>
  <si>
    <t>24JSF11028 - Inventorty</t>
  </si>
  <si>
    <t>ZB202410026USA - AP</t>
  </si>
  <si>
    <t>ZB202410026USA - Inventory</t>
  </si>
  <si>
    <t>45839- AP</t>
  </si>
  <si>
    <t>45839 - Inventory</t>
  </si>
  <si>
    <t>2024-FE-0000421, 12 - AP</t>
  </si>
  <si>
    <t>2024-FE-0000421, 12 - Inv</t>
  </si>
  <si>
    <t>2025-FE-0000016 - AP</t>
  </si>
  <si>
    <t>2025-FE-0000016 - Inv</t>
  </si>
  <si>
    <t>2025-FE-0000020 - AP</t>
  </si>
  <si>
    <t>22530781-E - AP</t>
  </si>
  <si>
    <t>2025-FE-0000019 - AP</t>
  </si>
  <si>
    <t>2025-FE-0000021- AP</t>
  </si>
  <si>
    <t>2025-FE-0000013 - AP</t>
  </si>
  <si>
    <t>2025-FE-0000014- AP</t>
  </si>
  <si>
    <t>2025-FE-0000015 - AP</t>
  </si>
  <si>
    <t>20250209 - AP</t>
  </si>
  <si>
    <t>2025-FE-0000020 - Inventory</t>
  </si>
  <si>
    <t>22530781-E - Inventory</t>
  </si>
  <si>
    <t>2025-FE-0000019 - Inventory</t>
  </si>
  <si>
    <t>2025-FE-0000021 - Inventory</t>
  </si>
  <si>
    <t>2025-FE-0000013- Inventory</t>
  </si>
  <si>
    <t>2025-FE-0000014 - Inventory</t>
  </si>
  <si>
    <t>2025-FE-0000015- Inventory</t>
  </si>
  <si>
    <t>20250209- Inventory</t>
  </si>
  <si>
    <t>2025-FE-0000017 -AP</t>
  </si>
  <si>
    <t>22530968-E -AP</t>
  </si>
  <si>
    <t>2025-FE-0000018 -AP</t>
  </si>
  <si>
    <t>INV-1277 -AP</t>
  </si>
  <si>
    <t>2025-FE-0000023 -AP</t>
  </si>
  <si>
    <t>25JSF07215 -AP</t>
  </si>
  <si>
    <t>23JSF12050 -AP</t>
  </si>
  <si>
    <t>24JSF11059 -AP</t>
  </si>
  <si>
    <t>24JSF11061 -AP</t>
  </si>
  <si>
    <t>25RT010201 -AP</t>
  </si>
  <si>
    <t>25JSF01055 -AP</t>
  </si>
  <si>
    <t>25JSF02044 -AP</t>
  </si>
  <si>
    <t>25BL021204 -AP</t>
  </si>
  <si>
    <t>GV2025008 -AP</t>
  </si>
  <si>
    <t>24BL120402 -AP</t>
  </si>
  <si>
    <t>2025-FE-0000017-Inventory</t>
  </si>
  <si>
    <t>22530968-E-Inventory</t>
  </si>
  <si>
    <t>2025-FE-0000018-Inventory</t>
  </si>
  <si>
    <t>INV-1277-Inventory</t>
  </si>
  <si>
    <t>2025-FE-0000023-Inventory</t>
  </si>
  <si>
    <t>25JSF07215-Inventory</t>
  </si>
  <si>
    <t>23JSF12050-Inventory</t>
  </si>
  <si>
    <t>24JSF11059-Inventory</t>
  </si>
  <si>
    <t>24JSF11061-Inventory</t>
  </si>
  <si>
    <t>25RT010201-Inventory</t>
  </si>
  <si>
    <t>25JSF01055-Inventory</t>
  </si>
  <si>
    <t>25JSF02044-Inventory</t>
  </si>
  <si>
    <t>25BL021204-Inventory</t>
  </si>
  <si>
    <t>GV2025008-Inventory</t>
  </si>
  <si>
    <t>24BL120402-Inventory</t>
  </si>
  <si>
    <t>25RT032701 - AP</t>
  </si>
  <si>
    <t>25RT032701 - Inventory</t>
  </si>
  <si>
    <t>25BL052802-AP</t>
  </si>
  <si>
    <t>23JSF10033-AP</t>
  </si>
  <si>
    <t>24BL111011-AP</t>
  </si>
  <si>
    <t>24BL111108-AP</t>
  </si>
  <si>
    <t>24BL110405-AP</t>
  </si>
  <si>
    <t>24JS10707-AP</t>
  </si>
  <si>
    <t>24BL110706-AP</t>
  </si>
  <si>
    <t>4BL111402-AP</t>
  </si>
  <si>
    <t>24BL111403-AP</t>
  </si>
  <si>
    <t>24BL111405-AP</t>
  </si>
  <si>
    <t>24BL111406-AP</t>
  </si>
  <si>
    <t>24BL111407-AP</t>
  </si>
  <si>
    <t>24JSF11021-AP</t>
  </si>
  <si>
    <t>24JSF11037-AP</t>
  </si>
  <si>
    <t>24BL112302-AP</t>
  </si>
  <si>
    <t>24JSF10045-AP</t>
  </si>
  <si>
    <t>24JSF11049-AP</t>
  </si>
  <si>
    <t>20250275-AP</t>
  </si>
  <si>
    <t>24JS121801-AP</t>
  </si>
  <si>
    <t>24BL120203-AP</t>
  </si>
  <si>
    <t>24BL120508-AP</t>
  </si>
  <si>
    <t>24JSF08064-AP</t>
  </si>
  <si>
    <t>GV2024106-A-Balance-2-AP</t>
  </si>
  <si>
    <t>20250316-AP</t>
  </si>
  <si>
    <t>GV2025003-AP</t>
  </si>
  <si>
    <t>GV2025002-AP</t>
  </si>
  <si>
    <t>GV2025008-B-AP</t>
  </si>
  <si>
    <t>GV2025009-B-AP</t>
  </si>
  <si>
    <t>GV2025007-B-AP</t>
  </si>
  <si>
    <t>INVOICE NO.:24JSF11061-AP</t>
  </si>
  <si>
    <t>GV2025011-B-AP</t>
  </si>
  <si>
    <t>GV2025010-B-AP</t>
  </si>
  <si>
    <t>23JS120909-AP</t>
  </si>
  <si>
    <t>24BL040204-AP</t>
  </si>
  <si>
    <t>24BL051705-AP</t>
  </si>
  <si>
    <t>24RT060101-AP</t>
  </si>
  <si>
    <t>WHGV2408-1-AP</t>
  </si>
  <si>
    <t>24JSF09005-AP</t>
  </si>
  <si>
    <t>24JS081306-AP</t>
  </si>
  <si>
    <t>24JS081305-AP</t>
  </si>
  <si>
    <t>24JSF06014-AP</t>
  </si>
  <si>
    <t>20242912-AP</t>
  </si>
  <si>
    <t>24JS081301-AP</t>
  </si>
  <si>
    <t>24RT091801-AP</t>
  </si>
  <si>
    <t>SR411-11-AP</t>
  </si>
  <si>
    <t>SR350-8,SR350-6,SR382-4,ctnr4,-AP</t>
  </si>
  <si>
    <t>SR350-8,SR350-6,SR297-12,SR297-13,ctnr1,2,3-AP</t>
  </si>
  <si>
    <t>24JS090404-AP</t>
  </si>
  <si>
    <t>24JSF08007-AP</t>
  </si>
  <si>
    <t>24BL073001-AP</t>
  </si>
  <si>
    <t>EXP2024000000498-AP</t>
  </si>
  <si>
    <t>:24JS083101-AP</t>
  </si>
  <si>
    <t>24JSF05018-AP</t>
  </si>
  <si>
    <t>24JSF08059-AP</t>
  </si>
  <si>
    <t>24BL091202-AP</t>
  </si>
  <si>
    <t>24JSF09045-AP</t>
  </si>
  <si>
    <t>24JS092501-AP</t>
  </si>
  <si>
    <t>266/VE-AP</t>
  </si>
  <si>
    <t>24JSF10040-AP</t>
  </si>
  <si>
    <t>24JS101604-AP</t>
  </si>
  <si>
    <t>24BL100801-AP</t>
  </si>
  <si>
    <t>24JS101606-AP</t>
  </si>
  <si>
    <t>24BL102512-AP</t>
  </si>
  <si>
    <t>24JSF08047-AP</t>
  </si>
  <si>
    <t>24JS101909-AP</t>
  </si>
  <si>
    <t>PI-25AG329GRV-V-AP</t>
  </si>
  <si>
    <t>24JS100904-AP</t>
  </si>
  <si>
    <t>SR407-5-AP</t>
  </si>
  <si>
    <t>24AR100901-AP</t>
  </si>
  <si>
    <t>24JSF07074-AP</t>
  </si>
  <si>
    <t>24ISF10034-AP</t>
  </si>
  <si>
    <t>24JSF09052-AP</t>
  </si>
  <si>
    <t>SR253-3-AP</t>
  </si>
  <si>
    <t>SR253-9-AP</t>
  </si>
  <si>
    <t>24JS102401-AP</t>
  </si>
  <si>
    <t>24JSF07018-AP</t>
  </si>
  <si>
    <t>SR382-4,ctnr1,2,3-AP</t>
  </si>
  <si>
    <t>24BL101801-AP</t>
  </si>
  <si>
    <t>24JSF07051-AP</t>
  </si>
  <si>
    <t>SR407-12,ctnr9-AP</t>
  </si>
  <si>
    <t>24RT110504-AP</t>
  </si>
  <si>
    <t>24RT110203-AP</t>
  </si>
  <si>
    <t>24JSF04008-AP</t>
  </si>
  <si>
    <t>24JSF10034-AP</t>
  </si>
  <si>
    <t>24BL110102-AP</t>
  </si>
  <si>
    <t>24JS110405-AP</t>
  </si>
  <si>
    <t>GV2024074-AP</t>
  </si>
  <si>
    <t>24JS102903-AP</t>
  </si>
  <si>
    <t>GV047-AP</t>
  </si>
  <si>
    <t>24JSF09055-AP</t>
  </si>
  <si>
    <t>SR411-9-AP</t>
  </si>
  <si>
    <t>GV2024087-AP</t>
  </si>
  <si>
    <t>24JSF07072-AP</t>
  </si>
  <si>
    <t>20250136-AP</t>
  </si>
  <si>
    <t>24JS110803-AP</t>
  </si>
  <si>
    <t>24RT110602-AP</t>
  </si>
  <si>
    <t>GV2024084-AP</t>
  </si>
  <si>
    <t>GV2024099-AP</t>
  </si>
  <si>
    <t>24JS111306-AP</t>
  </si>
  <si>
    <t>GV2024089-AP</t>
  </si>
  <si>
    <t>25BL052802-Inventory</t>
  </si>
  <si>
    <t>23JSF10033-Inventory</t>
  </si>
  <si>
    <t>24BL111011-Inventory</t>
  </si>
  <si>
    <t>24BL111108-Inventory</t>
  </si>
  <si>
    <t>24BL110405-Inventory</t>
  </si>
  <si>
    <t>24JS10707-Inventory</t>
  </si>
  <si>
    <t>24BL110706-Inventory</t>
  </si>
  <si>
    <t>4BL111402-Inventory</t>
  </si>
  <si>
    <t>24BL111403-Inventory</t>
  </si>
  <si>
    <t>24BL111405-Inventory</t>
  </si>
  <si>
    <t>24BL111406-Inventory</t>
  </si>
  <si>
    <t>24BL111407-Inventory</t>
  </si>
  <si>
    <t>24JSF11021-Inventory</t>
  </si>
  <si>
    <t>24JSF11037-Inventory</t>
  </si>
  <si>
    <t>24BL112302-Inventory</t>
  </si>
  <si>
    <t>24JSF10045-Inventory</t>
  </si>
  <si>
    <t>24JSF11049-Inventory</t>
  </si>
  <si>
    <t>20250275-Inventory</t>
  </si>
  <si>
    <t>24JS121801-Inventory</t>
  </si>
  <si>
    <t>24BL120203-Inventory</t>
  </si>
  <si>
    <t>24BL120508-Inventory</t>
  </si>
  <si>
    <t>24JSF08064-Inventory</t>
  </si>
  <si>
    <t>GV2024106-A-Balance-2-Inventory</t>
  </si>
  <si>
    <t>20250316-Inventory</t>
  </si>
  <si>
    <t>GV2025003-Inventory</t>
  </si>
  <si>
    <t>GV2025002-Inventory</t>
  </si>
  <si>
    <t>GV2025008-B-Inventory</t>
  </si>
  <si>
    <t>GV2025009-B-Inventory</t>
  </si>
  <si>
    <t>GV2025007-B-Inventory</t>
  </si>
  <si>
    <t>INVOICE NO.:24JSF11061-Inventory</t>
  </si>
  <si>
    <t>GV2025011-B-Inventory</t>
  </si>
  <si>
    <t>GV2025010-B-Inventory</t>
  </si>
  <si>
    <t>23JS120909-Inventory</t>
  </si>
  <si>
    <t>24BL040204-Inventory</t>
  </si>
  <si>
    <t>24BL051705-Inventory</t>
  </si>
  <si>
    <t>24RT060101-Inventory</t>
  </si>
  <si>
    <t>WHGV2408-1-Inventory</t>
  </si>
  <si>
    <t>24JSF09005-Inventory</t>
  </si>
  <si>
    <t>24JS081306-Inventory</t>
  </si>
  <si>
    <t>24JS081305-Inventory</t>
  </si>
  <si>
    <t>24JSF06014-Inventory</t>
  </si>
  <si>
    <t>20242912-Inventory</t>
  </si>
  <si>
    <t>24JS081301-Inventory</t>
  </si>
  <si>
    <t>24RT091801-Inventory</t>
  </si>
  <si>
    <t>SR411-11-Inventory</t>
  </si>
  <si>
    <t>SR350-8,SR350-6,SR382-4,ctnr4,-Inventory</t>
  </si>
  <si>
    <t>SR350-8,SR350-6,SR297-12,SR297-13,ctnr1,2,3-Inventory</t>
  </si>
  <si>
    <t>24JS090404-Inventory</t>
  </si>
  <si>
    <t>24JSF08007-Inventory</t>
  </si>
  <si>
    <t>24BL073001-Inventory</t>
  </si>
  <si>
    <t>EXP2024000000498-Inventory</t>
  </si>
  <si>
    <t>:24JS083101-Inventory</t>
  </si>
  <si>
    <t>24JSF05018-Inventory</t>
  </si>
  <si>
    <t>24JSF08059-Inventory</t>
  </si>
  <si>
    <t>24BL091202-Inventory</t>
  </si>
  <si>
    <t>24JSF09045-Inventory</t>
  </si>
  <si>
    <t>24JS092501-Inventory</t>
  </si>
  <si>
    <t>266/VE-Inventory</t>
  </si>
  <si>
    <t>24JSF10040-Inventory</t>
  </si>
  <si>
    <t>24JS101604-Inventory</t>
  </si>
  <si>
    <t>24BL100801-Inventory</t>
  </si>
  <si>
    <t>24JS101606-Inventory</t>
  </si>
  <si>
    <t>24BL102512-Inventory</t>
  </si>
  <si>
    <t>24JSF08047-Inventory</t>
  </si>
  <si>
    <t>24JS101909-Inventory</t>
  </si>
  <si>
    <t>PI-25AG329GRV-V-Inventory</t>
  </si>
  <si>
    <t>24JS100904-Inventory</t>
  </si>
  <si>
    <t>SR407-5-Inventory</t>
  </si>
  <si>
    <t>24AR100901-Inventory</t>
  </si>
  <si>
    <t>24JSF07074-Inventory</t>
  </si>
  <si>
    <t>24ISF10034-Inventory</t>
  </si>
  <si>
    <t>24JSF09052-Inventory</t>
  </si>
  <si>
    <t>SR253-3-Inventory</t>
  </si>
  <si>
    <t>SR253-9-Inventory</t>
  </si>
  <si>
    <t>24JS102401-Inventory</t>
  </si>
  <si>
    <t>24JSF07018-Inventory</t>
  </si>
  <si>
    <t>SR382-4,ctnr1,2,3-Inventory</t>
  </si>
  <si>
    <t>24BL101801-Inventory</t>
  </si>
  <si>
    <t>24JSF07051-Inventory</t>
  </si>
  <si>
    <t>SR407-12,ctnr9-Inventory</t>
  </si>
  <si>
    <t>24RT110504-Inventory</t>
  </si>
  <si>
    <t>24RT110203-Inventory</t>
  </si>
  <si>
    <t>24JSF04008-Inventory</t>
  </si>
  <si>
    <t>24JSF10034-Inventory</t>
  </si>
  <si>
    <t>24BL110102-Inventory</t>
  </si>
  <si>
    <t>24JS110405-Inventory</t>
  </si>
  <si>
    <t>GV2024074-Inventory</t>
  </si>
  <si>
    <t>24JS102903-Inventory</t>
  </si>
  <si>
    <t>GV047-Inventory</t>
  </si>
  <si>
    <t>24JSF09055-Inventory</t>
  </si>
  <si>
    <t>SR411-9-Inventory</t>
  </si>
  <si>
    <t>GV2024087-Inventory</t>
  </si>
  <si>
    <t>24JSF07072-Inventory</t>
  </si>
  <si>
    <t>20250136-Inventory</t>
  </si>
  <si>
    <t>24JS110803-Inventory</t>
  </si>
  <si>
    <t>24RT110602-Inventory</t>
  </si>
  <si>
    <t>GV2024084-Inventory</t>
  </si>
  <si>
    <t>GV2024099-Inventory</t>
  </si>
  <si>
    <t>24JS111306-Inventory</t>
  </si>
  <si>
    <t>GV2024089-Inventory</t>
  </si>
  <si>
    <t>25760001-AP</t>
  </si>
  <si>
    <t>GV2024094-AP</t>
  </si>
  <si>
    <t>GV2024091-AP</t>
  </si>
  <si>
    <t>GV2024093-AP</t>
  </si>
  <si>
    <t>24JSF11045-AP</t>
  </si>
  <si>
    <t>GV2024101-AP</t>
  </si>
  <si>
    <t>:24JS120405-AP</t>
  </si>
  <si>
    <t>31/VE-AP</t>
  </si>
  <si>
    <t>23BL062701-AP</t>
  </si>
  <si>
    <t>8118113953-AP</t>
  </si>
  <si>
    <t>20241226-AP</t>
  </si>
  <si>
    <t>23RT06006-AP</t>
  </si>
  <si>
    <t>24JSF11035-AP</t>
  </si>
  <si>
    <t>1200/VE-AP</t>
  </si>
  <si>
    <t>24JSF03012-AP</t>
  </si>
  <si>
    <t>24JSF08036-AP</t>
  </si>
  <si>
    <t>24JSF08044-AP</t>
  </si>
  <si>
    <t>WHGV2409-1-AP</t>
  </si>
  <si>
    <t>24JSF09050-AP</t>
  </si>
  <si>
    <t>24RT073005-AP</t>
  </si>
  <si>
    <t>24JSF08041-AP</t>
  </si>
  <si>
    <t>24BL082304-AP</t>
  </si>
  <si>
    <t>24JS090401-AP</t>
  </si>
  <si>
    <t>24BL100705-AP</t>
  </si>
  <si>
    <t>24BL092506-AP</t>
  </si>
  <si>
    <t>24RT092505-AP</t>
  </si>
  <si>
    <t>24JSF10005-AP</t>
  </si>
  <si>
    <t>24BL092702-AP</t>
  </si>
  <si>
    <t>24RT101607-AP</t>
  </si>
  <si>
    <t>24JSF11003-AP</t>
  </si>
  <si>
    <t>24JS101205-AP</t>
  </si>
  <si>
    <t>24JSF09048-AP</t>
  </si>
  <si>
    <t>24BL101206-AP</t>
  </si>
  <si>
    <t>24BL101201-AP</t>
  </si>
  <si>
    <t>24BL101506-AP</t>
  </si>
  <si>
    <t>24JS101103-AP</t>
  </si>
  <si>
    <t>24JSF08060-AP</t>
  </si>
  <si>
    <t>24JSF08013-AP</t>
  </si>
  <si>
    <t>24RT101401-AP</t>
  </si>
  <si>
    <t>ZB202410029USA-AP</t>
  </si>
  <si>
    <t>24JSF09030-AP</t>
  </si>
  <si>
    <t>24RT102506-AP</t>
  </si>
  <si>
    <t>22530969-E-AP</t>
  </si>
  <si>
    <t>24JSF08020-AP</t>
  </si>
  <si>
    <t>24RT051002-AP</t>
  </si>
  <si>
    <t>24JSF10049-AP</t>
  </si>
  <si>
    <t>24RT102510-AP</t>
  </si>
  <si>
    <t>24RT102509-AP</t>
  </si>
  <si>
    <t>24RT102511-AP</t>
  </si>
  <si>
    <t>24JSF10008-AP</t>
  </si>
  <si>
    <t>24RT092304-AP</t>
  </si>
  <si>
    <t>24JS103001-AP</t>
  </si>
  <si>
    <t>24JS101706-AP</t>
  </si>
  <si>
    <t>24BL11010824-AP</t>
  </si>
  <si>
    <t>24JS110108-AP</t>
  </si>
  <si>
    <t>24JSF11005-AP</t>
  </si>
  <si>
    <t>24RT110105-AP</t>
  </si>
  <si>
    <t>24JS110808-AP</t>
  </si>
  <si>
    <t>24BL102902-AP</t>
  </si>
  <si>
    <t>24JSF11006-AP</t>
  </si>
  <si>
    <t>24JSF09020-AP</t>
  </si>
  <si>
    <t>24JSF10064-AP</t>
  </si>
  <si>
    <t>72500017-AP</t>
  </si>
  <si>
    <t>24JSF11016-AP</t>
  </si>
  <si>
    <t>24BL110703-AP</t>
  </si>
  <si>
    <t>24JSF11002-AP</t>
  </si>
  <si>
    <t>24RT110701-AP</t>
  </si>
  <si>
    <t>23BL121204-AP</t>
  </si>
  <si>
    <t>24JSF10071-AP</t>
  </si>
  <si>
    <t>GV2024083-AP</t>
  </si>
  <si>
    <t>24JSF11011-AP</t>
  </si>
  <si>
    <t>24RT110801-AP</t>
  </si>
  <si>
    <t>24JSF08010-AP</t>
  </si>
  <si>
    <t>24JS112001-AP</t>
  </si>
  <si>
    <t>24JSF11029-AP</t>
  </si>
  <si>
    <t>GV2024082-AP</t>
  </si>
  <si>
    <t>24RT111102-AP</t>
  </si>
  <si>
    <t>24JSF11022-AP</t>
  </si>
  <si>
    <t>24RT111407-AP</t>
  </si>
  <si>
    <t>24JSF11033-AP</t>
  </si>
  <si>
    <t>24RT111405-AP</t>
  </si>
  <si>
    <t>24JS111101-AP</t>
  </si>
  <si>
    <t>24RT112701-AP</t>
  </si>
  <si>
    <t>24JS111304-AP</t>
  </si>
  <si>
    <t>24JSF12012-AP</t>
  </si>
  <si>
    <t>GV2024098-AP</t>
  </si>
  <si>
    <t>GV2024105-AP</t>
  </si>
  <si>
    <t>SR388-2B2-AP</t>
  </si>
  <si>
    <t>24JSF12013-AP</t>
  </si>
  <si>
    <t>24JSF10020-AP</t>
  </si>
  <si>
    <t>24JSF11064-AP</t>
  </si>
  <si>
    <t>24RT111801-AP</t>
  </si>
  <si>
    <t>24RT112008-AP</t>
  </si>
  <si>
    <t>24JS112005-AP</t>
  </si>
  <si>
    <t>24JS112006-AP</t>
  </si>
  <si>
    <t>24RT112108-AP</t>
  </si>
  <si>
    <t>20250130-AP</t>
  </si>
  <si>
    <t>24RT111203-AP</t>
  </si>
  <si>
    <t>24JSF11038-AP</t>
  </si>
  <si>
    <t>ZB202312010USA-AP</t>
  </si>
  <si>
    <t>24BL112201-AP</t>
  </si>
  <si>
    <t>20250129-AP</t>
  </si>
  <si>
    <t>24JSF11050-AP</t>
  </si>
  <si>
    <t>24JS120205-AP</t>
  </si>
  <si>
    <t>24JSF12016-AP</t>
  </si>
  <si>
    <t>24RT110505-AP</t>
  </si>
  <si>
    <t>1422/VE-AP</t>
  </si>
  <si>
    <t>24JS112607-AP</t>
  </si>
  <si>
    <t>GV2024096-AP</t>
  </si>
  <si>
    <t>24RT112608-AP</t>
  </si>
  <si>
    <t>24JS112702-AP</t>
  </si>
  <si>
    <t>24JS102508-AP</t>
  </si>
  <si>
    <t>24JSF12008-AP</t>
  </si>
  <si>
    <t>24BL120201-AP</t>
  </si>
  <si>
    <t>24RT120202-AP</t>
  </si>
  <si>
    <t>24JSF11065-AP</t>
  </si>
  <si>
    <t>24JSF09056-AP</t>
  </si>
  <si>
    <t>24JSF11053-AP</t>
  </si>
  <si>
    <t>24RT120507-AP</t>
  </si>
  <si>
    <t>24JS121702-AP</t>
  </si>
  <si>
    <t>24JSF11030-AP</t>
  </si>
  <si>
    <t>24RT120905-AP</t>
  </si>
  <si>
    <t>24JSF12009-AP</t>
  </si>
  <si>
    <t>GV2024107-AP</t>
  </si>
  <si>
    <t>24JSF12033-AP</t>
  </si>
  <si>
    <t>24JSF12015-AP</t>
  </si>
  <si>
    <t>24JSF12004-AP</t>
  </si>
  <si>
    <t>24JSF12024-AP</t>
  </si>
  <si>
    <t>24JS122003-AP</t>
  </si>
  <si>
    <t>GV2024106-A-AP</t>
  </si>
  <si>
    <t>25JSF01023-AP</t>
  </si>
  <si>
    <t>INV-GV-01-02-25-AP</t>
  </si>
  <si>
    <t>24JSF12030-AP</t>
  </si>
  <si>
    <t>25JSF01053-AP</t>
  </si>
  <si>
    <t>9197/VE-AP</t>
  </si>
  <si>
    <t>22RT051003-AP</t>
  </si>
  <si>
    <t>GV2024082-B-AP</t>
  </si>
  <si>
    <t>GV2024105-B-AP</t>
  </si>
  <si>
    <t>GV2024001-AP</t>
  </si>
  <si>
    <t>433, 434, 435, 436, 437, 445, 446, 448, 450,453 , 454-AP</t>
  </si>
  <si>
    <t>25760001-Inventory</t>
  </si>
  <si>
    <t>GV2024094-Inventory</t>
  </si>
  <si>
    <t>GV2024091-Inventory</t>
  </si>
  <si>
    <t>GV2024093-Inventory</t>
  </si>
  <si>
    <t>24JSF11045-Inventory</t>
  </si>
  <si>
    <t>GV2024101-Inventory</t>
  </si>
  <si>
    <t>:24JS120405-Inventory</t>
  </si>
  <si>
    <t>31/VE-Inventory</t>
  </si>
  <si>
    <t>23BL062701-Inventory</t>
  </si>
  <si>
    <t>8118113953-Inventory</t>
  </si>
  <si>
    <t>20241226-Inventory</t>
  </si>
  <si>
    <t>23RT06006-Inventory</t>
  </si>
  <si>
    <t>24JSF11035-Inventory</t>
  </si>
  <si>
    <t>1200/VE-Inventory</t>
  </si>
  <si>
    <t>24JSF03012-Inventory</t>
  </si>
  <si>
    <t>24JSF08036-Inventory</t>
  </si>
  <si>
    <t>24JSF08044-Inventory</t>
  </si>
  <si>
    <t>WHGV2409-1-Inventory</t>
  </si>
  <si>
    <t>24JSF09050-Inventory</t>
  </si>
  <si>
    <t>24RT073005-Inventory</t>
  </si>
  <si>
    <t>24JSF08041-Inventory</t>
  </si>
  <si>
    <t>24BL082304-Inventory</t>
  </si>
  <si>
    <t>24JS090401-Inventory</t>
  </si>
  <si>
    <t>24BL100705-Inventory</t>
  </si>
  <si>
    <t>24BL092506-Inventory</t>
  </si>
  <si>
    <t>24RT092505-Inventory</t>
  </si>
  <si>
    <t>24JSF10005-Inventory</t>
  </si>
  <si>
    <t>24BL092702-Inventory</t>
  </si>
  <si>
    <t>24RT101607-Inventory</t>
  </si>
  <si>
    <t>24JSF11003-Inventory</t>
  </si>
  <si>
    <t>24JS101205-Inventory</t>
  </si>
  <si>
    <t>24JSF09048-Inventory</t>
  </si>
  <si>
    <t>24BL101206-Inventory</t>
  </si>
  <si>
    <t>24BL101201-Inventory</t>
  </si>
  <si>
    <t>24BL101506-Inventory</t>
  </si>
  <si>
    <t>24JS101103-Inventory</t>
  </si>
  <si>
    <t>24JSF08060-Inventory</t>
  </si>
  <si>
    <t>24JSF08013-Inventory</t>
  </si>
  <si>
    <t>24RT101401-Inventory</t>
  </si>
  <si>
    <t>ZB202410029USA-Inventory</t>
  </si>
  <si>
    <t>24JSF09030-Inventory</t>
  </si>
  <si>
    <t>24RT102506-Inventory</t>
  </si>
  <si>
    <t>22530969-E-Inventory</t>
  </si>
  <si>
    <t>24JSF08020-Inventory</t>
  </si>
  <si>
    <t>24RT051002-Inventory</t>
  </si>
  <si>
    <t>24JSF10049-Inventory</t>
  </si>
  <si>
    <t>24RT102510-Inventory</t>
  </si>
  <si>
    <t>24RT102509-Inventory</t>
  </si>
  <si>
    <t>24RT102511-Inventory</t>
  </si>
  <si>
    <t>24JSF10008-Inventory</t>
  </si>
  <si>
    <t>24RT092304-Inventory</t>
  </si>
  <si>
    <t>24JS103001-Inventory</t>
  </si>
  <si>
    <t>24JS101706-Inventory</t>
  </si>
  <si>
    <t>24BL11010824-Inventory</t>
  </si>
  <si>
    <t>24JS110108-Inventory</t>
  </si>
  <si>
    <t>24JSF11005-Inventory</t>
  </si>
  <si>
    <t>24RT110105-Inventory</t>
  </si>
  <si>
    <t>24JS110808-Inventory</t>
  </si>
  <si>
    <t>24BL102902-Inventory</t>
  </si>
  <si>
    <t>24JSF11006-Inventory</t>
  </si>
  <si>
    <t>24JSF09020-Inventory</t>
  </si>
  <si>
    <t>24JSF10064-Inventory</t>
  </si>
  <si>
    <t>72500017-Inventory</t>
  </si>
  <si>
    <t>24JSF11016-Inventory</t>
  </si>
  <si>
    <t>24BL110703-Inventory</t>
  </si>
  <si>
    <t>24JSF11002-Inventory</t>
  </si>
  <si>
    <t>24RT110701-Inventory</t>
  </si>
  <si>
    <t>23BL121204-Inventory</t>
  </si>
  <si>
    <t>24JSF10071-Inventory</t>
  </si>
  <si>
    <t>GV2024083-Inventory</t>
  </si>
  <si>
    <t>24JSF11011-Inventory</t>
  </si>
  <si>
    <t>24RT110801-Inventory</t>
  </si>
  <si>
    <t>24JSF08010-Inventory</t>
  </si>
  <si>
    <t>24JS112001-Inventory</t>
  </si>
  <si>
    <t>24JSF11029-Inventory</t>
  </si>
  <si>
    <t>GV2024082-Inventory</t>
  </si>
  <si>
    <t>24RT111102-Inventory</t>
  </si>
  <si>
    <t>24JSF11022-Inventory</t>
  </si>
  <si>
    <t>24RT111407-Inventory</t>
  </si>
  <si>
    <t>24JSF11033-Inventory</t>
  </si>
  <si>
    <t>24RT111405-Inventory</t>
  </si>
  <si>
    <t>24JS111101-Inventory</t>
  </si>
  <si>
    <t>24RT112701-Inventory</t>
  </si>
  <si>
    <t>24JS111304-Inventory</t>
  </si>
  <si>
    <t>24JSF12012-Inventory</t>
  </si>
  <si>
    <t>GV2024098-Inventory</t>
  </si>
  <si>
    <t>GV2024105-Inventory</t>
  </si>
  <si>
    <t>SR388-2B2-Inventory</t>
  </si>
  <si>
    <t>24JSF12013-Inventory</t>
  </si>
  <si>
    <t>24JSF10020-Inventory</t>
  </si>
  <si>
    <t>24JSF11064-Inventory</t>
  </si>
  <si>
    <t>24RT111801-Inventory</t>
  </si>
  <si>
    <t>24RT112008-Inventory</t>
  </si>
  <si>
    <t>24JS112005-Inventory</t>
  </si>
  <si>
    <t>24JS112006-Inventory</t>
  </si>
  <si>
    <t>24RT112108-Inventory</t>
  </si>
  <si>
    <t>20250130-Inventory</t>
  </si>
  <si>
    <t>24RT111203-Inventory</t>
  </si>
  <si>
    <t>24JSF11038-Inventory</t>
  </si>
  <si>
    <t>ZB202312010USA-Inventory</t>
  </si>
  <si>
    <t>24BL112201-Inventory</t>
  </si>
  <si>
    <t>20250129-Inventory</t>
  </si>
  <si>
    <t>24JSF11050-Inventory</t>
  </si>
  <si>
    <t>24JS120205-Inventory</t>
  </si>
  <si>
    <t>24JSF12016-Inventory</t>
  </si>
  <si>
    <t>24RT110505-Inventory</t>
  </si>
  <si>
    <t>1422/VE-Inventory</t>
  </si>
  <si>
    <t>24JS112607-Inventory</t>
  </si>
  <si>
    <t>GV2024096-Inventory</t>
  </si>
  <si>
    <t>24RT112608-Inventory</t>
  </si>
  <si>
    <t>24JS112702-Inventory</t>
  </si>
  <si>
    <t>24JS102508-Inventory</t>
  </si>
  <si>
    <t>24JSF12008-Inventory</t>
  </si>
  <si>
    <t>24BL120201-Inventory</t>
  </si>
  <si>
    <t>24RT120202-Inventory</t>
  </si>
  <si>
    <t>24JSF11065-Inventory</t>
  </si>
  <si>
    <t>24JSF09056-Inventory</t>
  </si>
  <si>
    <t>24JSF11053-Inventory</t>
  </si>
  <si>
    <t>24RT120507-Inventory</t>
  </si>
  <si>
    <t>24JS121702-Inventory</t>
  </si>
  <si>
    <t>24JSF11030-Inventory</t>
  </si>
  <si>
    <t>24RT120905-Inventory</t>
  </si>
  <si>
    <t>24JSF12009-Inventory</t>
  </si>
  <si>
    <t>GV2024107-Inventory</t>
  </si>
  <si>
    <t>24JSF12033-Inventory</t>
  </si>
  <si>
    <t>24JSF12015-Inventory</t>
  </si>
  <si>
    <t>24JSF12004-Inventory</t>
  </si>
  <si>
    <t>24JSF12024-Inventory</t>
  </si>
  <si>
    <t>24JS122003-Inventory</t>
  </si>
  <si>
    <t>GV2024106-A-Inventory</t>
  </si>
  <si>
    <t>25JSF01023-Inventory</t>
  </si>
  <si>
    <t>INV-GV-01-02-25-Inventory</t>
  </si>
  <si>
    <t>24JSF12030-Inventory</t>
  </si>
  <si>
    <t>25JSF01053-Inventory</t>
  </si>
  <si>
    <t>9197/VE-Inventory</t>
  </si>
  <si>
    <t>22RT051003-Inventory</t>
  </si>
  <si>
    <t>GV2024082-B-Inventory</t>
  </si>
  <si>
    <t>GV2024105-B-Inventory</t>
  </si>
  <si>
    <t>GV2024001-Inventory</t>
  </si>
  <si>
    <t>433, 434, 435, 436, 437, 445, 446, 448, 450,453 , 454-Inventory</t>
  </si>
  <si>
    <t>GV2025007-AP</t>
  </si>
  <si>
    <t>GV2025003-Balance-AP</t>
  </si>
  <si>
    <t>GV2025010-AP</t>
  </si>
  <si>
    <t>GV2025009-AP</t>
  </si>
  <si>
    <t>GV2025011-AP</t>
  </si>
  <si>
    <t>SR273-54P1,SR411-14,SR395-6,SR393-16-AP</t>
  </si>
  <si>
    <t>SR307-7,SR425-AP</t>
  </si>
  <si>
    <t>F18626-2-AP</t>
  </si>
  <si>
    <t>23JSF12035-2-AP</t>
  </si>
  <si>
    <t>20250630-2-AP</t>
  </si>
  <si>
    <t>40611-AP</t>
  </si>
  <si>
    <t>20250416-AP</t>
  </si>
  <si>
    <t>S5245695-AP</t>
  </si>
  <si>
    <t>25JSF01007-AP</t>
  </si>
  <si>
    <t>24JSF05101-AP</t>
  </si>
  <si>
    <t>25JSF01051-AP</t>
  </si>
  <si>
    <t>25RT010904-AP</t>
  </si>
  <si>
    <t>25RT010903-AP</t>
  </si>
  <si>
    <t>20250414-AP</t>
  </si>
  <si>
    <t>24JSF12052-AP</t>
  </si>
  <si>
    <t>GV2025014-AP</t>
  </si>
  <si>
    <t>25JSF07104-AP</t>
  </si>
  <si>
    <t>GV2025007-Inventory</t>
  </si>
  <si>
    <t>GV2025003-Balance-Inventory</t>
  </si>
  <si>
    <t>GV2025010-Inventory</t>
  </si>
  <si>
    <t>GV2025009-Inventory</t>
  </si>
  <si>
    <t>GV2025011-Inventory</t>
  </si>
  <si>
    <t>SR273-54P1,SR411-14,SR395-6,SR393-16-Inventory</t>
  </si>
  <si>
    <t>SR307-7,SR425-Inventory</t>
  </si>
  <si>
    <t>F18626-2-Inventory</t>
  </si>
  <si>
    <t>23JSF12035-2-Inventory</t>
  </si>
  <si>
    <t>20250630-2-Inventory</t>
  </si>
  <si>
    <t>40611-Inventory</t>
  </si>
  <si>
    <t>20250416-Inventory</t>
  </si>
  <si>
    <t>S5245695-Inventory</t>
  </si>
  <si>
    <t>25JSF01007-Inventory</t>
  </si>
  <si>
    <t>24JSF05101-Inventory</t>
  </si>
  <si>
    <t>25JSF01051-Inventory</t>
  </si>
  <si>
    <t>25RT010904-Inventory</t>
  </si>
  <si>
    <t>25RT010903-Inventory</t>
  </si>
  <si>
    <t>20250414-Inventory</t>
  </si>
  <si>
    <t>24JSF12052-Inventory</t>
  </si>
  <si>
    <t>GV2025014-Inventory</t>
  </si>
  <si>
    <t>25JSF07104-Inventory</t>
  </si>
  <si>
    <t>45839 - duplicate</t>
  </si>
  <si>
    <t>S5245695 - duplicate</t>
  </si>
  <si>
    <t>Subtotal  1</t>
  </si>
  <si>
    <t>subtotal 2</t>
  </si>
  <si>
    <t>subtotal 3 - freight only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</si>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</sst>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\$#,##0.00"/>
    <numFmt numFmtId="166" formatCode="mm/dd/yyyy"/>
    <numFmt numFmtId="167" formatCode="&quot;$&quot;#,##0.00"/>
    <numFmt numFmtId="168" formatCode="mm/dd/yy;@"/>
  </numFmts>
  <fonts count="29" x14ac:knownFonts="1">
    <font>
      <sz val="11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11"/>
      <color rgb="FFFF0000"/>
      <name val="Aptos Narrow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10" fillId="0" borderId="0"/>
    <xf numFmtId="0" fontId="9" fillId="0" borderId="0"/>
    <xf numFmtId="0" fontId="18" fillId="0" borderId="0" applyNumberFormat="0" applyFill="0" applyBorder="0" applyAlignment="0" applyProtection="0"/>
    <xf numFmtId="0" fontId="8" fillId="0" borderId="0"/>
    <xf numFmtId="0" fontId="23" fillId="0" borderId="0"/>
  </cellStyleXfs>
  <cellXfs count="151">
    <xf numFmtId="0" fontId="0" fillId="0" borderId="0" xfId="0"/>
    <xf numFmtId="2" fontId="0" fillId="2" borderId="0" xfId="0" applyNumberFormat="1" applyFill="1"/>
    <xf numFmtId="0" fontId="0" fillId="2" borderId="0" xfId="0" applyFill="1"/>
    <xf numFmtId="165" fontId="0" fillId="3" borderId="0" xfId="0" applyNumberFormat="1" applyFill="1"/>
    <xf numFmtId="2" fontId="0" fillId="0" borderId="0" xfId="0" applyNumberFormat="1"/>
    <xf numFmtId="0" fontId="12" fillId="0" borderId="0" xfId="1" applyFont="1"/>
    <xf numFmtId="2" fontId="12" fillId="0" borderId="0" xfId="1" applyNumberFormat="1" applyFont="1"/>
    <xf numFmtId="166" fontId="0" fillId="0" borderId="0" xfId="0" applyNumberFormat="1"/>
    <xf numFmtId="165" fontId="0" fillId="0" borderId="0" xfId="0" applyNumberFormat="1"/>
    <xf numFmtId="2" fontId="13" fillId="0" borderId="0" xfId="1" applyNumberFormat="1" applyFont="1"/>
    <xf numFmtId="3" fontId="0" fillId="0" borderId="0" xfId="0" applyNumberFormat="1"/>
    <xf numFmtId="0" fontId="11" fillId="0" borderId="0" xfId="0" applyFont="1"/>
    <xf numFmtId="2" fontId="13" fillId="0" borderId="0" xfId="1" applyNumberFormat="1" applyFont="1" applyAlignment="1">
      <alignment horizontal="left"/>
    </xf>
    <xf numFmtId="2" fontId="10" fillId="0" borderId="0" xfId="1" applyNumberFormat="1"/>
    <xf numFmtId="2" fontId="11" fillId="0" borderId="0" xfId="1" applyNumberFormat="1" applyFont="1" applyAlignment="1">
      <alignment horizontal="left"/>
    </xf>
    <xf numFmtId="2" fontId="11" fillId="0" borderId="0" xfId="1" applyNumberFormat="1" applyFont="1"/>
    <xf numFmtId="0" fontId="14" fillId="2" borderId="0" xfId="0" applyFont="1" applyFill="1"/>
    <xf numFmtId="0" fontId="16" fillId="0" borderId="0" xfId="0" applyFont="1"/>
    <xf numFmtId="0" fontId="9" fillId="0" borderId="0" xfId="2"/>
    <xf numFmtId="167" fontId="9" fillId="0" borderId="0" xfId="2" applyNumberFormat="1"/>
    <xf numFmtId="0" fontId="15" fillId="0" borderId="0" xfId="2" applyFont="1" applyAlignment="1">
      <alignment horizontal="center"/>
    </xf>
    <xf numFmtId="164" fontId="9" fillId="0" borderId="0" xfId="2" applyNumberFormat="1"/>
    <xf numFmtId="14" fontId="9" fillId="0" borderId="0" xfId="2" applyNumberFormat="1"/>
    <xf numFmtId="167" fontId="17" fillId="0" borderId="0" xfId="2" applyNumberFormat="1" applyFont="1"/>
    <xf numFmtId="0" fontId="10" fillId="3" borderId="0" xfId="0" applyFont="1" applyFill="1"/>
    <xf numFmtId="0" fontId="8" fillId="0" borderId="0" xfId="4"/>
    <xf numFmtId="14" fontId="8" fillId="0" borderId="0" xfId="4" applyNumberFormat="1"/>
    <xf numFmtId="0" fontId="15" fillId="0" borderId="0" xfId="4" applyFont="1" applyAlignment="1">
      <alignment horizontal="center"/>
    </xf>
    <xf numFmtId="167" fontId="8" fillId="0" borderId="0" xfId="4" applyNumberFormat="1"/>
    <xf numFmtId="49" fontId="15" fillId="0" borderId="0" xfId="2" applyNumberFormat="1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/>
    <xf numFmtId="14" fontId="9" fillId="0" borderId="0" xfId="2" applyNumberFormat="1" applyAlignment="1">
      <alignment wrapText="1"/>
    </xf>
    <xf numFmtId="0" fontId="9" fillId="0" borderId="0" xfId="2" applyAlignment="1">
      <alignment horizontal="right"/>
    </xf>
    <xf numFmtId="164" fontId="19" fillId="0" borderId="0" xfId="4" applyNumberFormat="1" applyFont="1"/>
    <xf numFmtId="0" fontId="8" fillId="0" borderId="0" xfId="4" applyAlignment="1">
      <alignment horizontal="center"/>
    </xf>
    <xf numFmtId="14" fontId="20" fillId="0" borderId="0" xfId="0" applyNumberFormat="1" applyFont="1"/>
    <xf numFmtId="0" fontId="20" fillId="0" borderId="0" xfId="0" applyFont="1"/>
    <xf numFmtId="167" fontId="20" fillId="0" borderId="0" xfId="0" applyNumberFormat="1" applyFont="1"/>
    <xf numFmtId="0" fontId="15" fillId="0" borderId="0" xfId="0" applyFont="1" applyAlignment="1">
      <alignment horizontal="right"/>
    </xf>
    <xf numFmtId="0" fontId="15" fillId="0" borderId="0" xfId="0" applyFont="1"/>
    <xf numFmtId="167" fontId="0" fillId="0" borderId="0" xfId="0" applyNumberFormat="1"/>
    <xf numFmtId="167" fontId="11" fillId="0" borderId="0" xfId="0" applyNumberFormat="1" applyFont="1"/>
    <xf numFmtId="0" fontId="10" fillId="0" borderId="0" xfId="0" applyFont="1"/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0" fontId="21" fillId="0" borderId="0" xfId="2" applyFont="1" applyAlignment="1">
      <alignment horizontal="left"/>
    </xf>
    <xf numFmtId="0" fontId="23" fillId="0" borderId="0" xfId="0" applyFont="1"/>
    <xf numFmtId="14" fontId="7" fillId="0" borderId="0" xfId="2" applyNumberFormat="1" applyFont="1"/>
    <xf numFmtId="0" fontId="21" fillId="0" borderId="0" xfId="5" applyFont="1" applyAlignment="1">
      <alignment horizontal="left"/>
    </xf>
    <xf numFmtId="164" fontId="20" fillId="0" borderId="0" xfId="0" applyNumberFormat="1" applyFont="1"/>
    <xf numFmtId="0" fontId="7" fillId="0" borderId="0" xfId="2" applyFont="1" applyAlignment="1">
      <alignment horizontal="center"/>
    </xf>
    <xf numFmtId="14" fontId="15" fillId="0" borderId="0" xfId="2" applyNumberFormat="1" applyFont="1"/>
    <xf numFmtId="0" fontId="7" fillId="0" borderId="0" xfId="4" applyFont="1"/>
    <xf numFmtId="0" fontId="7" fillId="0" borderId="0" xfId="2" applyFont="1"/>
    <xf numFmtId="14" fontId="0" fillId="0" borderId="0" xfId="0" applyNumberFormat="1"/>
    <xf numFmtId="167" fontId="20" fillId="2" borderId="0" xfId="0" applyNumberFormat="1" applyFont="1" applyFill="1"/>
    <xf numFmtId="164" fontId="20" fillId="0" borderId="0" xfId="0" applyNumberFormat="1" applyFont="1" applyAlignment="1">
      <alignment horizontal="center"/>
    </xf>
    <xf numFmtId="14" fontId="0" fillId="0" borderId="0" xfId="0" applyNumberFormat="1" applyAlignment="1">
      <alignment wrapText="1"/>
    </xf>
    <xf numFmtId="164" fontId="20" fillId="2" borderId="0" xfId="0" applyNumberFormat="1" applyFont="1" applyFill="1"/>
    <xf numFmtId="0" fontId="6" fillId="0" borderId="0" xfId="4" applyFont="1"/>
    <xf numFmtId="0" fontId="24" fillId="0" borderId="0" xfId="4" applyFont="1"/>
    <xf numFmtId="0" fontId="6" fillId="0" borderId="0" xfId="2" applyFont="1"/>
    <xf numFmtId="0" fontId="10" fillId="0" borderId="0" xfId="1"/>
    <xf numFmtId="165" fontId="10" fillId="0" borderId="0" xfId="1" applyNumberFormat="1"/>
    <xf numFmtId="166" fontId="10" fillId="0" borderId="0" xfId="1" applyNumberFormat="1"/>
    <xf numFmtId="0" fontId="12" fillId="4" borderId="0" xfId="1" applyFont="1" applyFill="1"/>
    <xf numFmtId="0" fontId="5" fillId="0" borderId="0" xfId="2" applyFont="1"/>
    <xf numFmtId="14" fontId="9" fillId="0" borderId="1" xfId="2" applyNumberFormat="1" applyBorder="1"/>
    <xf numFmtId="14" fontId="9" fillId="0" borderId="2" xfId="2" applyNumberFormat="1" applyBorder="1"/>
    <xf numFmtId="0" fontId="9" fillId="0" borderId="2" xfId="2" applyBorder="1"/>
    <xf numFmtId="0" fontId="7" fillId="0" borderId="2" xfId="2" applyFont="1" applyBorder="1"/>
    <xf numFmtId="167" fontId="9" fillId="0" borderId="2" xfId="2" applyNumberFormat="1" applyBorder="1"/>
    <xf numFmtId="0" fontId="9" fillId="0" borderId="3" xfId="2" applyBorder="1"/>
    <xf numFmtId="14" fontId="9" fillId="0" borderId="4" xfId="2" applyNumberFormat="1" applyBorder="1"/>
    <xf numFmtId="14" fontId="9" fillId="0" borderId="5" xfId="2" applyNumberFormat="1" applyBorder="1"/>
    <xf numFmtId="0" fontId="9" fillId="0" borderId="5" xfId="2" applyBorder="1"/>
    <xf numFmtId="0" fontId="7" fillId="0" borderId="5" xfId="2" applyFont="1" applyBorder="1"/>
    <xf numFmtId="167" fontId="9" fillId="0" borderId="5" xfId="2" applyNumberFormat="1" applyBorder="1"/>
    <xf numFmtId="167" fontId="9" fillId="0" borderId="6" xfId="2" applyNumberFormat="1" applyBorder="1"/>
    <xf numFmtId="0" fontId="10" fillId="3" borderId="0" xfId="1" applyFill="1"/>
    <xf numFmtId="165" fontId="10" fillId="3" borderId="0" xfId="1" applyNumberFormat="1" applyFill="1"/>
    <xf numFmtId="0" fontId="25" fillId="0" borderId="0" xfId="1" applyFont="1"/>
    <xf numFmtId="0" fontId="10" fillId="0" borderId="0" xfId="0" applyFont="1" applyAlignment="1">
      <alignment wrapText="1"/>
    </xf>
    <xf numFmtId="0" fontId="0" fillId="3" borderId="0" xfId="0" applyFill="1"/>
    <xf numFmtId="2" fontId="11" fillId="3" borderId="0" xfId="1" applyNumberFormat="1" applyFont="1" applyFill="1"/>
    <xf numFmtId="166" fontId="0" fillId="3" borderId="0" xfId="0" applyNumberFormat="1" applyFill="1"/>
    <xf numFmtId="167" fontId="0" fillId="3" borderId="0" xfId="0" applyNumberFormat="1" applyFill="1"/>
    <xf numFmtId="0" fontId="4" fillId="0" borderId="0" xfId="4" applyFont="1"/>
    <xf numFmtId="0" fontId="10" fillId="0" borderId="0" xfId="1" applyAlignment="1">
      <alignment wrapText="1"/>
    </xf>
    <xf numFmtId="0" fontId="12" fillId="4" borderId="0" xfId="1" applyFont="1" applyFill="1" applyAlignment="1">
      <alignment wrapText="1"/>
    </xf>
    <xf numFmtId="165" fontId="11" fillId="0" borderId="0" xfId="1" applyNumberFormat="1" applyFont="1" applyAlignment="1">
      <alignment wrapText="1"/>
    </xf>
    <xf numFmtId="165" fontId="10" fillId="0" borderId="0" xfId="1" applyNumberFormat="1" applyAlignment="1">
      <alignment wrapText="1"/>
    </xf>
    <xf numFmtId="165" fontId="16" fillId="0" borderId="0" xfId="1" applyNumberFormat="1" applyFont="1" applyAlignment="1">
      <alignment wrapText="1"/>
    </xf>
    <xf numFmtId="0" fontId="24" fillId="0" borderId="0" xfId="2" applyFont="1" applyAlignment="1">
      <alignment wrapText="1"/>
    </xf>
    <xf numFmtId="0" fontId="9" fillId="0" borderId="0" xfId="2" applyAlignment="1">
      <alignment wrapText="1"/>
    </xf>
    <xf numFmtId="0" fontId="3" fillId="0" borderId="0" xfId="4" applyFont="1"/>
    <xf numFmtId="0" fontId="15" fillId="0" borderId="0" xfId="4" applyFont="1"/>
    <xf numFmtId="0" fontId="26" fillId="0" borderId="0" xfId="4" applyFont="1"/>
    <xf numFmtId="0" fontId="11" fillId="5" borderId="0" xfId="0" applyFont="1" applyFill="1" applyAlignment="1">
      <alignment wrapText="1"/>
    </xf>
    <xf numFmtId="0" fontId="15" fillId="0" borderId="0" xfId="2" applyFont="1" applyAlignment="1">
      <alignment wrapText="1"/>
    </xf>
    <xf numFmtId="165" fontId="27" fillId="0" borderId="0" xfId="1" applyNumberFormat="1" applyFont="1" applyAlignment="1">
      <alignment wrapText="1"/>
    </xf>
    <xf numFmtId="0" fontId="27" fillId="0" borderId="0" xfId="0" applyFont="1" applyAlignment="1">
      <alignment wrapText="1"/>
    </xf>
    <xf numFmtId="0" fontId="2" fillId="0" borderId="0" xfId="2" applyFont="1"/>
    <xf numFmtId="167" fontId="9" fillId="3" borderId="0" xfId="2" applyNumberFormat="1" applyFill="1"/>
    <xf numFmtId="0" fontId="6" fillId="3" borderId="0" xfId="4" applyFont="1" applyFill="1"/>
    <xf numFmtId="164" fontId="9" fillId="3" borderId="0" xfId="2" applyNumberFormat="1" applyFill="1"/>
    <xf numFmtId="0" fontId="24" fillId="3" borderId="0" xfId="4" applyFont="1" applyFill="1"/>
    <xf numFmtId="0" fontId="9" fillId="3" borderId="0" xfId="2" applyFill="1"/>
    <xf numFmtId="0" fontId="1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28" fillId="0" borderId="0" xfId="1" applyFont="1" applyAlignment="1">
      <alignment horizontal="center"/>
    </xf>
    <xf numFmtId="168" fontId="0" fillId="0" borderId="0" xfId="0" applyNumberFormat="1"/>
    <xf numFmtId="167" fontId="16" fillId="6" borderId="0" xfId="0" applyNumberFormat="1" applyFont="1" applyFill="1"/>
    <xf numFmtId="0" fontId="12" fillId="6" borderId="0" xfId="1" applyFont="1" applyFill="1" applyAlignment="1">
      <alignment horizontal="center"/>
    </xf>
    <xf numFmtId="167" fontId="28" fillId="6" borderId="0" xfId="0" applyNumberFormat="1" applyFont="1" applyFill="1"/>
    <xf numFmtId="0" fontId="1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7" fontId="10" fillId="6" borderId="0" xfId="0" applyNumberFormat="1" applyFont="1" applyFill="1" applyAlignment="1">
      <alignment horizontal="center"/>
    </xf>
    <xf numFmtId="0" fontId="2" fillId="0" borderId="0" xfId="2" applyFont="1" applyAlignment="1">
      <alignment wrapText="1"/>
    </xf>
    <xf numFmtId="167" fontId="8" fillId="3" borderId="0" xfId="4" applyNumberFormat="1" applyFill="1"/>
    <xf numFmtId="0" fontId="8" fillId="3" borderId="0" xfId="4" applyFill="1"/>
    <xf numFmtId="165" fontId="0" fillId="0" borderId="7" xfId="0" applyNumberFormat="1" applyBorder="1"/>
    <xf numFmtId="0" fontId="27" fillId="0" borderId="7" xfId="0" applyFont="1" applyBorder="1" applyAlignment="1">
      <alignment wrapText="1"/>
    </xf>
    <xf numFmtId="167" fontId="0" fillId="3" borderId="8" xfId="0" applyNumberFormat="1" applyFill="1" applyBorder="1"/>
    <xf numFmtId="0" fontId="10" fillId="6" borderId="8" xfId="0" applyFont="1" applyFill="1" applyBorder="1" applyAlignment="1">
      <alignment horizontal="center"/>
    </xf>
    <xf numFmtId="167" fontId="10" fillId="6" borderId="8" xfId="0" applyNumberFormat="1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/>
    </xf>
    <xf numFmtId="167" fontId="0" fillId="0" borderId="8" xfId="0" applyNumberFormat="1" applyBorder="1"/>
    <xf numFmtId="0" fontId="28" fillId="6" borderId="7" xfId="1" applyFont="1" applyFill="1" applyBorder="1"/>
    <xf numFmtId="0" fontId="10" fillId="6" borderId="7" xfId="0" applyFont="1" applyFill="1" applyBorder="1"/>
    <xf numFmtId="165" fontId="0" fillId="7" borderId="0" xfId="0" applyNumberFormat="1" applyFill="1"/>
    <xf numFmtId="0" fontId="0" fillId="7" borderId="0" xfId="0" applyFill="1"/>
    <xf numFmtId="14" fontId="8" fillId="0" borderId="2" xfId="4" applyNumberFormat="1" applyBorder="1"/>
    <xf numFmtId="0" fontId="8" fillId="0" borderId="2" xfId="4" applyBorder="1"/>
    <xf numFmtId="2" fontId="0" fillId="0" borderId="0" xfId="0" applyNumberFormat="1" applyAlignment="1">
      <alignment horizontal="left"/>
    </xf>
    <xf numFmtId="0" fontId="8" fillId="0" borderId="2" xfId="4" applyBorder="1" applyAlignment="1">
      <alignment horizontal="left"/>
    </xf>
    <xf numFmtId="3" fontId="0" fillId="0" borderId="0" xfId="0" applyNumberFormat="1" applyAlignment="1">
      <alignment horizontal="left"/>
    </xf>
    <xf numFmtId="2" fontId="10" fillId="0" borderId="0" xfId="1" applyNumberFormat="1" applyAlignment="1">
      <alignment horizontal="left"/>
    </xf>
    <xf numFmtId="2" fontId="11" fillId="3" borderId="0" xfId="1" applyNumberFormat="1" applyFont="1" applyFill="1" applyAlignment="1">
      <alignment horizontal="left"/>
    </xf>
    <xf numFmtId="0" fontId="0" fillId="0" borderId="0" xfId="0" quotePrefix="1"/>
    <xf numFmtId="0" fontId="20" fillId="2" borderId="0" xfId="0" applyFont="1" applyFill="1"/>
    <xf numFmtId="0" fontId="22" fillId="0" borderId="0" xfId="0" applyFont="1" applyAlignment="1">
      <alignment horizontal="left"/>
    </xf>
    <xf numFmtId="0" fontId="20" fillId="0" borderId="0" xfId="0" quotePrefix="1" applyFont="1"/>
    <xf numFmtId="0" fontId="22" fillId="0" borderId="0" xfId="5" applyFont="1" applyAlignment="1">
      <alignment horizontal="left"/>
    </xf>
    <xf numFmtId="167" fontId="20" fillId="0" borderId="2" xfId="0" applyNumberFormat="1" applyFont="1" applyBorder="1"/>
    <xf numFmtId="0" fontId="1" fillId="0" borderId="0" xfId="2" applyFont="1"/>
    <xf numFmtId="0" fontId="21" fillId="8" borderId="0" xfId="0" applyFont="1" applyFill="1" applyAlignment="1">
      <alignment horizontal="left"/>
    </xf>
    <xf numFmtId="14" fontId="0" fillId="8" borderId="0" xfId="0" applyNumberFormat="1" applyFill="1"/>
    <xf numFmtId="0" fontId="0" fillId="8" borderId="0" xfId="0" applyFill="1"/>
    <xf numFmtId="167" fontId="20" fillId="8" borderId="0" xfId="0" applyNumberFormat="1" applyFont="1" applyFill="1"/>
  </cellXfs>
  <cellStyles count="6">
    <cellStyle name="Hyperlink 2" xfId="3" xr:uid="{50B9CC0B-7C9E-41E1-8035-9F255E6A9177}"/>
    <cellStyle name="Normal" xfId="0" builtinId="0"/>
    <cellStyle name="Normal 2" xfId="2" xr:uid="{85F74456-65B2-458B-B203-335BF95C4CD9}"/>
    <cellStyle name="Normal 3" xfId="4" xr:uid="{10A67EC3-2B26-49FA-AA43-D56FD304A6AB}"/>
    <cellStyle name="Normal 5" xfId="1" xr:uid="{92B43B79-4FE3-48B0-A9B6-5CF247F98FB0}"/>
    <cellStyle name="Normal 6" xfId="5" xr:uid="{EE72397B-D9EC-4EFB-A225-779891B940C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8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8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E93E-F804-447C-8EE5-E784E915493A}">
  <dimension ref="A1:O1550"/>
  <sheetViews>
    <sheetView workbookViewId="0">
      <selection activeCell="B5" sqref="B5:E31"/>
    </sheetView>
  </sheetViews>
  <sheetFormatPr defaultRowHeight="14" x14ac:dyDescent="0.3"/>
  <cols>
    <col min="2" max="2" width="58.1640625" bestFit="1" customWidth="1"/>
    <col min="3" max="3" width="34.1640625" style="1" customWidth="1"/>
    <col min="4" max="4" width="12.6640625" style="2" bestFit="1" customWidth="1"/>
    <col min="5" max="5" width="12.83203125" style="2" bestFit="1" customWidth="1"/>
    <col min="6" max="6" width="12.83203125" style="2" customWidth="1"/>
    <col min="7" max="7" width="101.6640625" bestFit="1" customWidth="1"/>
    <col min="13" max="13" width="12.33203125" customWidth="1"/>
    <col min="15" max="15" width="15.1640625" customWidth="1"/>
  </cols>
  <sheetData>
    <row r="1" spans="1:15" x14ac:dyDescent="0.3">
      <c r="B1" s="43" t="s">
        <v>4063</v>
      </c>
      <c r="E1" s="3">
        <f>SUM(E5:E1548)</f>
        <v>2530451.900000005</v>
      </c>
      <c r="F1" s="3"/>
      <c r="G1" s="17" t="s">
        <v>4081</v>
      </c>
      <c r="L1" s="24" t="s">
        <v>4104</v>
      </c>
      <c r="M1" s="84"/>
      <c r="N1" s="24" t="s">
        <v>3800</v>
      </c>
      <c r="O1" s="42">
        <f>SUM(O4:O120)</f>
        <v>2521882.7899999991</v>
      </c>
    </row>
    <row r="2" spans="1:15" ht="15.5" x14ac:dyDescent="0.35">
      <c r="G2" s="82" t="s">
        <v>4064</v>
      </c>
      <c r="H2" s="43" t="s">
        <v>4100</v>
      </c>
      <c r="I2" s="43"/>
      <c r="J2" s="43"/>
      <c r="L2" s="24" t="s">
        <v>4105</v>
      </c>
      <c r="M2" s="84"/>
      <c r="N2" s="16" t="s">
        <v>947</v>
      </c>
      <c r="O2" s="41"/>
    </row>
    <row r="3" spans="1:15" x14ac:dyDescent="0.3">
      <c r="C3" s="4"/>
      <c r="D3"/>
      <c r="E3"/>
      <c r="F3"/>
      <c r="H3" s="43" t="s">
        <v>4101</v>
      </c>
      <c r="N3" s="43" t="s">
        <v>3801</v>
      </c>
      <c r="O3" s="41"/>
    </row>
    <row r="4" spans="1:15" ht="12" customHeight="1" x14ac:dyDescent="0.35">
      <c r="B4" s="5" t="s">
        <v>0</v>
      </c>
      <c r="C4" s="6" t="s">
        <v>1</v>
      </c>
      <c r="D4" s="5" t="s">
        <v>2</v>
      </c>
      <c r="E4" s="5" t="s">
        <v>3</v>
      </c>
      <c r="F4" s="5"/>
      <c r="G4" s="102" t="s">
        <v>4065</v>
      </c>
      <c r="H4" s="43" t="s">
        <v>4102</v>
      </c>
      <c r="N4" t="s">
        <v>0</v>
      </c>
      <c r="O4" s="41">
        <f t="shared" ref="O4:O35" si="0">SUMIF(B:B,N4,E:E)</f>
        <v>0</v>
      </c>
    </row>
    <row r="5" spans="1:15" ht="11.4" customHeight="1" x14ac:dyDescent="0.3">
      <c r="A5" s="123" t="s">
        <v>4109</v>
      </c>
      <c r="B5" t="s">
        <v>4</v>
      </c>
      <c r="C5" s="44">
        <v>6814</v>
      </c>
      <c r="D5" s="7">
        <v>45817</v>
      </c>
      <c r="E5" s="8">
        <v>217</v>
      </c>
      <c r="F5" s="8"/>
      <c r="G5" s="102" t="s">
        <v>4066</v>
      </c>
      <c r="H5" s="43" t="s">
        <v>4103</v>
      </c>
      <c r="N5" t="s">
        <v>4</v>
      </c>
      <c r="O5" s="41">
        <f t="shared" si="0"/>
        <v>10920</v>
      </c>
    </row>
    <row r="6" spans="1:15" ht="13.25" customHeight="1" x14ac:dyDescent="0.3">
      <c r="A6" s="123" t="s">
        <v>4109</v>
      </c>
      <c r="B6" t="s">
        <v>4</v>
      </c>
      <c r="C6" s="44">
        <v>6814</v>
      </c>
      <c r="D6" s="7">
        <v>45817</v>
      </c>
      <c r="E6" s="8">
        <v>216</v>
      </c>
      <c r="F6" s="8"/>
      <c r="G6" s="102" t="s">
        <v>4067</v>
      </c>
      <c r="H6" s="43" t="s">
        <v>4085</v>
      </c>
      <c r="N6" t="s">
        <v>5</v>
      </c>
      <c r="O6" s="41">
        <f t="shared" si="0"/>
        <v>391.5</v>
      </c>
    </row>
    <row r="7" spans="1:15" x14ac:dyDescent="0.3">
      <c r="A7" s="123" t="s">
        <v>4109</v>
      </c>
      <c r="B7" t="s">
        <v>4</v>
      </c>
      <c r="C7" s="44">
        <v>6814</v>
      </c>
      <c r="D7" s="7">
        <v>45817</v>
      </c>
      <c r="E7" s="8">
        <v>217</v>
      </c>
      <c r="F7" s="8"/>
      <c r="N7" t="s">
        <v>6</v>
      </c>
      <c r="O7" s="41">
        <f t="shared" si="0"/>
        <v>974.5</v>
      </c>
    </row>
    <row r="8" spans="1:15" x14ac:dyDescent="0.3">
      <c r="A8" s="123" t="s">
        <v>4109</v>
      </c>
      <c r="B8" t="s">
        <v>4</v>
      </c>
      <c r="C8" s="44">
        <v>6814</v>
      </c>
      <c r="D8" s="7">
        <v>45817</v>
      </c>
      <c r="E8" s="8">
        <v>325</v>
      </c>
      <c r="F8" s="8"/>
      <c r="G8" s="102"/>
      <c r="H8" s="43"/>
      <c r="N8" t="s">
        <v>8</v>
      </c>
      <c r="O8" s="41">
        <f t="shared" si="0"/>
        <v>34925.850000000006</v>
      </c>
    </row>
    <row r="9" spans="1:15" x14ac:dyDescent="0.3">
      <c r="A9" s="123" t="s">
        <v>4109</v>
      </c>
      <c r="B9" t="s">
        <v>4</v>
      </c>
      <c r="C9" s="44">
        <v>6814</v>
      </c>
      <c r="D9" s="7">
        <v>45817</v>
      </c>
      <c r="E9" s="8">
        <v>257</v>
      </c>
      <c r="F9" s="8"/>
      <c r="H9" s="43"/>
      <c r="N9" t="s">
        <v>15</v>
      </c>
      <c r="O9" s="41">
        <f t="shared" si="0"/>
        <v>-33032.89</v>
      </c>
    </row>
    <row r="10" spans="1:15" x14ac:dyDescent="0.3">
      <c r="A10" s="123" t="s">
        <v>4109</v>
      </c>
      <c r="B10" t="s">
        <v>4</v>
      </c>
      <c r="C10" s="44">
        <v>6814</v>
      </c>
      <c r="D10" s="7">
        <v>45817</v>
      </c>
      <c r="E10" s="8">
        <v>257</v>
      </c>
      <c r="F10" s="8"/>
      <c r="N10" t="s">
        <v>17</v>
      </c>
      <c r="O10" s="41">
        <f t="shared" si="0"/>
        <v>-44894.490000000005</v>
      </c>
    </row>
    <row r="11" spans="1:15" x14ac:dyDescent="0.3">
      <c r="A11" s="123" t="s">
        <v>4109</v>
      </c>
      <c r="B11" t="s">
        <v>4</v>
      </c>
      <c r="C11" s="44">
        <v>6814</v>
      </c>
      <c r="D11" s="7">
        <v>45817</v>
      </c>
      <c r="E11" s="8">
        <v>256</v>
      </c>
      <c r="F11" s="8"/>
      <c r="G11" s="102"/>
      <c r="H11" s="43"/>
      <c r="K11" s="43"/>
      <c r="N11" t="s">
        <v>28</v>
      </c>
      <c r="O11" s="41">
        <f t="shared" si="0"/>
        <v>45000</v>
      </c>
    </row>
    <row r="12" spans="1:15" x14ac:dyDescent="0.3">
      <c r="A12" s="123" t="s">
        <v>4109</v>
      </c>
      <c r="B12" t="s">
        <v>4</v>
      </c>
      <c r="C12" s="44">
        <v>6814</v>
      </c>
      <c r="D12" s="7">
        <v>45817</v>
      </c>
      <c r="E12" s="8">
        <v>217</v>
      </c>
      <c r="F12" s="8"/>
      <c r="H12" s="43"/>
      <c r="N12" t="s">
        <v>30</v>
      </c>
      <c r="O12" s="41">
        <f t="shared" si="0"/>
        <v>8.4</v>
      </c>
    </row>
    <row r="13" spans="1:15" x14ac:dyDescent="0.3">
      <c r="A13" s="123" t="s">
        <v>4109</v>
      </c>
      <c r="B13" t="s">
        <v>4</v>
      </c>
      <c r="C13" s="44">
        <v>6814</v>
      </c>
      <c r="D13" s="7">
        <v>45817</v>
      </c>
      <c r="E13" s="8">
        <v>325</v>
      </c>
      <c r="F13" s="8"/>
      <c r="H13" s="43"/>
      <c r="J13" s="43"/>
      <c r="N13" t="s">
        <v>32</v>
      </c>
      <c r="O13" s="41">
        <f t="shared" si="0"/>
        <v>-2154.81</v>
      </c>
    </row>
    <row r="14" spans="1:15" x14ac:dyDescent="0.3">
      <c r="A14" s="123" t="s">
        <v>4109</v>
      </c>
      <c r="B14" t="s">
        <v>4</v>
      </c>
      <c r="C14" s="44">
        <v>6814</v>
      </c>
      <c r="D14" s="7">
        <v>45817</v>
      </c>
      <c r="E14" s="8">
        <v>216</v>
      </c>
      <c r="F14" s="8"/>
      <c r="N14" t="s">
        <v>34</v>
      </c>
      <c r="O14" s="41">
        <f t="shared" si="0"/>
        <v>227069.27000000005</v>
      </c>
    </row>
    <row r="15" spans="1:15" x14ac:dyDescent="0.3">
      <c r="A15" s="123" t="s">
        <v>4109</v>
      </c>
      <c r="B15" t="s">
        <v>4</v>
      </c>
      <c r="C15" s="44">
        <v>6814</v>
      </c>
      <c r="D15" s="7">
        <v>45817</v>
      </c>
      <c r="E15" s="8">
        <v>217</v>
      </c>
      <c r="F15" s="8"/>
      <c r="N15" t="s">
        <v>49</v>
      </c>
      <c r="O15" s="41">
        <f t="shared" si="0"/>
        <v>18858.48</v>
      </c>
    </row>
    <row r="16" spans="1:15" x14ac:dyDescent="0.3">
      <c r="A16" s="123" t="s">
        <v>4109</v>
      </c>
      <c r="B16" t="s">
        <v>4</v>
      </c>
      <c r="C16" s="44">
        <v>6814</v>
      </c>
      <c r="D16" s="7">
        <v>45817</v>
      </c>
      <c r="E16" s="8">
        <v>325</v>
      </c>
      <c r="F16" s="8"/>
      <c r="N16" t="s">
        <v>50</v>
      </c>
      <c r="O16" s="41">
        <f t="shared" si="0"/>
        <v>10790.690000000002</v>
      </c>
    </row>
    <row r="17" spans="1:15" x14ac:dyDescent="0.3">
      <c r="A17" s="123" t="s">
        <v>4109</v>
      </c>
      <c r="B17" t="s">
        <v>4</v>
      </c>
      <c r="C17" s="44">
        <v>6814</v>
      </c>
      <c r="D17" s="7">
        <v>45817</v>
      </c>
      <c r="E17" s="8">
        <v>325</v>
      </c>
      <c r="F17" s="8"/>
      <c r="N17" t="s">
        <v>62</v>
      </c>
      <c r="O17" s="41">
        <f t="shared" si="0"/>
        <v>500</v>
      </c>
    </row>
    <row r="18" spans="1:15" x14ac:dyDescent="0.3">
      <c r="A18" s="123" t="s">
        <v>4109</v>
      </c>
      <c r="B18" t="s">
        <v>4</v>
      </c>
      <c r="C18" s="44">
        <v>6836</v>
      </c>
      <c r="D18" s="7">
        <v>45824</v>
      </c>
      <c r="E18" s="8">
        <v>162</v>
      </c>
      <c r="F18" s="8"/>
      <c r="N18" t="s">
        <v>65</v>
      </c>
      <c r="O18" s="41">
        <f t="shared" si="0"/>
        <v>2985</v>
      </c>
    </row>
    <row r="19" spans="1:15" x14ac:dyDescent="0.3">
      <c r="A19" s="123" t="s">
        <v>4109</v>
      </c>
      <c r="B19" t="s">
        <v>4</v>
      </c>
      <c r="C19" s="44">
        <v>6836</v>
      </c>
      <c r="D19" s="7">
        <v>45824</v>
      </c>
      <c r="E19" s="8">
        <v>163</v>
      </c>
      <c r="F19" s="8"/>
      <c r="N19" t="s">
        <v>66</v>
      </c>
      <c r="O19" s="41">
        <f t="shared" si="0"/>
        <v>327998.17000000004</v>
      </c>
    </row>
    <row r="20" spans="1:15" x14ac:dyDescent="0.3">
      <c r="A20" s="123" t="s">
        <v>4109</v>
      </c>
      <c r="B20" t="s">
        <v>4</v>
      </c>
      <c r="C20" s="44">
        <v>6836</v>
      </c>
      <c r="D20" s="7">
        <v>45824</v>
      </c>
      <c r="E20" s="8">
        <v>163</v>
      </c>
      <c r="F20" s="8"/>
      <c r="N20" t="s">
        <v>82</v>
      </c>
      <c r="O20" s="41">
        <f t="shared" si="0"/>
        <v>23922.18</v>
      </c>
    </row>
    <row r="21" spans="1:15" x14ac:dyDescent="0.3">
      <c r="A21" s="123" t="s">
        <v>4109</v>
      </c>
      <c r="B21" t="s">
        <v>4</v>
      </c>
      <c r="C21" s="44">
        <v>6836</v>
      </c>
      <c r="D21" s="7">
        <v>45824</v>
      </c>
      <c r="E21" s="8">
        <v>162</v>
      </c>
      <c r="F21" s="8"/>
      <c r="N21" t="s">
        <v>85</v>
      </c>
      <c r="O21" s="41">
        <f t="shared" si="0"/>
        <v>175</v>
      </c>
    </row>
    <row r="22" spans="1:15" x14ac:dyDescent="0.3">
      <c r="A22" s="123" t="s">
        <v>4109</v>
      </c>
      <c r="B22" t="s">
        <v>4</v>
      </c>
      <c r="C22" s="44">
        <v>6862</v>
      </c>
      <c r="D22" s="7">
        <v>45830</v>
      </c>
      <c r="E22" s="8">
        <v>650</v>
      </c>
      <c r="F22" s="8"/>
      <c r="N22" t="s">
        <v>86</v>
      </c>
      <c r="O22" s="41">
        <f t="shared" si="0"/>
        <v>0</v>
      </c>
    </row>
    <row r="23" spans="1:15" x14ac:dyDescent="0.3">
      <c r="A23" s="123" t="s">
        <v>4109</v>
      </c>
      <c r="B23" t="s">
        <v>4</v>
      </c>
      <c r="C23" s="44">
        <v>6862</v>
      </c>
      <c r="D23" s="7">
        <v>45830</v>
      </c>
      <c r="E23" s="8">
        <v>650</v>
      </c>
      <c r="F23" s="8"/>
      <c r="N23" t="s">
        <v>88</v>
      </c>
      <c r="O23" s="41">
        <f t="shared" si="0"/>
        <v>23564.84</v>
      </c>
    </row>
    <row r="24" spans="1:15" x14ac:dyDescent="0.3">
      <c r="A24" s="123" t="s">
        <v>4109</v>
      </c>
      <c r="B24" t="s">
        <v>4</v>
      </c>
      <c r="C24" s="44">
        <v>6863</v>
      </c>
      <c r="D24" s="7">
        <v>45830</v>
      </c>
      <c r="E24" s="8">
        <v>550</v>
      </c>
      <c r="F24" s="8"/>
      <c r="N24" t="s">
        <v>90</v>
      </c>
      <c r="O24" s="41">
        <f t="shared" si="0"/>
        <v>9128.69</v>
      </c>
    </row>
    <row r="25" spans="1:15" x14ac:dyDescent="0.3">
      <c r="A25" s="123" t="s">
        <v>4109</v>
      </c>
      <c r="B25" t="s">
        <v>4</v>
      </c>
      <c r="C25" s="44">
        <v>6863</v>
      </c>
      <c r="D25" s="7">
        <v>45830</v>
      </c>
      <c r="E25" s="8">
        <v>550</v>
      </c>
      <c r="F25" s="8"/>
      <c r="N25" t="s">
        <v>91</v>
      </c>
      <c r="O25" s="41">
        <f t="shared" si="0"/>
        <v>8911.7800000000007</v>
      </c>
    </row>
    <row r="26" spans="1:15" x14ac:dyDescent="0.3">
      <c r="A26" s="123" t="s">
        <v>4109</v>
      </c>
      <c r="B26" t="s">
        <v>4</v>
      </c>
      <c r="C26" s="44">
        <v>6863</v>
      </c>
      <c r="D26" s="7">
        <v>45830</v>
      </c>
      <c r="E26" s="8">
        <v>550</v>
      </c>
      <c r="F26" s="8"/>
      <c r="N26" t="s">
        <v>92</v>
      </c>
      <c r="O26" s="41">
        <f t="shared" si="0"/>
        <v>-25.61</v>
      </c>
    </row>
    <row r="27" spans="1:15" x14ac:dyDescent="0.3">
      <c r="A27" s="123" t="s">
        <v>4109</v>
      </c>
      <c r="B27" t="s">
        <v>4</v>
      </c>
      <c r="C27" s="44">
        <v>6863</v>
      </c>
      <c r="D27" s="7">
        <v>45830</v>
      </c>
      <c r="E27" s="8">
        <v>825</v>
      </c>
      <c r="F27" s="8"/>
      <c r="N27" t="s">
        <v>93</v>
      </c>
      <c r="O27" s="41">
        <f t="shared" si="0"/>
        <v>-4539.5200000000004</v>
      </c>
    </row>
    <row r="28" spans="1:15" x14ac:dyDescent="0.3">
      <c r="A28" s="123" t="s">
        <v>4109</v>
      </c>
      <c r="B28" t="s">
        <v>4</v>
      </c>
      <c r="C28" s="44">
        <v>6863</v>
      </c>
      <c r="D28" s="7">
        <v>45830</v>
      </c>
      <c r="E28" s="8">
        <v>1650</v>
      </c>
      <c r="F28" s="8"/>
      <c r="N28" t="s">
        <v>95</v>
      </c>
      <c r="O28" s="41">
        <f t="shared" si="0"/>
        <v>-640.36</v>
      </c>
    </row>
    <row r="29" spans="1:15" x14ac:dyDescent="0.3">
      <c r="A29" s="123" t="s">
        <v>4109</v>
      </c>
      <c r="B29" t="s">
        <v>4</v>
      </c>
      <c r="C29" s="44">
        <v>6863</v>
      </c>
      <c r="D29" s="7">
        <v>45830</v>
      </c>
      <c r="E29" s="8">
        <v>825</v>
      </c>
      <c r="F29" s="8"/>
      <c r="N29" t="s">
        <v>96</v>
      </c>
      <c r="O29" s="41">
        <f t="shared" si="0"/>
        <v>205725.94</v>
      </c>
    </row>
    <row r="30" spans="1:15" x14ac:dyDescent="0.3">
      <c r="A30" s="123" t="s">
        <v>4109</v>
      </c>
      <c r="B30" t="s">
        <v>4</v>
      </c>
      <c r="C30" s="44">
        <v>6873</v>
      </c>
      <c r="D30" s="7">
        <v>45838</v>
      </c>
      <c r="E30" s="8">
        <v>325</v>
      </c>
      <c r="F30" s="8"/>
      <c r="N30" t="s">
        <v>103</v>
      </c>
      <c r="O30" s="41">
        <f t="shared" si="0"/>
        <v>598.74</v>
      </c>
    </row>
    <row r="31" spans="1:15" x14ac:dyDescent="0.3">
      <c r="A31" s="123" t="s">
        <v>4109</v>
      </c>
      <c r="B31" t="s">
        <v>4</v>
      </c>
      <c r="C31" s="44">
        <v>6873</v>
      </c>
      <c r="D31" s="7">
        <v>45838</v>
      </c>
      <c r="E31" s="8">
        <v>325</v>
      </c>
      <c r="F31" s="8"/>
      <c r="N31" t="s">
        <v>105</v>
      </c>
      <c r="O31" s="41">
        <f t="shared" si="0"/>
        <v>647.34</v>
      </c>
    </row>
    <row r="32" spans="1:15" x14ac:dyDescent="0.3">
      <c r="B32" t="s">
        <v>5</v>
      </c>
      <c r="C32" s="44">
        <v>20250630</v>
      </c>
      <c r="D32" s="7">
        <v>45838</v>
      </c>
      <c r="E32" s="8">
        <v>391.5</v>
      </c>
      <c r="F32" s="8"/>
      <c r="N32" t="s">
        <v>107</v>
      </c>
      <c r="O32" s="41">
        <f t="shared" si="0"/>
        <v>31184.17</v>
      </c>
    </row>
    <row r="33" spans="1:15" x14ac:dyDescent="0.3">
      <c r="B33" t="s">
        <v>6</v>
      </c>
      <c r="C33" s="135" t="s">
        <v>7</v>
      </c>
      <c r="D33" s="7">
        <v>45811</v>
      </c>
      <c r="E33" s="8">
        <v>487.5</v>
      </c>
      <c r="F33" s="8"/>
      <c r="N33" t="s">
        <v>109</v>
      </c>
      <c r="O33" s="41">
        <f t="shared" si="0"/>
        <v>2321261.7999999993</v>
      </c>
    </row>
    <row r="34" spans="1:15" x14ac:dyDescent="0.3">
      <c r="B34" t="s">
        <v>6</v>
      </c>
      <c r="C34" s="135" t="s">
        <v>7</v>
      </c>
      <c r="D34" s="7">
        <v>45811</v>
      </c>
      <c r="E34" s="8">
        <v>487</v>
      </c>
      <c r="F34" s="8"/>
      <c r="N34" t="s">
        <v>300</v>
      </c>
      <c r="O34" s="41">
        <f t="shared" si="0"/>
        <v>195890.11</v>
      </c>
    </row>
    <row r="35" spans="1:15" x14ac:dyDescent="0.3">
      <c r="B35" t="s">
        <v>8</v>
      </c>
      <c r="C35" s="135" t="s">
        <v>9</v>
      </c>
      <c r="D35" s="7">
        <v>45321</v>
      </c>
      <c r="E35" s="8">
        <v>1126.6600000000001</v>
      </c>
      <c r="F35" s="8"/>
      <c r="N35" t="s">
        <v>301</v>
      </c>
      <c r="O35" s="41">
        <f t="shared" si="0"/>
        <v>1191.52</v>
      </c>
    </row>
    <row r="36" spans="1:15" x14ac:dyDescent="0.3">
      <c r="B36" t="s">
        <v>8</v>
      </c>
      <c r="C36" s="135" t="s">
        <v>10</v>
      </c>
      <c r="D36" s="7">
        <v>45336</v>
      </c>
      <c r="E36" s="8">
        <v>3350.88</v>
      </c>
      <c r="F36" s="8"/>
      <c r="N36" t="s">
        <v>302</v>
      </c>
      <c r="O36" s="41">
        <f t="shared" ref="O36:O67" si="1">SUMIF(B:B,N36,E:E)</f>
        <v>334000</v>
      </c>
    </row>
    <row r="37" spans="1:15" x14ac:dyDescent="0.3">
      <c r="B37" t="s">
        <v>8</v>
      </c>
      <c r="C37" s="135" t="s">
        <v>11</v>
      </c>
      <c r="D37" s="7">
        <v>45336</v>
      </c>
      <c r="E37" s="8">
        <v>6737.68</v>
      </c>
      <c r="F37" s="8"/>
      <c r="N37" t="s">
        <v>303</v>
      </c>
      <c r="O37" s="41">
        <f t="shared" si="1"/>
        <v>11060.84</v>
      </c>
    </row>
    <row r="38" spans="1:15" x14ac:dyDescent="0.3">
      <c r="B38" t="s">
        <v>8</v>
      </c>
      <c r="C38" s="135" t="s">
        <v>12</v>
      </c>
      <c r="D38" s="7">
        <v>45336</v>
      </c>
      <c r="E38" s="8">
        <v>723.7</v>
      </c>
      <c r="F38" s="8"/>
      <c r="N38" t="s">
        <v>306</v>
      </c>
      <c r="O38" s="41">
        <f t="shared" si="1"/>
        <v>126607.11</v>
      </c>
    </row>
    <row r="39" spans="1:15" x14ac:dyDescent="0.3">
      <c r="B39" t="s">
        <v>8</v>
      </c>
      <c r="C39" s="135" t="s">
        <v>13</v>
      </c>
      <c r="D39" s="7">
        <v>45444</v>
      </c>
      <c r="E39" s="8">
        <v>1043</v>
      </c>
      <c r="F39" s="8"/>
      <c r="N39" t="s">
        <v>324</v>
      </c>
      <c r="O39" s="41">
        <f t="shared" si="1"/>
        <v>-82655.94</v>
      </c>
    </row>
    <row r="40" spans="1:15" x14ac:dyDescent="0.3">
      <c r="B40" t="s">
        <v>8</v>
      </c>
      <c r="C40" s="135" t="s">
        <v>10</v>
      </c>
      <c r="D40" s="7">
        <v>45502</v>
      </c>
      <c r="E40" s="8">
        <v>21942.74</v>
      </c>
      <c r="F40" s="8"/>
      <c r="N40" t="s">
        <v>339</v>
      </c>
      <c r="O40" s="41">
        <f t="shared" si="1"/>
        <v>34757.1</v>
      </c>
    </row>
    <row r="41" spans="1:15" x14ac:dyDescent="0.3">
      <c r="B41" t="s">
        <v>8</v>
      </c>
      <c r="C41" s="135" t="s">
        <v>14</v>
      </c>
      <c r="D41" s="7">
        <v>45700</v>
      </c>
      <c r="E41" s="8">
        <v>0.76</v>
      </c>
      <c r="F41" s="8"/>
      <c r="N41" t="s">
        <v>341</v>
      </c>
      <c r="O41" s="41">
        <f t="shared" si="1"/>
        <v>22000</v>
      </c>
    </row>
    <row r="42" spans="1:15" x14ac:dyDescent="0.3">
      <c r="B42" t="s">
        <v>8</v>
      </c>
      <c r="C42" s="135" t="s">
        <v>14</v>
      </c>
      <c r="D42" s="7">
        <v>45700</v>
      </c>
      <c r="E42" s="8">
        <v>0.43</v>
      </c>
      <c r="F42" s="8"/>
      <c r="N42" t="s">
        <v>343</v>
      </c>
      <c r="O42" s="41">
        <f t="shared" si="1"/>
        <v>-10557.02</v>
      </c>
    </row>
    <row r="43" spans="1:15" x14ac:dyDescent="0.3">
      <c r="B43" t="s">
        <v>15</v>
      </c>
      <c r="C43" s="135" t="s">
        <v>16</v>
      </c>
      <c r="D43" s="7">
        <v>45824</v>
      </c>
      <c r="E43" s="8">
        <v>-33032.89</v>
      </c>
      <c r="F43" s="8"/>
      <c r="N43" t="s">
        <v>345</v>
      </c>
      <c r="O43" s="41">
        <f t="shared" si="1"/>
        <v>-9900</v>
      </c>
    </row>
    <row r="44" spans="1:15" x14ac:dyDescent="0.3">
      <c r="A44" s="122" t="s">
        <v>4110</v>
      </c>
      <c r="B44" t="s">
        <v>17</v>
      </c>
      <c r="C44" s="135" t="s">
        <v>18</v>
      </c>
      <c r="D44" s="7">
        <v>45609</v>
      </c>
      <c r="E44" s="8">
        <v>-3069.8</v>
      </c>
      <c r="F44" s="8"/>
      <c r="N44" t="s">
        <v>346</v>
      </c>
      <c r="O44" s="41">
        <f t="shared" si="1"/>
        <v>13564.65</v>
      </c>
    </row>
    <row r="45" spans="1:15" x14ac:dyDescent="0.3">
      <c r="A45" s="122" t="s">
        <v>4110</v>
      </c>
      <c r="B45" t="s">
        <v>17</v>
      </c>
      <c r="C45" s="135" t="s">
        <v>19</v>
      </c>
      <c r="D45" s="7">
        <v>45617</v>
      </c>
      <c r="E45" s="8">
        <v>1558</v>
      </c>
      <c r="F45" s="8"/>
      <c r="N45" t="s">
        <v>347</v>
      </c>
      <c r="O45" s="41">
        <f t="shared" si="1"/>
        <v>3246.63</v>
      </c>
    </row>
    <row r="46" spans="1:15" x14ac:dyDescent="0.3">
      <c r="A46" s="122" t="s">
        <v>4110</v>
      </c>
      <c r="B46" t="s">
        <v>17</v>
      </c>
      <c r="C46" s="135" t="s">
        <v>20</v>
      </c>
      <c r="D46" s="7">
        <v>45643</v>
      </c>
      <c r="E46" s="8">
        <v>-2993.47</v>
      </c>
      <c r="F46" s="8"/>
      <c r="N46" t="s">
        <v>350</v>
      </c>
      <c r="O46" s="41">
        <f t="shared" si="1"/>
        <v>6921.97</v>
      </c>
    </row>
    <row r="47" spans="1:15" x14ac:dyDescent="0.3">
      <c r="A47" s="122" t="s">
        <v>4110</v>
      </c>
      <c r="B47" t="s">
        <v>17</v>
      </c>
      <c r="C47" s="135" t="s">
        <v>21</v>
      </c>
      <c r="D47" s="7">
        <v>45650</v>
      </c>
      <c r="E47" s="8">
        <v>-5098.9799999999996</v>
      </c>
      <c r="F47" s="8"/>
      <c r="N47" t="s">
        <v>354</v>
      </c>
      <c r="O47" s="41">
        <f t="shared" si="1"/>
        <v>-1248.3699999999999</v>
      </c>
    </row>
    <row r="48" spans="1:15" x14ac:dyDescent="0.3">
      <c r="A48" s="122" t="s">
        <v>4110</v>
      </c>
      <c r="B48" t="s">
        <v>17</v>
      </c>
      <c r="C48" s="44">
        <v>20250108</v>
      </c>
      <c r="D48" s="7">
        <v>45659</v>
      </c>
      <c r="E48" s="8">
        <v>3020.68</v>
      </c>
      <c r="F48" s="8"/>
      <c r="N48" t="s">
        <v>356</v>
      </c>
      <c r="O48" s="41">
        <f t="shared" si="1"/>
        <v>220566.97999999998</v>
      </c>
    </row>
    <row r="49" spans="1:15" x14ac:dyDescent="0.3">
      <c r="A49" s="122" t="s">
        <v>4110</v>
      </c>
      <c r="B49" t="s">
        <v>17</v>
      </c>
      <c r="C49" s="44">
        <v>20250137</v>
      </c>
      <c r="D49" s="7">
        <v>45671</v>
      </c>
      <c r="E49" s="8">
        <v>1583</v>
      </c>
      <c r="F49" s="8"/>
      <c r="N49" t="s">
        <v>421</v>
      </c>
      <c r="O49" s="41">
        <f t="shared" si="1"/>
        <v>-6395</v>
      </c>
    </row>
    <row r="50" spans="1:15" x14ac:dyDescent="0.3">
      <c r="A50" s="122" t="s">
        <v>4110</v>
      </c>
      <c r="B50" t="s">
        <v>17</v>
      </c>
      <c r="C50" s="44">
        <v>20250229</v>
      </c>
      <c r="D50" s="7">
        <v>45701</v>
      </c>
      <c r="E50" s="8">
        <v>400</v>
      </c>
      <c r="F50" s="8"/>
      <c r="N50" t="s">
        <v>422</v>
      </c>
      <c r="O50" s="41">
        <f t="shared" si="1"/>
        <v>-707580.73000000045</v>
      </c>
    </row>
    <row r="51" spans="1:15" x14ac:dyDescent="0.3">
      <c r="A51" s="122" t="s">
        <v>4110</v>
      </c>
      <c r="B51" t="s">
        <v>17</v>
      </c>
      <c r="C51" s="12" t="s">
        <v>22</v>
      </c>
      <c r="D51" s="7">
        <v>45706</v>
      </c>
      <c r="E51" s="8">
        <v>-400</v>
      </c>
      <c r="F51" s="8"/>
      <c r="N51" t="s">
        <v>676</v>
      </c>
      <c r="O51" s="41">
        <f t="shared" si="1"/>
        <v>-4842.6099999999997</v>
      </c>
    </row>
    <row r="52" spans="1:15" x14ac:dyDescent="0.3">
      <c r="A52" s="122" t="s">
        <v>4110</v>
      </c>
      <c r="B52" t="s">
        <v>17</v>
      </c>
      <c r="C52" s="135" t="s">
        <v>23</v>
      </c>
      <c r="D52" s="7">
        <v>45719</v>
      </c>
      <c r="E52" s="8">
        <v>-29.81</v>
      </c>
      <c r="F52" s="8"/>
      <c r="N52" t="s">
        <v>678</v>
      </c>
      <c r="O52" s="41">
        <f t="shared" si="1"/>
        <v>2960.2</v>
      </c>
    </row>
    <row r="53" spans="1:15" x14ac:dyDescent="0.3">
      <c r="A53" s="122" t="s">
        <v>4110</v>
      </c>
      <c r="B53" t="s">
        <v>17</v>
      </c>
      <c r="C53" s="44">
        <v>20250349</v>
      </c>
      <c r="D53" s="7">
        <v>45729</v>
      </c>
      <c r="E53" s="8">
        <v>951</v>
      </c>
      <c r="F53" s="8"/>
      <c r="N53" t="s">
        <v>686</v>
      </c>
      <c r="O53" s="41">
        <f t="shared" si="1"/>
        <v>-18135</v>
      </c>
    </row>
    <row r="54" spans="1:15" x14ac:dyDescent="0.3">
      <c r="A54" s="122" t="s">
        <v>4110</v>
      </c>
      <c r="B54" t="s">
        <v>17</v>
      </c>
      <c r="C54" s="44">
        <v>20250416</v>
      </c>
      <c r="D54" s="7">
        <v>45750</v>
      </c>
      <c r="E54" s="8">
        <v>0.2</v>
      </c>
      <c r="F54" s="8"/>
      <c r="N54" t="s">
        <v>688</v>
      </c>
      <c r="O54" s="41">
        <f t="shared" si="1"/>
        <v>5904.52</v>
      </c>
    </row>
    <row r="55" spans="1:15" x14ac:dyDescent="0.3">
      <c r="A55" s="122" t="s">
        <v>4110</v>
      </c>
      <c r="B55" t="s">
        <v>17</v>
      </c>
      <c r="C55" s="44">
        <v>202505104</v>
      </c>
      <c r="D55" s="7">
        <v>45803</v>
      </c>
      <c r="E55" s="8">
        <v>496.46</v>
      </c>
      <c r="F55" s="8"/>
      <c r="N55" t="s">
        <v>691</v>
      </c>
      <c r="O55" s="41">
        <f t="shared" si="1"/>
        <v>9790.11</v>
      </c>
    </row>
    <row r="56" spans="1:15" x14ac:dyDescent="0.3">
      <c r="A56" s="122" t="s">
        <v>4110</v>
      </c>
      <c r="B56" t="s">
        <v>17</v>
      </c>
      <c r="C56" s="135" t="s">
        <v>24</v>
      </c>
      <c r="D56" s="7">
        <v>45804</v>
      </c>
      <c r="E56" s="8">
        <v>-4597.3999999999996</v>
      </c>
      <c r="F56" s="8"/>
      <c r="N56" t="s">
        <v>692</v>
      </c>
      <c r="O56" s="41">
        <f t="shared" si="1"/>
        <v>3465</v>
      </c>
    </row>
    <row r="57" spans="1:15" x14ac:dyDescent="0.3">
      <c r="A57" s="122" t="s">
        <v>4110</v>
      </c>
      <c r="B57" t="s">
        <v>17</v>
      </c>
      <c r="C57" s="135" t="s">
        <v>25</v>
      </c>
      <c r="D57" s="7">
        <v>45810</v>
      </c>
      <c r="E57" s="8">
        <v>-3982.65</v>
      </c>
      <c r="F57" s="8"/>
      <c r="N57" t="s">
        <v>693</v>
      </c>
      <c r="O57" s="41">
        <f t="shared" si="1"/>
        <v>-1050</v>
      </c>
    </row>
    <row r="58" spans="1:15" x14ac:dyDescent="0.3">
      <c r="A58" s="122" t="s">
        <v>4110</v>
      </c>
      <c r="B58" t="s">
        <v>17</v>
      </c>
      <c r="C58" s="135" t="s">
        <v>16</v>
      </c>
      <c r="D58" s="7">
        <v>45824</v>
      </c>
      <c r="E58" s="8">
        <v>-15086</v>
      </c>
      <c r="F58" s="8"/>
      <c r="N58" t="s">
        <v>695</v>
      </c>
      <c r="O58" s="41">
        <f t="shared" si="1"/>
        <v>2634.9500000000003</v>
      </c>
    </row>
    <row r="59" spans="1:15" x14ac:dyDescent="0.3">
      <c r="A59" s="122" t="s">
        <v>4110</v>
      </c>
      <c r="B59" t="s">
        <v>17</v>
      </c>
      <c r="C59" s="135" t="s">
        <v>16</v>
      </c>
      <c r="D59" s="7">
        <v>45824</v>
      </c>
      <c r="E59" s="131">
        <v>-6871.5</v>
      </c>
      <c r="F59" s="8"/>
      <c r="N59" t="s">
        <v>696</v>
      </c>
      <c r="O59" s="41">
        <f t="shared" si="1"/>
        <v>19029.32</v>
      </c>
    </row>
    <row r="60" spans="1:15" x14ac:dyDescent="0.3">
      <c r="A60" s="122" t="s">
        <v>4110</v>
      </c>
      <c r="B60" t="s">
        <v>17</v>
      </c>
      <c r="C60" s="135" t="s">
        <v>26</v>
      </c>
      <c r="D60" s="7">
        <v>45828</v>
      </c>
      <c r="E60" s="8">
        <v>-17547.5</v>
      </c>
      <c r="F60" s="8"/>
      <c r="N60" t="s">
        <v>698</v>
      </c>
      <c r="O60" s="41">
        <f t="shared" si="1"/>
        <v>-1030.98</v>
      </c>
    </row>
    <row r="61" spans="1:15" x14ac:dyDescent="0.3">
      <c r="A61" s="122" t="s">
        <v>4110</v>
      </c>
      <c r="B61" t="s">
        <v>17</v>
      </c>
      <c r="C61" s="135" t="s">
        <v>27</v>
      </c>
      <c r="D61" s="7">
        <v>45838</v>
      </c>
      <c r="E61" s="8">
        <v>6773.28</v>
      </c>
      <c r="F61" s="8"/>
      <c r="N61" t="s">
        <v>702</v>
      </c>
      <c r="O61" s="41">
        <f t="shared" si="1"/>
        <v>271.01</v>
      </c>
    </row>
    <row r="62" spans="1:15" x14ac:dyDescent="0.3">
      <c r="B62" t="s">
        <v>28</v>
      </c>
      <c r="C62" s="135" t="s">
        <v>29</v>
      </c>
      <c r="D62" s="7">
        <v>45725</v>
      </c>
      <c r="E62" s="8">
        <v>45000</v>
      </c>
      <c r="F62" s="8"/>
      <c r="N62" t="s">
        <v>703</v>
      </c>
      <c r="O62" s="41">
        <f t="shared" si="1"/>
        <v>-1247.44</v>
      </c>
    </row>
    <row r="63" spans="1:15" x14ac:dyDescent="0.3">
      <c r="B63" t="s">
        <v>30</v>
      </c>
      <c r="C63" s="135" t="s">
        <v>31</v>
      </c>
      <c r="D63" s="7">
        <v>45838</v>
      </c>
      <c r="E63" s="8">
        <v>8.4</v>
      </c>
      <c r="F63" s="8"/>
      <c r="N63" t="s">
        <v>705</v>
      </c>
      <c r="O63" s="41">
        <f t="shared" si="1"/>
        <v>5329.06</v>
      </c>
    </row>
    <row r="64" spans="1:15" x14ac:dyDescent="0.3">
      <c r="B64" t="s">
        <v>32</v>
      </c>
      <c r="C64" s="12" t="s">
        <v>33</v>
      </c>
      <c r="D64" s="7">
        <v>45763</v>
      </c>
      <c r="E64" s="8">
        <v>-2154.81</v>
      </c>
      <c r="F64" s="8"/>
      <c r="N64" t="s">
        <v>711</v>
      </c>
      <c r="O64" s="41">
        <f t="shared" si="1"/>
        <v>33750</v>
      </c>
    </row>
    <row r="65" spans="2:15" x14ac:dyDescent="0.3">
      <c r="B65" t="s">
        <v>34</v>
      </c>
      <c r="C65" s="44">
        <v>2840</v>
      </c>
      <c r="D65" s="7">
        <v>45292</v>
      </c>
      <c r="E65" s="8">
        <v>-1860.64</v>
      </c>
      <c r="F65" s="8"/>
      <c r="N65" t="s">
        <v>712</v>
      </c>
      <c r="O65" s="41">
        <f t="shared" si="1"/>
        <v>20100.16</v>
      </c>
    </row>
    <row r="66" spans="2:15" x14ac:dyDescent="0.3">
      <c r="B66" t="s">
        <v>34</v>
      </c>
      <c r="C66" s="135" t="s">
        <v>35</v>
      </c>
      <c r="D66" s="7">
        <v>45658</v>
      </c>
      <c r="E66" s="8">
        <v>0.96</v>
      </c>
      <c r="F66" s="8"/>
      <c r="N66" t="s">
        <v>714</v>
      </c>
      <c r="O66" s="41">
        <f t="shared" si="1"/>
        <v>6543.53</v>
      </c>
    </row>
    <row r="67" spans="2:15" ht="12.65" customHeight="1" x14ac:dyDescent="0.3">
      <c r="B67" t="s">
        <v>34</v>
      </c>
      <c r="C67" s="135" t="s">
        <v>36</v>
      </c>
      <c r="D67" s="7">
        <v>45708</v>
      </c>
      <c r="E67" s="8">
        <v>12145.04</v>
      </c>
      <c r="F67" s="8"/>
      <c r="G67" s="102"/>
      <c r="N67" t="s">
        <v>716</v>
      </c>
      <c r="O67" s="41">
        <f t="shared" si="1"/>
        <v>149993.28000000003</v>
      </c>
    </row>
    <row r="68" spans="2:15" x14ac:dyDescent="0.3">
      <c r="B68" t="s">
        <v>34</v>
      </c>
      <c r="C68" s="135" t="s">
        <v>36</v>
      </c>
      <c r="D68" s="7">
        <v>45708</v>
      </c>
      <c r="E68" s="8">
        <v>5884.79</v>
      </c>
      <c r="F68" s="8"/>
      <c r="N68" t="s">
        <v>736</v>
      </c>
      <c r="O68" s="41">
        <f t="shared" ref="O68:O99" si="2">SUMIF(B:B,N68,E:E)</f>
        <v>191364.21000000002</v>
      </c>
    </row>
    <row r="69" spans="2:15" x14ac:dyDescent="0.3">
      <c r="B69" t="s">
        <v>34</v>
      </c>
      <c r="C69" s="135" t="s">
        <v>36</v>
      </c>
      <c r="D69" s="7">
        <v>45708</v>
      </c>
      <c r="E69" s="8">
        <v>10886.4</v>
      </c>
      <c r="F69" s="8"/>
      <c r="G69" s="102"/>
      <c r="N69" t="s">
        <v>764</v>
      </c>
      <c r="O69" s="41">
        <f t="shared" si="2"/>
        <v>353.66</v>
      </c>
    </row>
    <row r="70" spans="2:15" x14ac:dyDescent="0.3">
      <c r="B70" t="s">
        <v>34</v>
      </c>
      <c r="C70" s="135" t="s">
        <v>37</v>
      </c>
      <c r="D70" s="7">
        <v>45709</v>
      </c>
      <c r="E70" s="8">
        <v>13591.44</v>
      </c>
      <c r="F70" s="8"/>
      <c r="N70" t="s">
        <v>765</v>
      </c>
      <c r="O70" s="41">
        <f t="shared" si="2"/>
        <v>-4055.69</v>
      </c>
    </row>
    <row r="71" spans="2:15" x14ac:dyDescent="0.3">
      <c r="B71" t="s">
        <v>34</v>
      </c>
      <c r="C71" s="135" t="s">
        <v>38</v>
      </c>
      <c r="D71" s="7">
        <v>45713</v>
      </c>
      <c r="E71" s="8">
        <v>18403.2</v>
      </c>
      <c r="F71" s="8"/>
      <c r="N71" t="s">
        <v>772</v>
      </c>
      <c r="O71" s="41">
        <f t="shared" si="2"/>
        <v>-3772.26</v>
      </c>
    </row>
    <row r="72" spans="2:15" x14ac:dyDescent="0.3">
      <c r="B72" t="s">
        <v>34</v>
      </c>
      <c r="C72" s="135" t="s">
        <v>39</v>
      </c>
      <c r="D72" s="7">
        <v>45722</v>
      </c>
      <c r="E72" s="8">
        <v>29145.599999999999</v>
      </c>
      <c r="F72" s="8"/>
      <c r="N72" t="s">
        <v>775</v>
      </c>
      <c r="O72" s="41">
        <f t="shared" si="2"/>
        <v>689</v>
      </c>
    </row>
    <row r="73" spans="2:15" x14ac:dyDescent="0.3">
      <c r="B73" t="s">
        <v>34</v>
      </c>
      <c r="C73" s="135" t="s">
        <v>40</v>
      </c>
      <c r="D73" s="7">
        <v>45730</v>
      </c>
      <c r="E73" s="8">
        <v>4860</v>
      </c>
      <c r="F73" s="8"/>
      <c r="N73" t="s">
        <v>777</v>
      </c>
      <c r="O73" s="41">
        <f t="shared" si="2"/>
        <v>-8993.4599999999991</v>
      </c>
    </row>
    <row r="74" spans="2:15" x14ac:dyDescent="0.3">
      <c r="B74" t="s">
        <v>34</v>
      </c>
      <c r="C74" s="135" t="s">
        <v>41</v>
      </c>
      <c r="D74" s="7">
        <v>45742</v>
      </c>
      <c r="E74" s="8">
        <v>1091.6099999999999</v>
      </c>
      <c r="F74" s="8"/>
      <c r="N74" t="s">
        <v>779</v>
      </c>
      <c r="O74" s="41">
        <f t="shared" si="2"/>
        <v>250</v>
      </c>
    </row>
    <row r="75" spans="2:15" x14ac:dyDescent="0.3">
      <c r="B75" t="s">
        <v>34</v>
      </c>
      <c r="C75" s="135" t="s">
        <v>41</v>
      </c>
      <c r="D75" s="7">
        <v>45742</v>
      </c>
      <c r="E75" s="8">
        <v>3387.6</v>
      </c>
      <c r="F75" s="8"/>
      <c r="N75" t="s">
        <v>780</v>
      </c>
      <c r="O75" s="41">
        <f t="shared" si="2"/>
        <v>-3986.78</v>
      </c>
    </row>
    <row r="76" spans="2:15" x14ac:dyDescent="0.3">
      <c r="B76" t="s">
        <v>34</v>
      </c>
      <c r="C76" s="135" t="s">
        <v>41</v>
      </c>
      <c r="D76" s="7">
        <v>45742</v>
      </c>
      <c r="E76" s="8">
        <v>7272.72</v>
      </c>
      <c r="F76" s="8"/>
      <c r="N76" t="s">
        <v>782</v>
      </c>
      <c r="O76" s="41">
        <f t="shared" si="2"/>
        <v>2397.6</v>
      </c>
    </row>
    <row r="77" spans="2:15" x14ac:dyDescent="0.3">
      <c r="B77" t="s">
        <v>34</v>
      </c>
      <c r="C77" s="135" t="s">
        <v>41</v>
      </c>
      <c r="D77" s="7">
        <v>45742</v>
      </c>
      <c r="E77" s="8">
        <v>8424</v>
      </c>
      <c r="F77" s="8"/>
      <c r="N77" t="s">
        <v>786</v>
      </c>
      <c r="O77" s="41">
        <f t="shared" si="2"/>
        <v>330</v>
      </c>
    </row>
    <row r="78" spans="2:15" x14ac:dyDescent="0.3">
      <c r="B78" t="s">
        <v>34</v>
      </c>
      <c r="C78" s="135" t="s">
        <v>41</v>
      </c>
      <c r="D78" s="7">
        <v>45742</v>
      </c>
      <c r="E78" s="8">
        <v>1814.4</v>
      </c>
      <c r="F78" s="8"/>
      <c r="N78" t="s">
        <v>788</v>
      </c>
      <c r="O78" s="41">
        <f t="shared" si="2"/>
        <v>-210</v>
      </c>
    </row>
    <row r="79" spans="2:15" x14ac:dyDescent="0.3">
      <c r="B79" t="s">
        <v>34</v>
      </c>
      <c r="C79" s="135" t="s">
        <v>42</v>
      </c>
      <c r="D79" s="7">
        <v>45757</v>
      </c>
      <c r="E79" s="8">
        <v>18392.669999999998</v>
      </c>
      <c r="F79" s="8"/>
      <c r="N79" t="s">
        <v>790</v>
      </c>
      <c r="O79" s="41">
        <f t="shared" si="2"/>
        <v>-18334.150000000001</v>
      </c>
    </row>
    <row r="80" spans="2:15" x14ac:dyDescent="0.3">
      <c r="B80" t="s">
        <v>34</v>
      </c>
      <c r="C80" s="135" t="s">
        <v>43</v>
      </c>
      <c r="D80" s="7">
        <v>45757</v>
      </c>
      <c r="E80" s="8">
        <v>18392.669999999998</v>
      </c>
      <c r="F80" s="8"/>
      <c r="N80" t="s">
        <v>791</v>
      </c>
      <c r="O80" s="41">
        <f t="shared" si="2"/>
        <v>-3410</v>
      </c>
    </row>
    <row r="81" spans="2:15" x14ac:dyDescent="0.3">
      <c r="B81" t="s">
        <v>34</v>
      </c>
      <c r="C81" s="135" t="s">
        <v>44</v>
      </c>
      <c r="D81" s="7">
        <v>45757</v>
      </c>
      <c r="E81" s="8">
        <v>18392.669999999998</v>
      </c>
      <c r="F81" s="8"/>
      <c r="N81" t="s">
        <v>793</v>
      </c>
      <c r="O81" s="41">
        <f t="shared" si="2"/>
        <v>-250464.05000000002</v>
      </c>
    </row>
    <row r="82" spans="2:15" x14ac:dyDescent="0.3">
      <c r="B82" t="s">
        <v>34</v>
      </c>
      <c r="C82" s="135" t="s">
        <v>45</v>
      </c>
      <c r="D82" s="7">
        <v>45762</v>
      </c>
      <c r="E82" s="8">
        <v>18017.29</v>
      </c>
      <c r="F82" s="8"/>
      <c r="N82" t="s">
        <v>803</v>
      </c>
      <c r="O82" s="41">
        <f t="shared" si="2"/>
        <v>-81.599999999999994</v>
      </c>
    </row>
    <row r="83" spans="2:15" x14ac:dyDescent="0.3">
      <c r="B83" t="s">
        <v>34</v>
      </c>
      <c r="C83" s="135" t="s">
        <v>45</v>
      </c>
      <c r="D83" s="7">
        <v>45762</v>
      </c>
      <c r="E83" s="8">
        <v>4103.41</v>
      </c>
      <c r="F83" s="8"/>
      <c r="N83" t="s">
        <v>806</v>
      </c>
      <c r="O83" s="41">
        <f t="shared" si="2"/>
        <v>51.5</v>
      </c>
    </row>
    <row r="84" spans="2:15" x14ac:dyDescent="0.3">
      <c r="B84" t="s">
        <v>34</v>
      </c>
      <c r="C84" s="135" t="s">
        <v>46</v>
      </c>
      <c r="D84" s="7">
        <v>45765</v>
      </c>
      <c r="E84" s="8">
        <v>8409.42</v>
      </c>
      <c r="F84" s="8"/>
      <c r="N84" t="s">
        <v>807</v>
      </c>
      <c r="O84" s="41">
        <f t="shared" si="2"/>
        <v>-9982.84</v>
      </c>
    </row>
    <row r="85" spans="2:15" x14ac:dyDescent="0.3">
      <c r="B85" t="s">
        <v>34</v>
      </c>
      <c r="C85" s="135" t="s">
        <v>47</v>
      </c>
      <c r="D85" s="7">
        <v>45771</v>
      </c>
      <c r="E85" s="8">
        <v>907.2</v>
      </c>
      <c r="F85" s="8"/>
      <c r="N85" t="s">
        <v>809</v>
      </c>
      <c r="O85" s="41">
        <f t="shared" si="2"/>
        <v>-4807.82</v>
      </c>
    </row>
    <row r="86" spans="2:15" x14ac:dyDescent="0.3">
      <c r="B86" t="s">
        <v>34</v>
      </c>
      <c r="C86" s="135" t="s">
        <v>47</v>
      </c>
      <c r="D86" s="7">
        <v>45771</v>
      </c>
      <c r="E86" s="8">
        <v>17686.080000000002</v>
      </c>
      <c r="F86" s="8"/>
      <c r="N86" t="s">
        <v>811</v>
      </c>
      <c r="O86" s="41">
        <f t="shared" si="2"/>
        <v>67708.100000000006</v>
      </c>
    </row>
    <row r="87" spans="2:15" x14ac:dyDescent="0.3">
      <c r="B87" t="s">
        <v>34</v>
      </c>
      <c r="C87" s="135" t="s">
        <v>48</v>
      </c>
      <c r="D87" s="7">
        <v>45806</v>
      </c>
      <c r="E87" s="8">
        <v>2536.92</v>
      </c>
      <c r="F87" s="8"/>
      <c r="N87" t="s">
        <v>814</v>
      </c>
      <c r="O87" s="41">
        <f t="shared" si="2"/>
        <v>-20783.54</v>
      </c>
    </row>
    <row r="88" spans="2:15" x14ac:dyDescent="0.3">
      <c r="B88" t="s">
        <v>34</v>
      </c>
      <c r="C88" s="44">
        <v>20250630</v>
      </c>
      <c r="D88" s="7">
        <v>45838</v>
      </c>
      <c r="E88" s="8">
        <v>5183.82</v>
      </c>
      <c r="F88" s="8"/>
      <c r="N88" t="s">
        <v>819</v>
      </c>
      <c r="O88" s="41">
        <f t="shared" si="2"/>
        <v>-954614.19999999972</v>
      </c>
    </row>
    <row r="89" spans="2:15" x14ac:dyDescent="0.3">
      <c r="B89" t="s">
        <v>49</v>
      </c>
      <c r="C89" s="44">
        <v>8674</v>
      </c>
      <c r="D89" s="7">
        <v>45735</v>
      </c>
      <c r="E89" s="8">
        <v>63.17</v>
      </c>
      <c r="F89" s="8"/>
      <c r="N89" t="s">
        <v>859</v>
      </c>
      <c r="O89" s="41">
        <f t="shared" si="2"/>
        <v>-248.51</v>
      </c>
    </row>
    <row r="90" spans="2:15" x14ac:dyDescent="0.3">
      <c r="B90" t="s">
        <v>49</v>
      </c>
      <c r="C90" s="44">
        <v>9266</v>
      </c>
      <c r="D90" s="7">
        <v>45742</v>
      </c>
      <c r="E90" s="8">
        <v>17915.98</v>
      </c>
      <c r="F90" s="8"/>
      <c r="N90" t="s">
        <v>860</v>
      </c>
      <c r="O90" s="41">
        <f t="shared" si="2"/>
        <v>92480.07</v>
      </c>
    </row>
    <row r="91" spans="2:15" x14ac:dyDescent="0.3">
      <c r="B91" t="s">
        <v>49</v>
      </c>
      <c r="C91" s="44">
        <v>10344</v>
      </c>
      <c r="D91" s="7">
        <v>45751</v>
      </c>
      <c r="E91" s="8">
        <v>879.33</v>
      </c>
      <c r="F91" s="8"/>
      <c r="N91" t="s">
        <v>862</v>
      </c>
      <c r="O91" s="41">
        <f t="shared" si="2"/>
        <v>50443.53</v>
      </c>
    </row>
    <row r="92" spans="2:15" x14ac:dyDescent="0.3">
      <c r="B92" t="s">
        <v>50</v>
      </c>
      <c r="C92" s="135" t="s">
        <v>51</v>
      </c>
      <c r="D92" s="7">
        <v>45457</v>
      </c>
      <c r="E92" s="8">
        <v>217.11</v>
      </c>
      <c r="F92" s="8"/>
      <c r="N92" t="s">
        <v>863</v>
      </c>
      <c r="O92" s="41">
        <f t="shared" si="2"/>
        <v>-8454</v>
      </c>
    </row>
    <row r="93" spans="2:15" x14ac:dyDescent="0.3">
      <c r="B93" t="s">
        <v>50</v>
      </c>
      <c r="C93" s="135" t="s">
        <v>52</v>
      </c>
      <c r="D93" s="7">
        <v>45566</v>
      </c>
      <c r="E93" s="8">
        <v>240</v>
      </c>
      <c r="F93" s="8"/>
      <c r="N93" t="s">
        <v>865</v>
      </c>
      <c r="O93" s="41">
        <f t="shared" si="2"/>
        <v>4783.1099999999997</v>
      </c>
    </row>
    <row r="94" spans="2:15" x14ac:dyDescent="0.3">
      <c r="B94" t="s">
        <v>50</v>
      </c>
      <c r="C94" s="135" t="s">
        <v>53</v>
      </c>
      <c r="D94" s="7">
        <v>45566</v>
      </c>
      <c r="E94" s="8">
        <v>260</v>
      </c>
      <c r="F94" s="8"/>
      <c r="N94" t="s">
        <v>867</v>
      </c>
      <c r="O94" s="41">
        <f t="shared" si="2"/>
        <v>2020.39</v>
      </c>
    </row>
    <row r="95" spans="2:15" x14ac:dyDescent="0.3">
      <c r="B95" t="s">
        <v>50</v>
      </c>
      <c r="C95" s="135" t="s">
        <v>54</v>
      </c>
      <c r="D95" s="7">
        <v>45597</v>
      </c>
      <c r="E95" s="8">
        <v>9.86</v>
      </c>
      <c r="F95" s="8"/>
      <c r="N95" t="s">
        <v>869</v>
      </c>
      <c r="O95" s="41">
        <f t="shared" si="2"/>
        <v>1999.9099999999999</v>
      </c>
    </row>
    <row r="96" spans="2:15" x14ac:dyDescent="0.3">
      <c r="B96" t="s">
        <v>50</v>
      </c>
      <c r="C96" s="135" t="s">
        <v>55</v>
      </c>
      <c r="D96" s="7">
        <v>45597</v>
      </c>
      <c r="E96" s="8">
        <v>102</v>
      </c>
      <c r="F96" s="8"/>
      <c r="N96" t="s">
        <v>871</v>
      </c>
      <c r="O96" s="41">
        <f t="shared" si="2"/>
        <v>-862.7</v>
      </c>
    </row>
    <row r="97" spans="2:15" x14ac:dyDescent="0.3">
      <c r="B97" t="s">
        <v>50</v>
      </c>
      <c r="C97" s="135" t="s">
        <v>55</v>
      </c>
      <c r="D97" s="7">
        <v>45597</v>
      </c>
      <c r="E97" s="8">
        <v>2141.39</v>
      </c>
      <c r="F97" s="8"/>
      <c r="N97" t="s">
        <v>873</v>
      </c>
      <c r="O97" s="41">
        <f t="shared" si="2"/>
        <v>100</v>
      </c>
    </row>
    <row r="98" spans="2:15" x14ac:dyDescent="0.3">
      <c r="B98" t="s">
        <v>50</v>
      </c>
      <c r="C98" s="135" t="s">
        <v>55</v>
      </c>
      <c r="D98" s="7">
        <v>45597</v>
      </c>
      <c r="E98" s="8">
        <v>138</v>
      </c>
      <c r="F98" s="8"/>
      <c r="N98" t="s">
        <v>874</v>
      </c>
      <c r="O98" s="41">
        <f t="shared" si="2"/>
        <v>-28193.53</v>
      </c>
    </row>
    <row r="99" spans="2:15" x14ac:dyDescent="0.3">
      <c r="B99" t="s">
        <v>50</v>
      </c>
      <c r="C99" s="135" t="s">
        <v>56</v>
      </c>
      <c r="D99" s="7">
        <v>45611</v>
      </c>
      <c r="E99" s="8">
        <v>1478</v>
      </c>
      <c r="F99" s="8"/>
      <c r="N99" t="s">
        <v>876</v>
      </c>
      <c r="O99" s="41">
        <f t="shared" si="2"/>
        <v>5886.6</v>
      </c>
    </row>
    <row r="100" spans="2:15" x14ac:dyDescent="0.3">
      <c r="B100" t="s">
        <v>50</v>
      </c>
      <c r="C100" s="135" t="s">
        <v>57</v>
      </c>
      <c r="D100" s="7">
        <v>45616</v>
      </c>
      <c r="E100" s="8">
        <v>2763.97</v>
      </c>
      <c r="F100" s="8"/>
      <c r="N100" t="s">
        <v>879</v>
      </c>
      <c r="O100" s="41">
        <f t="shared" ref="O100:O108" si="3">SUMIF(B:B,N100,E:E)</f>
        <v>-20135.919999999998</v>
      </c>
    </row>
    <row r="101" spans="2:15" x14ac:dyDescent="0.3">
      <c r="B101" t="s">
        <v>50</v>
      </c>
      <c r="C101" s="135" t="s">
        <v>58</v>
      </c>
      <c r="D101" s="7">
        <v>45627</v>
      </c>
      <c r="E101" s="8">
        <v>589.41</v>
      </c>
      <c r="F101" s="8"/>
      <c r="N101" t="s">
        <v>882</v>
      </c>
      <c r="O101" s="41">
        <f t="shared" si="3"/>
        <v>-2791.2</v>
      </c>
    </row>
    <row r="102" spans="2:15" x14ac:dyDescent="0.3">
      <c r="B102" t="s">
        <v>50</v>
      </c>
      <c r="C102" s="135" t="s">
        <v>59</v>
      </c>
      <c r="D102" s="7">
        <v>45747</v>
      </c>
      <c r="E102" s="8">
        <v>6700.08</v>
      </c>
      <c r="F102" s="8"/>
      <c r="N102" t="s">
        <v>884</v>
      </c>
      <c r="O102" s="41">
        <f t="shared" si="3"/>
        <v>3756.61</v>
      </c>
    </row>
    <row r="103" spans="2:15" x14ac:dyDescent="0.3">
      <c r="B103" t="s">
        <v>50</v>
      </c>
      <c r="C103" s="135" t="s">
        <v>60</v>
      </c>
      <c r="D103" s="7">
        <v>45756</v>
      </c>
      <c r="E103" s="8">
        <v>-1564.74</v>
      </c>
      <c r="F103" s="8"/>
      <c r="N103" t="s">
        <v>885</v>
      </c>
      <c r="O103" s="41">
        <f t="shared" si="3"/>
        <v>1008.51</v>
      </c>
    </row>
    <row r="104" spans="2:15" x14ac:dyDescent="0.3">
      <c r="B104" t="s">
        <v>50</v>
      </c>
      <c r="C104" s="135" t="s">
        <v>24</v>
      </c>
      <c r="D104" s="7">
        <v>45804</v>
      </c>
      <c r="E104" s="8">
        <v>-2859</v>
      </c>
      <c r="F104" s="8"/>
      <c r="N104" t="s">
        <v>887</v>
      </c>
      <c r="O104" s="41">
        <f t="shared" si="3"/>
        <v>-36553.410000000003</v>
      </c>
    </row>
    <row r="105" spans="2:15" x14ac:dyDescent="0.3">
      <c r="B105" t="s">
        <v>50</v>
      </c>
      <c r="C105" s="135" t="s">
        <v>24</v>
      </c>
      <c r="D105" s="7">
        <v>45804</v>
      </c>
      <c r="E105" s="8">
        <v>-793.3</v>
      </c>
      <c r="F105" s="8"/>
      <c r="N105" t="s">
        <v>905</v>
      </c>
      <c r="O105" s="41">
        <f t="shared" si="3"/>
        <v>720.82</v>
      </c>
    </row>
    <row r="106" spans="2:15" x14ac:dyDescent="0.3">
      <c r="B106" t="s">
        <v>50</v>
      </c>
      <c r="C106" s="135" t="s">
        <v>61</v>
      </c>
      <c r="D106" s="7">
        <v>45813</v>
      </c>
      <c r="E106" s="8">
        <v>381.36</v>
      </c>
      <c r="F106" s="8"/>
      <c r="N106" t="s">
        <v>907</v>
      </c>
      <c r="O106" s="41">
        <f t="shared" si="3"/>
        <v>-29489.389999999996</v>
      </c>
    </row>
    <row r="107" spans="2:15" x14ac:dyDescent="0.3">
      <c r="B107" t="s">
        <v>50</v>
      </c>
      <c r="C107" s="135" t="s">
        <v>16</v>
      </c>
      <c r="D107" s="7">
        <v>45824</v>
      </c>
      <c r="E107" s="8">
        <v>-2276.42</v>
      </c>
      <c r="F107" s="8"/>
      <c r="N107" t="s">
        <v>911</v>
      </c>
      <c r="O107" s="41">
        <f t="shared" si="3"/>
        <v>3209.7700000000004</v>
      </c>
    </row>
    <row r="108" spans="2:15" x14ac:dyDescent="0.3">
      <c r="B108" t="s">
        <v>50</v>
      </c>
      <c r="C108" s="44">
        <v>20250630</v>
      </c>
      <c r="D108" s="7">
        <v>45838</v>
      </c>
      <c r="E108" s="8">
        <v>5322.42</v>
      </c>
      <c r="F108" s="8"/>
      <c r="N108" t="s">
        <v>912</v>
      </c>
      <c r="O108" s="41">
        <f t="shared" si="3"/>
        <v>9649</v>
      </c>
    </row>
    <row r="109" spans="2:15" x14ac:dyDescent="0.3">
      <c r="B109" t="s">
        <v>50</v>
      </c>
      <c r="C109" s="44" t="s">
        <v>4114</v>
      </c>
      <c r="D109" s="7">
        <v>45699</v>
      </c>
      <c r="E109" s="131">
        <v>-2059.4499999999998</v>
      </c>
      <c r="F109" s="8"/>
      <c r="O109" s="41"/>
    </row>
    <row r="110" spans="2:15" x14ac:dyDescent="0.3">
      <c r="B110" t="s">
        <v>62</v>
      </c>
      <c r="C110" s="135" t="s">
        <v>63</v>
      </c>
      <c r="D110" s="7">
        <v>45689</v>
      </c>
      <c r="E110" s="8">
        <v>450</v>
      </c>
      <c r="F110" s="8"/>
      <c r="N110" t="s">
        <v>913</v>
      </c>
      <c r="O110" s="41">
        <f t="shared" ref="O110:O120" si="4">SUMIF(B:B,N110,E:E)</f>
        <v>3220</v>
      </c>
    </row>
    <row r="111" spans="2:15" x14ac:dyDescent="0.3">
      <c r="B111" t="s">
        <v>62</v>
      </c>
      <c r="C111" s="135" t="s">
        <v>64</v>
      </c>
      <c r="D111" s="7">
        <v>45699</v>
      </c>
      <c r="E111" s="8">
        <v>50</v>
      </c>
      <c r="F111" s="8"/>
      <c r="N111" t="s">
        <v>914</v>
      </c>
      <c r="O111" s="41">
        <f t="shared" si="4"/>
        <v>3314.64</v>
      </c>
    </row>
    <row r="112" spans="2:15" x14ac:dyDescent="0.3">
      <c r="B112" t="s">
        <v>65</v>
      </c>
      <c r="C112" s="44">
        <v>6216845811</v>
      </c>
      <c r="D112" s="7">
        <v>45692</v>
      </c>
      <c r="E112" s="8">
        <v>2985</v>
      </c>
      <c r="F112" s="8"/>
      <c r="N112" t="s">
        <v>915</v>
      </c>
      <c r="O112" s="41">
        <f t="shared" si="4"/>
        <v>927.45</v>
      </c>
    </row>
    <row r="113" spans="2:15" x14ac:dyDescent="0.3">
      <c r="B113" t="s">
        <v>66</v>
      </c>
      <c r="C113" s="135" t="s">
        <v>67</v>
      </c>
      <c r="D113" s="7">
        <v>45658</v>
      </c>
      <c r="E113" s="8">
        <v>0.01</v>
      </c>
      <c r="F113" s="8"/>
      <c r="N113" t="s">
        <v>919</v>
      </c>
      <c r="O113" s="41">
        <f t="shared" si="4"/>
        <v>622.85</v>
      </c>
    </row>
    <row r="114" spans="2:15" x14ac:dyDescent="0.3">
      <c r="B114" t="s">
        <v>66</v>
      </c>
      <c r="C114" s="135" t="s">
        <v>68</v>
      </c>
      <c r="D114" s="7">
        <v>45748</v>
      </c>
      <c r="E114" s="8">
        <v>10090.290000000001</v>
      </c>
      <c r="F114" s="8"/>
      <c r="N114" t="s">
        <v>921</v>
      </c>
      <c r="O114" s="41">
        <f t="shared" si="4"/>
        <v>-1508.22</v>
      </c>
    </row>
    <row r="115" spans="2:15" x14ac:dyDescent="0.3">
      <c r="B115" t="s">
        <v>66</v>
      </c>
      <c r="C115" s="135" t="s">
        <v>68</v>
      </c>
      <c r="D115" s="7">
        <v>45748</v>
      </c>
      <c r="E115" s="8">
        <v>48411.46</v>
      </c>
      <c r="F115" s="8"/>
      <c r="N115" t="s">
        <v>923</v>
      </c>
      <c r="O115" s="41">
        <f t="shared" si="4"/>
        <v>100.85000000000036</v>
      </c>
    </row>
    <row r="116" spans="2:15" x14ac:dyDescent="0.3">
      <c r="B116" t="s">
        <v>66</v>
      </c>
      <c r="C116" s="135" t="s">
        <v>69</v>
      </c>
      <c r="D116" s="7">
        <v>45750</v>
      </c>
      <c r="E116" s="8">
        <v>3820.32</v>
      </c>
      <c r="F116" s="8"/>
      <c r="N116" t="s">
        <v>925</v>
      </c>
      <c r="O116" s="41">
        <f t="shared" si="4"/>
        <v>243.34</v>
      </c>
    </row>
    <row r="117" spans="2:15" x14ac:dyDescent="0.3">
      <c r="B117" t="s">
        <v>66</v>
      </c>
      <c r="C117" s="135" t="s">
        <v>70</v>
      </c>
      <c r="D117" s="7">
        <v>45750</v>
      </c>
      <c r="E117" s="8">
        <v>2025</v>
      </c>
      <c r="F117" s="8"/>
      <c r="N117" t="s">
        <v>926</v>
      </c>
      <c r="O117" s="41">
        <f t="shared" si="4"/>
        <v>5000</v>
      </c>
    </row>
    <row r="118" spans="2:15" x14ac:dyDescent="0.3">
      <c r="B118" t="s">
        <v>66</v>
      </c>
      <c r="C118" s="135" t="s">
        <v>70</v>
      </c>
      <c r="D118" s="7">
        <v>45750</v>
      </c>
      <c r="E118" s="8">
        <v>3780</v>
      </c>
      <c r="F118" s="8"/>
      <c r="N118" t="s">
        <v>927</v>
      </c>
      <c r="O118" s="41">
        <f t="shared" si="4"/>
        <v>-117806.33000000002</v>
      </c>
    </row>
    <row r="119" spans="2:15" x14ac:dyDescent="0.3">
      <c r="B119" t="s">
        <v>66</v>
      </c>
      <c r="C119" s="135" t="s">
        <v>71</v>
      </c>
      <c r="D119" s="7">
        <v>45750</v>
      </c>
      <c r="E119" s="8">
        <v>6106.03</v>
      </c>
      <c r="F119" s="8"/>
      <c r="N119" t="s">
        <v>931</v>
      </c>
      <c r="O119" s="41">
        <f t="shared" si="4"/>
        <v>-3983</v>
      </c>
    </row>
    <row r="120" spans="2:15" x14ac:dyDescent="0.3">
      <c r="B120" t="s">
        <v>66</v>
      </c>
      <c r="C120" s="135" t="s">
        <v>72</v>
      </c>
      <c r="D120" s="7">
        <v>45750</v>
      </c>
      <c r="E120" s="8">
        <v>17005.63</v>
      </c>
      <c r="F120" s="8"/>
      <c r="N120" t="s">
        <v>933</v>
      </c>
      <c r="O120" s="41">
        <f t="shared" si="4"/>
        <v>-2415.75</v>
      </c>
    </row>
    <row r="121" spans="2:15" x14ac:dyDescent="0.3">
      <c r="B121" t="s">
        <v>66</v>
      </c>
      <c r="C121" s="135" t="s">
        <v>73</v>
      </c>
      <c r="D121" s="7">
        <v>45750</v>
      </c>
      <c r="E121" s="8">
        <v>9861.86</v>
      </c>
      <c r="F121" s="8"/>
      <c r="M121" s="41"/>
    </row>
    <row r="122" spans="2:15" x14ac:dyDescent="0.3">
      <c r="B122" t="s">
        <v>66</v>
      </c>
      <c r="C122" s="135" t="s">
        <v>74</v>
      </c>
      <c r="D122" s="7">
        <v>45750</v>
      </c>
      <c r="E122" s="8">
        <v>12713.89</v>
      </c>
      <c r="F122" s="8"/>
    </row>
    <row r="123" spans="2:15" x14ac:dyDescent="0.3">
      <c r="B123" t="s">
        <v>66</v>
      </c>
      <c r="C123" s="135" t="s">
        <v>75</v>
      </c>
      <c r="D123" s="7">
        <v>45753</v>
      </c>
      <c r="E123" s="8">
        <v>24828.74</v>
      </c>
      <c r="F123" s="8"/>
    </row>
    <row r="124" spans="2:15" x14ac:dyDescent="0.3">
      <c r="B124" t="s">
        <v>66</v>
      </c>
      <c r="C124" s="135" t="s">
        <v>76</v>
      </c>
      <c r="D124" s="7">
        <v>45761</v>
      </c>
      <c r="E124" s="8">
        <v>7942.62</v>
      </c>
      <c r="F124" s="8"/>
    </row>
    <row r="125" spans="2:15" x14ac:dyDescent="0.3">
      <c r="B125" t="s">
        <v>66</v>
      </c>
      <c r="C125" s="135" t="s">
        <v>77</v>
      </c>
      <c r="D125" s="7">
        <v>45766</v>
      </c>
      <c r="E125" s="8">
        <v>70855.649999999994</v>
      </c>
      <c r="F125" s="8"/>
    </row>
    <row r="126" spans="2:15" x14ac:dyDescent="0.3">
      <c r="B126" t="s">
        <v>66</v>
      </c>
      <c r="C126" s="135" t="s">
        <v>78</v>
      </c>
      <c r="D126" s="7">
        <v>45794</v>
      </c>
      <c r="E126" s="8">
        <v>95584.7</v>
      </c>
      <c r="F126" s="8"/>
    </row>
    <row r="127" spans="2:15" x14ac:dyDescent="0.3">
      <c r="B127" t="s">
        <v>66</v>
      </c>
      <c r="C127" s="135" t="s">
        <v>79</v>
      </c>
      <c r="D127" s="7">
        <v>45809</v>
      </c>
      <c r="E127" s="8">
        <v>7741.34</v>
      </c>
      <c r="F127" s="8"/>
    </row>
    <row r="128" spans="2:15" x14ac:dyDescent="0.3">
      <c r="B128" t="s">
        <v>66</v>
      </c>
      <c r="C128" s="135" t="s">
        <v>80</v>
      </c>
      <c r="D128" s="7">
        <v>45809</v>
      </c>
      <c r="E128" s="8">
        <v>2354.56</v>
      </c>
      <c r="F128" s="8"/>
    </row>
    <row r="129" spans="2:6" x14ac:dyDescent="0.3">
      <c r="B129" t="s">
        <v>66</v>
      </c>
      <c r="C129" s="135" t="s">
        <v>81</v>
      </c>
      <c r="D129" s="7">
        <v>45809</v>
      </c>
      <c r="E129" s="8">
        <v>4876.07</v>
      </c>
      <c r="F129" s="8"/>
    </row>
    <row r="130" spans="2:6" x14ac:dyDescent="0.3">
      <c r="B130" t="s">
        <v>82</v>
      </c>
      <c r="C130" s="135" t="s">
        <v>84</v>
      </c>
      <c r="D130" s="7">
        <v>45762</v>
      </c>
      <c r="E130" s="8">
        <v>63.18</v>
      </c>
      <c r="F130" s="8"/>
    </row>
    <row r="131" spans="2:6" x14ac:dyDescent="0.3">
      <c r="B131" t="s">
        <v>82</v>
      </c>
      <c r="C131" s="135" t="s">
        <v>84</v>
      </c>
      <c r="D131" s="7">
        <v>45762</v>
      </c>
      <c r="E131" s="8">
        <v>627.75</v>
      </c>
      <c r="F131" s="8"/>
    </row>
    <row r="132" spans="2:6" x14ac:dyDescent="0.3">
      <c r="B132" t="s">
        <v>82</v>
      </c>
      <c r="C132" s="135" t="s">
        <v>84</v>
      </c>
      <c r="D132" s="7">
        <v>45762</v>
      </c>
      <c r="E132" s="8">
        <v>23231.25</v>
      </c>
      <c r="F132" s="8"/>
    </row>
    <row r="133" spans="2:6" x14ac:dyDescent="0.3">
      <c r="B133" t="s">
        <v>85</v>
      </c>
      <c r="C133" s="44">
        <v>39430</v>
      </c>
      <c r="D133" s="7">
        <v>45659</v>
      </c>
      <c r="E133" s="8">
        <v>175</v>
      </c>
      <c r="F133" s="8"/>
    </row>
    <row r="134" spans="2:6" x14ac:dyDescent="0.3">
      <c r="B134" t="s">
        <v>86</v>
      </c>
      <c r="C134" s="135" t="s">
        <v>87</v>
      </c>
      <c r="D134" s="7">
        <v>45806</v>
      </c>
      <c r="E134" s="8">
        <v>-4947.9799999999996</v>
      </c>
      <c r="F134" s="8"/>
    </row>
    <row r="135" spans="2:6" x14ac:dyDescent="0.3">
      <c r="B135" t="s">
        <v>86</v>
      </c>
      <c r="C135" s="44">
        <v>20250630</v>
      </c>
      <c r="D135" s="7">
        <v>45838</v>
      </c>
      <c r="E135" s="8">
        <v>4947.9799999999996</v>
      </c>
      <c r="F135" s="8"/>
    </row>
    <row r="136" spans="2:6" x14ac:dyDescent="0.3">
      <c r="B136" t="s">
        <v>88</v>
      </c>
      <c r="C136" s="135" t="s">
        <v>89</v>
      </c>
      <c r="D136" s="7">
        <v>45838</v>
      </c>
      <c r="E136" s="8">
        <v>23564.84</v>
      </c>
      <c r="F136" s="8"/>
    </row>
    <row r="137" spans="2:6" x14ac:dyDescent="0.3">
      <c r="B137" t="s">
        <v>90</v>
      </c>
      <c r="C137" s="44">
        <v>112294</v>
      </c>
      <c r="D137" s="7">
        <v>45798</v>
      </c>
      <c r="E137" s="8">
        <v>1381.31</v>
      </c>
      <c r="F137" s="8"/>
    </row>
    <row r="138" spans="2:6" x14ac:dyDescent="0.3">
      <c r="B138" t="s">
        <v>90</v>
      </c>
      <c r="C138" s="44">
        <v>112294</v>
      </c>
      <c r="D138" s="7">
        <v>45798</v>
      </c>
      <c r="E138" s="8">
        <v>395.39</v>
      </c>
      <c r="F138" s="8"/>
    </row>
    <row r="139" spans="2:6" x14ac:dyDescent="0.3">
      <c r="B139" t="s">
        <v>90</v>
      </c>
      <c r="C139" s="44">
        <v>112662</v>
      </c>
      <c r="D139" s="7">
        <v>45804</v>
      </c>
      <c r="E139" s="8">
        <v>2100.5700000000002</v>
      </c>
      <c r="F139" s="8"/>
    </row>
    <row r="140" spans="2:6" x14ac:dyDescent="0.3">
      <c r="B140" t="s">
        <v>90</v>
      </c>
      <c r="C140" s="44">
        <v>112673</v>
      </c>
      <c r="D140" s="7">
        <v>45811</v>
      </c>
      <c r="E140" s="8">
        <v>5251.42</v>
      </c>
      <c r="F140" s="8"/>
    </row>
    <row r="141" spans="2:6" x14ac:dyDescent="0.3">
      <c r="B141" t="s">
        <v>91</v>
      </c>
      <c r="C141" s="44">
        <v>20250630</v>
      </c>
      <c r="D141" s="7">
        <v>45838</v>
      </c>
      <c r="E141" s="8">
        <v>8911.7800000000007</v>
      </c>
      <c r="F141" s="8"/>
    </row>
    <row r="142" spans="2:6" x14ac:dyDescent="0.3">
      <c r="B142" t="s">
        <v>92</v>
      </c>
      <c r="C142" s="135" t="s">
        <v>87</v>
      </c>
      <c r="D142" s="7">
        <v>45806</v>
      </c>
      <c r="E142" s="8">
        <v>-25.61</v>
      </c>
      <c r="F142" s="8"/>
    </row>
    <row r="143" spans="2:6" x14ac:dyDescent="0.3">
      <c r="B143" t="s">
        <v>93</v>
      </c>
      <c r="C143" s="135" t="s">
        <v>94</v>
      </c>
      <c r="D143" s="7">
        <v>45807</v>
      </c>
      <c r="E143" s="8">
        <v>-4539.5200000000004</v>
      </c>
      <c r="F143" s="8"/>
    </row>
    <row r="144" spans="2:6" x14ac:dyDescent="0.3">
      <c r="B144" t="s">
        <v>95</v>
      </c>
      <c r="C144" s="44">
        <v>1416</v>
      </c>
      <c r="D144" s="7">
        <v>45813</v>
      </c>
      <c r="E144" s="8">
        <v>-640.36</v>
      </c>
      <c r="F144" s="8"/>
    </row>
    <row r="145" spans="2:6" x14ac:dyDescent="0.3">
      <c r="B145" t="s">
        <v>96</v>
      </c>
      <c r="C145" s="135" t="s">
        <v>97</v>
      </c>
      <c r="D145" s="7">
        <v>45790</v>
      </c>
      <c r="E145" s="8">
        <v>35965.879999999997</v>
      </c>
      <c r="F145" s="8"/>
    </row>
    <row r="146" spans="2:6" x14ac:dyDescent="0.3">
      <c r="B146" t="s">
        <v>96</v>
      </c>
      <c r="C146" s="135" t="s">
        <v>98</v>
      </c>
      <c r="D146" s="7">
        <v>45791</v>
      </c>
      <c r="E146" s="8">
        <v>28625.52</v>
      </c>
      <c r="F146" s="8"/>
    </row>
    <row r="147" spans="2:6" x14ac:dyDescent="0.3">
      <c r="B147" t="s">
        <v>96</v>
      </c>
      <c r="C147" s="135" t="s">
        <v>98</v>
      </c>
      <c r="D147" s="7">
        <v>45791</v>
      </c>
      <c r="E147" s="8">
        <v>4133.26</v>
      </c>
      <c r="F147" s="8"/>
    </row>
    <row r="148" spans="2:6" x14ac:dyDescent="0.3">
      <c r="B148" t="s">
        <v>96</v>
      </c>
      <c r="C148" s="135" t="s">
        <v>99</v>
      </c>
      <c r="D148" s="7">
        <v>45800</v>
      </c>
      <c r="E148" s="8">
        <v>29426.3</v>
      </c>
      <c r="F148" s="8"/>
    </row>
    <row r="149" spans="2:6" x14ac:dyDescent="0.3">
      <c r="B149" t="s">
        <v>96</v>
      </c>
      <c r="C149" s="135" t="s">
        <v>99</v>
      </c>
      <c r="D149" s="7">
        <v>45800</v>
      </c>
      <c r="E149" s="8">
        <v>4262</v>
      </c>
      <c r="F149" s="8"/>
    </row>
    <row r="150" spans="2:6" x14ac:dyDescent="0.3">
      <c r="B150" t="s">
        <v>96</v>
      </c>
      <c r="C150" s="135" t="s">
        <v>100</v>
      </c>
      <c r="D150" s="7">
        <v>45803</v>
      </c>
      <c r="E150" s="8">
        <v>16217.56</v>
      </c>
      <c r="F150" s="8"/>
    </row>
    <row r="151" spans="2:6" x14ac:dyDescent="0.3">
      <c r="B151" t="s">
        <v>96</v>
      </c>
      <c r="C151" s="135" t="s">
        <v>101</v>
      </c>
      <c r="D151" s="7">
        <v>45813</v>
      </c>
      <c r="E151" s="8">
        <v>32463.58</v>
      </c>
      <c r="F151" s="8"/>
    </row>
    <row r="152" spans="2:6" x14ac:dyDescent="0.3">
      <c r="B152" t="s">
        <v>96</v>
      </c>
      <c r="C152" s="135" t="s">
        <v>102</v>
      </c>
      <c r="D152" s="7">
        <v>45826</v>
      </c>
      <c r="E152" s="8">
        <v>29225.08</v>
      </c>
      <c r="F152" s="8"/>
    </row>
    <row r="153" spans="2:6" x14ac:dyDescent="0.3">
      <c r="B153" t="s">
        <v>96</v>
      </c>
      <c r="C153" s="135" t="s">
        <v>102</v>
      </c>
      <c r="D153" s="7">
        <v>45826</v>
      </c>
      <c r="E153" s="8">
        <v>19078.82</v>
      </c>
      <c r="F153" s="8"/>
    </row>
    <row r="154" spans="2:6" x14ac:dyDescent="0.3">
      <c r="B154" t="s">
        <v>96</v>
      </c>
      <c r="C154" s="135" t="s">
        <v>102</v>
      </c>
      <c r="D154" s="7">
        <v>45826</v>
      </c>
      <c r="E154" s="8">
        <v>6327.94</v>
      </c>
      <c r="F154" s="8"/>
    </row>
    <row r="155" spans="2:6" x14ac:dyDescent="0.3">
      <c r="B155" t="s">
        <v>103</v>
      </c>
      <c r="C155" s="135" t="s">
        <v>104</v>
      </c>
      <c r="D155" s="7">
        <v>45434</v>
      </c>
      <c r="E155" s="8">
        <v>598.74</v>
      </c>
      <c r="F155" s="8"/>
    </row>
    <row r="156" spans="2:6" x14ac:dyDescent="0.3">
      <c r="B156" t="s">
        <v>105</v>
      </c>
      <c r="C156" s="135" t="s">
        <v>4115</v>
      </c>
      <c r="D156" s="7">
        <v>45828</v>
      </c>
      <c r="E156" s="8">
        <v>609.85</v>
      </c>
      <c r="F156" s="8"/>
    </row>
    <row r="157" spans="2:6" x14ac:dyDescent="0.3">
      <c r="B157" t="s">
        <v>105</v>
      </c>
      <c r="C157" s="135" t="s">
        <v>106</v>
      </c>
      <c r="D157" s="7">
        <v>45828</v>
      </c>
      <c r="E157" s="8">
        <v>37.49</v>
      </c>
      <c r="F157" s="8"/>
    </row>
    <row r="158" spans="2:6" ht="14.5" x14ac:dyDescent="0.35">
      <c r="B158" s="134" t="s">
        <v>4116</v>
      </c>
      <c r="C158" s="136">
        <v>23541211</v>
      </c>
      <c r="D158" s="133">
        <v>45279</v>
      </c>
      <c r="E158" s="8"/>
      <c r="F158" s="8"/>
    </row>
    <row r="159" spans="2:6" x14ac:dyDescent="0.3">
      <c r="B159" t="s">
        <v>107</v>
      </c>
      <c r="C159" s="44">
        <v>20240524</v>
      </c>
      <c r="D159" s="7">
        <v>45436</v>
      </c>
      <c r="E159" s="8">
        <v>2192.4</v>
      </c>
      <c r="F159" s="8"/>
    </row>
    <row r="160" spans="2:6" x14ac:dyDescent="0.3">
      <c r="B160" t="s">
        <v>107</v>
      </c>
      <c r="C160" s="44">
        <v>20250630</v>
      </c>
      <c r="D160" s="7">
        <v>45838</v>
      </c>
      <c r="E160" s="8">
        <v>1917</v>
      </c>
      <c r="F160" s="8"/>
    </row>
    <row r="161" spans="2:6" x14ac:dyDescent="0.3">
      <c r="B161" t="s">
        <v>107</v>
      </c>
      <c r="C161" s="135" t="s">
        <v>108</v>
      </c>
      <c r="D161" s="7">
        <v>45838</v>
      </c>
      <c r="E161" s="8">
        <v>27074.77</v>
      </c>
      <c r="F161" s="8"/>
    </row>
    <row r="162" spans="2:6" x14ac:dyDescent="0.3">
      <c r="B162" t="s">
        <v>109</v>
      </c>
      <c r="C162" s="135" t="s">
        <v>110</v>
      </c>
      <c r="D162" s="7">
        <v>44847</v>
      </c>
      <c r="E162" s="8">
        <v>15010.14</v>
      </c>
      <c r="F162" s="8"/>
    </row>
    <row r="163" spans="2:6" x14ac:dyDescent="0.3">
      <c r="B163" t="s">
        <v>109</v>
      </c>
      <c r="C163" s="135" t="s">
        <v>111</v>
      </c>
      <c r="D163" s="7">
        <v>44918</v>
      </c>
      <c r="E163" s="8">
        <v>353.77</v>
      </c>
      <c r="F163" s="8"/>
    </row>
    <row r="164" spans="2:6" x14ac:dyDescent="0.3">
      <c r="B164" t="s">
        <v>109</v>
      </c>
      <c r="C164" s="135" t="s">
        <v>112</v>
      </c>
      <c r="D164" s="7">
        <v>45052</v>
      </c>
      <c r="E164" s="8">
        <v>3763.2</v>
      </c>
      <c r="F164" s="8"/>
    </row>
    <row r="165" spans="2:6" x14ac:dyDescent="0.3">
      <c r="B165" t="s">
        <v>109</v>
      </c>
      <c r="C165" s="135" t="s">
        <v>113</v>
      </c>
      <c r="D165" s="7">
        <v>45112</v>
      </c>
      <c r="E165" s="8">
        <v>34856.589999999997</v>
      </c>
      <c r="F165" s="8"/>
    </row>
    <row r="166" spans="2:6" x14ac:dyDescent="0.3">
      <c r="B166" t="s">
        <v>109</v>
      </c>
      <c r="C166" s="135" t="s">
        <v>114</v>
      </c>
      <c r="D166" s="7">
        <v>45133</v>
      </c>
      <c r="E166" s="8">
        <v>77.36</v>
      </c>
      <c r="F166" s="8"/>
    </row>
    <row r="167" spans="2:6" x14ac:dyDescent="0.3">
      <c r="B167" t="s">
        <v>109</v>
      </c>
      <c r="C167" s="135" t="s">
        <v>115</v>
      </c>
      <c r="D167" s="7">
        <v>45142</v>
      </c>
      <c r="E167" s="8">
        <v>76.52</v>
      </c>
      <c r="F167" s="8"/>
    </row>
    <row r="168" spans="2:6" x14ac:dyDescent="0.3">
      <c r="B168" t="s">
        <v>109</v>
      </c>
      <c r="C168" s="135" t="s">
        <v>116</v>
      </c>
      <c r="D168" s="7">
        <v>45198</v>
      </c>
      <c r="E168" s="8">
        <v>4370.13</v>
      </c>
      <c r="F168" s="8"/>
    </row>
    <row r="169" spans="2:6" x14ac:dyDescent="0.3">
      <c r="B169" t="s">
        <v>109</v>
      </c>
      <c r="C169" s="135" t="s">
        <v>117</v>
      </c>
      <c r="D169" s="7">
        <v>45198</v>
      </c>
      <c r="E169" s="8">
        <v>17721.02</v>
      </c>
      <c r="F169" s="8"/>
    </row>
    <row r="170" spans="2:6" x14ac:dyDescent="0.3">
      <c r="B170" t="s">
        <v>109</v>
      </c>
      <c r="C170" s="135" t="s">
        <v>118</v>
      </c>
      <c r="D170" s="7">
        <v>45198</v>
      </c>
      <c r="E170" s="8">
        <v>2121.17</v>
      </c>
      <c r="F170" s="8"/>
    </row>
    <row r="171" spans="2:6" x14ac:dyDescent="0.3">
      <c r="B171" t="s">
        <v>109</v>
      </c>
      <c r="C171" s="135" t="s">
        <v>119</v>
      </c>
      <c r="D171" s="7">
        <v>45204</v>
      </c>
      <c r="E171" s="8">
        <v>113.05</v>
      </c>
      <c r="F171" s="8"/>
    </row>
    <row r="172" spans="2:6" x14ac:dyDescent="0.3">
      <c r="B172" t="s">
        <v>109</v>
      </c>
      <c r="C172" s="135" t="s">
        <v>120</v>
      </c>
      <c r="D172" s="7">
        <v>45216</v>
      </c>
      <c r="E172" s="8">
        <v>28363.48</v>
      </c>
      <c r="F172" s="8"/>
    </row>
    <row r="173" spans="2:6" x14ac:dyDescent="0.3">
      <c r="B173" t="s">
        <v>109</v>
      </c>
      <c r="C173" s="135" t="s">
        <v>121</v>
      </c>
      <c r="D173" s="7">
        <v>45218</v>
      </c>
      <c r="E173" s="8">
        <v>2026.26</v>
      </c>
      <c r="F173" s="8"/>
    </row>
    <row r="174" spans="2:6" x14ac:dyDescent="0.3">
      <c r="B174" t="s">
        <v>109</v>
      </c>
      <c r="C174" s="135" t="s">
        <v>122</v>
      </c>
      <c r="D174" s="7">
        <v>45218</v>
      </c>
      <c r="E174" s="8">
        <v>8549.34</v>
      </c>
      <c r="F174" s="8"/>
    </row>
    <row r="175" spans="2:6" x14ac:dyDescent="0.3">
      <c r="B175" t="s">
        <v>109</v>
      </c>
      <c r="C175" s="135" t="s">
        <v>123</v>
      </c>
      <c r="D175" s="7">
        <v>45218</v>
      </c>
      <c r="E175" s="8">
        <v>474.15</v>
      </c>
      <c r="F175" s="8"/>
    </row>
    <row r="176" spans="2:6" x14ac:dyDescent="0.3">
      <c r="B176" t="s">
        <v>109</v>
      </c>
      <c r="C176" s="135" t="s">
        <v>124</v>
      </c>
      <c r="D176" s="7">
        <v>45218</v>
      </c>
      <c r="E176" s="8">
        <v>499.63</v>
      </c>
      <c r="F176" s="8"/>
    </row>
    <row r="177" spans="2:6" x14ac:dyDescent="0.3">
      <c r="B177" t="s">
        <v>109</v>
      </c>
      <c r="C177" s="135" t="s">
        <v>125</v>
      </c>
      <c r="D177" s="7">
        <v>45223</v>
      </c>
      <c r="E177" s="8">
        <v>1315.54</v>
      </c>
      <c r="F177" s="8"/>
    </row>
    <row r="178" spans="2:6" x14ac:dyDescent="0.3">
      <c r="B178" t="s">
        <v>109</v>
      </c>
      <c r="C178" s="135" t="s">
        <v>126</v>
      </c>
      <c r="D178" s="7">
        <v>45225</v>
      </c>
      <c r="E178" s="8">
        <v>617.38</v>
      </c>
      <c r="F178" s="8"/>
    </row>
    <row r="179" spans="2:6" x14ac:dyDescent="0.3">
      <c r="B179" t="s">
        <v>109</v>
      </c>
      <c r="C179" s="135" t="s">
        <v>127</v>
      </c>
      <c r="D179" s="7">
        <v>45232</v>
      </c>
      <c r="E179" s="8">
        <v>29036.48</v>
      </c>
      <c r="F179" s="8"/>
    </row>
    <row r="180" spans="2:6" x14ac:dyDescent="0.3">
      <c r="B180" t="s">
        <v>109</v>
      </c>
      <c r="C180" s="135" t="s">
        <v>128</v>
      </c>
      <c r="D180" s="7">
        <v>45232</v>
      </c>
      <c r="E180" s="8">
        <v>98.7</v>
      </c>
      <c r="F180" s="8"/>
    </row>
    <row r="181" spans="2:6" x14ac:dyDescent="0.3">
      <c r="B181" t="s">
        <v>109</v>
      </c>
      <c r="C181" s="135" t="s">
        <v>129</v>
      </c>
      <c r="D181" s="7">
        <v>45232</v>
      </c>
      <c r="E181" s="8">
        <v>128.38999999999999</v>
      </c>
      <c r="F181" s="8"/>
    </row>
    <row r="182" spans="2:6" x14ac:dyDescent="0.3">
      <c r="B182" t="s">
        <v>109</v>
      </c>
      <c r="C182" s="135" t="s">
        <v>130</v>
      </c>
      <c r="D182" s="7">
        <v>45232</v>
      </c>
      <c r="E182" s="8">
        <v>105.42</v>
      </c>
      <c r="F182" s="8"/>
    </row>
    <row r="183" spans="2:6" x14ac:dyDescent="0.3">
      <c r="B183" t="s">
        <v>109</v>
      </c>
      <c r="C183" s="135" t="s">
        <v>131</v>
      </c>
      <c r="D183" s="7">
        <v>45243</v>
      </c>
      <c r="E183" s="8">
        <v>21886.080000000002</v>
      </c>
      <c r="F183" s="8"/>
    </row>
    <row r="184" spans="2:6" x14ac:dyDescent="0.3">
      <c r="B184" t="s">
        <v>109</v>
      </c>
      <c r="C184" s="135" t="s">
        <v>132</v>
      </c>
      <c r="D184" s="7">
        <v>45246</v>
      </c>
      <c r="E184" s="8">
        <v>464.73</v>
      </c>
      <c r="F184" s="8"/>
    </row>
    <row r="185" spans="2:6" x14ac:dyDescent="0.3">
      <c r="B185" t="s">
        <v>109</v>
      </c>
      <c r="C185" s="135" t="s">
        <v>133</v>
      </c>
      <c r="D185" s="7">
        <v>45246</v>
      </c>
      <c r="E185" s="8">
        <v>4017.52</v>
      </c>
      <c r="F185" s="8"/>
    </row>
    <row r="186" spans="2:6" x14ac:dyDescent="0.3">
      <c r="B186" t="s">
        <v>109</v>
      </c>
      <c r="C186" s="135" t="s">
        <v>134</v>
      </c>
      <c r="D186" s="7">
        <v>45254</v>
      </c>
      <c r="E186" s="8">
        <v>18493.66</v>
      </c>
      <c r="F186" s="8"/>
    </row>
    <row r="187" spans="2:6" x14ac:dyDescent="0.3">
      <c r="B187" t="s">
        <v>109</v>
      </c>
      <c r="C187" s="135" t="s">
        <v>135</v>
      </c>
      <c r="D187" s="7">
        <v>45254</v>
      </c>
      <c r="E187" s="8">
        <v>3012.03</v>
      </c>
      <c r="F187" s="8"/>
    </row>
    <row r="188" spans="2:6" x14ac:dyDescent="0.3">
      <c r="B188" t="s">
        <v>109</v>
      </c>
      <c r="C188" s="135" t="s">
        <v>136</v>
      </c>
      <c r="D188" s="7">
        <v>45259</v>
      </c>
      <c r="E188" s="8">
        <v>406.75</v>
      </c>
      <c r="F188" s="8"/>
    </row>
    <row r="189" spans="2:6" x14ac:dyDescent="0.3">
      <c r="B189" t="s">
        <v>109</v>
      </c>
      <c r="C189" s="135" t="s">
        <v>137</v>
      </c>
      <c r="D189" s="7">
        <v>45260</v>
      </c>
      <c r="E189" s="8">
        <v>39927.57</v>
      </c>
      <c r="F189" s="8"/>
    </row>
    <row r="190" spans="2:6" x14ac:dyDescent="0.3">
      <c r="B190" t="s">
        <v>109</v>
      </c>
      <c r="C190" s="135" t="s">
        <v>138</v>
      </c>
      <c r="D190" s="7">
        <v>45260</v>
      </c>
      <c r="E190" s="8">
        <v>7652.58</v>
      </c>
      <c r="F190" s="8"/>
    </row>
    <row r="191" spans="2:6" x14ac:dyDescent="0.3">
      <c r="B191" t="s">
        <v>109</v>
      </c>
      <c r="C191" s="135" t="s">
        <v>139</v>
      </c>
      <c r="D191" s="7">
        <v>45260</v>
      </c>
      <c r="E191" s="8">
        <v>8410.1200000000008</v>
      </c>
      <c r="F191" s="8"/>
    </row>
    <row r="192" spans="2:6" x14ac:dyDescent="0.3">
      <c r="B192" t="s">
        <v>109</v>
      </c>
      <c r="C192" s="135" t="s">
        <v>140</v>
      </c>
      <c r="D192" s="7">
        <v>45260</v>
      </c>
      <c r="E192" s="8">
        <v>1152.5</v>
      </c>
      <c r="F192" s="8"/>
    </row>
    <row r="193" spans="2:6" x14ac:dyDescent="0.3">
      <c r="B193" t="s">
        <v>109</v>
      </c>
      <c r="C193" s="135" t="s">
        <v>141</v>
      </c>
      <c r="D193" s="7">
        <v>45260</v>
      </c>
      <c r="E193" s="8">
        <v>2487.1</v>
      </c>
      <c r="F193" s="8"/>
    </row>
    <row r="194" spans="2:6" x14ac:dyDescent="0.3">
      <c r="B194" t="s">
        <v>109</v>
      </c>
      <c r="C194" s="135" t="s">
        <v>142</v>
      </c>
      <c r="D194" s="7">
        <v>45260</v>
      </c>
      <c r="E194" s="8">
        <v>11450.08</v>
      </c>
      <c r="F194" s="8"/>
    </row>
    <row r="195" spans="2:6" x14ac:dyDescent="0.3">
      <c r="B195" t="s">
        <v>109</v>
      </c>
      <c r="C195" s="135" t="s">
        <v>143</v>
      </c>
      <c r="D195" s="7">
        <v>45260</v>
      </c>
      <c r="E195" s="8">
        <v>696.59</v>
      </c>
      <c r="F195" s="8"/>
    </row>
    <row r="196" spans="2:6" x14ac:dyDescent="0.3">
      <c r="B196" t="s">
        <v>109</v>
      </c>
      <c r="C196" s="135" t="s">
        <v>144</v>
      </c>
      <c r="D196" s="7">
        <v>45260</v>
      </c>
      <c r="E196" s="8">
        <v>9825.8700000000008</v>
      </c>
      <c r="F196" s="8"/>
    </row>
    <row r="197" spans="2:6" x14ac:dyDescent="0.3">
      <c r="B197" t="s">
        <v>109</v>
      </c>
      <c r="C197" s="135" t="s">
        <v>145</v>
      </c>
      <c r="D197" s="7">
        <v>45260</v>
      </c>
      <c r="E197" s="8">
        <v>4505.1099999999997</v>
      </c>
      <c r="F197" s="8"/>
    </row>
    <row r="198" spans="2:6" x14ac:dyDescent="0.3">
      <c r="B198" t="s">
        <v>109</v>
      </c>
      <c r="C198" s="135" t="s">
        <v>146</v>
      </c>
      <c r="D198" s="7">
        <v>45260</v>
      </c>
      <c r="E198" s="8">
        <v>2580.3000000000002</v>
      </c>
      <c r="F198" s="8"/>
    </row>
    <row r="199" spans="2:6" x14ac:dyDescent="0.3">
      <c r="B199" t="s">
        <v>109</v>
      </c>
      <c r="C199" s="135" t="s">
        <v>147</v>
      </c>
      <c r="D199" s="7">
        <v>45260</v>
      </c>
      <c r="E199" s="8">
        <v>6708.68</v>
      </c>
      <c r="F199" s="8"/>
    </row>
    <row r="200" spans="2:6" x14ac:dyDescent="0.3">
      <c r="B200" t="s">
        <v>109</v>
      </c>
      <c r="C200" s="135" t="s">
        <v>148</v>
      </c>
      <c r="D200" s="7">
        <v>45265</v>
      </c>
      <c r="E200" s="8">
        <v>2367.23</v>
      </c>
      <c r="F200" s="8"/>
    </row>
    <row r="201" spans="2:6" x14ac:dyDescent="0.3">
      <c r="B201" t="s">
        <v>109</v>
      </c>
      <c r="C201" s="135" t="s">
        <v>149</v>
      </c>
      <c r="D201" s="7">
        <v>45274</v>
      </c>
      <c r="E201" s="8">
        <v>4874.12</v>
      </c>
      <c r="F201" s="8"/>
    </row>
    <row r="202" spans="2:6" x14ac:dyDescent="0.3">
      <c r="B202" t="s">
        <v>109</v>
      </c>
      <c r="C202" s="135" t="s">
        <v>150</v>
      </c>
      <c r="D202" s="7">
        <v>45280</v>
      </c>
      <c r="E202" s="8">
        <v>28794.26</v>
      </c>
      <c r="F202" s="8"/>
    </row>
    <row r="203" spans="2:6" x14ac:dyDescent="0.3">
      <c r="B203" t="s">
        <v>109</v>
      </c>
      <c r="C203" s="135" t="s">
        <v>151</v>
      </c>
      <c r="D203" s="7">
        <v>45280</v>
      </c>
      <c r="E203" s="8">
        <v>5824.31</v>
      </c>
      <c r="F203" s="8"/>
    </row>
    <row r="204" spans="2:6" x14ac:dyDescent="0.3">
      <c r="B204" t="s">
        <v>109</v>
      </c>
      <c r="C204" s="135" t="s">
        <v>152</v>
      </c>
      <c r="D204" s="7">
        <v>45280</v>
      </c>
      <c r="E204" s="8">
        <v>15220.37</v>
      </c>
      <c r="F204" s="8"/>
    </row>
    <row r="205" spans="2:6" x14ac:dyDescent="0.3">
      <c r="B205" t="s">
        <v>109</v>
      </c>
      <c r="C205" s="135" t="s">
        <v>153</v>
      </c>
      <c r="D205" s="7">
        <v>45280</v>
      </c>
      <c r="E205" s="8">
        <v>9673.3700000000008</v>
      </c>
      <c r="F205" s="8"/>
    </row>
    <row r="206" spans="2:6" x14ac:dyDescent="0.3">
      <c r="B206" t="s">
        <v>109</v>
      </c>
      <c r="C206" s="135" t="s">
        <v>154</v>
      </c>
      <c r="D206" s="7">
        <v>45287</v>
      </c>
      <c r="E206" s="8">
        <v>2594.64</v>
      </c>
      <c r="F206" s="8"/>
    </row>
    <row r="207" spans="2:6" x14ac:dyDescent="0.3">
      <c r="B207" t="s">
        <v>109</v>
      </c>
      <c r="C207" s="135" t="s">
        <v>155</v>
      </c>
      <c r="D207" s="7">
        <v>45287</v>
      </c>
      <c r="E207" s="8">
        <v>37869.089999999997</v>
      </c>
      <c r="F207" s="8"/>
    </row>
    <row r="208" spans="2:6" x14ac:dyDescent="0.3">
      <c r="B208" t="s">
        <v>109</v>
      </c>
      <c r="C208" s="135" t="s">
        <v>156</v>
      </c>
      <c r="D208" s="7">
        <v>45288</v>
      </c>
      <c r="E208" s="8">
        <v>1529.86</v>
      </c>
      <c r="F208" s="8"/>
    </row>
    <row r="209" spans="2:6" x14ac:dyDescent="0.3">
      <c r="B209" t="s">
        <v>109</v>
      </c>
      <c r="C209" s="135" t="s">
        <v>157</v>
      </c>
      <c r="D209" s="7">
        <v>45288</v>
      </c>
      <c r="E209" s="8">
        <v>9659.23</v>
      </c>
      <c r="F209" s="8"/>
    </row>
    <row r="210" spans="2:6" x14ac:dyDescent="0.3">
      <c r="B210" t="s">
        <v>109</v>
      </c>
      <c r="C210" s="135" t="s">
        <v>158</v>
      </c>
      <c r="D210" s="7">
        <v>45288</v>
      </c>
      <c r="E210" s="8">
        <v>1422.94</v>
      </c>
      <c r="F210" s="8"/>
    </row>
    <row r="211" spans="2:6" x14ac:dyDescent="0.3">
      <c r="B211" t="s">
        <v>109</v>
      </c>
      <c r="C211" s="135" t="s">
        <v>159</v>
      </c>
      <c r="D211" s="7">
        <v>45288</v>
      </c>
      <c r="E211" s="8">
        <v>6957.88</v>
      </c>
      <c r="F211" s="8"/>
    </row>
    <row r="212" spans="2:6" x14ac:dyDescent="0.3">
      <c r="B212" t="s">
        <v>109</v>
      </c>
      <c r="C212" s="135" t="s">
        <v>160</v>
      </c>
      <c r="D212" s="7">
        <v>45288</v>
      </c>
      <c r="E212" s="8">
        <v>5599.05</v>
      </c>
      <c r="F212" s="8"/>
    </row>
    <row r="213" spans="2:6" x14ac:dyDescent="0.3">
      <c r="B213" t="s">
        <v>109</v>
      </c>
      <c r="C213" s="135" t="s">
        <v>161</v>
      </c>
      <c r="D213" s="7">
        <v>45291</v>
      </c>
      <c r="E213" s="8">
        <v>4225.59</v>
      </c>
      <c r="F213" s="8"/>
    </row>
    <row r="214" spans="2:6" x14ac:dyDescent="0.3">
      <c r="B214" t="s">
        <v>109</v>
      </c>
      <c r="C214" s="135" t="s">
        <v>162</v>
      </c>
      <c r="D214" s="7">
        <v>45291</v>
      </c>
      <c r="E214" s="8">
        <v>1573.68</v>
      </c>
      <c r="F214" s="8"/>
    </row>
    <row r="215" spans="2:6" x14ac:dyDescent="0.3">
      <c r="B215" t="s">
        <v>109</v>
      </c>
      <c r="C215" s="135" t="s">
        <v>163</v>
      </c>
      <c r="D215" s="7">
        <v>45291</v>
      </c>
      <c r="E215" s="8">
        <v>3966.62</v>
      </c>
      <c r="F215" s="8"/>
    </row>
    <row r="216" spans="2:6" x14ac:dyDescent="0.3">
      <c r="B216" t="s">
        <v>109</v>
      </c>
      <c r="C216" s="135" t="s">
        <v>164</v>
      </c>
      <c r="D216" s="7">
        <v>45291</v>
      </c>
      <c r="E216" s="8">
        <v>14318.36</v>
      </c>
      <c r="F216" s="8"/>
    </row>
    <row r="217" spans="2:6" x14ac:dyDescent="0.3">
      <c r="B217" t="s">
        <v>109</v>
      </c>
      <c r="C217" s="135" t="s">
        <v>165</v>
      </c>
      <c r="D217" s="7">
        <v>45291</v>
      </c>
      <c r="E217" s="8">
        <v>21576.5</v>
      </c>
      <c r="F217" s="8"/>
    </row>
    <row r="218" spans="2:6" x14ac:dyDescent="0.3">
      <c r="B218" t="s">
        <v>109</v>
      </c>
      <c r="C218" s="135" t="s">
        <v>166</v>
      </c>
      <c r="D218" s="7">
        <v>45291</v>
      </c>
      <c r="E218" s="8">
        <v>296.83999999999997</v>
      </c>
      <c r="F218" s="8"/>
    </row>
    <row r="219" spans="2:6" x14ac:dyDescent="0.3">
      <c r="B219" t="s">
        <v>109</v>
      </c>
      <c r="C219" s="135" t="s">
        <v>167</v>
      </c>
      <c r="D219" s="7">
        <v>45291</v>
      </c>
      <c r="E219" s="8">
        <v>7368.88</v>
      </c>
      <c r="F219" s="8"/>
    </row>
    <row r="220" spans="2:6" x14ac:dyDescent="0.3">
      <c r="B220" t="s">
        <v>109</v>
      </c>
      <c r="C220" s="135" t="s">
        <v>168</v>
      </c>
      <c r="D220" s="7">
        <v>45291</v>
      </c>
      <c r="E220" s="8">
        <v>25813.82</v>
      </c>
      <c r="F220" s="8"/>
    </row>
    <row r="221" spans="2:6" x14ac:dyDescent="0.3">
      <c r="B221" t="s">
        <v>109</v>
      </c>
      <c r="C221" s="135" t="s">
        <v>169</v>
      </c>
      <c r="D221" s="7">
        <v>45291</v>
      </c>
      <c r="E221" s="8">
        <v>568.76</v>
      </c>
      <c r="F221" s="8"/>
    </row>
    <row r="222" spans="2:6" x14ac:dyDescent="0.3">
      <c r="B222" t="s">
        <v>109</v>
      </c>
      <c r="C222" s="135" t="s">
        <v>170</v>
      </c>
      <c r="D222" s="7">
        <v>45291</v>
      </c>
      <c r="E222" s="8">
        <v>48064.52</v>
      </c>
      <c r="F222" s="8"/>
    </row>
    <row r="223" spans="2:6" x14ac:dyDescent="0.3">
      <c r="B223" t="s">
        <v>109</v>
      </c>
      <c r="C223" s="135" t="s">
        <v>171</v>
      </c>
      <c r="D223" s="7">
        <v>45292</v>
      </c>
      <c r="E223" s="8">
        <v>30910.47</v>
      </c>
      <c r="F223" s="8"/>
    </row>
    <row r="224" spans="2:6" x14ac:dyDescent="0.3">
      <c r="B224" t="s">
        <v>109</v>
      </c>
      <c r="C224" s="135" t="s">
        <v>172</v>
      </c>
      <c r="D224" s="7">
        <v>45292</v>
      </c>
      <c r="E224" s="8">
        <v>1425.18</v>
      </c>
      <c r="F224" s="8"/>
    </row>
    <row r="225" spans="2:6" x14ac:dyDescent="0.3">
      <c r="B225" t="s">
        <v>109</v>
      </c>
      <c r="C225" s="135" t="s">
        <v>173</v>
      </c>
      <c r="D225" s="7">
        <v>45302</v>
      </c>
      <c r="E225" s="8">
        <v>997.21</v>
      </c>
      <c r="F225" s="8"/>
    </row>
    <row r="226" spans="2:6" x14ac:dyDescent="0.3">
      <c r="B226" t="s">
        <v>109</v>
      </c>
      <c r="C226" s="135" t="s">
        <v>174</v>
      </c>
      <c r="D226" s="7">
        <v>45322</v>
      </c>
      <c r="E226" s="8">
        <v>778.75</v>
      </c>
      <c r="F226" s="8"/>
    </row>
    <row r="227" spans="2:6" x14ac:dyDescent="0.3">
      <c r="B227" t="s">
        <v>109</v>
      </c>
      <c r="C227" s="135" t="s">
        <v>175</v>
      </c>
      <c r="D227" s="7">
        <v>45337</v>
      </c>
      <c r="E227" s="8">
        <v>65859.13</v>
      </c>
      <c r="F227" s="8"/>
    </row>
    <row r="228" spans="2:6" x14ac:dyDescent="0.3">
      <c r="B228" t="s">
        <v>109</v>
      </c>
      <c r="C228" s="135" t="s">
        <v>176</v>
      </c>
      <c r="D228" s="7">
        <v>45344</v>
      </c>
      <c r="E228" s="8">
        <v>12002.19</v>
      </c>
      <c r="F228" s="8"/>
    </row>
    <row r="229" spans="2:6" x14ac:dyDescent="0.3">
      <c r="B229" t="s">
        <v>109</v>
      </c>
      <c r="C229" s="135" t="s">
        <v>177</v>
      </c>
      <c r="D229" s="7">
        <v>45344</v>
      </c>
      <c r="E229" s="8">
        <v>72378.73</v>
      </c>
      <c r="F229" s="8"/>
    </row>
    <row r="230" spans="2:6" x14ac:dyDescent="0.3">
      <c r="B230" t="s">
        <v>109</v>
      </c>
      <c r="C230" s="135" t="s">
        <v>178</v>
      </c>
      <c r="D230" s="7">
        <v>45350</v>
      </c>
      <c r="E230" s="8">
        <v>17327.87</v>
      </c>
      <c r="F230" s="8"/>
    </row>
    <row r="231" spans="2:6" x14ac:dyDescent="0.3">
      <c r="B231" t="s">
        <v>109</v>
      </c>
      <c r="C231" s="135" t="s">
        <v>179</v>
      </c>
      <c r="D231" s="7">
        <v>45350</v>
      </c>
      <c r="E231" s="8">
        <v>854.09</v>
      </c>
      <c r="F231" s="8"/>
    </row>
    <row r="232" spans="2:6" x14ac:dyDescent="0.3">
      <c r="B232" t="s">
        <v>109</v>
      </c>
      <c r="C232" s="135" t="s">
        <v>180</v>
      </c>
      <c r="D232" s="7">
        <v>45350</v>
      </c>
      <c r="E232" s="8">
        <v>1265.5999999999999</v>
      </c>
      <c r="F232" s="8"/>
    </row>
    <row r="233" spans="2:6" x14ac:dyDescent="0.3">
      <c r="B233" t="s">
        <v>109</v>
      </c>
      <c r="C233" s="135" t="s">
        <v>181</v>
      </c>
      <c r="D233" s="7">
        <v>45350</v>
      </c>
      <c r="E233" s="8">
        <v>3526.96</v>
      </c>
      <c r="F233" s="8"/>
    </row>
    <row r="234" spans="2:6" x14ac:dyDescent="0.3">
      <c r="B234" t="s">
        <v>109</v>
      </c>
      <c r="C234" s="135" t="s">
        <v>182</v>
      </c>
      <c r="D234" s="7">
        <v>45350</v>
      </c>
      <c r="E234" s="8">
        <v>61328.73</v>
      </c>
      <c r="F234" s="8"/>
    </row>
    <row r="235" spans="2:6" x14ac:dyDescent="0.3">
      <c r="B235" t="s">
        <v>109</v>
      </c>
      <c r="C235" s="135" t="s">
        <v>183</v>
      </c>
      <c r="D235" s="7">
        <v>45351</v>
      </c>
      <c r="E235" s="8">
        <v>9330.6299999999992</v>
      </c>
      <c r="F235" s="8"/>
    </row>
    <row r="236" spans="2:6" x14ac:dyDescent="0.3">
      <c r="B236" t="s">
        <v>109</v>
      </c>
      <c r="C236" s="135" t="s">
        <v>184</v>
      </c>
      <c r="D236" s="7">
        <v>45351</v>
      </c>
      <c r="E236" s="8">
        <v>1166.8900000000001</v>
      </c>
      <c r="F236" s="8"/>
    </row>
    <row r="237" spans="2:6" x14ac:dyDescent="0.3">
      <c r="B237" t="s">
        <v>109</v>
      </c>
      <c r="C237" s="135" t="s">
        <v>185</v>
      </c>
      <c r="D237" s="7">
        <v>45351</v>
      </c>
      <c r="E237" s="8">
        <v>581.54</v>
      </c>
      <c r="F237" s="8"/>
    </row>
    <row r="238" spans="2:6" x14ac:dyDescent="0.3">
      <c r="B238" t="s">
        <v>109</v>
      </c>
      <c r="C238" s="135" t="s">
        <v>186</v>
      </c>
      <c r="D238" s="7">
        <v>45352</v>
      </c>
      <c r="E238" s="8">
        <v>14947.4</v>
      </c>
      <c r="F238" s="8"/>
    </row>
    <row r="239" spans="2:6" x14ac:dyDescent="0.3">
      <c r="B239" t="s">
        <v>109</v>
      </c>
      <c r="C239" s="135" t="s">
        <v>187</v>
      </c>
      <c r="D239" s="7">
        <v>45352</v>
      </c>
      <c r="E239" s="8">
        <v>44105.01</v>
      </c>
      <c r="F239" s="8"/>
    </row>
    <row r="240" spans="2:6" x14ac:dyDescent="0.3">
      <c r="B240" t="s">
        <v>109</v>
      </c>
      <c r="C240" s="135" t="s">
        <v>188</v>
      </c>
      <c r="D240" s="7">
        <v>45355</v>
      </c>
      <c r="E240" s="8">
        <v>119.1</v>
      </c>
      <c r="F240" s="8"/>
    </row>
    <row r="241" spans="2:6" x14ac:dyDescent="0.3">
      <c r="B241" t="s">
        <v>109</v>
      </c>
      <c r="C241" s="135" t="s">
        <v>189</v>
      </c>
      <c r="D241" s="7">
        <v>45355</v>
      </c>
      <c r="E241" s="8">
        <v>109.35</v>
      </c>
      <c r="F241" s="8"/>
    </row>
    <row r="242" spans="2:6" x14ac:dyDescent="0.3">
      <c r="B242" t="s">
        <v>109</v>
      </c>
      <c r="C242" s="135" t="s">
        <v>190</v>
      </c>
      <c r="D242" s="7">
        <v>45359</v>
      </c>
      <c r="E242" s="8">
        <v>8243.17</v>
      </c>
      <c r="F242" s="8"/>
    </row>
    <row r="243" spans="2:6" x14ac:dyDescent="0.3">
      <c r="B243" t="s">
        <v>109</v>
      </c>
      <c r="C243" s="135" t="s">
        <v>191</v>
      </c>
      <c r="D243" s="7">
        <v>45366</v>
      </c>
      <c r="E243" s="8">
        <v>52.59</v>
      </c>
      <c r="F243" s="8"/>
    </row>
    <row r="244" spans="2:6" x14ac:dyDescent="0.3">
      <c r="B244" t="s">
        <v>109</v>
      </c>
      <c r="C244" s="135" t="s">
        <v>192</v>
      </c>
      <c r="D244" s="7">
        <v>45366</v>
      </c>
      <c r="E244" s="8">
        <v>20216.38</v>
      </c>
      <c r="F244" s="8"/>
    </row>
    <row r="245" spans="2:6" x14ac:dyDescent="0.3">
      <c r="B245" t="s">
        <v>109</v>
      </c>
      <c r="C245" s="135" t="s">
        <v>193</v>
      </c>
      <c r="D245" s="7">
        <v>45366</v>
      </c>
      <c r="E245" s="8">
        <v>2765.95</v>
      </c>
      <c r="F245" s="8"/>
    </row>
    <row r="246" spans="2:6" x14ac:dyDescent="0.3">
      <c r="B246" t="s">
        <v>109</v>
      </c>
      <c r="C246" s="135" t="s">
        <v>194</v>
      </c>
      <c r="D246" s="7">
        <v>45366</v>
      </c>
      <c r="E246" s="8">
        <v>100189.37</v>
      </c>
      <c r="F246" s="8"/>
    </row>
    <row r="247" spans="2:6" x14ac:dyDescent="0.3">
      <c r="B247" t="s">
        <v>109</v>
      </c>
      <c r="C247" s="135" t="s">
        <v>195</v>
      </c>
      <c r="D247" s="7">
        <v>45372</v>
      </c>
      <c r="E247" s="8">
        <v>212.86</v>
      </c>
      <c r="F247" s="8"/>
    </row>
    <row r="248" spans="2:6" x14ac:dyDescent="0.3">
      <c r="B248" t="s">
        <v>109</v>
      </c>
      <c r="C248" s="135" t="s">
        <v>196</v>
      </c>
      <c r="D248" s="7">
        <v>45372</v>
      </c>
      <c r="E248" s="8">
        <v>196.17</v>
      </c>
      <c r="F248" s="8"/>
    </row>
    <row r="249" spans="2:6" x14ac:dyDescent="0.3">
      <c r="B249" t="s">
        <v>109</v>
      </c>
      <c r="C249" s="135" t="s">
        <v>197</v>
      </c>
      <c r="D249" s="7">
        <v>45372</v>
      </c>
      <c r="E249" s="8">
        <v>210.84</v>
      </c>
      <c r="F249" s="8"/>
    </row>
    <row r="250" spans="2:6" x14ac:dyDescent="0.3">
      <c r="B250" t="s">
        <v>109</v>
      </c>
      <c r="C250" s="135" t="s">
        <v>198</v>
      </c>
      <c r="D250" s="7">
        <v>45372</v>
      </c>
      <c r="E250" s="8">
        <v>9027.1200000000008</v>
      </c>
      <c r="F250" s="8"/>
    </row>
    <row r="251" spans="2:6" x14ac:dyDescent="0.3">
      <c r="B251" t="s">
        <v>109</v>
      </c>
      <c r="C251" s="135" t="s">
        <v>199</v>
      </c>
      <c r="D251" s="7">
        <v>45372</v>
      </c>
      <c r="E251" s="8">
        <v>220</v>
      </c>
      <c r="F251" s="8"/>
    </row>
    <row r="252" spans="2:6" x14ac:dyDescent="0.3">
      <c r="B252" t="s">
        <v>109</v>
      </c>
      <c r="C252" s="135" t="s">
        <v>200</v>
      </c>
      <c r="D252" s="7">
        <v>45372</v>
      </c>
      <c r="E252" s="8">
        <v>244.03</v>
      </c>
      <c r="F252" s="8"/>
    </row>
    <row r="253" spans="2:6" x14ac:dyDescent="0.3">
      <c r="B253" t="s">
        <v>109</v>
      </c>
      <c r="C253" s="135" t="s">
        <v>201</v>
      </c>
      <c r="D253" s="7">
        <v>45379</v>
      </c>
      <c r="E253" s="8">
        <v>46656.74</v>
      </c>
      <c r="F253" s="8"/>
    </row>
    <row r="254" spans="2:6" x14ac:dyDescent="0.3">
      <c r="B254" t="s">
        <v>109</v>
      </c>
      <c r="C254" s="135" t="s">
        <v>202</v>
      </c>
      <c r="D254" s="7">
        <v>45412</v>
      </c>
      <c r="E254" s="8">
        <v>0.01</v>
      </c>
      <c r="F254" s="8"/>
    </row>
    <row r="255" spans="2:6" x14ac:dyDescent="0.3">
      <c r="B255" t="s">
        <v>109</v>
      </c>
      <c r="C255" s="137">
        <v>108109</v>
      </c>
      <c r="D255" s="7">
        <v>45416</v>
      </c>
      <c r="E255" s="8">
        <v>54.26</v>
      </c>
      <c r="F255" s="8"/>
    </row>
    <row r="256" spans="2:6" x14ac:dyDescent="0.3">
      <c r="B256" t="s">
        <v>109</v>
      </c>
      <c r="C256" s="135" t="s">
        <v>203</v>
      </c>
      <c r="D256" s="7">
        <v>45444</v>
      </c>
      <c r="E256" s="8">
        <v>109.44</v>
      </c>
      <c r="F256" s="8"/>
    </row>
    <row r="257" spans="2:6" x14ac:dyDescent="0.3">
      <c r="B257" t="s">
        <v>109</v>
      </c>
      <c r="C257" s="135" t="s">
        <v>204</v>
      </c>
      <c r="D257" s="7">
        <v>45444</v>
      </c>
      <c r="E257" s="8">
        <v>9403.44</v>
      </c>
      <c r="F257" s="8"/>
    </row>
    <row r="258" spans="2:6" x14ac:dyDescent="0.3">
      <c r="B258" t="s">
        <v>109</v>
      </c>
      <c r="C258" s="135" t="s">
        <v>205</v>
      </c>
      <c r="D258" s="7">
        <v>45444</v>
      </c>
      <c r="E258" s="8">
        <v>513.27</v>
      </c>
      <c r="F258" s="8"/>
    </row>
    <row r="259" spans="2:6" x14ac:dyDescent="0.3">
      <c r="B259" t="s">
        <v>109</v>
      </c>
      <c r="C259" s="135" t="s">
        <v>206</v>
      </c>
      <c r="D259" s="7">
        <v>45464</v>
      </c>
      <c r="E259" s="8">
        <v>0.28000000000000003</v>
      </c>
      <c r="F259" s="8"/>
    </row>
    <row r="260" spans="2:6" x14ac:dyDescent="0.3">
      <c r="B260" t="s">
        <v>109</v>
      </c>
      <c r="C260" s="135" t="s">
        <v>207</v>
      </c>
      <c r="D260" s="7">
        <v>45467</v>
      </c>
      <c r="E260" s="8">
        <v>0.91</v>
      </c>
      <c r="F260" s="8"/>
    </row>
    <row r="261" spans="2:6" s="11" customFormat="1" x14ac:dyDescent="0.3">
      <c r="B261" t="s">
        <v>109</v>
      </c>
      <c r="C261" s="135" t="s">
        <v>208</v>
      </c>
      <c r="D261" s="7">
        <v>45469</v>
      </c>
      <c r="E261" s="8">
        <v>22.49</v>
      </c>
      <c r="F261" s="8"/>
    </row>
    <row r="262" spans="2:6" x14ac:dyDescent="0.3">
      <c r="B262" t="s">
        <v>109</v>
      </c>
      <c r="C262" s="135" t="s">
        <v>209</v>
      </c>
      <c r="D262" s="7">
        <v>45471</v>
      </c>
      <c r="E262" s="8">
        <v>0.01</v>
      </c>
      <c r="F262" s="8"/>
    </row>
    <row r="263" spans="2:6" x14ac:dyDescent="0.3">
      <c r="B263" t="s">
        <v>109</v>
      </c>
      <c r="C263" s="135" t="s">
        <v>210</v>
      </c>
      <c r="D263" s="7">
        <v>45471</v>
      </c>
      <c r="E263" s="8">
        <v>6802.52</v>
      </c>
      <c r="F263" s="8"/>
    </row>
    <row r="264" spans="2:6" x14ac:dyDescent="0.3">
      <c r="B264" t="s">
        <v>109</v>
      </c>
      <c r="C264" s="135" t="s">
        <v>211</v>
      </c>
      <c r="D264" s="7">
        <v>45471</v>
      </c>
      <c r="E264" s="8">
        <v>360.01</v>
      </c>
      <c r="F264" s="8"/>
    </row>
    <row r="265" spans="2:6" x14ac:dyDescent="0.3">
      <c r="B265" t="s">
        <v>109</v>
      </c>
      <c r="C265" s="135" t="s">
        <v>212</v>
      </c>
      <c r="D265" s="7">
        <v>45485</v>
      </c>
      <c r="E265" s="8">
        <v>2577.9699999999998</v>
      </c>
      <c r="F265" s="8"/>
    </row>
    <row r="266" spans="2:6" x14ac:dyDescent="0.3">
      <c r="B266" t="s">
        <v>109</v>
      </c>
      <c r="C266" s="135" t="s">
        <v>213</v>
      </c>
      <c r="D266" s="7">
        <v>45495</v>
      </c>
      <c r="E266" s="8">
        <v>1694.15</v>
      </c>
      <c r="F266" s="8"/>
    </row>
    <row r="267" spans="2:6" x14ac:dyDescent="0.3">
      <c r="B267" t="s">
        <v>109</v>
      </c>
      <c r="C267" s="135" t="s">
        <v>214</v>
      </c>
      <c r="D267" s="7">
        <v>45496</v>
      </c>
      <c r="E267" s="8">
        <v>178.9</v>
      </c>
      <c r="F267" s="8"/>
    </row>
    <row r="268" spans="2:6" x14ac:dyDescent="0.3">
      <c r="B268" t="s">
        <v>109</v>
      </c>
      <c r="C268" s="135" t="s">
        <v>215</v>
      </c>
      <c r="D268" s="7">
        <v>45496</v>
      </c>
      <c r="E268" s="8">
        <v>544.11</v>
      </c>
      <c r="F268" s="8"/>
    </row>
    <row r="269" spans="2:6" x14ac:dyDescent="0.3">
      <c r="B269" t="s">
        <v>109</v>
      </c>
      <c r="C269" s="135" t="s">
        <v>216</v>
      </c>
      <c r="D269" s="7">
        <v>45504</v>
      </c>
      <c r="E269" s="8">
        <v>156.80000000000001</v>
      </c>
      <c r="F269" s="8"/>
    </row>
    <row r="270" spans="2:6" x14ac:dyDescent="0.3">
      <c r="B270" t="s">
        <v>109</v>
      </c>
      <c r="C270" s="135" t="s">
        <v>216</v>
      </c>
      <c r="D270" s="7">
        <v>45504</v>
      </c>
      <c r="E270" s="8">
        <v>6275.92</v>
      </c>
      <c r="F270" s="8"/>
    </row>
    <row r="271" spans="2:6" x14ac:dyDescent="0.3">
      <c r="B271" t="s">
        <v>109</v>
      </c>
      <c r="C271" s="135" t="s">
        <v>216</v>
      </c>
      <c r="D271" s="7">
        <v>45504</v>
      </c>
      <c r="E271" s="8">
        <v>284.08</v>
      </c>
      <c r="F271" s="8"/>
    </row>
    <row r="272" spans="2:6" x14ac:dyDescent="0.3">
      <c r="B272" t="s">
        <v>109</v>
      </c>
      <c r="C272" s="135" t="s">
        <v>216</v>
      </c>
      <c r="D272" s="7">
        <v>45504</v>
      </c>
      <c r="E272" s="8">
        <v>461.22</v>
      </c>
      <c r="F272" s="8"/>
    </row>
    <row r="273" spans="2:6" x14ac:dyDescent="0.3">
      <c r="B273" t="s">
        <v>109</v>
      </c>
      <c r="C273" s="135" t="s">
        <v>217</v>
      </c>
      <c r="D273" s="7">
        <v>45504</v>
      </c>
      <c r="E273" s="8">
        <v>1735.67</v>
      </c>
      <c r="F273" s="8"/>
    </row>
    <row r="274" spans="2:6" x14ac:dyDescent="0.3">
      <c r="B274" t="s">
        <v>109</v>
      </c>
      <c r="C274" s="135" t="s">
        <v>216</v>
      </c>
      <c r="D274" s="7">
        <v>45504</v>
      </c>
      <c r="E274" s="8">
        <v>7612.74</v>
      </c>
      <c r="F274" s="8"/>
    </row>
    <row r="275" spans="2:6" x14ac:dyDescent="0.3">
      <c r="B275" t="s">
        <v>109</v>
      </c>
      <c r="C275" s="135" t="s">
        <v>218</v>
      </c>
      <c r="D275" s="7">
        <v>45505</v>
      </c>
      <c r="E275" s="8">
        <v>19051.060000000001</v>
      </c>
      <c r="F275" s="8"/>
    </row>
    <row r="276" spans="2:6" x14ac:dyDescent="0.3">
      <c r="B276" t="s">
        <v>109</v>
      </c>
      <c r="C276" s="135" t="s">
        <v>219</v>
      </c>
      <c r="D276" s="7">
        <v>45505</v>
      </c>
      <c r="E276" s="8">
        <v>6194.25</v>
      </c>
      <c r="F276" s="8"/>
    </row>
    <row r="277" spans="2:6" x14ac:dyDescent="0.3">
      <c r="B277" t="s">
        <v>109</v>
      </c>
      <c r="C277" s="135" t="s">
        <v>220</v>
      </c>
      <c r="D277" s="7">
        <v>45506</v>
      </c>
      <c r="E277" s="8">
        <v>36810.019999999997</v>
      </c>
      <c r="F277" s="8"/>
    </row>
    <row r="278" spans="2:6" x14ac:dyDescent="0.3">
      <c r="B278" t="s">
        <v>109</v>
      </c>
      <c r="C278" s="135" t="s">
        <v>221</v>
      </c>
      <c r="D278" s="7">
        <v>45506</v>
      </c>
      <c r="E278" s="8">
        <v>50469.919999999998</v>
      </c>
      <c r="F278" s="8"/>
    </row>
    <row r="279" spans="2:6" x14ac:dyDescent="0.3">
      <c r="B279" t="s">
        <v>109</v>
      </c>
      <c r="C279" s="135" t="s">
        <v>222</v>
      </c>
      <c r="D279" s="7">
        <v>45511</v>
      </c>
      <c r="E279" s="8">
        <v>17241.560000000001</v>
      </c>
      <c r="F279" s="8"/>
    </row>
    <row r="280" spans="2:6" x14ac:dyDescent="0.3">
      <c r="B280" t="s">
        <v>109</v>
      </c>
      <c r="C280" s="135" t="s">
        <v>223</v>
      </c>
      <c r="D280" s="7">
        <v>45511</v>
      </c>
      <c r="E280" s="8">
        <v>48732.84</v>
      </c>
      <c r="F280" s="8"/>
    </row>
    <row r="281" spans="2:6" x14ac:dyDescent="0.3">
      <c r="B281" t="s">
        <v>109</v>
      </c>
      <c r="C281" s="135" t="s">
        <v>224</v>
      </c>
      <c r="D281" s="7">
        <v>45532</v>
      </c>
      <c r="E281" s="8">
        <v>41698.42</v>
      </c>
      <c r="F281" s="8"/>
    </row>
    <row r="282" spans="2:6" x14ac:dyDescent="0.3">
      <c r="B282" t="s">
        <v>109</v>
      </c>
      <c r="C282" s="135" t="s">
        <v>225</v>
      </c>
      <c r="D282" s="7">
        <v>45532</v>
      </c>
      <c r="E282" s="8">
        <v>3622.29</v>
      </c>
      <c r="F282" s="8"/>
    </row>
    <row r="283" spans="2:6" x14ac:dyDescent="0.3">
      <c r="B283" t="s">
        <v>109</v>
      </c>
      <c r="C283" s="135" t="s">
        <v>226</v>
      </c>
      <c r="D283" s="7">
        <v>45544</v>
      </c>
      <c r="E283" s="8">
        <v>1886.6</v>
      </c>
      <c r="F283" s="8"/>
    </row>
    <row r="284" spans="2:6" x14ac:dyDescent="0.3">
      <c r="B284" t="s">
        <v>109</v>
      </c>
      <c r="C284" s="135" t="s">
        <v>227</v>
      </c>
      <c r="D284" s="7">
        <v>45547</v>
      </c>
      <c r="E284" s="8">
        <v>33.130000000000003</v>
      </c>
      <c r="F284" s="8"/>
    </row>
    <row r="285" spans="2:6" x14ac:dyDescent="0.3">
      <c r="B285" t="s">
        <v>109</v>
      </c>
      <c r="C285" s="135" t="s">
        <v>228</v>
      </c>
      <c r="D285" s="7">
        <v>45558</v>
      </c>
      <c r="E285" s="8">
        <v>33433.33</v>
      </c>
      <c r="F285" s="8"/>
    </row>
    <row r="286" spans="2:6" x14ac:dyDescent="0.3">
      <c r="B286" t="s">
        <v>109</v>
      </c>
      <c r="C286" s="135" t="s">
        <v>229</v>
      </c>
      <c r="D286" s="7">
        <v>45558</v>
      </c>
      <c r="E286" s="8">
        <v>3415.51</v>
      </c>
      <c r="F286" s="8"/>
    </row>
    <row r="287" spans="2:6" x14ac:dyDescent="0.3">
      <c r="B287" t="s">
        <v>109</v>
      </c>
      <c r="C287" s="135" t="s">
        <v>230</v>
      </c>
      <c r="D287" s="7">
        <v>45558</v>
      </c>
      <c r="E287" s="8">
        <v>17556.599999999999</v>
      </c>
      <c r="F287" s="8"/>
    </row>
    <row r="288" spans="2:6" x14ac:dyDescent="0.3">
      <c r="B288" t="s">
        <v>109</v>
      </c>
      <c r="C288" s="135" t="s">
        <v>231</v>
      </c>
      <c r="D288" s="7">
        <v>45558</v>
      </c>
      <c r="E288" s="8">
        <v>9093.9500000000007</v>
      </c>
      <c r="F288" s="8"/>
    </row>
    <row r="289" spans="2:6" x14ac:dyDescent="0.3">
      <c r="B289" t="s">
        <v>109</v>
      </c>
      <c r="C289" s="135" t="s">
        <v>232</v>
      </c>
      <c r="D289" s="7">
        <v>45558</v>
      </c>
      <c r="E289" s="8">
        <v>8798.44</v>
      </c>
      <c r="F289" s="8"/>
    </row>
    <row r="290" spans="2:6" x14ac:dyDescent="0.3">
      <c r="B290" t="s">
        <v>109</v>
      </c>
      <c r="C290" s="135" t="s">
        <v>233</v>
      </c>
      <c r="D290" s="7">
        <v>45565</v>
      </c>
      <c r="E290" s="8">
        <v>1290</v>
      </c>
      <c r="F290" s="8"/>
    </row>
    <row r="291" spans="2:6" x14ac:dyDescent="0.3">
      <c r="B291" t="s">
        <v>109</v>
      </c>
      <c r="C291" s="135" t="s">
        <v>234</v>
      </c>
      <c r="D291" s="7">
        <v>45565</v>
      </c>
      <c r="E291" s="8">
        <v>8931.69</v>
      </c>
      <c r="F291" s="8"/>
    </row>
    <row r="292" spans="2:6" x14ac:dyDescent="0.3">
      <c r="B292" t="s">
        <v>109</v>
      </c>
      <c r="C292" s="135" t="s">
        <v>235</v>
      </c>
      <c r="D292" s="7">
        <v>45565</v>
      </c>
      <c r="E292" s="8">
        <v>2736.38</v>
      </c>
      <c r="F292" s="8"/>
    </row>
    <row r="293" spans="2:6" x14ac:dyDescent="0.3">
      <c r="B293" t="s">
        <v>109</v>
      </c>
      <c r="C293" s="135" t="s">
        <v>236</v>
      </c>
      <c r="D293" s="7">
        <v>45565</v>
      </c>
      <c r="E293" s="8">
        <v>455.49</v>
      </c>
      <c r="F293" s="8"/>
    </row>
    <row r="294" spans="2:6" x14ac:dyDescent="0.3">
      <c r="B294" t="s">
        <v>109</v>
      </c>
      <c r="C294" s="135" t="s">
        <v>237</v>
      </c>
      <c r="D294" s="7">
        <v>45565</v>
      </c>
      <c r="E294" s="8">
        <v>6183.03</v>
      </c>
      <c r="F294" s="8"/>
    </row>
    <row r="295" spans="2:6" x14ac:dyDescent="0.3">
      <c r="B295" t="s">
        <v>109</v>
      </c>
      <c r="C295" s="135" t="s">
        <v>238</v>
      </c>
      <c r="D295" s="7">
        <v>45565</v>
      </c>
      <c r="E295" s="8">
        <v>585.79</v>
      </c>
      <c r="F295" s="8"/>
    </row>
    <row r="296" spans="2:6" x14ac:dyDescent="0.3">
      <c r="B296" t="s">
        <v>109</v>
      </c>
      <c r="C296" s="135" t="s">
        <v>239</v>
      </c>
      <c r="D296" s="7">
        <v>45568</v>
      </c>
      <c r="E296" s="8">
        <v>973.31</v>
      </c>
      <c r="F296" s="8"/>
    </row>
    <row r="297" spans="2:6" x14ac:dyDescent="0.3">
      <c r="B297" t="s">
        <v>109</v>
      </c>
      <c r="C297" s="135" t="s">
        <v>240</v>
      </c>
      <c r="D297" s="7">
        <v>45568</v>
      </c>
      <c r="E297" s="8">
        <v>19186.27</v>
      </c>
      <c r="F297" s="8"/>
    </row>
    <row r="298" spans="2:6" x14ac:dyDescent="0.3">
      <c r="B298" t="s">
        <v>109</v>
      </c>
      <c r="C298" s="135" t="s">
        <v>241</v>
      </c>
      <c r="D298" s="7">
        <v>45568</v>
      </c>
      <c r="E298" s="8">
        <v>154.72999999999999</v>
      </c>
      <c r="F298" s="8"/>
    </row>
    <row r="299" spans="2:6" x14ac:dyDescent="0.3">
      <c r="B299" t="s">
        <v>109</v>
      </c>
      <c r="C299" s="135" t="s">
        <v>242</v>
      </c>
      <c r="D299" s="7">
        <v>45568</v>
      </c>
      <c r="E299" s="8">
        <v>292.64999999999998</v>
      </c>
      <c r="F299" s="8"/>
    </row>
    <row r="300" spans="2:6" x14ac:dyDescent="0.3">
      <c r="B300" t="s">
        <v>109</v>
      </c>
      <c r="C300" s="135" t="s">
        <v>243</v>
      </c>
      <c r="D300" s="7">
        <v>45568</v>
      </c>
      <c r="E300" s="8">
        <v>10517.66</v>
      </c>
      <c r="F300" s="8"/>
    </row>
    <row r="301" spans="2:6" x14ac:dyDescent="0.3">
      <c r="B301" t="s">
        <v>109</v>
      </c>
      <c r="C301" s="135" t="s">
        <v>244</v>
      </c>
      <c r="D301" s="7">
        <v>45568</v>
      </c>
      <c r="E301" s="8">
        <v>91946.63</v>
      </c>
      <c r="F301" s="8"/>
    </row>
    <row r="302" spans="2:6" x14ac:dyDescent="0.3">
      <c r="B302" t="s">
        <v>109</v>
      </c>
      <c r="C302" s="135" t="s">
        <v>245</v>
      </c>
      <c r="D302" s="7">
        <v>45572</v>
      </c>
      <c r="E302" s="8">
        <v>65465.84</v>
      </c>
      <c r="F302" s="8"/>
    </row>
    <row r="303" spans="2:6" x14ac:dyDescent="0.3">
      <c r="B303" t="s">
        <v>109</v>
      </c>
      <c r="C303" s="135" t="s">
        <v>246</v>
      </c>
      <c r="D303" s="7">
        <v>45586</v>
      </c>
      <c r="E303" s="8">
        <v>3775.85</v>
      </c>
      <c r="F303" s="8"/>
    </row>
    <row r="304" spans="2:6" x14ac:dyDescent="0.3">
      <c r="B304" t="s">
        <v>109</v>
      </c>
      <c r="C304" s="135" t="s">
        <v>247</v>
      </c>
      <c r="D304" s="7">
        <v>45593</v>
      </c>
      <c r="E304" s="8">
        <v>1633.5</v>
      </c>
      <c r="F304" s="8"/>
    </row>
    <row r="305" spans="2:6" x14ac:dyDescent="0.3">
      <c r="B305" t="s">
        <v>109</v>
      </c>
      <c r="C305" s="135" t="s">
        <v>248</v>
      </c>
      <c r="D305" s="7">
        <v>45593</v>
      </c>
      <c r="E305" s="8">
        <v>443.8</v>
      </c>
      <c r="F305" s="8"/>
    </row>
    <row r="306" spans="2:6" x14ac:dyDescent="0.3">
      <c r="B306" t="s">
        <v>109</v>
      </c>
      <c r="C306" s="135" t="s">
        <v>249</v>
      </c>
      <c r="D306" s="7">
        <v>45593</v>
      </c>
      <c r="E306" s="8">
        <v>580.42999999999995</v>
      </c>
      <c r="F306" s="8"/>
    </row>
    <row r="307" spans="2:6" x14ac:dyDescent="0.3">
      <c r="B307" t="s">
        <v>109</v>
      </c>
      <c r="C307" s="135" t="s">
        <v>250</v>
      </c>
      <c r="D307" s="7">
        <v>45593</v>
      </c>
      <c r="E307" s="8">
        <v>1122.8</v>
      </c>
      <c r="F307" s="8"/>
    </row>
    <row r="308" spans="2:6" x14ac:dyDescent="0.3">
      <c r="B308" t="s">
        <v>109</v>
      </c>
      <c r="C308" s="135" t="s">
        <v>251</v>
      </c>
      <c r="D308" s="7">
        <v>45593</v>
      </c>
      <c r="E308" s="8">
        <v>4486.5200000000004</v>
      </c>
      <c r="F308" s="8"/>
    </row>
    <row r="309" spans="2:6" x14ac:dyDescent="0.3">
      <c r="B309" t="s">
        <v>109</v>
      </c>
      <c r="C309" s="135" t="s">
        <v>252</v>
      </c>
      <c r="D309" s="7">
        <v>45593</v>
      </c>
      <c r="E309" s="8">
        <v>4712.3999999999996</v>
      </c>
      <c r="F309" s="8"/>
    </row>
    <row r="310" spans="2:6" x14ac:dyDescent="0.3">
      <c r="B310" t="s">
        <v>109</v>
      </c>
      <c r="C310" s="135" t="s">
        <v>253</v>
      </c>
      <c r="D310" s="7">
        <v>45593</v>
      </c>
      <c r="E310" s="8">
        <v>4975.51</v>
      </c>
      <c r="F310" s="8"/>
    </row>
    <row r="311" spans="2:6" x14ac:dyDescent="0.3">
      <c r="B311" t="s">
        <v>109</v>
      </c>
      <c r="C311" s="135" t="s">
        <v>254</v>
      </c>
      <c r="D311" s="7">
        <v>45594</v>
      </c>
      <c r="E311" s="8">
        <v>58997.99</v>
      </c>
      <c r="F311" s="8"/>
    </row>
    <row r="312" spans="2:6" x14ac:dyDescent="0.3">
      <c r="B312" t="s">
        <v>109</v>
      </c>
      <c r="C312" s="135" t="s">
        <v>255</v>
      </c>
      <c r="D312" s="7">
        <v>45597</v>
      </c>
      <c r="E312" s="8">
        <v>62782.28</v>
      </c>
      <c r="F312" s="8"/>
    </row>
    <row r="313" spans="2:6" x14ac:dyDescent="0.3">
      <c r="B313" t="s">
        <v>109</v>
      </c>
      <c r="C313" s="135" t="s">
        <v>250</v>
      </c>
      <c r="D313" s="7">
        <v>45597</v>
      </c>
      <c r="E313" s="8">
        <v>2240.38</v>
      </c>
      <c r="F313" s="8"/>
    </row>
    <row r="314" spans="2:6" x14ac:dyDescent="0.3">
      <c r="B314" t="s">
        <v>109</v>
      </c>
      <c r="C314" s="135" t="s">
        <v>256</v>
      </c>
      <c r="D314" s="7">
        <v>45618</v>
      </c>
      <c r="E314" s="8">
        <v>7459.87</v>
      </c>
      <c r="F314" s="8"/>
    </row>
    <row r="315" spans="2:6" x14ac:dyDescent="0.3">
      <c r="B315" t="s">
        <v>109</v>
      </c>
      <c r="C315" s="135" t="s">
        <v>257</v>
      </c>
      <c r="D315" s="7">
        <v>45618</v>
      </c>
      <c r="E315" s="8">
        <v>20459.62</v>
      </c>
      <c r="F315" s="8"/>
    </row>
    <row r="316" spans="2:6" x14ac:dyDescent="0.3">
      <c r="B316" t="s">
        <v>109</v>
      </c>
      <c r="C316" s="135" t="s">
        <v>258</v>
      </c>
      <c r="D316" s="7">
        <v>45618</v>
      </c>
      <c r="E316" s="8">
        <v>2218.98</v>
      </c>
      <c r="F316" s="8"/>
    </row>
    <row r="317" spans="2:6" x14ac:dyDescent="0.3">
      <c r="B317" t="s">
        <v>109</v>
      </c>
      <c r="C317" s="135" t="s">
        <v>259</v>
      </c>
      <c r="D317" s="7">
        <v>45618</v>
      </c>
      <c r="E317" s="8">
        <v>520.92999999999995</v>
      </c>
      <c r="F317" s="8"/>
    </row>
    <row r="318" spans="2:6" x14ac:dyDescent="0.3">
      <c r="B318" t="s">
        <v>109</v>
      </c>
      <c r="C318" s="135" t="s">
        <v>260</v>
      </c>
      <c r="D318" s="7">
        <v>45622</v>
      </c>
      <c r="E318" s="8">
        <v>11058.43</v>
      </c>
      <c r="F318" s="8"/>
    </row>
    <row r="319" spans="2:6" x14ac:dyDescent="0.3">
      <c r="B319" t="s">
        <v>109</v>
      </c>
      <c r="C319" s="135" t="s">
        <v>261</v>
      </c>
      <c r="D319" s="7">
        <v>45622</v>
      </c>
      <c r="E319" s="8">
        <v>454.67</v>
      </c>
      <c r="F319" s="8"/>
    </row>
    <row r="320" spans="2:6" x14ac:dyDescent="0.3">
      <c r="B320" t="s">
        <v>109</v>
      </c>
      <c r="C320" s="135" t="s">
        <v>262</v>
      </c>
      <c r="D320" s="7">
        <v>45622</v>
      </c>
      <c r="E320" s="8">
        <v>34421.65</v>
      </c>
      <c r="F320" s="8"/>
    </row>
    <row r="321" spans="2:6" x14ac:dyDescent="0.3">
      <c r="B321" t="s">
        <v>109</v>
      </c>
      <c r="C321" s="135" t="s">
        <v>263</v>
      </c>
      <c r="D321" s="7">
        <v>45623</v>
      </c>
      <c r="E321" s="8">
        <v>30.31</v>
      </c>
      <c r="F321" s="8"/>
    </row>
    <row r="322" spans="2:6" x14ac:dyDescent="0.3">
      <c r="B322" t="s">
        <v>109</v>
      </c>
      <c r="C322" s="135" t="s">
        <v>264</v>
      </c>
      <c r="D322" s="7">
        <v>45625</v>
      </c>
      <c r="E322" s="8">
        <v>46746.17</v>
      </c>
      <c r="F322" s="8"/>
    </row>
    <row r="323" spans="2:6" x14ac:dyDescent="0.3">
      <c r="B323" t="s">
        <v>109</v>
      </c>
      <c r="C323" s="135" t="s">
        <v>265</v>
      </c>
      <c r="D323" s="7">
        <v>45625</v>
      </c>
      <c r="E323" s="8">
        <v>3598.56</v>
      </c>
      <c r="F323" s="8"/>
    </row>
    <row r="324" spans="2:6" x14ac:dyDescent="0.3">
      <c r="B324" t="s">
        <v>109</v>
      </c>
      <c r="C324" s="135" t="s">
        <v>266</v>
      </c>
      <c r="D324" s="7">
        <v>45625</v>
      </c>
      <c r="E324" s="8">
        <v>13962.03</v>
      </c>
      <c r="F324" s="8"/>
    </row>
    <row r="325" spans="2:6" x14ac:dyDescent="0.3">
      <c r="B325" t="s">
        <v>109</v>
      </c>
      <c r="C325" s="135" t="s">
        <v>267</v>
      </c>
      <c r="D325" s="7">
        <v>45625</v>
      </c>
      <c r="E325" s="8">
        <v>271.33999999999997</v>
      </c>
      <c r="F325" s="8"/>
    </row>
    <row r="326" spans="2:6" x14ac:dyDescent="0.3">
      <c r="B326" t="s">
        <v>109</v>
      </c>
      <c r="C326" s="135" t="s">
        <v>268</v>
      </c>
      <c r="D326" s="7">
        <v>45625</v>
      </c>
      <c r="E326" s="8">
        <v>597.87</v>
      </c>
      <c r="F326" s="8"/>
    </row>
    <row r="327" spans="2:6" x14ac:dyDescent="0.3">
      <c r="B327" t="s">
        <v>109</v>
      </c>
      <c r="C327" s="135" t="s">
        <v>269</v>
      </c>
      <c r="D327" s="7">
        <v>45629</v>
      </c>
      <c r="E327" s="8">
        <v>3955.38</v>
      </c>
      <c r="F327" s="8"/>
    </row>
    <row r="328" spans="2:6" x14ac:dyDescent="0.3">
      <c r="B328" t="s">
        <v>109</v>
      </c>
      <c r="C328" s="135" t="s">
        <v>270</v>
      </c>
      <c r="D328" s="7">
        <v>45629</v>
      </c>
      <c r="E328" s="8">
        <v>3705.27</v>
      </c>
      <c r="F328" s="8"/>
    </row>
    <row r="329" spans="2:6" x14ac:dyDescent="0.3">
      <c r="B329" t="s">
        <v>109</v>
      </c>
      <c r="C329" s="135" t="s">
        <v>271</v>
      </c>
      <c r="D329" s="7">
        <v>45630</v>
      </c>
      <c r="E329" s="8">
        <v>598.79999999999995</v>
      </c>
      <c r="F329" s="8"/>
    </row>
    <row r="330" spans="2:6" x14ac:dyDescent="0.3">
      <c r="B330" t="s">
        <v>109</v>
      </c>
      <c r="C330" s="135" t="s">
        <v>272</v>
      </c>
      <c r="D330" s="7">
        <v>45630</v>
      </c>
      <c r="E330" s="8">
        <v>940.68</v>
      </c>
      <c r="F330" s="8"/>
    </row>
    <row r="331" spans="2:6" x14ac:dyDescent="0.3">
      <c r="B331" t="s">
        <v>109</v>
      </c>
      <c r="C331" s="135" t="s">
        <v>273</v>
      </c>
      <c r="D331" s="7">
        <v>45631</v>
      </c>
      <c r="E331" s="8">
        <v>74045.62</v>
      </c>
      <c r="F331" s="8"/>
    </row>
    <row r="332" spans="2:6" x14ac:dyDescent="0.3">
      <c r="B332" t="s">
        <v>109</v>
      </c>
      <c r="C332" s="135" t="s">
        <v>274</v>
      </c>
      <c r="D332" s="7">
        <v>45636</v>
      </c>
      <c r="E332" s="8">
        <v>174.37</v>
      </c>
      <c r="F332" s="8"/>
    </row>
    <row r="333" spans="2:6" x14ac:dyDescent="0.3">
      <c r="B333" t="s">
        <v>109</v>
      </c>
      <c r="C333" s="135" t="s">
        <v>275</v>
      </c>
      <c r="D333" s="7">
        <v>45636</v>
      </c>
      <c r="E333" s="8">
        <v>183.26</v>
      </c>
      <c r="F333" s="8"/>
    </row>
    <row r="334" spans="2:6" x14ac:dyDescent="0.3">
      <c r="B334" t="s">
        <v>109</v>
      </c>
      <c r="C334" s="135" t="s">
        <v>276</v>
      </c>
      <c r="D334" s="7">
        <v>45637</v>
      </c>
      <c r="E334" s="8">
        <v>3482.14</v>
      </c>
      <c r="F334" s="8"/>
    </row>
    <row r="335" spans="2:6" x14ac:dyDescent="0.3">
      <c r="B335" t="s">
        <v>109</v>
      </c>
      <c r="C335" s="135" t="s">
        <v>277</v>
      </c>
      <c r="D335" s="7">
        <v>45638</v>
      </c>
      <c r="E335" s="8">
        <v>167677.56</v>
      </c>
      <c r="F335" s="8"/>
    </row>
    <row r="336" spans="2:6" x14ac:dyDescent="0.3">
      <c r="B336" t="s">
        <v>109</v>
      </c>
      <c r="C336" s="135" t="s">
        <v>278</v>
      </c>
      <c r="D336" s="7">
        <v>45644</v>
      </c>
      <c r="E336" s="8">
        <v>5634.45</v>
      </c>
      <c r="F336" s="8"/>
    </row>
    <row r="337" spans="2:6" x14ac:dyDescent="0.3">
      <c r="B337" t="s">
        <v>109</v>
      </c>
      <c r="C337" s="135" t="s">
        <v>278</v>
      </c>
      <c r="D337" s="7">
        <v>45644</v>
      </c>
      <c r="E337" s="8">
        <v>27532.51</v>
      </c>
      <c r="F337" s="8"/>
    </row>
    <row r="338" spans="2:6" x14ac:dyDescent="0.3">
      <c r="B338" t="s">
        <v>109</v>
      </c>
      <c r="C338" s="135" t="s">
        <v>279</v>
      </c>
      <c r="D338" s="7">
        <v>45645</v>
      </c>
      <c r="E338" s="8">
        <v>13165.35</v>
      </c>
      <c r="F338" s="8"/>
    </row>
    <row r="339" spans="2:6" x14ac:dyDescent="0.3">
      <c r="B339" t="s">
        <v>109</v>
      </c>
      <c r="C339" s="135" t="s">
        <v>280</v>
      </c>
      <c r="D339" s="7">
        <v>45646</v>
      </c>
      <c r="E339" s="8">
        <v>3930.77</v>
      </c>
      <c r="F339" s="8"/>
    </row>
    <row r="340" spans="2:6" x14ac:dyDescent="0.3">
      <c r="B340" t="s">
        <v>109</v>
      </c>
      <c r="C340" s="135" t="s">
        <v>281</v>
      </c>
      <c r="D340" s="7">
        <v>45684</v>
      </c>
      <c r="E340" s="8">
        <v>64830.44</v>
      </c>
      <c r="F340" s="8"/>
    </row>
    <row r="341" spans="2:6" x14ac:dyDescent="0.3">
      <c r="B341" t="s">
        <v>109</v>
      </c>
      <c r="C341" s="135" t="s">
        <v>282</v>
      </c>
      <c r="D341" s="7">
        <v>45692</v>
      </c>
      <c r="E341" s="8">
        <v>25248.01</v>
      </c>
      <c r="F341" s="8"/>
    </row>
    <row r="342" spans="2:6" x14ac:dyDescent="0.3">
      <c r="B342" t="s">
        <v>109</v>
      </c>
      <c r="C342" s="135" t="s">
        <v>283</v>
      </c>
      <c r="D342" s="7">
        <v>45692</v>
      </c>
      <c r="E342" s="8">
        <v>729.17</v>
      </c>
      <c r="F342" s="8"/>
    </row>
    <row r="343" spans="2:6" x14ac:dyDescent="0.3">
      <c r="B343" t="s">
        <v>109</v>
      </c>
      <c r="C343" s="135" t="s">
        <v>284</v>
      </c>
      <c r="D343" s="7">
        <v>45692</v>
      </c>
      <c r="E343" s="8">
        <v>3597</v>
      </c>
      <c r="F343" s="8"/>
    </row>
    <row r="344" spans="2:6" x14ac:dyDescent="0.3">
      <c r="B344" t="s">
        <v>109</v>
      </c>
      <c r="C344" s="135" t="s">
        <v>285</v>
      </c>
      <c r="D344" s="7">
        <v>45692</v>
      </c>
      <c r="E344" s="8">
        <v>519.30999999999995</v>
      </c>
      <c r="F344" s="8"/>
    </row>
    <row r="345" spans="2:6" x14ac:dyDescent="0.3">
      <c r="B345" t="s">
        <v>109</v>
      </c>
      <c r="C345" s="135" t="s">
        <v>286</v>
      </c>
      <c r="D345" s="7">
        <v>45692</v>
      </c>
      <c r="E345" s="8">
        <v>3017.01</v>
      </c>
      <c r="F345" s="8"/>
    </row>
    <row r="346" spans="2:6" x14ac:dyDescent="0.3">
      <c r="B346" t="s">
        <v>109</v>
      </c>
      <c r="C346" s="135" t="s">
        <v>287</v>
      </c>
      <c r="D346" s="7">
        <v>45692</v>
      </c>
      <c r="E346" s="8">
        <v>74.12</v>
      </c>
      <c r="F346" s="8"/>
    </row>
    <row r="347" spans="2:6" x14ac:dyDescent="0.3">
      <c r="B347" t="s">
        <v>109</v>
      </c>
      <c r="C347" s="135" t="s">
        <v>288</v>
      </c>
      <c r="D347" s="7">
        <v>45692</v>
      </c>
      <c r="E347" s="8">
        <v>637.75</v>
      </c>
      <c r="F347" s="8"/>
    </row>
    <row r="348" spans="2:6" x14ac:dyDescent="0.3">
      <c r="B348" t="s">
        <v>109</v>
      </c>
      <c r="C348" s="135" t="s">
        <v>289</v>
      </c>
      <c r="D348" s="7">
        <v>45692</v>
      </c>
      <c r="E348" s="8">
        <v>177.8</v>
      </c>
      <c r="F348" s="8"/>
    </row>
    <row r="349" spans="2:6" x14ac:dyDescent="0.3">
      <c r="B349" t="s">
        <v>109</v>
      </c>
      <c r="C349" s="135" t="s">
        <v>290</v>
      </c>
      <c r="D349" s="7">
        <v>45692</v>
      </c>
      <c r="E349" s="8">
        <v>155.19999999999999</v>
      </c>
      <c r="F349" s="8"/>
    </row>
    <row r="350" spans="2:6" x14ac:dyDescent="0.3">
      <c r="B350" t="s">
        <v>109</v>
      </c>
      <c r="C350" s="135" t="s">
        <v>291</v>
      </c>
      <c r="D350" s="7">
        <v>45692</v>
      </c>
      <c r="E350" s="8">
        <v>363.47</v>
      </c>
      <c r="F350" s="8"/>
    </row>
    <row r="351" spans="2:6" x14ac:dyDescent="0.3">
      <c r="B351" t="s">
        <v>109</v>
      </c>
      <c r="C351" s="135" t="s">
        <v>292</v>
      </c>
      <c r="D351" s="7">
        <v>45694</v>
      </c>
      <c r="E351" s="8">
        <v>396.18</v>
      </c>
      <c r="F351" s="8"/>
    </row>
    <row r="352" spans="2:6" x14ac:dyDescent="0.3">
      <c r="B352" t="s">
        <v>109</v>
      </c>
      <c r="C352" s="135" t="s">
        <v>293</v>
      </c>
      <c r="D352" s="7">
        <v>45707</v>
      </c>
      <c r="E352" s="8">
        <v>313.76</v>
      </c>
      <c r="F352" s="8"/>
    </row>
    <row r="353" spans="2:7" x14ac:dyDescent="0.3">
      <c r="B353" t="s">
        <v>109</v>
      </c>
      <c r="C353" s="135" t="s">
        <v>294</v>
      </c>
      <c r="D353" s="7">
        <v>45707</v>
      </c>
      <c r="E353" s="8">
        <v>928.82</v>
      </c>
      <c r="F353" s="8"/>
    </row>
    <row r="354" spans="2:7" x14ac:dyDescent="0.3">
      <c r="B354" t="s">
        <v>109</v>
      </c>
      <c r="C354" s="135" t="s">
        <v>295</v>
      </c>
      <c r="D354" s="7">
        <v>45707</v>
      </c>
      <c r="E354" s="8">
        <v>406.26</v>
      </c>
      <c r="F354" s="8"/>
    </row>
    <row r="355" spans="2:7" x14ac:dyDescent="0.3">
      <c r="B355" t="s">
        <v>109</v>
      </c>
      <c r="C355" s="135" t="s">
        <v>296</v>
      </c>
      <c r="D355" s="7">
        <v>45707</v>
      </c>
      <c r="E355" s="8">
        <v>92.06</v>
      </c>
      <c r="F355" s="8"/>
    </row>
    <row r="356" spans="2:7" x14ac:dyDescent="0.3">
      <c r="B356" t="s">
        <v>109</v>
      </c>
      <c r="C356" s="135" t="s">
        <v>297</v>
      </c>
      <c r="D356" s="7">
        <v>45729</v>
      </c>
      <c r="E356" s="8">
        <v>708.45</v>
      </c>
      <c r="F356" s="8"/>
    </row>
    <row r="357" spans="2:7" x14ac:dyDescent="0.3">
      <c r="B357" t="s">
        <v>109</v>
      </c>
      <c r="C357" s="135" t="s">
        <v>298</v>
      </c>
      <c r="D357" s="7">
        <v>45729</v>
      </c>
      <c r="E357" s="8">
        <v>415.06</v>
      </c>
      <c r="F357" s="8"/>
    </row>
    <row r="358" spans="2:7" x14ac:dyDescent="0.3">
      <c r="B358" t="s">
        <v>109</v>
      </c>
      <c r="C358" s="135" t="s">
        <v>299</v>
      </c>
      <c r="D358" s="7">
        <v>45786</v>
      </c>
      <c r="E358" s="8">
        <v>-236.67</v>
      </c>
      <c r="F358" s="8"/>
      <c r="G358" s="102"/>
    </row>
    <row r="359" spans="2:7" x14ac:dyDescent="0.3">
      <c r="B359" t="s">
        <v>300</v>
      </c>
      <c r="C359" s="44">
        <v>23533943</v>
      </c>
      <c r="D359" s="7">
        <v>45218</v>
      </c>
      <c r="E359" s="8">
        <v>50142.18</v>
      </c>
      <c r="F359" s="8"/>
    </row>
    <row r="360" spans="2:7" x14ac:dyDescent="0.3">
      <c r="B360" t="s">
        <v>300</v>
      </c>
      <c r="C360" s="44">
        <v>23540770</v>
      </c>
      <c r="D360" s="7">
        <v>45274</v>
      </c>
      <c r="E360" s="8">
        <v>60159.82</v>
      </c>
      <c r="F360" s="8"/>
    </row>
    <row r="361" spans="2:7" x14ac:dyDescent="0.3">
      <c r="B361" t="s">
        <v>300</v>
      </c>
      <c r="C361" s="44">
        <v>23541378</v>
      </c>
      <c r="D361" s="7">
        <v>45280</v>
      </c>
      <c r="E361" s="8">
        <v>85588.11</v>
      </c>
      <c r="F361" s="8"/>
    </row>
    <row r="362" spans="2:7" x14ac:dyDescent="0.3">
      <c r="B362" t="s">
        <v>301</v>
      </c>
      <c r="C362" s="44">
        <v>20250630</v>
      </c>
      <c r="D362" s="7">
        <v>45838</v>
      </c>
      <c r="E362" s="8">
        <v>1191.52</v>
      </c>
      <c r="F362" s="8"/>
    </row>
    <row r="363" spans="2:7" x14ac:dyDescent="0.3">
      <c r="B363" t="s">
        <v>302</v>
      </c>
      <c r="C363" s="44">
        <v>89</v>
      </c>
      <c r="D363" s="7">
        <v>45672</v>
      </c>
      <c r="E363" s="8">
        <v>54000</v>
      </c>
      <c r="F363" s="8"/>
    </row>
    <row r="364" spans="2:7" x14ac:dyDescent="0.3">
      <c r="B364" t="s">
        <v>302</v>
      </c>
      <c r="C364" s="44">
        <v>93</v>
      </c>
      <c r="D364" s="7">
        <v>45703</v>
      </c>
      <c r="E364" s="8">
        <v>56000</v>
      </c>
      <c r="F364" s="8"/>
    </row>
    <row r="365" spans="2:7" x14ac:dyDescent="0.3">
      <c r="B365" t="s">
        <v>302</v>
      </c>
      <c r="C365" s="44">
        <v>97</v>
      </c>
      <c r="D365" s="7">
        <v>45731</v>
      </c>
      <c r="E365" s="8">
        <v>56000</v>
      </c>
      <c r="F365" s="8"/>
    </row>
    <row r="366" spans="2:7" x14ac:dyDescent="0.3">
      <c r="B366" t="s">
        <v>302</v>
      </c>
      <c r="C366" s="44">
        <v>101</v>
      </c>
      <c r="D366" s="7">
        <v>45762</v>
      </c>
      <c r="E366" s="8">
        <v>56000</v>
      </c>
      <c r="F366" s="8"/>
    </row>
    <row r="367" spans="2:7" x14ac:dyDescent="0.3">
      <c r="B367" t="s">
        <v>302</v>
      </c>
      <c r="C367" s="44">
        <v>106</v>
      </c>
      <c r="D367" s="7">
        <v>45778</v>
      </c>
      <c r="E367" s="8">
        <v>56000</v>
      </c>
      <c r="F367" s="8"/>
    </row>
    <row r="368" spans="2:7" x14ac:dyDescent="0.3">
      <c r="B368" t="s">
        <v>302</v>
      </c>
      <c r="C368" s="44">
        <v>111</v>
      </c>
      <c r="D368" s="7">
        <v>45809</v>
      </c>
      <c r="E368" s="8">
        <v>56000</v>
      </c>
      <c r="F368" s="8"/>
    </row>
    <row r="369" spans="2:6" x14ac:dyDescent="0.3">
      <c r="B369" t="s">
        <v>303</v>
      </c>
      <c r="C369" s="135" t="s">
        <v>304</v>
      </c>
      <c r="D369" s="7">
        <v>45490</v>
      </c>
      <c r="E369" s="8">
        <v>4530.33</v>
      </c>
      <c r="F369" s="8"/>
    </row>
    <row r="370" spans="2:6" x14ac:dyDescent="0.3">
      <c r="B370" t="s">
        <v>303</v>
      </c>
      <c r="C370" s="135" t="s">
        <v>305</v>
      </c>
      <c r="D370" s="7">
        <v>45566</v>
      </c>
      <c r="E370" s="8">
        <v>450.51</v>
      </c>
      <c r="F370" s="8"/>
    </row>
    <row r="371" spans="2:6" x14ac:dyDescent="0.3">
      <c r="B371" t="s">
        <v>303</v>
      </c>
      <c r="C371" s="135" t="s">
        <v>305</v>
      </c>
      <c r="D371" s="7">
        <v>45566</v>
      </c>
      <c r="E371" s="8">
        <v>6080</v>
      </c>
      <c r="F371" s="8"/>
    </row>
    <row r="372" spans="2:6" x14ac:dyDescent="0.3">
      <c r="B372" t="s">
        <v>306</v>
      </c>
      <c r="C372" s="135" t="s">
        <v>307</v>
      </c>
      <c r="D372" s="7">
        <v>45418</v>
      </c>
      <c r="E372" s="8">
        <v>2903.02</v>
      </c>
      <c r="F372" s="8"/>
    </row>
    <row r="373" spans="2:6" x14ac:dyDescent="0.3">
      <c r="B373" t="s">
        <v>306</v>
      </c>
      <c r="C373" s="135" t="s">
        <v>308</v>
      </c>
      <c r="D373" s="7">
        <v>45446</v>
      </c>
      <c r="E373" s="8">
        <v>2152.48</v>
      </c>
      <c r="F373" s="8"/>
    </row>
    <row r="374" spans="2:6" x14ac:dyDescent="0.3">
      <c r="B374" t="s">
        <v>306</v>
      </c>
      <c r="C374" s="135" t="s">
        <v>309</v>
      </c>
      <c r="D374" s="7">
        <v>45446</v>
      </c>
      <c r="E374" s="8">
        <v>5204.46</v>
      </c>
      <c r="F374" s="8"/>
    </row>
    <row r="375" spans="2:6" x14ac:dyDescent="0.3">
      <c r="B375" t="s">
        <v>306</v>
      </c>
      <c r="C375" s="135" t="s">
        <v>310</v>
      </c>
      <c r="D375" s="7">
        <v>45446</v>
      </c>
      <c r="E375" s="8">
        <v>4552.0200000000004</v>
      </c>
      <c r="F375" s="8"/>
    </row>
    <row r="376" spans="2:6" x14ac:dyDescent="0.3">
      <c r="B376" t="s">
        <v>306</v>
      </c>
      <c r="C376" s="135" t="s">
        <v>311</v>
      </c>
      <c r="D376" s="7">
        <v>45446</v>
      </c>
      <c r="E376" s="8">
        <v>7040</v>
      </c>
      <c r="F376" s="8"/>
    </row>
    <row r="377" spans="2:6" x14ac:dyDescent="0.3">
      <c r="B377" t="s">
        <v>306</v>
      </c>
      <c r="C377" s="135" t="s">
        <v>312</v>
      </c>
      <c r="D377" s="7">
        <v>45446</v>
      </c>
      <c r="E377" s="8">
        <v>13844.95</v>
      </c>
      <c r="F377" s="8"/>
    </row>
    <row r="378" spans="2:6" x14ac:dyDescent="0.3">
      <c r="B378" t="s">
        <v>306</v>
      </c>
      <c r="C378" s="135" t="s">
        <v>313</v>
      </c>
      <c r="D378" s="7">
        <v>45530</v>
      </c>
      <c r="E378" s="8">
        <v>2250.7199999999998</v>
      </c>
      <c r="F378" s="8"/>
    </row>
    <row r="379" spans="2:6" x14ac:dyDescent="0.3">
      <c r="B379" t="s">
        <v>306</v>
      </c>
      <c r="C379" s="135" t="s">
        <v>314</v>
      </c>
      <c r="D379" s="7">
        <v>45635</v>
      </c>
      <c r="E379" s="8">
        <v>20974.15</v>
      </c>
      <c r="F379" s="8"/>
    </row>
    <row r="380" spans="2:6" x14ac:dyDescent="0.3">
      <c r="B380" t="s">
        <v>306</v>
      </c>
      <c r="C380" s="135" t="s">
        <v>315</v>
      </c>
      <c r="D380" s="7">
        <v>45635</v>
      </c>
      <c r="E380" s="8">
        <v>1859.64</v>
      </c>
      <c r="F380" s="8"/>
    </row>
    <row r="381" spans="2:6" x14ac:dyDescent="0.3">
      <c r="B381" t="s">
        <v>306</v>
      </c>
      <c r="C381" s="135" t="s">
        <v>316</v>
      </c>
      <c r="D381" s="7">
        <v>45666</v>
      </c>
      <c r="E381" s="8">
        <v>-245.41</v>
      </c>
      <c r="F381" s="8"/>
    </row>
    <row r="382" spans="2:6" x14ac:dyDescent="0.3">
      <c r="B382" t="s">
        <v>306</v>
      </c>
      <c r="C382" s="135" t="s">
        <v>317</v>
      </c>
      <c r="D382" s="7">
        <v>45789</v>
      </c>
      <c r="E382" s="8">
        <v>4462.72</v>
      </c>
      <c r="F382" s="8"/>
    </row>
    <row r="383" spans="2:6" x14ac:dyDescent="0.3">
      <c r="B383" t="s">
        <v>306</v>
      </c>
      <c r="C383" s="135" t="s">
        <v>318</v>
      </c>
      <c r="D383" s="7">
        <v>45804</v>
      </c>
      <c r="E383" s="8">
        <v>3517.3</v>
      </c>
      <c r="F383" s="8"/>
    </row>
    <row r="384" spans="2:6" x14ac:dyDescent="0.3">
      <c r="B384" t="s">
        <v>306</v>
      </c>
      <c r="C384" s="135" t="s">
        <v>319</v>
      </c>
      <c r="D384" s="7">
        <v>45810</v>
      </c>
      <c r="E384" s="8">
        <v>371.5</v>
      </c>
      <c r="F384" s="8"/>
    </row>
    <row r="385" spans="2:6" x14ac:dyDescent="0.3">
      <c r="B385" t="s">
        <v>306</v>
      </c>
      <c r="C385" s="135" t="s">
        <v>320</v>
      </c>
      <c r="D385" s="7">
        <v>45838</v>
      </c>
      <c r="E385" s="8">
        <v>6990</v>
      </c>
      <c r="F385" s="8"/>
    </row>
    <row r="386" spans="2:6" x14ac:dyDescent="0.3">
      <c r="B386" t="s">
        <v>306</v>
      </c>
      <c r="C386" s="135" t="s">
        <v>321</v>
      </c>
      <c r="D386" s="7">
        <v>45838</v>
      </c>
      <c r="E386" s="8">
        <v>3654</v>
      </c>
      <c r="F386" s="8"/>
    </row>
    <row r="387" spans="2:6" x14ac:dyDescent="0.3">
      <c r="B387" t="s">
        <v>306</v>
      </c>
      <c r="C387" s="135" t="s">
        <v>322</v>
      </c>
      <c r="D387" s="7">
        <v>45838</v>
      </c>
      <c r="E387" s="8">
        <v>41155.78</v>
      </c>
      <c r="F387" s="8"/>
    </row>
    <row r="388" spans="2:6" x14ac:dyDescent="0.3">
      <c r="B388" t="s">
        <v>306</v>
      </c>
      <c r="C388" s="135" t="s">
        <v>323</v>
      </c>
      <c r="D388" s="7">
        <v>45838</v>
      </c>
      <c r="E388" s="8">
        <v>5919.78</v>
      </c>
      <c r="F388" s="8"/>
    </row>
    <row r="389" spans="2:6" x14ac:dyDescent="0.3">
      <c r="B389" t="s">
        <v>324</v>
      </c>
      <c r="C389" s="135" t="s">
        <v>325</v>
      </c>
      <c r="D389" s="7">
        <v>45802</v>
      </c>
      <c r="E389" s="8">
        <v>26350.49</v>
      </c>
      <c r="F389" s="8"/>
    </row>
    <row r="390" spans="2:6" x14ac:dyDescent="0.3">
      <c r="B390" t="s">
        <v>324</v>
      </c>
      <c r="C390" s="135" t="s">
        <v>326</v>
      </c>
      <c r="D390" s="7">
        <v>45804</v>
      </c>
      <c r="E390" s="8">
        <v>49275</v>
      </c>
      <c r="F390" s="8"/>
    </row>
    <row r="391" spans="2:6" x14ac:dyDescent="0.3">
      <c r="B391" t="s">
        <v>324</v>
      </c>
      <c r="C391" s="135" t="s">
        <v>24</v>
      </c>
      <c r="D391" s="7">
        <v>45804</v>
      </c>
      <c r="E391" s="8">
        <v>-100000</v>
      </c>
      <c r="F391" s="8"/>
    </row>
    <row r="392" spans="2:6" x14ac:dyDescent="0.3">
      <c r="B392" t="s">
        <v>324</v>
      </c>
      <c r="C392" s="135" t="s">
        <v>327</v>
      </c>
      <c r="D392" s="7">
        <v>45807</v>
      </c>
      <c r="E392" s="8">
        <v>16756.2</v>
      </c>
      <c r="F392" s="8"/>
    </row>
    <row r="393" spans="2:6" x14ac:dyDescent="0.3">
      <c r="B393" t="s">
        <v>324</v>
      </c>
      <c r="C393" s="135" t="s">
        <v>327</v>
      </c>
      <c r="D393" s="7">
        <v>45807</v>
      </c>
      <c r="E393" s="8">
        <v>32181.45</v>
      </c>
      <c r="F393" s="8"/>
    </row>
    <row r="394" spans="2:6" x14ac:dyDescent="0.3">
      <c r="B394" t="s">
        <v>324</v>
      </c>
      <c r="C394" s="135" t="s">
        <v>328</v>
      </c>
      <c r="D394" s="7">
        <v>45807</v>
      </c>
      <c r="E394" s="8">
        <v>8973.35</v>
      </c>
      <c r="F394" s="8"/>
    </row>
    <row r="395" spans="2:6" x14ac:dyDescent="0.3">
      <c r="B395" t="s">
        <v>324</v>
      </c>
      <c r="C395" s="135" t="s">
        <v>329</v>
      </c>
      <c r="D395" s="7">
        <v>45807</v>
      </c>
      <c r="E395" s="8">
        <v>32513</v>
      </c>
      <c r="F395" s="8"/>
    </row>
    <row r="396" spans="2:6" x14ac:dyDescent="0.3">
      <c r="B396" t="s">
        <v>324</v>
      </c>
      <c r="C396" s="135" t="s">
        <v>330</v>
      </c>
      <c r="D396" s="7">
        <v>45807</v>
      </c>
      <c r="E396" s="8">
        <v>14271.55</v>
      </c>
      <c r="F396" s="8"/>
    </row>
    <row r="397" spans="2:6" x14ac:dyDescent="0.3">
      <c r="B397" t="s">
        <v>324</v>
      </c>
      <c r="C397" s="135" t="s">
        <v>331</v>
      </c>
      <c r="D397" s="7">
        <v>45807</v>
      </c>
      <c r="E397" s="8">
        <v>22719.51</v>
      </c>
      <c r="F397" s="8"/>
    </row>
    <row r="398" spans="2:6" x14ac:dyDescent="0.3">
      <c r="B398" t="s">
        <v>324</v>
      </c>
      <c r="C398" s="135" t="s">
        <v>331</v>
      </c>
      <c r="D398" s="7">
        <v>45807</v>
      </c>
      <c r="E398" s="8">
        <v>14393.91</v>
      </c>
      <c r="F398" s="8"/>
    </row>
    <row r="399" spans="2:6" x14ac:dyDescent="0.3">
      <c r="B399" t="s">
        <v>324</v>
      </c>
      <c r="C399" s="135" t="s">
        <v>331</v>
      </c>
      <c r="D399" s="7">
        <v>45807</v>
      </c>
      <c r="E399" s="8">
        <v>673.08</v>
      </c>
      <c r="F399" s="8"/>
    </row>
    <row r="400" spans="2:6" x14ac:dyDescent="0.3">
      <c r="B400" t="s">
        <v>324</v>
      </c>
      <c r="C400" s="135" t="s">
        <v>331</v>
      </c>
      <c r="D400" s="7">
        <v>45807</v>
      </c>
      <c r="E400" s="8">
        <v>12145.32</v>
      </c>
      <c r="F400" s="8"/>
    </row>
    <row r="401" spans="2:6" x14ac:dyDescent="0.3">
      <c r="B401" t="s">
        <v>324</v>
      </c>
      <c r="C401" s="135" t="s">
        <v>332</v>
      </c>
      <c r="D401" s="7">
        <v>45807</v>
      </c>
      <c r="E401" s="8">
        <v>60597.5</v>
      </c>
      <c r="F401" s="8"/>
    </row>
    <row r="402" spans="2:6" x14ac:dyDescent="0.3">
      <c r="B402" t="s">
        <v>324</v>
      </c>
      <c r="C402" s="135" t="s">
        <v>16</v>
      </c>
      <c r="D402" s="7">
        <v>45824</v>
      </c>
      <c r="E402" s="8">
        <v>-3022.59</v>
      </c>
      <c r="F402" s="8"/>
    </row>
    <row r="403" spans="2:6" x14ac:dyDescent="0.3">
      <c r="B403" t="s">
        <v>324</v>
      </c>
      <c r="C403" s="135" t="s">
        <v>16</v>
      </c>
      <c r="D403" s="7">
        <v>45824</v>
      </c>
      <c r="E403" s="8">
        <v>-10194.709999999999</v>
      </c>
      <c r="F403" s="8"/>
    </row>
    <row r="404" spans="2:6" x14ac:dyDescent="0.3">
      <c r="B404" t="s">
        <v>324</v>
      </c>
      <c r="C404" s="135" t="s">
        <v>16</v>
      </c>
      <c r="D404" s="7">
        <v>45824</v>
      </c>
      <c r="E404" s="8">
        <v>-1401.2</v>
      </c>
      <c r="F404" s="8"/>
    </row>
    <row r="405" spans="2:6" x14ac:dyDescent="0.3">
      <c r="B405" t="s">
        <v>324</v>
      </c>
      <c r="C405" s="135" t="s">
        <v>16</v>
      </c>
      <c r="D405" s="7">
        <v>45824</v>
      </c>
      <c r="E405" s="8">
        <v>-39042</v>
      </c>
      <c r="F405" s="8"/>
    </row>
    <row r="406" spans="2:6" x14ac:dyDescent="0.3">
      <c r="B406" t="s">
        <v>324</v>
      </c>
      <c r="C406" s="135" t="s">
        <v>16</v>
      </c>
      <c r="D406" s="7">
        <v>45824</v>
      </c>
      <c r="E406" s="8">
        <v>-16529.18</v>
      </c>
      <c r="F406" s="8"/>
    </row>
    <row r="407" spans="2:6" x14ac:dyDescent="0.3">
      <c r="B407" t="s">
        <v>324</v>
      </c>
      <c r="C407" s="135" t="s">
        <v>16</v>
      </c>
      <c r="D407" s="7">
        <v>45824</v>
      </c>
      <c r="E407" s="8">
        <v>-9904.7999999999993</v>
      </c>
      <c r="F407" s="8"/>
    </row>
    <row r="408" spans="2:6" x14ac:dyDescent="0.3">
      <c r="B408" t="s">
        <v>324</v>
      </c>
      <c r="C408" s="135" t="s">
        <v>333</v>
      </c>
      <c r="D408" s="7">
        <v>45825</v>
      </c>
      <c r="E408" s="8">
        <v>-4567.0600000000004</v>
      </c>
      <c r="F408" s="8"/>
    </row>
    <row r="409" spans="2:6" x14ac:dyDescent="0.3">
      <c r="B409" t="s">
        <v>324</v>
      </c>
      <c r="C409" s="135" t="s">
        <v>333</v>
      </c>
      <c r="D409" s="7">
        <v>45825</v>
      </c>
      <c r="E409" s="8">
        <v>-14358.75</v>
      </c>
      <c r="F409" s="8"/>
    </row>
    <row r="410" spans="2:6" x14ac:dyDescent="0.3">
      <c r="B410" t="s">
        <v>324</v>
      </c>
      <c r="C410" s="135" t="s">
        <v>333</v>
      </c>
      <c r="D410" s="7">
        <v>45825</v>
      </c>
      <c r="E410" s="8">
        <v>-6870.44</v>
      </c>
      <c r="F410" s="8"/>
    </row>
    <row r="411" spans="2:6" x14ac:dyDescent="0.3">
      <c r="B411" t="s">
        <v>324</v>
      </c>
      <c r="C411" s="135" t="s">
        <v>26</v>
      </c>
      <c r="D411" s="7">
        <v>45828</v>
      </c>
      <c r="E411" s="8">
        <v>-172148.89</v>
      </c>
      <c r="F411" s="8"/>
    </row>
    <row r="412" spans="2:6" x14ac:dyDescent="0.3">
      <c r="B412" t="s">
        <v>324</v>
      </c>
      <c r="C412" s="135" t="s">
        <v>334</v>
      </c>
      <c r="D412" s="7">
        <v>45831</v>
      </c>
      <c r="E412" s="8">
        <v>40323.79</v>
      </c>
      <c r="F412" s="8"/>
    </row>
    <row r="413" spans="2:6" x14ac:dyDescent="0.3">
      <c r="B413" t="s">
        <v>324</v>
      </c>
      <c r="C413" s="135" t="s">
        <v>329</v>
      </c>
      <c r="D413" s="7">
        <v>45831</v>
      </c>
      <c r="E413" s="8">
        <v>6646.2</v>
      </c>
      <c r="F413" s="8"/>
    </row>
    <row r="414" spans="2:6" x14ac:dyDescent="0.3">
      <c r="B414" t="s">
        <v>324</v>
      </c>
      <c r="C414" s="135" t="s">
        <v>330</v>
      </c>
      <c r="D414" s="7">
        <v>45831</v>
      </c>
      <c r="E414" s="8">
        <v>4053</v>
      </c>
      <c r="F414" s="8"/>
    </row>
    <row r="415" spans="2:6" x14ac:dyDescent="0.3">
      <c r="B415" t="s">
        <v>324</v>
      </c>
      <c r="C415" s="135" t="s">
        <v>330</v>
      </c>
      <c r="D415" s="7">
        <v>45831</v>
      </c>
      <c r="E415" s="8">
        <v>5862.85</v>
      </c>
      <c r="F415" s="8"/>
    </row>
    <row r="416" spans="2:6" x14ac:dyDescent="0.3">
      <c r="B416" t="s">
        <v>324</v>
      </c>
      <c r="C416" s="135" t="s">
        <v>335</v>
      </c>
      <c r="D416" s="7">
        <v>45831</v>
      </c>
      <c r="E416" s="8">
        <v>1506</v>
      </c>
      <c r="F416" s="8"/>
    </row>
    <row r="417" spans="2:6" x14ac:dyDescent="0.3">
      <c r="B417" t="s">
        <v>324</v>
      </c>
      <c r="C417" s="135" t="s">
        <v>336</v>
      </c>
      <c r="D417" s="7">
        <v>45831</v>
      </c>
      <c r="E417" s="8">
        <v>-20234.400000000001</v>
      </c>
      <c r="F417" s="8"/>
    </row>
    <row r="418" spans="2:6" x14ac:dyDescent="0.3">
      <c r="B418" t="s">
        <v>324</v>
      </c>
      <c r="C418" s="135" t="s">
        <v>336</v>
      </c>
      <c r="D418" s="7">
        <v>45831</v>
      </c>
      <c r="E418" s="8">
        <v>-49662.9</v>
      </c>
      <c r="F418" s="8"/>
    </row>
    <row r="419" spans="2:6" x14ac:dyDescent="0.3">
      <c r="B419" t="s">
        <v>324</v>
      </c>
      <c r="C419" s="135" t="s">
        <v>326</v>
      </c>
      <c r="D419" s="7">
        <v>45835</v>
      </c>
      <c r="E419" s="8">
        <v>3555.21</v>
      </c>
      <c r="F419" s="8"/>
    </row>
    <row r="420" spans="2:6" x14ac:dyDescent="0.3">
      <c r="B420" t="s">
        <v>324</v>
      </c>
      <c r="C420" s="135" t="s">
        <v>337</v>
      </c>
      <c r="D420" s="7">
        <v>45835</v>
      </c>
      <c r="E420" s="8">
        <v>4317.0200000000004</v>
      </c>
      <c r="F420" s="8"/>
    </row>
    <row r="421" spans="2:6" x14ac:dyDescent="0.3">
      <c r="B421" t="s">
        <v>324</v>
      </c>
      <c r="C421" s="135" t="s">
        <v>338</v>
      </c>
      <c r="D421" s="7">
        <v>45835</v>
      </c>
      <c r="E421" s="8">
        <v>2458.15</v>
      </c>
      <c r="F421" s="8"/>
    </row>
    <row r="422" spans="2:6" x14ac:dyDescent="0.3">
      <c r="B422" t="s">
        <v>324</v>
      </c>
      <c r="C422" s="135" t="s">
        <v>338</v>
      </c>
      <c r="D422" s="7">
        <v>45835</v>
      </c>
      <c r="E422" s="8">
        <v>4388.3999999999996</v>
      </c>
      <c r="F422" s="8"/>
    </row>
    <row r="423" spans="2:6" x14ac:dyDescent="0.3">
      <c r="B423" t="s">
        <v>324</v>
      </c>
      <c r="C423" s="44">
        <v>20250630</v>
      </c>
      <c r="D423" s="7">
        <v>45838</v>
      </c>
      <c r="E423" s="8">
        <v>1320</v>
      </c>
      <c r="F423" s="8"/>
    </row>
    <row r="424" spans="2:6" x14ac:dyDescent="0.3">
      <c r="B424" t="s">
        <v>339</v>
      </c>
      <c r="C424" s="135" t="s">
        <v>340</v>
      </c>
      <c r="D424" s="7">
        <v>45828</v>
      </c>
      <c r="E424" s="8">
        <v>34757.1</v>
      </c>
      <c r="F424" s="8"/>
    </row>
    <row r="425" spans="2:6" x14ac:dyDescent="0.3">
      <c r="B425" t="s">
        <v>341</v>
      </c>
      <c r="C425" s="135" t="s">
        <v>342</v>
      </c>
      <c r="D425" s="7">
        <v>45797</v>
      </c>
      <c r="E425" s="8">
        <v>22000</v>
      </c>
      <c r="F425" s="8"/>
    </row>
    <row r="426" spans="2:6" x14ac:dyDescent="0.3">
      <c r="B426" t="s">
        <v>343</v>
      </c>
      <c r="C426" s="135" t="s">
        <v>344</v>
      </c>
      <c r="D426" s="7">
        <v>45820</v>
      </c>
      <c r="E426" s="8">
        <v>-10557.02</v>
      </c>
      <c r="F426" s="8"/>
    </row>
    <row r="427" spans="2:6" x14ac:dyDescent="0.3">
      <c r="B427" t="s">
        <v>345</v>
      </c>
      <c r="C427" s="12">
        <v>11569</v>
      </c>
      <c r="D427" s="7">
        <v>45824</v>
      </c>
      <c r="E427" s="8">
        <v>-9900</v>
      </c>
      <c r="F427" s="8"/>
    </row>
    <row r="428" spans="2:6" x14ac:dyDescent="0.3">
      <c r="B428" t="s">
        <v>346</v>
      </c>
      <c r="C428" s="44">
        <v>20250630</v>
      </c>
      <c r="D428" s="7">
        <v>45838</v>
      </c>
      <c r="E428" s="8">
        <v>13564.65</v>
      </c>
      <c r="F428" s="8"/>
    </row>
    <row r="429" spans="2:6" x14ac:dyDescent="0.3">
      <c r="B429" t="s">
        <v>347</v>
      </c>
      <c r="C429" s="135" t="s">
        <v>348</v>
      </c>
      <c r="D429" s="7">
        <v>45728</v>
      </c>
      <c r="E429" s="8">
        <v>1917.02</v>
      </c>
      <c r="F429" s="8"/>
    </row>
    <row r="430" spans="2:6" x14ac:dyDescent="0.3">
      <c r="B430" t="s">
        <v>347</v>
      </c>
      <c r="C430" s="135" t="s">
        <v>349</v>
      </c>
      <c r="D430" s="7">
        <v>45742</v>
      </c>
      <c r="E430" s="8">
        <v>1329.61</v>
      </c>
      <c r="F430" s="8"/>
    </row>
    <row r="431" spans="2:6" x14ac:dyDescent="0.3">
      <c r="B431" t="s">
        <v>350</v>
      </c>
      <c r="C431" s="44">
        <v>25017885541</v>
      </c>
      <c r="D431" s="7">
        <v>45685</v>
      </c>
      <c r="E431" s="8">
        <v>118.99</v>
      </c>
      <c r="F431" s="8"/>
    </row>
    <row r="432" spans="2:6" x14ac:dyDescent="0.3">
      <c r="B432" t="s">
        <v>350</v>
      </c>
      <c r="C432" s="44">
        <v>25017885542</v>
      </c>
      <c r="D432" s="7">
        <v>45685</v>
      </c>
      <c r="E432" s="8">
        <v>118.99</v>
      </c>
      <c r="F432" s="8"/>
    </row>
    <row r="433" spans="2:6" x14ac:dyDescent="0.3">
      <c r="B433" t="s">
        <v>350</v>
      </c>
      <c r="C433" s="44">
        <v>25017929001</v>
      </c>
      <c r="D433" s="7">
        <v>45698</v>
      </c>
      <c r="E433" s="8">
        <v>366.37</v>
      </c>
      <c r="F433" s="8"/>
    </row>
    <row r="434" spans="2:6" x14ac:dyDescent="0.3">
      <c r="B434" t="s">
        <v>350</v>
      </c>
      <c r="C434" s="44">
        <v>25017929002</v>
      </c>
      <c r="D434" s="7">
        <v>45698</v>
      </c>
      <c r="E434" s="8">
        <v>366.37</v>
      </c>
      <c r="F434" s="8"/>
    </row>
    <row r="435" spans="2:6" s="11" customFormat="1" x14ac:dyDescent="0.3">
      <c r="B435" t="s">
        <v>350</v>
      </c>
      <c r="C435" s="44">
        <v>25017929003</v>
      </c>
      <c r="D435" s="7">
        <v>45698</v>
      </c>
      <c r="E435" s="8">
        <v>366.37</v>
      </c>
      <c r="F435" s="8"/>
    </row>
    <row r="436" spans="2:6" x14ac:dyDescent="0.3">
      <c r="B436" t="s">
        <v>350</v>
      </c>
      <c r="C436" s="44">
        <v>25018106058</v>
      </c>
      <c r="D436" s="7">
        <v>45698</v>
      </c>
      <c r="E436" s="8">
        <v>113.08</v>
      </c>
      <c r="F436" s="8"/>
    </row>
    <row r="437" spans="2:6" x14ac:dyDescent="0.3">
      <c r="B437" t="s">
        <v>350</v>
      </c>
      <c r="C437" s="44">
        <v>25018106059</v>
      </c>
      <c r="D437" s="7">
        <v>45698</v>
      </c>
      <c r="E437" s="8">
        <v>113.08</v>
      </c>
      <c r="F437" s="8"/>
    </row>
    <row r="438" spans="2:6" x14ac:dyDescent="0.3">
      <c r="B438" t="s">
        <v>350</v>
      </c>
      <c r="C438" s="135" t="s">
        <v>351</v>
      </c>
      <c r="D438" s="7">
        <v>45698</v>
      </c>
      <c r="E438" s="8">
        <v>1563.25</v>
      </c>
      <c r="F438" s="8"/>
    </row>
    <row r="439" spans="2:6" s="11" customFormat="1" x14ac:dyDescent="0.3">
      <c r="B439" t="s">
        <v>350</v>
      </c>
      <c r="C439" s="135" t="s">
        <v>352</v>
      </c>
      <c r="D439" s="7">
        <v>45712</v>
      </c>
      <c r="E439" s="8">
        <v>3418.21</v>
      </c>
      <c r="F439" s="8"/>
    </row>
    <row r="440" spans="2:6" x14ac:dyDescent="0.3">
      <c r="B440" t="s">
        <v>350</v>
      </c>
      <c r="C440" s="135" t="s">
        <v>353</v>
      </c>
      <c r="D440" s="7">
        <v>45810</v>
      </c>
      <c r="E440" s="8">
        <v>151.77000000000001</v>
      </c>
      <c r="F440" s="8"/>
    </row>
    <row r="441" spans="2:6" x14ac:dyDescent="0.3">
      <c r="B441" t="s">
        <v>350</v>
      </c>
      <c r="C441" s="44">
        <v>25069285680</v>
      </c>
      <c r="D441" s="7">
        <v>45810</v>
      </c>
      <c r="E441" s="8">
        <v>225.49</v>
      </c>
      <c r="F441" s="8"/>
    </row>
    <row r="442" spans="2:6" x14ac:dyDescent="0.3">
      <c r="B442" t="s">
        <v>354</v>
      </c>
      <c r="C442" s="135" t="s">
        <v>355</v>
      </c>
      <c r="D442" s="7">
        <v>45798</v>
      </c>
      <c r="E442" s="8">
        <v>-1248.3699999999999</v>
      </c>
      <c r="F442" s="8"/>
    </row>
    <row r="443" spans="2:6" x14ac:dyDescent="0.3">
      <c r="B443" t="s">
        <v>356</v>
      </c>
      <c r="C443" s="135" t="s">
        <v>357</v>
      </c>
      <c r="D443" s="7">
        <v>45588</v>
      </c>
      <c r="E443" s="8">
        <v>8862</v>
      </c>
      <c r="F443" s="8"/>
    </row>
    <row r="444" spans="2:6" x14ac:dyDescent="0.3">
      <c r="B444" t="s">
        <v>356</v>
      </c>
      <c r="C444" s="135" t="s">
        <v>357</v>
      </c>
      <c r="D444" s="7">
        <v>45588</v>
      </c>
      <c r="E444" s="8">
        <v>6263</v>
      </c>
      <c r="F444" s="8"/>
    </row>
    <row r="445" spans="2:6" x14ac:dyDescent="0.3">
      <c r="B445" t="s">
        <v>356</v>
      </c>
      <c r="C445" s="135" t="s">
        <v>358</v>
      </c>
      <c r="D445" s="7">
        <v>45607</v>
      </c>
      <c r="E445" s="8">
        <v>87.85</v>
      </c>
      <c r="F445" s="8"/>
    </row>
    <row r="446" spans="2:6" x14ac:dyDescent="0.3">
      <c r="B446" t="s">
        <v>356</v>
      </c>
      <c r="C446" s="135" t="s">
        <v>358</v>
      </c>
      <c r="D446" s="7">
        <v>45607</v>
      </c>
      <c r="E446" s="8">
        <v>4588</v>
      </c>
      <c r="F446" s="8"/>
    </row>
    <row r="447" spans="2:6" x14ac:dyDescent="0.3">
      <c r="B447" t="s">
        <v>356</v>
      </c>
      <c r="C447" s="135" t="s">
        <v>359</v>
      </c>
      <c r="D447" s="7">
        <v>45659</v>
      </c>
      <c r="E447" s="8">
        <v>4412</v>
      </c>
      <c r="F447" s="8"/>
    </row>
    <row r="448" spans="2:6" x14ac:dyDescent="0.3">
      <c r="B448" t="s">
        <v>356</v>
      </c>
      <c r="C448" s="135" t="s">
        <v>359</v>
      </c>
      <c r="D448" s="7">
        <v>45659</v>
      </c>
      <c r="E448" s="8">
        <v>4412</v>
      </c>
      <c r="F448" s="8"/>
    </row>
    <row r="449" spans="2:6" x14ac:dyDescent="0.3">
      <c r="B449" t="s">
        <v>356</v>
      </c>
      <c r="C449" s="135" t="s">
        <v>359</v>
      </c>
      <c r="D449" s="7">
        <v>45659</v>
      </c>
      <c r="E449" s="8">
        <v>4412</v>
      </c>
      <c r="F449" s="8"/>
    </row>
    <row r="450" spans="2:6" x14ac:dyDescent="0.3">
      <c r="B450" t="s">
        <v>356</v>
      </c>
      <c r="C450" s="135" t="s">
        <v>360</v>
      </c>
      <c r="D450" s="7">
        <v>45659</v>
      </c>
      <c r="E450" s="8">
        <v>1527</v>
      </c>
      <c r="F450" s="8"/>
    </row>
    <row r="451" spans="2:6" x14ac:dyDescent="0.3">
      <c r="B451" t="s">
        <v>356</v>
      </c>
      <c r="C451" s="135" t="s">
        <v>360</v>
      </c>
      <c r="D451" s="7">
        <v>45659</v>
      </c>
      <c r="E451" s="8">
        <v>1527</v>
      </c>
      <c r="F451" s="8"/>
    </row>
    <row r="452" spans="2:6" x14ac:dyDescent="0.3">
      <c r="B452" t="s">
        <v>356</v>
      </c>
      <c r="C452" s="135" t="s">
        <v>360</v>
      </c>
      <c r="D452" s="7">
        <v>45659</v>
      </c>
      <c r="E452" s="8">
        <v>1528</v>
      </c>
      <c r="F452" s="8"/>
    </row>
    <row r="453" spans="2:6" x14ac:dyDescent="0.3">
      <c r="B453" t="s">
        <v>356</v>
      </c>
      <c r="C453" s="135" t="s">
        <v>361</v>
      </c>
      <c r="D453" s="7">
        <v>45660</v>
      </c>
      <c r="E453" s="8">
        <v>950</v>
      </c>
      <c r="F453" s="8"/>
    </row>
    <row r="454" spans="2:6" x14ac:dyDescent="0.3">
      <c r="B454" t="s">
        <v>356</v>
      </c>
      <c r="C454" s="135" t="s">
        <v>362</v>
      </c>
      <c r="D454" s="7">
        <v>45660</v>
      </c>
      <c r="E454" s="8">
        <v>9350</v>
      </c>
      <c r="F454" s="8"/>
    </row>
    <row r="455" spans="2:6" x14ac:dyDescent="0.3">
      <c r="B455" t="s">
        <v>356</v>
      </c>
      <c r="C455" s="135" t="s">
        <v>363</v>
      </c>
      <c r="D455" s="7">
        <v>45663</v>
      </c>
      <c r="E455" s="8">
        <v>34</v>
      </c>
      <c r="F455" s="8"/>
    </row>
    <row r="456" spans="2:6" x14ac:dyDescent="0.3">
      <c r="B456" t="s">
        <v>356</v>
      </c>
      <c r="C456" s="135" t="s">
        <v>363</v>
      </c>
      <c r="D456" s="7">
        <v>45663</v>
      </c>
      <c r="E456" s="8">
        <v>33</v>
      </c>
      <c r="F456" s="8"/>
    </row>
    <row r="457" spans="2:6" x14ac:dyDescent="0.3">
      <c r="B457" t="s">
        <v>356</v>
      </c>
      <c r="C457" s="135" t="s">
        <v>363</v>
      </c>
      <c r="D457" s="7">
        <v>45663</v>
      </c>
      <c r="E457" s="8">
        <v>33</v>
      </c>
      <c r="F457" s="8"/>
    </row>
    <row r="458" spans="2:6" x14ac:dyDescent="0.3">
      <c r="B458" t="s">
        <v>356</v>
      </c>
      <c r="C458" s="135" t="s">
        <v>364</v>
      </c>
      <c r="D458" s="7">
        <v>45663</v>
      </c>
      <c r="E458" s="8">
        <v>33</v>
      </c>
      <c r="F458" s="8"/>
    </row>
    <row r="459" spans="2:6" x14ac:dyDescent="0.3">
      <c r="B459" t="s">
        <v>356</v>
      </c>
      <c r="C459" s="135" t="s">
        <v>364</v>
      </c>
      <c r="D459" s="7">
        <v>45663</v>
      </c>
      <c r="E459" s="8">
        <v>34</v>
      </c>
      <c r="F459" s="8"/>
    </row>
    <row r="460" spans="2:6" x14ac:dyDescent="0.3">
      <c r="B460" t="s">
        <v>356</v>
      </c>
      <c r="C460" s="135" t="s">
        <v>364</v>
      </c>
      <c r="D460" s="7">
        <v>45663</v>
      </c>
      <c r="E460" s="8">
        <v>33</v>
      </c>
      <c r="F460" s="8"/>
    </row>
    <row r="461" spans="2:6" x14ac:dyDescent="0.3">
      <c r="B461" t="s">
        <v>356</v>
      </c>
      <c r="C461" s="135" t="s">
        <v>365</v>
      </c>
      <c r="D461" s="7">
        <v>45663</v>
      </c>
      <c r="E461" s="8">
        <v>25</v>
      </c>
      <c r="F461" s="8"/>
    </row>
    <row r="462" spans="2:6" x14ac:dyDescent="0.3">
      <c r="B462" t="s">
        <v>356</v>
      </c>
      <c r="C462" s="135" t="s">
        <v>365</v>
      </c>
      <c r="D462" s="7">
        <v>45663</v>
      </c>
      <c r="E462" s="8">
        <v>25</v>
      </c>
      <c r="F462" s="8"/>
    </row>
    <row r="463" spans="2:6" x14ac:dyDescent="0.3">
      <c r="B463" t="s">
        <v>356</v>
      </c>
      <c r="C463" s="135" t="s">
        <v>365</v>
      </c>
      <c r="D463" s="7">
        <v>45663</v>
      </c>
      <c r="E463" s="8">
        <v>25</v>
      </c>
      <c r="F463" s="8"/>
    </row>
    <row r="464" spans="2:6" x14ac:dyDescent="0.3">
      <c r="B464" t="s">
        <v>356</v>
      </c>
      <c r="C464" s="135" t="s">
        <v>365</v>
      </c>
      <c r="D464" s="7">
        <v>45663</v>
      </c>
      <c r="E464" s="8">
        <v>25</v>
      </c>
      <c r="F464" s="8"/>
    </row>
    <row r="465" spans="2:6" x14ac:dyDescent="0.3">
      <c r="B465" t="s">
        <v>356</v>
      </c>
      <c r="C465" s="135" t="s">
        <v>366</v>
      </c>
      <c r="D465" s="7">
        <v>45665</v>
      </c>
      <c r="E465" s="8">
        <v>21385</v>
      </c>
      <c r="F465" s="8"/>
    </row>
    <row r="466" spans="2:6" x14ac:dyDescent="0.3">
      <c r="B466" t="s">
        <v>356</v>
      </c>
      <c r="C466" s="135" t="s">
        <v>367</v>
      </c>
      <c r="D466" s="7">
        <v>45665</v>
      </c>
      <c r="E466" s="8">
        <v>4009</v>
      </c>
      <c r="F466" s="8"/>
    </row>
    <row r="467" spans="2:6" x14ac:dyDescent="0.3">
      <c r="B467" t="s">
        <v>356</v>
      </c>
      <c r="C467" s="135" t="s">
        <v>367</v>
      </c>
      <c r="D467" s="7">
        <v>45665</v>
      </c>
      <c r="E467" s="8">
        <v>4010</v>
      </c>
      <c r="F467" s="8"/>
    </row>
    <row r="468" spans="2:6" x14ac:dyDescent="0.3">
      <c r="B468" t="s">
        <v>356</v>
      </c>
      <c r="C468" s="135" t="s">
        <v>368</v>
      </c>
      <c r="D468" s="7">
        <v>45667</v>
      </c>
      <c r="E468" s="8">
        <v>34</v>
      </c>
      <c r="F468" s="8"/>
    </row>
    <row r="469" spans="2:6" x14ac:dyDescent="0.3">
      <c r="B469" t="s">
        <v>356</v>
      </c>
      <c r="C469" s="135" t="s">
        <v>368</v>
      </c>
      <c r="D469" s="7">
        <v>45667</v>
      </c>
      <c r="E469" s="8">
        <v>33</v>
      </c>
      <c r="F469" s="8"/>
    </row>
    <row r="470" spans="2:6" x14ac:dyDescent="0.3">
      <c r="B470" t="s">
        <v>356</v>
      </c>
      <c r="C470" s="135" t="s">
        <v>368</v>
      </c>
      <c r="D470" s="7">
        <v>45667</v>
      </c>
      <c r="E470" s="8">
        <v>33</v>
      </c>
      <c r="F470" s="8"/>
    </row>
    <row r="471" spans="2:6" x14ac:dyDescent="0.3">
      <c r="B471" t="s">
        <v>356</v>
      </c>
      <c r="C471" s="135" t="s">
        <v>369</v>
      </c>
      <c r="D471" s="7">
        <v>45670</v>
      </c>
      <c r="E471" s="8">
        <v>3587</v>
      </c>
      <c r="F471" s="8"/>
    </row>
    <row r="472" spans="2:6" x14ac:dyDescent="0.3">
      <c r="B472" t="s">
        <v>356</v>
      </c>
      <c r="C472" s="135" t="s">
        <v>370</v>
      </c>
      <c r="D472" s="7">
        <v>45670</v>
      </c>
      <c r="E472" s="8">
        <v>1515</v>
      </c>
      <c r="F472" s="8"/>
    </row>
    <row r="473" spans="2:6" x14ac:dyDescent="0.3">
      <c r="B473" t="s">
        <v>356</v>
      </c>
      <c r="C473" s="135" t="s">
        <v>370</v>
      </c>
      <c r="D473" s="7">
        <v>45670</v>
      </c>
      <c r="E473" s="8">
        <v>1516</v>
      </c>
      <c r="F473" s="8"/>
    </row>
    <row r="474" spans="2:6" x14ac:dyDescent="0.3">
      <c r="B474" t="s">
        <v>356</v>
      </c>
      <c r="C474" s="135" t="s">
        <v>370</v>
      </c>
      <c r="D474" s="7">
        <v>45670</v>
      </c>
      <c r="E474" s="8">
        <v>1516</v>
      </c>
      <c r="F474" s="8"/>
    </row>
    <row r="475" spans="2:6" x14ac:dyDescent="0.3">
      <c r="B475" t="s">
        <v>356</v>
      </c>
      <c r="C475" s="135" t="s">
        <v>371</v>
      </c>
      <c r="D475" s="7">
        <v>45670</v>
      </c>
      <c r="E475" s="8">
        <v>12561</v>
      </c>
      <c r="F475" s="8"/>
    </row>
    <row r="476" spans="2:6" x14ac:dyDescent="0.3">
      <c r="B476" t="s">
        <v>356</v>
      </c>
      <c r="C476" s="135" t="s">
        <v>372</v>
      </c>
      <c r="D476" s="7">
        <v>45670</v>
      </c>
      <c r="E476" s="8">
        <v>12561</v>
      </c>
      <c r="F476" s="8"/>
    </row>
    <row r="477" spans="2:6" x14ac:dyDescent="0.3">
      <c r="B477" t="s">
        <v>356</v>
      </c>
      <c r="C477" s="135" t="s">
        <v>373</v>
      </c>
      <c r="D477" s="7">
        <v>45674</v>
      </c>
      <c r="E477" s="8">
        <v>2556</v>
      </c>
      <c r="F477" s="8"/>
    </row>
    <row r="478" spans="2:6" x14ac:dyDescent="0.3">
      <c r="B478" t="s">
        <v>356</v>
      </c>
      <c r="C478" s="135" t="s">
        <v>373</v>
      </c>
      <c r="D478" s="7">
        <v>45674</v>
      </c>
      <c r="E478" s="8">
        <v>2556</v>
      </c>
      <c r="F478" s="8"/>
    </row>
    <row r="479" spans="2:6" x14ac:dyDescent="0.3">
      <c r="B479" t="s">
        <v>356</v>
      </c>
      <c r="C479" s="135" t="s">
        <v>374</v>
      </c>
      <c r="D479" s="7">
        <v>45674</v>
      </c>
      <c r="E479" s="8">
        <v>34</v>
      </c>
      <c r="F479" s="8"/>
    </row>
    <row r="480" spans="2:6" x14ac:dyDescent="0.3">
      <c r="B480" t="s">
        <v>356</v>
      </c>
      <c r="C480" s="135" t="s">
        <v>374</v>
      </c>
      <c r="D480" s="7">
        <v>45674</v>
      </c>
      <c r="E480" s="8">
        <v>33</v>
      </c>
      <c r="F480" s="8"/>
    </row>
    <row r="481" spans="2:6" x14ac:dyDescent="0.3">
      <c r="B481" t="s">
        <v>356</v>
      </c>
      <c r="C481" s="135" t="s">
        <v>374</v>
      </c>
      <c r="D481" s="7">
        <v>45674</v>
      </c>
      <c r="E481" s="8">
        <v>33</v>
      </c>
      <c r="F481" s="8"/>
    </row>
    <row r="482" spans="2:6" x14ac:dyDescent="0.3">
      <c r="B482" t="s">
        <v>356</v>
      </c>
      <c r="C482" s="135" t="s">
        <v>375</v>
      </c>
      <c r="D482" s="7">
        <v>45679</v>
      </c>
      <c r="E482" s="8">
        <v>3937</v>
      </c>
      <c r="F482" s="8"/>
    </row>
    <row r="483" spans="2:6" x14ac:dyDescent="0.3">
      <c r="B483" t="s">
        <v>356</v>
      </c>
      <c r="C483" s="135" t="s">
        <v>376</v>
      </c>
      <c r="D483" s="7">
        <v>45679</v>
      </c>
      <c r="E483" s="8">
        <v>561</v>
      </c>
      <c r="F483" s="8"/>
    </row>
    <row r="484" spans="2:6" x14ac:dyDescent="0.3">
      <c r="B484" t="s">
        <v>356</v>
      </c>
      <c r="C484" s="135" t="s">
        <v>376</v>
      </c>
      <c r="D484" s="7">
        <v>45679</v>
      </c>
      <c r="E484" s="8">
        <v>561</v>
      </c>
      <c r="F484" s="8"/>
    </row>
    <row r="485" spans="2:6" x14ac:dyDescent="0.3">
      <c r="B485" t="s">
        <v>356</v>
      </c>
      <c r="C485" s="135" t="s">
        <v>376</v>
      </c>
      <c r="D485" s="7">
        <v>45679</v>
      </c>
      <c r="E485" s="8">
        <v>561</v>
      </c>
      <c r="F485" s="8"/>
    </row>
    <row r="486" spans="2:6" x14ac:dyDescent="0.3">
      <c r="B486" t="s">
        <v>356</v>
      </c>
      <c r="C486" s="135" t="s">
        <v>376</v>
      </c>
      <c r="D486" s="7">
        <v>45679</v>
      </c>
      <c r="E486" s="8">
        <v>562</v>
      </c>
      <c r="F486" s="8"/>
    </row>
    <row r="487" spans="2:6" x14ac:dyDescent="0.3">
      <c r="B487" t="s">
        <v>356</v>
      </c>
      <c r="C487" s="135" t="s">
        <v>376</v>
      </c>
      <c r="D487" s="7">
        <v>45679</v>
      </c>
      <c r="E487" s="8">
        <v>561</v>
      </c>
      <c r="F487" s="8"/>
    </row>
    <row r="488" spans="2:6" x14ac:dyDescent="0.3">
      <c r="B488" t="s">
        <v>356</v>
      </c>
      <c r="C488" s="135" t="s">
        <v>376</v>
      </c>
      <c r="D488" s="7">
        <v>45679</v>
      </c>
      <c r="E488" s="8">
        <v>561</v>
      </c>
      <c r="F488" s="8"/>
    </row>
    <row r="489" spans="2:6" x14ac:dyDescent="0.3">
      <c r="B489" t="s">
        <v>356</v>
      </c>
      <c r="C489" s="135" t="s">
        <v>377</v>
      </c>
      <c r="D489" s="7">
        <v>45680</v>
      </c>
      <c r="E489" s="8">
        <v>33</v>
      </c>
      <c r="F489" s="8"/>
    </row>
    <row r="490" spans="2:6" x14ac:dyDescent="0.3">
      <c r="B490" t="s">
        <v>356</v>
      </c>
      <c r="C490" s="135" t="s">
        <v>377</v>
      </c>
      <c r="D490" s="7">
        <v>45680</v>
      </c>
      <c r="E490" s="8">
        <v>33</v>
      </c>
      <c r="F490" s="8"/>
    </row>
    <row r="491" spans="2:6" x14ac:dyDescent="0.3">
      <c r="B491" t="s">
        <v>356</v>
      </c>
      <c r="C491" s="135" t="s">
        <v>377</v>
      </c>
      <c r="D491" s="7">
        <v>45680</v>
      </c>
      <c r="E491" s="8">
        <v>34</v>
      </c>
      <c r="F491" s="8"/>
    </row>
    <row r="492" spans="2:6" x14ac:dyDescent="0.3">
      <c r="B492" t="s">
        <v>356</v>
      </c>
      <c r="C492" s="135" t="s">
        <v>378</v>
      </c>
      <c r="D492" s="7">
        <v>45684</v>
      </c>
      <c r="E492" s="8">
        <v>34</v>
      </c>
      <c r="F492" s="8"/>
    </row>
    <row r="493" spans="2:6" x14ac:dyDescent="0.3">
      <c r="B493" t="s">
        <v>356</v>
      </c>
      <c r="C493" s="135" t="s">
        <v>378</v>
      </c>
      <c r="D493" s="7">
        <v>45684</v>
      </c>
      <c r="E493" s="8">
        <v>33</v>
      </c>
      <c r="F493" s="8"/>
    </row>
    <row r="494" spans="2:6" x14ac:dyDescent="0.3">
      <c r="B494" t="s">
        <v>356</v>
      </c>
      <c r="C494" s="135" t="s">
        <v>378</v>
      </c>
      <c r="D494" s="7">
        <v>45684</v>
      </c>
      <c r="E494" s="8">
        <v>33</v>
      </c>
      <c r="F494" s="8"/>
    </row>
    <row r="495" spans="2:6" x14ac:dyDescent="0.3">
      <c r="B495" t="s">
        <v>356</v>
      </c>
      <c r="C495" s="135" t="s">
        <v>379</v>
      </c>
      <c r="D495" s="7">
        <v>45689</v>
      </c>
      <c r="E495" s="8">
        <v>2875</v>
      </c>
      <c r="F495" s="8"/>
    </row>
    <row r="496" spans="2:6" x14ac:dyDescent="0.3">
      <c r="B496" t="s">
        <v>356</v>
      </c>
      <c r="C496" s="135" t="s">
        <v>380</v>
      </c>
      <c r="D496" s="7">
        <v>45691</v>
      </c>
      <c r="E496" s="8">
        <v>100</v>
      </c>
      <c r="F496" s="8"/>
    </row>
    <row r="497" spans="2:6" x14ac:dyDescent="0.3">
      <c r="B497" t="s">
        <v>356</v>
      </c>
      <c r="C497" s="135" t="s">
        <v>381</v>
      </c>
      <c r="D497" s="7">
        <v>45691</v>
      </c>
      <c r="E497" s="8">
        <v>34</v>
      </c>
      <c r="F497" s="8"/>
    </row>
    <row r="498" spans="2:6" x14ac:dyDescent="0.3">
      <c r="B498" t="s">
        <v>356</v>
      </c>
      <c r="C498" s="135" t="s">
        <v>381</v>
      </c>
      <c r="D498" s="7">
        <v>45691</v>
      </c>
      <c r="E498" s="8">
        <v>33</v>
      </c>
      <c r="F498" s="8"/>
    </row>
    <row r="499" spans="2:6" x14ac:dyDescent="0.3">
      <c r="B499" t="s">
        <v>356</v>
      </c>
      <c r="C499" s="135" t="s">
        <v>381</v>
      </c>
      <c r="D499" s="7">
        <v>45691</v>
      </c>
      <c r="E499" s="8">
        <v>33</v>
      </c>
      <c r="F499" s="8"/>
    </row>
    <row r="500" spans="2:6" x14ac:dyDescent="0.3">
      <c r="B500" t="s">
        <v>356</v>
      </c>
      <c r="C500" s="135" t="s">
        <v>382</v>
      </c>
      <c r="D500" s="7">
        <v>45692</v>
      </c>
      <c r="E500" s="8">
        <v>100</v>
      </c>
      <c r="F500" s="8"/>
    </row>
    <row r="501" spans="2:6" x14ac:dyDescent="0.3">
      <c r="B501" t="s">
        <v>356</v>
      </c>
      <c r="C501" s="135" t="s">
        <v>383</v>
      </c>
      <c r="D501" s="7">
        <v>45692</v>
      </c>
      <c r="E501" s="8">
        <v>100</v>
      </c>
      <c r="F501" s="8"/>
    </row>
    <row r="502" spans="2:6" x14ac:dyDescent="0.3">
      <c r="B502" t="s">
        <v>356</v>
      </c>
      <c r="C502" s="135" t="s">
        <v>384</v>
      </c>
      <c r="D502" s="7">
        <v>45695</v>
      </c>
      <c r="E502" s="8">
        <v>1016</v>
      </c>
      <c r="F502" s="8"/>
    </row>
    <row r="503" spans="2:6" x14ac:dyDescent="0.3">
      <c r="B503" t="s">
        <v>356</v>
      </c>
      <c r="C503" s="135" t="s">
        <v>384</v>
      </c>
      <c r="D503" s="7">
        <v>45695</v>
      </c>
      <c r="E503" s="8">
        <v>1015</v>
      </c>
      <c r="F503" s="8"/>
    </row>
    <row r="504" spans="2:6" x14ac:dyDescent="0.3">
      <c r="B504" t="s">
        <v>356</v>
      </c>
      <c r="C504" s="135" t="s">
        <v>384</v>
      </c>
      <c r="D504" s="7">
        <v>45695</v>
      </c>
      <c r="E504" s="8">
        <v>1016</v>
      </c>
      <c r="F504" s="8"/>
    </row>
    <row r="505" spans="2:6" x14ac:dyDescent="0.3">
      <c r="B505" t="s">
        <v>356</v>
      </c>
      <c r="C505" s="135" t="s">
        <v>384</v>
      </c>
      <c r="D505" s="7">
        <v>45695</v>
      </c>
      <c r="E505" s="8">
        <v>1015</v>
      </c>
      <c r="F505" s="8"/>
    </row>
    <row r="506" spans="2:6" x14ac:dyDescent="0.3">
      <c r="B506" t="s">
        <v>356</v>
      </c>
      <c r="C506" s="135" t="s">
        <v>385</v>
      </c>
      <c r="D506" s="7">
        <v>45695</v>
      </c>
      <c r="E506" s="8">
        <v>1016</v>
      </c>
      <c r="F506" s="8"/>
    </row>
    <row r="507" spans="2:6" x14ac:dyDescent="0.3">
      <c r="B507" t="s">
        <v>356</v>
      </c>
      <c r="C507" s="135" t="s">
        <v>385</v>
      </c>
      <c r="D507" s="7">
        <v>45695</v>
      </c>
      <c r="E507" s="8">
        <v>1015</v>
      </c>
      <c r="F507" s="8"/>
    </row>
    <row r="508" spans="2:6" x14ac:dyDescent="0.3">
      <c r="B508" t="s">
        <v>356</v>
      </c>
      <c r="C508" s="135" t="s">
        <v>385</v>
      </c>
      <c r="D508" s="7">
        <v>45695</v>
      </c>
      <c r="E508" s="8">
        <v>1015</v>
      </c>
      <c r="F508" s="8"/>
    </row>
    <row r="509" spans="2:6" x14ac:dyDescent="0.3">
      <c r="B509" t="s">
        <v>356</v>
      </c>
      <c r="C509" s="135" t="s">
        <v>385</v>
      </c>
      <c r="D509" s="7">
        <v>45695</v>
      </c>
      <c r="E509" s="8">
        <v>1016</v>
      </c>
      <c r="F509" s="8"/>
    </row>
    <row r="510" spans="2:6" x14ac:dyDescent="0.3">
      <c r="B510" t="s">
        <v>356</v>
      </c>
      <c r="C510" s="135" t="s">
        <v>386</v>
      </c>
      <c r="D510" s="7">
        <v>45695</v>
      </c>
      <c r="E510" s="8">
        <v>50</v>
      </c>
      <c r="F510" s="8"/>
    </row>
    <row r="511" spans="2:6" x14ac:dyDescent="0.3">
      <c r="B511" t="s">
        <v>356</v>
      </c>
      <c r="C511" s="135" t="s">
        <v>386</v>
      </c>
      <c r="D511" s="7">
        <v>45695</v>
      </c>
      <c r="E511" s="8">
        <v>50</v>
      </c>
      <c r="F511" s="8"/>
    </row>
    <row r="512" spans="2:6" x14ac:dyDescent="0.3">
      <c r="B512" t="s">
        <v>356</v>
      </c>
      <c r="C512" s="135" t="s">
        <v>387</v>
      </c>
      <c r="D512" s="7">
        <v>45695</v>
      </c>
      <c r="E512" s="8">
        <v>100</v>
      </c>
      <c r="F512" s="8"/>
    </row>
    <row r="513" spans="2:6" x14ac:dyDescent="0.3">
      <c r="B513" t="s">
        <v>356</v>
      </c>
      <c r="C513" s="135" t="s">
        <v>388</v>
      </c>
      <c r="D513" s="7">
        <v>45700</v>
      </c>
      <c r="E513" s="8">
        <v>12861</v>
      </c>
      <c r="F513" s="8"/>
    </row>
    <row r="514" spans="2:6" x14ac:dyDescent="0.3">
      <c r="B514" t="s">
        <v>356</v>
      </c>
      <c r="C514" s="135" t="s">
        <v>389</v>
      </c>
      <c r="D514" s="7">
        <v>45700</v>
      </c>
      <c r="E514" s="8">
        <v>50</v>
      </c>
      <c r="F514" s="8"/>
    </row>
    <row r="515" spans="2:6" x14ac:dyDescent="0.3">
      <c r="B515" t="s">
        <v>356</v>
      </c>
      <c r="C515" s="135" t="s">
        <v>389</v>
      </c>
      <c r="D515" s="7">
        <v>45700</v>
      </c>
      <c r="E515" s="8">
        <v>50</v>
      </c>
      <c r="F515" s="8"/>
    </row>
    <row r="516" spans="2:6" x14ac:dyDescent="0.3">
      <c r="B516" t="s">
        <v>356</v>
      </c>
      <c r="C516" s="135" t="s">
        <v>390</v>
      </c>
      <c r="D516" s="7">
        <v>45701</v>
      </c>
      <c r="E516" s="8">
        <v>100</v>
      </c>
      <c r="F516" s="8"/>
    </row>
    <row r="517" spans="2:6" x14ac:dyDescent="0.3">
      <c r="B517" t="s">
        <v>356</v>
      </c>
      <c r="C517" s="135" t="s">
        <v>391</v>
      </c>
      <c r="D517" s="7">
        <v>45701</v>
      </c>
      <c r="E517" s="8">
        <v>100</v>
      </c>
      <c r="F517" s="8"/>
    </row>
    <row r="518" spans="2:6" x14ac:dyDescent="0.3">
      <c r="B518" t="s">
        <v>356</v>
      </c>
      <c r="C518" s="135" t="s">
        <v>392</v>
      </c>
      <c r="D518" s="7">
        <v>45712</v>
      </c>
      <c r="E518" s="8">
        <v>2765</v>
      </c>
      <c r="F518" s="8"/>
    </row>
    <row r="519" spans="2:6" x14ac:dyDescent="0.3">
      <c r="B519" t="s">
        <v>356</v>
      </c>
      <c r="C519" s="135" t="s">
        <v>393</v>
      </c>
      <c r="D519" s="7">
        <v>45714</v>
      </c>
      <c r="E519" s="8">
        <v>44</v>
      </c>
      <c r="F519" s="8"/>
    </row>
    <row r="520" spans="2:6" x14ac:dyDescent="0.3">
      <c r="B520" t="s">
        <v>356</v>
      </c>
      <c r="C520" s="135" t="s">
        <v>393</v>
      </c>
      <c r="D520" s="7">
        <v>45714</v>
      </c>
      <c r="E520" s="8">
        <v>45</v>
      </c>
      <c r="F520" s="8"/>
    </row>
    <row r="521" spans="2:6" x14ac:dyDescent="0.3">
      <c r="B521" t="s">
        <v>356</v>
      </c>
      <c r="C521" s="135" t="s">
        <v>393</v>
      </c>
      <c r="D521" s="7">
        <v>45714</v>
      </c>
      <c r="E521" s="8">
        <v>45</v>
      </c>
      <c r="F521" s="8"/>
    </row>
    <row r="522" spans="2:6" x14ac:dyDescent="0.3">
      <c r="B522" t="s">
        <v>356</v>
      </c>
      <c r="C522" s="135" t="s">
        <v>393</v>
      </c>
      <c r="D522" s="7">
        <v>45714</v>
      </c>
      <c r="E522" s="8">
        <v>45</v>
      </c>
      <c r="F522" s="8"/>
    </row>
    <row r="523" spans="2:6" x14ac:dyDescent="0.3">
      <c r="B523" t="s">
        <v>356</v>
      </c>
      <c r="C523" s="135" t="s">
        <v>393</v>
      </c>
      <c r="D523" s="7">
        <v>45714</v>
      </c>
      <c r="E523" s="8">
        <v>45</v>
      </c>
      <c r="F523" s="8"/>
    </row>
    <row r="524" spans="2:6" x14ac:dyDescent="0.3">
      <c r="B524" t="s">
        <v>356</v>
      </c>
      <c r="C524" s="135" t="s">
        <v>393</v>
      </c>
      <c r="D524" s="7">
        <v>45714</v>
      </c>
      <c r="E524" s="8">
        <v>44.61</v>
      </c>
      <c r="F524" s="8"/>
    </row>
    <row r="525" spans="2:6" x14ac:dyDescent="0.3">
      <c r="B525" t="s">
        <v>356</v>
      </c>
      <c r="C525" s="135" t="s">
        <v>394</v>
      </c>
      <c r="D525" s="7">
        <v>45714</v>
      </c>
      <c r="E525" s="8">
        <v>100</v>
      </c>
      <c r="F525" s="8"/>
    </row>
    <row r="526" spans="2:6" x14ac:dyDescent="0.3">
      <c r="B526" t="s">
        <v>356</v>
      </c>
      <c r="C526" s="135" t="s">
        <v>395</v>
      </c>
      <c r="D526" s="7">
        <v>45715</v>
      </c>
      <c r="E526" s="8">
        <v>25</v>
      </c>
      <c r="F526" s="8"/>
    </row>
    <row r="527" spans="2:6" x14ac:dyDescent="0.3">
      <c r="B527" t="s">
        <v>356</v>
      </c>
      <c r="C527" s="135" t="s">
        <v>395</v>
      </c>
      <c r="D527" s="7">
        <v>45715</v>
      </c>
      <c r="E527" s="8">
        <v>25</v>
      </c>
      <c r="F527" s="8"/>
    </row>
    <row r="528" spans="2:6" x14ac:dyDescent="0.3">
      <c r="B528" t="s">
        <v>356</v>
      </c>
      <c r="C528" s="135" t="s">
        <v>395</v>
      </c>
      <c r="D528" s="7">
        <v>45715</v>
      </c>
      <c r="E528" s="8">
        <v>25</v>
      </c>
      <c r="F528" s="8"/>
    </row>
    <row r="529" spans="2:6" x14ac:dyDescent="0.3">
      <c r="B529" t="s">
        <v>356</v>
      </c>
      <c r="C529" s="135" t="s">
        <v>395</v>
      </c>
      <c r="D529" s="7">
        <v>45715</v>
      </c>
      <c r="E529" s="8">
        <v>25</v>
      </c>
      <c r="F529" s="8"/>
    </row>
    <row r="530" spans="2:6" x14ac:dyDescent="0.3">
      <c r="B530" t="s">
        <v>356</v>
      </c>
      <c r="C530" s="135" t="s">
        <v>396</v>
      </c>
      <c r="D530" s="7">
        <v>45715</v>
      </c>
      <c r="E530" s="8">
        <v>25</v>
      </c>
      <c r="F530" s="8"/>
    </row>
    <row r="531" spans="2:6" x14ac:dyDescent="0.3">
      <c r="B531" t="s">
        <v>356</v>
      </c>
      <c r="C531" s="135" t="s">
        <v>396</v>
      </c>
      <c r="D531" s="7">
        <v>45715</v>
      </c>
      <c r="E531" s="8">
        <v>25</v>
      </c>
      <c r="F531" s="8"/>
    </row>
    <row r="532" spans="2:6" x14ac:dyDescent="0.3">
      <c r="B532" t="s">
        <v>356</v>
      </c>
      <c r="C532" s="135" t="s">
        <v>396</v>
      </c>
      <c r="D532" s="7">
        <v>45715</v>
      </c>
      <c r="E532" s="8">
        <v>25</v>
      </c>
      <c r="F532" s="8"/>
    </row>
    <row r="533" spans="2:6" x14ac:dyDescent="0.3">
      <c r="B533" t="s">
        <v>356</v>
      </c>
      <c r="C533" s="135" t="s">
        <v>396</v>
      </c>
      <c r="D533" s="7">
        <v>45715</v>
      </c>
      <c r="E533" s="8">
        <v>25</v>
      </c>
      <c r="F533" s="8"/>
    </row>
    <row r="534" spans="2:6" x14ac:dyDescent="0.3">
      <c r="B534" t="s">
        <v>356</v>
      </c>
      <c r="C534" s="135" t="s">
        <v>397</v>
      </c>
      <c r="D534" s="7">
        <v>45721</v>
      </c>
      <c r="E534" s="8">
        <v>8425</v>
      </c>
      <c r="F534" s="8"/>
    </row>
    <row r="535" spans="2:6" x14ac:dyDescent="0.3">
      <c r="B535" t="s">
        <v>356</v>
      </c>
      <c r="C535" s="135" t="s">
        <v>398</v>
      </c>
      <c r="D535" s="7">
        <v>45722</v>
      </c>
      <c r="E535" s="8">
        <v>2912</v>
      </c>
      <c r="F535" s="8"/>
    </row>
    <row r="536" spans="2:6" x14ac:dyDescent="0.3">
      <c r="B536" t="s">
        <v>356</v>
      </c>
      <c r="C536" s="135" t="s">
        <v>399</v>
      </c>
      <c r="D536" s="7">
        <v>45723</v>
      </c>
      <c r="E536" s="8">
        <v>4785</v>
      </c>
      <c r="F536" s="8"/>
    </row>
    <row r="537" spans="2:6" x14ac:dyDescent="0.3">
      <c r="B537" t="s">
        <v>356</v>
      </c>
      <c r="C537" s="135" t="s">
        <v>400</v>
      </c>
      <c r="D537" s="7">
        <v>45723</v>
      </c>
      <c r="E537" s="8">
        <v>3825</v>
      </c>
      <c r="F537" s="8"/>
    </row>
    <row r="538" spans="2:6" x14ac:dyDescent="0.3">
      <c r="B538" t="s">
        <v>356</v>
      </c>
      <c r="C538" s="135" t="s">
        <v>401</v>
      </c>
      <c r="D538" s="7">
        <v>45726</v>
      </c>
      <c r="E538" s="8">
        <v>1202.8399999999999</v>
      </c>
      <c r="F538" s="8"/>
    </row>
    <row r="539" spans="2:6" x14ac:dyDescent="0.3">
      <c r="B539" t="s">
        <v>356</v>
      </c>
      <c r="C539" s="135" t="s">
        <v>402</v>
      </c>
      <c r="D539" s="7">
        <v>45726</v>
      </c>
      <c r="E539" s="8">
        <v>352.72</v>
      </c>
      <c r="F539" s="8"/>
    </row>
    <row r="540" spans="2:6" x14ac:dyDescent="0.3">
      <c r="B540" t="s">
        <v>356</v>
      </c>
      <c r="C540" s="135" t="s">
        <v>403</v>
      </c>
      <c r="D540" s="7">
        <v>45727</v>
      </c>
      <c r="E540" s="8">
        <v>50</v>
      </c>
      <c r="F540" s="8"/>
    </row>
    <row r="541" spans="2:6" x14ac:dyDescent="0.3">
      <c r="B541" t="s">
        <v>356</v>
      </c>
      <c r="C541" s="135" t="s">
        <v>403</v>
      </c>
      <c r="D541" s="7">
        <v>45727</v>
      </c>
      <c r="E541" s="8">
        <v>50</v>
      </c>
      <c r="F541" s="8"/>
    </row>
    <row r="542" spans="2:6" x14ac:dyDescent="0.3">
      <c r="B542" t="s">
        <v>356</v>
      </c>
      <c r="C542" s="135" t="s">
        <v>404</v>
      </c>
      <c r="D542" s="7">
        <v>45741</v>
      </c>
      <c r="E542" s="8">
        <v>6525.71</v>
      </c>
      <c r="F542" s="8"/>
    </row>
    <row r="543" spans="2:6" x14ac:dyDescent="0.3">
      <c r="B543" t="s">
        <v>356</v>
      </c>
      <c r="C543" s="135" t="s">
        <v>405</v>
      </c>
      <c r="D543" s="7">
        <v>45742</v>
      </c>
      <c r="E543" s="8">
        <v>4775</v>
      </c>
      <c r="F543" s="8"/>
    </row>
    <row r="544" spans="2:6" x14ac:dyDescent="0.3">
      <c r="B544" t="s">
        <v>356</v>
      </c>
      <c r="C544" s="135" t="s">
        <v>406</v>
      </c>
      <c r="D544" s="7">
        <v>45742</v>
      </c>
      <c r="E544" s="8">
        <v>5195</v>
      </c>
      <c r="F544" s="8"/>
    </row>
    <row r="545" spans="2:6" x14ac:dyDescent="0.3">
      <c r="B545" t="s">
        <v>356</v>
      </c>
      <c r="C545" s="135" t="s">
        <v>407</v>
      </c>
      <c r="D545" s="7">
        <v>45742</v>
      </c>
      <c r="E545" s="8">
        <v>4775</v>
      </c>
      <c r="F545" s="8"/>
    </row>
    <row r="546" spans="2:6" x14ac:dyDescent="0.3">
      <c r="B546" t="s">
        <v>356</v>
      </c>
      <c r="C546" s="135" t="s">
        <v>408</v>
      </c>
      <c r="D546" s="7">
        <v>45742</v>
      </c>
      <c r="E546" s="8">
        <v>5195.8</v>
      </c>
      <c r="F546" s="8"/>
    </row>
    <row r="547" spans="2:6" x14ac:dyDescent="0.3">
      <c r="B547" t="s">
        <v>356</v>
      </c>
      <c r="C547" s="135" t="s">
        <v>409</v>
      </c>
      <c r="D547" s="7">
        <v>45778</v>
      </c>
      <c r="E547" s="8">
        <v>2535</v>
      </c>
      <c r="F547" s="8"/>
    </row>
    <row r="548" spans="2:6" x14ac:dyDescent="0.3">
      <c r="B548" t="s">
        <v>356</v>
      </c>
      <c r="C548" s="135" t="s">
        <v>410</v>
      </c>
      <c r="D548" s="7">
        <v>45813</v>
      </c>
      <c r="E548" s="8">
        <v>125</v>
      </c>
      <c r="F548" s="8"/>
    </row>
    <row r="549" spans="2:6" x14ac:dyDescent="0.3">
      <c r="B549" t="s">
        <v>356</v>
      </c>
      <c r="C549" s="135" t="s">
        <v>411</v>
      </c>
      <c r="D549" s="7">
        <v>45813</v>
      </c>
      <c r="E549" s="8">
        <v>623.91999999999996</v>
      </c>
      <c r="F549" s="8"/>
    </row>
    <row r="550" spans="2:6" x14ac:dyDescent="0.3">
      <c r="B550" t="s">
        <v>356</v>
      </c>
      <c r="C550" s="135" t="s">
        <v>411</v>
      </c>
      <c r="D550" s="7">
        <v>45813</v>
      </c>
      <c r="E550" s="8">
        <v>624</v>
      </c>
      <c r="F550" s="8"/>
    </row>
    <row r="551" spans="2:6" x14ac:dyDescent="0.3">
      <c r="B551" t="s">
        <v>356</v>
      </c>
      <c r="C551" s="135" t="s">
        <v>411</v>
      </c>
      <c r="D551" s="7">
        <v>45813</v>
      </c>
      <c r="E551" s="8">
        <v>624</v>
      </c>
      <c r="F551" s="8"/>
    </row>
    <row r="552" spans="2:6" x14ac:dyDescent="0.3">
      <c r="B552" t="s">
        <v>356</v>
      </c>
      <c r="C552" s="135" t="s">
        <v>411</v>
      </c>
      <c r="D552" s="7">
        <v>45813</v>
      </c>
      <c r="E552" s="8">
        <v>624</v>
      </c>
      <c r="F552" s="8"/>
    </row>
    <row r="553" spans="2:6" x14ac:dyDescent="0.3">
      <c r="B553" t="s">
        <v>356</v>
      </c>
      <c r="C553" s="135" t="s">
        <v>411</v>
      </c>
      <c r="D553" s="7">
        <v>45813</v>
      </c>
      <c r="E553" s="8">
        <v>624</v>
      </c>
      <c r="F553" s="8"/>
    </row>
    <row r="554" spans="2:6" x14ac:dyDescent="0.3">
      <c r="B554" t="s">
        <v>356</v>
      </c>
      <c r="C554" s="135" t="s">
        <v>411</v>
      </c>
      <c r="D554" s="7">
        <v>45813</v>
      </c>
      <c r="E554" s="8">
        <v>624</v>
      </c>
      <c r="F554" s="8"/>
    </row>
    <row r="555" spans="2:6" x14ac:dyDescent="0.3">
      <c r="B555" t="s">
        <v>356</v>
      </c>
      <c r="C555" s="135" t="s">
        <v>412</v>
      </c>
      <c r="D555" s="7">
        <v>45813</v>
      </c>
      <c r="E555" s="8">
        <v>3760</v>
      </c>
      <c r="F555" s="8"/>
    </row>
    <row r="556" spans="2:6" x14ac:dyDescent="0.3">
      <c r="B556" t="s">
        <v>356</v>
      </c>
      <c r="C556" s="135" t="s">
        <v>413</v>
      </c>
      <c r="D556" s="7">
        <v>45813</v>
      </c>
      <c r="E556" s="8">
        <v>3760</v>
      </c>
      <c r="F556" s="8"/>
    </row>
    <row r="557" spans="2:6" x14ac:dyDescent="0.3">
      <c r="B557" t="s">
        <v>356</v>
      </c>
      <c r="C557" s="135" t="s">
        <v>414</v>
      </c>
      <c r="D557" s="7">
        <v>45813</v>
      </c>
      <c r="E557" s="8">
        <v>42</v>
      </c>
      <c r="F557" s="8"/>
    </row>
    <row r="558" spans="2:6" x14ac:dyDescent="0.3">
      <c r="B558" t="s">
        <v>356</v>
      </c>
      <c r="C558" s="135" t="s">
        <v>414</v>
      </c>
      <c r="D558" s="7">
        <v>45813</v>
      </c>
      <c r="E558" s="8">
        <v>42</v>
      </c>
      <c r="F558" s="8"/>
    </row>
    <row r="559" spans="2:6" x14ac:dyDescent="0.3">
      <c r="B559" t="s">
        <v>356</v>
      </c>
      <c r="C559" s="135" t="s">
        <v>414</v>
      </c>
      <c r="D559" s="7">
        <v>45813</v>
      </c>
      <c r="E559" s="8">
        <v>41</v>
      </c>
      <c r="F559" s="8"/>
    </row>
    <row r="560" spans="2:6" x14ac:dyDescent="0.3">
      <c r="B560" t="s">
        <v>356</v>
      </c>
      <c r="C560" s="135" t="s">
        <v>415</v>
      </c>
      <c r="D560" s="7">
        <v>45813</v>
      </c>
      <c r="E560" s="8">
        <v>42</v>
      </c>
      <c r="F560" s="8"/>
    </row>
    <row r="561" spans="2:6" x14ac:dyDescent="0.3">
      <c r="B561" t="s">
        <v>356</v>
      </c>
      <c r="C561" s="135" t="s">
        <v>415</v>
      </c>
      <c r="D561" s="7">
        <v>45813</v>
      </c>
      <c r="E561" s="8">
        <v>41</v>
      </c>
      <c r="F561" s="8"/>
    </row>
    <row r="562" spans="2:6" x14ac:dyDescent="0.3">
      <c r="B562" t="s">
        <v>356</v>
      </c>
      <c r="C562" s="135" t="s">
        <v>415</v>
      </c>
      <c r="D562" s="7">
        <v>45813</v>
      </c>
      <c r="E562" s="8">
        <v>42</v>
      </c>
      <c r="F562" s="8"/>
    </row>
    <row r="563" spans="2:6" x14ac:dyDescent="0.3">
      <c r="B563" t="s">
        <v>356</v>
      </c>
      <c r="C563" s="135" t="s">
        <v>416</v>
      </c>
      <c r="D563" s="7">
        <v>45813</v>
      </c>
      <c r="E563" s="8">
        <v>147</v>
      </c>
      <c r="F563" s="8"/>
    </row>
    <row r="564" spans="2:6" x14ac:dyDescent="0.3">
      <c r="B564" t="s">
        <v>356</v>
      </c>
      <c r="C564" s="135" t="s">
        <v>416</v>
      </c>
      <c r="D564" s="7">
        <v>45813</v>
      </c>
      <c r="E564" s="8">
        <v>146.61000000000001</v>
      </c>
      <c r="F564" s="8"/>
    </row>
    <row r="565" spans="2:6" x14ac:dyDescent="0.3">
      <c r="B565" t="s">
        <v>356</v>
      </c>
      <c r="C565" s="135" t="s">
        <v>417</v>
      </c>
      <c r="D565" s="7">
        <v>45813</v>
      </c>
      <c r="E565" s="8">
        <v>63</v>
      </c>
      <c r="F565" s="8"/>
    </row>
    <row r="566" spans="2:6" x14ac:dyDescent="0.3">
      <c r="B566" t="s">
        <v>356</v>
      </c>
      <c r="C566" s="135" t="s">
        <v>417</v>
      </c>
      <c r="D566" s="7">
        <v>45813</v>
      </c>
      <c r="E566" s="8">
        <v>62</v>
      </c>
      <c r="F566" s="8"/>
    </row>
    <row r="567" spans="2:6" x14ac:dyDescent="0.3">
      <c r="B567" t="s">
        <v>356</v>
      </c>
      <c r="C567" s="135" t="s">
        <v>418</v>
      </c>
      <c r="D567" s="7">
        <v>45818</v>
      </c>
      <c r="E567" s="8">
        <v>978</v>
      </c>
      <c r="F567" s="8"/>
    </row>
    <row r="568" spans="2:6" x14ac:dyDescent="0.3">
      <c r="B568" t="s">
        <v>356</v>
      </c>
      <c r="C568" s="135" t="s">
        <v>418</v>
      </c>
      <c r="D568" s="7">
        <v>45818</v>
      </c>
      <c r="E568" s="8">
        <v>978</v>
      </c>
      <c r="F568" s="8"/>
    </row>
    <row r="569" spans="2:6" x14ac:dyDescent="0.3">
      <c r="B569" t="s">
        <v>356</v>
      </c>
      <c r="C569" s="135" t="s">
        <v>418</v>
      </c>
      <c r="D569" s="7">
        <v>45818</v>
      </c>
      <c r="E569" s="8">
        <v>978</v>
      </c>
      <c r="F569" s="8"/>
    </row>
    <row r="570" spans="2:6" x14ac:dyDescent="0.3">
      <c r="B570" t="s">
        <v>356</v>
      </c>
      <c r="C570" s="135" t="s">
        <v>418</v>
      </c>
      <c r="D570" s="7">
        <v>45818</v>
      </c>
      <c r="E570" s="8">
        <v>978</v>
      </c>
      <c r="F570" s="8"/>
    </row>
    <row r="571" spans="2:6" x14ac:dyDescent="0.3">
      <c r="B571" t="s">
        <v>356</v>
      </c>
      <c r="C571" s="135" t="s">
        <v>418</v>
      </c>
      <c r="D571" s="7">
        <v>45818</v>
      </c>
      <c r="E571" s="8">
        <v>977.92</v>
      </c>
      <c r="F571" s="8"/>
    </row>
    <row r="572" spans="2:6" x14ac:dyDescent="0.3">
      <c r="B572" t="s">
        <v>356</v>
      </c>
      <c r="C572" s="135" t="s">
        <v>418</v>
      </c>
      <c r="D572" s="7">
        <v>45818</v>
      </c>
      <c r="E572" s="8">
        <v>977</v>
      </c>
      <c r="F572" s="8"/>
    </row>
    <row r="573" spans="2:6" x14ac:dyDescent="0.3">
      <c r="B573" t="s">
        <v>356</v>
      </c>
      <c r="C573" s="135" t="s">
        <v>419</v>
      </c>
      <c r="D573" s="7">
        <v>45825</v>
      </c>
      <c r="E573" s="8">
        <v>125</v>
      </c>
      <c r="F573" s="8"/>
    </row>
    <row r="574" spans="2:6" x14ac:dyDescent="0.3">
      <c r="B574" t="s">
        <v>356</v>
      </c>
      <c r="C574" s="135" t="s">
        <v>420</v>
      </c>
      <c r="D574" s="7">
        <v>45832</v>
      </c>
      <c r="E574" s="8">
        <v>125</v>
      </c>
      <c r="F574" s="8"/>
    </row>
    <row r="575" spans="2:6" x14ac:dyDescent="0.3">
      <c r="B575" t="s">
        <v>421</v>
      </c>
      <c r="C575" s="135" t="s">
        <v>94</v>
      </c>
      <c r="D575" s="7">
        <v>45807</v>
      </c>
      <c r="E575" s="8">
        <v>-6395</v>
      </c>
      <c r="F575" s="8"/>
    </row>
    <row r="576" spans="2:6" x14ac:dyDescent="0.3">
      <c r="B576" t="s">
        <v>422</v>
      </c>
      <c r="C576" s="135" t="s">
        <v>4117</v>
      </c>
      <c r="D576" s="7"/>
      <c r="E576" s="8">
        <v>-25858.15</v>
      </c>
      <c r="F576" s="8"/>
    </row>
    <row r="577" spans="2:6" x14ac:dyDescent="0.3">
      <c r="B577" t="s">
        <v>422</v>
      </c>
      <c r="C577" s="135" t="s">
        <v>423</v>
      </c>
      <c r="D577" s="7">
        <v>44707</v>
      </c>
      <c r="E577" s="8">
        <v>1032.6500000000001</v>
      </c>
      <c r="F577" s="8"/>
    </row>
    <row r="578" spans="2:6" x14ac:dyDescent="0.3">
      <c r="B578" t="s">
        <v>422</v>
      </c>
      <c r="C578" s="135" t="s">
        <v>424</v>
      </c>
      <c r="D578" s="7">
        <v>45231</v>
      </c>
      <c r="E578" s="8">
        <v>3464</v>
      </c>
      <c r="F578" s="8"/>
    </row>
    <row r="579" spans="2:6" x14ac:dyDescent="0.3">
      <c r="B579" t="s">
        <v>422</v>
      </c>
      <c r="C579" s="135" t="s">
        <v>425</v>
      </c>
      <c r="D579" s="7">
        <v>45271</v>
      </c>
      <c r="E579" s="8">
        <v>400</v>
      </c>
      <c r="F579" s="8"/>
    </row>
    <row r="580" spans="2:6" x14ac:dyDescent="0.3">
      <c r="B580" t="s">
        <v>422</v>
      </c>
      <c r="C580" s="135" t="s">
        <v>426</v>
      </c>
      <c r="D580" s="7">
        <v>45289</v>
      </c>
      <c r="E580" s="8">
        <v>176.55</v>
      </c>
      <c r="F580" s="8"/>
    </row>
    <row r="581" spans="2:6" x14ac:dyDescent="0.3">
      <c r="B581" t="s">
        <v>422</v>
      </c>
      <c r="C581" s="135" t="s">
        <v>427</v>
      </c>
      <c r="D581" s="7">
        <v>45292</v>
      </c>
      <c r="E581" s="8">
        <v>2845.09</v>
      </c>
      <c r="F581" s="8"/>
    </row>
    <row r="582" spans="2:6" x14ac:dyDescent="0.3">
      <c r="B582" t="s">
        <v>422</v>
      </c>
      <c r="C582" s="135" t="s">
        <v>428</v>
      </c>
      <c r="D582" s="7">
        <v>45292</v>
      </c>
      <c r="E582" s="8">
        <v>224.28</v>
      </c>
      <c r="F582" s="8"/>
    </row>
    <row r="583" spans="2:6" x14ac:dyDescent="0.3">
      <c r="B583" t="s">
        <v>422</v>
      </c>
      <c r="C583" s="135" t="s">
        <v>429</v>
      </c>
      <c r="D583" s="7">
        <v>45292</v>
      </c>
      <c r="E583" s="8">
        <v>3709.62</v>
      </c>
      <c r="F583" s="8"/>
    </row>
    <row r="584" spans="2:6" x14ac:dyDescent="0.3">
      <c r="B584" t="s">
        <v>422</v>
      </c>
      <c r="C584" s="135" t="s">
        <v>430</v>
      </c>
      <c r="D584" s="7">
        <v>45292</v>
      </c>
      <c r="E584" s="8">
        <v>1350</v>
      </c>
      <c r="F584" s="8"/>
    </row>
    <row r="585" spans="2:6" x14ac:dyDescent="0.3">
      <c r="B585" t="s">
        <v>422</v>
      </c>
      <c r="C585" s="135" t="s">
        <v>431</v>
      </c>
      <c r="D585" s="7">
        <v>45292</v>
      </c>
      <c r="E585" s="8">
        <v>300</v>
      </c>
      <c r="F585" s="8"/>
    </row>
    <row r="586" spans="2:6" x14ac:dyDescent="0.3">
      <c r="B586" t="s">
        <v>422</v>
      </c>
      <c r="C586" s="135" t="s">
        <v>432</v>
      </c>
      <c r="D586" s="7">
        <v>45296</v>
      </c>
      <c r="E586" s="8">
        <v>2000</v>
      </c>
      <c r="F586" s="8"/>
    </row>
    <row r="587" spans="2:6" x14ac:dyDescent="0.3">
      <c r="B587" t="s">
        <v>422</v>
      </c>
      <c r="C587" s="135" t="s">
        <v>426</v>
      </c>
      <c r="D587" s="7">
        <v>45296</v>
      </c>
      <c r="E587" s="8">
        <v>2371.67</v>
      </c>
      <c r="F587" s="8"/>
    </row>
    <row r="588" spans="2:6" x14ac:dyDescent="0.3">
      <c r="B588" t="s">
        <v>422</v>
      </c>
      <c r="C588" s="135" t="s">
        <v>433</v>
      </c>
      <c r="D588" s="7">
        <v>45299</v>
      </c>
      <c r="E588" s="8">
        <v>2359.04</v>
      </c>
      <c r="F588" s="8"/>
    </row>
    <row r="589" spans="2:6" x14ac:dyDescent="0.3">
      <c r="B589" t="s">
        <v>422</v>
      </c>
      <c r="C589" s="44">
        <v>36045</v>
      </c>
      <c r="D589" s="7">
        <v>45302</v>
      </c>
      <c r="E589" s="8">
        <v>8044.97</v>
      </c>
      <c r="F589" s="8"/>
    </row>
    <row r="590" spans="2:6" x14ac:dyDescent="0.3">
      <c r="B590" t="s">
        <v>422</v>
      </c>
      <c r="C590" s="135" t="s">
        <v>434</v>
      </c>
      <c r="D590" s="7">
        <v>45302</v>
      </c>
      <c r="E590" s="8">
        <v>809.99</v>
      </c>
      <c r="F590" s="8"/>
    </row>
    <row r="591" spans="2:6" x14ac:dyDescent="0.3">
      <c r="B591" t="s">
        <v>422</v>
      </c>
      <c r="C591" s="135" t="s">
        <v>435</v>
      </c>
      <c r="D591" s="7">
        <v>45323</v>
      </c>
      <c r="E591" s="8">
        <v>416.12</v>
      </c>
      <c r="F591" s="8"/>
    </row>
    <row r="592" spans="2:6" x14ac:dyDescent="0.3">
      <c r="B592" t="s">
        <v>422</v>
      </c>
      <c r="C592" s="135" t="s">
        <v>436</v>
      </c>
      <c r="D592" s="7">
        <v>45323</v>
      </c>
      <c r="E592" s="8">
        <v>340</v>
      </c>
      <c r="F592" s="8"/>
    </row>
    <row r="593" spans="2:6" x14ac:dyDescent="0.3">
      <c r="B593" t="s">
        <v>422</v>
      </c>
      <c r="C593" s="135" t="s">
        <v>437</v>
      </c>
      <c r="D593" s="7">
        <v>45325</v>
      </c>
      <c r="E593" s="8">
        <v>653.75</v>
      </c>
      <c r="F593" s="8"/>
    </row>
    <row r="594" spans="2:6" x14ac:dyDescent="0.3">
      <c r="B594" t="s">
        <v>422</v>
      </c>
      <c r="C594" s="138" t="s">
        <v>438</v>
      </c>
      <c r="D594" s="7">
        <v>45358</v>
      </c>
      <c r="E594" s="8">
        <v>-8186</v>
      </c>
      <c r="F594" s="8"/>
    </row>
    <row r="595" spans="2:6" x14ac:dyDescent="0.3">
      <c r="B595" t="s">
        <v>422</v>
      </c>
      <c r="C595" s="135" t="s">
        <v>439</v>
      </c>
      <c r="D595" s="7">
        <v>45358</v>
      </c>
      <c r="E595" s="8">
        <v>7367.4</v>
      </c>
      <c r="F595" s="8"/>
    </row>
    <row r="596" spans="2:6" x14ac:dyDescent="0.3">
      <c r="B596" t="s">
        <v>422</v>
      </c>
      <c r="C596" s="135" t="s">
        <v>440</v>
      </c>
      <c r="D596" s="7">
        <v>45373</v>
      </c>
      <c r="E596" s="8">
        <v>1516.94</v>
      </c>
      <c r="F596" s="8"/>
    </row>
    <row r="597" spans="2:6" x14ac:dyDescent="0.3">
      <c r="B597" t="s">
        <v>422</v>
      </c>
      <c r="C597" s="135" t="s">
        <v>441</v>
      </c>
      <c r="D597" s="7">
        <v>45390</v>
      </c>
      <c r="E597" s="8">
        <v>200</v>
      </c>
      <c r="F597" s="8"/>
    </row>
    <row r="598" spans="2:6" x14ac:dyDescent="0.3">
      <c r="B598" t="s">
        <v>422</v>
      </c>
      <c r="C598" s="135" t="s">
        <v>442</v>
      </c>
      <c r="D598" s="7">
        <v>45392</v>
      </c>
      <c r="E598" s="8">
        <v>38.950000000000003</v>
      </c>
      <c r="F598" s="8"/>
    </row>
    <row r="599" spans="2:6" x14ac:dyDescent="0.3">
      <c r="B599" t="s">
        <v>422</v>
      </c>
      <c r="C599" s="135" t="s">
        <v>443</v>
      </c>
      <c r="D599" s="7">
        <v>45392</v>
      </c>
      <c r="E599" s="8">
        <v>565.5</v>
      </c>
      <c r="F599" s="8"/>
    </row>
    <row r="600" spans="2:6" x14ac:dyDescent="0.3">
      <c r="B600" t="s">
        <v>422</v>
      </c>
      <c r="C600" s="135" t="s">
        <v>444</v>
      </c>
      <c r="D600" s="7">
        <v>45399</v>
      </c>
      <c r="E600" s="8">
        <v>1364.53</v>
      </c>
      <c r="F600" s="8"/>
    </row>
    <row r="601" spans="2:6" x14ac:dyDescent="0.3">
      <c r="B601" t="s">
        <v>422</v>
      </c>
      <c r="C601" s="135" t="s">
        <v>437</v>
      </c>
      <c r="D601" s="7">
        <v>45401</v>
      </c>
      <c r="E601" s="8">
        <v>394.9</v>
      </c>
      <c r="F601" s="8"/>
    </row>
    <row r="602" spans="2:6" x14ac:dyDescent="0.3">
      <c r="B602" t="s">
        <v>422</v>
      </c>
      <c r="C602" s="135" t="s">
        <v>445</v>
      </c>
      <c r="D602" s="7">
        <v>45401</v>
      </c>
      <c r="E602" s="8">
        <v>6330.48</v>
      </c>
      <c r="F602" s="8"/>
    </row>
    <row r="603" spans="2:6" x14ac:dyDescent="0.3">
      <c r="B603" t="s">
        <v>422</v>
      </c>
      <c r="C603" s="135" t="s">
        <v>446</v>
      </c>
      <c r="D603" s="7">
        <v>45411</v>
      </c>
      <c r="E603" s="8">
        <v>-157.16999999999999</v>
      </c>
      <c r="F603" s="8"/>
    </row>
    <row r="604" spans="2:6" x14ac:dyDescent="0.3">
      <c r="B604" t="s">
        <v>422</v>
      </c>
      <c r="C604" s="135" t="s">
        <v>447</v>
      </c>
      <c r="D604" s="7">
        <v>45418</v>
      </c>
      <c r="E604" s="8">
        <v>1217.5999999999999</v>
      </c>
      <c r="F604" s="8"/>
    </row>
    <row r="605" spans="2:6" x14ac:dyDescent="0.3">
      <c r="B605" t="s">
        <v>422</v>
      </c>
      <c r="C605" s="135" t="s">
        <v>448</v>
      </c>
      <c r="D605" s="7">
        <v>45418</v>
      </c>
      <c r="E605" s="8">
        <v>22837.5</v>
      </c>
      <c r="F605" s="8"/>
    </row>
    <row r="606" spans="2:6" x14ac:dyDescent="0.3">
      <c r="B606" t="s">
        <v>422</v>
      </c>
      <c r="C606" s="135" t="s">
        <v>449</v>
      </c>
      <c r="D606" s="7">
        <v>45418</v>
      </c>
      <c r="E606" s="8">
        <v>5887</v>
      </c>
      <c r="F606" s="8"/>
    </row>
    <row r="607" spans="2:6" x14ac:dyDescent="0.3">
      <c r="B607" t="s">
        <v>422</v>
      </c>
      <c r="C607" s="135" t="s">
        <v>450</v>
      </c>
      <c r="D607" s="7">
        <v>45418</v>
      </c>
      <c r="E607" s="8">
        <v>1218</v>
      </c>
      <c r="F607" s="8"/>
    </row>
    <row r="608" spans="2:6" x14ac:dyDescent="0.3">
      <c r="B608" t="s">
        <v>422</v>
      </c>
      <c r="C608" s="135" t="s">
        <v>451</v>
      </c>
      <c r="D608" s="7">
        <v>45420</v>
      </c>
      <c r="E608" s="8">
        <v>13398</v>
      </c>
      <c r="F608" s="8"/>
    </row>
    <row r="609" spans="2:6" x14ac:dyDescent="0.3">
      <c r="B609" t="s">
        <v>422</v>
      </c>
      <c r="C609" s="135" t="s">
        <v>452</v>
      </c>
      <c r="D609" s="7">
        <v>45425</v>
      </c>
      <c r="E609" s="8">
        <v>222.31</v>
      </c>
      <c r="F609" s="8"/>
    </row>
    <row r="610" spans="2:6" x14ac:dyDescent="0.3">
      <c r="B610" t="s">
        <v>422</v>
      </c>
      <c r="C610" s="135" t="s">
        <v>87</v>
      </c>
      <c r="D610" s="7">
        <v>45441</v>
      </c>
      <c r="E610" s="8">
        <v>-8690.33</v>
      </c>
      <c r="F610" s="8"/>
    </row>
    <row r="611" spans="2:6" x14ac:dyDescent="0.3">
      <c r="B611" t="s">
        <v>422</v>
      </c>
      <c r="C611" s="135" t="s">
        <v>453</v>
      </c>
      <c r="D611" s="7">
        <v>45442</v>
      </c>
      <c r="E611" s="8">
        <v>233</v>
      </c>
      <c r="F611" s="8"/>
    </row>
    <row r="612" spans="2:6" x14ac:dyDescent="0.3">
      <c r="B612" t="s">
        <v>422</v>
      </c>
      <c r="C612" s="135" t="s">
        <v>454</v>
      </c>
      <c r="D612" s="7">
        <v>45450</v>
      </c>
      <c r="E612" s="8">
        <v>2252.38</v>
      </c>
      <c r="F612" s="8"/>
    </row>
    <row r="613" spans="2:6" x14ac:dyDescent="0.3">
      <c r="B613" t="s">
        <v>422</v>
      </c>
      <c r="C613" s="135" t="s">
        <v>455</v>
      </c>
      <c r="D613" s="7">
        <v>45450</v>
      </c>
      <c r="E613" s="8">
        <v>1936.44</v>
      </c>
      <c r="F613" s="8"/>
    </row>
    <row r="614" spans="2:6" x14ac:dyDescent="0.3">
      <c r="B614" t="s">
        <v>422</v>
      </c>
      <c r="C614" s="135" t="s">
        <v>456</v>
      </c>
      <c r="D614" s="7">
        <v>45461</v>
      </c>
      <c r="E614" s="8">
        <v>-12170.74</v>
      </c>
      <c r="F614" s="8"/>
    </row>
    <row r="615" spans="2:6" x14ac:dyDescent="0.3">
      <c r="B615" t="s">
        <v>422</v>
      </c>
      <c r="C615" s="135" t="s">
        <v>456</v>
      </c>
      <c r="D615" s="7">
        <v>45461</v>
      </c>
      <c r="E615" s="8">
        <v>-317.56</v>
      </c>
      <c r="F615" s="8"/>
    </row>
    <row r="616" spans="2:6" x14ac:dyDescent="0.3">
      <c r="B616" t="s">
        <v>422</v>
      </c>
      <c r="C616" s="135" t="s">
        <v>456</v>
      </c>
      <c r="D616" s="7">
        <v>45461</v>
      </c>
      <c r="E616" s="8">
        <v>-211.45</v>
      </c>
      <c r="F616" s="8"/>
    </row>
    <row r="617" spans="2:6" x14ac:dyDescent="0.3">
      <c r="B617" t="s">
        <v>422</v>
      </c>
      <c r="C617" s="135" t="s">
        <v>456</v>
      </c>
      <c r="D617" s="7">
        <v>45461</v>
      </c>
      <c r="E617" s="8">
        <v>-181.59</v>
      </c>
      <c r="F617" s="8"/>
    </row>
    <row r="618" spans="2:6" x14ac:dyDescent="0.3">
      <c r="B618" t="s">
        <v>422</v>
      </c>
      <c r="C618" s="135" t="s">
        <v>456</v>
      </c>
      <c r="D618" s="7">
        <v>45461</v>
      </c>
      <c r="E618" s="8">
        <v>-159.59</v>
      </c>
      <c r="F618" s="8"/>
    </row>
    <row r="619" spans="2:6" x14ac:dyDescent="0.3">
      <c r="B619" t="s">
        <v>422</v>
      </c>
      <c r="C619" s="135" t="s">
        <v>456</v>
      </c>
      <c r="D619" s="7">
        <v>45461</v>
      </c>
      <c r="E619" s="8">
        <v>-108.4</v>
      </c>
      <c r="F619" s="8"/>
    </row>
    <row r="620" spans="2:6" x14ac:dyDescent="0.3">
      <c r="B620" t="s">
        <v>422</v>
      </c>
      <c r="C620" s="135" t="s">
        <v>457</v>
      </c>
      <c r="D620" s="7">
        <v>45462</v>
      </c>
      <c r="E620" s="8">
        <v>973.74</v>
      </c>
      <c r="F620" s="8"/>
    </row>
    <row r="621" spans="2:6" x14ac:dyDescent="0.3">
      <c r="B621" t="s">
        <v>422</v>
      </c>
      <c r="C621" s="135" t="s">
        <v>458</v>
      </c>
      <c r="D621" s="7">
        <v>45469</v>
      </c>
      <c r="E621" s="8">
        <v>-3160</v>
      </c>
      <c r="F621" s="8"/>
    </row>
    <row r="622" spans="2:6" x14ac:dyDescent="0.3">
      <c r="B622" t="s">
        <v>422</v>
      </c>
      <c r="C622" s="138" t="s">
        <v>459</v>
      </c>
      <c r="D622" s="7">
        <v>45473</v>
      </c>
      <c r="E622" s="8">
        <v>-799.2</v>
      </c>
      <c r="F622" s="8"/>
    </row>
    <row r="623" spans="2:6" x14ac:dyDescent="0.3">
      <c r="B623" t="s">
        <v>422</v>
      </c>
      <c r="C623" s="138" t="s">
        <v>460</v>
      </c>
      <c r="D623" s="7">
        <v>45474</v>
      </c>
      <c r="E623" s="8">
        <v>10590.91</v>
      </c>
      <c r="F623" s="8"/>
    </row>
    <row r="624" spans="2:6" x14ac:dyDescent="0.3">
      <c r="B624" t="s">
        <v>422</v>
      </c>
      <c r="C624" s="12" t="s">
        <v>461</v>
      </c>
      <c r="D624" s="7">
        <v>45475</v>
      </c>
      <c r="E624" s="8">
        <v>-13009.33</v>
      </c>
      <c r="F624" s="8"/>
    </row>
    <row r="625" spans="2:6" x14ac:dyDescent="0.3">
      <c r="B625" t="s">
        <v>422</v>
      </c>
      <c r="C625" s="135" t="s">
        <v>462</v>
      </c>
      <c r="D625" s="7">
        <v>45475</v>
      </c>
      <c r="E625" s="8">
        <v>1200.03</v>
      </c>
      <c r="F625" s="8"/>
    </row>
    <row r="626" spans="2:6" x14ac:dyDescent="0.3">
      <c r="B626" t="s">
        <v>422</v>
      </c>
      <c r="C626" s="138" t="s">
        <v>438</v>
      </c>
      <c r="D626" s="7">
        <v>45490</v>
      </c>
      <c r="E626" s="8">
        <v>-687.01</v>
      </c>
      <c r="F626" s="8"/>
    </row>
    <row r="627" spans="2:6" x14ac:dyDescent="0.3">
      <c r="B627" t="s">
        <v>422</v>
      </c>
      <c r="C627" s="135" t="s">
        <v>463</v>
      </c>
      <c r="D627" s="7">
        <v>45503</v>
      </c>
      <c r="E627" s="8">
        <v>748.17</v>
      </c>
      <c r="F627" s="8"/>
    </row>
    <row r="628" spans="2:6" x14ac:dyDescent="0.3">
      <c r="B628" t="s">
        <v>422</v>
      </c>
      <c r="C628" s="44">
        <v>20240801</v>
      </c>
      <c r="D628" s="7">
        <v>45505</v>
      </c>
      <c r="E628" s="8">
        <v>704</v>
      </c>
      <c r="F628" s="8"/>
    </row>
    <row r="629" spans="2:6" x14ac:dyDescent="0.3">
      <c r="B629" t="s">
        <v>422</v>
      </c>
      <c r="C629" s="135" t="s">
        <v>464</v>
      </c>
      <c r="D629" s="7">
        <v>45505</v>
      </c>
      <c r="E629" s="8">
        <v>4000</v>
      </c>
      <c r="F629" s="8"/>
    </row>
    <row r="630" spans="2:6" x14ac:dyDescent="0.3">
      <c r="B630" t="s">
        <v>422</v>
      </c>
      <c r="C630" s="135" t="s">
        <v>465</v>
      </c>
      <c r="D630" s="7">
        <v>45505</v>
      </c>
      <c r="E630" s="8">
        <v>566.66999999999996</v>
      </c>
      <c r="F630" s="8"/>
    </row>
    <row r="631" spans="2:6" x14ac:dyDescent="0.3">
      <c r="B631" t="s">
        <v>422</v>
      </c>
      <c r="C631" s="135" t="s">
        <v>466</v>
      </c>
      <c r="D631" s="7">
        <v>45505</v>
      </c>
      <c r="E631" s="8">
        <v>2600</v>
      </c>
      <c r="F631" s="8"/>
    </row>
    <row r="632" spans="2:6" x14ac:dyDescent="0.3">
      <c r="B632" t="s">
        <v>422</v>
      </c>
      <c r="C632" s="135" t="s">
        <v>462</v>
      </c>
      <c r="D632" s="7">
        <v>45505</v>
      </c>
      <c r="E632" s="8">
        <v>90</v>
      </c>
      <c r="F632" s="8"/>
    </row>
    <row r="633" spans="2:6" x14ac:dyDescent="0.3">
      <c r="B633" t="s">
        <v>422</v>
      </c>
      <c r="C633" s="135" t="s">
        <v>467</v>
      </c>
      <c r="D633" s="7">
        <v>45505</v>
      </c>
      <c r="E633" s="8">
        <v>1642.09</v>
      </c>
      <c r="F633" s="8"/>
    </row>
    <row r="634" spans="2:6" x14ac:dyDescent="0.3">
      <c r="B634" t="s">
        <v>422</v>
      </c>
      <c r="C634" s="135" t="s">
        <v>468</v>
      </c>
      <c r="D634" s="7">
        <v>45508</v>
      </c>
      <c r="E634" s="8">
        <v>76480.72</v>
      </c>
      <c r="F634" s="8"/>
    </row>
    <row r="635" spans="2:6" x14ac:dyDescent="0.3">
      <c r="B635" t="s">
        <v>422</v>
      </c>
      <c r="C635" s="135" t="s">
        <v>462</v>
      </c>
      <c r="D635" s="7">
        <v>45510</v>
      </c>
      <c r="E635" s="8">
        <v>14121.04</v>
      </c>
      <c r="F635" s="8"/>
    </row>
    <row r="636" spans="2:6" x14ac:dyDescent="0.3">
      <c r="B636" t="s">
        <v>422</v>
      </c>
      <c r="C636" s="135" t="s">
        <v>469</v>
      </c>
      <c r="D636" s="7">
        <v>45512</v>
      </c>
      <c r="E636" s="8">
        <v>590</v>
      </c>
      <c r="F636" s="8"/>
    </row>
    <row r="637" spans="2:6" x14ac:dyDescent="0.3">
      <c r="B637" t="s">
        <v>422</v>
      </c>
      <c r="C637" s="135" t="s">
        <v>470</v>
      </c>
      <c r="D637" s="7">
        <v>45512</v>
      </c>
      <c r="E637" s="8">
        <v>3776.83</v>
      </c>
      <c r="F637" s="8"/>
    </row>
    <row r="638" spans="2:6" x14ac:dyDescent="0.3">
      <c r="B638" t="s">
        <v>422</v>
      </c>
      <c r="C638" s="135" t="s">
        <v>471</v>
      </c>
      <c r="D638" s="7">
        <v>45512</v>
      </c>
      <c r="E638" s="8">
        <v>2605.83</v>
      </c>
      <c r="F638" s="8"/>
    </row>
    <row r="639" spans="2:6" x14ac:dyDescent="0.3">
      <c r="B639" t="s">
        <v>422</v>
      </c>
      <c r="C639" s="135" t="s">
        <v>472</v>
      </c>
      <c r="D639" s="7">
        <v>45512</v>
      </c>
      <c r="E639" s="8">
        <v>1975</v>
      </c>
      <c r="F639" s="8"/>
    </row>
    <row r="640" spans="2:6" x14ac:dyDescent="0.3">
      <c r="B640" t="s">
        <v>422</v>
      </c>
      <c r="C640" s="135" t="s">
        <v>462</v>
      </c>
      <c r="D640" s="7">
        <v>45514</v>
      </c>
      <c r="E640" s="8">
        <v>6391.83</v>
      </c>
      <c r="F640" s="8"/>
    </row>
    <row r="641" spans="2:6" x14ac:dyDescent="0.3">
      <c r="B641" t="s">
        <v>422</v>
      </c>
      <c r="C641" s="135" t="s">
        <v>304</v>
      </c>
      <c r="D641" s="7">
        <v>45514</v>
      </c>
      <c r="E641" s="8">
        <v>1480</v>
      </c>
      <c r="F641" s="8"/>
    </row>
    <row r="642" spans="2:6" x14ac:dyDescent="0.3">
      <c r="B642" t="s">
        <v>422</v>
      </c>
      <c r="C642" s="135" t="s">
        <v>473</v>
      </c>
      <c r="D642" s="7">
        <v>45527</v>
      </c>
      <c r="E642" s="8">
        <v>5349.68</v>
      </c>
      <c r="F642" s="8"/>
    </row>
    <row r="643" spans="2:6" x14ac:dyDescent="0.3">
      <c r="B643" t="s">
        <v>422</v>
      </c>
      <c r="C643" s="135" t="s">
        <v>474</v>
      </c>
      <c r="D643" s="7">
        <v>45536</v>
      </c>
      <c r="E643" s="8">
        <v>2341.4699999999998</v>
      </c>
      <c r="F643" s="8"/>
    </row>
    <row r="644" spans="2:6" x14ac:dyDescent="0.3">
      <c r="B644" t="s">
        <v>422</v>
      </c>
      <c r="C644" s="135" t="s">
        <v>475</v>
      </c>
      <c r="D644" s="7">
        <v>45538</v>
      </c>
      <c r="E644" s="8">
        <v>708</v>
      </c>
      <c r="F644" s="8"/>
    </row>
    <row r="645" spans="2:6" x14ac:dyDescent="0.3">
      <c r="B645" t="s">
        <v>422</v>
      </c>
      <c r="C645" s="135" t="s">
        <v>476</v>
      </c>
      <c r="D645" s="7">
        <v>45550</v>
      </c>
      <c r="E645" s="8">
        <v>2375.12</v>
      </c>
      <c r="F645" s="8"/>
    </row>
    <row r="646" spans="2:6" x14ac:dyDescent="0.3">
      <c r="B646" t="s">
        <v>422</v>
      </c>
      <c r="C646" s="135" t="s">
        <v>477</v>
      </c>
      <c r="D646" s="7">
        <v>45554</v>
      </c>
      <c r="E646" s="8">
        <v>485</v>
      </c>
      <c r="F646" s="8"/>
    </row>
    <row r="647" spans="2:6" x14ac:dyDescent="0.3">
      <c r="B647" t="s">
        <v>422</v>
      </c>
      <c r="C647" s="135" t="s">
        <v>478</v>
      </c>
      <c r="D647" s="7">
        <v>45554</v>
      </c>
      <c r="E647" s="8">
        <v>2091.25</v>
      </c>
      <c r="F647" s="8"/>
    </row>
    <row r="648" spans="2:6" x14ac:dyDescent="0.3">
      <c r="B648" t="s">
        <v>422</v>
      </c>
      <c r="C648" s="135" t="s">
        <v>479</v>
      </c>
      <c r="D648" s="7">
        <v>45556</v>
      </c>
      <c r="E648" s="8">
        <v>80</v>
      </c>
      <c r="F648" s="8"/>
    </row>
    <row r="649" spans="2:6" x14ac:dyDescent="0.3">
      <c r="B649" t="s">
        <v>422</v>
      </c>
      <c r="C649" s="135" t="s">
        <v>480</v>
      </c>
      <c r="D649" s="7">
        <v>45560</v>
      </c>
      <c r="E649" s="8">
        <v>153.41</v>
      </c>
      <c r="F649" s="8"/>
    </row>
    <row r="650" spans="2:6" x14ac:dyDescent="0.3">
      <c r="B650" t="s">
        <v>422</v>
      </c>
      <c r="C650" s="135" t="s">
        <v>481</v>
      </c>
      <c r="D650" s="7">
        <v>45563</v>
      </c>
      <c r="E650" s="8">
        <v>6886.2</v>
      </c>
      <c r="F650" s="8"/>
    </row>
    <row r="651" spans="2:6" x14ac:dyDescent="0.3">
      <c r="B651" t="s">
        <v>422</v>
      </c>
      <c r="C651" s="135" t="s">
        <v>482</v>
      </c>
      <c r="D651" s="7">
        <v>45563</v>
      </c>
      <c r="E651" s="8">
        <v>10405</v>
      </c>
      <c r="F651" s="8"/>
    </row>
    <row r="652" spans="2:6" x14ac:dyDescent="0.3">
      <c r="B652" t="s">
        <v>422</v>
      </c>
      <c r="C652" s="135" t="s">
        <v>483</v>
      </c>
      <c r="D652" s="7">
        <v>45563</v>
      </c>
      <c r="E652" s="8">
        <v>10000</v>
      </c>
      <c r="F652" s="8"/>
    </row>
    <row r="653" spans="2:6" x14ac:dyDescent="0.3">
      <c r="B653" t="s">
        <v>422</v>
      </c>
      <c r="C653" s="135" t="s">
        <v>484</v>
      </c>
      <c r="D653" s="7">
        <v>45566</v>
      </c>
      <c r="E653" s="8">
        <v>23680.22</v>
      </c>
      <c r="F653" s="8"/>
    </row>
    <row r="654" spans="2:6" x14ac:dyDescent="0.3">
      <c r="B654" t="s">
        <v>422</v>
      </c>
      <c r="C654" s="135" t="s">
        <v>485</v>
      </c>
      <c r="D654" s="7">
        <v>45566</v>
      </c>
      <c r="E654" s="8">
        <v>14299.59</v>
      </c>
      <c r="F654" s="8"/>
    </row>
    <row r="655" spans="2:6" x14ac:dyDescent="0.3">
      <c r="B655" t="s">
        <v>422</v>
      </c>
      <c r="C655" s="135" t="s">
        <v>486</v>
      </c>
      <c r="D655" s="7">
        <v>45566</v>
      </c>
      <c r="E655" s="8">
        <v>3798.45</v>
      </c>
      <c r="F655" s="8"/>
    </row>
    <row r="656" spans="2:6" x14ac:dyDescent="0.3">
      <c r="B656" t="s">
        <v>422</v>
      </c>
      <c r="C656" s="135" t="s">
        <v>487</v>
      </c>
      <c r="D656" s="7">
        <v>45566</v>
      </c>
      <c r="E656" s="8">
        <v>18951.66</v>
      </c>
      <c r="F656" s="8"/>
    </row>
    <row r="657" spans="2:6" x14ac:dyDescent="0.3">
      <c r="B657" t="s">
        <v>422</v>
      </c>
      <c r="C657" s="135" t="s">
        <v>488</v>
      </c>
      <c r="D657" s="7">
        <v>45566</v>
      </c>
      <c r="E657" s="8">
        <v>2197.9699999999998</v>
      </c>
      <c r="F657" s="8"/>
    </row>
    <row r="658" spans="2:6" x14ac:dyDescent="0.3">
      <c r="B658" t="s">
        <v>422</v>
      </c>
      <c r="C658" s="135" t="s">
        <v>489</v>
      </c>
      <c r="D658" s="7">
        <v>45566</v>
      </c>
      <c r="E658" s="8">
        <v>12724.34</v>
      </c>
      <c r="F658" s="8"/>
    </row>
    <row r="659" spans="2:6" x14ac:dyDescent="0.3">
      <c r="B659" t="s">
        <v>422</v>
      </c>
      <c r="C659" s="135" t="s">
        <v>490</v>
      </c>
      <c r="D659" s="7">
        <v>45566</v>
      </c>
      <c r="E659" s="8">
        <v>8069.66</v>
      </c>
      <c r="F659" s="8"/>
    </row>
    <row r="660" spans="2:6" x14ac:dyDescent="0.3">
      <c r="B660" t="s">
        <v>422</v>
      </c>
      <c r="C660" s="135" t="s">
        <v>491</v>
      </c>
      <c r="D660" s="7">
        <v>45566</v>
      </c>
      <c r="E660" s="8">
        <v>750</v>
      </c>
      <c r="F660" s="8"/>
    </row>
    <row r="661" spans="2:6" x14ac:dyDescent="0.3">
      <c r="B661" t="s">
        <v>422</v>
      </c>
      <c r="C661" s="135" t="s">
        <v>492</v>
      </c>
      <c r="D661" s="7">
        <v>45567</v>
      </c>
      <c r="E661" s="8">
        <v>305.83</v>
      </c>
      <c r="F661" s="8"/>
    </row>
    <row r="662" spans="2:6" x14ac:dyDescent="0.3">
      <c r="B662" t="s">
        <v>422</v>
      </c>
      <c r="C662" s="44">
        <v>777306040905</v>
      </c>
      <c r="D662" s="7">
        <v>45567</v>
      </c>
      <c r="E662" s="8">
        <v>4332.32</v>
      </c>
      <c r="F662" s="8"/>
    </row>
    <row r="663" spans="2:6" x14ac:dyDescent="0.3">
      <c r="B663" t="s">
        <v>422</v>
      </c>
      <c r="C663" s="135" t="s">
        <v>493</v>
      </c>
      <c r="D663" s="7">
        <v>45573</v>
      </c>
      <c r="E663" s="8">
        <v>-1024.5</v>
      </c>
      <c r="F663" s="8"/>
    </row>
    <row r="664" spans="2:6" x14ac:dyDescent="0.3">
      <c r="B664" t="s">
        <v>422</v>
      </c>
      <c r="C664" s="135" t="s">
        <v>493</v>
      </c>
      <c r="D664" s="7">
        <v>45573</v>
      </c>
      <c r="E664" s="8">
        <v>-45.12</v>
      </c>
      <c r="F664" s="8"/>
    </row>
    <row r="665" spans="2:6" x14ac:dyDescent="0.3">
      <c r="B665" t="s">
        <v>422</v>
      </c>
      <c r="C665" s="135" t="s">
        <v>427</v>
      </c>
      <c r="D665" s="7">
        <v>45577</v>
      </c>
      <c r="E665" s="8">
        <v>995</v>
      </c>
      <c r="F665" s="8"/>
    </row>
    <row r="666" spans="2:6" x14ac:dyDescent="0.3">
      <c r="B666" t="s">
        <v>422</v>
      </c>
      <c r="C666" s="135" t="s">
        <v>465</v>
      </c>
      <c r="D666" s="7">
        <v>45577</v>
      </c>
      <c r="E666" s="8">
        <v>1000</v>
      </c>
      <c r="F666" s="8"/>
    </row>
    <row r="667" spans="2:6" x14ac:dyDescent="0.3">
      <c r="B667" t="s">
        <v>422</v>
      </c>
      <c r="C667" s="135" t="s">
        <v>494</v>
      </c>
      <c r="D667" s="7">
        <v>45577</v>
      </c>
      <c r="E667" s="8">
        <v>708.66</v>
      </c>
      <c r="F667" s="8"/>
    </row>
    <row r="668" spans="2:6" x14ac:dyDescent="0.3">
      <c r="B668" t="s">
        <v>422</v>
      </c>
      <c r="C668" s="135" t="s">
        <v>495</v>
      </c>
      <c r="D668" s="7">
        <v>45577</v>
      </c>
      <c r="E668" s="8">
        <v>2763.18</v>
      </c>
      <c r="F668" s="8"/>
    </row>
    <row r="669" spans="2:6" x14ac:dyDescent="0.3">
      <c r="B669" t="s">
        <v>422</v>
      </c>
      <c r="C669" s="135" t="s">
        <v>496</v>
      </c>
      <c r="D669" s="7">
        <v>45577</v>
      </c>
      <c r="E669" s="8">
        <v>3499.13</v>
      </c>
      <c r="F669" s="8"/>
    </row>
    <row r="670" spans="2:6" x14ac:dyDescent="0.3">
      <c r="B670" t="s">
        <v>422</v>
      </c>
      <c r="C670" s="135" t="s">
        <v>497</v>
      </c>
      <c r="D670" s="7">
        <v>45579</v>
      </c>
      <c r="E670" s="8">
        <v>17021.64</v>
      </c>
      <c r="F670" s="8"/>
    </row>
    <row r="671" spans="2:6" x14ac:dyDescent="0.3">
      <c r="B671" t="s">
        <v>422</v>
      </c>
      <c r="C671" s="135" t="s">
        <v>498</v>
      </c>
      <c r="D671" s="7">
        <v>45583</v>
      </c>
      <c r="E671" s="8">
        <v>267.27</v>
      </c>
      <c r="F671" s="8"/>
    </row>
    <row r="672" spans="2:6" x14ac:dyDescent="0.3">
      <c r="B672" t="s">
        <v>422</v>
      </c>
      <c r="C672" s="135" t="s">
        <v>499</v>
      </c>
      <c r="D672" s="7">
        <v>45583</v>
      </c>
      <c r="E672" s="8">
        <v>1807.03</v>
      </c>
      <c r="F672" s="8"/>
    </row>
    <row r="673" spans="2:7" x14ac:dyDescent="0.3">
      <c r="B673" t="s">
        <v>422</v>
      </c>
      <c r="C673" s="135" t="s">
        <v>499</v>
      </c>
      <c r="D673" s="7">
        <v>45583</v>
      </c>
      <c r="E673" s="8">
        <v>28841.64</v>
      </c>
      <c r="F673" s="8"/>
    </row>
    <row r="674" spans="2:7" x14ac:dyDescent="0.3">
      <c r="B674" t="s">
        <v>422</v>
      </c>
      <c r="C674" s="135" t="s">
        <v>455</v>
      </c>
      <c r="D674" s="7">
        <v>45590</v>
      </c>
      <c r="E674" s="8">
        <v>500</v>
      </c>
      <c r="F674" s="8"/>
    </row>
    <row r="675" spans="2:7" x14ac:dyDescent="0.3">
      <c r="B675" t="s">
        <v>422</v>
      </c>
      <c r="C675" s="135" t="s">
        <v>500</v>
      </c>
      <c r="D675" s="7">
        <v>45590</v>
      </c>
      <c r="E675" s="8">
        <v>135</v>
      </c>
      <c r="F675" s="8"/>
    </row>
    <row r="676" spans="2:7" x14ac:dyDescent="0.3">
      <c r="B676" t="s">
        <v>422</v>
      </c>
      <c r="C676" s="135" t="s">
        <v>501</v>
      </c>
      <c r="D676" s="7">
        <v>45590</v>
      </c>
      <c r="E676" s="8">
        <v>225</v>
      </c>
      <c r="F676" s="8"/>
    </row>
    <row r="677" spans="2:7" x14ac:dyDescent="0.3">
      <c r="B677" t="s">
        <v>422</v>
      </c>
      <c r="C677" s="135" t="s">
        <v>502</v>
      </c>
      <c r="D677" s="7">
        <v>45595</v>
      </c>
      <c r="E677" s="8">
        <v>7073.32</v>
      </c>
      <c r="F677" s="8"/>
    </row>
    <row r="678" spans="2:7" x14ac:dyDescent="0.3">
      <c r="B678" t="s">
        <v>422</v>
      </c>
      <c r="C678" s="135" t="s">
        <v>503</v>
      </c>
      <c r="D678" s="7">
        <v>45595</v>
      </c>
      <c r="E678" s="8">
        <v>215.01</v>
      </c>
      <c r="F678" s="8"/>
    </row>
    <row r="679" spans="2:7" x14ac:dyDescent="0.3">
      <c r="B679" t="s">
        <v>422</v>
      </c>
      <c r="C679" s="135" t="s">
        <v>504</v>
      </c>
      <c r="D679" s="7">
        <v>45596</v>
      </c>
      <c r="E679" s="8">
        <v>2214.0700000000002</v>
      </c>
      <c r="F679" s="8"/>
    </row>
    <row r="680" spans="2:7" x14ac:dyDescent="0.3">
      <c r="B680" t="s">
        <v>422</v>
      </c>
      <c r="C680" s="135" t="s">
        <v>484</v>
      </c>
      <c r="D680" s="7">
        <v>45597</v>
      </c>
      <c r="E680" s="8">
        <v>200</v>
      </c>
      <c r="F680" s="8"/>
    </row>
    <row r="681" spans="2:7" x14ac:dyDescent="0.3">
      <c r="B681" t="s">
        <v>422</v>
      </c>
      <c r="C681" s="135" t="s">
        <v>444</v>
      </c>
      <c r="D681" s="7">
        <v>45597</v>
      </c>
      <c r="E681" s="8">
        <v>2642.29</v>
      </c>
      <c r="F681" s="8"/>
    </row>
    <row r="682" spans="2:7" x14ac:dyDescent="0.3">
      <c r="B682" t="s">
        <v>422</v>
      </c>
      <c r="C682" s="135" t="s">
        <v>444</v>
      </c>
      <c r="D682" s="7">
        <v>45597</v>
      </c>
      <c r="E682" s="8">
        <v>3300</v>
      </c>
      <c r="F682" s="8"/>
    </row>
    <row r="683" spans="2:7" x14ac:dyDescent="0.3">
      <c r="B683" t="s">
        <v>422</v>
      </c>
      <c r="C683" s="135" t="s">
        <v>444</v>
      </c>
      <c r="D683" s="7">
        <v>45597</v>
      </c>
      <c r="E683" s="8">
        <v>8877.4500000000007</v>
      </c>
      <c r="F683" s="8"/>
      <c r="G683" s="102"/>
    </row>
    <row r="684" spans="2:7" x14ac:dyDescent="0.3">
      <c r="B684" t="s">
        <v>422</v>
      </c>
      <c r="C684" s="135" t="s">
        <v>505</v>
      </c>
      <c r="D684" s="7">
        <v>45597</v>
      </c>
      <c r="E684" s="8">
        <v>8021.62</v>
      </c>
      <c r="F684" s="8"/>
    </row>
    <row r="685" spans="2:7" x14ac:dyDescent="0.3">
      <c r="B685" t="s">
        <v>422</v>
      </c>
      <c r="C685" s="135" t="s">
        <v>506</v>
      </c>
      <c r="D685" s="7">
        <v>45600</v>
      </c>
      <c r="E685" s="8">
        <v>-4306.34</v>
      </c>
      <c r="F685" s="8"/>
    </row>
    <row r="686" spans="2:7" x14ac:dyDescent="0.3">
      <c r="B686" t="s">
        <v>422</v>
      </c>
      <c r="C686" s="135" t="s">
        <v>506</v>
      </c>
      <c r="D686" s="7">
        <v>45600</v>
      </c>
      <c r="E686" s="8">
        <v>-55.08</v>
      </c>
      <c r="F686" s="8"/>
    </row>
    <row r="687" spans="2:7" x14ac:dyDescent="0.3">
      <c r="B687" t="s">
        <v>422</v>
      </c>
      <c r="C687" s="135" t="s">
        <v>507</v>
      </c>
      <c r="D687" s="7">
        <v>45604</v>
      </c>
      <c r="E687" s="8">
        <v>2057.98</v>
      </c>
      <c r="F687" s="8"/>
    </row>
    <row r="688" spans="2:7" x14ac:dyDescent="0.3">
      <c r="B688" t="s">
        <v>422</v>
      </c>
      <c r="C688" s="135" t="s">
        <v>426</v>
      </c>
      <c r="D688" s="7">
        <v>45608</v>
      </c>
      <c r="E688" s="8">
        <v>100</v>
      </c>
      <c r="F688" s="8"/>
    </row>
    <row r="689" spans="2:7" x14ac:dyDescent="0.3">
      <c r="B689" t="s">
        <v>422</v>
      </c>
      <c r="C689" s="135" t="s">
        <v>18</v>
      </c>
      <c r="D689" s="7">
        <v>45609</v>
      </c>
      <c r="E689" s="8">
        <v>-6027.84</v>
      </c>
      <c r="F689" s="8"/>
    </row>
    <row r="690" spans="2:7" x14ac:dyDescent="0.3">
      <c r="B690" t="s">
        <v>422</v>
      </c>
      <c r="C690" s="135" t="s">
        <v>18</v>
      </c>
      <c r="D690" s="7">
        <v>45609</v>
      </c>
      <c r="E690" s="8">
        <v>-3338.31</v>
      </c>
      <c r="F690" s="8"/>
    </row>
    <row r="691" spans="2:7" x14ac:dyDescent="0.3">
      <c r="B691" t="s">
        <v>422</v>
      </c>
      <c r="C691" s="135" t="s">
        <v>467</v>
      </c>
      <c r="D691" s="7">
        <v>45610</v>
      </c>
      <c r="E691" s="8">
        <v>4203.1099999999997</v>
      </c>
      <c r="F691" s="8"/>
    </row>
    <row r="692" spans="2:7" x14ac:dyDescent="0.3">
      <c r="B692" t="s">
        <v>422</v>
      </c>
      <c r="C692" s="135" t="s">
        <v>467</v>
      </c>
      <c r="D692" s="7">
        <v>45610</v>
      </c>
      <c r="E692" s="8">
        <v>21524.89</v>
      </c>
      <c r="F692" s="8"/>
    </row>
    <row r="693" spans="2:7" x14ac:dyDescent="0.3">
      <c r="B693" t="s">
        <v>422</v>
      </c>
      <c r="C693" s="135" t="s">
        <v>508</v>
      </c>
      <c r="D693" s="7">
        <v>45611</v>
      </c>
      <c r="E693" s="8">
        <v>16123.92</v>
      </c>
      <c r="F693" s="8"/>
    </row>
    <row r="694" spans="2:7" x14ac:dyDescent="0.3">
      <c r="B694" t="s">
        <v>422</v>
      </c>
      <c r="C694" s="135" t="s">
        <v>509</v>
      </c>
      <c r="D694" s="7">
        <v>45614</v>
      </c>
      <c r="E694" s="8">
        <v>789.97</v>
      </c>
      <c r="F694" s="8"/>
    </row>
    <row r="695" spans="2:7" x14ac:dyDescent="0.3">
      <c r="B695" t="s">
        <v>422</v>
      </c>
      <c r="C695" s="44">
        <v>20241120</v>
      </c>
      <c r="D695" s="7">
        <v>45616</v>
      </c>
      <c r="E695" s="8">
        <v>2426.91</v>
      </c>
      <c r="F695" s="8"/>
    </row>
    <row r="696" spans="2:7" x14ac:dyDescent="0.3">
      <c r="B696" t="s">
        <v>422</v>
      </c>
      <c r="C696" s="135" t="s">
        <v>510</v>
      </c>
      <c r="D696" s="7">
        <v>45616</v>
      </c>
      <c r="E696" s="8">
        <v>32314.59</v>
      </c>
      <c r="F696" s="8"/>
      <c r="G696" s="102"/>
    </row>
    <row r="697" spans="2:7" x14ac:dyDescent="0.3">
      <c r="B697" t="s">
        <v>422</v>
      </c>
      <c r="C697" s="44">
        <v>5642</v>
      </c>
      <c r="D697" s="7">
        <v>45617</v>
      </c>
      <c r="E697" s="8">
        <v>-427.39</v>
      </c>
      <c r="F697" s="8"/>
    </row>
    <row r="698" spans="2:7" x14ac:dyDescent="0.3">
      <c r="B698" t="s">
        <v>422</v>
      </c>
      <c r="C698" s="135" t="s">
        <v>511</v>
      </c>
      <c r="D698" s="7">
        <v>45618</v>
      </c>
      <c r="E698" s="8">
        <v>9068.65</v>
      </c>
      <c r="F698" s="8"/>
    </row>
    <row r="699" spans="2:7" x14ac:dyDescent="0.3">
      <c r="B699" t="s">
        <v>422</v>
      </c>
      <c r="C699" s="135" t="s">
        <v>512</v>
      </c>
      <c r="D699" s="7">
        <v>45618</v>
      </c>
      <c r="E699" s="8">
        <v>686.94</v>
      </c>
      <c r="F699" s="8"/>
    </row>
    <row r="700" spans="2:7" x14ac:dyDescent="0.3">
      <c r="B700" t="s">
        <v>422</v>
      </c>
      <c r="C700" s="135" t="s">
        <v>513</v>
      </c>
      <c r="D700" s="7">
        <v>45619</v>
      </c>
      <c r="E700" s="8">
        <v>224.97</v>
      </c>
      <c r="F700" s="8"/>
    </row>
    <row r="701" spans="2:7" x14ac:dyDescent="0.3">
      <c r="B701" t="s">
        <v>422</v>
      </c>
      <c r="C701" s="135" t="s">
        <v>514</v>
      </c>
      <c r="D701" s="7">
        <v>45624</v>
      </c>
      <c r="E701" s="8">
        <v>50</v>
      </c>
      <c r="F701" s="8"/>
    </row>
    <row r="702" spans="2:7" x14ac:dyDescent="0.3">
      <c r="B702" t="s">
        <v>422</v>
      </c>
      <c r="C702" s="135" t="s">
        <v>515</v>
      </c>
      <c r="D702" s="7">
        <v>45627</v>
      </c>
      <c r="E702" s="8">
        <v>368.34</v>
      </c>
      <c r="F702" s="8"/>
    </row>
    <row r="703" spans="2:7" x14ac:dyDescent="0.3">
      <c r="B703" t="s">
        <v>422</v>
      </c>
      <c r="C703" s="135" t="s">
        <v>516</v>
      </c>
      <c r="D703" s="7">
        <v>45628</v>
      </c>
      <c r="E703" s="8">
        <v>765.69</v>
      </c>
      <c r="F703" s="8"/>
    </row>
    <row r="704" spans="2:7" x14ac:dyDescent="0.3">
      <c r="B704" t="s">
        <v>422</v>
      </c>
      <c r="C704" s="135" t="s">
        <v>517</v>
      </c>
      <c r="D704" s="7">
        <v>45628</v>
      </c>
      <c r="E704" s="8">
        <v>3.99</v>
      </c>
      <c r="F704" s="8"/>
    </row>
    <row r="705" spans="2:7" x14ac:dyDescent="0.3">
      <c r="B705" t="s">
        <v>422</v>
      </c>
      <c r="C705" s="135" t="s">
        <v>518</v>
      </c>
      <c r="D705" s="7">
        <v>45630</v>
      </c>
      <c r="E705" s="8">
        <v>-1466.25</v>
      </c>
      <c r="F705" s="8"/>
    </row>
    <row r="706" spans="2:7" x14ac:dyDescent="0.3">
      <c r="B706" t="s">
        <v>422</v>
      </c>
      <c r="C706" s="135" t="s">
        <v>519</v>
      </c>
      <c r="D706" s="7">
        <v>45631</v>
      </c>
      <c r="E706" s="8">
        <v>7500.9</v>
      </c>
      <c r="F706" s="8"/>
    </row>
    <row r="707" spans="2:7" x14ac:dyDescent="0.3">
      <c r="B707" t="s">
        <v>422</v>
      </c>
      <c r="C707" s="135" t="s">
        <v>520</v>
      </c>
      <c r="D707" s="7">
        <v>45642</v>
      </c>
      <c r="E707" s="8">
        <v>10420.91</v>
      </c>
      <c r="F707" s="8"/>
    </row>
    <row r="708" spans="2:7" x14ac:dyDescent="0.3">
      <c r="B708" t="s">
        <v>422</v>
      </c>
      <c r="C708" s="135" t="s">
        <v>486</v>
      </c>
      <c r="D708" s="7">
        <v>45642</v>
      </c>
      <c r="E708" s="8">
        <v>3430.94</v>
      </c>
      <c r="F708" s="8"/>
    </row>
    <row r="709" spans="2:7" x14ac:dyDescent="0.3">
      <c r="B709" t="s">
        <v>422</v>
      </c>
      <c r="C709" s="135" t="s">
        <v>20</v>
      </c>
      <c r="D709" s="7">
        <v>45643</v>
      </c>
      <c r="E709" s="8">
        <v>-1336.89</v>
      </c>
      <c r="F709" s="8"/>
    </row>
    <row r="710" spans="2:7" x14ac:dyDescent="0.3">
      <c r="B710" t="s">
        <v>422</v>
      </c>
      <c r="C710" s="135" t="s">
        <v>521</v>
      </c>
      <c r="D710" s="7">
        <v>45647</v>
      </c>
      <c r="E710" s="8">
        <v>1571.59</v>
      </c>
      <c r="F710" s="8"/>
    </row>
    <row r="711" spans="2:7" x14ac:dyDescent="0.3">
      <c r="B711" t="s">
        <v>422</v>
      </c>
      <c r="C711" s="135" t="s">
        <v>21</v>
      </c>
      <c r="D711" s="7">
        <v>45650</v>
      </c>
      <c r="E711" s="8">
        <v>-163599.07</v>
      </c>
      <c r="F711" s="8"/>
    </row>
    <row r="712" spans="2:7" x14ac:dyDescent="0.3">
      <c r="B712" t="s">
        <v>422</v>
      </c>
      <c r="C712" s="135" t="s">
        <v>21</v>
      </c>
      <c r="D712" s="7">
        <v>45650</v>
      </c>
      <c r="E712" s="8">
        <v>-63945.84</v>
      </c>
      <c r="F712" s="8"/>
      <c r="G712" s="102"/>
    </row>
    <row r="713" spans="2:7" x14ac:dyDescent="0.3">
      <c r="B713" t="s">
        <v>422</v>
      </c>
      <c r="C713" s="135" t="s">
        <v>21</v>
      </c>
      <c r="D713" s="7">
        <v>45650</v>
      </c>
      <c r="E713" s="8">
        <v>-45155.4</v>
      </c>
      <c r="F713" s="8"/>
    </row>
    <row r="714" spans="2:7" x14ac:dyDescent="0.3">
      <c r="B714" t="s">
        <v>422</v>
      </c>
      <c r="C714" s="135" t="s">
        <v>21</v>
      </c>
      <c r="D714" s="7">
        <v>45650</v>
      </c>
      <c r="E714" s="8">
        <v>-13814.17</v>
      </c>
      <c r="F714" s="8"/>
    </row>
    <row r="715" spans="2:7" x14ac:dyDescent="0.3">
      <c r="B715" t="s">
        <v>422</v>
      </c>
      <c r="C715" s="135" t="s">
        <v>522</v>
      </c>
      <c r="D715" s="7">
        <v>45651</v>
      </c>
      <c r="E715" s="8">
        <v>4350.49</v>
      </c>
      <c r="F715" s="8"/>
    </row>
    <row r="716" spans="2:7" x14ac:dyDescent="0.3">
      <c r="B716" t="s">
        <v>422</v>
      </c>
      <c r="C716" s="135" t="s">
        <v>523</v>
      </c>
      <c r="D716" s="7">
        <v>45652</v>
      </c>
      <c r="E716" s="8">
        <v>83.78</v>
      </c>
      <c r="F716" s="8"/>
    </row>
    <row r="717" spans="2:7" x14ac:dyDescent="0.3">
      <c r="B717" t="s">
        <v>422</v>
      </c>
      <c r="C717" s="135" t="s">
        <v>524</v>
      </c>
      <c r="D717" s="7">
        <v>45657</v>
      </c>
      <c r="E717" s="8">
        <v>80</v>
      </c>
      <c r="F717" s="8"/>
    </row>
    <row r="718" spans="2:7" x14ac:dyDescent="0.3">
      <c r="B718" t="s">
        <v>422</v>
      </c>
      <c r="C718" s="135" t="s">
        <v>496</v>
      </c>
      <c r="D718" s="7">
        <v>45657</v>
      </c>
      <c r="E718" s="8">
        <v>100</v>
      </c>
      <c r="F718" s="8"/>
    </row>
    <row r="719" spans="2:7" x14ac:dyDescent="0.3">
      <c r="B719" t="s">
        <v>422</v>
      </c>
      <c r="C719" s="135" t="s">
        <v>525</v>
      </c>
      <c r="D719" s="7">
        <v>45658</v>
      </c>
      <c r="E719" s="8">
        <v>2121.4</v>
      </c>
      <c r="F719" s="8"/>
    </row>
    <row r="720" spans="2:7" x14ac:dyDescent="0.3">
      <c r="B720" t="s">
        <v>422</v>
      </c>
      <c r="C720" s="135" t="s">
        <v>513</v>
      </c>
      <c r="D720" s="7">
        <v>45658</v>
      </c>
      <c r="E720" s="8">
        <v>7442.95</v>
      </c>
      <c r="F720" s="8"/>
    </row>
    <row r="721" spans="2:6" x14ac:dyDescent="0.3">
      <c r="B721" t="s">
        <v>422</v>
      </c>
      <c r="C721" s="135" t="s">
        <v>526</v>
      </c>
      <c r="D721" s="7">
        <v>45658</v>
      </c>
      <c r="E721" s="8">
        <v>1490.92</v>
      </c>
      <c r="F721" s="8"/>
    </row>
    <row r="722" spans="2:6" x14ac:dyDescent="0.3">
      <c r="B722" t="s">
        <v>422</v>
      </c>
      <c r="C722" s="135" t="s">
        <v>526</v>
      </c>
      <c r="D722" s="7">
        <v>45658</v>
      </c>
      <c r="E722" s="8">
        <v>3284.41</v>
      </c>
      <c r="F722" s="8"/>
    </row>
    <row r="723" spans="2:6" x14ac:dyDescent="0.3">
      <c r="B723" t="s">
        <v>422</v>
      </c>
      <c r="C723" s="135" t="s">
        <v>527</v>
      </c>
      <c r="D723" s="7">
        <v>45658</v>
      </c>
      <c r="E723" s="8">
        <v>1672.93</v>
      </c>
      <c r="F723" s="8"/>
    </row>
    <row r="724" spans="2:6" x14ac:dyDescent="0.3">
      <c r="B724" t="s">
        <v>422</v>
      </c>
      <c r="C724" s="135" t="s">
        <v>528</v>
      </c>
      <c r="D724" s="7">
        <v>45660</v>
      </c>
      <c r="E724" s="8">
        <v>-1061.27</v>
      </c>
      <c r="F724" s="8"/>
    </row>
    <row r="725" spans="2:6" x14ac:dyDescent="0.3">
      <c r="B725" t="s">
        <v>422</v>
      </c>
      <c r="C725" s="135" t="s">
        <v>529</v>
      </c>
      <c r="D725" s="7">
        <v>45663</v>
      </c>
      <c r="E725" s="8">
        <v>839.54</v>
      </c>
      <c r="F725" s="8"/>
    </row>
    <row r="726" spans="2:6" x14ac:dyDescent="0.3">
      <c r="B726" t="s">
        <v>422</v>
      </c>
      <c r="C726" s="135" t="s">
        <v>530</v>
      </c>
      <c r="D726" s="7">
        <v>45665</v>
      </c>
      <c r="E726" s="8">
        <v>5200</v>
      </c>
      <c r="F726" s="8"/>
    </row>
    <row r="727" spans="2:6" x14ac:dyDescent="0.3">
      <c r="B727" t="s">
        <v>422</v>
      </c>
      <c r="C727" s="135" t="s">
        <v>531</v>
      </c>
      <c r="D727" s="7">
        <v>45665</v>
      </c>
      <c r="E727" s="8">
        <v>800.01</v>
      </c>
      <c r="F727" s="8"/>
    </row>
    <row r="728" spans="2:6" x14ac:dyDescent="0.3">
      <c r="B728" t="s">
        <v>422</v>
      </c>
      <c r="C728" s="135" t="s">
        <v>532</v>
      </c>
      <c r="D728" s="7">
        <v>45666</v>
      </c>
      <c r="E728" s="8">
        <v>-228.07</v>
      </c>
      <c r="F728" s="8"/>
    </row>
    <row r="729" spans="2:6" x14ac:dyDescent="0.3">
      <c r="B729" t="s">
        <v>422</v>
      </c>
      <c r="C729" s="135" t="s">
        <v>533</v>
      </c>
      <c r="D729" s="7">
        <v>45670</v>
      </c>
      <c r="E729" s="8">
        <v>1157.93</v>
      </c>
      <c r="F729" s="8"/>
    </row>
    <row r="730" spans="2:6" x14ac:dyDescent="0.3">
      <c r="B730" t="s">
        <v>422</v>
      </c>
      <c r="C730" s="135" t="s">
        <v>533</v>
      </c>
      <c r="D730" s="7">
        <v>45670</v>
      </c>
      <c r="E730" s="8">
        <v>2150.2199999999998</v>
      </c>
      <c r="F730" s="8"/>
    </row>
    <row r="731" spans="2:6" x14ac:dyDescent="0.3">
      <c r="B731" t="s">
        <v>422</v>
      </c>
      <c r="C731" s="135" t="s">
        <v>533</v>
      </c>
      <c r="D731" s="7">
        <v>45670</v>
      </c>
      <c r="E731" s="8">
        <v>20223.080000000002</v>
      </c>
      <c r="F731" s="8"/>
    </row>
    <row r="732" spans="2:6" x14ac:dyDescent="0.3">
      <c r="B732" t="s">
        <v>422</v>
      </c>
      <c r="C732" s="135" t="s">
        <v>534</v>
      </c>
      <c r="D732" s="7">
        <v>45671</v>
      </c>
      <c r="E732" s="8">
        <v>910.19</v>
      </c>
      <c r="F732" s="8"/>
    </row>
    <row r="733" spans="2:6" x14ac:dyDescent="0.3">
      <c r="B733" t="s">
        <v>422</v>
      </c>
      <c r="C733" s="135" t="s">
        <v>535</v>
      </c>
      <c r="D733" s="7">
        <v>45673</v>
      </c>
      <c r="E733" s="8">
        <v>121</v>
      </c>
      <c r="F733" s="8"/>
    </row>
    <row r="734" spans="2:6" x14ac:dyDescent="0.3">
      <c r="B734" t="s">
        <v>422</v>
      </c>
      <c r="C734" s="135" t="s">
        <v>536</v>
      </c>
      <c r="D734" s="7">
        <v>45674</v>
      </c>
      <c r="E734" s="8">
        <v>-8140.67</v>
      </c>
      <c r="F734" s="8"/>
    </row>
    <row r="735" spans="2:6" x14ac:dyDescent="0.3">
      <c r="B735" t="s">
        <v>422</v>
      </c>
      <c r="C735" s="135" t="s">
        <v>537</v>
      </c>
      <c r="D735" s="7">
        <v>45677</v>
      </c>
      <c r="E735" s="8">
        <v>590.9</v>
      </c>
      <c r="F735" s="8"/>
    </row>
    <row r="736" spans="2:6" x14ac:dyDescent="0.3">
      <c r="B736" t="s">
        <v>422</v>
      </c>
      <c r="C736" s="135" t="s">
        <v>538</v>
      </c>
      <c r="D736" s="7">
        <v>45677</v>
      </c>
      <c r="E736" s="8">
        <v>330.6</v>
      </c>
      <c r="F736" s="8"/>
    </row>
    <row r="737" spans="2:6" x14ac:dyDescent="0.3">
      <c r="B737" t="s">
        <v>422</v>
      </c>
      <c r="C737" s="135" t="s">
        <v>539</v>
      </c>
      <c r="D737" s="7">
        <v>45677</v>
      </c>
      <c r="E737" s="8">
        <v>1619.71</v>
      </c>
      <c r="F737" s="8"/>
    </row>
    <row r="738" spans="2:6" x14ac:dyDescent="0.3">
      <c r="B738" t="s">
        <v>422</v>
      </c>
      <c r="C738" s="135" t="s">
        <v>540</v>
      </c>
      <c r="D738" s="7">
        <v>45677</v>
      </c>
      <c r="E738" s="8">
        <v>3208.66</v>
      </c>
      <c r="F738" s="8"/>
    </row>
    <row r="739" spans="2:6" x14ac:dyDescent="0.3">
      <c r="B739" t="s">
        <v>422</v>
      </c>
      <c r="C739" s="135" t="s">
        <v>541</v>
      </c>
      <c r="D739" s="7">
        <v>45678</v>
      </c>
      <c r="E739" s="8">
        <v>2273.83</v>
      </c>
      <c r="F739" s="8"/>
    </row>
    <row r="740" spans="2:6" x14ac:dyDescent="0.3">
      <c r="B740" t="s">
        <v>422</v>
      </c>
      <c r="C740" s="135" t="s">
        <v>541</v>
      </c>
      <c r="D740" s="7">
        <v>45678</v>
      </c>
      <c r="E740" s="8">
        <v>3036.33</v>
      </c>
      <c r="F740" s="8"/>
    </row>
    <row r="741" spans="2:6" x14ac:dyDescent="0.3">
      <c r="B741" t="s">
        <v>422</v>
      </c>
      <c r="C741" s="135" t="s">
        <v>542</v>
      </c>
      <c r="D741" s="7">
        <v>45678</v>
      </c>
      <c r="E741" s="8">
        <v>0.57999999999999996</v>
      </c>
      <c r="F741" s="8"/>
    </row>
    <row r="742" spans="2:6" x14ac:dyDescent="0.3">
      <c r="B742" t="s">
        <v>422</v>
      </c>
      <c r="C742" s="135" t="s">
        <v>543</v>
      </c>
      <c r="D742" s="7">
        <v>45678</v>
      </c>
      <c r="E742" s="8">
        <v>776</v>
      </c>
      <c r="F742" s="8"/>
    </row>
    <row r="743" spans="2:6" x14ac:dyDescent="0.3">
      <c r="B743" t="s">
        <v>422</v>
      </c>
      <c r="C743" s="135" t="s">
        <v>543</v>
      </c>
      <c r="D743" s="7">
        <v>45678</v>
      </c>
      <c r="E743" s="8">
        <v>2137.27</v>
      </c>
      <c r="F743" s="8"/>
    </row>
    <row r="744" spans="2:6" x14ac:dyDescent="0.3">
      <c r="B744" t="s">
        <v>422</v>
      </c>
      <c r="C744" s="135" t="s">
        <v>544</v>
      </c>
      <c r="D744" s="7">
        <v>45678</v>
      </c>
      <c r="E744" s="8">
        <v>205.9</v>
      </c>
      <c r="F744" s="8"/>
    </row>
    <row r="745" spans="2:6" x14ac:dyDescent="0.3">
      <c r="B745" t="s">
        <v>422</v>
      </c>
      <c r="C745" s="135" t="s">
        <v>545</v>
      </c>
      <c r="D745" s="7">
        <v>45678</v>
      </c>
      <c r="E745" s="8">
        <v>104.69</v>
      </c>
      <c r="F745" s="8"/>
    </row>
    <row r="746" spans="2:6" x14ac:dyDescent="0.3">
      <c r="B746" t="s">
        <v>422</v>
      </c>
      <c r="C746" s="135" t="s">
        <v>546</v>
      </c>
      <c r="D746" s="7">
        <v>45680</v>
      </c>
      <c r="E746" s="8">
        <v>14370.73</v>
      </c>
      <c r="F746" s="8"/>
    </row>
    <row r="747" spans="2:6" x14ac:dyDescent="0.3">
      <c r="B747" t="s">
        <v>422</v>
      </c>
      <c r="C747" s="135" t="s">
        <v>547</v>
      </c>
      <c r="D747" s="7">
        <v>45680</v>
      </c>
      <c r="E747" s="8">
        <v>7</v>
      </c>
      <c r="F747" s="8"/>
    </row>
    <row r="748" spans="2:6" x14ac:dyDescent="0.3">
      <c r="B748" t="s">
        <v>422</v>
      </c>
      <c r="C748" s="135" t="s">
        <v>548</v>
      </c>
      <c r="D748" s="7">
        <v>45680</v>
      </c>
      <c r="E748" s="8">
        <v>150.99</v>
      </c>
      <c r="F748" s="8"/>
    </row>
    <row r="749" spans="2:6" x14ac:dyDescent="0.3">
      <c r="B749" t="s">
        <v>422</v>
      </c>
      <c r="C749" s="135" t="s">
        <v>549</v>
      </c>
      <c r="D749" s="7">
        <v>45681</v>
      </c>
      <c r="E749" s="8">
        <v>137.1</v>
      </c>
      <c r="F749" s="8"/>
    </row>
    <row r="750" spans="2:6" x14ac:dyDescent="0.3">
      <c r="B750" t="s">
        <v>422</v>
      </c>
      <c r="C750" s="135" t="s">
        <v>550</v>
      </c>
      <c r="D750" s="7">
        <v>45681</v>
      </c>
      <c r="E750" s="8">
        <v>2155.6999999999998</v>
      </c>
      <c r="F750" s="8"/>
    </row>
    <row r="751" spans="2:6" x14ac:dyDescent="0.3">
      <c r="B751" t="s">
        <v>422</v>
      </c>
      <c r="C751" s="135" t="s">
        <v>551</v>
      </c>
      <c r="D751" s="7">
        <v>45681</v>
      </c>
      <c r="E751" s="8">
        <v>10</v>
      </c>
      <c r="F751" s="8"/>
    </row>
    <row r="752" spans="2:6" x14ac:dyDescent="0.3">
      <c r="B752" t="s">
        <v>422</v>
      </c>
      <c r="C752" s="135" t="s">
        <v>552</v>
      </c>
      <c r="D752" s="7">
        <v>45681</v>
      </c>
      <c r="E752" s="8">
        <v>-26290.3</v>
      </c>
      <c r="F752" s="8"/>
    </row>
    <row r="753" spans="2:6" x14ac:dyDescent="0.3">
      <c r="B753" t="s">
        <v>422</v>
      </c>
      <c r="C753" s="135" t="s">
        <v>553</v>
      </c>
      <c r="D753" s="7">
        <v>45701</v>
      </c>
      <c r="E753" s="8">
        <v>527.59</v>
      </c>
      <c r="F753" s="8"/>
    </row>
    <row r="754" spans="2:6" x14ac:dyDescent="0.3">
      <c r="B754" t="s">
        <v>422</v>
      </c>
      <c r="C754" s="135" t="s">
        <v>466</v>
      </c>
      <c r="D754" s="7">
        <v>45703</v>
      </c>
      <c r="E754" s="8">
        <v>1753.53</v>
      </c>
      <c r="F754" s="8"/>
    </row>
    <row r="755" spans="2:6" x14ac:dyDescent="0.3">
      <c r="B755" t="s">
        <v>422</v>
      </c>
      <c r="C755" s="135" t="s">
        <v>466</v>
      </c>
      <c r="D755" s="7">
        <v>45707</v>
      </c>
      <c r="E755" s="8">
        <v>330.3</v>
      </c>
      <c r="F755" s="8"/>
    </row>
    <row r="756" spans="2:6" x14ac:dyDescent="0.3">
      <c r="B756" t="s">
        <v>422</v>
      </c>
      <c r="C756" s="135" t="s">
        <v>554</v>
      </c>
      <c r="D756" s="7">
        <v>45712</v>
      </c>
      <c r="E756" s="8">
        <v>30977.29</v>
      </c>
      <c r="F756" s="8"/>
    </row>
    <row r="757" spans="2:6" x14ac:dyDescent="0.3">
      <c r="B757" t="s">
        <v>422</v>
      </c>
      <c r="C757" s="135" t="s">
        <v>555</v>
      </c>
      <c r="D757" s="7">
        <v>45713</v>
      </c>
      <c r="E757" s="8">
        <v>3995.42</v>
      </c>
      <c r="F757" s="8"/>
    </row>
    <row r="758" spans="2:6" x14ac:dyDescent="0.3">
      <c r="B758" t="s">
        <v>422</v>
      </c>
      <c r="C758" s="135" t="s">
        <v>556</v>
      </c>
      <c r="D758" s="7">
        <v>45720</v>
      </c>
      <c r="E758" s="8">
        <v>1468.92</v>
      </c>
      <c r="F758" s="8"/>
    </row>
    <row r="759" spans="2:6" x14ac:dyDescent="0.3">
      <c r="B759" t="s">
        <v>422</v>
      </c>
      <c r="C759" s="135" t="s">
        <v>557</v>
      </c>
      <c r="D759" s="7">
        <v>45729</v>
      </c>
      <c r="E759" s="8">
        <v>6798.95</v>
      </c>
      <c r="F759" s="8"/>
    </row>
    <row r="760" spans="2:6" x14ac:dyDescent="0.3">
      <c r="B760" t="s">
        <v>422</v>
      </c>
      <c r="C760" s="135" t="s">
        <v>558</v>
      </c>
      <c r="D760" s="7">
        <v>45729</v>
      </c>
      <c r="E760" s="8">
        <v>150.15</v>
      </c>
      <c r="F760" s="8"/>
    </row>
    <row r="761" spans="2:6" x14ac:dyDescent="0.3">
      <c r="B761" t="s">
        <v>422</v>
      </c>
      <c r="C761" s="135" t="s">
        <v>559</v>
      </c>
      <c r="D761" s="7">
        <v>45740</v>
      </c>
      <c r="E761" s="8">
        <v>118.01</v>
      </c>
      <c r="F761" s="8"/>
    </row>
    <row r="762" spans="2:6" x14ac:dyDescent="0.3">
      <c r="B762" t="s">
        <v>422</v>
      </c>
      <c r="C762" s="135" t="s">
        <v>560</v>
      </c>
      <c r="D762" s="7">
        <v>45740</v>
      </c>
      <c r="E762" s="8">
        <v>314.82</v>
      </c>
      <c r="F762" s="8"/>
    </row>
    <row r="763" spans="2:6" x14ac:dyDescent="0.3">
      <c r="B763" t="s">
        <v>422</v>
      </c>
      <c r="C763" s="135" t="s">
        <v>561</v>
      </c>
      <c r="D763" s="7">
        <v>45740</v>
      </c>
      <c r="E763" s="8">
        <v>0.19</v>
      </c>
      <c r="F763" s="8"/>
    </row>
    <row r="764" spans="2:6" x14ac:dyDescent="0.3">
      <c r="B764" t="s">
        <v>422</v>
      </c>
      <c r="C764" s="135" t="s">
        <v>562</v>
      </c>
      <c r="D764" s="7">
        <v>45745</v>
      </c>
      <c r="E764" s="8">
        <v>77.05</v>
      </c>
      <c r="F764" s="8"/>
    </row>
    <row r="765" spans="2:6" x14ac:dyDescent="0.3">
      <c r="B765" t="s">
        <v>422</v>
      </c>
      <c r="C765" s="135" t="s">
        <v>563</v>
      </c>
      <c r="D765" s="7">
        <v>45749</v>
      </c>
      <c r="E765" s="8">
        <v>386.28</v>
      </c>
      <c r="F765" s="8"/>
    </row>
    <row r="766" spans="2:6" x14ac:dyDescent="0.3">
      <c r="B766" t="s">
        <v>422</v>
      </c>
      <c r="C766" s="135" t="s">
        <v>564</v>
      </c>
      <c r="D766" s="7">
        <v>45749</v>
      </c>
      <c r="E766" s="8">
        <v>-3380.02</v>
      </c>
      <c r="F766" s="8"/>
    </row>
    <row r="767" spans="2:6" x14ac:dyDescent="0.3">
      <c r="B767" t="s">
        <v>422</v>
      </c>
      <c r="C767" s="135" t="s">
        <v>564</v>
      </c>
      <c r="D767" s="7">
        <v>45749</v>
      </c>
      <c r="E767" s="8">
        <v>-2019.55</v>
      </c>
      <c r="F767" s="8"/>
    </row>
    <row r="768" spans="2:6" x14ac:dyDescent="0.3">
      <c r="B768" t="s">
        <v>422</v>
      </c>
      <c r="C768" s="135" t="s">
        <v>564</v>
      </c>
      <c r="D768" s="7">
        <v>45749</v>
      </c>
      <c r="E768" s="8">
        <v>-1462.96</v>
      </c>
      <c r="F768" s="8"/>
    </row>
    <row r="769" spans="2:7" x14ac:dyDescent="0.3">
      <c r="B769" t="s">
        <v>422</v>
      </c>
      <c r="C769" s="135" t="s">
        <v>60</v>
      </c>
      <c r="D769" s="7">
        <v>45756</v>
      </c>
      <c r="E769" s="8">
        <v>-20102.099999999999</v>
      </c>
      <c r="F769" s="8"/>
    </row>
    <row r="770" spans="2:7" x14ac:dyDescent="0.3">
      <c r="B770" t="s">
        <v>422</v>
      </c>
      <c r="C770" s="135" t="s">
        <v>60</v>
      </c>
      <c r="D770" s="7">
        <v>45756</v>
      </c>
      <c r="E770" s="8">
        <v>-7812.45</v>
      </c>
      <c r="F770" s="8"/>
    </row>
    <row r="771" spans="2:7" x14ac:dyDescent="0.3">
      <c r="B771" t="s">
        <v>422</v>
      </c>
      <c r="C771" s="135" t="s">
        <v>60</v>
      </c>
      <c r="D771" s="7">
        <v>45756</v>
      </c>
      <c r="E771" s="8">
        <v>-145.1</v>
      </c>
      <c r="F771" s="8"/>
    </row>
    <row r="772" spans="2:7" x14ac:dyDescent="0.3">
      <c r="B772" t="s">
        <v>422</v>
      </c>
      <c r="C772" s="135" t="s">
        <v>60</v>
      </c>
      <c r="D772" s="7">
        <v>45756</v>
      </c>
      <c r="E772" s="8">
        <v>-2.86</v>
      </c>
      <c r="F772" s="8"/>
    </row>
    <row r="773" spans="2:7" x14ac:dyDescent="0.3">
      <c r="B773" t="s">
        <v>422</v>
      </c>
      <c r="C773" s="135" t="s">
        <v>565</v>
      </c>
      <c r="D773" s="7">
        <v>45761</v>
      </c>
      <c r="E773" s="8">
        <v>-2442</v>
      </c>
      <c r="F773" s="8"/>
    </row>
    <row r="774" spans="2:7" x14ac:dyDescent="0.3">
      <c r="B774" t="s">
        <v>422</v>
      </c>
      <c r="C774" s="135" t="s">
        <v>565</v>
      </c>
      <c r="D774" s="7">
        <v>45761</v>
      </c>
      <c r="E774" s="8">
        <v>-2442</v>
      </c>
      <c r="F774" s="8"/>
      <c r="G774" s="102"/>
    </row>
    <row r="775" spans="2:7" x14ac:dyDescent="0.3">
      <c r="B775" t="s">
        <v>422</v>
      </c>
      <c r="C775" s="135" t="s">
        <v>566</v>
      </c>
      <c r="D775" s="7">
        <v>45763</v>
      </c>
      <c r="E775" s="8">
        <v>400</v>
      </c>
      <c r="F775" s="8"/>
    </row>
    <row r="776" spans="2:7" x14ac:dyDescent="0.3">
      <c r="B776" t="s">
        <v>422</v>
      </c>
      <c r="C776" s="135" t="s">
        <v>567</v>
      </c>
      <c r="D776" s="7">
        <v>45769</v>
      </c>
      <c r="E776" s="8">
        <v>-23549.4</v>
      </c>
      <c r="F776" s="8"/>
    </row>
    <row r="777" spans="2:7" x14ac:dyDescent="0.3">
      <c r="B777" t="s">
        <v>422</v>
      </c>
      <c r="C777" s="135" t="s">
        <v>567</v>
      </c>
      <c r="D777" s="7">
        <v>45769</v>
      </c>
      <c r="E777" s="8">
        <v>-10751.59</v>
      </c>
      <c r="F777" s="8"/>
    </row>
    <row r="778" spans="2:7" x14ac:dyDescent="0.3">
      <c r="B778" t="s">
        <v>422</v>
      </c>
      <c r="C778" s="135" t="s">
        <v>567</v>
      </c>
      <c r="D778" s="7">
        <v>45769</v>
      </c>
      <c r="E778" s="8">
        <v>-3900</v>
      </c>
      <c r="F778" s="8"/>
    </row>
    <row r="779" spans="2:7" x14ac:dyDescent="0.3">
      <c r="B779" t="s">
        <v>422</v>
      </c>
      <c r="C779" s="135" t="s">
        <v>567</v>
      </c>
      <c r="D779" s="7">
        <v>45769</v>
      </c>
      <c r="E779" s="8">
        <v>-2699.53</v>
      </c>
      <c r="F779" s="8"/>
      <c r="G779" s="102"/>
    </row>
    <row r="780" spans="2:7" x14ac:dyDescent="0.3">
      <c r="B780" t="s">
        <v>422</v>
      </c>
      <c r="C780" s="135" t="s">
        <v>567</v>
      </c>
      <c r="D780" s="7">
        <v>45769</v>
      </c>
      <c r="E780" s="8">
        <v>-1725.83</v>
      </c>
      <c r="F780" s="8"/>
      <c r="G780" s="102"/>
    </row>
    <row r="781" spans="2:7" x14ac:dyDescent="0.3">
      <c r="B781" t="s">
        <v>422</v>
      </c>
      <c r="C781" s="135" t="s">
        <v>567</v>
      </c>
      <c r="D781" s="7">
        <v>45769</v>
      </c>
      <c r="E781" s="8">
        <v>-1197.18</v>
      </c>
      <c r="F781" s="8"/>
      <c r="G781" s="102"/>
    </row>
    <row r="782" spans="2:7" x14ac:dyDescent="0.3">
      <c r="B782" t="s">
        <v>422</v>
      </c>
      <c r="C782" s="135" t="s">
        <v>567</v>
      </c>
      <c r="D782" s="7">
        <v>45769</v>
      </c>
      <c r="E782" s="8">
        <v>-800</v>
      </c>
      <c r="F782" s="8"/>
    </row>
    <row r="783" spans="2:7" x14ac:dyDescent="0.3">
      <c r="B783" t="s">
        <v>422</v>
      </c>
      <c r="C783" s="135" t="s">
        <v>567</v>
      </c>
      <c r="D783" s="7">
        <v>45769</v>
      </c>
      <c r="E783" s="8">
        <v>-590.9</v>
      </c>
      <c r="F783" s="8"/>
    </row>
    <row r="784" spans="2:7" x14ac:dyDescent="0.3">
      <c r="B784" t="s">
        <v>422</v>
      </c>
      <c r="C784" s="135" t="s">
        <v>567</v>
      </c>
      <c r="D784" s="7">
        <v>45769</v>
      </c>
      <c r="E784" s="8">
        <v>-318.7</v>
      </c>
      <c r="F784" s="8"/>
    </row>
    <row r="785" spans="2:6" x14ac:dyDescent="0.3">
      <c r="B785" t="s">
        <v>422</v>
      </c>
      <c r="C785" s="135" t="s">
        <v>567</v>
      </c>
      <c r="D785" s="7">
        <v>45769</v>
      </c>
      <c r="E785" s="8">
        <v>-293.63</v>
      </c>
      <c r="F785" s="8"/>
    </row>
    <row r="786" spans="2:6" x14ac:dyDescent="0.3">
      <c r="B786" t="s">
        <v>422</v>
      </c>
      <c r="C786" s="135" t="s">
        <v>567</v>
      </c>
      <c r="D786" s="7">
        <v>45769</v>
      </c>
      <c r="E786" s="8">
        <v>-263.67</v>
      </c>
      <c r="F786" s="8"/>
    </row>
    <row r="787" spans="2:6" x14ac:dyDescent="0.3">
      <c r="B787" t="s">
        <v>422</v>
      </c>
      <c r="C787" s="135" t="s">
        <v>567</v>
      </c>
      <c r="D787" s="7">
        <v>45769</v>
      </c>
      <c r="E787" s="8">
        <v>-110.23</v>
      </c>
      <c r="F787" s="8"/>
    </row>
    <row r="788" spans="2:6" x14ac:dyDescent="0.3">
      <c r="B788" t="s">
        <v>422</v>
      </c>
      <c r="C788" s="135" t="s">
        <v>567</v>
      </c>
      <c r="D788" s="7">
        <v>45769</v>
      </c>
      <c r="E788" s="8">
        <v>-0.01</v>
      </c>
      <c r="F788" s="8"/>
    </row>
    <row r="789" spans="2:6" x14ac:dyDescent="0.3">
      <c r="B789" t="s">
        <v>422</v>
      </c>
      <c r="C789" s="135" t="s">
        <v>568</v>
      </c>
      <c r="D789" s="7">
        <v>45770</v>
      </c>
      <c r="E789" s="8">
        <v>2914.92</v>
      </c>
      <c r="F789" s="8"/>
    </row>
    <row r="790" spans="2:6" x14ac:dyDescent="0.3">
      <c r="B790" t="s">
        <v>422</v>
      </c>
      <c r="C790" s="135" t="s">
        <v>569</v>
      </c>
      <c r="D790" s="7">
        <v>45770</v>
      </c>
      <c r="E790" s="8">
        <v>135.16999999999999</v>
      </c>
      <c r="F790" s="8"/>
    </row>
    <row r="791" spans="2:6" x14ac:dyDescent="0.3">
      <c r="B791" t="s">
        <v>422</v>
      </c>
      <c r="C791" s="135" t="s">
        <v>570</v>
      </c>
      <c r="D791" s="7">
        <v>45773</v>
      </c>
      <c r="E791" s="8">
        <v>1910.45</v>
      </c>
      <c r="F791" s="8"/>
    </row>
    <row r="792" spans="2:6" x14ac:dyDescent="0.3">
      <c r="B792" t="s">
        <v>422</v>
      </c>
      <c r="C792" s="135" t="s">
        <v>571</v>
      </c>
      <c r="D792" s="7">
        <v>45783</v>
      </c>
      <c r="E792" s="8">
        <v>-200000</v>
      </c>
      <c r="F792" s="8"/>
    </row>
    <row r="793" spans="2:6" x14ac:dyDescent="0.3">
      <c r="B793" t="s">
        <v>422</v>
      </c>
      <c r="C793" s="135" t="s">
        <v>571</v>
      </c>
      <c r="D793" s="7">
        <v>45783</v>
      </c>
      <c r="E793" s="8">
        <v>-2027.27</v>
      </c>
      <c r="F793" s="8"/>
    </row>
    <row r="794" spans="2:6" x14ac:dyDescent="0.3">
      <c r="B794" t="s">
        <v>422</v>
      </c>
      <c r="C794" s="135" t="s">
        <v>572</v>
      </c>
      <c r="D794" s="7">
        <v>45785</v>
      </c>
      <c r="E794" s="8">
        <v>-192555.65</v>
      </c>
      <c r="F794" s="8"/>
    </row>
    <row r="795" spans="2:6" x14ac:dyDescent="0.3">
      <c r="B795" t="s">
        <v>422</v>
      </c>
      <c r="C795" s="135" t="s">
        <v>572</v>
      </c>
      <c r="D795" s="7">
        <v>45785</v>
      </c>
      <c r="E795" s="8">
        <v>-110766.6</v>
      </c>
      <c r="F795" s="8"/>
    </row>
    <row r="796" spans="2:6" x14ac:dyDescent="0.3">
      <c r="B796" t="s">
        <v>422</v>
      </c>
      <c r="C796" s="135" t="s">
        <v>572</v>
      </c>
      <c r="D796" s="7">
        <v>45785</v>
      </c>
      <c r="E796" s="8">
        <v>-107972.49</v>
      </c>
      <c r="F796" s="8"/>
    </row>
    <row r="797" spans="2:6" x14ac:dyDescent="0.3">
      <c r="B797" t="s">
        <v>422</v>
      </c>
      <c r="C797" s="135" t="s">
        <v>572</v>
      </c>
      <c r="D797" s="7">
        <v>45785</v>
      </c>
      <c r="E797" s="8">
        <v>-53312.26</v>
      </c>
      <c r="F797" s="8"/>
    </row>
    <row r="798" spans="2:6" x14ac:dyDescent="0.3">
      <c r="B798" t="s">
        <v>422</v>
      </c>
      <c r="C798" s="135" t="s">
        <v>572</v>
      </c>
      <c r="D798" s="7">
        <v>45785</v>
      </c>
      <c r="E798" s="8">
        <v>-23786.52</v>
      </c>
      <c r="F798" s="8"/>
    </row>
    <row r="799" spans="2:6" x14ac:dyDescent="0.3">
      <c r="B799" t="s">
        <v>422</v>
      </c>
      <c r="C799" s="135" t="s">
        <v>572</v>
      </c>
      <c r="D799" s="7">
        <v>45785</v>
      </c>
      <c r="E799" s="8">
        <v>-23756.54</v>
      </c>
      <c r="F799" s="8"/>
    </row>
    <row r="800" spans="2:6" x14ac:dyDescent="0.3">
      <c r="B800" t="s">
        <v>422</v>
      </c>
      <c r="C800" s="135" t="s">
        <v>572</v>
      </c>
      <c r="D800" s="7">
        <v>45785</v>
      </c>
      <c r="E800" s="8">
        <v>-18303.16</v>
      </c>
      <c r="F800" s="8"/>
    </row>
    <row r="801" spans="2:7" x14ac:dyDescent="0.3">
      <c r="B801" t="s">
        <v>422</v>
      </c>
      <c r="C801" s="135" t="s">
        <v>573</v>
      </c>
      <c r="D801" s="7">
        <v>45788</v>
      </c>
      <c r="E801" s="8">
        <v>4391.59</v>
      </c>
      <c r="F801" s="8"/>
    </row>
    <row r="802" spans="2:7" x14ac:dyDescent="0.3">
      <c r="B802" t="s">
        <v>422</v>
      </c>
      <c r="C802" s="135" t="s">
        <v>530</v>
      </c>
      <c r="D802" s="7">
        <v>45788</v>
      </c>
      <c r="E802" s="8">
        <v>4555.46</v>
      </c>
      <c r="F802" s="8"/>
    </row>
    <row r="803" spans="2:7" x14ac:dyDescent="0.3">
      <c r="B803" t="s">
        <v>422</v>
      </c>
      <c r="C803" s="135" t="s">
        <v>574</v>
      </c>
      <c r="D803" s="7">
        <v>45788</v>
      </c>
      <c r="E803" s="8">
        <v>420.22</v>
      </c>
      <c r="F803" s="8"/>
    </row>
    <row r="804" spans="2:7" x14ac:dyDescent="0.3">
      <c r="B804" t="s">
        <v>422</v>
      </c>
      <c r="C804" s="135" t="s">
        <v>575</v>
      </c>
      <c r="D804" s="7">
        <v>45788</v>
      </c>
      <c r="E804" s="8">
        <v>8054.28</v>
      </c>
      <c r="F804" s="8"/>
    </row>
    <row r="805" spans="2:7" x14ac:dyDescent="0.3">
      <c r="B805" t="s">
        <v>422</v>
      </c>
      <c r="C805" s="135" t="s">
        <v>576</v>
      </c>
      <c r="D805" s="7">
        <v>45788</v>
      </c>
      <c r="E805" s="8">
        <v>10.7</v>
      </c>
      <c r="F805" s="8"/>
    </row>
    <row r="806" spans="2:7" x14ac:dyDescent="0.3">
      <c r="B806" t="s">
        <v>422</v>
      </c>
      <c r="C806" s="135" t="s">
        <v>577</v>
      </c>
      <c r="D806" s="7">
        <v>45788</v>
      </c>
      <c r="E806" s="8">
        <v>243.7</v>
      </c>
      <c r="F806" s="8"/>
    </row>
    <row r="807" spans="2:7" x14ac:dyDescent="0.3">
      <c r="B807" t="s">
        <v>422</v>
      </c>
      <c r="C807" s="135" t="s">
        <v>578</v>
      </c>
      <c r="D807" s="7">
        <v>45788</v>
      </c>
      <c r="E807" s="8">
        <v>1322</v>
      </c>
      <c r="F807" s="8"/>
    </row>
    <row r="808" spans="2:7" x14ac:dyDescent="0.3">
      <c r="B808" t="s">
        <v>422</v>
      </c>
      <c r="C808" s="135" t="s">
        <v>579</v>
      </c>
      <c r="D808" s="7">
        <v>45789</v>
      </c>
      <c r="E808" s="8">
        <v>5543.21</v>
      </c>
      <c r="F808" s="8"/>
      <c r="G808" s="102"/>
    </row>
    <row r="809" spans="2:7" x14ac:dyDescent="0.3">
      <c r="B809" t="s">
        <v>422</v>
      </c>
      <c r="C809" s="135" t="s">
        <v>580</v>
      </c>
      <c r="D809" s="7">
        <v>45794</v>
      </c>
      <c r="E809" s="8">
        <v>0.25</v>
      </c>
      <c r="F809" s="8"/>
    </row>
    <row r="810" spans="2:7" x14ac:dyDescent="0.3">
      <c r="B810" t="s">
        <v>422</v>
      </c>
      <c r="C810" s="135" t="s">
        <v>581</v>
      </c>
      <c r="D810" s="7">
        <v>45796</v>
      </c>
      <c r="E810" s="8">
        <v>302.88</v>
      </c>
      <c r="F810" s="8"/>
    </row>
    <row r="811" spans="2:7" x14ac:dyDescent="0.3">
      <c r="B811" t="s">
        <v>422</v>
      </c>
      <c r="C811" s="135" t="s">
        <v>582</v>
      </c>
      <c r="D811" s="7">
        <v>45796</v>
      </c>
      <c r="E811" s="8">
        <v>8860.27</v>
      </c>
      <c r="F811" s="8"/>
    </row>
    <row r="812" spans="2:7" x14ac:dyDescent="0.3">
      <c r="B812" t="s">
        <v>422</v>
      </c>
      <c r="C812" s="135" t="s">
        <v>583</v>
      </c>
      <c r="D812" s="7">
        <v>45796</v>
      </c>
      <c r="E812" s="8">
        <v>2279.27</v>
      </c>
      <c r="F812" s="8"/>
    </row>
    <row r="813" spans="2:7" x14ac:dyDescent="0.3">
      <c r="B813" t="s">
        <v>422</v>
      </c>
      <c r="C813" s="135" t="s">
        <v>584</v>
      </c>
      <c r="D813" s="7">
        <v>45796</v>
      </c>
      <c r="E813" s="8">
        <v>2810.15</v>
      </c>
      <c r="F813" s="8"/>
    </row>
    <row r="814" spans="2:7" x14ac:dyDescent="0.3">
      <c r="B814" t="s">
        <v>422</v>
      </c>
      <c r="C814" s="135" t="s">
        <v>582</v>
      </c>
      <c r="D814" s="7">
        <v>45796</v>
      </c>
      <c r="E814" s="8">
        <v>2164.0300000000002</v>
      </c>
      <c r="F814" s="8"/>
    </row>
    <row r="815" spans="2:7" x14ac:dyDescent="0.3">
      <c r="B815" t="s">
        <v>422</v>
      </c>
      <c r="C815" s="135" t="s">
        <v>586</v>
      </c>
      <c r="D815" s="7">
        <v>45796</v>
      </c>
      <c r="E815" s="8">
        <v>1716.13</v>
      </c>
      <c r="F815" s="8"/>
    </row>
    <row r="816" spans="2:7" x14ac:dyDescent="0.3">
      <c r="B816" t="s">
        <v>422</v>
      </c>
      <c r="C816" s="135" t="s">
        <v>585</v>
      </c>
      <c r="D816" s="7">
        <v>45796</v>
      </c>
      <c r="E816" s="8">
        <v>2749.82</v>
      </c>
      <c r="F816" s="8"/>
    </row>
    <row r="817" spans="2:6" x14ac:dyDescent="0.3">
      <c r="B817" t="s">
        <v>422</v>
      </c>
      <c r="C817" s="135" t="s">
        <v>587</v>
      </c>
      <c r="D817" s="7">
        <v>45796</v>
      </c>
      <c r="E817" s="8">
        <v>1094.72</v>
      </c>
      <c r="F817" s="8"/>
    </row>
    <row r="818" spans="2:6" x14ac:dyDescent="0.3">
      <c r="B818" t="s">
        <v>422</v>
      </c>
      <c r="C818" s="135" t="s">
        <v>588</v>
      </c>
      <c r="D818" s="7">
        <v>45796</v>
      </c>
      <c r="E818" s="8">
        <v>412.3</v>
      </c>
      <c r="F818" s="8"/>
    </row>
    <row r="819" spans="2:6" x14ac:dyDescent="0.3">
      <c r="B819" t="s">
        <v>422</v>
      </c>
      <c r="C819" s="135" t="s">
        <v>589</v>
      </c>
      <c r="D819" s="7">
        <v>45796</v>
      </c>
      <c r="E819" s="8">
        <v>102.14</v>
      </c>
      <c r="F819" s="8"/>
    </row>
    <row r="820" spans="2:6" x14ac:dyDescent="0.3">
      <c r="B820" t="s">
        <v>422</v>
      </c>
      <c r="C820" s="135" t="s">
        <v>590</v>
      </c>
      <c r="D820" s="7">
        <v>45796</v>
      </c>
      <c r="E820" s="8">
        <v>324.5</v>
      </c>
      <c r="F820" s="8"/>
    </row>
    <row r="821" spans="2:6" x14ac:dyDescent="0.3">
      <c r="B821" t="s">
        <v>422</v>
      </c>
      <c r="C821" s="135" t="s">
        <v>591</v>
      </c>
      <c r="D821" s="7">
        <v>45796</v>
      </c>
      <c r="E821" s="8">
        <v>2103.64</v>
      </c>
      <c r="F821" s="8"/>
    </row>
    <row r="822" spans="2:6" x14ac:dyDescent="0.3">
      <c r="B822" t="s">
        <v>422</v>
      </c>
      <c r="C822" s="135" t="s">
        <v>592</v>
      </c>
      <c r="D822" s="7">
        <v>45796</v>
      </c>
      <c r="E822" s="8">
        <v>2715.09</v>
      </c>
      <c r="F822" s="8"/>
    </row>
    <row r="823" spans="2:6" x14ac:dyDescent="0.3">
      <c r="B823" t="s">
        <v>422</v>
      </c>
      <c r="C823" s="135" t="s">
        <v>593</v>
      </c>
      <c r="D823" s="7">
        <v>45796</v>
      </c>
      <c r="E823" s="8">
        <v>1059.45</v>
      </c>
      <c r="F823" s="8"/>
    </row>
    <row r="824" spans="2:6" x14ac:dyDescent="0.3">
      <c r="B824" t="s">
        <v>422</v>
      </c>
      <c r="C824" s="135" t="s">
        <v>594</v>
      </c>
      <c r="D824" s="7">
        <v>45796</v>
      </c>
      <c r="E824" s="8">
        <v>922.62</v>
      </c>
      <c r="F824" s="8"/>
    </row>
    <row r="825" spans="2:6" x14ac:dyDescent="0.3">
      <c r="B825" t="s">
        <v>422</v>
      </c>
      <c r="C825" s="135" t="s">
        <v>595</v>
      </c>
      <c r="D825" s="7">
        <v>45796</v>
      </c>
      <c r="E825" s="8">
        <v>4619.84</v>
      </c>
      <c r="F825" s="8"/>
    </row>
    <row r="826" spans="2:6" x14ac:dyDescent="0.3">
      <c r="B826" t="s">
        <v>422</v>
      </c>
      <c r="C826" s="135" t="s">
        <v>596</v>
      </c>
      <c r="D826" s="7">
        <v>45796</v>
      </c>
      <c r="E826" s="8">
        <v>12165.2</v>
      </c>
      <c r="F826" s="8"/>
    </row>
    <row r="827" spans="2:6" x14ac:dyDescent="0.3">
      <c r="B827" t="s">
        <v>422</v>
      </c>
      <c r="C827" s="135" t="s">
        <v>579</v>
      </c>
      <c r="D827" s="7">
        <v>45796</v>
      </c>
      <c r="E827" s="8">
        <v>84.78</v>
      </c>
      <c r="F827" s="8"/>
    </row>
    <row r="828" spans="2:6" x14ac:dyDescent="0.3">
      <c r="B828" t="s">
        <v>422</v>
      </c>
      <c r="C828" s="135" t="s">
        <v>597</v>
      </c>
      <c r="D828" s="7">
        <v>45796</v>
      </c>
      <c r="E828" s="8">
        <v>6828.39</v>
      </c>
      <c r="F828" s="8"/>
    </row>
    <row r="829" spans="2:6" x14ac:dyDescent="0.3">
      <c r="B829" t="s">
        <v>422</v>
      </c>
      <c r="C829" s="135" t="s">
        <v>574</v>
      </c>
      <c r="D829" s="7">
        <v>45796</v>
      </c>
      <c r="E829" s="8">
        <v>2945.65</v>
      </c>
      <c r="F829" s="8"/>
    </row>
    <row r="830" spans="2:6" x14ac:dyDescent="0.3">
      <c r="B830" t="s">
        <v>422</v>
      </c>
      <c r="C830" s="135" t="s">
        <v>598</v>
      </c>
      <c r="D830" s="7">
        <v>45796</v>
      </c>
      <c r="E830" s="8">
        <v>1031.74</v>
      </c>
      <c r="F830" s="8"/>
    </row>
    <row r="831" spans="2:6" x14ac:dyDescent="0.3">
      <c r="B831" t="s">
        <v>422</v>
      </c>
      <c r="C831" s="135" t="s">
        <v>599</v>
      </c>
      <c r="D831" s="7">
        <v>45796</v>
      </c>
      <c r="E831" s="8">
        <v>6227.16</v>
      </c>
      <c r="F831" s="8"/>
    </row>
    <row r="832" spans="2:6" x14ac:dyDescent="0.3">
      <c r="B832" t="s">
        <v>422</v>
      </c>
      <c r="C832" s="135" t="s">
        <v>600</v>
      </c>
      <c r="D832" s="7">
        <v>45796</v>
      </c>
      <c r="E832" s="8">
        <v>3950.91</v>
      </c>
      <c r="F832" s="8"/>
    </row>
    <row r="833" spans="2:6" x14ac:dyDescent="0.3">
      <c r="B833" t="s">
        <v>422</v>
      </c>
      <c r="C833" s="135" t="s">
        <v>593</v>
      </c>
      <c r="D833" s="7">
        <v>45796</v>
      </c>
      <c r="E833" s="8">
        <v>956.99</v>
      </c>
      <c r="F833" s="8"/>
    </row>
    <row r="834" spans="2:6" x14ac:dyDescent="0.3">
      <c r="B834" t="s">
        <v>422</v>
      </c>
      <c r="C834" s="135" t="s">
        <v>601</v>
      </c>
      <c r="D834" s="7">
        <v>45796</v>
      </c>
      <c r="E834" s="8">
        <v>187.75</v>
      </c>
      <c r="F834" s="8"/>
    </row>
    <row r="835" spans="2:6" x14ac:dyDescent="0.3">
      <c r="B835" t="s">
        <v>422</v>
      </c>
      <c r="C835" s="135" t="s">
        <v>602</v>
      </c>
      <c r="D835" s="7">
        <v>45796</v>
      </c>
      <c r="E835" s="8">
        <v>4021.34</v>
      </c>
      <c r="F835" s="8"/>
    </row>
    <row r="836" spans="2:6" x14ac:dyDescent="0.3">
      <c r="B836" t="s">
        <v>422</v>
      </c>
      <c r="C836" s="135" t="s">
        <v>603</v>
      </c>
      <c r="D836" s="7">
        <v>45796</v>
      </c>
      <c r="E836" s="8">
        <v>4389.6099999999997</v>
      </c>
      <c r="F836" s="8"/>
    </row>
    <row r="837" spans="2:6" x14ac:dyDescent="0.3">
      <c r="B837" t="s">
        <v>422</v>
      </c>
      <c r="C837" s="135" t="s">
        <v>604</v>
      </c>
      <c r="D837" s="7">
        <v>45796</v>
      </c>
      <c r="E837" s="8">
        <v>793.09</v>
      </c>
      <c r="F837" s="8"/>
    </row>
    <row r="838" spans="2:6" x14ac:dyDescent="0.3">
      <c r="B838" t="s">
        <v>422</v>
      </c>
      <c r="C838" s="135" t="s">
        <v>605</v>
      </c>
      <c r="D838" s="7">
        <v>45796</v>
      </c>
      <c r="E838" s="8">
        <v>2202</v>
      </c>
      <c r="F838" s="8"/>
    </row>
    <row r="839" spans="2:6" x14ac:dyDescent="0.3">
      <c r="B839" t="s">
        <v>422</v>
      </c>
      <c r="C839" s="135" t="s">
        <v>607</v>
      </c>
      <c r="D839" s="7">
        <v>45797</v>
      </c>
      <c r="E839" s="8">
        <v>2297.41</v>
      </c>
      <c r="F839" s="8"/>
    </row>
    <row r="840" spans="2:6" x14ac:dyDescent="0.3">
      <c r="B840" t="s">
        <v>422</v>
      </c>
      <c r="C840" s="135" t="s">
        <v>608</v>
      </c>
      <c r="D840" s="7">
        <v>45798</v>
      </c>
      <c r="E840" s="8">
        <v>114.23</v>
      </c>
      <c r="F840" s="8"/>
    </row>
    <row r="841" spans="2:6" x14ac:dyDescent="0.3">
      <c r="B841" t="s">
        <v>422</v>
      </c>
      <c r="C841" s="135" t="s">
        <v>608</v>
      </c>
      <c r="D841" s="7">
        <v>45798</v>
      </c>
      <c r="E841" s="8">
        <v>651.45000000000005</v>
      </c>
      <c r="F841" s="8"/>
    </row>
    <row r="842" spans="2:6" x14ac:dyDescent="0.3">
      <c r="B842" t="s">
        <v>422</v>
      </c>
      <c r="C842" s="135" t="s">
        <v>609</v>
      </c>
      <c r="D842" s="7">
        <v>45799</v>
      </c>
      <c r="E842" s="8">
        <v>5482.2</v>
      </c>
      <c r="F842" s="8"/>
    </row>
    <row r="843" spans="2:6" x14ac:dyDescent="0.3">
      <c r="B843" t="s">
        <v>422</v>
      </c>
      <c r="C843" s="135" t="s">
        <v>610</v>
      </c>
      <c r="D843" s="7">
        <v>45799</v>
      </c>
      <c r="E843" s="8">
        <v>-200000</v>
      </c>
      <c r="F843" s="8"/>
    </row>
    <row r="844" spans="2:6" x14ac:dyDescent="0.3">
      <c r="B844" t="s">
        <v>422</v>
      </c>
      <c r="C844" s="135" t="s">
        <v>611</v>
      </c>
      <c r="D844" s="7">
        <v>45801</v>
      </c>
      <c r="E844" s="8">
        <v>469.2</v>
      </c>
      <c r="F844" s="8"/>
    </row>
    <row r="845" spans="2:6" x14ac:dyDescent="0.3">
      <c r="B845" t="s">
        <v>422</v>
      </c>
      <c r="C845" s="135" t="s">
        <v>612</v>
      </c>
      <c r="D845" s="7">
        <v>45801</v>
      </c>
      <c r="E845" s="8">
        <v>620.58000000000004</v>
      </c>
      <c r="F845" s="8"/>
    </row>
    <row r="846" spans="2:6" x14ac:dyDescent="0.3">
      <c r="B846" t="s">
        <v>422</v>
      </c>
      <c r="C846" s="135" t="s">
        <v>610</v>
      </c>
      <c r="D846" s="7">
        <v>45804</v>
      </c>
      <c r="E846" s="8">
        <v>-400000</v>
      </c>
      <c r="F846" s="8"/>
    </row>
    <row r="847" spans="2:6" x14ac:dyDescent="0.3">
      <c r="B847" t="s">
        <v>422</v>
      </c>
      <c r="C847" s="135" t="s">
        <v>24</v>
      </c>
      <c r="D847" s="7">
        <v>45804</v>
      </c>
      <c r="E847" s="8">
        <v>-4396</v>
      </c>
      <c r="F847" s="8"/>
    </row>
    <row r="848" spans="2:6" x14ac:dyDescent="0.3">
      <c r="B848" t="s">
        <v>422</v>
      </c>
      <c r="C848" s="135" t="s">
        <v>613</v>
      </c>
      <c r="D848" s="7">
        <v>45806</v>
      </c>
      <c r="E848" s="8">
        <v>14743.72</v>
      </c>
      <c r="F848" s="8"/>
    </row>
    <row r="849" spans="2:6" x14ac:dyDescent="0.3">
      <c r="B849" t="s">
        <v>422</v>
      </c>
      <c r="C849" s="135" t="s">
        <v>614</v>
      </c>
      <c r="D849" s="7">
        <v>45806</v>
      </c>
      <c r="E849" s="8">
        <v>836.8</v>
      </c>
      <c r="F849" s="8"/>
    </row>
    <row r="850" spans="2:6" x14ac:dyDescent="0.3">
      <c r="B850" t="s">
        <v>422</v>
      </c>
      <c r="C850" s="135" t="s">
        <v>615</v>
      </c>
      <c r="D850" s="7">
        <v>45806</v>
      </c>
      <c r="E850" s="8">
        <v>2966.73</v>
      </c>
      <c r="F850" s="8"/>
    </row>
    <row r="851" spans="2:6" x14ac:dyDescent="0.3">
      <c r="B851" t="s">
        <v>422</v>
      </c>
      <c r="C851" s="135" t="s">
        <v>616</v>
      </c>
      <c r="D851" s="7">
        <v>45806</v>
      </c>
      <c r="E851" s="8">
        <v>41.25</v>
      </c>
      <c r="F851" s="8"/>
    </row>
    <row r="852" spans="2:6" x14ac:dyDescent="0.3">
      <c r="B852" t="s">
        <v>422</v>
      </c>
      <c r="C852" s="135" t="s">
        <v>617</v>
      </c>
      <c r="D852" s="7">
        <v>45806</v>
      </c>
      <c r="E852" s="8">
        <v>1134.46</v>
      </c>
      <c r="F852" s="8"/>
    </row>
    <row r="853" spans="2:6" x14ac:dyDescent="0.3">
      <c r="B853" t="s">
        <v>422</v>
      </c>
      <c r="C853" s="135" t="s">
        <v>588</v>
      </c>
      <c r="D853" s="7">
        <v>45806</v>
      </c>
      <c r="E853" s="8">
        <v>543.45000000000005</v>
      </c>
      <c r="F853" s="8"/>
    </row>
    <row r="854" spans="2:6" x14ac:dyDescent="0.3">
      <c r="B854" t="s">
        <v>422</v>
      </c>
      <c r="C854" s="135" t="s">
        <v>618</v>
      </c>
      <c r="D854" s="7">
        <v>45806</v>
      </c>
      <c r="E854" s="8">
        <v>6390.15</v>
      </c>
      <c r="F854" s="8"/>
    </row>
    <row r="855" spans="2:6" x14ac:dyDescent="0.3">
      <c r="B855" t="s">
        <v>422</v>
      </c>
      <c r="C855" s="135" t="s">
        <v>619</v>
      </c>
      <c r="D855" s="7">
        <v>45806</v>
      </c>
      <c r="E855" s="8">
        <v>16364.07</v>
      </c>
      <c r="F855" s="8"/>
    </row>
    <row r="856" spans="2:6" x14ac:dyDescent="0.3">
      <c r="B856" t="s">
        <v>422</v>
      </c>
      <c r="C856" s="135" t="s">
        <v>620</v>
      </c>
      <c r="D856" s="7">
        <v>45806</v>
      </c>
      <c r="E856" s="8">
        <v>814.76</v>
      </c>
      <c r="F856" s="8"/>
    </row>
    <row r="857" spans="2:6" x14ac:dyDescent="0.3">
      <c r="B857" t="s">
        <v>422</v>
      </c>
      <c r="C857" s="135" t="s">
        <v>621</v>
      </c>
      <c r="D857" s="7">
        <v>45806</v>
      </c>
      <c r="E857" s="8">
        <v>2516.59</v>
      </c>
      <c r="F857" s="8"/>
    </row>
    <row r="858" spans="2:6" x14ac:dyDescent="0.3">
      <c r="B858" t="s">
        <v>422</v>
      </c>
      <c r="C858" s="135" t="s">
        <v>622</v>
      </c>
      <c r="D858" s="7">
        <v>45806</v>
      </c>
      <c r="E858" s="8">
        <v>1228.3499999999999</v>
      </c>
      <c r="F858" s="8"/>
    </row>
    <row r="859" spans="2:6" x14ac:dyDescent="0.3">
      <c r="B859" t="s">
        <v>422</v>
      </c>
      <c r="C859" s="135" t="s">
        <v>623</v>
      </c>
      <c r="D859" s="7">
        <v>45806</v>
      </c>
      <c r="E859" s="8">
        <v>5230.71</v>
      </c>
      <c r="F859" s="8"/>
    </row>
    <row r="860" spans="2:6" x14ac:dyDescent="0.3">
      <c r="B860" t="s">
        <v>422</v>
      </c>
      <c r="C860" s="135" t="s">
        <v>623</v>
      </c>
      <c r="D860" s="7">
        <v>45806</v>
      </c>
      <c r="E860" s="8">
        <v>40325.300000000003</v>
      </c>
      <c r="F860" s="8"/>
    </row>
    <row r="861" spans="2:6" x14ac:dyDescent="0.3">
      <c r="B861" t="s">
        <v>422</v>
      </c>
      <c r="C861" s="135" t="s">
        <v>622</v>
      </c>
      <c r="D861" s="7">
        <v>45806</v>
      </c>
      <c r="E861" s="8">
        <v>11261.08</v>
      </c>
      <c r="F861" s="8"/>
    </row>
    <row r="862" spans="2:6" x14ac:dyDescent="0.3">
      <c r="B862" t="s">
        <v>422</v>
      </c>
      <c r="C862" s="135" t="s">
        <v>625</v>
      </c>
      <c r="D862" s="7">
        <v>45806</v>
      </c>
      <c r="E862" s="8">
        <v>56645.36</v>
      </c>
      <c r="F862" s="8"/>
    </row>
    <row r="863" spans="2:6" x14ac:dyDescent="0.3">
      <c r="B863" t="s">
        <v>422</v>
      </c>
      <c r="C863" s="135" t="s">
        <v>623</v>
      </c>
      <c r="D863" s="7">
        <v>45806</v>
      </c>
      <c r="E863" s="8">
        <v>21780.52</v>
      </c>
      <c r="F863" s="8"/>
    </row>
    <row r="864" spans="2:6" x14ac:dyDescent="0.3">
      <c r="B864" t="s">
        <v>422</v>
      </c>
      <c r="C864" s="135" t="s">
        <v>603</v>
      </c>
      <c r="D864" s="7">
        <v>45806</v>
      </c>
      <c r="E864" s="8">
        <v>1787.12</v>
      </c>
      <c r="F864" s="8"/>
    </row>
    <row r="865" spans="2:7" x14ac:dyDescent="0.3">
      <c r="B865" t="s">
        <v>422</v>
      </c>
      <c r="C865" s="135" t="s">
        <v>626</v>
      </c>
      <c r="D865" s="7">
        <v>45806</v>
      </c>
      <c r="E865" s="8">
        <v>540.48</v>
      </c>
      <c r="F865" s="8"/>
    </row>
    <row r="866" spans="2:7" x14ac:dyDescent="0.3">
      <c r="B866" t="s">
        <v>422</v>
      </c>
      <c r="C866" s="135" t="s">
        <v>627</v>
      </c>
      <c r="D866" s="7">
        <v>45806</v>
      </c>
      <c r="E866" s="8">
        <v>352.83</v>
      </c>
      <c r="F866" s="8"/>
    </row>
    <row r="867" spans="2:7" x14ac:dyDescent="0.3">
      <c r="B867" t="s">
        <v>422</v>
      </c>
      <c r="C867" s="135" t="s">
        <v>628</v>
      </c>
      <c r="D867" s="7">
        <v>45806</v>
      </c>
      <c r="E867" s="8">
        <v>5751.69</v>
      </c>
      <c r="F867" s="8"/>
    </row>
    <row r="868" spans="2:7" x14ac:dyDescent="0.3">
      <c r="B868" t="s">
        <v>422</v>
      </c>
      <c r="C868" s="135" t="s">
        <v>629</v>
      </c>
      <c r="D868" s="7">
        <v>45806</v>
      </c>
      <c r="E868" s="8">
        <v>43.49</v>
      </c>
      <c r="F868" s="8"/>
    </row>
    <row r="869" spans="2:7" x14ac:dyDescent="0.3">
      <c r="B869" t="s">
        <v>422</v>
      </c>
      <c r="C869" s="135" t="s">
        <v>630</v>
      </c>
      <c r="D869" s="7">
        <v>45806</v>
      </c>
      <c r="E869" s="8">
        <v>2886.62</v>
      </c>
      <c r="F869" s="8"/>
    </row>
    <row r="870" spans="2:7" x14ac:dyDescent="0.3">
      <c r="B870" t="s">
        <v>422</v>
      </c>
      <c r="C870" s="135" t="s">
        <v>580</v>
      </c>
      <c r="D870" s="7">
        <v>45806</v>
      </c>
      <c r="E870" s="8">
        <v>200.67</v>
      </c>
      <c r="F870" s="8"/>
    </row>
    <row r="871" spans="2:7" x14ac:dyDescent="0.3">
      <c r="B871" t="s">
        <v>422</v>
      </c>
      <c r="C871" s="135" t="s">
        <v>631</v>
      </c>
      <c r="D871" s="7">
        <v>45807</v>
      </c>
      <c r="E871" s="8">
        <v>9436</v>
      </c>
      <c r="F871" s="8"/>
    </row>
    <row r="872" spans="2:7" x14ac:dyDescent="0.3">
      <c r="B872" t="s">
        <v>422</v>
      </c>
      <c r="C872" s="135" t="s">
        <v>559</v>
      </c>
      <c r="D872" s="7">
        <v>45807</v>
      </c>
      <c r="E872" s="8">
        <v>6353.16</v>
      </c>
      <c r="F872" s="8"/>
    </row>
    <row r="873" spans="2:7" x14ac:dyDescent="0.3">
      <c r="B873" t="s">
        <v>422</v>
      </c>
      <c r="C873" s="135" t="s">
        <v>632</v>
      </c>
      <c r="D873" s="7">
        <v>45807</v>
      </c>
      <c r="E873" s="8">
        <v>68.67</v>
      </c>
      <c r="F873" s="8"/>
    </row>
    <row r="874" spans="2:7" x14ac:dyDescent="0.3">
      <c r="B874" t="s">
        <v>422</v>
      </c>
      <c r="C874" s="135" t="s">
        <v>633</v>
      </c>
      <c r="D874" s="7">
        <v>45807</v>
      </c>
      <c r="E874" s="8">
        <v>342.51</v>
      </c>
      <c r="F874" s="8"/>
    </row>
    <row r="875" spans="2:7" x14ac:dyDescent="0.3">
      <c r="B875" t="s">
        <v>422</v>
      </c>
      <c r="C875" s="135" t="s">
        <v>634</v>
      </c>
      <c r="D875" s="7">
        <v>45807</v>
      </c>
      <c r="E875" s="8">
        <v>2156.42</v>
      </c>
      <c r="F875" s="8"/>
      <c r="G875" s="102"/>
    </row>
    <row r="876" spans="2:7" x14ac:dyDescent="0.3">
      <c r="B876" t="s">
        <v>422</v>
      </c>
      <c r="C876" s="135" t="s">
        <v>635</v>
      </c>
      <c r="D876" s="7">
        <v>45807</v>
      </c>
      <c r="E876" s="8">
        <v>5654.82</v>
      </c>
      <c r="F876" s="8"/>
    </row>
    <row r="877" spans="2:7" x14ac:dyDescent="0.3">
      <c r="B877" t="s">
        <v>422</v>
      </c>
      <c r="C877" s="135" t="s">
        <v>636</v>
      </c>
      <c r="D877" s="7">
        <v>45807</v>
      </c>
      <c r="E877" s="8">
        <v>213.51</v>
      </c>
      <c r="F877" s="8"/>
    </row>
    <row r="878" spans="2:7" x14ac:dyDescent="0.3">
      <c r="B878" t="s">
        <v>422</v>
      </c>
      <c r="C878" s="135" t="s">
        <v>637</v>
      </c>
      <c r="D878" s="7">
        <v>45807</v>
      </c>
      <c r="E878" s="8">
        <v>1012.7</v>
      </c>
      <c r="F878" s="8"/>
    </row>
    <row r="879" spans="2:7" x14ac:dyDescent="0.3">
      <c r="B879" t="s">
        <v>422</v>
      </c>
      <c r="C879" s="135" t="s">
        <v>638</v>
      </c>
      <c r="D879" s="7">
        <v>45807</v>
      </c>
      <c r="E879" s="8">
        <v>61908.55</v>
      </c>
      <c r="F879" s="8"/>
    </row>
    <row r="880" spans="2:7" x14ac:dyDescent="0.3">
      <c r="B880" t="s">
        <v>422</v>
      </c>
      <c r="C880" s="135" t="s">
        <v>639</v>
      </c>
      <c r="D880" s="7">
        <v>45807</v>
      </c>
      <c r="E880" s="8">
        <v>1085</v>
      </c>
      <c r="F880" s="8"/>
    </row>
    <row r="881" spans="2:7" x14ac:dyDescent="0.3">
      <c r="B881" t="s">
        <v>422</v>
      </c>
      <c r="C881" s="135" t="s">
        <v>640</v>
      </c>
      <c r="D881" s="7">
        <v>45807</v>
      </c>
      <c r="E881" s="8">
        <v>1125.75</v>
      </c>
      <c r="F881" s="8"/>
    </row>
    <row r="882" spans="2:7" x14ac:dyDescent="0.3">
      <c r="B882" t="s">
        <v>422</v>
      </c>
      <c r="C882" s="135" t="s">
        <v>641</v>
      </c>
      <c r="D882" s="7">
        <v>45807</v>
      </c>
      <c r="E882" s="8">
        <v>2522.86</v>
      </c>
      <c r="F882" s="8"/>
    </row>
    <row r="883" spans="2:7" x14ac:dyDescent="0.3">
      <c r="B883" t="s">
        <v>422</v>
      </c>
      <c r="C883" s="135" t="s">
        <v>642</v>
      </c>
      <c r="D883" s="7">
        <v>45807</v>
      </c>
      <c r="E883" s="8">
        <v>3493.5</v>
      </c>
      <c r="F883" s="8"/>
    </row>
    <row r="884" spans="2:7" x14ac:dyDescent="0.3">
      <c r="B884" t="s">
        <v>422</v>
      </c>
      <c r="C884" s="135" t="s">
        <v>643</v>
      </c>
      <c r="D884" s="7">
        <v>45807</v>
      </c>
      <c r="E884" s="8">
        <v>7827.2</v>
      </c>
      <c r="F884" s="8"/>
      <c r="G884" s="102"/>
    </row>
    <row r="885" spans="2:7" x14ac:dyDescent="0.3">
      <c r="B885" t="s">
        <v>422</v>
      </c>
      <c r="C885" s="135" t="s">
        <v>644</v>
      </c>
      <c r="D885" s="7">
        <v>45809</v>
      </c>
      <c r="E885" s="8">
        <v>2245.46</v>
      </c>
      <c r="F885" s="8"/>
    </row>
    <row r="886" spans="2:7" x14ac:dyDescent="0.3">
      <c r="B886" t="s">
        <v>422</v>
      </c>
      <c r="C886" s="135" t="s">
        <v>645</v>
      </c>
      <c r="D886" s="7">
        <v>45814</v>
      </c>
      <c r="E886" s="8">
        <v>7564.47</v>
      </c>
      <c r="F886" s="8"/>
    </row>
    <row r="887" spans="2:7" x14ac:dyDescent="0.3">
      <c r="B887" t="s">
        <v>422</v>
      </c>
      <c r="C887" s="135" t="s">
        <v>646</v>
      </c>
      <c r="D887" s="7">
        <v>45816</v>
      </c>
      <c r="E887" s="8">
        <v>18247.45</v>
      </c>
      <c r="F887" s="8"/>
    </row>
    <row r="888" spans="2:7" x14ac:dyDescent="0.3">
      <c r="B888" t="s">
        <v>422</v>
      </c>
      <c r="C888" s="135" t="s">
        <v>647</v>
      </c>
      <c r="D888" s="7">
        <v>45816</v>
      </c>
      <c r="E888" s="8">
        <v>5904.13</v>
      </c>
      <c r="F888" s="8"/>
    </row>
    <row r="889" spans="2:7" x14ac:dyDescent="0.3">
      <c r="B889" t="s">
        <v>422</v>
      </c>
      <c r="C889" s="135" t="s">
        <v>648</v>
      </c>
      <c r="D889" s="7">
        <v>45816</v>
      </c>
      <c r="E889" s="8">
        <v>13777.01</v>
      </c>
      <c r="F889" s="8"/>
    </row>
    <row r="890" spans="2:7" x14ac:dyDescent="0.3">
      <c r="B890" t="s">
        <v>422</v>
      </c>
      <c r="C890" s="135" t="s">
        <v>647</v>
      </c>
      <c r="D890" s="7">
        <v>45816</v>
      </c>
      <c r="E890" s="8">
        <v>57317.56</v>
      </c>
      <c r="F890" s="8"/>
    </row>
    <row r="891" spans="2:7" x14ac:dyDescent="0.3">
      <c r="B891" t="s">
        <v>422</v>
      </c>
      <c r="C891" s="135" t="s">
        <v>649</v>
      </c>
      <c r="D891" s="7">
        <v>45816</v>
      </c>
      <c r="E891" s="8">
        <v>12822.52</v>
      </c>
      <c r="F891" s="8"/>
    </row>
    <row r="892" spans="2:7" x14ac:dyDescent="0.3">
      <c r="B892" t="s">
        <v>422</v>
      </c>
      <c r="C892" s="135" t="s">
        <v>650</v>
      </c>
      <c r="D892" s="7">
        <v>45816</v>
      </c>
      <c r="E892" s="8">
        <v>1083.6600000000001</v>
      </c>
      <c r="F892" s="8"/>
    </row>
    <row r="893" spans="2:7" x14ac:dyDescent="0.3">
      <c r="B893" t="s">
        <v>422</v>
      </c>
      <c r="C893" s="135" t="s">
        <v>651</v>
      </c>
      <c r="D893" s="7">
        <v>45816</v>
      </c>
      <c r="E893" s="8">
        <v>420.87</v>
      </c>
      <c r="F893" s="8"/>
    </row>
    <row r="894" spans="2:7" x14ac:dyDescent="0.3">
      <c r="B894" t="s">
        <v>422</v>
      </c>
      <c r="C894" s="135" t="s">
        <v>613</v>
      </c>
      <c r="D894" s="7">
        <v>45817</v>
      </c>
      <c r="E894" s="8">
        <v>3903.18</v>
      </c>
      <c r="F894" s="8"/>
    </row>
    <row r="895" spans="2:7" x14ac:dyDescent="0.3">
      <c r="B895" t="s">
        <v>422</v>
      </c>
      <c r="C895" s="135" t="s">
        <v>652</v>
      </c>
      <c r="D895" s="7">
        <v>45817</v>
      </c>
      <c r="E895" s="8">
        <v>0.01</v>
      </c>
      <c r="F895" s="8"/>
    </row>
    <row r="896" spans="2:7" x14ac:dyDescent="0.3">
      <c r="B896" t="s">
        <v>422</v>
      </c>
      <c r="C896" s="135" t="s">
        <v>653</v>
      </c>
      <c r="D896" s="7">
        <v>45818</v>
      </c>
      <c r="E896" s="8">
        <v>499.36</v>
      </c>
      <c r="F896" s="8"/>
    </row>
    <row r="897" spans="2:6" x14ac:dyDescent="0.3">
      <c r="B897" t="s">
        <v>422</v>
      </c>
      <c r="C897" s="135" t="s">
        <v>654</v>
      </c>
      <c r="D897" s="7">
        <v>45818</v>
      </c>
      <c r="E897" s="8">
        <v>-894.2</v>
      </c>
      <c r="F897" s="8"/>
    </row>
    <row r="898" spans="2:6" x14ac:dyDescent="0.3">
      <c r="B898" t="s">
        <v>422</v>
      </c>
      <c r="C898" s="135" t="s">
        <v>598</v>
      </c>
      <c r="D898" s="7">
        <v>45820</v>
      </c>
      <c r="E898" s="8">
        <v>86.86</v>
      </c>
      <c r="F898" s="8"/>
    </row>
    <row r="899" spans="2:6" x14ac:dyDescent="0.3">
      <c r="B899" t="s">
        <v>422</v>
      </c>
      <c r="C899" s="135" t="s">
        <v>596</v>
      </c>
      <c r="D899" s="7">
        <v>45820</v>
      </c>
      <c r="E899" s="8">
        <v>14536.12</v>
      </c>
      <c r="F899" s="8"/>
    </row>
    <row r="900" spans="2:6" x14ac:dyDescent="0.3">
      <c r="B900" t="s">
        <v>422</v>
      </c>
      <c r="C900" s="135" t="s">
        <v>16</v>
      </c>
      <c r="D900" s="7">
        <v>45824</v>
      </c>
      <c r="E900" s="8">
        <v>-109264.55</v>
      </c>
      <c r="F900" s="8"/>
    </row>
    <row r="901" spans="2:6" x14ac:dyDescent="0.3">
      <c r="B901" t="s">
        <v>422</v>
      </c>
      <c r="C901" s="135" t="s">
        <v>16</v>
      </c>
      <c r="D901" s="7">
        <v>45824</v>
      </c>
      <c r="E901" s="8">
        <v>-20767.419999999998</v>
      </c>
      <c r="F901" s="8"/>
    </row>
    <row r="902" spans="2:6" x14ac:dyDescent="0.3">
      <c r="B902" t="s">
        <v>422</v>
      </c>
      <c r="C902" s="135" t="s">
        <v>16</v>
      </c>
      <c r="D902" s="7">
        <v>45824</v>
      </c>
      <c r="E902" s="8">
        <v>-16322.14</v>
      </c>
      <c r="F902" s="8"/>
    </row>
    <row r="903" spans="2:6" x14ac:dyDescent="0.3">
      <c r="B903" t="s">
        <v>422</v>
      </c>
      <c r="C903" s="135" t="s">
        <v>16</v>
      </c>
      <c r="D903" s="7">
        <v>45824</v>
      </c>
      <c r="E903" s="8">
        <v>-9299.7000000000007</v>
      </c>
      <c r="F903" s="8"/>
    </row>
    <row r="904" spans="2:6" x14ac:dyDescent="0.3">
      <c r="B904" t="s">
        <v>422</v>
      </c>
      <c r="C904" s="135" t="s">
        <v>16</v>
      </c>
      <c r="D904" s="7">
        <v>45824</v>
      </c>
      <c r="E904" s="8">
        <v>-8988.2999999999993</v>
      </c>
      <c r="F904" s="8"/>
    </row>
    <row r="905" spans="2:6" x14ac:dyDescent="0.3">
      <c r="B905" t="s">
        <v>422</v>
      </c>
      <c r="C905" s="135" t="s">
        <v>16</v>
      </c>
      <c r="D905" s="7">
        <v>45824</v>
      </c>
      <c r="E905" s="8">
        <v>-7983.06</v>
      </c>
      <c r="F905" s="8"/>
    </row>
    <row r="906" spans="2:6" x14ac:dyDescent="0.3">
      <c r="B906" t="s">
        <v>422</v>
      </c>
      <c r="C906" s="135" t="s">
        <v>16</v>
      </c>
      <c r="D906" s="7">
        <v>45824</v>
      </c>
      <c r="E906" s="8">
        <v>-7800</v>
      </c>
      <c r="F906" s="8"/>
    </row>
    <row r="907" spans="2:6" x14ac:dyDescent="0.3">
      <c r="B907" t="s">
        <v>422</v>
      </c>
      <c r="C907" s="135" t="s">
        <v>16</v>
      </c>
      <c r="D907" s="7">
        <v>45824</v>
      </c>
      <c r="E907" s="8">
        <v>-7757.08</v>
      </c>
      <c r="F907" s="8"/>
    </row>
    <row r="908" spans="2:6" x14ac:dyDescent="0.3">
      <c r="B908" t="s">
        <v>422</v>
      </c>
      <c r="C908" s="135" t="s">
        <v>16</v>
      </c>
      <c r="D908" s="7">
        <v>45824</v>
      </c>
      <c r="E908" s="8">
        <v>-7602.03</v>
      </c>
      <c r="F908" s="8"/>
    </row>
    <row r="909" spans="2:6" x14ac:dyDescent="0.3">
      <c r="B909" t="s">
        <v>422</v>
      </c>
      <c r="C909" s="135" t="s">
        <v>16</v>
      </c>
      <c r="D909" s="7">
        <v>45824</v>
      </c>
      <c r="E909" s="8">
        <v>-7448.6</v>
      </c>
      <c r="F909" s="8"/>
    </row>
    <row r="910" spans="2:6" x14ac:dyDescent="0.3">
      <c r="B910" t="s">
        <v>422</v>
      </c>
      <c r="C910" s="135" t="s">
        <v>16</v>
      </c>
      <c r="D910" s="7">
        <v>45824</v>
      </c>
      <c r="E910" s="8">
        <v>-7313.33</v>
      </c>
      <c r="F910" s="8"/>
    </row>
    <row r="911" spans="2:6" x14ac:dyDescent="0.3">
      <c r="B911" t="s">
        <v>422</v>
      </c>
      <c r="C911" s="135" t="s">
        <v>16</v>
      </c>
      <c r="D911" s="7">
        <v>45824</v>
      </c>
      <c r="E911" s="8">
        <v>-7094.04</v>
      </c>
      <c r="F911" s="8"/>
    </row>
    <row r="912" spans="2:6" x14ac:dyDescent="0.3">
      <c r="B912" t="s">
        <v>422</v>
      </c>
      <c r="C912" s="135" t="s">
        <v>16</v>
      </c>
      <c r="D912" s="7">
        <v>45824</v>
      </c>
      <c r="E912" s="8">
        <v>-5241.8599999999997</v>
      </c>
      <c r="F912" s="8"/>
    </row>
    <row r="913" spans="2:7" x14ac:dyDescent="0.3">
      <c r="B913" t="s">
        <v>422</v>
      </c>
      <c r="C913" s="135" t="s">
        <v>16</v>
      </c>
      <c r="D913" s="7">
        <v>45824</v>
      </c>
      <c r="E913" s="8">
        <v>-4754.05</v>
      </c>
      <c r="F913" s="8"/>
    </row>
    <row r="914" spans="2:7" x14ac:dyDescent="0.3">
      <c r="B914" t="s">
        <v>422</v>
      </c>
      <c r="C914" s="135" t="s">
        <v>16</v>
      </c>
      <c r="D914" s="7">
        <v>45824</v>
      </c>
      <c r="E914" s="8">
        <v>-4190.76</v>
      </c>
      <c r="F914" s="8"/>
      <c r="G914" s="102"/>
    </row>
    <row r="915" spans="2:7" x14ac:dyDescent="0.3">
      <c r="B915" t="s">
        <v>422</v>
      </c>
      <c r="C915" s="135" t="s">
        <v>16</v>
      </c>
      <c r="D915" s="7">
        <v>45824</v>
      </c>
      <c r="E915" s="8">
        <v>-3799.52</v>
      </c>
      <c r="F915" s="8"/>
    </row>
    <row r="916" spans="2:7" x14ac:dyDescent="0.3">
      <c r="B916" t="s">
        <v>422</v>
      </c>
      <c r="C916" s="135" t="s">
        <v>16</v>
      </c>
      <c r="D916" s="7">
        <v>45824</v>
      </c>
      <c r="E916" s="8">
        <v>-3695.64</v>
      </c>
      <c r="F916" s="8"/>
    </row>
    <row r="917" spans="2:7" x14ac:dyDescent="0.3">
      <c r="B917" t="s">
        <v>422</v>
      </c>
      <c r="C917" s="135" t="s">
        <v>16</v>
      </c>
      <c r="D917" s="7">
        <v>45824</v>
      </c>
      <c r="E917" s="8">
        <v>-3480.38</v>
      </c>
      <c r="F917" s="8"/>
    </row>
    <row r="918" spans="2:7" x14ac:dyDescent="0.3">
      <c r="B918" t="s">
        <v>422</v>
      </c>
      <c r="C918" s="135" t="s">
        <v>16</v>
      </c>
      <c r="D918" s="7">
        <v>45824</v>
      </c>
      <c r="E918" s="8">
        <v>-3360.69</v>
      </c>
      <c r="F918" s="8"/>
    </row>
    <row r="919" spans="2:7" x14ac:dyDescent="0.3">
      <c r="B919" t="s">
        <v>422</v>
      </c>
      <c r="C919" s="135" t="s">
        <v>16</v>
      </c>
      <c r="D919" s="7">
        <v>45824</v>
      </c>
      <c r="E919" s="8">
        <v>-3247.78</v>
      </c>
      <c r="F919" s="8"/>
    </row>
    <row r="920" spans="2:7" x14ac:dyDescent="0.3">
      <c r="B920" t="s">
        <v>422</v>
      </c>
      <c r="C920" s="135" t="s">
        <v>16</v>
      </c>
      <c r="D920" s="7">
        <v>45824</v>
      </c>
      <c r="E920" s="8">
        <v>-3117.09</v>
      </c>
      <c r="F920" s="8"/>
    </row>
    <row r="921" spans="2:7" x14ac:dyDescent="0.3">
      <c r="B921" t="s">
        <v>422</v>
      </c>
      <c r="C921" s="135" t="s">
        <v>16</v>
      </c>
      <c r="D921" s="7">
        <v>45824</v>
      </c>
      <c r="E921" s="8">
        <v>-1915.81</v>
      </c>
      <c r="F921" s="8"/>
    </row>
    <row r="922" spans="2:7" x14ac:dyDescent="0.3">
      <c r="B922" t="s">
        <v>422</v>
      </c>
      <c r="C922" s="135" t="s">
        <v>16</v>
      </c>
      <c r="D922" s="7">
        <v>45824</v>
      </c>
      <c r="E922" s="8">
        <v>-1750.7</v>
      </c>
      <c r="F922" s="8"/>
    </row>
    <row r="923" spans="2:7" x14ac:dyDescent="0.3">
      <c r="B923" t="s">
        <v>422</v>
      </c>
      <c r="C923" s="135" t="s">
        <v>16</v>
      </c>
      <c r="D923" s="7">
        <v>45824</v>
      </c>
      <c r="E923" s="8">
        <v>-1738.69</v>
      </c>
      <c r="F923" s="8"/>
    </row>
    <row r="924" spans="2:7" x14ac:dyDescent="0.3">
      <c r="B924" t="s">
        <v>422</v>
      </c>
      <c r="C924" s="135" t="s">
        <v>16</v>
      </c>
      <c r="D924" s="7">
        <v>45824</v>
      </c>
      <c r="E924" s="8">
        <v>-1682.13</v>
      </c>
      <c r="F924" s="8"/>
    </row>
    <row r="925" spans="2:7" x14ac:dyDescent="0.3">
      <c r="B925" t="s">
        <v>422</v>
      </c>
      <c r="C925" s="135" t="s">
        <v>16</v>
      </c>
      <c r="D925" s="7">
        <v>45824</v>
      </c>
      <c r="E925" s="8">
        <v>-1587.02</v>
      </c>
      <c r="F925" s="8"/>
    </row>
    <row r="926" spans="2:7" x14ac:dyDescent="0.3">
      <c r="B926" t="s">
        <v>422</v>
      </c>
      <c r="C926" s="135" t="s">
        <v>16</v>
      </c>
      <c r="D926" s="7">
        <v>45824</v>
      </c>
      <c r="E926" s="8">
        <v>-1541.04</v>
      </c>
      <c r="F926" s="8"/>
    </row>
    <row r="927" spans="2:7" x14ac:dyDescent="0.3">
      <c r="B927" t="s">
        <v>422</v>
      </c>
      <c r="C927" s="135" t="s">
        <v>16</v>
      </c>
      <c r="D927" s="7">
        <v>45824</v>
      </c>
      <c r="E927" s="8">
        <v>-1505.92</v>
      </c>
      <c r="F927" s="8"/>
    </row>
    <row r="928" spans="2:7" x14ac:dyDescent="0.3">
      <c r="B928" t="s">
        <v>422</v>
      </c>
      <c r="C928" s="135" t="s">
        <v>16</v>
      </c>
      <c r="D928" s="7">
        <v>45824</v>
      </c>
      <c r="E928" s="8">
        <v>-1485.68</v>
      </c>
      <c r="F928" s="8"/>
    </row>
    <row r="929" spans="2:6" x14ac:dyDescent="0.3">
      <c r="B929" t="s">
        <v>422</v>
      </c>
      <c r="C929" s="135" t="s">
        <v>16</v>
      </c>
      <c r="D929" s="7">
        <v>45824</v>
      </c>
      <c r="E929" s="8">
        <v>-1400.08</v>
      </c>
      <c r="F929" s="8"/>
    </row>
    <row r="930" spans="2:6" x14ac:dyDescent="0.3">
      <c r="B930" t="s">
        <v>422</v>
      </c>
      <c r="C930" s="135" t="s">
        <v>16</v>
      </c>
      <c r="D930" s="7">
        <v>45824</v>
      </c>
      <c r="E930" s="8">
        <v>-1323.79</v>
      </c>
      <c r="F930" s="8"/>
    </row>
    <row r="931" spans="2:6" x14ac:dyDescent="0.3">
      <c r="B931" t="s">
        <v>422</v>
      </c>
      <c r="C931" s="135" t="s">
        <v>16</v>
      </c>
      <c r="D931" s="7">
        <v>45824</v>
      </c>
      <c r="E931" s="8">
        <v>-1278.8699999999999</v>
      </c>
      <c r="F931" s="8"/>
    </row>
    <row r="932" spans="2:6" x14ac:dyDescent="0.3">
      <c r="B932" t="s">
        <v>422</v>
      </c>
      <c r="C932" s="135" t="s">
        <v>16</v>
      </c>
      <c r="D932" s="7">
        <v>45824</v>
      </c>
      <c r="E932" s="8">
        <v>-1270.97</v>
      </c>
      <c r="F932" s="8"/>
    </row>
    <row r="933" spans="2:6" x14ac:dyDescent="0.3">
      <c r="B933" t="s">
        <v>422</v>
      </c>
      <c r="C933" s="135" t="s">
        <v>16</v>
      </c>
      <c r="D933" s="7">
        <v>45824</v>
      </c>
      <c r="E933" s="8">
        <v>-1197.97</v>
      </c>
      <c r="F933" s="8"/>
    </row>
    <row r="934" spans="2:6" x14ac:dyDescent="0.3">
      <c r="B934" t="s">
        <v>422</v>
      </c>
      <c r="C934" s="135" t="s">
        <v>16</v>
      </c>
      <c r="D934" s="7">
        <v>45824</v>
      </c>
      <c r="E934" s="8">
        <v>-1133.2</v>
      </c>
      <c r="F934" s="8"/>
    </row>
    <row r="935" spans="2:6" x14ac:dyDescent="0.3">
      <c r="B935" t="s">
        <v>422</v>
      </c>
      <c r="C935" s="135" t="s">
        <v>16</v>
      </c>
      <c r="D935" s="7">
        <v>45824</v>
      </c>
      <c r="E935" s="8">
        <v>-1122.18</v>
      </c>
      <c r="F935" s="8"/>
    </row>
    <row r="936" spans="2:6" x14ac:dyDescent="0.3">
      <c r="B936" t="s">
        <v>422</v>
      </c>
      <c r="C936" s="135" t="s">
        <v>16</v>
      </c>
      <c r="D936" s="7">
        <v>45824</v>
      </c>
      <c r="E936" s="8">
        <v>-1089.51</v>
      </c>
      <c r="F936" s="8"/>
    </row>
    <row r="937" spans="2:6" x14ac:dyDescent="0.3">
      <c r="B937" t="s">
        <v>422</v>
      </c>
      <c r="C937" s="135" t="s">
        <v>16</v>
      </c>
      <c r="D937" s="7">
        <v>45824</v>
      </c>
      <c r="E937" s="8">
        <v>-995.89</v>
      </c>
      <c r="F937" s="8"/>
    </row>
    <row r="938" spans="2:6" x14ac:dyDescent="0.3">
      <c r="B938" t="s">
        <v>422</v>
      </c>
      <c r="C938" s="135" t="s">
        <v>16</v>
      </c>
      <c r="D938" s="7">
        <v>45824</v>
      </c>
      <c r="E938" s="8">
        <v>-864.4</v>
      </c>
      <c r="F938" s="8"/>
    </row>
    <row r="939" spans="2:6" x14ac:dyDescent="0.3">
      <c r="B939" t="s">
        <v>422</v>
      </c>
      <c r="C939" s="135" t="s">
        <v>16</v>
      </c>
      <c r="D939" s="7">
        <v>45824</v>
      </c>
      <c r="E939" s="8">
        <v>-822.33</v>
      </c>
      <c r="F939" s="8"/>
    </row>
    <row r="940" spans="2:6" x14ac:dyDescent="0.3">
      <c r="B940" t="s">
        <v>422</v>
      </c>
      <c r="C940" s="135" t="s">
        <v>16</v>
      </c>
      <c r="D940" s="7">
        <v>45824</v>
      </c>
      <c r="E940" s="8">
        <v>-815.5</v>
      </c>
      <c r="F940" s="8"/>
    </row>
    <row r="941" spans="2:6" x14ac:dyDescent="0.3">
      <c r="B941" t="s">
        <v>422</v>
      </c>
      <c r="C941" s="135" t="s">
        <v>16</v>
      </c>
      <c r="D941" s="7">
        <v>45824</v>
      </c>
      <c r="E941" s="8">
        <v>-799.09</v>
      </c>
      <c r="F941" s="8"/>
    </row>
    <row r="942" spans="2:6" x14ac:dyDescent="0.3">
      <c r="B942" t="s">
        <v>422</v>
      </c>
      <c r="C942" s="135" t="s">
        <v>16</v>
      </c>
      <c r="D942" s="7">
        <v>45824</v>
      </c>
      <c r="E942" s="8">
        <v>-789.52</v>
      </c>
      <c r="F942" s="8"/>
    </row>
    <row r="943" spans="2:6" x14ac:dyDescent="0.3">
      <c r="B943" t="s">
        <v>422</v>
      </c>
      <c r="C943" s="135" t="s">
        <v>16</v>
      </c>
      <c r="D943" s="7">
        <v>45824</v>
      </c>
      <c r="E943" s="8">
        <v>-768.72</v>
      </c>
      <c r="F943" s="8"/>
    </row>
    <row r="944" spans="2:6" x14ac:dyDescent="0.3">
      <c r="B944" t="s">
        <v>422</v>
      </c>
      <c r="C944" s="135" t="s">
        <v>16</v>
      </c>
      <c r="D944" s="7">
        <v>45824</v>
      </c>
      <c r="E944" s="8">
        <v>-742.16</v>
      </c>
      <c r="F944" s="8"/>
    </row>
    <row r="945" spans="1:15" x14ac:dyDescent="0.3">
      <c r="B945" t="s">
        <v>422</v>
      </c>
      <c r="C945" s="135" t="s">
        <v>16</v>
      </c>
      <c r="D945" s="7">
        <v>45824</v>
      </c>
      <c r="E945" s="8">
        <v>-736.62</v>
      </c>
      <c r="F945" s="8"/>
    </row>
    <row r="946" spans="1:15" x14ac:dyDescent="0.3">
      <c r="B946" t="s">
        <v>422</v>
      </c>
      <c r="C946" s="135" t="s">
        <v>16</v>
      </c>
      <c r="D946" s="7">
        <v>45824</v>
      </c>
      <c r="E946" s="8">
        <v>-731.76</v>
      </c>
      <c r="F946" s="8"/>
    </row>
    <row r="947" spans="1:15" x14ac:dyDescent="0.3">
      <c r="B947" t="s">
        <v>422</v>
      </c>
      <c r="C947" s="135" t="s">
        <v>16</v>
      </c>
      <c r="D947" s="7">
        <v>45824</v>
      </c>
      <c r="E947" s="8">
        <v>-718.77</v>
      </c>
      <c r="F947" s="8"/>
    </row>
    <row r="948" spans="1:15" x14ac:dyDescent="0.3">
      <c r="B948" t="s">
        <v>422</v>
      </c>
      <c r="C948" s="135" t="s">
        <v>16</v>
      </c>
      <c r="D948" s="7">
        <v>45824</v>
      </c>
      <c r="E948" s="8">
        <v>-660.12</v>
      </c>
      <c r="F948" s="8"/>
    </row>
    <row r="949" spans="1:15" x14ac:dyDescent="0.3">
      <c r="B949" t="s">
        <v>422</v>
      </c>
      <c r="C949" s="135" t="s">
        <v>16</v>
      </c>
      <c r="D949" s="7">
        <v>45824</v>
      </c>
      <c r="E949" s="8">
        <v>-647.12</v>
      </c>
      <c r="F949" s="8"/>
    </row>
    <row r="950" spans="1:15" x14ac:dyDescent="0.3">
      <c r="B950" t="s">
        <v>422</v>
      </c>
      <c r="C950" s="135" t="s">
        <v>16</v>
      </c>
      <c r="D950" s="7">
        <v>45824</v>
      </c>
      <c r="E950" s="8">
        <v>-629.19000000000005</v>
      </c>
      <c r="F950" s="8"/>
    </row>
    <row r="951" spans="1:15" x14ac:dyDescent="0.3">
      <c r="B951" t="s">
        <v>422</v>
      </c>
      <c r="C951" s="135" t="s">
        <v>16</v>
      </c>
      <c r="D951" s="7">
        <v>45824</v>
      </c>
      <c r="E951" s="8">
        <v>-559.23</v>
      </c>
      <c r="F951" s="8"/>
    </row>
    <row r="952" spans="1:15" x14ac:dyDescent="0.3">
      <c r="B952" t="s">
        <v>422</v>
      </c>
      <c r="C952" s="135" t="s">
        <v>16</v>
      </c>
      <c r="D952" s="7">
        <v>45824</v>
      </c>
      <c r="E952" s="8">
        <v>-500.73</v>
      </c>
      <c r="F952" s="8"/>
    </row>
    <row r="953" spans="1:15" x14ac:dyDescent="0.3">
      <c r="B953" t="s">
        <v>422</v>
      </c>
      <c r="C953" s="135" t="s">
        <v>16</v>
      </c>
      <c r="D953" s="7">
        <v>45824</v>
      </c>
      <c r="E953" s="8">
        <v>-473.69</v>
      </c>
      <c r="F953" s="8"/>
    </row>
    <row r="954" spans="1:15" x14ac:dyDescent="0.3">
      <c r="B954" t="s">
        <v>422</v>
      </c>
      <c r="C954" s="135" t="s">
        <v>16</v>
      </c>
      <c r="D954" s="7">
        <v>45824</v>
      </c>
      <c r="E954" s="8">
        <v>-450.83</v>
      </c>
      <c r="F954" s="8"/>
    </row>
    <row r="955" spans="1:15" x14ac:dyDescent="0.3">
      <c r="B955" t="s">
        <v>422</v>
      </c>
      <c r="C955" s="135" t="s">
        <v>16</v>
      </c>
      <c r="D955" s="7">
        <v>45824</v>
      </c>
      <c r="E955" s="8">
        <v>-440</v>
      </c>
      <c r="F955" s="8"/>
    </row>
    <row r="956" spans="1:15" x14ac:dyDescent="0.3">
      <c r="B956" t="s">
        <v>422</v>
      </c>
      <c r="C956" s="135" t="s">
        <v>16</v>
      </c>
      <c r="D956" s="7">
        <v>45824</v>
      </c>
      <c r="E956" s="8">
        <v>-435.98</v>
      </c>
      <c r="F956" s="8"/>
    </row>
    <row r="957" spans="1:15" x14ac:dyDescent="0.3">
      <c r="B957" t="s">
        <v>422</v>
      </c>
      <c r="C957" s="135" t="s">
        <v>16</v>
      </c>
      <c r="D957" s="7">
        <v>45824</v>
      </c>
      <c r="E957" s="8">
        <v>-424.31</v>
      </c>
      <c r="F957" s="8"/>
    </row>
    <row r="958" spans="1:15" x14ac:dyDescent="0.3">
      <c r="B958" t="s">
        <v>422</v>
      </c>
      <c r="C958" s="135" t="s">
        <v>16</v>
      </c>
      <c r="D958" s="7">
        <v>45824</v>
      </c>
      <c r="E958" s="8">
        <v>-420.31</v>
      </c>
      <c r="F958" s="8"/>
    </row>
    <row r="959" spans="1:15" s="44" customFormat="1" x14ac:dyDescent="0.3">
      <c r="A959"/>
      <c r="B959" t="s">
        <v>422</v>
      </c>
      <c r="C959" s="135" t="s">
        <v>16</v>
      </c>
      <c r="D959" s="7">
        <v>45824</v>
      </c>
      <c r="E959" s="8">
        <v>-400</v>
      </c>
      <c r="F959" s="8"/>
      <c r="G959"/>
      <c r="H959"/>
      <c r="I959"/>
      <c r="J959"/>
      <c r="K959"/>
      <c r="L959"/>
      <c r="M959"/>
      <c r="N959"/>
      <c r="O959"/>
    </row>
    <row r="960" spans="1:15" s="44" customFormat="1" x14ac:dyDescent="0.3">
      <c r="A960"/>
      <c r="B960" t="s">
        <v>422</v>
      </c>
      <c r="C960" s="135" t="s">
        <v>16</v>
      </c>
      <c r="D960" s="7">
        <v>45824</v>
      </c>
      <c r="E960" s="8">
        <v>-381.1</v>
      </c>
      <c r="F960" s="8"/>
      <c r="G960"/>
      <c r="H960"/>
      <c r="I960"/>
      <c r="J960"/>
      <c r="K960"/>
      <c r="L960"/>
      <c r="M960"/>
      <c r="N960"/>
      <c r="O960"/>
    </row>
    <row r="961" spans="1:15" s="44" customFormat="1" x14ac:dyDescent="0.3">
      <c r="A961"/>
      <c r="B961" t="s">
        <v>422</v>
      </c>
      <c r="C961" s="135" t="s">
        <v>16</v>
      </c>
      <c r="D961" s="7">
        <v>45824</v>
      </c>
      <c r="E961" s="8">
        <v>-371.84</v>
      </c>
      <c r="F961" s="8"/>
      <c r="G961"/>
      <c r="H961"/>
      <c r="I961"/>
      <c r="J961"/>
      <c r="K961"/>
      <c r="L961"/>
      <c r="M961"/>
      <c r="N961"/>
      <c r="O961"/>
    </row>
    <row r="962" spans="1:15" s="44" customFormat="1" x14ac:dyDescent="0.3">
      <c r="A962"/>
      <c r="B962" t="s">
        <v>422</v>
      </c>
      <c r="C962" s="135" t="s">
        <v>16</v>
      </c>
      <c r="D962" s="7">
        <v>45824</v>
      </c>
      <c r="E962" s="8">
        <v>-357.91</v>
      </c>
      <c r="F962" s="8"/>
      <c r="G962"/>
      <c r="H962"/>
      <c r="I962"/>
      <c r="J962"/>
      <c r="K962"/>
      <c r="L962"/>
      <c r="M962"/>
      <c r="N962"/>
      <c r="O962"/>
    </row>
    <row r="963" spans="1:15" s="44" customFormat="1" x14ac:dyDescent="0.3">
      <c r="A963"/>
      <c r="B963" t="s">
        <v>422</v>
      </c>
      <c r="C963" s="135" t="s">
        <v>16</v>
      </c>
      <c r="D963" s="7">
        <v>45824</v>
      </c>
      <c r="E963" s="8">
        <v>-292.37</v>
      </c>
      <c r="F963" s="8"/>
      <c r="G963"/>
      <c r="H963"/>
      <c r="I963"/>
      <c r="J963"/>
      <c r="K963"/>
      <c r="L963"/>
      <c r="M963"/>
      <c r="N963"/>
      <c r="O963"/>
    </row>
    <row r="964" spans="1:15" s="44" customFormat="1" x14ac:dyDescent="0.3">
      <c r="A964"/>
      <c r="B964" t="s">
        <v>422</v>
      </c>
      <c r="C964" s="135" t="s">
        <v>16</v>
      </c>
      <c r="D964" s="7">
        <v>45824</v>
      </c>
      <c r="E964" s="8">
        <v>-274.92</v>
      </c>
      <c r="F964" s="8"/>
      <c r="G964"/>
      <c r="H964"/>
      <c r="I964"/>
      <c r="J964"/>
      <c r="K964"/>
      <c r="L964"/>
      <c r="M964"/>
      <c r="N964"/>
      <c r="O964"/>
    </row>
    <row r="965" spans="1:15" s="44" customFormat="1" x14ac:dyDescent="0.3">
      <c r="A965"/>
      <c r="B965" t="s">
        <v>422</v>
      </c>
      <c r="C965" s="135" t="s">
        <v>16</v>
      </c>
      <c r="D965" s="7">
        <v>45824</v>
      </c>
      <c r="E965" s="8">
        <v>-269.67</v>
      </c>
      <c r="F965" s="8"/>
      <c r="G965"/>
      <c r="H965"/>
      <c r="I965"/>
      <c r="J965"/>
      <c r="K965"/>
      <c r="L965"/>
      <c r="M965"/>
      <c r="N965"/>
      <c r="O965"/>
    </row>
    <row r="966" spans="1:15" s="44" customFormat="1" x14ac:dyDescent="0.3">
      <c r="A966"/>
      <c r="B966" t="s">
        <v>422</v>
      </c>
      <c r="C966" s="135" t="s">
        <v>16</v>
      </c>
      <c r="D966" s="7">
        <v>45824</v>
      </c>
      <c r="E966" s="8">
        <v>-245.23</v>
      </c>
      <c r="F966" s="8"/>
      <c r="G966"/>
      <c r="H966"/>
      <c r="I966"/>
      <c r="J966"/>
      <c r="K966"/>
      <c r="L966"/>
      <c r="M966"/>
      <c r="N966"/>
      <c r="O966"/>
    </row>
    <row r="967" spans="1:15" s="44" customFormat="1" x14ac:dyDescent="0.3">
      <c r="A967"/>
      <c r="B967" t="s">
        <v>422</v>
      </c>
      <c r="C967" s="135" t="s">
        <v>16</v>
      </c>
      <c r="D967" s="7">
        <v>45824</v>
      </c>
      <c r="E967" s="8">
        <v>-227.55</v>
      </c>
      <c r="F967" s="8"/>
      <c r="G967"/>
      <c r="H967"/>
      <c r="I967"/>
      <c r="J967"/>
      <c r="K967"/>
      <c r="L967"/>
      <c r="M967"/>
      <c r="N967"/>
      <c r="O967"/>
    </row>
    <row r="968" spans="1:15" s="44" customFormat="1" x14ac:dyDescent="0.3">
      <c r="A968"/>
      <c r="B968" t="s">
        <v>422</v>
      </c>
      <c r="C968" s="135" t="s">
        <v>16</v>
      </c>
      <c r="D968" s="7">
        <v>45824</v>
      </c>
      <c r="E968" s="8">
        <v>-180.46</v>
      </c>
      <c r="F968" s="8"/>
      <c r="G968"/>
      <c r="H968"/>
      <c r="I968"/>
      <c r="J968"/>
      <c r="K968"/>
      <c r="L968"/>
      <c r="M968"/>
      <c r="N968"/>
      <c r="O968"/>
    </row>
    <row r="969" spans="1:15" s="44" customFormat="1" x14ac:dyDescent="0.3">
      <c r="A969"/>
      <c r="B969" t="s">
        <v>422</v>
      </c>
      <c r="C969" s="135" t="s">
        <v>16</v>
      </c>
      <c r="D969" s="7">
        <v>45824</v>
      </c>
      <c r="E969" s="8">
        <v>-147.32</v>
      </c>
      <c r="F969" s="8"/>
      <c r="G969"/>
      <c r="H969"/>
      <c r="I969"/>
      <c r="J969"/>
      <c r="K969"/>
      <c r="L969"/>
      <c r="M969"/>
      <c r="N969"/>
      <c r="O969"/>
    </row>
    <row r="970" spans="1:15" s="44" customFormat="1" x14ac:dyDescent="0.3">
      <c r="A970"/>
      <c r="B970" t="s">
        <v>422</v>
      </c>
      <c r="C970" s="135" t="s">
        <v>16</v>
      </c>
      <c r="D970" s="7">
        <v>45824</v>
      </c>
      <c r="E970" s="8">
        <v>-129.86000000000001</v>
      </c>
      <c r="F970" s="8"/>
      <c r="G970"/>
      <c r="H970"/>
      <c r="I970"/>
      <c r="J970"/>
      <c r="K970"/>
      <c r="L970"/>
      <c r="M970"/>
      <c r="N970"/>
      <c r="O970"/>
    </row>
    <row r="971" spans="1:15" s="44" customFormat="1" x14ac:dyDescent="0.3">
      <c r="A971"/>
      <c r="B971" t="s">
        <v>422</v>
      </c>
      <c r="C971" s="135" t="s">
        <v>16</v>
      </c>
      <c r="D971" s="7">
        <v>45824</v>
      </c>
      <c r="E971" s="8">
        <v>-76.41</v>
      </c>
      <c r="F971" s="8"/>
      <c r="G971"/>
      <c r="H971"/>
      <c r="I971"/>
      <c r="J971"/>
      <c r="K971"/>
      <c r="L971"/>
      <c r="M971"/>
      <c r="N971"/>
      <c r="O971"/>
    </row>
    <row r="972" spans="1:15" s="44" customFormat="1" x14ac:dyDescent="0.3">
      <c r="A972"/>
      <c r="B972" t="s">
        <v>422</v>
      </c>
      <c r="C972" s="135" t="s">
        <v>16</v>
      </c>
      <c r="D972" s="7">
        <v>45824</v>
      </c>
      <c r="E972" s="8">
        <v>-55.15</v>
      </c>
      <c r="F972" s="8"/>
      <c r="G972"/>
      <c r="H972"/>
      <c r="I972"/>
      <c r="J972"/>
      <c r="K972"/>
      <c r="L972"/>
      <c r="M972"/>
      <c r="N972"/>
      <c r="O972"/>
    </row>
    <row r="973" spans="1:15" s="44" customFormat="1" x14ac:dyDescent="0.3">
      <c r="A973"/>
      <c r="B973" t="s">
        <v>422</v>
      </c>
      <c r="C973" s="135" t="s">
        <v>646</v>
      </c>
      <c r="D973" s="7">
        <v>45835</v>
      </c>
      <c r="E973" s="8">
        <v>15788.49</v>
      </c>
      <c r="F973" s="8"/>
      <c r="G973"/>
      <c r="H973"/>
      <c r="I973"/>
      <c r="J973"/>
      <c r="K973"/>
      <c r="L973"/>
      <c r="M973"/>
      <c r="N973"/>
      <c r="O973"/>
    </row>
    <row r="974" spans="1:15" s="44" customFormat="1" x14ac:dyDescent="0.3">
      <c r="A974"/>
      <c r="B974" t="s">
        <v>422</v>
      </c>
      <c r="C974" s="135" t="s">
        <v>655</v>
      </c>
      <c r="D974" s="7">
        <v>45835</v>
      </c>
      <c r="E974" s="8">
        <v>10816.52</v>
      </c>
      <c r="F974" s="8"/>
      <c r="G974"/>
      <c r="H974"/>
      <c r="I974"/>
      <c r="J974"/>
      <c r="K974"/>
      <c r="L974"/>
      <c r="M974"/>
      <c r="N974"/>
      <c r="O974"/>
    </row>
    <row r="975" spans="1:15" s="44" customFormat="1" x14ac:dyDescent="0.3">
      <c r="A975"/>
      <c r="B975" t="s">
        <v>422</v>
      </c>
      <c r="C975" s="135" t="s">
        <v>656</v>
      </c>
      <c r="D975" s="7">
        <v>45836</v>
      </c>
      <c r="E975" s="8">
        <v>9278.5499999999993</v>
      </c>
      <c r="F975" s="8"/>
      <c r="G975"/>
      <c r="H975"/>
      <c r="I975"/>
      <c r="J975"/>
      <c r="K975"/>
      <c r="L975"/>
      <c r="M975"/>
      <c r="N975"/>
      <c r="O975"/>
    </row>
    <row r="976" spans="1:15" s="44" customFormat="1" x14ac:dyDescent="0.3">
      <c r="A976"/>
      <c r="B976" t="s">
        <v>422</v>
      </c>
      <c r="C976" s="135" t="s">
        <v>657</v>
      </c>
      <c r="D976" s="7">
        <v>45836</v>
      </c>
      <c r="E976" s="8">
        <v>6052.22</v>
      </c>
      <c r="F976" s="8"/>
      <c r="G976"/>
      <c r="H976"/>
      <c r="I976"/>
      <c r="J976"/>
      <c r="K976"/>
      <c r="L976"/>
      <c r="M976"/>
      <c r="N976"/>
      <c r="O976"/>
    </row>
    <row r="977" spans="1:15" s="44" customFormat="1" x14ac:dyDescent="0.3">
      <c r="A977"/>
      <c r="B977" t="s">
        <v>422</v>
      </c>
      <c r="C977" s="135" t="s">
        <v>658</v>
      </c>
      <c r="D977" s="7">
        <v>45836</v>
      </c>
      <c r="E977" s="8">
        <v>143.03</v>
      </c>
      <c r="F977" s="8"/>
      <c r="G977"/>
      <c r="H977"/>
      <c r="I977"/>
      <c r="J977"/>
      <c r="K977"/>
      <c r="L977"/>
      <c r="M977"/>
      <c r="N977"/>
      <c r="O977"/>
    </row>
    <row r="978" spans="1:15" s="44" customFormat="1" x14ac:dyDescent="0.3">
      <c r="A978"/>
      <c r="B978" t="s">
        <v>422</v>
      </c>
      <c r="C978" s="135" t="s">
        <v>659</v>
      </c>
      <c r="D978" s="7">
        <v>45836</v>
      </c>
      <c r="E978" s="8">
        <v>22156.83</v>
      </c>
      <c r="F978" s="8"/>
      <c r="G978"/>
      <c r="H978"/>
      <c r="I978"/>
      <c r="J978"/>
      <c r="K978"/>
      <c r="L978"/>
      <c r="M978"/>
      <c r="N978"/>
      <c r="O978"/>
    </row>
    <row r="979" spans="1:15" s="44" customFormat="1" x14ac:dyDescent="0.3">
      <c r="A979"/>
      <c r="B979" t="s">
        <v>422</v>
      </c>
      <c r="C979" s="135" t="s">
        <v>660</v>
      </c>
      <c r="D979" s="7">
        <v>45836</v>
      </c>
      <c r="E979" s="8">
        <v>717.83</v>
      </c>
      <c r="F979" s="8"/>
      <c r="G979"/>
      <c r="H979"/>
      <c r="I979"/>
      <c r="J979"/>
      <c r="K979"/>
      <c r="L979"/>
      <c r="M979"/>
      <c r="N979"/>
      <c r="O979"/>
    </row>
    <row r="980" spans="1:15" s="44" customFormat="1" x14ac:dyDescent="0.3">
      <c r="A980"/>
      <c r="B980" t="s">
        <v>422</v>
      </c>
      <c r="C980" s="135" t="s">
        <v>661</v>
      </c>
      <c r="D980" s="7">
        <v>45836</v>
      </c>
      <c r="E980" s="8">
        <v>4226.09</v>
      </c>
      <c r="F980" s="8"/>
      <c r="G980"/>
      <c r="H980"/>
      <c r="I980"/>
      <c r="J980"/>
      <c r="K980"/>
      <c r="L980"/>
      <c r="M980"/>
      <c r="N980"/>
      <c r="O980"/>
    </row>
    <row r="981" spans="1:15" s="44" customFormat="1" x14ac:dyDescent="0.3">
      <c r="A981"/>
      <c r="B981" t="s">
        <v>422</v>
      </c>
      <c r="C981" s="135" t="s">
        <v>662</v>
      </c>
      <c r="D981" s="7">
        <v>45836</v>
      </c>
      <c r="E981" s="8">
        <v>1168.19</v>
      </c>
      <c r="F981" s="8"/>
      <c r="G981"/>
      <c r="H981"/>
      <c r="I981"/>
      <c r="J981"/>
      <c r="K981"/>
      <c r="L981"/>
      <c r="M981"/>
      <c r="N981"/>
      <c r="O981"/>
    </row>
    <row r="982" spans="1:15" s="44" customFormat="1" x14ac:dyDescent="0.3">
      <c r="A982"/>
      <c r="B982" t="s">
        <v>422</v>
      </c>
      <c r="C982" s="135" t="s">
        <v>663</v>
      </c>
      <c r="D982" s="7">
        <v>45836</v>
      </c>
      <c r="E982" s="8">
        <v>1340.7</v>
      </c>
      <c r="F982" s="8"/>
      <c r="G982"/>
      <c r="H982"/>
      <c r="I982"/>
      <c r="J982"/>
      <c r="K982"/>
      <c r="L982"/>
      <c r="M982"/>
      <c r="N982"/>
      <c r="O982"/>
    </row>
    <row r="983" spans="1:15" s="44" customFormat="1" x14ac:dyDescent="0.3">
      <c r="A983"/>
      <c r="B983" t="s">
        <v>422</v>
      </c>
      <c r="C983" s="135" t="s">
        <v>634</v>
      </c>
      <c r="D983" s="7">
        <v>45836</v>
      </c>
      <c r="E983" s="8">
        <v>3966.89</v>
      </c>
      <c r="F983" s="8"/>
      <c r="G983"/>
      <c r="H983"/>
      <c r="I983"/>
      <c r="J983"/>
      <c r="K983"/>
      <c r="L983"/>
      <c r="M983"/>
      <c r="N983"/>
      <c r="O983"/>
    </row>
    <row r="984" spans="1:15" s="44" customFormat="1" x14ac:dyDescent="0.3">
      <c r="A984"/>
      <c r="B984" t="s">
        <v>422</v>
      </c>
      <c r="C984" s="135" t="s">
        <v>664</v>
      </c>
      <c r="D984" s="7">
        <v>45836</v>
      </c>
      <c r="E984" s="8">
        <v>39.31</v>
      </c>
      <c r="F984" s="8"/>
      <c r="G984"/>
      <c r="H984"/>
      <c r="I984"/>
      <c r="J984"/>
      <c r="K984"/>
      <c r="L984"/>
      <c r="M984"/>
      <c r="N984"/>
      <c r="O984"/>
    </row>
    <row r="985" spans="1:15" s="44" customFormat="1" x14ac:dyDescent="0.3">
      <c r="A985"/>
      <c r="B985" t="s">
        <v>422</v>
      </c>
      <c r="C985" s="135" t="s">
        <v>665</v>
      </c>
      <c r="D985" s="7">
        <v>45836</v>
      </c>
      <c r="E985" s="8">
        <v>288.5</v>
      </c>
      <c r="F985" s="8"/>
      <c r="G985"/>
      <c r="H985"/>
      <c r="I985"/>
      <c r="J985"/>
      <c r="K985"/>
      <c r="L985"/>
      <c r="M985"/>
      <c r="N985"/>
      <c r="O985"/>
    </row>
    <row r="986" spans="1:15" s="44" customFormat="1" x14ac:dyDescent="0.3">
      <c r="A986"/>
      <c r="B986" t="s">
        <v>422</v>
      </c>
      <c r="C986" s="135" t="s">
        <v>666</v>
      </c>
      <c r="D986" s="7">
        <v>45836</v>
      </c>
      <c r="E986" s="8">
        <v>1183.3499999999999</v>
      </c>
      <c r="F986" s="8"/>
      <c r="G986"/>
      <c r="H986"/>
      <c r="I986"/>
      <c r="J986"/>
      <c r="K986"/>
      <c r="L986"/>
      <c r="M986"/>
      <c r="N986"/>
      <c r="O986"/>
    </row>
    <row r="987" spans="1:15" s="44" customFormat="1" x14ac:dyDescent="0.3">
      <c r="A987"/>
      <c r="B987" t="s">
        <v>422</v>
      </c>
      <c r="C987" s="135" t="s">
        <v>651</v>
      </c>
      <c r="D987" s="7">
        <v>45836</v>
      </c>
      <c r="E987" s="8">
        <v>2047.49</v>
      </c>
      <c r="F987" s="8"/>
      <c r="G987"/>
      <c r="H987"/>
      <c r="I987"/>
      <c r="J987"/>
      <c r="K987"/>
      <c r="L987"/>
      <c r="M987"/>
      <c r="N987"/>
      <c r="O987"/>
    </row>
    <row r="988" spans="1:15" s="44" customFormat="1" x14ac:dyDescent="0.3">
      <c r="A988"/>
      <c r="B988" t="s">
        <v>422</v>
      </c>
      <c r="C988" s="135" t="s">
        <v>667</v>
      </c>
      <c r="D988" s="7">
        <v>45836</v>
      </c>
      <c r="E988" s="8">
        <v>1859.93</v>
      </c>
      <c r="F988" s="8"/>
      <c r="G988"/>
      <c r="H988"/>
      <c r="I988"/>
      <c r="J988"/>
      <c r="K988"/>
      <c r="L988"/>
      <c r="M988"/>
      <c r="N988"/>
      <c r="O988"/>
    </row>
    <row r="989" spans="1:15" s="44" customFormat="1" x14ac:dyDescent="0.3">
      <c r="A989"/>
      <c r="B989" t="s">
        <v>422</v>
      </c>
      <c r="C989" s="135" t="s">
        <v>624</v>
      </c>
      <c r="D989" s="7">
        <v>45838</v>
      </c>
      <c r="E989" s="8">
        <v>4816.6400000000003</v>
      </c>
      <c r="F989" s="8"/>
      <c r="G989"/>
      <c r="H989"/>
      <c r="I989"/>
      <c r="J989"/>
      <c r="K989"/>
      <c r="L989"/>
      <c r="M989"/>
      <c r="N989"/>
      <c r="O989"/>
    </row>
    <row r="990" spans="1:15" s="44" customFormat="1" x14ac:dyDescent="0.3">
      <c r="A990"/>
      <c r="B990" t="s">
        <v>422</v>
      </c>
      <c r="C990" s="135" t="s">
        <v>668</v>
      </c>
      <c r="D990" s="7">
        <v>45838</v>
      </c>
      <c r="E990" s="8">
        <v>440</v>
      </c>
      <c r="F990" s="8"/>
      <c r="G990"/>
      <c r="H990"/>
      <c r="I990"/>
      <c r="J990"/>
      <c r="K990"/>
      <c r="L990"/>
      <c r="M990"/>
      <c r="N990"/>
      <c r="O990"/>
    </row>
    <row r="991" spans="1:15" s="44" customFormat="1" x14ac:dyDescent="0.3">
      <c r="A991"/>
      <c r="B991" t="s">
        <v>422</v>
      </c>
      <c r="C991" s="135" t="s">
        <v>669</v>
      </c>
      <c r="D991" s="7">
        <v>45838</v>
      </c>
      <c r="E991" s="8">
        <v>3265.82</v>
      </c>
      <c r="F991" s="8"/>
      <c r="G991"/>
      <c r="H991"/>
      <c r="I991"/>
      <c r="J991"/>
      <c r="K991"/>
      <c r="L991"/>
      <c r="M991"/>
      <c r="N991"/>
      <c r="O991"/>
    </row>
    <row r="992" spans="1:15" s="44" customFormat="1" x14ac:dyDescent="0.3">
      <c r="A992"/>
      <c r="B992" t="s">
        <v>422</v>
      </c>
      <c r="C992" s="44">
        <v>20250630</v>
      </c>
      <c r="D992" s="7">
        <v>45838</v>
      </c>
      <c r="E992" s="8">
        <v>90</v>
      </c>
      <c r="F992" s="8"/>
      <c r="G992"/>
      <c r="H992"/>
      <c r="I992"/>
      <c r="J992"/>
      <c r="K992"/>
      <c r="L992"/>
      <c r="M992"/>
      <c r="N992"/>
      <c r="O992"/>
    </row>
    <row r="993" spans="1:15" s="44" customFormat="1" x14ac:dyDescent="0.3">
      <c r="A993"/>
      <c r="B993" t="s">
        <v>422</v>
      </c>
      <c r="C993" s="135" t="s">
        <v>670</v>
      </c>
      <c r="D993" s="7">
        <v>45838</v>
      </c>
      <c r="E993" s="8">
        <v>1446.55</v>
      </c>
      <c r="F993" s="8"/>
      <c r="G993"/>
      <c r="H993"/>
      <c r="I993"/>
      <c r="J993"/>
      <c r="K993"/>
      <c r="L993"/>
      <c r="M993"/>
      <c r="N993"/>
      <c r="O993"/>
    </row>
    <row r="994" spans="1:15" s="44" customFormat="1" x14ac:dyDescent="0.3">
      <c r="A994"/>
      <c r="B994" t="s">
        <v>422</v>
      </c>
      <c r="C994" s="135" t="s">
        <v>671</v>
      </c>
      <c r="D994" s="7">
        <v>45838</v>
      </c>
      <c r="E994" s="8">
        <v>6517.91</v>
      </c>
      <c r="F994" s="8"/>
      <c r="G994"/>
      <c r="H994"/>
      <c r="I994"/>
      <c r="J994"/>
      <c r="K994"/>
      <c r="L994"/>
      <c r="M994"/>
      <c r="N994"/>
      <c r="O994"/>
    </row>
    <row r="995" spans="1:15" s="44" customFormat="1" x14ac:dyDescent="0.3">
      <c r="A995"/>
      <c r="B995" t="s">
        <v>422</v>
      </c>
      <c r="C995" s="135" t="s">
        <v>672</v>
      </c>
      <c r="D995" s="7">
        <v>45838</v>
      </c>
      <c r="E995" s="8">
        <v>3276.67</v>
      </c>
      <c r="F995" s="8"/>
      <c r="G995"/>
      <c r="H995"/>
      <c r="I995"/>
      <c r="J995"/>
      <c r="K995"/>
      <c r="L995"/>
      <c r="M995"/>
      <c r="N995"/>
      <c r="O995"/>
    </row>
    <row r="996" spans="1:15" s="44" customFormat="1" x14ac:dyDescent="0.3">
      <c r="A996"/>
      <c r="B996" t="s">
        <v>422</v>
      </c>
      <c r="C996" s="44">
        <v>20250630</v>
      </c>
      <c r="D996" s="7">
        <v>45838</v>
      </c>
      <c r="E996" s="8">
        <v>-17851.55</v>
      </c>
      <c r="F996" s="8"/>
      <c r="G996"/>
      <c r="H996"/>
      <c r="I996"/>
      <c r="J996"/>
      <c r="K996"/>
      <c r="L996"/>
      <c r="M996"/>
      <c r="N996"/>
      <c r="O996"/>
    </row>
    <row r="997" spans="1:15" s="44" customFormat="1" x14ac:dyDescent="0.3">
      <c r="A997"/>
      <c r="B997" t="s">
        <v>422</v>
      </c>
      <c r="C997" s="44">
        <v>20250630</v>
      </c>
      <c r="D997" s="7">
        <v>45838</v>
      </c>
      <c r="E997" s="8">
        <v>110</v>
      </c>
      <c r="F997" s="8"/>
      <c r="G997"/>
      <c r="H997"/>
      <c r="I997"/>
      <c r="J997"/>
      <c r="K997"/>
      <c r="L997"/>
      <c r="M997"/>
      <c r="N997"/>
      <c r="O997"/>
    </row>
    <row r="998" spans="1:15" s="44" customFormat="1" x14ac:dyDescent="0.3">
      <c r="A998"/>
      <c r="B998" t="s">
        <v>422</v>
      </c>
      <c r="C998" s="44">
        <v>20250630</v>
      </c>
      <c r="D998" s="7">
        <v>45838</v>
      </c>
      <c r="E998" s="8">
        <v>383</v>
      </c>
      <c r="F998" s="8"/>
      <c r="G998"/>
      <c r="H998"/>
      <c r="I998"/>
      <c r="J998"/>
      <c r="K998"/>
      <c r="L998"/>
      <c r="M998"/>
      <c r="N998"/>
      <c r="O998"/>
    </row>
    <row r="999" spans="1:15" s="44" customFormat="1" x14ac:dyDescent="0.3">
      <c r="A999"/>
      <c r="B999" t="s">
        <v>422</v>
      </c>
      <c r="C999" s="44">
        <v>20250630</v>
      </c>
      <c r="D999" s="7">
        <v>45838</v>
      </c>
      <c r="E999" s="8">
        <v>440.98</v>
      </c>
      <c r="F999" s="8"/>
      <c r="G999"/>
      <c r="H999"/>
      <c r="I999"/>
      <c r="J999"/>
      <c r="K999"/>
      <c r="L999"/>
      <c r="M999"/>
      <c r="N999"/>
      <c r="O999"/>
    </row>
    <row r="1000" spans="1:15" s="44" customFormat="1" x14ac:dyDescent="0.3">
      <c r="A1000"/>
      <c r="B1000" t="s">
        <v>422</v>
      </c>
      <c r="C1000" s="44">
        <v>20250630</v>
      </c>
      <c r="D1000" s="7">
        <v>45838</v>
      </c>
      <c r="E1000" s="8">
        <v>1033.94</v>
      </c>
      <c r="F1000" s="8"/>
      <c r="G1000"/>
      <c r="H1000"/>
      <c r="I1000"/>
      <c r="J1000"/>
      <c r="K1000"/>
      <c r="L1000"/>
      <c r="M1000"/>
      <c r="N1000"/>
      <c r="O1000"/>
    </row>
    <row r="1001" spans="1:15" s="44" customFormat="1" x14ac:dyDescent="0.3">
      <c r="A1001"/>
      <c r="B1001" t="s">
        <v>422</v>
      </c>
      <c r="C1001" s="44">
        <v>20250630</v>
      </c>
      <c r="D1001" s="7">
        <v>45838</v>
      </c>
      <c r="E1001" s="8">
        <v>1084.53</v>
      </c>
      <c r="F1001" s="8"/>
      <c r="G1001"/>
      <c r="H1001"/>
      <c r="I1001"/>
      <c r="J1001"/>
      <c r="K1001"/>
      <c r="L1001"/>
      <c r="M1001"/>
      <c r="N1001"/>
      <c r="O1001"/>
    </row>
    <row r="1002" spans="1:15" s="44" customFormat="1" x14ac:dyDescent="0.3">
      <c r="A1002"/>
      <c r="B1002" t="s">
        <v>422</v>
      </c>
      <c r="C1002" s="44">
        <v>20250630</v>
      </c>
      <c r="D1002" s="7">
        <v>45838</v>
      </c>
      <c r="E1002" s="8">
        <v>1321.47</v>
      </c>
      <c r="F1002" s="8"/>
      <c r="G1002"/>
      <c r="H1002"/>
      <c r="I1002"/>
      <c r="J1002"/>
      <c r="K1002"/>
      <c r="L1002"/>
      <c r="M1002"/>
      <c r="N1002"/>
      <c r="O1002"/>
    </row>
    <row r="1003" spans="1:15" s="44" customFormat="1" x14ac:dyDescent="0.3">
      <c r="A1003"/>
      <c r="B1003" t="s">
        <v>422</v>
      </c>
      <c r="C1003" s="44">
        <v>20250630</v>
      </c>
      <c r="D1003" s="7">
        <v>45838</v>
      </c>
      <c r="E1003" s="8">
        <v>1535.77</v>
      </c>
      <c r="F1003" s="8"/>
      <c r="G1003"/>
      <c r="H1003"/>
      <c r="I1003"/>
      <c r="J1003"/>
      <c r="K1003"/>
      <c r="L1003"/>
      <c r="M1003"/>
      <c r="N1003"/>
      <c r="O1003"/>
    </row>
    <row r="1004" spans="1:15" s="44" customFormat="1" x14ac:dyDescent="0.3">
      <c r="A1004"/>
      <c r="B1004" t="s">
        <v>422</v>
      </c>
      <c r="C1004" s="44">
        <v>20250630</v>
      </c>
      <c r="D1004" s="7">
        <v>45838</v>
      </c>
      <c r="E1004" s="8">
        <v>1705.83</v>
      </c>
      <c r="F1004" s="8"/>
      <c r="G1004"/>
      <c r="H1004"/>
      <c r="I1004"/>
      <c r="J1004"/>
      <c r="K1004"/>
      <c r="L1004"/>
      <c r="M1004"/>
      <c r="N1004"/>
      <c r="O1004"/>
    </row>
    <row r="1005" spans="1:15" s="44" customFormat="1" x14ac:dyDescent="0.3">
      <c r="A1005"/>
      <c r="B1005" t="s">
        <v>422</v>
      </c>
      <c r="C1005" s="44">
        <v>20250630</v>
      </c>
      <c r="D1005" s="7">
        <v>45838</v>
      </c>
      <c r="E1005" s="8">
        <v>2408.5300000000002</v>
      </c>
      <c r="F1005" s="8"/>
      <c r="G1005"/>
      <c r="H1005"/>
      <c r="I1005"/>
      <c r="J1005"/>
      <c r="K1005"/>
      <c r="L1005"/>
      <c r="M1005"/>
      <c r="N1005"/>
      <c r="O1005"/>
    </row>
    <row r="1006" spans="1:15" s="44" customFormat="1" x14ac:dyDescent="0.3">
      <c r="A1006"/>
      <c r="B1006" t="s">
        <v>422</v>
      </c>
      <c r="C1006" s="44">
        <v>20250630</v>
      </c>
      <c r="D1006" s="7">
        <v>45838</v>
      </c>
      <c r="E1006" s="8">
        <v>2664</v>
      </c>
      <c r="F1006" s="8"/>
      <c r="G1006"/>
      <c r="H1006"/>
      <c r="I1006"/>
      <c r="J1006"/>
      <c r="K1006"/>
      <c r="L1006"/>
      <c r="M1006"/>
      <c r="N1006"/>
      <c r="O1006"/>
    </row>
    <row r="1007" spans="1:15" s="44" customFormat="1" x14ac:dyDescent="0.3">
      <c r="A1007"/>
      <c r="B1007" t="s">
        <v>422</v>
      </c>
      <c r="C1007" s="44">
        <v>20250630</v>
      </c>
      <c r="D1007" s="7">
        <v>45838</v>
      </c>
      <c r="E1007" s="8">
        <v>4824.38</v>
      </c>
      <c r="F1007" s="8"/>
      <c r="G1007"/>
      <c r="H1007"/>
      <c r="I1007"/>
      <c r="J1007"/>
      <c r="K1007"/>
      <c r="L1007"/>
      <c r="M1007"/>
      <c r="N1007"/>
      <c r="O1007"/>
    </row>
    <row r="1008" spans="1:15" s="44" customFormat="1" x14ac:dyDescent="0.3">
      <c r="A1008"/>
      <c r="B1008" t="s">
        <v>422</v>
      </c>
      <c r="C1008" s="44">
        <v>20250630</v>
      </c>
      <c r="D1008" s="7">
        <v>45838</v>
      </c>
      <c r="E1008" s="8">
        <v>6821.66</v>
      </c>
      <c r="F1008" s="8"/>
      <c r="G1008"/>
      <c r="H1008"/>
      <c r="I1008"/>
      <c r="J1008"/>
      <c r="K1008"/>
      <c r="L1008"/>
      <c r="M1008"/>
      <c r="N1008"/>
      <c r="O1008"/>
    </row>
    <row r="1009" spans="1:15" s="44" customFormat="1" x14ac:dyDescent="0.3">
      <c r="A1009"/>
      <c r="B1009" t="s">
        <v>422</v>
      </c>
      <c r="C1009" s="135" t="s">
        <v>673</v>
      </c>
      <c r="D1009" s="7">
        <v>45838</v>
      </c>
      <c r="E1009" s="8">
        <v>50645.94</v>
      </c>
      <c r="F1009" s="8"/>
      <c r="G1009"/>
      <c r="H1009"/>
      <c r="I1009"/>
      <c r="J1009"/>
      <c r="K1009"/>
      <c r="L1009"/>
      <c r="M1009"/>
      <c r="N1009"/>
      <c r="O1009"/>
    </row>
    <row r="1010" spans="1:15" s="44" customFormat="1" x14ac:dyDescent="0.3">
      <c r="A1010"/>
      <c r="B1010" t="s">
        <v>422</v>
      </c>
      <c r="C1010" s="135" t="s">
        <v>674</v>
      </c>
      <c r="D1010" s="7">
        <v>45838</v>
      </c>
      <c r="E1010" s="8">
        <v>13950</v>
      </c>
      <c r="F1010" s="8"/>
      <c r="G1010"/>
      <c r="H1010"/>
      <c r="I1010"/>
      <c r="J1010"/>
      <c r="K1010"/>
      <c r="L1010"/>
      <c r="M1010"/>
      <c r="N1010"/>
      <c r="O1010"/>
    </row>
    <row r="1011" spans="1:15" s="44" customFormat="1" x14ac:dyDescent="0.3">
      <c r="A1011"/>
      <c r="B1011" t="s">
        <v>422</v>
      </c>
      <c r="C1011" s="135" t="s">
        <v>675</v>
      </c>
      <c r="D1011" s="7">
        <v>45838</v>
      </c>
      <c r="E1011" s="8">
        <v>3131.91</v>
      </c>
      <c r="F1011" s="8"/>
      <c r="G1011"/>
      <c r="H1011"/>
      <c r="I1011"/>
      <c r="J1011"/>
      <c r="K1011"/>
      <c r="L1011"/>
      <c r="M1011"/>
      <c r="N1011"/>
      <c r="O1011"/>
    </row>
    <row r="1012" spans="1:15" s="44" customFormat="1" x14ac:dyDescent="0.3">
      <c r="A1012"/>
      <c r="B1012" t="s">
        <v>422</v>
      </c>
      <c r="C1012" s="44">
        <v>779533277483</v>
      </c>
      <c r="D1012" s="7">
        <v>45838</v>
      </c>
      <c r="E1012" s="8">
        <v>868.82</v>
      </c>
      <c r="F1012" s="8"/>
      <c r="G1012"/>
      <c r="H1012"/>
      <c r="I1012"/>
      <c r="J1012"/>
      <c r="K1012"/>
      <c r="L1012"/>
      <c r="M1012"/>
      <c r="N1012"/>
      <c r="O1012"/>
    </row>
    <row r="1013" spans="1:15" s="44" customFormat="1" x14ac:dyDescent="0.3">
      <c r="A1013"/>
      <c r="B1013" t="s">
        <v>676</v>
      </c>
      <c r="C1013" s="135" t="s">
        <v>677</v>
      </c>
      <c r="D1013" s="7">
        <v>45762</v>
      </c>
      <c r="E1013" s="8">
        <v>-4842.6099999999997</v>
      </c>
      <c r="F1013" s="8"/>
      <c r="G1013"/>
      <c r="H1013"/>
      <c r="I1013"/>
      <c r="J1013"/>
      <c r="K1013"/>
      <c r="L1013"/>
      <c r="M1013"/>
      <c r="N1013"/>
      <c r="O1013"/>
    </row>
    <row r="1014" spans="1:15" s="44" customFormat="1" x14ac:dyDescent="0.3">
      <c r="A1014"/>
      <c r="B1014" t="s">
        <v>678</v>
      </c>
      <c r="C1014" s="135" t="s">
        <v>679</v>
      </c>
      <c r="D1014" s="7">
        <v>45712</v>
      </c>
      <c r="E1014" s="8">
        <v>12</v>
      </c>
      <c r="F1014" s="8"/>
      <c r="G1014"/>
      <c r="H1014"/>
      <c r="I1014"/>
      <c r="J1014"/>
      <c r="K1014"/>
      <c r="L1014"/>
      <c r="M1014"/>
      <c r="N1014"/>
      <c r="O1014"/>
    </row>
    <row r="1015" spans="1:15" s="44" customFormat="1" x14ac:dyDescent="0.3">
      <c r="A1015"/>
      <c r="B1015" t="s">
        <v>678</v>
      </c>
      <c r="C1015" s="135" t="s">
        <v>679</v>
      </c>
      <c r="D1015" s="7">
        <v>45712</v>
      </c>
      <c r="E1015" s="8">
        <v>12</v>
      </c>
      <c r="F1015" s="8"/>
      <c r="G1015"/>
      <c r="H1015"/>
      <c r="I1015"/>
      <c r="J1015"/>
      <c r="K1015"/>
      <c r="L1015"/>
      <c r="M1015"/>
      <c r="N1015"/>
      <c r="O1015"/>
    </row>
    <row r="1016" spans="1:15" s="44" customFormat="1" x14ac:dyDescent="0.3">
      <c r="A1016"/>
      <c r="B1016" t="s">
        <v>678</v>
      </c>
      <c r="C1016" s="135" t="s">
        <v>679</v>
      </c>
      <c r="D1016" s="7">
        <v>45712</v>
      </c>
      <c r="E1016" s="8">
        <v>12</v>
      </c>
      <c r="F1016" s="8"/>
      <c r="G1016"/>
      <c r="H1016"/>
      <c r="I1016"/>
      <c r="J1016"/>
      <c r="K1016"/>
      <c r="L1016"/>
      <c r="M1016"/>
      <c r="N1016"/>
      <c r="O1016"/>
    </row>
    <row r="1017" spans="1:15" s="44" customFormat="1" x14ac:dyDescent="0.3">
      <c r="A1017"/>
      <c r="B1017" t="s">
        <v>678</v>
      </c>
      <c r="C1017" s="135" t="s">
        <v>679</v>
      </c>
      <c r="D1017" s="7">
        <v>45712</v>
      </c>
      <c r="E1017" s="8">
        <v>12</v>
      </c>
      <c r="F1017" s="8"/>
      <c r="G1017"/>
      <c r="H1017"/>
      <c r="I1017"/>
      <c r="J1017"/>
      <c r="K1017"/>
      <c r="L1017"/>
      <c r="M1017"/>
      <c r="N1017"/>
      <c r="O1017"/>
    </row>
    <row r="1018" spans="1:15" s="44" customFormat="1" x14ac:dyDescent="0.3">
      <c r="A1018"/>
      <c r="B1018" t="s">
        <v>678</v>
      </c>
      <c r="C1018" s="135" t="s">
        <v>679</v>
      </c>
      <c r="D1018" s="7">
        <v>45712</v>
      </c>
      <c r="E1018" s="8">
        <v>12</v>
      </c>
      <c r="F1018" s="8"/>
      <c r="G1018"/>
      <c r="H1018"/>
      <c r="I1018"/>
      <c r="J1018"/>
      <c r="K1018"/>
      <c r="L1018"/>
      <c r="M1018"/>
      <c r="N1018"/>
      <c r="O1018"/>
    </row>
    <row r="1019" spans="1:15" s="44" customFormat="1" x14ac:dyDescent="0.3">
      <c r="A1019"/>
      <c r="B1019" t="s">
        <v>678</v>
      </c>
      <c r="C1019" s="135" t="s">
        <v>679</v>
      </c>
      <c r="D1019" s="7">
        <v>45712</v>
      </c>
      <c r="E1019" s="8">
        <v>12</v>
      </c>
      <c r="F1019" s="8"/>
      <c r="G1019"/>
      <c r="H1019"/>
      <c r="I1019"/>
      <c r="J1019"/>
      <c r="K1019"/>
      <c r="L1019"/>
      <c r="M1019"/>
      <c r="N1019"/>
      <c r="O1019"/>
    </row>
    <row r="1020" spans="1:15" s="44" customFormat="1" x14ac:dyDescent="0.3">
      <c r="A1020"/>
      <c r="B1020" t="s">
        <v>678</v>
      </c>
      <c r="C1020" s="135" t="s">
        <v>679</v>
      </c>
      <c r="D1020" s="7">
        <v>45712</v>
      </c>
      <c r="E1020" s="8">
        <v>12</v>
      </c>
      <c r="F1020" s="8"/>
      <c r="G1020"/>
      <c r="H1020"/>
      <c r="I1020"/>
      <c r="J1020"/>
      <c r="K1020"/>
      <c r="L1020"/>
      <c r="M1020"/>
      <c r="N1020"/>
      <c r="O1020"/>
    </row>
    <row r="1021" spans="1:15" s="44" customFormat="1" x14ac:dyDescent="0.3">
      <c r="A1021"/>
      <c r="B1021" t="s">
        <v>678</v>
      </c>
      <c r="C1021" s="135" t="s">
        <v>679</v>
      </c>
      <c r="D1021" s="7">
        <v>45712</v>
      </c>
      <c r="E1021" s="8">
        <v>12</v>
      </c>
      <c r="F1021" s="8"/>
      <c r="G1021"/>
      <c r="H1021"/>
      <c r="I1021"/>
      <c r="J1021"/>
      <c r="K1021"/>
      <c r="L1021"/>
      <c r="M1021"/>
      <c r="N1021"/>
      <c r="O1021"/>
    </row>
    <row r="1022" spans="1:15" s="44" customFormat="1" x14ac:dyDescent="0.3">
      <c r="A1022"/>
      <c r="B1022" t="s">
        <v>678</v>
      </c>
      <c r="C1022" s="135" t="s">
        <v>679</v>
      </c>
      <c r="D1022" s="7">
        <v>45712</v>
      </c>
      <c r="E1022" s="8">
        <v>12</v>
      </c>
      <c r="F1022" s="8"/>
      <c r="G1022"/>
      <c r="H1022"/>
      <c r="I1022"/>
      <c r="J1022"/>
      <c r="K1022"/>
      <c r="L1022"/>
      <c r="M1022"/>
      <c r="N1022"/>
      <c r="O1022"/>
    </row>
    <row r="1023" spans="1:15" s="44" customFormat="1" x14ac:dyDescent="0.3">
      <c r="A1023"/>
      <c r="B1023" t="s">
        <v>678</v>
      </c>
      <c r="C1023" s="135" t="s">
        <v>679</v>
      </c>
      <c r="D1023" s="7">
        <v>45712</v>
      </c>
      <c r="E1023" s="8">
        <v>12</v>
      </c>
      <c r="F1023" s="8"/>
      <c r="G1023"/>
      <c r="H1023"/>
      <c r="I1023"/>
      <c r="J1023"/>
      <c r="K1023"/>
      <c r="L1023"/>
      <c r="M1023"/>
      <c r="N1023"/>
      <c r="O1023"/>
    </row>
    <row r="1024" spans="1:15" s="44" customFormat="1" x14ac:dyDescent="0.3">
      <c r="A1024"/>
      <c r="B1024" t="s">
        <v>678</v>
      </c>
      <c r="C1024" s="135" t="s">
        <v>679</v>
      </c>
      <c r="D1024" s="7">
        <v>45712</v>
      </c>
      <c r="E1024" s="8">
        <v>12</v>
      </c>
      <c r="F1024" s="8"/>
      <c r="G1024"/>
      <c r="H1024"/>
      <c r="I1024"/>
      <c r="J1024"/>
      <c r="K1024"/>
      <c r="L1024"/>
      <c r="M1024"/>
      <c r="N1024"/>
      <c r="O1024"/>
    </row>
    <row r="1025" spans="1:15" s="44" customFormat="1" x14ac:dyDescent="0.3">
      <c r="A1025"/>
      <c r="B1025" t="s">
        <v>678</v>
      </c>
      <c r="C1025" s="135" t="s">
        <v>679</v>
      </c>
      <c r="D1025" s="7">
        <v>45712</v>
      </c>
      <c r="E1025" s="8">
        <v>13.08</v>
      </c>
      <c r="F1025" s="8"/>
      <c r="G1025"/>
      <c r="H1025"/>
      <c r="I1025"/>
      <c r="J1025"/>
      <c r="K1025"/>
      <c r="L1025"/>
      <c r="M1025"/>
      <c r="N1025"/>
      <c r="O1025"/>
    </row>
    <row r="1026" spans="1:15" s="44" customFormat="1" x14ac:dyDescent="0.3">
      <c r="A1026"/>
      <c r="B1026" t="s">
        <v>678</v>
      </c>
      <c r="C1026" s="135" t="s">
        <v>679</v>
      </c>
      <c r="D1026" s="7">
        <v>45712</v>
      </c>
      <c r="E1026" s="8">
        <v>12</v>
      </c>
      <c r="F1026" s="8"/>
      <c r="G1026"/>
      <c r="H1026"/>
      <c r="I1026"/>
      <c r="J1026"/>
      <c r="K1026"/>
      <c r="L1026"/>
      <c r="M1026"/>
      <c r="N1026"/>
      <c r="O1026"/>
    </row>
    <row r="1027" spans="1:15" s="44" customFormat="1" x14ac:dyDescent="0.3">
      <c r="A1027"/>
      <c r="B1027" t="s">
        <v>678</v>
      </c>
      <c r="C1027" s="135" t="s">
        <v>679</v>
      </c>
      <c r="D1027" s="7">
        <v>45712</v>
      </c>
      <c r="E1027" s="8">
        <v>12</v>
      </c>
      <c r="F1027" s="8"/>
      <c r="G1027"/>
      <c r="H1027"/>
      <c r="I1027"/>
      <c r="J1027"/>
      <c r="K1027"/>
      <c r="L1027"/>
      <c r="M1027"/>
      <c r="N1027"/>
      <c r="O1027"/>
    </row>
    <row r="1028" spans="1:15" s="44" customFormat="1" x14ac:dyDescent="0.3">
      <c r="A1028"/>
      <c r="B1028" t="s">
        <v>678</v>
      </c>
      <c r="C1028" s="135" t="s">
        <v>679</v>
      </c>
      <c r="D1028" s="7">
        <v>45712</v>
      </c>
      <c r="E1028" s="8">
        <v>12</v>
      </c>
      <c r="F1028" s="8"/>
      <c r="G1028"/>
      <c r="H1028"/>
      <c r="I1028"/>
      <c r="J1028"/>
      <c r="K1028"/>
      <c r="L1028"/>
      <c r="M1028"/>
      <c r="N1028"/>
      <c r="O1028"/>
    </row>
    <row r="1029" spans="1:15" s="44" customFormat="1" x14ac:dyDescent="0.3">
      <c r="A1029"/>
      <c r="B1029" t="s">
        <v>678</v>
      </c>
      <c r="C1029" s="135" t="s">
        <v>679</v>
      </c>
      <c r="D1029" s="7">
        <v>45712</v>
      </c>
      <c r="E1029" s="8">
        <v>12</v>
      </c>
      <c r="F1029" s="8"/>
      <c r="G1029"/>
      <c r="H1029"/>
      <c r="I1029"/>
      <c r="J1029"/>
      <c r="K1029"/>
      <c r="L1029"/>
      <c r="M1029"/>
      <c r="N1029"/>
      <c r="O1029"/>
    </row>
    <row r="1030" spans="1:15" s="44" customFormat="1" x14ac:dyDescent="0.3">
      <c r="A1030"/>
      <c r="B1030" t="s">
        <v>678</v>
      </c>
      <c r="C1030" s="135" t="s">
        <v>679</v>
      </c>
      <c r="D1030" s="7">
        <v>45712</v>
      </c>
      <c r="E1030" s="8">
        <v>12</v>
      </c>
      <c r="F1030" s="8"/>
      <c r="G1030"/>
      <c r="H1030"/>
      <c r="I1030"/>
      <c r="J1030"/>
      <c r="K1030"/>
      <c r="L1030"/>
      <c r="M1030"/>
      <c r="N1030"/>
      <c r="O1030"/>
    </row>
    <row r="1031" spans="1:15" s="44" customFormat="1" x14ac:dyDescent="0.3">
      <c r="A1031"/>
      <c r="B1031" t="s">
        <v>678</v>
      </c>
      <c r="C1031" s="135" t="s">
        <v>679</v>
      </c>
      <c r="D1031" s="7">
        <v>45712</v>
      </c>
      <c r="E1031" s="8">
        <v>12</v>
      </c>
      <c r="F1031" s="8"/>
      <c r="G1031"/>
      <c r="H1031"/>
      <c r="I1031"/>
      <c r="J1031"/>
      <c r="K1031"/>
      <c r="L1031"/>
      <c r="M1031"/>
      <c r="N1031"/>
      <c r="O1031"/>
    </row>
    <row r="1032" spans="1:15" s="44" customFormat="1" x14ac:dyDescent="0.3">
      <c r="A1032"/>
      <c r="B1032" t="s">
        <v>678</v>
      </c>
      <c r="C1032" s="135" t="s">
        <v>679</v>
      </c>
      <c r="D1032" s="7">
        <v>45712</v>
      </c>
      <c r="E1032" s="8">
        <v>12</v>
      </c>
      <c r="F1032" s="8"/>
      <c r="G1032"/>
      <c r="H1032"/>
      <c r="I1032"/>
      <c r="J1032"/>
      <c r="K1032"/>
      <c r="L1032"/>
      <c r="M1032"/>
      <c r="N1032"/>
      <c r="O1032"/>
    </row>
    <row r="1033" spans="1:15" s="44" customFormat="1" x14ac:dyDescent="0.3">
      <c r="A1033"/>
      <c r="B1033" t="s">
        <v>678</v>
      </c>
      <c r="C1033" s="135" t="s">
        <v>679</v>
      </c>
      <c r="D1033" s="7">
        <v>45712</v>
      </c>
      <c r="E1033" s="8">
        <v>12</v>
      </c>
      <c r="F1033" s="8"/>
      <c r="G1033"/>
      <c r="H1033"/>
      <c r="I1033"/>
      <c r="J1033"/>
      <c r="K1033"/>
      <c r="L1033"/>
      <c r="M1033"/>
      <c r="N1033"/>
      <c r="O1033"/>
    </row>
    <row r="1034" spans="1:15" s="44" customFormat="1" x14ac:dyDescent="0.3">
      <c r="A1034"/>
      <c r="B1034" t="s">
        <v>678</v>
      </c>
      <c r="C1034" s="135" t="s">
        <v>679</v>
      </c>
      <c r="D1034" s="7">
        <v>45712</v>
      </c>
      <c r="E1034" s="8">
        <v>12</v>
      </c>
      <c r="F1034" s="8"/>
      <c r="G1034"/>
      <c r="H1034"/>
      <c r="I1034"/>
      <c r="J1034"/>
      <c r="K1034"/>
      <c r="L1034"/>
      <c r="M1034"/>
      <c r="N1034"/>
      <c r="O1034"/>
    </row>
    <row r="1035" spans="1:15" s="44" customFormat="1" x14ac:dyDescent="0.3">
      <c r="A1035"/>
      <c r="B1035" t="s">
        <v>678</v>
      </c>
      <c r="C1035" s="135" t="s">
        <v>679</v>
      </c>
      <c r="D1035" s="7">
        <v>45712</v>
      </c>
      <c r="E1035" s="8">
        <v>12</v>
      </c>
      <c r="F1035" s="8"/>
      <c r="G1035"/>
      <c r="H1035"/>
      <c r="I1035"/>
      <c r="J1035"/>
      <c r="K1035"/>
      <c r="L1035"/>
      <c r="M1035"/>
      <c r="N1035"/>
      <c r="O1035"/>
    </row>
    <row r="1036" spans="1:15" s="44" customFormat="1" x14ac:dyDescent="0.3">
      <c r="A1036"/>
      <c r="B1036" t="s">
        <v>678</v>
      </c>
      <c r="C1036" s="135" t="s">
        <v>679</v>
      </c>
      <c r="D1036" s="7">
        <v>45712</v>
      </c>
      <c r="E1036" s="8">
        <v>12</v>
      </c>
      <c r="F1036" s="8"/>
      <c r="G1036"/>
      <c r="H1036"/>
      <c r="I1036"/>
      <c r="J1036"/>
      <c r="K1036"/>
      <c r="L1036"/>
      <c r="M1036"/>
      <c r="N1036"/>
      <c r="O1036"/>
    </row>
    <row r="1037" spans="1:15" s="44" customFormat="1" x14ac:dyDescent="0.3">
      <c r="A1037"/>
      <c r="B1037" t="s">
        <v>678</v>
      </c>
      <c r="C1037" s="135" t="s">
        <v>679</v>
      </c>
      <c r="D1037" s="7">
        <v>45712</v>
      </c>
      <c r="E1037" s="8">
        <v>12</v>
      </c>
      <c r="F1037" s="8"/>
      <c r="G1037"/>
      <c r="H1037"/>
      <c r="I1037"/>
      <c r="J1037"/>
      <c r="K1037"/>
      <c r="L1037"/>
      <c r="M1037"/>
      <c r="N1037"/>
      <c r="O1037"/>
    </row>
    <row r="1038" spans="1:15" s="44" customFormat="1" x14ac:dyDescent="0.3">
      <c r="A1038"/>
      <c r="B1038" t="s">
        <v>678</v>
      </c>
      <c r="C1038" s="135" t="s">
        <v>679</v>
      </c>
      <c r="D1038" s="7">
        <v>45712</v>
      </c>
      <c r="E1038" s="8">
        <v>12</v>
      </c>
      <c r="F1038" s="8"/>
      <c r="G1038"/>
      <c r="H1038"/>
      <c r="I1038"/>
      <c r="J1038"/>
      <c r="K1038"/>
      <c r="L1038"/>
      <c r="M1038"/>
      <c r="N1038"/>
      <c r="O1038"/>
    </row>
    <row r="1039" spans="1:15" s="44" customFormat="1" x14ac:dyDescent="0.3">
      <c r="A1039"/>
      <c r="B1039" t="s">
        <v>678</v>
      </c>
      <c r="C1039" s="135" t="s">
        <v>679</v>
      </c>
      <c r="D1039" s="7">
        <v>45712</v>
      </c>
      <c r="E1039" s="8">
        <v>12</v>
      </c>
      <c r="F1039" s="8"/>
      <c r="G1039"/>
      <c r="H1039"/>
      <c r="I1039"/>
      <c r="J1039"/>
      <c r="K1039"/>
      <c r="L1039"/>
      <c r="M1039"/>
      <c r="N1039"/>
      <c r="O1039"/>
    </row>
    <row r="1040" spans="1:15" s="44" customFormat="1" x14ac:dyDescent="0.3">
      <c r="A1040"/>
      <c r="B1040" t="s">
        <v>678</v>
      </c>
      <c r="C1040" s="135" t="s">
        <v>679</v>
      </c>
      <c r="D1040" s="7">
        <v>45712</v>
      </c>
      <c r="E1040" s="8">
        <v>12</v>
      </c>
      <c r="F1040" s="8"/>
      <c r="G1040"/>
      <c r="H1040"/>
      <c r="I1040"/>
      <c r="J1040"/>
      <c r="K1040"/>
      <c r="L1040"/>
      <c r="M1040"/>
      <c r="N1040"/>
      <c r="O1040"/>
    </row>
    <row r="1041" spans="1:15" s="44" customFormat="1" x14ac:dyDescent="0.3">
      <c r="A1041"/>
      <c r="B1041" t="s">
        <v>678</v>
      </c>
      <c r="C1041" s="135" t="s">
        <v>680</v>
      </c>
      <c r="D1041" s="7">
        <v>45712</v>
      </c>
      <c r="E1041" s="8">
        <v>17.079999999999998</v>
      </c>
      <c r="F1041" s="8"/>
      <c r="G1041"/>
      <c r="H1041"/>
      <c r="I1041"/>
      <c r="J1041"/>
      <c r="K1041"/>
      <c r="L1041"/>
      <c r="M1041"/>
      <c r="N1041"/>
      <c r="O1041"/>
    </row>
    <row r="1042" spans="1:15" s="44" customFormat="1" x14ac:dyDescent="0.3">
      <c r="A1042"/>
      <c r="B1042" t="s">
        <v>678</v>
      </c>
      <c r="C1042" s="135" t="s">
        <v>680</v>
      </c>
      <c r="D1042" s="7">
        <v>45712</v>
      </c>
      <c r="E1042" s="8">
        <v>22</v>
      </c>
      <c r="F1042" s="8"/>
      <c r="G1042"/>
      <c r="H1042"/>
      <c r="I1042"/>
      <c r="J1042"/>
      <c r="K1042"/>
      <c r="L1042"/>
      <c r="M1042"/>
      <c r="N1042"/>
      <c r="O1042"/>
    </row>
    <row r="1043" spans="1:15" s="44" customFormat="1" x14ac:dyDescent="0.3">
      <c r="A1043"/>
      <c r="B1043" t="s">
        <v>678</v>
      </c>
      <c r="C1043" s="135" t="s">
        <v>680</v>
      </c>
      <c r="D1043" s="7">
        <v>45712</v>
      </c>
      <c r="E1043" s="8">
        <v>22</v>
      </c>
      <c r="F1043" s="8"/>
      <c r="G1043"/>
      <c r="H1043"/>
      <c r="I1043"/>
      <c r="J1043"/>
      <c r="K1043"/>
      <c r="L1043"/>
      <c r="M1043"/>
      <c r="N1043"/>
      <c r="O1043"/>
    </row>
    <row r="1044" spans="1:15" s="44" customFormat="1" x14ac:dyDescent="0.3">
      <c r="A1044"/>
      <c r="B1044" t="s">
        <v>678</v>
      </c>
      <c r="C1044" s="135" t="s">
        <v>680</v>
      </c>
      <c r="D1044" s="7">
        <v>45712</v>
      </c>
      <c r="E1044" s="8">
        <v>22</v>
      </c>
      <c r="F1044" s="8"/>
      <c r="G1044"/>
      <c r="H1044"/>
      <c r="I1044"/>
      <c r="J1044"/>
      <c r="K1044"/>
      <c r="L1044"/>
      <c r="M1044"/>
      <c r="N1044"/>
      <c r="O1044"/>
    </row>
    <row r="1045" spans="1:15" s="44" customFormat="1" x14ac:dyDescent="0.3">
      <c r="A1045"/>
      <c r="B1045" t="s">
        <v>678</v>
      </c>
      <c r="C1045" s="135" t="s">
        <v>680</v>
      </c>
      <c r="D1045" s="7">
        <v>45712</v>
      </c>
      <c r="E1045" s="8">
        <v>22</v>
      </c>
      <c r="F1045" s="8"/>
      <c r="G1045"/>
      <c r="H1045"/>
      <c r="I1045"/>
      <c r="J1045"/>
      <c r="K1045"/>
      <c r="L1045"/>
      <c r="M1045"/>
      <c r="N1045"/>
      <c r="O1045"/>
    </row>
    <row r="1046" spans="1:15" s="44" customFormat="1" x14ac:dyDescent="0.3">
      <c r="A1046"/>
      <c r="B1046" t="s">
        <v>678</v>
      </c>
      <c r="C1046" s="135" t="s">
        <v>680</v>
      </c>
      <c r="D1046" s="7">
        <v>45712</v>
      </c>
      <c r="E1046" s="8">
        <v>22</v>
      </c>
      <c r="F1046" s="8"/>
      <c r="G1046"/>
      <c r="H1046"/>
      <c r="I1046"/>
      <c r="J1046"/>
      <c r="K1046"/>
      <c r="L1046"/>
      <c r="M1046"/>
      <c r="N1046"/>
      <c r="O1046"/>
    </row>
    <row r="1047" spans="1:15" s="44" customFormat="1" x14ac:dyDescent="0.3">
      <c r="A1047"/>
      <c r="B1047" t="s">
        <v>678</v>
      </c>
      <c r="C1047" s="135" t="s">
        <v>680</v>
      </c>
      <c r="D1047" s="7">
        <v>45712</v>
      </c>
      <c r="E1047" s="8">
        <v>22</v>
      </c>
      <c r="F1047" s="8"/>
      <c r="G1047"/>
      <c r="H1047"/>
      <c r="I1047"/>
      <c r="J1047"/>
      <c r="K1047"/>
      <c r="L1047"/>
      <c r="M1047"/>
      <c r="N1047"/>
      <c r="O1047"/>
    </row>
    <row r="1048" spans="1:15" s="44" customFormat="1" x14ac:dyDescent="0.3">
      <c r="A1048"/>
      <c r="B1048" t="s">
        <v>678</v>
      </c>
      <c r="C1048" s="135" t="s">
        <v>680</v>
      </c>
      <c r="D1048" s="7">
        <v>45712</v>
      </c>
      <c r="E1048" s="8">
        <v>22</v>
      </c>
      <c r="F1048" s="8"/>
      <c r="G1048"/>
      <c r="H1048"/>
      <c r="I1048"/>
      <c r="J1048"/>
      <c r="K1048"/>
      <c r="L1048"/>
      <c r="M1048"/>
      <c r="N1048"/>
      <c r="O1048"/>
    </row>
    <row r="1049" spans="1:15" s="44" customFormat="1" x14ac:dyDescent="0.3">
      <c r="A1049"/>
      <c r="B1049" t="s">
        <v>678</v>
      </c>
      <c r="C1049" s="135" t="s">
        <v>680</v>
      </c>
      <c r="D1049" s="7">
        <v>45712</v>
      </c>
      <c r="E1049" s="8">
        <v>22</v>
      </c>
      <c r="F1049" s="8"/>
      <c r="G1049"/>
      <c r="H1049"/>
      <c r="I1049"/>
      <c r="J1049"/>
      <c r="K1049"/>
      <c r="L1049"/>
      <c r="M1049"/>
      <c r="N1049"/>
      <c r="O1049"/>
    </row>
    <row r="1050" spans="1:15" s="44" customFormat="1" x14ac:dyDescent="0.3">
      <c r="A1050"/>
      <c r="B1050" t="s">
        <v>678</v>
      </c>
      <c r="C1050" s="135" t="s">
        <v>680</v>
      </c>
      <c r="D1050" s="7">
        <v>45712</v>
      </c>
      <c r="E1050" s="8">
        <v>22</v>
      </c>
      <c r="F1050" s="8"/>
      <c r="G1050"/>
      <c r="H1050"/>
      <c r="I1050"/>
      <c r="J1050"/>
      <c r="K1050"/>
      <c r="L1050"/>
      <c r="M1050"/>
      <c r="N1050"/>
      <c r="O1050"/>
    </row>
    <row r="1051" spans="1:15" s="44" customFormat="1" x14ac:dyDescent="0.3">
      <c r="A1051"/>
      <c r="B1051" t="s">
        <v>678</v>
      </c>
      <c r="C1051" s="135" t="s">
        <v>680</v>
      </c>
      <c r="D1051" s="7">
        <v>45712</v>
      </c>
      <c r="E1051" s="8">
        <v>22</v>
      </c>
      <c r="F1051" s="8"/>
      <c r="G1051"/>
      <c r="H1051"/>
      <c r="I1051"/>
      <c r="J1051"/>
      <c r="K1051"/>
      <c r="L1051"/>
      <c r="M1051"/>
      <c r="N1051"/>
      <c r="O1051"/>
    </row>
    <row r="1052" spans="1:15" s="44" customFormat="1" x14ac:dyDescent="0.3">
      <c r="A1052"/>
      <c r="B1052" t="s">
        <v>678</v>
      </c>
      <c r="C1052" s="135" t="s">
        <v>680</v>
      </c>
      <c r="D1052" s="7">
        <v>45712</v>
      </c>
      <c r="E1052" s="8">
        <v>22</v>
      </c>
      <c r="F1052" s="8"/>
      <c r="G1052"/>
      <c r="H1052"/>
      <c r="I1052"/>
      <c r="J1052"/>
      <c r="K1052"/>
      <c r="L1052"/>
      <c r="M1052"/>
      <c r="N1052"/>
      <c r="O1052"/>
    </row>
    <row r="1053" spans="1:15" s="44" customFormat="1" x14ac:dyDescent="0.3">
      <c r="A1053"/>
      <c r="B1053" t="s">
        <v>678</v>
      </c>
      <c r="C1053" s="135" t="s">
        <v>680</v>
      </c>
      <c r="D1053" s="7">
        <v>45712</v>
      </c>
      <c r="E1053" s="8">
        <v>22</v>
      </c>
      <c r="F1053" s="8"/>
      <c r="G1053"/>
      <c r="H1053"/>
      <c r="I1053"/>
      <c r="J1053"/>
      <c r="K1053"/>
      <c r="L1053"/>
      <c r="M1053"/>
      <c r="N1053"/>
      <c r="O1053"/>
    </row>
    <row r="1054" spans="1:15" s="44" customFormat="1" x14ac:dyDescent="0.3">
      <c r="A1054"/>
      <c r="B1054" t="s">
        <v>678</v>
      </c>
      <c r="C1054" s="135" t="s">
        <v>680</v>
      </c>
      <c r="D1054" s="7">
        <v>45712</v>
      </c>
      <c r="E1054" s="8">
        <v>22</v>
      </c>
      <c r="F1054" s="8"/>
      <c r="G1054"/>
      <c r="H1054"/>
      <c r="I1054"/>
      <c r="J1054"/>
      <c r="K1054"/>
      <c r="L1054"/>
      <c r="M1054"/>
      <c r="N1054"/>
      <c r="O1054"/>
    </row>
    <row r="1055" spans="1:15" s="44" customFormat="1" x14ac:dyDescent="0.3">
      <c r="A1055"/>
      <c r="B1055" t="s">
        <v>678</v>
      </c>
      <c r="C1055" s="135" t="s">
        <v>680</v>
      </c>
      <c r="D1055" s="7">
        <v>45712</v>
      </c>
      <c r="E1055" s="8">
        <v>22</v>
      </c>
      <c r="F1055" s="8"/>
      <c r="G1055"/>
      <c r="H1055"/>
      <c r="I1055"/>
      <c r="J1055"/>
      <c r="K1055"/>
      <c r="L1055"/>
      <c r="M1055"/>
      <c r="N1055"/>
      <c r="O1055"/>
    </row>
    <row r="1056" spans="1:15" s="44" customFormat="1" x14ac:dyDescent="0.3">
      <c r="A1056"/>
      <c r="B1056" t="s">
        <v>678</v>
      </c>
      <c r="C1056" s="135" t="s">
        <v>681</v>
      </c>
      <c r="D1056" s="7">
        <v>45712</v>
      </c>
      <c r="E1056" s="8">
        <v>3</v>
      </c>
      <c r="F1056" s="8"/>
      <c r="G1056"/>
      <c r="H1056"/>
      <c r="I1056"/>
      <c r="J1056"/>
      <c r="K1056"/>
      <c r="L1056"/>
      <c r="M1056"/>
      <c r="N1056"/>
      <c r="O1056"/>
    </row>
    <row r="1057" spans="1:15" s="44" customFormat="1" x14ac:dyDescent="0.3">
      <c r="A1057"/>
      <c r="B1057" t="s">
        <v>678</v>
      </c>
      <c r="C1057" s="135" t="s">
        <v>681</v>
      </c>
      <c r="D1057" s="7">
        <v>45712</v>
      </c>
      <c r="E1057" s="8">
        <v>3</v>
      </c>
      <c r="F1057" s="8"/>
      <c r="G1057"/>
      <c r="H1057"/>
      <c r="I1057"/>
      <c r="J1057"/>
      <c r="K1057"/>
      <c r="L1057"/>
      <c r="M1057"/>
      <c r="N1057"/>
      <c r="O1057"/>
    </row>
    <row r="1058" spans="1:15" s="44" customFormat="1" x14ac:dyDescent="0.3">
      <c r="A1058"/>
      <c r="B1058" t="s">
        <v>678</v>
      </c>
      <c r="C1058" s="135" t="s">
        <v>681</v>
      </c>
      <c r="D1058" s="7">
        <v>45712</v>
      </c>
      <c r="E1058" s="8">
        <v>5.44</v>
      </c>
      <c r="F1058" s="8"/>
      <c r="G1058"/>
      <c r="H1058"/>
      <c r="I1058"/>
      <c r="J1058"/>
      <c r="K1058"/>
      <c r="L1058"/>
      <c r="M1058"/>
      <c r="N1058"/>
      <c r="O1058"/>
    </row>
    <row r="1059" spans="1:15" s="44" customFormat="1" x14ac:dyDescent="0.3">
      <c r="A1059"/>
      <c r="B1059" t="s">
        <v>678</v>
      </c>
      <c r="C1059" s="135" t="s">
        <v>681</v>
      </c>
      <c r="D1059" s="7">
        <v>45712</v>
      </c>
      <c r="E1059" s="8">
        <v>5</v>
      </c>
      <c r="F1059" s="8"/>
      <c r="G1059"/>
      <c r="H1059"/>
      <c r="I1059"/>
      <c r="J1059"/>
      <c r="K1059"/>
      <c r="L1059"/>
      <c r="M1059"/>
      <c r="N1059"/>
      <c r="O1059"/>
    </row>
    <row r="1060" spans="1:15" s="44" customFormat="1" x14ac:dyDescent="0.3">
      <c r="A1060"/>
      <c r="B1060" t="s">
        <v>678</v>
      </c>
      <c r="C1060" s="135" t="s">
        <v>681</v>
      </c>
      <c r="D1060" s="7">
        <v>45712</v>
      </c>
      <c r="E1060" s="8">
        <v>3</v>
      </c>
      <c r="F1060" s="8"/>
      <c r="G1060"/>
      <c r="H1060"/>
      <c r="I1060"/>
      <c r="J1060"/>
      <c r="K1060"/>
      <c r="L1060"/>
      <c r="M1060"/>
      <c r="N1060"/>
      <c r="O1060"/>
    </row>
    <row r="1061" spans="1:15" s="44" customFormat="1" x14ac:dyDescent="0.3">
      <c r="A1061"/>
      <c r="B1061" t="s">
        <v>678</v>
      </c>
      <c r="C1061" s="135" t="s">
        <v>681</v>
      </c>
      <c r="D1061" s="7">
        <v>45712</v>
      </c>
      <c r="E1061" s="8">
        <v>4</v>
      </c>
      <c r="F1061" s="8"/>
      <c r="G1061"/>
      <c r="H1061"/>
      <c r="I1061"/>
      <c r="J1061"/>
      <c r="K1061"/>
      <c r="L1061"/>
      <c r="M1061"/>
      <c r="N1061"/>
      <c r="O1061"/>
    </row>
    <row r="1062" spans="1:15" s="44" customFormat="1" x14ac:dyDescent="0.3">
      <c r="A1062"/>
      <c r="B1062" t="s">
        <v>678</v>
      </c>
      <c r="C1062" s="135" t="s">
        <v>681</v>
      </c>
      <c r="D1062" s="7">
        <v>45712</v>
      </c>
      <c r="E1062" s="8">
        <v>3</v>
      </c>
      <c r="F1062" s="8"/>
      <c r="G1062"/>
      <c r="H1062"/>
      <c r="I1062"/>
      <c r="J1062"/>
      <c r="K1062"/>
      <c r="L1062"/>
      <c r="M1062"/>
      <c r="N1062"/>
      <c r="O1062"/>
    </row>
    <row r="1063" spans="1:15" s="44" customFormat="1" x14ac:dyDescent="0.3">
      <c r="A1063"/>
      <c r="B1063" t="s">
        <v>678</v>
      </c>
      <c r="C1063" s="135" t="s">
        <v>681</v>
      </c>
      <c r="D1063" s="7">
        <v>45712</v>
      </c>
      <c r="E1063" s="8">
        <v>3</v>
      </c>
      <c r="F1063" s="8"/>
      <c r="G1063"/>
      <c r="H1063"/>
      <c r="I1063"/>
      <c r="J1063"/>
      <c r="K1063"/>
      <c r="L1063"/>
      <c r="M1063"/>
      <c r="N1063"/>
      <c r="O1063"/>
    </row>
    <row r="1064" spans="1:15" s="44" customFormat="1" x14ac:dyDescent="0.3">
      <c r="A1064"/>
      <c r="B1064" t="s">
        <v>678</v>
      </c>
      <c r="C1064" s="135" t="s">
        <v>681</v>
      </c>
      <c r="D1064" s="7">
        <v>45712</v>
      </c>
      <c r="E1064" s="8">
        <v>5</v>
      </c>
      <c r="F1064" s="8"/>
      <c r="G1064"/>
      <c r="H1064"/>
      <c r="I1064"/>
      <c r="J1064"/>
      <c r="K1064"/>
      <c r="L1064"/>
      <c r="M1064"/>
      <c r="N1064"/>
      <c r="O1064"/>
    </row>
    <row r="1065" spans="1:15" s="44" customFormat="1" x14ac:dyDescent="0.3">
      <c r="A1065"/>
      <c r="B1065" t="s">
        <v>678</v>
      </c>
      <c r="C1065" s="135" t="s">
        <v>681</v>
      </c>
      <c r="D1065" s="7">
        <v>45712</v>
      </c>
      <c r="E1065" s="8">
        <v>4</v>
      </c>
      <c r="F1065" s="8"/>
      <c r="G1065"/>
      <c r="H1065"/>
      <c r="I1065"/>
      <c r="J1065"/>
      <c r="K1065"/>
      <c r="L1065"/>
      <c r="M1065"/>
      <c r="N1065"/>
      <c r="O1065"/>
    </row>
    <row r="1066" spans="1:15" s="44" customFormat="1" x14ac:dyDescent="0.3">
      <c r="A1066"/>
      <c r="B1066" t="s">
        <v>678</v>
      </c>
      <c r="C1066" s="135" t="s">
        <v>681</v>
      </c>
      <c r="D1066" s="7">
        <v>45712</v>
      </c>
      <c r="E1066" s="8">
        <v>3</v>
      </c>
      <c r="F1066" s="8"/>
      <c r="G1066"/>
      <c r="H1066"/>
      <c r="I1066"/>
      <c r="J1066"/>
      <c r="K1066"/>
      <c r="L1066"/>
      <c r="M1066"/>
      <c r="N1066"/>
      <c r="O1066"/>
    </row>
    <row r="1067" spans="1:15" s="44" customFormat="1" x14ac:dyDescent="0.3">
      <c r="A1067"/>
      <c r="B1067" t="s">
        <v>678</v>
      </c>
      <c r="C1067" s="135" t="s">
        <v>681</v>
      </c>
      <c r="D1067" s="7">
        <v>45712</v>
      </c>
      <c r="E1067" s="8">
        <v>5</v>
      </c>
      <c r="F1067" s="8"/>
      <c r="G1067"/>
      <c r="H1067"/>
      <c r="I1067"/>
      <c r="J1067"/>
      <c r="K1067"/>
      <c r="L1067"/>
      <c r="M1067"/>
      <c r="N1067"/>
      <c r="O1067"/>
    </row>
    <row r="1068" spans="1:15" s="44" customFormat="1" x14ac:dyDescent="0.3">
      <c r="A1068"/>
      <c r="B1068" t="s">
        <v>678</v>
      </c>
      <c r="C1068" s="135" t="s">
        <v>681</v>
      </c>
      <c r="D1068" s="7">
        <v>45712</v>
      </c>
      <c r="E1068" s="8">
        <v>3</v>
      </c>
      <c r="F1068" s="8"/>
      <c r="G1068"/>
      <c r="H1068"/>
      <c r="I1068"/>
      <c r="J1068"/>
      <c r="K1068"/>
      <c r="L1068"/>
      <c r="M1068"/>
      <c r="N1068"/>
      <c r="O1068"/>
    </row>
    <row r="1069" spans="1:15" s="44" customFormat="1" x14ac:dyDescent="0.3">
      <c r="A1069"/>
      <c r="B1069" t="s">
        <v>678</v>
      </c>
      <c r="C1069" s="135" t="s">
        <v>682</v>
      </c>
      <c r="D1069" s="7">
        <v>45712</v>
      </c>
      <c r="E1069" s="8">
        <v>6</v>
      </c>
      <c r="F1069" s="8"/>
      <c r="G1069"/>
      <c r="H1069"/>
      <c r="I1069"/>
      <c r="J1069"/>
      <c r="K1069"/>
      <c r="L1069"/>
      <c r="M1069"/>
      <c r="N1069"/>
      <c r="O1069"/>
    </row>
    <row r="1070" spans="1:15" s="44" customFormat="1" x14ac:dyDescent="0.3">
      <c r="A1070"/>
      <c r="B1070" t="s">
        <v>678</v>
      </c>
      <c r="C1070" s="135" t="s">
        <v>682</v>
      </c>
      <c r="D1070" s="7">
        <v>45712</v>
      </c>
      <c r="E1070" s="8">
        <v>6</v>
      </c>
      <c r="F1070" s="8"/>
      <c r="G1070"/>
      <c r="H1070"/>
      <c r="I1070"/>
      <c r="J1070"/>
      <c r="K1070"/>
      <c r="L1070"/>
      <c r="M1070"/>
      <c r="N1070"/>
      <c r="O1070"/>
    </row>
    <row r="1071" spans="1:15" s="44" customFormat="1" x14ac:dyDescent="0.3">
      <c r="A1071"/>
      <c r="B1071" t="s">
        <v>678</v>
      </c>
      <c r="C1071" s="135" t="s">
        <v>682</v>
      </c>
      <c r="D1071" s="7">
        <v>45712</v>
      </c>
      <c r="E1071" s="8">
        <v>8.8800000000000008</v>
      </c>
      <c r="F1071" s="8"/>
      <c r="G1071"/>
      <c r="H1071"/>
      <c r="I1071"/>
      <c r="J1071"/>
      <c r="K1071"/>
      <c r="L1071"/>
      <c r="M1071"/>
      <c r="N1071"/>
      <c r="O1071"/>
    </row>
    <row r="1072" spans="1:15" s="44" customFormat="1" x14ac:dyDescent="0.3">
      <c r="A1072"/>
      <c r="B1072" t="s">
        <v>678</v>
      </c>
      <c r="C1072" s="135" t="s">
        <v>682</v>
      </c>
      <c r="D1072" s="7">
        <v>45712</v>
      </c>
      <c r="E1072" s="8">
        <v>6</v>
      </c>
      <c r="F1072" s="8"/>
      <c r="G1072"/>
      <c r="H1072"/>
      <c r="I1072"/>
      <c r="J1072"/>
      <c r="K1072"/>
      <c r="L1072"/>
      <c r="M1072"/>
      <c r="N1072"/>
      <c r="O1072"/>
    </row>
    <row r="1073" spans="1:15" s="44" customFormat="1" x14ac:dyDescent="0.3">
      <c r="A1073"/>
      <c r="B1073" t="s">
        <v>678</v>
      </c>
      <c r="C1073" s="135" t="s">
        <v>682</v>
      </c>
      <c r="D1073" s="7">
        <v>45712</v>
      </c>
      <c r="E1073" s="8">
        <v>6</v>
      </c>
      <c r="F1073" s="8"/>
      <c r="G1073"/>
      <c r="H1073"/>
      <c r="I1073"/>
      <c r="J1073"/>
      <c r="K1073"/>
      <c r="L1073"/>
      <c r="M1073"/>
      <c r="N1073"/>
      <c r="O1073"/>
    </row>
    <row r="1074" spans="1:15" s="44" customFormat="1" x14ac:dyDescent="0.3">
      <c r="A1074"/>
      <c r="B1074" t="s">
        <v>678</v>
      </c>
      <c r="C1074" s="135" t="s">
        <v>682</v>
      </c>
      <c r="D1074" s="7">
        <v>45712</v>
      </c>
      <c r="E1074" s="8">
        <v>6</v>
      </c>
      <c r="F1074" s="8"/>
      <c r="G1074"/>
      <c r="H1074"/>
      <c r="I1074"/>
      <c r="J1074"/>
      <c r="K1074"/>
      <c r="L1074"/>
      <c r="M1074"/>
      <c r="N1074"/>
      <c r="O1074"/>
    </row>
    <row r="1075" spans="1:15" s="44" customFormat="1" x14ac:dyDescent="0.3">
      <c r="A1075"/>
      <c r="B1075" t="s">
        <v>678</v>
      </c>
      <c r="C1075" s="135" t="s">
        <v>682</v>
      </c>
      <c r="D1075" s="7">
        <v>45712</v>
      </c>
      <c r="E1075" s="8">
        <v>6</v>
      </c>
      <c r="F1075" s="8"/>
      <c r="G1075"/>
      <c r="H1075"/>
      <c r="I1075"/>
      <c r="J1075"/>
      <c r="K1075"/>
      <c r="L1075"/>
      <c r="M1075"/>
      <c r="N1075"/>
      <c r="O1075"/>
    </row>
    <row r="1076" spans="1:15" s="44" customFormat="1" x14ac:dyDescent="0.3">
      <c r="A1076"/>
      <c r="B1076" t="s">
        <v>678</v>
      </c>
      <c r="C1076" s="135" t="s">
        <v>682</v>
      </c>
      <c r="D1076" s="7">
        <v>45712</v>
      </c>
      <c r="E1076" s="8">
        <v>6</v>
      </c>
      <c r="F1076" s="8"/>
      <c r="G1076"/>
      <c r="H1076"/>
      <c r="I1076"/>
      <c r="J1076"/>
      <c r="K1076"/>
      <c r="L1076"/>
      <c r="M1076"/>
      <c r="N1076"/>
      <c r="O1076"/>
    </row>
    <row r="1077" spans="1:15" s="44" customFormat="1" x14ac:dyDescent="0.3">
      <c r="A1077"/>
      <c r="B1077" t="s">
        <v>678</v>
      </c>
      <c r="C1077" s="135" t="s">
        <v>682</v>
      </c>
      <c r="D1077" s="7">
        <v>45712</v>
      </c>
      <c r="E1077" s="8">
        <v>6</v>
      </c>
      <c r="F1077" s="8"/>
      <c r="G1077"/>
      <c r="H1077"/>
      <c r="I1077"/>
      <c r="J1077"/>
      <c r="K1077"/>
      <c r="L1077"/>
      <c r="M1077"/>
      <c r="N1077"/>
      <c r="O1077"/>
    </row>
    <row r="1078" spans="1:15" s="44" customFormat="1" x14ac:dyDescent="0.3">
      <c r="A1078"/>
      <c r="B1078" t="s">
        <v>678</v>
      </c>
      <c r="C1078" s="135" t="s">
        <v>682</v>
      </c>
      <c r="D1078" s="7">
        <v>45712</v>
      </c>
      <c r="E1078" s="8">
        <v>6</v>
      </c>
      <c r="F1078" s="8"/>
      <c r="G1078"/>
      <c r="H1078"/>
      <c r="I1078"/>
      <c r="J1078"/>
      <c r="K1078"/>
      <c r="L1078"/>
      <c r="M1078"/>
      <c r="N1078"/>
      <c r="O1078"/>
    </row>
    <row r="1079" spans="1:15" s="44" customFormat="1" x14ac:dyDescent="0.3">
      <c r="A1079"/>
      <c r="B1079" t="s">
        <v>678</v>
      </c>
      <c r="C1079" s="135" t="s">
        <v>682</v>
      </c>
      <c r="D1079" s="7">
        <v>45712</v>
      </c>
      <c r="E1079" s="8">
        <v>6</v>
      </c>
      <c r="F1079" s="8"/>
      <c r="G1079"/>
      <c r="H1079"/>
      <c r="I1079"/>
      <c r="J1079"/>
      <c r="K1079"/>
      <c r="L1079"/>
      <c r="M1079"/>
      <c r="N1079"/>
      <c r="O1079"/>
    </row>
    <row r="1080" spans="1:15" s="44" customFormat="1" x14ac:dyDescent="0.3">
      <c r="A1080"/>
      <c r="B1080" t="s">
        <v>678</v>
      </c>
      <c r="C1080" s="135" t="s">
        <v>682</v>
      </c>
      <c r="D1080" s="7">
        <v>45712</v>
      </c>
      <c r="E1080" s="8">
        <v>6</v>
      </c>
      <c r="F1080" s="8"/>
      <c r="G1080"/>
      <c r="H1080"/>
      <c r="I1080"/>
      <c r="J1080"/>
      <c r="K1080"/>
      <c r="L1080"/>
      <c r="M1080"/>
      <c r="N1080"/>
      <c r="O1080"/>
    </row>
    <row r="1081" spans="1:15" s="44" customFormat="1" x14ac:dyDescent="0.3">
      <c r="A1081"/>
      <c r="B1081" t="s">
        <v>678</v>
      </c>
      <c r="C1081" s="135" t="s">
        <v>682</v>
      </c>
      <c r="D1081" s="7">
        <v>45712</v>
      </c>
      <c r="E1081" s="8">
        <v>6</v>
      </c>
      <c r="F1081" s="8"/>
      <c r="G1081"/>
      <c r="H1081"/>
      <c r="I1081"/>
      <c r="J1081"/>
      <c r="K1081"/>
      <c r="L1081"/>
      <c r="M1081"/>
      <c r="N1081"/>
      <c r="O1081"/>
    </row>
    <row r="1082" spans="1:15" s="44" customFormat="1" x14ac:dyDescent="0.3">
      <c r="A1082"/>
      <c r="B1082" t="s">
        <v>678</v>
      </c>
      <c r="C1082" s="135" t="s">
        <v>682</v>
      </c>
      <c r="D1082" s="7">
        <v>45712</v>
      </c>
      <c r="E1082" s="8">
        <v>6</v>
      </c>
      <c r="F1082" s="8"/>
      <c r="G1082"/>
      <c r="H1082"/>
      <c r="I1082"/>
      <c r="J1082"/>
      <c r="K1082"/>
      <c r="L1082"/>
      <c r="M1082"/>
      <c r="N1082"/>
      <c r="O1082"/>
    </row>
    <row r="1083" spans="1:15" s="44" customFormat="1" x14ac:dyDescent="0.3">
      <c r="A1083"/>
      <c r="B1083" t="s">
        <v>678</v>
      </c>
      <c r="C1083" s="135" t="s">
        <v>682</v>
      </c>
      <c r="D1083" s="7">
        <v>45712</v>
      </c>
      <c r="E1083" s="8">
        <v>6</v>
      </c>
      <c r="F1083" s="8"/>
      <c r="G1083"/>
      <c r="H1083"/>
      <c r="I1083"/>
      <c r="J1083"/>
      <c r="K1083"/>
      <c r="L1083"/>
      <c r="M1083"/>
      <c r="N1083"/>
      <c r="O1083"/>
    </row>
    <row r="1084" spans="1:15" s="44" customFormat="1" x14ac:dyDescent="0.3">
      <c r="A1084"/>
      <c r="B1084" t="s">
        <v>678</v>
      </c>
      <c r="C1084" s="135" t="s">
        <v>683</v>
      </c>
      <c r="D1084" s="7">
        <v>45712</v>
      </c>
      <c r="E1084" s="8">
        <v>25</v>
      </c>
      <c r="F1084" s="8"/>
      <c r="G1084"/>
      <c r="H1084"/>
      <c r="I1084"/>
      <c r="J1084"/>
      <c r="K1084"/>
      <c r="L1084"/>
      <c r="M1084"/>
      <c r="N1084"/>
      <c r="O1084"/>
    </row>
    <row r="1085" spans="1:15" s="44" customFormat="1" x14ac:dyDescent="0.3">
      <c r="A1085"/>
      <c r="B1085" t="s">
        <v>678</v>
      </c>
      <c r="C1085" s="135" t="s">
        <v>683</v>
      </c>
      <c r="D1085" s="7">
        <v>45712</v>
      </c>
      <c r="E1085" s="8">
        <v>25</v>
      </c>
      <c r="F1085" s="8"/>
      <c r="G1085"/>
      <c r="H1085"/>
      <c r="I1085"/>
      <c r="J1085"/>
      <c r="K1085"/>
      <c r="L1085"/>
      <c r="M1085"/>
      <c r="N1085"/>
      <c r="O1085"/>
    </row>
    <row r="1086" spans="1:15" s="44" customFormat="1" x14ac:dyDescent="0.3">
      <c r="A1086"/>
      <c r="B1086" t="s">
        <v>678</v>
      </c>
      <c r="C1086" s="135" t="s">
        <v>683</v>
      </c>
      <c r="D1086" s="7">
        <v>45712</v>
      </c>
      <c r="E1086" s="8">
        <v>25</v>
      </c>
      <c r="F1086" s="8"/>
      <c r="G1086"/>
      <c r="H1086"/>
      <c r="I1086"/>
      <c r="J1086"/>
      <c r="K1086"/>
      <c r="L1086"/>
      <c r="M1086"/>
      <c r="N1086"/>
      <c r="O1086"/>
    </row>
    <row r="1087" spans="1:15" s="44" customFormat="1" x14ac:dyDescent="0.3">
      <c r="A1087"/>
      <c r="B1087" t="s">
        <v>678</v>
      </c>
      <c r="C1087" s="135" t="s">
        <v>683</v>
      </c>
      <c r="D1087" s="7">
        <v>45712</v>
      </c>
      <c r="E1087" s="8">
        <v>25</v>
      </c>
      <c r="F1087" s="8"/>
      <c r="G1087"/>
      <c r="H1087"/>
      <c r="I1087"/>
      <c r="J1087"/>
      <c r="K1087"/>
      <c r="L1087"/>
      <c r="M1087"/>
      <c r="N1087"/>
      <c r="O1087"/>
    </row>
    <row r="1088" spans="1:15" s="44" customFormat="1" x14ac:dyDescent="0.3">
      <c r="A1088"/>
      <c r="B1088" t="s">
        <v>678</v>
      </c>
      <c r="C1088" s="135" t="s">
        <v>683</v>
      </c>
      <c r="D1088" s="7">
        <v>45712</v>
      </c>
      <c r="E1088" s="8">
        <v>25</v>
      </c>
      <c r="F1088" s="8"/>
      <c r="G1088"/>
      <c r="H1088"/>
      <c r="I1088"/>
      <c r="J1088"/>
      <c r="K1088"/>
      <c r="L1088"/>
      <c r="M1088"/>
      <c r="N1088"/>
      <c r="O1088"/>
    </row>
    <row r="1089" spans="1:15" s="44" customFormat="1" x14ac:dyDescent="0.3">
      <c r="A1089"/>
      <c r="B1089" t="s">
        <v>678</v>
      </c>
      <c r="C1089" s="135" t="s">
        <v>683</v>
      </c>
      <c r="D1089" s="7">
        <v>45712</v>
      </c>
      <c r="E1089" s="8">
        <v>25</v>
      </c>
      <c r="F1089" s="8"/>
      <c r="G1089"/>
      <c r="H1089"/>
      <c r="I1089"/>
      <c r="J1089"/>
      <c r="K1089"/>
      <c r="L1089"/>
      <c r="M1089"/>
      <c r="N1089"/>
      <c r="O1089"/>
    </row>
    <row r="1090" spans="1:15" s="44" customFormat="1" x14ac:dyDescent="0.3">
      <c r="A1090"/>
      <c r="B1090" t="s">
        <v>678</v>
      </c>
      <c r="C1090" s="135" t="s">
        <v>683</v>
      </c>
      <c r="D1090" s="7">
        <v>45712</v>
      </c>
      <c r="E1090" s="8">
        <v>25</v>
      </c>
      <c r="F1090" s="8"/>
      <c r="G1090"/>
      <c r="H1090"/>
      <c r="I1090"/>
      <c r="J1090"/>
      <c r="K1090"/>
      <c r="L1090"/>
      <c r="M1090"/>
      <c r="N1090"/>
      <c r="O1090"/>
    </row>
    <row r="1091" spans="1:15" s="44" customFormat="1" x14ac:dyDescent="0.3">
      <c r="A1091"/>
      <c r="B1091" t="s">
        <v>678</v>
      </c>
      <c r="C1091" s="135" t="s">
        <v>683</v>
      </c>
      <c r="D1091" s="7">
        <v>45712</v>
      </c>
      <c r="E1091" s="8">
        <v>25</v>
      </c>
      <c r="F1091" s="8"/>
      <c r="G1091"/>
      <c r="H1091"/>
      <c r="I1091"/>
      <c r="J1091"/>
      <c r="K1091"/>
      <c r="L1091"/>
      <c r="M1091"/>
      <c r="N1091"/>
      <c r="O1091"/>
    </row>
    <row r="1092" spans="1:15" s="44" customFormat="1" x14ac:dyDescent="0.3">
      <c r="A1092"/>
      <c r="B1092" t="s">
        <v>678</v>
      </c>
      <c r="C1092" s="135" t="s">
        <v>683</v>
      </c>
      <c r="D1092" s="7">
        <v>45712</v>
      </c>
      <c r="E1092" s="8">
        <v>25</v>
      </c>
      <c r="F1092" s="8"/>
      <c r="G1092"/>
      <c r="H1092"/>
      <c r="I1092"/>
      <c r="J1092"/>
      <c r="K1092"/>
      <c r="L1092"/>
      <c r="M1092"/>
      <c r="N1092"/>
      <c r="O1092"/>
    </row>
    <row r="1093" spans="1:15" s="44" customFormat="1" x14ac:dyDescent="0.3">
      <c r="A1093"/>
      <c r="B1093" t="s">
        <v>678</v>
      </c>
      <c r="C1093" s="135" t="s">
        <v>683</v>
      </c>
      <c r="D1093" s="7">
        <v>45712</v>
      </c>
      <c r="E1093" s="8">
        <v>25</v>
      </c>
      <c r="F1093" s="8"/>
      <c r="G1093"/>
      <c r="H1093"/>
      <c r="I1093"/>
      <c r="J1093"/>
      <c r="K1093"/>
      <c r="L1093"/>
      <c r="M1093"/>
      <c r="N1093"/>
      <c r="O1093"/>
    </row>
    <row r="1094" spans="1:15" s="44" customFormat="1" x14ac:dyDescent="0.3">
      <c r="A1094"/>
      <c r="B1094" t="s">
        <v>678</v>
      </c>
      <c r="C1094" s="135" t="s">
        <v>683</v>
      </c>
      <c r="D1094" s="7">
        <v>45712</v>
      </c>
      <c r="E1094" s="8">
        <v>25.08</v>
      </c>
      <c r="F1094" s="8"/>
      <c r="G1094"/>
      <c r="H1094"/>
      <c r="I1094"/>
      <c r="J1094"/>
      <c r="K1094"/>
      <c r="L1094"/>
      <c r="M1094"/>
      <c r="N1094"/>
      <c r="O1094"/>
    </row>
    <row r="1095" spans="1:15" s="44" customFormat="1" x14ac:dyDescent="0.3">
      <c r="A1095"/>
      <c r="B1095" t="s">
        <v>678</v>
      </c>
      <c r="C1095" s="135" t="s">
        <v>683</v>
      </c>
      <c r="D1095" s="7">
        <v>45712</v>
      </c>
      <c r="E1095" s="8">
        <v>25</v>
      </c>
      <c r="F1095" s="8"/>
      <c r="G1095"/>
      <c r="H1095"/>
      <c r="I1095"/>
      <c r="J1095"/>
      <c r="K1095"/>
      <c r="L1095"/>
      <c r="M1095"/>
      <c r="N1095"/>
      <c r="O1095"/>
    </row>
    <row r="1096" spans="1:15" s="44" customFormat="1" x14ac:dyDescent="0.3">
      <c r="A1096"/>
      <c r="B1096" t="s">
        <v>678</v>
      </c>
      <c r="C1096" s="135" t="s">
        <v>683</v>
      </c>
      <c r="D1096" s="7">
        <v>45712</v>
      </c>
      <c r="E1096" s="8">
        <v>25</v>
      </c>
      <c r="F1096" s="8"/>
      <c r="G1096"/>
      <c r="H1096"/>
      <c r="I1096"/>
      <c r="J1096"/>
      <c r="K1096"/>
      <c r="L1096"/>
      <c r="M1096"/>
      <c r="N1096"/>
      <c r="O1096"/>
    </row>
    <row r="1097" spans="1:15" s="44" customFormat="1" x14ac:dyDescent="0.3">
      <c r="A1097"/>
      <c r="B1097" t="s">
        <v>678</v>
      </c>
      <c r="C1097" s="135" t="s">
        <v>684</v>
      </c>
      <c r="D1097" s="7">
        <v>45713</v>
      </c>
      <c r="E1097" s="8">
        <v>282</v>
      </c>
      <c r="F1097" s="8"/>
      <c r="G1097"/>
      <c r="H1097"/>
      <c r="I1097"/>
      <c r="J1097"/>
      <c r="K1097"/>
      <c r="L1097"/>
      <c r="M1097"/>
      <c r="N1097"/>
      <c r="O1097"/>
    </row>
    <row r="1098" spans="1:15" s="44" customFormat="1" x14ac:dyDescent="0.3">
      <c r="A1098"/>
      <c r="B1098" t="s">
        <v>678</v>
      </c>
      <c r="C1098" s="135" t="s">
        <v>685</v>
      </c>
      <c r="D1098" s="7">
        <v>45775</v>
      </c>
      <c r="E1098" s="8">
        <v>1560.64</v>
      </c>
      <c r="F1098" s="8"/>
      <c r="G1098"/>
      <c r="H1098"/>
      <c r="I1098"/>
      <c r="J1098"/>
      <c r="K1098"/>
      <c r="L1098"/>
      <c r="M1098"/>
      <c r="N1098"/>
      <c r="O1098"/>
    </row>
    <row r="1099" spans="1:15" s="44" customFormat="1" x14ac:dyDescent="0.3">
      <c r="A1099"/>
      <c r="B1099" t="s">
        <v>686</v>
      </c>
      <c r="C1099" s="135" t="s">
        <v>687</v>
      </c>
      <c r="D1099" s="7">
        <v>45833</v>
      </c>
      <c r="E1099" s="8">
        <v>-18135</v>
      </c>
      <c r="F1099" s="8"/>
      <c r="G1099"/>
      <c r="H1099"/>
      <c r="I1099"/>
      <c r="J1099"/>
      <c r="K1099"/>
      <c r="L1099"/>
      <c r="M1099"/>
      <c r="N1099"/>
      <c r="O1099"/>
    </row>
    <row r="1100" spans="1:15" s="44" customFormat="1" x14ac:dyDescent="0.3">
      <c r="A1100"/>
      <c r="B1100" t="s">
        <v>688</v>
      </c>
      <c r="C1100" s="135" t="s">
        <v>689</v>
      </c>
      <c r="D1100" s="7">
        <v>45460</v>
      </c>
      <c r="E1100" s="8">
        <v>1824.25</v>
      </c>
      <c r="F1100" s="8"/>
      <c r="G1100"/>
      <c r="H1100"/>
      <c r="I1100"/>
      <c r="J1100"/>
      <c r="K1100"/>
      <c r="L1100"/>
      <c r="M1100"/>
      <c r="N1100"/>
      <c r="O1100"/>
    </row>
    <row r="1101" spans="1:15" s="44" customFormat="1" x14ac:dyDescent="0.3">
      <c r="A1101"/>
      <c r="B1101" t="s">
        <v>688</v>
      </c>
      <c r="C1101" s="135" t="s">
        <v>690</v>
      </c>
      <c r="D1101" s="7">
        <v>45532</v>
      </c>
      <c r="E1101" s="8">
        <v>4080.27</v>
      </c>
      <c r="F1101" s="8"/>
      <c r="G1101"/>
      <c r="H1101"/>
      <c r="I1101"/>
      <c r="J1101"/>
      <c r="K1101"/>
      <c r="L1101"/>
      <c r="M1101"/>
      <c r="N1101"/>
      <c r="O1101"/>
    </row>
    <row r="1102" spans="1:15" s="44" customFormat="1" x14ac:dyDescent="0.3">
      <c r="A1102"/>
      <c r="B1102" t="s">
        <v>691</v>
      </c>
      <c r="C1102" s="44">
        <v>22325</v>
      </c>
      <c r="D1102" s="7">
        <v>45546</v>
      </c>
      <c r="E1102" s="8">
        <v>4974</v>
      </c>
      <c r="F1102" s="8"/>
      <c r="G1102"/>
      <c r="H1102"/>
      <c r="I1102"/>
      <c r="J1102"/>
      <c r="K1102"/>
      <c r="L1102"/>
      <c r="M1102"/>
      <c r="N1102"/>
      <c r="O1102"/>
    </row>
    <row r="1103" spans="1:15" s="44" customFormat="1" x14ac:dyDescent="0.3">
      <c r="A1103"/>
      <c r="B1103" t="s">
        <v>691</v>
      </c>
      <c r="C1103" s="44">
        <v>22326</v>
      </c>
      <c r="D1103" s="7">
        <v>45546</v>
      </c>
      <c r="E1103" s="8">
        <v>4816.1099999999997</v>
      </c>
      <c r="F1103" s="8"/>
      <c r="G1103"/>
      <c r="H1103"/>
      <c r="I1103"/>
      <c r="J1103"/>
      <c r="K1103"/>
      <c r="L1103"/>
      <c r="M1103"/>
      <c r="N1103"/>
      <c r="O1103"/>
    </row>
    <row r="1104" spans="1:15" s="44" customFormat="1" x14ac:dyDescent="0.3">
      <c r="A1104"/>
      <c r="B1104" t="s">
        <v>692</v>
      </c>
      <c r="C1104" s="137">
        <v>3.7746107336073302E+37</v>
      </c>
      <c r="D1104" s="7">
        <v>45806</v>
      </c>
      <c r="E1104" s="8">
        <v>3365</v>
      </c>
      <c r="F1104" s="8"/>
      <c r="G1104"/>
      <c r="H1104"/>
      <c r="I1104"/>
      <c r="J1104"/>
      <c r="K1104"/>
      <c r="L1104"/>
      <c r="M1104"/>
      <c r="N1104"/>
      <c r="O1104"/>
    </row>
    <row r="1105" spans="1:15" s="44" customFormat="1" x14ac:dyDescent="0.3">
      <c r="A1105"/>
      <c r="B1105" t="s">
        <v>692</v>
      </c>
      <c r="C1105" s="137">
        <v>3.7746107336073302E+37</v>
      </c>
      <c r="D1105" s="7">
        <v>45806</v>
      </c>
      <c r="E1105" s="8">
        <v>100</v>
      </c>
      <c r="F1105" s="8"/>
      <c r="G1105"/>
      <c r="H1105"/>
      <c r="I1105"/>
      <c r="J1105"/>
      <c r="K1105"/>
      <c r="L1105"/>
      <c r="M1105"/>
      <c r="N1105"/>
      <c r="O1105"/>
    </row>
    <row r="1106" spans="1:15" s="44" customFormat="1" x14ac:dyDescent="0.3">
      <c r="A1106"/>
      <c r="B1106" t="s">
        <v>693</v>
      </c>
      <c r="C1106" s="12" t="s">
        <v>694</v>
      </c>
      <c r="D1106" s="7">
        <v>45730</v>
      </c>
      <c r="E1106" s="8">
        <v>-1050</v>
      </c>
      <c r="F1106" s="8"/>
      <c r="G1106"/>
      <c r="H1106"/>
      <c r="I1106"/>
      <c r="J1106"/>
      <c r="K1106"/>
      <c r="L1106"/>
      <c r="M1106"/>
      <c r="N1106"/>
      <c r="O1106"/>
    </row>
    <row r="1107" spans="1:15" s="44" customFormat="1" x14ac:dyDescent="0.3">
      <c r="A1107"/>
      <c r="B1107" t="s">
        <v>695</v>
      </c>
      <c r="C1107" s="44">
        <v>25760001</v>
      </c>
      <c r="D1107" s="7">
        <v>45615</v>
      </c>
      <c r="E1107" s="8">
        <v>285.8</v>
      </c>
      <c r="F1107" s="8"/>
      <c r="G1107"/>
      <c r="H1107"/>
      <c r="I1107"/>
      <c r="J1107"/>
      <c r="K1107"/>
      <c r="L1107"/>
      <c r="M1107"/>
      <c r="N1107"/>
      <c r="O1107"/>
    </row>
    <row r="1108" spans="1:15" s="44" customFormat="1" x14ac:dyDescent="0.3">
      <c r="A1108"/>
      <c r="B1108" t="s">
        <v>695</v>
      </c>
      <c r="C1108" s="44">
        <v>25760438</v>
      </c>
      <c r="D1108" s="7">
        <v>45789</v>
      </c>
      <c r="E1108" s="8">
        <v>2349.15</v>
      </c>
      <c r="F1108" s="8"/>
      <c r="G1108"/>
      <c r="H1108"/>
      <c r="I1108"/>
      <c r="J1108"/>
      <c r="K1108"/>
      <c r="L1108"/>
      <c r="M1108"/>
      <c r="N1108"/>
      <c r="O1108"/>
    </row>
    <row r="1109" spans="1:15" s="44" customFormat="1" x14ac:dyDescent="0.3">
      <c r="A1109"/>
      <c r="B1109" t="s">
        <v>696</v>
      </c>
      <c r="C1109" s="135" t="s">
        <v>697</v>
      </c>
      <c r="D1109" s="7">
        <v>45649</v>
      </c>
      <c r="E1109" s="8">
        <v>178</v>
      </c>
      <c r="F1109" s="8"/>
      <c r="G1109"/>
      <c r="H1109"/>
      <c r="I1109"/>
      <c r="J1109"/>
      <c r="K1109"/>
      <c r="L1109"/>
      <c r="M1109"/>
      <c r="N1109"/>
      <c r="O1109"/>
    </row>
    <row r="1110" spans="1:15" s="44" customFormat="1" x14ac:dyDescent="0.3">
      <c r="A1110"/>
      <c r="B1110" t="s">
        <v>696</v>
      </c>
      <c r="C1110" s="135" t="s">
        <v>697</v>
      </c>
      <c r="D1110" s="7">
        <v>45649</v>
      </c>
      <c r="E1110" s="8">
        <v>6808</v>
      </c>
      <c r="F1110" s="8"/>
      <c r="G1110"/>
      <c r="H1110"/>
      <c r="I1110"/>
      <c r="J1110"/>
      <c r="K1110"/>
      <c r="L1110"/>
      <c r="M1110"/>
      <c r="N1110"/>
      <c r="O1110"/>
    </row>
    <row r="1111" spans="1:15" s="44" customFormat="1" x14ac:dyDescent="0.3">
      <c r="A1111"/>
      <c r="B1111" t="s">
        <v>696</v>
      </c>
      <c r="C1111" s="135" t="s">
        <v>697</v>
      </c>
      <c r="D1111" s="7">
        <v>45649</v>
      </c>
      <c r="E1111" s="8">
        <v>178</v>
      </c>
      <c r="F1111" s="8"/>
      <c r="G1111"/>
      <c r="H1111"/>
      <c r="I1111"/>
      <c r="J1111"/>
      <c r="K1111"/>
      <c r="L1111"/>
      <c r="M1111"/>
      <c r="N1111"/>
      <c r="O1111"/>
    </row>
    <row r="1112" spans="1:15" s="44" customFormat="1" x14ac:dyDescent="0.3">
      <c r="A1112"/>
      <c r="B1112" t="s">
        <v>696</v>
      </c>
      <c r="C1112" s="135" t="s">
        <v>697</v>
      </c>
      <c r="D1112" s="7">
        <v>45649</v>
      </c>
      <c r="E1112" s="8">
        <v>395.5</v>
      </c>
      <c r="F1112" s="8"/>
      <c r="G1112"/>
      <c r="H1112"/>
      <c r="I1112"/>
      <c r="J1112"/>
      <c r="K1112"/>
      <c r="L1112"/>
      <c r="M1112"/>
      <c r="N1112"/>
      <c r="O1112"/>
    </row>
    <row r="1113" spans="1:15" s="44" customFormat="1" x14ac:dyDescent="0.3">
      <c r="A1113"/>
      <c r="B1113" t="s">
        <v>696</v>
      </c>
      <c r="C1113" s="135" t="s">
        <v>697</v>
      </c>
      <c r="D1113" s="7">
        <v>45649</v>
      </c>
      <c r="E1113" s="8">
        <v>1550.25</v>
      </c>
      <c r="F1113" s="8"/>
      <c r="G1113"/>
      <c r="H1113"/>
      <c r="I1113"/>
      <c r="J1113"/>
      <c r="K1113"/>
      <c r="L1113"/>
      <c r="M1113"/>
      <c r="N1113"/>
      <c r="O1113"/>
    </row>
    <row r="1114" spans="1:15" s="44" customFormat="1" x14ac:dyDescent="0.3">
      <c r="A1114"/>
      <c r="B1114" t="s">
        <v>696</v>
      </c>
      <c r="C1114" s="135" t="s">
        <v>697</v>
      </c>
      <c r="D1114" s="7">
        <v>45649</v>
      </c>
      <c r="E1114" s="8">
        <v>232.5</v>
      </c>
      <c r="F1114" s="8"/>
      <c r="G1114"/>
      <c r="H1114"/>
      <c r="I1114"/>
      <c r="J1114"/>
      <c r="K1114"/>
      <c r="L1114"/>
      <c r="M1114"/>
      <c r="N1114"/>
      <c r="O1114"/>
    </row>
    <row r="1115" spans="1:15" s="44" customFormat="1" x14ac:dyDescent="0.3">
      <c r="A1115"/>
      <c r="B1115" t="s">
        <v>696</v>
      </c>
      <c r="C1115" s="135" t="s">
        <v>697</v>
      </c>
      <c r="D1115" s="7">
        <v>45649</v>
      </c>
      <c r="E1115" s="8">
        <v>155</v>
      </c>
      <c r="F1115" s="8"/>
      <c r="G1115"/>
      <c r="H1115"/>
      <c r="I1115"/>
      <c r="J1115"/>
      <c r="K1115"/>
      <c r="L1115"/>
      <c r="M1115"/>
      <c r="N1115"/>
      <c r="O1115"/>
    </row>
    <row r="1116" spans="1:15" s="44" customFormat="1" x14ac:dyDescent="0.3">
      <c r="A1116"/>
      <c r="B1116" t="s">
        <v>696</v>
      </c>
      <c r="C1116" s="135" t="s">
        <v>697</v>
      </c>
      <c r="D1116" s="7">
        <v>45649</v>
      </c>
      <c r="E1116" s="8">
        <v>155</v>
      </c>
      <c r="F1116" s="8"/>
      <c r="G1116"/>
      <c r="H1116"/>
      <c r="I1116"/>
      <c r="J1116"/>
      <c r="K1116"/>
      <c r="L1116"/>
      <c r="M1116"/>
      <c r="N1116"/>
      <c r="O1116"/>
    </row>
    <row r="1117" spans="1:15" s="44" customFormat="1" x14ac:dyDescent="0.3">
      <c r="A1117"/>
      <c r="B1117" t="s">
        <v>696</v>
      </c>
      <c r="C1117" s="135" t="s">
        <v>697</v>
      </c>
      <c r="D1117" s="7">
        <v>45649</v>
      </c>
      <c r="E1117" s="8">
        <v>1642.07</v>
      </c>
      <c r="F1117" s="8"/>
      <c r="G1117"/>
      <c r="H1117"/>
      <c r="I1117"/>
      <c r="J1117"/>
      <c r="K1117"/>
      <c r="L1117"/>
      <c r="M1117"/>
      <c r="N1117"/>
      <c r="O1117"/>
    </row>
    <row r="1118" spans="1:15" s="44" customFormat="1" x14ac:dyDescent="0.3">
      <c r="A1118"/>
      <c r="B1118" t="s">
        <v>696</v>
      </c>
      <c r="C1118" s="135" t="s">
        <v>697</v>
      </c>
      <c r="D1118" s="7">
        <v>45649</v>
      </c>
      <c r="E1118" s="8">
        <v>232.5</v>
      </c>
      <c r="F1118" s="8"/>
      <c r="G1118"/>
      <c r="H1118"/>
      <c r="I1118"/>
      <c r="J1118"/>
      <c r="K1118"/>
      <c r="L1118"/>
      <c r="M1118"/>
      <c r="N1118"/>
      <c r="O1118"/>
    </row>
    <row r="1119" spans="1:15" s="44" customFormat="1" x14ac:dyDescent="0.3">
      <c r="A1119"/>
      <c r="B1119" t="s">
        <v>696</v>
      </c>
      <c r="C1119" s="135" t="s">
        <v>697</v>
      </c>
      <c r="D1119" s="7">
        <v>45649</v>
      </c>
      <c r="E1119" s="8">
        <v>124</v>
      </c>
      <c r="F1119" s="8"/>
      <c r="G1119"/>
      <c r="H1119"/>
      <c r="I1119"/>
      <c r="J1119"/>
      <c r="K1119"/>
      <c r="L1119"/>
      <c r="M1119"/>
      <c r="N1119"/>
      <c r="O1119"/>
    </row>
    <row r="1120" spans="1:15" s="44" customFormat="1" x14ac:dyDescent="0.3">
      <c r="A1120"/>
      <c r="B1120" t="s">
        <v>696</v>
      </c>
      <c r="C1120" s="135" t="s">
        <v>697</v>
      </c>
      <c r="D1120" s="7">
        <v>45649</v>
      </c>
      <c r="E1120" s="8">
        <v>7030</v>
      </c>
      <c r="F1120" s="8"/>
      <c r="G1120"/>
      <c r="H1120"/>
      <c r="I1120"/>
      <c r="J1120"/>
      <c r="K1120"/>
      <c r="L1120"/>
      <c r="M1120"/>
      <c r="N1120"/>
      <c r="O1120"/>
    </row>
    <row r="1121" spans="1:15" s="44" customFormat="1" x14ac:dyDescent="0.3">
      <c r="A1121"/>
      <c r="B1121" t="s">
        <v>696</v>
      </c>
      <c r="C1121" s="135" t="s">
        <v>697</v>
      </c>
      <c r="D1121" s="7">
        <v>45649</v>
      </c>
      <c r="E1121" s="8">
        <v>186</v>
      </c>
      <c r="F1121" s="8"/>
      <c r="G1121"/>
      <c r="H1121"/>
      <c r="I1121"/>
      <c r="J1121"/>
      <c r="K1121"/>
      <c r="L1121"/>
      <c r="M1121"/>
      <c r="N1121"/>
      <c r="O1121"/>
    </row>
    <row r="1122" spans="1:15" s="44" customFormat="1" x14ac:dyDescent="0.3">
      <c r="A1122"/>
      <c r="B1122" t="s">
        <v>696</v>
      </c>
      <c r="C1122" s="135" t="s">
        <v>697</v>
      </c>
      <c r="D1122" s="7">
        <v>45649</v>
      </c>
      <c r="E1122" s="8">
        <v>162.5</v>
      </c>
      <c r="F1122" s="8"/>
      <c r="G1122"/>
      <c r="H1122"/>
      <c r="I1122"/>
      <c r="J1122"/>
      <c r="K1122"/>
      <c r="L1122"/>
      <c r="M1122"/>
      <c r="N1122"/>
      <c r="O1122"/>
    </row>
    <row r="1123" spans="1:15" s="44" customFormat="1" x14ac:dyDescent="0.3">
      <c r="A1123"/>
      <c r="B1123" t="s">
        <v>698</v>
      </c>
      <c r="C1123" s="44">
        <v>20240217</v>
      </c>
      <c r="D1123" s="7">
        <v>45339</v>
      </c>
      <c r="E1123" s="8">
        <v>602</v>
      </c>
      <c r="F1123" s="8"/>
      <c r="G1123"/>
      <c r="H1123"/>
      <c r="I1123"/>
      <c r="J1123"/>
      <c r="K1123"/>
      <c r="L1123"/>
      <c r="M1123"/>
      <c r="N1123"/>
      <c r="O1123"/>
    </row>
    <row r="1124" spans="1:15" s="44" customFormat="1" x14ac:dyDescent="0.3">
      <c r="A1124"/>
      <c r="B1124" t="s">
        <v>698</v>
      </c>
      <c r="C1124" s="44">
        <v>20240217</v>
      </c>
      <c r="D1124" s="7">
        <v>45339</v>
      </c>
      <c r="E1124" s="8">
        <v>111.9</v>
      </c>
      <c r="F1124" s="8"/>
      <c r="G1124"/>
      <c r="H1124"/>
      <c r="I1124"/>
      <c r="J1124"/>
      <c r="K1124"/>
      <c r="L1124"/>
      <c r="M1124"/>
      <c r="N1124"/>
      <c r="O1124"/>
    </row>
    <row r="1125" spans="1:15" s="44" customFormat="1" x14ac:dyDescent="0.3">
      <c r="A1125"/>
      <c r="B1125" t="s">
        <v>698</v>
      </c>
      <c r="C1125" s="135" t="s">
        <v>699</v>
      </c>
      <c r="D1125" s="7">
        <v>45658</v>
      </c>
      <c r="E1125" s="8">
        <v>36</v>
      </c>
      <c r="F1125" s="8"/>
      <c r="G1125"/>
      <c r="H1125"/>
      <c r="I1125"/>
      <c r="J1125"/>
      <c r="K1125"/>
      <c r="L1125"/>
      <c r="M1125"/>
      <c r="N1125"/>
      <c r="O1125"/>
    </row>
    <row r="1126" spans="1:15" s="44" customFormat="1" x14ac:dyDescent="0.3">
      <c r="A1126"/>
      <c r="B1126" t="s">
        <v>698</v>
      </c>
      <c r="C1126" s="135" t="s">
        <v>699</v>
      </c>
      <c r="D1126" s="7">
        <v>45658</v>
      </c>
      <c r="E1126" s="8">
        <v>48.15</v>
      </c>
      <c r="F1126" s="8"/>
      <c r="G1126"/>
      <c r="H1126"/>
      <c r="I1126"/>
      <c r="J1126"/>
      <c r="K1126"/>
      <c r="L1126"/>
      <c r="M1126"/>
      <c r="N1126"/>
      <c r="O1126"/>
    </row>
    <row r="1127" spans="1:15" s="44" customFormat="1" x14ac:dyDescent="0.3">
      <c r="A1127"/>
      <c r="B1127" t="s">
        <v>698</v>
      </c>
      <c r="C1127" s="135" t="s">
        <v>699</v>
      </c>
      <c r="D1127" s="7">
        <v>45658</v>
      </c>
      <c r="E1127" s="8">
        <v>56.45</v>
      </c>
      <c r="F1127" s="8"/>
      <c r="G1127"/>
      <c r="H1127"/>
      <c r="I1127"/>
      <c r="J1127"/>
      <c r="K1127"/>
      <c r="L1127"/>
      <c r="M1127"/>
      <c r="N1127"/>
      <c r="O1127"/>
    </row>
    <row r="1128" spans="1:15" s="44" customFormat="1" x14ac:dyDescent="0.3">
      <c r="A1128"/>
      <c r="B1128" t="s">
        <v>698</v>
      </c>
      <c r="C1128" s="135" t="s">
        <v>700</v>
      </c>
      <c r="D1128" s="7">
        <v>45708</v>
      </c>
      <c r="E1128" s="8">
        <v>-1951.83</v>
      </c>
      <c r="F1128" s="8"/>
      <c r="G1128"/>
      <c r="H1128"/>
      <c r="I1128"/>
      <c r="J1128"/>
      <c r="K1128"/>
      <c r="L1128"/>
      <c r="M1128"/>
      <c r="N1128"/>
      <c r="O1128"/>
    </row>
    <row r="1129" spans="1:15" s="44" customFormat="1" x14ac:dyDescent="0.3">
      <c r="A1129"/>
      <c r="B1129" t="s">
        <v>698</v>
      </c>
      <c r="C1129" s="135" t="s">
        <v>701</v>
      </c>
      <c r="D1129" s="7">
        <v>45838</v>
      </c>
      <c r="E1129" s="8">
        <v>66.349999999999994</v>
      </c>
      <c r="F1129" s="8"/>
      <c r="G1129"/>
      <c r="H1129"/>
      <c r="I1129"/>
      <c r="J1129"/>
      <c r="K1129"/>
      <c r="L1129"/>
      <c r="M1129"/>
      <c r="N1129"/>
      <c r="O1129"/>
    </row>
    <row r="1130" spans="1:15" s="44" customFormat="1" x14ac:dyDescent="0.3">
      <c r="A1130"/>
      <c r="B1130" t="s">
        <v>702</v>
      </c>
      <c r="C1130" s="44">
        <v>41186415</v>
      </c>
      <c r="D1130" s="7">
        <v>45757</v>
      </c>
      <c r="E1130" s="8">
        <v>2019.56</v>
      </c>
      <c r="F1130" s="8"/>
      <c r="G1130"/>
      <c r="H1130"/>
      <c r="I1130"/>
      <c r="J1130"/>
      <c r="K1130"/>
      <c r="L1130"/>
      <c r="M1130"/>
      <c r="N1130"/>
      <c r="O1130"/>
    </row>
    <row r="1131" spans="1:15" s="44" customFormat="1" x14ac:dyDescent="0.3">
      <c r="A1131"/>
      <c r="B1131" t="s">
        <v>702</v>
      </c>
      <c r="C1131" s="14">
        <v>41188101</v>
      </c>
      <c r="D1131" s="7">
        <v>45830</v>
      </c>
      <c r="E1131" s="8">
        <v>-1748.55</v>
      </c>
      <c r="F1131" s="8"/>
      <c r="G1131"/>
      <c r="H1131"/>
      <c r="I1131"/>
      <c r="J1131"/>
      <c r="K1131"/>
      <c r="L1131"/>
      <c r="M1131"/>
      <c r="N1131"/>
      <c r="O1131"/>
    </row>
    <row r="1132" spans="1:15" s="44" customFormat="1" x14ac:dyDescent="0.3">
      <c r="A1132"/>
      <c r="B1132" t="s">
        <v>703</v>
      </c>
      <c r="C1132" s="12" t="s">
        <v>704</v>
      </c>
      <c r="D1132" s="7">
        <v>45719</v>
      </c>
      <c r="E1132" s="8">
        <v>-1247.44</v>
      </c>
      <c r="F1132" s="8"/>
      <c r="G1132"/>
      <c r="H1132"/>
      <c r="I1132"/>
      <c r="J1132"/>
      <c r="K1132"/>
      <c r="L1132"/>
      <c r="M1132"/>
      <c r="N1132"/>
      <c r="O1132"/>
    </row>
    <row r="1133" spans="1:15" s="44" customFormat="1" x14ac:dyDescent="0.3">
      <c r="A1133"/>
      <c r="B1133" t="s">
        <v>705</v>
      </c>
      <c r="C1133" s="135" t="s">
        <v>706</v>
      </c>
      <c r="D1133" s="7">
        <v>45149</v>
      </c>
      <c r="E1133" s="8">
        <v>-90.03</v>
      </c>
      <c r="F1133" s="8"/>
      <c r="G1133"/>
      <c r="H1133"/>
      <c r="I1133"/>
      <c r="J1133"/>
      <c r="K1133"/>
      <c r="L1133"/>
      <c r="M1133"/>
      <c r="N1133"/>
      <c r="O1133"/>
    </row>
    <row r="1134" spans="1:15" s="44" customFormat="1" x14ac:dyDescent="0.3">
      <c r="A1134"/>
      <c r="B1134" t="s">
        <v>705</v>
      </c>
      <c r="C1134" s="135" t="s">
        <v>707</v>
      </c>
      <c r="D1134" s="7">
        <v>45155</v>
      </c>
      <c r="E1134" s="8">
        <v>-513.70000000000005</v>
      </c>
      <c r="F1134" s="8"/>
      <c r="G1134"/>
      <c r="H1134"/>
      <c r="I1134"/>
      <c r="J1134"/>
      <c r="K1134"/>
      <c r="L1134"/>
      <c r="M1134"/>
      <c r="N1134"/>
      <c r="O1134"/>
    </row>
    <row r="1135" spans="1:15" s="44" customFormat="1" x14ac:dyDescent="0.3">
      <c r="A1135"/>
      <c r="B1135" t="s">
        <v>705</v>
      </c>
      <c r="C1135" s="135" t="s">
        <v>708</v>
      </c>
      <c r="D1135" s="7">
        <v>45307</v>
      </c>
      <c r="E1135" s="8">
        <v>-102.74</v>
      </c>
      <c r="F1135" s="8"/>
      <c r="G1135"/>
      <c r="H1135"/>
      <c r="I1135"/>
      <c r="J1135"/>
      <c r="K1135"/>
      <c r="L1135"/>
      <c r="M1135"/>
      <c r="N1135"/>
      <c r="O1135"/>
    </row>
    <row r="1136" spans="1:15" s="44" customFormat="1" x14ac:dyDescent="0.3">
      <c r="A1136"/>
      <c r="B1136" t="s">
        <v>705</v>
      </c>
      <c r="C1136" s="135" t="s">
        <v>709</v>
      </c>
      <c r="D1136" s="7">
        <v>45838</v>
      </c>
      <c r="E1136" s="8">
        <v>2752.5</v>
      </c>
      <c r="F1136" s="8"/>
      <c r="G1136"/>
      <c r="H1136"/>
      <c r="I1136"/>
      <c r="J1136"/>
      <c r="K1136"/>
      <c r="L1136"/>
      <c r="M1136"/>
      <c r="N1136"/>
      <c r="O1136"/>
    </row>
    <row r="1137" spans="1:15" s="44" customFormat="1" x14ac:dyDescent="0.3">
      <c r="A1137"/>
      <c r="B1137" t="s">
        <v>705</v>
      </c>
      <c r="C1137" s="135" t="s">
        <v>710</v>
      </c>
      <c r="D1137" s="7">
        <v>45838</v>
      </c>
      <c r="E1137" s="8">
        <v>3283.03</v>
      </c>
      <c r="F1137" s="8"/>
      <c r="G1137"/>
      <c r="H1137"/>
      <c r="I1137"/>
      <c r="J1137"/>
      <c r="K1137"/>
      <c r="L1137"/>
      <c r="M1137"/>
      <c r="N1137"/>
      <c r="O1137"/>
    </row>
    <row r="1138" spans="1:15" s="44" customFormat="1" x14ac:dyDescent="0.3">
      <c r="A1138"/>
      <c r="B1138" t="s">
        <v>711</v>
      </c>
      <c r="C1138" s="44">
        <v>20230515015</v>
      </c>
      <c r="D1138" s="7">
        <v>45061</v>
      </c>
      <c r="E1138" s="8">
        <v>33750</v>
      </c>
      <c r="F1138" s="8"/>
      <c r="G1138"/>
      <c r="H1138"/>
      <c r="I1138"/>
      <c r="J1138"/>
      <c r="K1138"/>
      <c r="L1138"/>
      <c r="M1138"/>
      <c r="N1138"/>
      <c r="O1138"/>
    </row>
    <row r="1139" spans="1:15" s="44" customFormat="1" x14ac:dyDescent="0.3">
      <c r="A1139"/>
      <c r="B1139" t="s">
        <v>712</v>
      </c>
      <c r="C1139" s="44">
        <v>680047</v>
      </c>
      <c r="D1139" s="7">
        <v>45672</v>
      </c>
      <c r="E1139" s="8">
        <v>2064</v>
      </c>
      <c r="F1139" s="8"/>
      <c r="G1139"/>
      <c r="H1139"/>
      <c r="I1139"/>
      <c r="J1139"/>
      <c r="K1139"/>
      <c r="L1139"/>
      <c r="M1139"/>
      <c r="N1139"/>
      <c r="O1139"/>
    </row>
    <row r="1140" spans="1:15" s="44" customFormat="1" x14ac:dyDescent="0.3">
      <c r="A1140"/>
      <c r="B1140" t="s">
        <v>712</v>
      </c>
      <c r="C1140" s="135" t="s">
        <v>87</v>
      </c>
      <c r="D1140" s="7">
        <v>45806</v>
      </c>
      <c r="E1140" s="8">
        <v>-6350.4</v>
      </c>
      <c r="F1140" s="8"/>
      <c r="G1140"/>
      <c r="H1140"/>
      <c r="I1140"/>
      <c r="J1140"/>
      <c r="K1140"/>
      <c r="L1140"/>
      <c r="M1140"/>
      <c r="N1140"/>
      <c r="O1140"/>
    </row>
    <row r="1141" spans="1:15" s="44" customFormat="1" x14ac:dyDescent="0.3">
      <c r="A1141"/>
      <c r="B1141" t="s">
        <v>712</v>
      </c>
      <c r="C1141" s="135" t="s">
        <v>87</v>
      </c>
      <c r="D1141" s="7">
        <v>45806</v>
      </c>
      <c r="E1141" s="8">
        <v>-2440.8000000000002</v>
      </c>
      <c r="F1141" s="8"/>
      <c r="G1141"/>
      <c r="H1141"/>
      <c r="I1141"/>
      <c r="J1141"/>
      <c r="K1141"/>
      <c r="L1141"/>
      <c r="M1141"/>
      <c r="N1141"/>
      <c r="O1141"/>
    </row>
    <row r="1142" spans="1:15" s="44" customFormat="1" x14ac:dyDescent="0.3">
      <c r="A1142"/>
      <c r="B1142" t="s">
        <v>712</v>
      </c>
      <c r="C1142" s="44">
        <v>20250630</v>
      </c>
      <c r="D1142" s="7">
        <v>45838</v>
      </c>
      <c r="E1142" s="8">
        <v>3008.32</v>
      </c>
      <c r="F1142" s="8"/>
      <c r="G1142"/>
      <c r="H1142"/>
      <c r="I1142"/>
      <c r="J1142"/>
      <c r="K1142"/>
      <c r="L1142"/>
      <c r="M1142"/>
      <c r="N1142"/>
      <c r="O1142"/>
    </row>
    <row r="1143" spans="1:15" s="44" customFormat="1" x14ac:dyDescent="0.3">
      <c r="A1143"/>
      <c r="B1143" t="s">
        <v>712</v>
      </c>
      <c r="C1143" s="135" t="s">
        <v>713</v>
      </c>
      <c r="D1143" s="7">
        <v>45838</v>
      </c>
      <c r="E1143" s="8">
        <v>23819.040000000001</v>
      </c>
      <c r="F1143" s="8"/>
      <c r="G1143"/>
      <c r="H1143"/>
      <c r="I1143"/>
      <c r="J1143"/>
      <c r="K1143"/>
      <c r="L1143"/>
      <c r="M1143"/>
      <c r="N1143"/>
      <c r="O1143"/>
    </row>
    <row r="1144" spans="1:15" s="44" customFormat="1" x14ac:dyDescent="0.3">
      <c r="A1144"/>
      <c r="B1144" t="s">
        <v>714</v>
      </c>
      <c r="C1144" s="44">
        <v>14594728</v>
      </c>
      <c r="D1144" s="7">
        <v>45279</v>
      </c>
      <c r="E1144" s="8">
        <v>7569.67</v>
      </c>
      <c r="F1144" s="8"/>
      <c r="G1144"/>
      <c r="H1144"/>
      <c r="I1144"/>
      <c r="J1144"/>
      <c r="K1144"/>
      <c r="L1144"/>
      <c r="M1144"/>
      <c r="N1144"/>
      <c r="O1144"/>
    </row>
    <row r="1145" spans="1:15" s="44" customFormat="1" x14ac:dyDescent="0.3">
      <c r="A1145"/>
      <c r="B1145" t="s">
        <v>714</v>
      </c>
      <c r="C1145" s="138" t="s">
        <v>715</v>
      </c>
      <c r="D1145" s="7">
        <v>45821</v>
      </c>
      <c r="E1145" s="8">
        <v>-1026.1400000000001</v>
      </c>
      <c r="F1145" s="8"/>
      <c r="G1145"/>
      <c r="H1145"/>
      <c r="I1145"/>
      <c r="J1145"/>
      <c r="K1145"/>
      <c r="L1145"/>
      <c r="M1145"/>
      <c r="N1145"/>
      <c r="O1145"/>
    </row>
    <row r="1146" spans="1:15" s="44" customFormat="1" x14ac:dyDescent="0.3">
      <c r="A1146"/>
      <c r="B1146" t="s">
        <v>716</v>
      </c>
      <c r="C1146" s="135" t="s">
        <v>717</v>
      </c>
      <c r="D1146" s="7">
        <v>45505</v>
      </c>
      <c r="E1146" s="8">
        <v>1092.6099999999999</v>
      </c>
      <c r="F1146" s="8"/>
      <c r="G1146"/>
      <c r="H1146"/>
      <c r="I1146"/>
      <c r="J1146"/>
      <c r="K1146"/>
      <c r="L1146"/>
      <c r="M1146"/>
      <c r="N1146"/>
      <c r="O1146"/>
    </row>
    <row r="1147" spans="1:15" s="44" customFormat="1" x14ac:dyDescent="0.3">
      <c r="A1147"/>
      <c r="B1147" t="s">
        <v>716</v>
      </c>
      <c r="C1147" s="135" t="s">
        <v>717</v>
      </c>
      <c r="D1147" s="7">
        <v>45505</v>
      </c>
      <c r="E1147" s="8">
        <v>1697.58</v>
      </c>
      <c r="F1147" s="8"/>
      <c r="G1147"/>
      <c r="H1147"/>
      <c r="I1147"/>
      <c r="J1147"/>
      <c r="K1147"/>
      <c r="L1147"/>
      <c r="M1147"/>
      <c r="N1147"/>
      <c r="O1147"/>
    </row>
    <row r="1148" spans="1:15" s="44" customFormat="1" x14ac:dyDescent="0.3">
      <c r="A1148"/>
      <c r="B1148" t="s">
        <v>716</v>
      </c>
      <c r="C1148" s="135" t="s">
        <v>718</v>
      </c>
      <c r="D1148" s="7">
        <v>45566</v>
      </c>
      <c r="E1148" s="8">
        <v>0.14000000000000001</v>
      </c>
      <c r="F1148" s="8"/>
      <c r="G1148"/>
      <c r="H1148"/>
      <c r="I1148"/>
      <c r="J1148"/>
      <c r="K1148"/>
      <c r="L1148"/>
      <c r="M1148"/>
      <c r="N1148"/>
      <c r="O1148"/>
    </row>
    <row r="1149" spans="1:15" s="44" customFormat="1" x14ac:dyDescent="0.3">
      <c r="A1149"/>
      <c r="B1149" t="s">
        <v>716</v>
      </c>
      <c r="C1149" s="135" t="s">
        <v>719</v>
      </c>
      <c r="D1149" s="7">
        <v>45608</v>
      </c>
      <c r="E1149" s="8">
        <v>924.6</v>
      </c>
      <c r="F1149" s="8"/>
      <c r="G1149"/>
      <c r="H1149"/>
      <c r="I1149"/>
      <c r="J1149"/>
      <c r="K1149"/>
      <c r="L1149"/>
      <c r="M1149"/>
      <c r="N1149"/>
      <c r="O1149"/>
    </row>
    <row r="1150" spans="1:15" s="44" customFormat="1" x14ac:dyDescent="0.3">
      <c r="A1150"/>
      <c r="B1150" t="s">
        <v>716</v>
      </c>
      <c r="C1150" s="135" t="s">
        <v>720</v>
      </c>
      <c r="D1150" s="7">
        <v>45630</v>
      </c>
      <c r="E1150" s="8">
        <v>1174.08</v>
      </c>
      <c r="F1150" s="8"/>
      <c r="G1150"/>
      <c r="H1150"/>
      <c r="I1150"/>
      <c r="J1150"/>
      <c r="K1150"/>
      <c r="L1150"/>
      <c r="M1150"/>
      <c r="N1150"/>
      <c r="O1150"/>
    </row>
    <row r="1151" spans="1:15" s="44" customFormat="1" x14ac:dyDescent="0.3">
      <c r="A1151"/>
      <c r="B1151" t="s">
        <v>716</v>
      </c>
      <c r="C1151" s="135" t="s">
        <v>720</v>
      </c>
      <c r="D1151" s="7">
        <v>45630</v>
      </c>
      <c r="E1151" s="8">
        <v>3769.29</v>
      </c>
      <c r="F1151" s="8"/>
      <c r="G1151"/>
      <c r="H1151"/>
      <c r="I1151"/>
      <c r="J1151"/>
      <c r="K1151"/>
      <c r="L1151"/>
      <c r="M1151"/>
      <c r="N1151"/>
      <c r="O1151"/>
    </row>
    <row r="1152" spans="1:15" s="44" customFormat="1" x14ac:dyDescent="0.3">
      <c r="A1152"/>
      <c r="B1152" t="s">
        <v>716</v>
      </c>
      <c r="C1152" s="135" t="s">
        <v>720</v>
      </c>
      <c r="D1152" s="7">
        <v>45630</v>
      </c>
      <c r="E1152" s="8">
        <v>5333.33</v>
      </c>
      <c r="F1152" s="8"/>
      <c r="G1152"/>
      <c r="H1152"/>
      <c r="I1152"/>
      <c r="J1152"/>
      <c r="K1152"/>
      <c r="L1152"/>
      <c r="M1152"/>
      <c r="N1152"/>
      <c r="O1152"/>
    </row>
    <row r="1153" spans="1:15" s="44" customFormat="1" x14ac:dyDescent="0.3">
      <c r="A1153"/>
      <c r="B1153" t="s">
        <v>716</v>
      </c>
      <c r="C1153" s="135" t="s">
        <v>721</v>
      </c>
      <c r="D1153" s="7">
        <v>45665</v>
      </c>
      <c r="E1153" s="8">
        <v>346.32</v>
      </c>
      <c r="F1153" s="8"/>
      <c r="G1153"/>
      <c r="H1153"/>
      <c r="I1153"/>
      <c r="J1153"/>
      <c r="K1153"/>
      <c r="L1153"/>
      <c r="M1153"/>
      <c r="N1153"/>
      <c r="O1153"/>
    </row>
    <row r="1154" spans="1:15" s="44" customFormat="1" x14ac:dyDescent="0.3">
      <c r="A1154"/>
      <c r="B1154" t="s">
        <v>716</v>
      </c>
      <c r="C1154" s="135" t="s">
        <v>721</v>
      </c>
      <c r="D1154" s="7">
        <v>45665</v>
      </c>
      <c r="E1154" s="8">
        <v>6350.4</v>
      </c>
      <c r="F1154" s="8"/>
      <c r="G1154"/>
      <c r="H1154"/>
      <c r="I1154"/>
      <c r="J1154"/>
      <c r="K1154"/>
      <c r="L1154"/>
      <c r="M1154"/>
      <c r="N1154"/>
      <c r="O1154"/>
    </row>
    <row r="1155" spans="1:15" s="44" customFormat="1" x14ac:dyDescent="0.3">
      <c r="A1155"/>
      <c r="B1155" t="s">
        <v>716</v>
      </c>
      <c r="C1155" s="135" t="s">
        <v>721</v>
      </c>
      <c r="D1155" s="7">
        <v>45665</v>
      </c>
      <c r="E1155" s="8">
        <v>371.07</v>
      </c>
      <c r="F1155" s="8"/>
      <c r="G1155"/>
      <c r="H1155"/>
      <c r="I1155"/>
      <c r="J1155"/>
      <c r="K1155"/>
      <c r="L1155"/>
      <c r="M1155"/>
      <c r="N1155"/>
      <c r="O1155"/>
    </row>
    <row r="1156" spans="1:15" s="44" customFormat="1" x14ac:dyDescent="0.3">
      <c r="A1156"/>
      <c r="B1156" t="s">
        <v>716</v>
      </c>
      <c r="C1156" s="135" t="s">
        <v>721</v>
      </c>
      <c r="D1156" s="7">
        <v>45665</v>
      </c>
      <c r="E1156" s="8">
        <v>6649.38</v>
      </c>
      <c r="F1156" s="8"/>
      <c r="G1156"/>
      <c r="H1156"/>
      <c r="I1156"/>
      <c r="J1156"/>
      <c r="K1156"/>
      <c r="L1156"/>
      <c r="M1156"/>
      <c r="N1156"/>
      <c r="O1156"/>
    </row>
    <row r="1157" spans="1:15" s="44" customFormat="1" x14ac:dyDescent="0.3">
      <c r="A1157"/>
      <c r="B1157" t="s">
        <v>716</v>
      </c>
      <c r="C1157" s="135" t="s">
        <v>722</v>
      </c>
      <c r="D1157" s="7">
        <v>45671</v>
      </c>
      <c r="E1157" s="8">
        <v>2627.34</v>
      </c>
      <c r="F1157" s="8"/>
      <c r="G1157"/>
      <c r="H1157"/>
      <c r="I1157"/>
      <c r="J1157"/>
      <c r="K1157"/>
      <c r="L1157"/>
      <c r="M1157"/>
      <c r="N1157"/>
      <c r="O1157"/>
    </row>
    <row r="1158" spans="1:15" s="44" customFormat="1" x14ac:dyDescent="0.3">
      <c r="A1158"/>
      <c r="B1158" t="s">
        <v>716</v>
      </c>
      <c r="C1158" s="135" t="s">
        <v>722</v>
      </c>
      <c r="D1158" s="7">
        <v>45671</v>
      </c>
      <c r="E1158" s="8">
        <v>9132.48</v>
      </c>
      <c r="F1158" s="8"/>
      <c r="G1158"/>
      <c r="H1158"/>
      <c r="I1158"/>
      <c r="J1158"/>
      <c r="K1158"/>
      <c r="L1158"/>
      <c r="M1158"/>
      <c r="N1158"/>
      <c r="O1158"/>
    </row>
    <row r="1159" spans="1:15" s="44" customFormat="1" x14ac:dyDescent="0.3">
      <c r="A1159"/>
      <c r="B1159" t="s">
        <v>716</v>
      </c>
      <c r="C1159" s="135" t="s">
        <v>722</v>
      </c>
      <c r="D1159" s="7">
        <v>45671</v>
      </c>
      <c r="E1159" s="8">
        <v>3529.98</v>
      </c>
      <c r="F1159" s="8"/>
      <c r="G1159"/>
      <c r="H1159"/>
      <c r="I1159"/>
      <c r="J1159"/>
      <c r="K1159"/>
      <c r="L1159"/>
      <c r="M1159"/>
      <c r="N1159"/>
      <c r="O1159"/>
    </row>
    <row r="1160" spans="1:15" s="44" customFormat="1" x14ac:dyDescent="0.3">
      <c r="A1160"/>
      <c r="B1160" t="s">
        <v>716</v>
      </c>
      <c r="C1160" s="135" t="s">
        <v>722</v>
      </c>
      <c r="D1160" s="7">
        <v>45671</v>
      </c>
      <c r="E1160" s="8">
        <v>4233.6000000000004</v>
      </c>
      <c r="F1160" s="8"/>
      <c r="G1160"/>
      <c r="H1160"/>
      <c r="I1160"/>
      <c r="J1160"/>
      <c r="K1160"/>
      <c r="L1160"/>
      <c r="M1160"/>
      <c r="N1160"/>
      <c r="O1160"/>
    </row>
    <row r="1161" spans="1:15" s="44" customFormat="1" x14ac:dyDescent="0.3">
      <c r="A1161"/>
      <c r="B1161" t="s">
        <v>716</v>
      </c>
      <c r="C1161" s="135" t="s">
        <v>723</v>
      </c>
      <c r="D1161" s="7">
        <v>45706</v>
      </c>
      <c r="E1161" s="8">
        <v>924.49</v>
      </c>
      <c r="F1161" s="8"/>
      <c r="G1161"/>
      <c r="H1161"/>
      <c r="I1161"/>
      <c r="J1161"/>
      <c r="K1161"/>
      <c r="L1161"/>
      <c r="M1161"/>
      <c r="N1161"/>
      <c r="O1161"/>
    </row>
    <row r="1162" spans="1:15" s="44" customFormat="1" x14ac:dyDescent="0.3">
      <c r="A1162"/>
      <c r="B1162" t="s">
        <v>716</v>
      </c>
      <c r="C1162" s="135" t="s">
        <v>724</v>
      </c>
      <c r="D1162" s="7">
        <v>45709</v>
      </c>
      <c r="E1162" s="8">
        <v>15762.6</v>
      </c>
      <c r="F1162" s="8"/>
      <c r="G1162"/>
      <c r="H1162"/>
      <c r="I1162"/>
      <c r="J1162"/>
      <c r="K1162"/>
      <c r="L1162"/>
      <c r="M1162"/>
      <c r="N1162"/>
      <c r="O1162"/>
    </row>
    <row r="1163" spans="1:15" s="44" customFormat="1" x14ac:dyDescent="0.3">
      <c r="A1163"/>
      <c r="B1163" t="s">
        <v>716</v>
      </c>
      <c r="C1163" s="135" t="s">
        <v>724</v>
      </c>
      <c r="D1163" s="7">
        <v>45709</v>
      </c>
      <c r="E1163" s="8">
        <v>1247.4000000000001</v>
      </c>
      <c r="F1163" s="8"/>
      <c r="G1163"/>
      <c r="H1163"/>
      <c r="I1163"/>
      <c r="J1163"/>
      <c r="K1163"/>
      <c r="L1163"/>
      <c r="M1163"/>
      <c r="N1163"/>
      <c r="O1163"/>
    </row>
    <row r="1164" spans="1:15" s="44" customFormat="1" x14ac:dyDescent="0.3">
      <c r="A1164"/>
      <c r="B1164" t="s">
        <v>716</v>
      </c>
      <c r="C1164" s="135" t="s">
        <v>726</v>
      </c>
      <c r="D1164" s="7">
        <v>45712</v>
      </c>
      <c r="E1164" s="8">
        <v>12700.8</v>
      </c>
      <c r="F1164" s="8"/>
      <c r="G1164"/>
      <c r="H1164"/>
      <c r="I1164"/>
      <c r="J1164"/>
      <c r="K1164"/>
      <c r="L1164"/>
      <c r="M1164"/>
      <c r="N1164"/>
      <c r="O1164"/>
    </row>
    <row r="1165" spans="1:15" s="44" customFormat="1" x14ac:dyDescent="0.3">
      <c r="A1165"/>
      <c r="B1165" t="s">
        <v>716</v>
      </c>
      <c r="C1165" s="135" t="s">
        <v>727</v>
      </c>
      <c r="D1165" s="7">
        <v>45721</v>
      </c>
      <c r="E1165" s="8">
        <v>106.92</v>
      </c>
      <c r="F1165" s="8"/>
      <c r="G1165"/>
      <c r="H1165"/>
      <c r="I1165"/>
      <c r="J1165"/>
      <c r="K1165"/>
      <c r="L1165"/>
      <c r="M1165"/>
      <c r="N1165"/>
      <c r="O1165"/>
    </row>
    <row r="1166" spans="1:15" s="44" customFormat="1" x14ac:dyDescent="0.3">
      <c r="A1166"/>
      <c r="B1166" t="s">
        <v>716</v>
      </c>
      <c r="C1166" s="135" t="s">
        <v>728</v>
      </c>
      <c r="D1166" s="7">
        <v>45728</v>
      </c>
      <c r="E1166" s="8">
        <v>2482.3200000000002</v>
      </c>
      <c r="F1166" s="8"/>
      <c r="G1166"/>
      <c r="H1166"/>
      <c r="I1166"/>
      <c r="J1166"/>
      <c r="K1166"/>
      <c r="L1166"/>
      <c r="M1166"/>
      <c r="N1166"/>
      <c r="O1166"/>
    </row>
    <row r="1167" spans="1:15" s="44" customFormat="1" x14ac:dyDescent="0.3">
      <c r="A1167"/>
      <c r="B1167" t="s">
        <v>716</v>
      </c>
      <c r="C1167" s="135" t="s">
        <v>729</v>
      </c>
      <c r="D1167" s="7">
        <v>45757</v>
      </c>
      <c r="E1167" s="8">
        <v>3175.2</v>
      </c>
      <c r="F1167" s="8"/>
      <c r="G1167"/>
      <c r="H1167"/>
      <c r="I1167"/>
      <c r="J1167"/>
      <c r="K1167"/>
      <c r="L1167"/>
      <c r="M1167"/>
      <c r="N1167"/>
      <c r="O1167"/>
    </row>
    <row r="1168" spans="1:15" s="44" customFormat="1" x14ac:dyDescent="0.3">
      <c r="A1168"/>
      <c r="B1168" t="s">
        <v>716</v>
      </c>
      <c r="C1168" s="135" t="s">
        <v>729</v>
      </c>
      <c r="D1168" s="7">
        <v>45757</v>
      </c>
      <c r="E1168" s="8">
        <v>9525.6</v>
      </c>
      <c r="F1168" s="8"/>
      <c r="G1168"/>
      <c r="H1168"/>
      <c r="I1168"/>
      <c r="J1168"/>
      <c r="K1168"/>
      <c r="L1168"/>
      <c r="M1168"/>
      <c r="N1168"/>
      <c r="O1168"/>
    </row>
    <row r="1169" spans="1:15" s="44" customFormat="1" x14ac:dyDescent="0.3">
      <c r="A1169"/>
      <c r="B1169" t="s">
        <v>716</v>
      </c>
      <c r="C1169" s="135" t="s">
        <v>729</v>
      </c>
      <c r="D1169" s="7">
        <v>45757</v>
      </c>
      <c r="E1169" s="8">
        <v>636.85</v>
      </c>
      <c r="F1169" s="8"/>
      <c r="G1169"/>
      <c r="H1169"/>
      <c r="I1169"/>
      <c r="J1169"/>
      <c r="K1169"/>
      <c r="L1169"/>
      <c r="M1169"/>
      <c r="N1169"/>
      <c r="O1169"/>
    </row>
    <row r="1170" spans="1:15" s="44" customFormat="1" x14ac:dyDescent="0.3">
      <c r="A1170"/>
      <c r="B1170" t="s">
        <v>716</v>
      </c>
      <c r="C1170" s="135" t="s">
        <v>730</v>
      </c>
      <c r="D1170" s="7">
        <v>45757</v>
      </c>
      <c r="E1170" s="8">
        <v>12171.6</v>
      </c>
      <c r="F1170" s="8"/>
      <c r="G1170"/>
      <c r="H1170"/>
      <c r="I1170"/>
      <c r="J1170"/>
      <c r="K1170"/>
      <c r="L1170"/>
      <c r="M1170"/>
      <c r="N1170"/>
      <c r="O1170"/>
    </row>
    <row r="1171" spans="1:15" s="44" customFormat="1" x14ac:dyDescent="0.3">
      <c r="A1171"/>
      <c r="B1171" t="s">
        <v>716</v>
      </c>
      <c r="C1171" s="135" t="s">
        <v>731</v>
      </c>
      <c r="D1171" s="7">
        <v>45785</v>
      </c>
      <c r="E1171" s="8">
        <v>2116.8000000000002</v>
      </c>
      <c r="F1171" s="8"/>
      <c r="G1171"/>
      <c r="H1171"/>
      <c r="I1171"/>
      <c r="J1171"/>
      <c r="K1171"/>
      <c r="L1171"/>
      <c r="M1171"/>
      <c r="N1171"/>
      <c r="O1171"/>
    </row>
    <row r="1172" spans="1:15" s="44" customFormat="1" x14ac:dyDescent="0.3">
      <c r="A1172"/>
      <c r="B1172" t="s">
        <v>716</v>
      </c>
      <c r="C1172" s="135" t="s">
        <v>732</v>
      </c>
      <c r="D1172" s="7">
        <v>45796</v>
      </c>
      <c r="E1172" s="8">
        <v>3880.8</v>
      </c>
      <c r="F1172" s="8"/>
      <c r="G1172"/>
      <c r="H1172"/>
      <c r="I1172"/>
      <c r="J1172"/>
      <c r="K1172"/>
      <c r="L1172"/>
      <c r="M1172"/>
      <c r="N1172"/>
      <c r="O1172"/>
    </row>
    <row r="1173" spans="1:15" s="44" customFormat="1" x14ac:dyDescent="0.3">
      <c r="A1173"/>
      <c r="B1173" t="s">
        <v>716</v>
      </c>
      <c r="C1173" s="135" t="s">
        <v>732</v>
      </c>
      <c r="D1173" s="7">
        <v>45796</v>
      </c>
      <c r="E1173" s="8">
        <v>2646</v>
      </c>
      <c r="F1173" s="8"/>
      <c r="G1173"/>
      <c r="H1173"/>
      <c r="I1173"/>
      <c r="J1173"/>
      <c r="K1173"/>
      <c r="L1173"/>
      <c r="M1173"/>
      <c r="N1173"/>
      <c r="O1173"/>
    </row>
    <row r="1174" spans="1:15" s="44" customFormat="1" x14ac:dyDescent="0.3">
      <c r="A1174"/>
      <c r="B1174" t="s">
        <v>716</v>
      </c>
      <c r="C1174" s="135" t="s">
        <v>733</v>
      </c>
      <c r="D1174" s="7">
        <v>45813</v>
      </c>
      <c r="E1174" s="8">
        <v>13230</v>
      </c>
      <c r="F1174" s="8"/>
      <c r="G1174"/>
      <c r="H1174"/>
      <c r="I1174"/>
      <c r="J1174"/>
      <c r="K1174"/>
      <c r="L1174"/>
      <c r="M1174"/>
      <c r="N1174"/>
      <c r="O1174"/>
    </row>
    <row r="1175" spans="1:15" s="44" customFormat="1" x14ac:dyDescent="0.3">
      <c r="A1175"/>
      <c r="B1175" t="s">
        <v>716</v>
      </c>
      <c r="C1175" s="135" t="s">
        <v>734</v>
      </c>
      <c r="D1175" s="7">
        <v>45813</v>
      </c>
      <c r="E1175" s="8">
        <v>13230</v>
      </c>
      <c r="F1175" s="8"/>
      <c r="G1175"/>
      <c r="H1175"/>
      <c r="I1175"/>
      <c r="J1175"/>
      <c r="K1175"/>
      <c r="L1175"/>
      <c r="M1175"/>
      <c r="N1175"/>
      <c r="O1175"/>
    </row>
    <row r="1176" spans="1:15" s="44" customFormat="1" x14ac:dyDescent="0.3">
      <c r="A1176"/>
      <c r="B1176" t="s">
        <v>716</v>
      </c>
      <c r="C1176" s="135" t="s">
        <v>735</v>
      </c>
      <c r="D1176" s="7">
        <v>45813</v>
      </c>
      <c r="E1176" s="8">
        <v>8467.2000000000007</v>
      </c>
      <c r="F1176" s="8"/>
      <c r="G1176"/>
      <c r="H1176"/>
      <c r="I1176"/>
      <c r="J1176"/>
      <c r="K1176"/>
      <c r="L1176"/>
      <c r="M1176"/>
      <c r="N1176"/>
      <c r="O1176"/>
    </row>
    <row r="1177" spans="1:15" s="44" customFormat="1" x14ac:dyDescent="0.3">
      <c r="A1177"/>
      <c r="B1177" t="s">
        <v>716</v>
      </c>
      <c r="C1177" s="44">
        <v>20250630</v>
      </c>
      <c r="D1177" s="7">
        <v>45838</v>
      </c>
      <c r="E1177" s="8">
        <v>456.5</v>
      </c>
      <c r="F1177" s="8"/>
      <c r="G1177"/>
      <c r="H1177"/>
      <c r="I1177"/>
      <c r="J1177"/>
      <c r="K1177"/>
      <c r="L1177"/>
      <c r="M1177"/>
      <c r="N1177"/>
      <c r="O1177"/>
    </row>
    <row r="1178" spans="1:15" s="44" customFormat="1" x14ac:dyDescent="0.3">
      <c r="A1178"/>
      <c r="B1178" t="s">
        <v>736</v>
      </c>
      <c r="C1178" s="135" t="s">
        <v>737</v>
      </c>
      <c r="D1178" s="7">
        <v>45658</v>
      </c>
      <c r="E1178" s="8">
        <v>3729.94</v>
      </c>
      <c r="F1178" s="8"/>
      <c r="G1178"/>
      <c r="H1178"/>
      <c r="I1178"/>
      <c r="J1178"/>
      <c r="K1178"/>
      <c r="L1178"/>
      <c r="M1178"/>
      <c r="N1178"/>
      <c r="O1178"/>
    </row>
    <row r="1179" spans="1:15" s="44" customFormat="1" x14ac:dyDescent="0.3">
      <c r="A1179"/>
      <c r="B1179" t="s">
        <v>736</v>
      </c>
      <c r="C1179" s="135" t="s">
        <v>738</v>
      </c>
      <c r="D1179" s="7">
        <v>45658</v>
      </c>
      <c r="E1179" s="8">
        <v>7.0000000000000007E-2</v>
      </c>
      <c r="F1179" s="8"/>
      <c r="G1179"/>
      <c r="H1179"/>
      <c r="I1179"/>
      <c r="J1179"/>
      <c r="K1179"/>
      <c r="L1179"/>
      <c r="M1179"/>
      <c r="N1179"/>
      <c r="O1179"/>
    </row>
    <row r="1180" spans="1:15" s="44" customFormat="1" x14ac:dyDescent="0.3">
      <c r="A1180"/>
      <c r="B1180" t="s">
        <v>736</v>
      </c>
      <c r="C1180" s="135" t="s">
        <v>739</v>
      </c>
      <c r="D1180" s="7">
        <v>45672</v>
      </c>
      <c r="E1180" s="8">
        <v>0.19</v>
      </c>
      <c r="F1180" s="8"/>
      <c r="G1180"/>
      <c r="H1180"/>
      <c r="I1180"/>
      <c r="J1180"/>
      <c r="K1180"/>
      <c r="L1180"/>
      <c r="M1180"/>
      <c r="N1180"/>
      <c r="O1180"/>
    </row>
    <row r="1181" spans="1:15" s="44" customFormat="1" x14ac:dyDescent="0.3">
      <c r="A1181"/>
      <c r="B1181" t="s">
        <v>736</v>
      </c>
      <c r="C1181" s="135" t="s">
        <v>740</v>
      </c>
      <c r="D1181" s="7">
        <v>45689</v>
      </c>
      <c r="E1181" s="8">
        <v>3933.93</v>
      </c>
      <c r="F1181" s="8"/>
      <c r="G1181"/>
      <c r="H1181"/>
      <c r="I1181"/>
      <c r="J1181"/>
      <c r="K1181"/>
      <c r="L1181"/>
      <c r="M1181"/>
      <c r="N1181"/>
      <c r="O1181"/>
    </row>
    <row r="1182" spans="1:15" s="44" customFormat="1" x14ac:dyDescent="0.3">
      <c r="A1182"/>
      <c r="B1182" t="s">
        <v>736</v>
      </c>
      <c r="C1182" s="135" t="s">
        <v>741</v>
      </c>
      <c r="D1182" s="7">
        <v>45744</v>
      </c>
      <c r="E1182" s="8">
        <v>19580.88</v>
      </c>
      <c r="F1182" s="8"/>
      <c r="G1182"/>
      <c r="H1182"/>
      <c r="I1182"/>
      <c r="J1182"/>
      <c r="K1182"/>
      <c r="L1182"/>
      <c r="M1182"/>
      <c r="N1182"/>
      <c r="O1182"/>
    </row>
    <row r="1183" spans="1:15" s="44" customFormat="1" x14ac:dyDescent="0.3">
      <c r="A1183"/>
      <c r="B1183" t="s">
        <v>736</v>
      </c>
      <c r="C1183" s="135" t="s">
        <v>742</v>
      </c>
      <c r="D1183" s="7">
        <v>45744</v>
      </c>
      <c r="E1183" s="8">
        <v>22480.3</v>
      </c>
      <c r="F1183" s="8"/>
      <c r="G1183"/>
      <c r="H1183"/>
      <c r="I1183"/>
      <c r="J1183"/>
      <c r="K1183"/>
      <c r="L1183"/>
      <c r="M1183"/>
      <c r="N1183"/>
      <c r="O1183"/>
    </row>
    <row r="1184" spans="1:15" s="44" customFormat="1" x14ac:dyDescent="0.3">
      <c r="A1184"/>
      <c r="B1184" t="s">
        <v>736</v>
      </c>
      <c r="C1184" s="135" t="s">
        <v>743</v>
      </c>
      <c r="D1184" s="7">
        <v>45744</v>
      </c>
      <c r="E1184" s="8">
        <v>14412.83</v>
      </c>
      <c r="F1184" s="8"/>
      <c r="G1184"/>
      <c r="H1184"/>
      <c r="I1184"/>
      <c r="J1184"/>
      <c r="K1184"/>
      <c r="L1184"/>
      <c r="M1184"/>
      <c r="N1184"/>
      <c r="O1184"/>
    </row>
    <row r="1185" spans="1:15" s="44" customFormat="1" x14ac:dyDescent="0.3">
      <c r="A1185"/>
      <c r="B1185" t="s">
        <v>736</v>
      </c>
      <c r="C1185" s="135" t="s">
        <v>744</v>
      </c>
      <c r="D1185" s="7">
        <v>45744</v>
      </c>
      <c r="E1185" s="8">
        <v>534.82000000000005</v>
      </c>
      <c r="F1185" s="8"/>
      <c r="G1185"/>
      <c r="H1185"/>
      <c r="I1185"/>
      <c r="J1185"/>
      <c r="K1185"/>
      <c r="L1185"/>
      <c r="M1185"/>
      <c r="N1185"/>
      <c r="O1185"/>
    </row>
    <row r="1186" spans="1:15" s="44" customFormat="1" x14ac:dyDescent="0.3">
      <c r="A1186"/>
      <c r="B1186" t="s">
        <v>736</v>
      </c>
      <c r="C1186" s="135" t="s">
        <v>745</v>
      </c>
      <c r="D1186" s="7">
        <v>45744</v>
      </c>
      <c r="E1186" s="8">
        <v>1324.81</v>
      </c>
      <c r="F1186" s="8"/>
      <c r="G1186"/>
      <c r="H1186"/>
      <c r="I1186"/>
      <c r="J1186"/>
      <c r="K1186"/>
      <c r="L1186"/>
      <c r="M1186"/>
      <c r="N1186"/>
      <c r="O1186"/>
    </row>
    <row r="1187" spans="1:15" s="44" customFormat="1" x14ac:dyDescent="0.3">
      <c r="A1187"/>
      <c r="B1187" t="s">
        <v>736</v>
      </c>
      <c r="C1187" s="135" t="s">
        <v>746</v>
      </c>
      <c r="D1187" s="7">
        <v>45754</v>
      </c>
      <c r="E1187" s="8">
        <v>627.03</v>
      </c>
      <c r="F1187" s="8"/>
      <c r="G1187"/>
      <c r="H1187"/>
      <c r="I1187"/>
      <c r="J1187"/>
      <c r="K1187"/>
      <c r="L1187"/>
      <c r="M1187"/>
      <c r="N1187"/>
      <c r="O1187"/>
    </row>
    <row r="1188" spans="1:15" s="44" customFormat="1" x14ac:dyDescent="0.3">
      <c r="A1188"/>
      <c r="B1188" t="s">
        <v>736</v>
      </c>
      <c r="C1188" s="135" t="s">
        <v>747</v>
      </c>
      <c r="D1188" s="7">
        <v>45757</v>
      </c>
      <c r="E1188" s="8">
        <v>9332.4</v>
      </c>
      <c r="F1188" s="8"/>
      <c r="G1188"/>
      <c r="H1188"/>
      <c r="I1188"/>
      <c r="J1188"/>
      <c r="K1188"/>
      <c r="L1188"/>
      <c r="M1188"/>
      <c r="N1188"/>
      <c r="O1188"/>
    </row>
    <row r="1189" spans="1:15" s="44" customFormat="1" x14ac:dyDescent="0.3">
      <c r="A1189"/>
      <c r="B1189" t="s">
        <v>736</v>
      </c>
      <c r="C1189" s="135" t="s">
        <v>748</v>
      </c>
      <c r="D1189" s="7">
        <v>45757</v>
      </c>
      <c r="E1189" s="8">
        <v>1054.05</v>
      </c>
      <c r="F1189" s="8"/>
      <c r="G1189"/>
      <c r="H1189"/>
      <c r="I1189"/>
      <c r="J1189"/>
      <c r="K1189"/>
      <c r="L1189"/>
      <c r="M1189"/>
      <c r="N1189"/>
      <c r="O1189"/>
    </row>
    <row r="1190" spans="1:15" s="44" customFormat="1" x14ac:dyDescent="0.3">
      <c r="A1190"/>
      <c r="B1190" t="s">
        <v>736</v>
      </c>
      <c r="C1190" s="135" t="s">
        <v>749</v>
      </c>
      <c r="D1190" s="7">
        <v>45762</v>
      </c>
      <c r="E1190" s="8">
        <v>6585.59</v>
      </c>
      <c r="F1190" s="8"/>
      <c r="G1190"/>
      <c r="H1190"/>
      <c r="I1190"/>
      <c r="J1190"/>
      <c r="K1190"/>
      <c r="L1190"/>
      <c r="M1190"/>
      <c r="N1190"/>
      <c r="O1190"/>
    </row>
    <row r="1191" spans="1:15" s="44" customFormat="1" x14ac:dyDescent="0.3">
      <c r="A1191"/>
      <c r="B1191" t="s">
        <v>736</v>
      </c>
      <c r="C1191" s="135" t="s">
        <v>750</v>
      </c>
      <c r="D1191" s="7">
        <v>45772</v>
      </c>
      <c r="E1191" s="8">
        <v>1572.59</v>
      </c>
      <c r="F1191" s="8"/>
      <c r="G1191"/>
      <c r="H1191"/>
      <c r="I1191"/>
      <c r="J1191"/>
      <c r="K1191"/>
      <c r="L1191"/>
      <c r="M1191"/>
      <c r="N1191"/>
      <c r="O1191"/>
    </row>
    <row r="1192" spans="1:15" s="44" customFormat="1" x14ac:dyDescent="0.3">
      <c r="A1192"/>
      <c r="B1192" t="s">
        <v>736</v>
      </c>
      <c r="C1192" s="135" t="s">
        <v>751</v>
      </c>
      <c r="D1192" s="7">
        <v>45776</v>
      </c>
      <c r="E1192" s="8">
        <v>28904.400000000001</v>
      </c>
      <c r="F1192" s="8"/>
      <c r="G1192"/>
      <c r="H1192"/>
      <c r="I1192"/>
      <c r="J1192"/>
      <c r="K1192"/>
      <c r="L1192"/>
      <c r="M1192"/>
      <c r="N1192"/>
      <c r="O1192"/>
    </row>
    <row r="1193" spans="1:15" s="44" customFormat="1" x14ac:dyDescent="0.3">
      <c r="A1193"/>
      <c r="B1193" t="s">
        <v>736</v>
      </c>
      <c r="C1193" s="135" t="s">
        <v>752</v>
      </c>
      <c r="D1193" s="7">
        <v>45776</v>
      </c>
      <c r="E1193" s="8">
        <v>4390.92</v>
      </c>
      <c r="F1193" s="8"/>
      <c r="G1193"/>
      <c r="H1193"/>
      <c r="I1193"/>
      <c r="J1193"/>
      <c r="K1193"/>
      <c r="L1193"/>
      <c r="M1193"/>
      <c r="N1193"/>
      <c r="O1193"/>
    </row>
    <row r="1194" spans="1:15" s="44" customFormat="1" x14ac:dyDescent="0.3">
      <c r="A1194"/>
      <c r="B1194" t="s">
        <v>736</v>
      </c>
      <c r="C1194" s="135" t="s">
        <v>753</v>
      </c>
      <c r="D1194" s="7">
        <v>45777</v>
      </c>
      <c r="E1194" s="8">
        <v>3914</v>
      </c>
      <c r="F1194" s="8"/>
      <c r="G1194"/>
      <c r="H1194"/>
      <c r="I1194"/>
      <c r="J1194"/>
      <c r="K1194"/>
      <c r="L1194"/>
      <c r="M1194"/>
      <c r="N1194"/>
      <c r="O1194"/>
    </row>
    <row r="1195" spans="1:15" s="44" customFormat="1" x14ac:dyDescent="0.3">
      <c r="A1195"/>
      <c r="B1195" t="s">
        <v>736</v>
      </c>
      <c r="C1195" s="135" t="s">
        <v>754</v>
      </c>
      <c r="D1195" s="7">
        <v>45777</v>
      </c>
      <c r="E1195" s="8">
        <v>1777.6</v>
      </c>
      <c r="F1195" s="8"/>
      <c r="G1195"/>
      <c r="H1195"/>
      <c r="I1195"/>
      <c r="J1195"/>
      <c r="K1195"/>
      <c r="L1195"/>
      <c r="M1195"/>
      <c r="N1195"/>
      <c r="O1195"/>
    </row>
    <row r="1196" spans="1:15" s="44" customFormat="1" x14ac:dyDescent="0.3">
      <c r="A1196"/>
      <c r="B1196" t="s">
        <v>736</v>
      </c>
      <c r="C1196" s="135" t="s">
        <v>755</v>
      </c>
      <c r="D1196" s="7">
        <v>45784</v>
      </c>
      <c r="E1196" s="8">
        <v>322.01</v>
      </c>
      <c r="F1196" s="8"/>
      <c r="G1196"/>
      <c r="H1196"/>
      <c r="I1196"/>
      <c r="J1196"/>
      <c r="K1196"/>
      <c r="L1196"/>
      <c r="M1196"/>
      <c r="N1196"/>
      <c r="O1196"/>
    </row>
    <row r="1197" spans="1:15" s="44" customFormat="1" x14ac:dyDescent="0.3">
      <c r="A1197"/>
      <c r="B1197" t="s">
        <v>736</v>
      </c>
      <c r="C1197" s="135" t="s">
        <v>756</v>
      </c>
      <c r="D1197" s="7">
        <v>45793</v>
      </c>
      <c r="E1197" s="8">
        <v>566.02</v>
      </c>
      <c r="F1197" s="8"/>
      <c r="G1197"/>
      <c r="H1197"/>
      <c r="I1197"/>
      <c r="J1197"/>
      <c r="K1197"/>
      <c r="L1197"/>
      <c r="M1197"/>
      <c r="N1197"/>
      <c r="O1197"/>
    </row>
    <row r="1198" spans="1:15" s="44" customFormat="1" x14ac:dyDescent="0.3">
      <c r="A1198"/>
      <c r="B1198" t="s">
        <v>736</v>
      </c>
      <c r="C1198" s="135" t="s">
        <v>757</v>
      </c>
      <c r="D1198" s="7">
        <v>45793</v>
      </c>
      <c r="E1198" s="8">
        <v>2542.5500000000002</v>
      </c>
      <c r="F1198" s="8"/>
      <c r="G1198"/>
      <c r="H1198"/>
      <c r="I1198"/>
      <c r="J1198"/>
      <c r="K1198"/>
      <c r="L1198"/>
      <c r="M1198"/>
      <c r="N1198"/>
      <c r="O1198"/>
    </row>
    <row r="1199" spans="1:15" s="44" customFormat="1" x14ac:dyDescent="0.3">
      <c r="A1199"/>
      <c r="B1199" t="s">
        <v>736</v>
      </c>
      <c r="C1199" s="135" t="s">
        <v>758</v>
      </c>
      <c r="D1199" s="7">
        <v>45798</v>
      </c>
      <c r="E1199" s="8">
        <v>28</v>
      </c>
      <c r="F1199" s="8"/>
      <c r="G1199"/>
      <c r="H1199"/>
      <c r="I1199"/>
      <c r="J1199"/>
      <c r="K1199"/>
      <c r="L1199"/>
      <c r="M1199"/>
      <c r="N1199"/>
      <c r="O1199"/>
    </row>
    <row r="1200" spans="1:15" s="44" customFormat="1" x14ac:dyDescent="0.3">
      <c r="A1200"/>
      <c r="B1200" t="s">
        <v>736</v>
      </c>
      <c r="C1200" s="135" t="s">
        <v>759</v>
      </c>
      <c r="D1200" s="7">
        <v>45800</v>
      </c>
      <c r="E1200" s="8">
        <v>161.44</v>
      </c>
      <c r="F1200" s="8"/>
      <c r="G1200"/>
      <c r="H1200"/>
      <c r="I1200"/>
      <c r="J1200"/>
      <c r="K1200"/>
      <c r="L1200"/>
      <c r="M1200"/>
      <c r="N1200"/>
      <c r="O1200"/>
    </row>
    <row r="1201" spans="1:15" s="44" customFormat="1" x14ac:dyDescent="0.3">
      <c r="A1201"/>
      <c r="B1201" t="s">
        <v>736</v>
      </c>
      <c r="C1201" s="135" t="s">
        <v>336</v>
      </c>
      <c r="D1201" s="7">
        <v>45831</v>
      </c>
      <c r="E1201" s="8">
        <v>-88</v>
      </c>
      <c r="F1201" s="8"/>
      <c r="G1201"/>
      <c r="H1201"/>
      <c r="I1201"/>
      <c r="J1201"/>
      <c r="K1201"/>
      <c r="L1201"/>
      <c r="M1201"/>
      <c r="N1201"/>
      <c r="O1201"/>
    </row>
    <row r="1202" spans="1:15" s="44" customFormat="1" x14ac:dyDescent="0.3">
      <c r="A1202"/>
      <c r="B1202" t="s">
        <v>736</v>
      </c>
      <c r="C1202" s="135" t="s">
        <v>760</v>
      </c>
      <c r="D1202" s="7">
        <v>45835</v>
      </c>
      <c r="E1202" s="8">
        <v>22737.33</v>
      </c>
      <c r="F1202" s="8"/>
      <c r="G1202"/>
      <c r="H1202"/>
      <c r="I1202"/>
      <c r="J1202"/>
      <c r="K1202"/>
      <c r="L1202"/>
      <c r="M1202"/>
      <c r="N1202"/>
      <c r="O1202"/>
    </row>
    <row r="1203" spans="1:15" s="44" customFormat="1" x14ac:dyDescent="0.3">
      <c r="A1203"/>
      <c r="B1203" t="s">
        <v>736</v>
      </c>
      <c r="C1203" s="135" t="s">
        <v>761</v>
      </c>
      <c r="D1203" s="7">
        <v>45835</v>
      </c>
      <c r="E1203" s="8">
        <v>15360.6</v>
      </c>
      <c r="F1203" s="8"/>
      <c r="G1203"/>
      <c r="H1203"/>
      <c r="I1203"/>
      <c r="J1203"/>
      <c r="K1203"/>
      <c r="L1203"/>
      <c r="M1203"/>
      <c r="N1203"/>
      <c r="O1203"/>
    </row>
    <row r="1204" spans="1:15" s="44" customFormat="1" x14ac:dyDescent="0.3">
      <c r="A1204"/>
      <c r="B1204" t="s">
        <v>736</v>
      </c>
      <c r="C1204" s="135" t="s">
        <v>762</v>
      </c>
      <c r="D1204" s="7">
        <v>45838</v>
      </c>
      <c r="E1204" s="8">
        <v>6066.7</v>
      </c>
      <c r="F1204" s="8"/>
      <c r="G1204"/>
      <c r="H1204"/>
      <c r="I1204"/>
      <c r="J1204"/>
      <c r="K1204"/>
      <c r="L1204"/>
      <c r="M1204"/>
      <c r="N1204"/>
      <c r="O1204"/>
    </row>
    <row r="1205" spans="1:15" s="44" customFormat="1" x14ac:dyDescent="0.3">
      <c r="A1205"/>
      <c r="B1205" t="s">
        <v>736</v>
      </c>
      <c r="C1205" s="135" t="s">
        <v>763</v>
      </c>
      <c r="D1205" s="7">
        <v>45838</v>
      </c>
      <c r="E1205" s="8">
        <v>19511.21</v>
      </c>
      <c r="F1205" s="8"/>
      <c r="G1205"/>
      <c r="H1205"/>
      <c r="I1205"/>
      <c r="J1205"/>
      <c r="K1205"/>
      <c r="L1205"/>
      <c r="M1205"/>
      <c r="N1205"/>
      <c r="O1205"/>
    </row>
    <row r="1206" spans="1:15" s="44" customFormat="1" x14ac:dyDescent="0.3">
      <c r="A1206"/>
      <c r="B1206" t="s">
        <v>764</v>
      </c>
      <c r="C1206" s="44">
        <v>6282024</v>
      </c>
      <c r="D1206" s="7">
        <v>45471</v>
      </c>
      <c r="E1206" s="8">
        <v>353.66</v>
      </c>
      <c r="F1206" s="8"/>
      <c r="G1206"/>
      <c r="H1206"/>
      <c r="I1206"/>
      <c r="J1206"/>
      <c r="K1206"/>
      <c r="L1206"/>
      <c r="M1206"/>
      <c r="N1206"/>
      <c r="O1206"/>
    </row>
    <row r="1207" spans="1:15" s="44" customFormat="1" x14ac:dyDescent="0.3">
      <c r="A1207"/>
      <c r="B1207" t="s">
        <v>765</v>
      </c>
      <c r="C1207" s="135" t="s">
        <v>766</v>
      </c>
      <c r="D1207" s="7">
        <v>45602</v>
      </c>
      <c r="E1207" s="8">
        <v>-44.04</v>
      </c>
      <c r="F1207" s="8"/>
      <c r="G1207"/>
      <c r="H1207"/>
      <c r="I1207"/>
      <c r="J1207"/>
      <c r="K1207"/>
      <c r="L1207"/>
      <c r="M1207"/>
      <c r="N1207"/>
      <c r="O1207"/>
    </row>
    <row r="1208" spans="1:15" s="44" customFormat="1" x14ac:dyDescent="0.3">
      <c r="A1208"/>
      <c r="B1208" t="s">
        <v>765</v>
      </c>
      <c r="C1208" s="135" t="s">
        <v>767</v>
      </c>
      <c r="D1208" s="7">
        <v>45750</v>
      </c>
      <c r="E1208" s="8">
        <v>-1220.47</v>
      </c>
      <c r="F1208" s="8"/>
      <c r="G1208"/>
      <c r="H1208"/>
      <c r="I1208"/>
      <c r="J1208"/>
      <c r="K1208"/>
      <c r="L1208"/>
      <c r="M1208"/>
      <c r="N1208"/>
      <c r="O1208"/>
    </row>
    <row r="1209" spans="1:15" s="44" customFormat="1" x14ac:dyDescent="0.3">
      <c r="A1209"/>
      <c r="B1209" t="s">
        <v>765</v>
      </c>
      <c r="C1209" s="138" t="s">
        <v>768</v>
      </c>
      <c r="D1209" s="7">
        <v>45756</v>
      </c>
      <c r="E1209" s="8">
        <v>-1146.53</v>
      </c>
      <c r="F1209" s="8"/>
      <c r="G1209"/>
      <c r="H1209"/>
      <c r="I1209"/>
      <c r="J1209"/>
      <c r="K1209"/>
      <c r="L1209"/>
      <c r="M1209"/>
      <c r="N1209"/>
      <c r="O1209"/>
    </row>
    <row r="1210" spans="1:15" s="44" customFormat="1" x14ac:dyDescent="0.3">
      <c r="A1210"/>
      <c r="B1210" t="s">
        <v>765</v>
      </c>
      <c r="C1210" s="135" t="s">
        <v>769</v>
      </c>
      <c r="D1210" s="7">
        <v>45790</v>
      </c>
      <c r="E1210" s="8">
        <v>-532.70000000000005</v>
      </c>
      <c r="F1210" s="8"/>
      <c r="G1210"/>
      <c r="H1210"/>
      <c r="I1210"/>
      <c r="J1210"/>
      <c r="K1210"/>
      <c r="L1210"/>
      <c r="M1210"/>
      <c r="N1210"/>
      <c r="O1210"/>
    </row>
    <row r="1211" spans="1:15" s="44" customFormat="1" x14ac:dyDescent="0.3">
      <c r="A1211"/>
      <c r="B1211" t="s">
        <v>765</v>
      </c>
      <c r="C1211" s="135" t="s">
        <v>770</v>
      </c>
      <c r="D1211" s="7">
        <v>45812</v>
      </c>
      <c r="E1211" s="8">
        <v>-578.51</v>
      </c>
      <c r="F1211" s="8"/>
      <c r="G1211"/>
      <c r="H1211"/>
      <c r="I1211"/>
      <c r="J1211"/>
      <c r="K1211"/>
      <c r="L1211"/>
      <c r="M1211"/>
      <c r="N1211"/>
      <c r="O1211"/>
    </row>
    <row r="1212" spans="1:15" s="44" customFormat="1" x14ac:dyDescent="0.3">
      <c r="A1212"/>
      <c r="B1212" t="s">
        <v>765</v>
      </c>
      <c r="C1212" s="135" t="s">
        <v>771</v>
      </c>
      <c r="D1212" s="7">
        <v>45817</v>
      </c>
      <c r="E1212" s="8">
        <v>-533.44000000000005</v>
      </c>
      <c r="F1212" s="8"/>
      <c r="G1212"/>
      <c r="H1212"/>
      <c r="I1212"/>
      <c r="J1212"/>
      <c r="K1212"/>
      <c r="L1212"/>
      <c r="M1212"/>
      <c r="N1212"/>
      <c r="O1212"/>
    </row>
    <row r="1213" spans="1:15" s="44" customFormat="1" x14ac:dyDescent="0.3">
      <c r="A1213"/>
      <c r="B1213" t="s">
        <v>772</v>
      </c>
      <c r="C1213" s="138" t="s">
        <v>773</v>
      </c>
      <c r="D1213" s="7">
        <v>45769</v>
      </c>
      <c r="E1213" s="8">
        <v>-2668.07</v>
      </c>
      <c r="F1213" s="8"/>
      <c r="G1213"/>
      <c r="H1213"/>
      <c r="I1213"/>
      <c r="J1213"/>
      <c r="K1213"/>
      <c r="L1213"/>
      <c r="M1213"/>
      <c r="N1213"/>
      <c r="O1213"/>
    </row>
    <row r="1214" spans="1:15" s="44" customFormat="1" x14ac:dyDescent="0.3">
      <c r="A1214"/>
      <c r="B1214" t="s">
        <v>772</v>
      </c>
      <c r="C1214" s="138" t="s">
        <v>774</v>
      </c>
      <c r="D1214" s="7">
        <v>45788</v>
      </c>
      <c r="E1214" s="8">
        <v>-1104.19</v>
      </c>
      <c r="F1214" s="8"/>
      <c r="G1214"/>
      <c r="H1214"/>
      <c r="I1214"/>
      <c r="J1214"/>
      <c r="K1214"/>
      <c r="L1214"/>
      <c r="M1214"/>
      <c r="N1214"/>
      <c r="O1214"/>
    </row>
    <row r="1215" spans="1:15" s="44" customFormat="1" x14ac:dyDescent="0.3">
      <c r="A1215"/>
      <c r="B1215" t="s">
        <v>775</v>
      </c>
      <c r="C1215" s="135" t="s">
        <v>776</v>
      </c>
      <c r="D1215" s="7">
        <v>45828</v>
      </c>
      <c r="E1215" s="8">
        <v>689</v>
      </c>
      <c r="F1215" s="8"/>
      <c r="G1215"/>
      <c r="H1215"/>
      <c r="I1215"/>
      <c r="J1215"/>
      <c r="K1215"/>
      <c r="L1215"/>
      <c r="M1215"/>
      <c r="N1215"/>
      <c r="O1215"/>
    </row>
    <row r="1216" spans="1:15" s="44" customFormat="1" x14ac:dyDescent="0.3">
      <c r="A1216"/>
      <c r="B1216" t="s">
        <v>777</v>
      </c>
      <c r="C1216" s="135" t="s">
        <v>778</v>
      </c>
      <c r="D1216" s="7">
        <v>45622</v>
      </c>
      <c r="E1216" s="8">
        <v>-8993.4599999999991</v>
      </c>
      <c r="F1216" s="8"/>
      <c r="G1216"/>
      <c r="H1216"/>
      <c r="I1216"/>
      <c r="J1216"/>
      <c r="K1216"/>
      <c r="L1216"/>
      <c r="M1216"/>
      <c r="N1216"/>
      <c r="O1216"/>
    </row>
    <row r="1217" spans="1:15" s="44" customFormat="1" x14ac:dyDescent="0.3">
      <c r="A1217"/>
      <c r="B1217" t="s">
        <v>779</v>
      </c>
      <c r="C1217" s="44">
        <v>110514</v>
      </c>
      <c r="D1217" s="7">
        <v>45733</v>
      </c>
      <c r="E1217" s="8">
        <v>250</v>
      </c>
      <c r="F1217" s="8"/>
      <c r="G1217"/>
      <c r="H1217"/>
      <c r="I1217"/>
      <c r="J1217"/>
      <c r="K1217"/>
      <c r="L1217"/>
      <c r="M1217"/>
      <c r="N1217"/>
      <c r="O1217"/>
    </row>
    <row r="1218" spans="1:15" s="44" customFormat="1" x14ac:dyDescent="0.3">
      <c r="A1218"/>
      <c r="B1218" t="s">
        <v>780</v>
      </c>
      <c r="C1218" s="138" t="s">
        <v>781</v>
      </c>
      <c r="D1218" s="7">
        <v>45401</v>
      </c>
      <c r="E1218" s="8">
        <v>-3986.78</v>
      </c>
      <c r="F1218" s="8"/>
      <c r="G1218"/>
      <c r="H1218"/>
      <c r="I1218"/>
      <c r="J1218"/>
      <c r="K1218"/>
      <c r="L1218"/>
      <c r="M1218"/>
      <c r="N1218"/>
      <c r="O1218"/>
    </row>
    <row r="1219" spans="1:15" s="44" customFormat="1" x14ac:dyDescent="0.3">
      <c r="A1219"/>
      <c r="B1219" t="s">
        <v>782</v>
      </c>
      <c r="C1219" s="135" t="s">
        <v>783</v>
      </c>
      <c r="D1219" s="7">
        <v>45420</v>
      </c>
      <c r="E1219" s="8">
        <v>0.1</v>
      </c>
      <c r="F1219" s="8"/>
      <c r="G1219"/>
      <c r="H1219"/>
      <c r="I1219"/>
      <c r="J1219"/>
      <c r="K1219"/>
      <c r="L1219"/>
      <c r="M1219"/>
      <c r="N1219"/>
      <c r="O1219"/>
    </row>
    <row r="1220" spans="1:15" s="44" customFormat="1" x14ac:dyDescent="0.3">
      <c r="A1220"/>
      <c r="B1220" t="s">
        <v>782</v>
      </c>
      <c r="C1220" s="14" t="s">
        <v>784</v>
      </c>
      <c r="D1220" s="7">
        <v>45603</v>
      </c>
      <c r="E1220" s="8">
        <v>-0.1</v>
      </c>
      <c r="F1220" s="8"/>
      <c r="G1220"/>
      <c r="H1220"/>
      <c r="I1220"/>
      <c r="J1220"/>
      <c r="K1220"/>
      <c r="L1220"/>
      <c r="M1220"/>
      <c r="N1220"/>
      <c r="O1220"/>
    </row>
    <row r="1221" spans="1:15" s="44" customFormat="1" x14ac:dyDescent="0.3">
      <c r="A1221"/>
      <c r="B1221" t="s">
        <v>782</v>
      </c>
      <c r="C1221" s="135" t="s">
        <v>785</v>
      </c>
      <c r="D1221" s="7">
        <v>45740</v>
      </c>
      <c r="E1221" s="8">
        <v>2397.6</v>
      </c>
      <c r="F1221" s="8"/>
      <c r="G1221"/>
      <c r="H1221"/>
      <c r="I1221"/>
      <c r="J1221"/>
      <c r="K1221"/>
      <c r="L1221"/>
      <c r="M1221"/>
      <c r="N1221"/>
      <c r="O1221"/>
    </row>
    <row r="1222" spans="1:15" s="44" customFormat="1" x14ac:dyDescent="0.3">
      <c r="A1222"/>
      <c r="B1222" t="s">
        <v>786</v>
      </c>
      <c r="C1222" s="135" t="s">
        <v>787</v>
      </c>
      <c r="D1222" s="7">
        <v>45632</v>
      </c>
      <c r="E1222" s="8">
        <v>330</v>
      </c>
      <c r="F1222" s="8"/>
      <c r="G1222"/>
      <c r="H1222"/>
      <c r="I1222"/>
      <c r="J1222"/>
      <c r="K1222"/>
      <c r="L1222"/>
      <c r="M1222"/>
      <c r="N1222"/>
      <c r="O1222"/>
    </row>
    <row r="1223" spans="1:15" s="44" customFormat="1" x14ac:dyDescent="0.3">
      <c r="A1223"/>
      <c r="B1223" t="s">
        <v>788</v>
      </c>
      <c r="C1223" s="135" t="s">
        <v>789</v>
      </c>
      <c r="D1223" s="7">
        <v>45644</v>
      </c>
      <c r="E1223" s="8">
        <v>-210</v>
      </c>
      <c r="F1223" s="8"/>
      <c r="G1223"/>
      <c r="H1223"/>
      <c r="I1223"/>
      <c r="J1223"/>
      <c r="K1223"/>
      <c r="L1223"/>
      <c r="M1223"/>
      <c r="N1223"/>
      <c r="O1223"/>
    </row>
    <row r="1224" spans="1:15" s="44" customFormat="1" x14ac:dyDescent="0.3">
      <c r="A1224"/>
      <c r="B1224" t="s">
        <v>790</v>
      </c>
      <c r="C1224" s="135" t="s">
        <v>654</v>
      </c>
      <c r="D1224" s="7">
        <v>45818</v>
      </c>
      <c r="E1224" s="8">
        <v>-18334.150000000001</v>
      </c>
      <c r="F1224" s="8"/>
      <c r="G1224"/>
      <c r="H1224"/>
      <c r="I1224"/>
      <c r="J1224"/>
      <c r="K1224"/>
      <c r="L1224"/>
      <c r="M1224"/>
      <c r="N1224"/>
      <c r="O1224"/>
    </row>
    <row r="1225" spans="1:15" s="44" customFormat="1" x14ac:dyDescent="0.3">
      <c r="A1225"/>
      <c r="B1225" t="s">
        <v>791</v>
      </c>
      <c r="C1225" s="135" t="s">
        <v>792</v>
      </c>
      <c r="D1225" s="7">
        <v>45814</v>
      </c>
      <c r="E1225" s="8">
        <v>-3410</v>
      </c>
      <c r="F1225" s="8"/>
      <c r="G1225"/>
      <c r="H1225"/>
      <c r="I1225"/>
      <c r="J1225"/>
      <c r="K1225"/>
      <c r="L1225"/>
      <c r="M1225"/>
      <c r="N1225"/>
      <c r="O1225"/>
    </row>
    <row r="1226" spans="1:15" s="44" customFormat="1" x14ac:dyDescent="0.3">
      <c r="A1226"/>
      <c r="B1226" t="s">
        <v>793</v>
      </c>
      <c r="C1226" s="44">
        <v>4</v>
      </c>
      <c r="D1226" s="7">
        <v>45314</v>
      </c>
      <c r="E1226" s="8">
        <v>893.72</v>
      </c>
      <c r="F1226" s="8"/>
      <c r="G1226"/>
      <c r="H1226"/>
      <c r="I1226"/>
      <c r="J1226"/>
      <c r="K1226"/>
      <c r="L1226"/>
      <c r="M1226"/>
      <c r="N1226"/>
      <c r="O1226"/>
    </row>
    <row r="1227" spans="1:15" s="44" customFormat="1" x14ac:dyDescent="0.3">
      <c r="A1227"/>
      <c r="B1227" t="s">
        <v>793</v>
      </c>
      <c r="C1227" s="44">
        <v>4</v>
      </c>
      <c r="D1227" s="7">
        <v>45314</v>
      </c>
      <c r="E1227" s="8">
        <v>1129.95</v>
      </c>
      <c r="F1227" s="8"/>
      <c r="G1227"/>
      <c r="H1227"/>
      <c r="I1227"/>
      <c r="J1227"/>
      <c r="K1227"/>
      <c r="L1227"/>
      <c r="M1227"/>
      <c r="N1227"/>
      <c r="O1227"/>
    </row>
    <row r="1228" spans="1:15" s="44" customFormat="1" x14ac:dyDescent="0.3">
      <c r="A1228"/>
      <c r="B1228" t="s">
        <v>793</v>
      </c>
      <c r="C1228" s="44">
        <v>6</v>
      </c>
      <c r="D1228" s="7">
        <v>45329</v>
      </c>
      <c r="E1228" s="8">
        <v>4339.51</v>
      </c>
      <c r="F1228" s="8"/>
      <c r="G1228"/>
      <c r="H1228"/>
      <c r="I1228"/>
      <c r="J1228"/>
      <c r="K1228"/>
      <c r="L1228"/>
      <c r="M1228"/>
      <c r="N1228"/>
      <c r="O1228"/>
    </row>
    <row r="1229" spans="1:15" s="44" customFormat="1" x14ac:dyDescent="0.3">
      <c r="A1229"/>
      <c r="B1229" t="s">
        <v>793</v>
      </c>
      <c r="C1229" s="135" t="s">
        <v>794</v>
      </c>
      <c r="D1229" s="7">
        <v>45329</v>
      </c>
      <c r="E1229" s="8">
        <v>-52670.48</v>
      </c>
      <c r="F1229" s="8"/>
      <c r="G1229"/>
      <c r="H1229"/>
      <c r="I1229"/>
      <c r="J1229"/>
      <c r="K1229"/>
      <c r="L1229"/>
      <c r="M1229"/>
      <c r="N1229"/>
      <c r="O1229"/>
    </row>
    <row r="1230" spans="1:15" s="44" customFormat="1" x14ac:dyDescent="0.3">
      <c r="A1230"/>
      <c r="B1230" t="s">
        <v>793</v>
      </c>
      <c r="C1230" s="135" t="s">
        <v>795</v>
      </c>
      <c r="D1230" s="7">
        <v>45337</v>
      </c>
      <c r="E1230" s="8">
        <v>-6000</v>
      </c>
      <c r="F1230" s="8"/>
      <c r="G1230"/>
      <c r="H1230"/>
      <c r="I1230"/>
      <c r="J1230"/>
      <c r="K1230"/>
      <c r="L1230"/>
      <c r="M1230"/>
      <c r="N1230"/>
      <c r="O1230"/>
    </row>
    <row r="1231" spans="1:15" s="44" customFormat="1" x14ac:dyDescent="0.3">
      <c r="A1231"/>
      <c r="B1231" t="s">
        <v>793</v>
      </c>
      <c r="C1231" s="44">
        <v>10</v>
      </c>
      <c r="D1231" s="7">
        <v>45338</v>
      </c>
      <c r="E1231" s="8">
        <v>552.85</v>
      </c>
      <c r="F1231" s="8"/>
      <c r="G1231"/>
      <c r="H1231"/>
      <c r="I1231"/>
      <c r="J1231"/>
      <c r="K1231"/>
      <c r="L1231"/>
      <c r="M1231"/>
      <c r="N1231"/>
      <c r="O1231"/>
    </row>
    <row r="1232" spans="1:15" s="44" customFormat="1" x14ac:dyDescent="0.3">
      <c r="A1232"/>
      <c r="B1232" t="s">
        <v>793</v>
      </c>
      <c r="C1232" s="44">
        <v>19</v>
      </c>
      <c r="D1232" s="7">
        <v>45386</v>
      </c>
      <c r="E1232" s="8">
        <v>996.61</v>
      </c>
      <c r="F1232" s="8"/>
      <c r="G1232"/>
      <c r="H1232"/>
      <c r="I1232"/>
      <c r="J1232"/>
      <c r="K1232"/>
      <c r="L1232"/>
      <c r="M1232"/>
      <c r="N1232"/>
      <c r="O1232"/>
    </row>
    <row r="1233" spans="1:15" s="44" customFormat="1" x14ac:dyDescent="0.3">
      <c r="A1233"/>
      <c r="B1233" t="s">
        <v>793</v>
      </c>
      <c r="C1233" s="44">
        <v>30</v>
      </c>
      <c r="D1233" s="7">
        <v>45440</v>
      </c>
      <c r="E1233" s="8">
        <v>1154.98</v>
      </c>
      <c r="F1233" s="8"/>
      <c r="G1233"/>
      <c r="H1233"/>
      <c r="I1233"/>
      <c r="J1233"/>
      <c r="K1233"/>
      <c r="L1233"/>
      <c r="M1233"/>
      <c r="N1233"/>
      <c r="O1233"/>
    </row>
    <row r="1234" spans="1:15" s="44" customFormat="1" x14ac:dyDescent="0.3">
      <c r="A1234"/>
      <c r="B1234" t="s">
        <v>793</v>
      </c>
      <c r="C1234" s="44">
        <v>26</v>
      </c>
      <c r="D1234" s="7">
        <v>45442</v>
      </c>
      <c r="E1234" s="8">
        <v>859.1</v>
      </c>
      <c r="F1234" s="8"/>
      <c r="G1234"/>
      <c r="H1234"/>
      <c r="I1234"/>
      <c r="J1234"/>
      <c r="K1234"/>
      <c r="L1234"/>
      <c r="M1234"/>
      <c r="N1234"/>
      <c r="O1234"/>
    </row>
    <row r="1235" spans="1:15" s="44" customFormat="1" x14ac:dyDescent="0.3">
      <c r="A1235"/>
      <c r="B1235" t="s">
        <v>793</v>
      </c>
      <c r="C1235" s="44">
        <v>27</v>
      </c>
      <c r="D1235" s="7">
        <v>45443</v>
      </c>
      <c r="E1235" s="8">
        <v>1139.03</v>
      </c>
      <c r="F1235" s="8"/>
      <c r="G1235"/>
      <c r="H1235"/>
      <c r="I1235"/>
      <c r="J1235"/>
      <c r="K1235"/>
      <c r="L1235"/>
      <c r="M1235"/>
      <c r="N1235"/>
      <c r="O1235"/>
    </row>
    <row r="1236" spans="1:15" s="44" customFormat="1" x14ac:dyDescent="0.3">
      <c r="A1236"/>
      <c r="B1236" t="s">
        <v>793</v>
      </c>
      <c r="C1236" s="44">
        <v>28</v>
      </c>
      <c r="D1236" s="7">
        <v>45447</v>
      </c>
      <c r="E1236" s="8">
        <v>859.1</v>
      </c>
      <c r="F1236" s="8"/>
      <c r="G1236"/>
      <c r="H1236"/>
      <c r="I1236"/>
      <c r="J1236"/>
      <c r="K1236"/>
      <c r="L1236"/>
      <c r="M1236"/>
      <c r="N1236"/>
      <c r="O1236"/>
    </row>
    <row r="1237" spans="1:15" s="44" customFormat="1" x14ac:dyDescent="0.3">
      <c r="A1237"/>
      <c r="B1237" t="s">
        <v>793</v>
      </c>
      <c r="C1237" s="135" t="s">
        <v>796</v>
      </c>
      <c r="D1237" s="7">
        <v>45457</v>
      </c>
      <c r="E1237" s="8">
        <v>-12654.21</v>
      </c>
      <c r="F1237" s="8"/>
      <c r="G1237"/>
      <c r="H1237"/>
      <c r="I1237"/>
      <c r="J1237"/>
      <c r="K1237"/>
      <c r="L1237"/>
      <c r="M1237"/>
      <c r="N1237"/>
      <c r="O1237"/>
    </row>
    <row r="1238" spans="1:15" s="44" customFormat="1" x14ac:dyDescent="0.3">
      <c r="A1238"/>
      <c r="B1238" t="s">
        <v>793</v>
      </c>
      <c r="C1238" s="44">
        <v>63</v>
      </c>
      <c r="D1238" s="7">
        <v>45463</v>
      </c>
      <c r="E1238" s="8">
        <v>3732.34</v>
      </c>
      <c r="F1238" s="8"/>
      <c r="G1238"/>
      <c r="H1238"/>
      <c r="I1238"/>
      <c r="J1238"/>
      <c r="K1238"/>
      <c r="L1238"/>
      <c r="M1238"/>
      <c r="N1238"/>
      <c r="O1238"/>
    </row>
    <row r="1239" spans="1:15" s="44" customFormat="1" x14ac:dyDescent="0.3">
      <c r="A1239"/>
      <c r="B1239" t="s">
        <v>793</v>
      </c>
      <c r="C1239" s="135" t="s">
        <v>797</v>
      </c>
      <c r="D1239" s="7">
        <v>45483</v>
      </c>
      <c r="E1239" s="8">
        <v>-13403</v>
      </c>
      <c r="F1239" s="8"/>
      <c r="G1239"/>
      <c r="H1239"/>
      <c r="I1239"/>
      <c r="J1239"/>
      <c r="K1239"/>
      <c r="L1239"/>
      <c r="M1239"/>
      <c r="N1239"/>
      <c r="O1239"/>
    </row>
    <row r="1240" spans="1:15" s="44" customFormat="1" x14ac:dyDescent="0.3">
      <c r="A1240"/>
      <c r="B1240" t="s">
        <v>793</v>
      </c>
      <c r="C1240" s="135" t="s">
        <v>797</v>
      </c>
      <c r="D1240" s="7">
        <v>45483</v>
      </c>
      <c r="E1240" s="8">
        <v>-45313</v>
      </c>
      <c r="F1240" s="8"/>
      <c r="G1240"/>
      <c r="H1240"/>
      <c r="I1240"/>
      <c r="J1240"/>
      <c r="K1240"/>
      <c r="L1240"/>
      <c r="M1240"/>
      <c r="N1240"/>
      <c r="O1240"/>
    </row>
    <row r="1241" spans="1:15" s="44" customFormat="1" x14ac:dyDescent="0.3">
      <c r="A1241"/>
      <c r="B1241" t="s">
        <v>793</v>
      </c>
      <c r="C1241" s="135" t="s">
        <v>797</v>
      </c>
      <c r="D1241" s="7">
        <v>45483</v>
      </c>
      <c r="E1241" s="8">
        <v>-20851.09</v>
      </c>
      <c r="F1241" s="8"/>
      <c r="G1241"/>
      <c r="H1241"/>
      <c r="I1241"/>
      <c r="J1241"/>
      <c r="K1241"/>
      <c r="L1241"/>
      <c r="M1241"/>
      <c r="N1241"/>
      <c r="O1241"/>
    </row>
    <row r="1242" spans="1:15" s="44" customFormat="1" x14ac:dyDescent="0.3">
      <c r="A1242"/>
      <c r="B1242" t="s">
        <v>793</v>
      </c>
      <c r="C1242" s="135" t="s">
        <v>798</v>
      </c>
      <c r="D1242" s="7">
        <v>45492</v>
      </c>
      <c r="E1242" s="8">
        <v>-81745.990000000005</v>
      </c>
      <c r="F1242" s="8"/>
      <c r="G1242"/>
      <c r="H1242"/>
      <c r="I1242"/>
      <c r="J1242"/>
      <c r="K1242"/>
      <c r="L1242"/>
      <c r="M1242"/>
      <c r="N1242"/>
      <c r="O1242"/>
    </row>
    <row r="1243" spans="1:15" s="44" customFormat="1" x14ac:dyDescent="0.3">
      <c r="A1243"/>
      <c r="B1243" t="s">
        <v>793</v>
      </c>
      <c r="C1243" s="135" t="s">
        <v>798</v>
      </c>
      <c r="D1243" s="7">
        <v>45492</v>
      </c>
      <c r="E1243" s="8">
        <v>-26402.52</v>
      </c>
      <c r="F1243" s="8"/>
      <c r="G1243"/>
      <c r="H1243"/>
      <c r="I1243"/>
      <c r="J1243"/>
      <c r="K1243"/>
      <c r="L1243"/>
      <c r="M1243"/>
      <c r="N1243"/>
      <c r="O1243"/>
    </row>
    <row r="1244" spans="1:15" s="44" customFormat="1" x14ac:dyDescent="0.3">
      <c r="A1244"/>
      <c r="B1244" t="s">
        <v>793</v>
      </c>
      <c r="C1244" s="135" t="s">
        <v>798</v>
      </c>
      <c r="D1244" s="7">
        <v>45492</v>
      </c>
      <c r="E1244" s="8">
        <v>-16973.2</v>
      </c>
      <c r="F1244" s="8"/>
      <c r="G1244"/>
      <c r="H1244"/>
      <c r="I1244"/>
      <c r="J1244"/>
      <c r="K1244"/>
      <c r="L1244"/>
      <c r="M1244"/>
      <c r="N1244"/>
      <c r="O1244"/>
    </row>
    <row r="1245" spans="1:15" s="44" customFormat="1" x14ac:dyDescent="0.3">
      <c r="A1245"/>
      <c r="B1245" t="s">
        <v>793</v>
      </c>
      <c r="C1245" s="138" t="s">
        <v>799</v>
      </c>
      <c r="D1245" s="7">
        <v>45505</v>
      </c>
      <c r="E1245" s="8">
        <v>-33.19</v>
      </c>
      <c r="F1245" s="8"/>
      <c r="G1245"/>
      <c r="H1245"/>
      <c r="I1245"/>
      <c r="J1245"/>
      <c r="K1245"/>
      <c r="L1245"/>
      <c r="M1245"/>
      <c r="N1245"/>
      <c r="O1245"/>
    </row>
    <row r="1246" spans="1:15" s="44" customFormat="1" x14ac:dyDescent="0.3">
      <c r="A1246"/>
      <c r="B1246" t="s">
        <v>793</v>
      </c>
      <c r="C1246" s="135" t="s">
        <v>800</v>
      </c>
      <c r="D1246" s="7">
        <v>45555</v>
      </c>
      <c r="E1246" s="8">
        <v>-10537.96</v>
      </c>
      <c r="F1246" s="8"/>
      <c r="G1246"/>
      <c r="H1246"/>
      <c r="I1246"/>
      <c r="J1246"/>
      <c r="K1246"/>
      <c r="L1246"/>
      <c r="M1246"/>
      <c r="N1246"/>
      <c r="O1246"/>
    </row>
    <row r="1247" spans="1:15" s="44" customFormat="1" x14ac:dyDescent="0.3">
      <c r="A1247"/>
      <c r="B1247" t="s">
        <v>793</v>
      </c>
      <c r="C1247" s="44">
        <v>48</v>
      </c>
      <c r="D1247" s="7">
        <v>45560</v>
      </c>
      <c r="E1247" s="8">
        <v>3561.6</v>
      </c>
      <c r="F1247" s="8"/>
      <c r="G1247"/>
      <c r="H1247"/>
      <c r="I1247"/>
      <c r="J1247"/>
      <c r="K1247"/>
      <c r="L1247"/>
      <c r="M1247"/>
      <c r="N1247"/>
      <c r="O1247"/>
    </row>
    <row r="1248" spans="1:15" s="44" customFormat="1" x14ac:dyDescent="0.3">
      <c r="A1248"/>
      <c r="B1248" t="s">
        <v>793</v>
      </c>
      <c r="C1248" s="44">
        <v>68</v>
      </c>
      <c r="D1248" s="7">
        <v>45601</v>
      </c>
      <c r="E1248" s="8">
        <v>7500</v>
      </c>
      <c r="F1248" s="8"/>
      <c r="G1248"/>
      <c r="H1248"/>
      <c r="I1248"/>
      <c r="J1248"/>
      <c r="K1248"/>
      <c r="L1248"/>
      <c r="M1248"/>
      <c r="N1248"/>
      <c r="O1248"/>
    </row>
    <row r="1249" spans="1:15" s="44" customFormat="1" x14ac:dyDescent="0.3">
      <c r="A1249"/>
      <c r="B1249" t="s">
        <v>793</v>
      </c>
      <c r="C1249" s="44">
        <v>73</v>
      </c>
      <c r="D1249" s="7">
        <v>45618</v>
      </c>
      <c r="E1249" s="8">
        <v>2811</v>
      </c>
      <c r="F1249" s="8"/>
      <c r="G1249"/>
      <c r="H1249"/>
      <c r="I1249"/>
      <c r="J1249"/>
      <c r="K1249"/>
      <c r="L1249"/>
      <c r="M1249"/>
      <c r="N1249"/>
      <c r="O1249"/>
    </row>
    <row r="1250" spans="1:15" s="44" customFormat="1" x14ac:dyDescent="0.3">
      <c r="A1250"/>
      <c r="B1250" t="s">
        <v>793</v>
      </c>
      <c r="C1250" s="44">
        <v>81</v>
      </c>
      <c r="D1250" s="7">
        <v>45645</v>
      </c>
      <c r="E1250" s="8">
        <v>1558.38</v>
      </c>
      <c r="F1250" s="8"/>
      <c r="G1250"/>
      <c r="H1250"/>
      <c r="I1250"/>
      <c r="J1250"/>
      <c r="K1250"/>
      <c r="L1250"/>
      <c r="M1250"/>
      <c r="N1250"/>
      <c r="O1250"/>
    </row>
    <row r="1251" spans="1:15" s="44" customFormat="1" x14ac:dyDescent="0.3">
      <c r="A1251"/>
      <c r="B1251" t="s">
        <v>793</v>
      </c>
      <c r="C1251" s="44">
        <v>7</v>
      </c>
      <c r="D1251" s="7">
        <v>45729</v>
      </c>
      <c r="E1251" s="8">
        <v>3304.43</v>
      </c>
      <c r="F1251" s="8"/>
      <c r="G1251"/>
      <c r="H1251"/>
      <c r="I1251"/>
      <c r="J1251"/>
      <c r="K1251"/>
      <c r="L1251"/>
      <c r="M1251"/>
      <c r="N1251"/>
      <c r="O1251"/>
    </row>
    <row r="1252" spans="1:15" s="44" customFormat="1" x14ac:dyDescent="0.3">
      <c r="A1252"/>
      <c r="B1252" t="s">
        <v>793</v>
      </c>
      <c r="C1252" s="44">
        <v>9</v>
      </c>
      <c r="D1252" s="7">
        <v>45730</v>
      </c>
      <c r="E1252" s="8">
        <v>800</v>
      </c>
      <c r="F1252" s="8"/>
      <c r="G1252"/>
      <c r="H1252"/>
      <c r="I1252"/>
      <c r="J1252"/>
      <c r="K1252"/>
      <c r="L1252"/>
      <c r="M1252"/>
      <c r="N1252"/>
      <c r="O1252"/>
    </row>
    <row r="1253" spans="1:15" s="44" customFormat="1" x14ac:dyDescent="0.3">
      <c r="A1253"/>
      <c r="B1253" t="s">
        <v>793</v>
      </c>
      <c r="C1253" s="135" t="s">
        <v>801</v>
      </c>
      <c r="D1253" s="7">
        <v>45838</v>
      </c>
      <c r="E1253" s="8">
        <v>554.29</v>
      </c>
      <c r="F1253" s="8"/>
      <c r="G1253"/>
      <c r="H1253"/>
      <c r="I1253"/>
      <c r="J1253"/>
      <c r="K1253"/>
      <c r="L1253"/>
      <c r="M1253"/>
      <c r="N1253"/>
      <c r="O1253"/>
    </row>
    <row r="1254" spans="1:15" s="44" customFormat="1" x14ac:dyDescent="0.3">
      <c r="A1254"/>
      <c r="B1254" t="s">
        <v>793</v>
      </c>
      <c r="C1254" s="135" t="s">
        <v>802</v>
      </c>
      <c r="D1254" s="7">
        <v>45838</v>
      </c>
      <c r="E1254" s="8">
        <v>373.7</v>
      </c>
      <c r="F1254" s="8"/>
      <c r="G1254"/>
      <c r="H1254"/>
      <c r="I1254"/>
      <c r="J1254"/>
      <c r="K1254"/>
      <c r="L1254"/>
      <c r="M1254"/>
      <c r="N1254"/>
      <c r="O1254"/>
    </row>
    <row r="1255" spans="1:15" s="44" customFormat="1" x14ac:dyDescent="0.3">
      <c r="A1255"/>
      <c r="B1255" t="s">
        <v>803</v>
      </c>
      <c r="C1255" s="135" t="s">
        <v>804</v>
      </c>
      <c r="D1255" s="7">
        <v>45450</v>
      </c>
      <c r="E1255" s="8">
        <v>-25.9</v>
      </c>
      <c r="F1255" s="8"/>
      <c r="G1255"/>
      <c r="H1255"/>
      <c r="I1255"/>
      <c r="J1255"/>
      <c r="K1255"/>
      <c r="L1255"/>
      <c r="M1255"/>
      <c r="N1255"/>
      <c r="O1255"/>
    </row>
    <row r="1256" spans="1:15" s="44" customFormat="1" x14ac:dyDescent="0.3">
      <c r="A1256"/>
      <c r="B1256" t="s">
        <v>803</v>
      </c>
      <c r="C1256" s="135" t="s">
        <v>805</v>
      </c>
      <c r="D1256" s="7">
        <v>45455</v>
      </c>
      <c r="E1256" s="8">
        <v>-55.7</v>
      </c>
      <c r="F1256" s="8"/>
      <c r="G1256"/>
      <c r="H1256"/>
      <c r="I1256"/>
      <c r="J1256"/>
      <c r="K1256"/>
      <c r="L1256"/>
      <c r="M1256"/>
      <c r="N1256"/>
      <c r="O1256"/>
    </row>
    <row r="1257" spans="1:15" s="44" customFormat="1" x14ac:dyDescent="0.3">
      <c r="A1257"/>
      <c r="B1257" t="s">
        <v>806</v>
      </c>
      <c r="C1257" s="44">
        <v>25040097</v>
      </c>
      <c r="D1257" s="7">
        <v>45810</v>
      </c>
      <c r="E1257" s="8">
        <v>51.5</v>
      </c>
      <c r="F1257" s="8"/>
      <c r="G1257"/>
      <c r="H1257"/>
      <c r="I1257"/>
      <c r="J1257"/>
      <c r="K1257"/>
      <c r="L1257"/>
      <c r="M1257"/>
      <c r="N1257"/>
      <c r="O1257"/>
    </row>
    <row r="1258" spans="1:15" s="44" customFormat="1" x14ac:dyDescent="0.3">
      <c r="A1258"/>
      <c r="B1258" t="s">
        <v>807</v>
      </c>
      <c r="C1258" s="135" t="s">
        <v>18</v>
      </c>
      <c r="D1258" s="7">
        <v>45609</v>
      </c>
      <c r="E1258" s="8">
        <v>-3221.76</v>
      </c>
      <c r="F1258" s="8"/>
      <c r="G1258"/>
      <c r="H1258"/>
      <c r="I1258"/>
      <c r="J1258"/>
      <c r="K1258"/>
      <c r="L1258"/>
      <c r="M1258"/>
      <c r="N1258"/>
      <c r="O1258"/>
    </row>
    <row r="1259" spans="1:15" s="44" customFormat="1" x14ac:dyDescent="0.3">
      <c r="A1259"/>
      <c r="B1259" t="s">
        <v>807</v>
      </c>
      <c r="C1259" s="135" t="s">
        <v>808</v>
      </c>
      <c r="D1259" s="7">
        <v>45700</v>
      </c>
      <c r="E1259" s="8">
        <v>-3110.12</v>
      </c>
      <c r="F1259" s="8"/>
      <c r="G1259"/>
      <c r="H1259"/>
      <c r="I1259"/>
      <c r="J1259"/>
      <c r="K1259"/>
      <c r="L1259"/>
      <c r="M1259"/>
      <c r="N1259"/>
      <c r="O1259"/>
    </row>
    <row r="1260" spans="1:15" s="44" customFormat="1" x14ac:dyDescent="0.3">
      <c r="A1260"/>
      <c r="B1260" t="s">
        <v>807</v>
      </c>
      <c r="C1260" s="44">
        <v>23</v>
      </c>
      <c r="D1260" s="7">
        <v>45800</v>
      </c>
      <c r="E1260" s="8">
        <v>-3650.96</v>
      </c>
      <c r="F1260" s="8"/>
      <c r="G1260"/>
      <c r="H1260"/>
      <c r="I1260"/>
      <c r="J1260"/>
      <c r="K1260"/>
      <c r="L1260"/>
      <c r="M1260"/>
      <c r="N1260"/>
      <c r="O1260"/>
    </row>
    <row r="1261" spans="1:15" s="44" customFormat="1" x14ac:dyDescent="0.3">
      <c r="A1261"/>
      <c r="B1261" t="s">
        <v>809</v>
      </c>
      <c r="C1261" s="138" t="s">
        <v>810</v>
      </c>
      <c r="D1261" s="7">
        <v>45792</v>
      </c>
      <c r="E1261" s="8">
        <v>-3949.02</v>
      </c>
      <c r="F1261" s="8"/>
      <c r="G1261"/>
      <c r="H1261"/>
      <c r="I1261"/>
      <c r="J1261"/>
      <c r="K1261"/>
      <c r="L1261"/>
      <c r="M1261"/>
      <c r="N1261"/>
      <c r="O1261"/>
    </row>
    <row r="1262" spans="1:15" s="44" customFormat="1" x14ac:dyDescent="0.3">
      <c r="A1262"/>
      <c r="B1262" t="s">
        <v>809</v>
      </c>
      <c r="C1262" s="44">
        <v>664</v>
      </c>
      <c r="D1262" s="7">
        <v>45834</v>
      </c>
      <c r="E1262" s="8">
        <v>-858.8</v>
      </c>
      <c r="F1262" s="8"/>
      <c r="G1262"/>
      <c r="H1262"/>
      <c r="I1262"/>
      <c r="J1262"/>
      <c r="K1262"/>
      <c r="L1262"/>
      <c r="M1262"/>
      <c r="N1262"/>
      <c r="O1262"/>
    </row>
    <row r="1263" spans="1:15" s="44" customFormat="1" x14ac:dyDescent="0.3">
      <c r="A1263"/>
      <c r="B1263" t="s">
        <v>811</v>
      </c>
      <c r="C1263" s="44">
        <v>210</v>
      </c>
      <c r="D1263" s="7">
        <v>45057</v>
      </c>
      <c r="E1263" s="8">
        <v>21041</v>
      </c>
      <c r="F1263" s="8"/>
      <c r="G1263"/>
      <c r="H1263"/>
      <c r="I1263"/>
      <c r="J1263"/>
      <c r="K1263"/>
      <c r="L1263"/>
      <c r="M1263"/>
      <c r="N1263"/>
      <c r="O1263"/>
    </row>
    <row r="1264" spans="1:15" s="44" customFormat="1" x14ac:dyDescent="0.3">
      <c r="A1264"/>
      <c r="B1264" t="s">
        <v>811</v>
      </c>
      <c r="C1264" s="135" t="s">
        <v>812</v>
      </c>
      <c r="D1264" s="7">
        <v>45084</v>
      </c>
      <c r="E1264" s="8">
        <v>45164</v>
      </c>
      <c r="F1264" s="8"/>
      <c r="G1264"/>
      <c r="H1264"/>
      <c r="I1264"/>
      <c r="J1264"/>
      <c r="K1264"/>
      <c r="L1264"/>
      <c r="M1264"/>
      <c r="N1264"/>
      <c r="O1264"/>
    </row>
    <row r="1265" spans="1:15" s="44" customFormat="1" x14ac:dyDescent="0.3">
      <c r="A1265"/>
      <c r="B1265" t="s">
        <v>811</v>
      </c>
      <c r="C1265" s="135" t="s">
        <v>813</v>
      </c>
      <c r="D1265" s="7">
        <v>45292</v>
      </c>
      <c r="E1265" s="8">
        <v>844.75</v>
      </c>
      <c r="F1265" s="8"/>
      <c r="G1265"/>
      <c r="H1265"/>
      <c r="I1265"/>
      <c r="J1265"/>
      <c r="K1265"/>
      <c r="L1265"/>
      <c r="M1265"/>
      <c r="N1265"/>
      <c r="O1265"/>
    </row>
    <row r="1266" spans="1:15" s="44" customFormat="1" x14ac:dyDescent="0.3">
      <c r="A1266"/>
      <c r="B1266" t="s">
        <v>811</v>
      </c>
      <c r="C1266" s="44">
        <v>20240106</v>
      </c>
      <c r="D1266" s="7">
        <v>45296</v>
      </c>
      <c r="E1266" s="8">
        <v>658.35</v>
      </c>
      <c r="F1266" s="8"/>
      <c r="G1266"/>
      <c r="H1266"/>
      <c r="I1266"/>
      <c r="J1266"/>
      <c r="K1266"/>
      <c r="L1266"/>
      <c r="M1266"/>
      <c r="N1266"/>
      <c r="O1266"/>
    </row>
    <row r="1267" spans="1:15" s="44" customFormat="1" x14ac:dyDescent="0.3">
      <c r="A1267"/>
      <c r="B1267" t="s">
        <v>814</v>
      </c>
      <c r="C1267" s="135" t="s">
        <v>815</v>
      </c>
      <c r="D1267" s="7">
        <v>44636</v>
      </c>
      <c r="E1267" s="8">
        <v>-177.5</v>
      </c>
      <c r="F1267" s="8"/>
      <c r="G1267"/>
      <c r="H1267"/>
      <c r="I1267"/>
      <c r="J1267"/>
      <c r="K1267"/>
      <c r="L1267"/>
      <c r="M1267"/>
      <c r="N1267"/>
      <c r="O1267"/>
    </row>
    <row r="1268" spans="1:15" s="44" customFormat="1" x14ac:dyDescent="0.3">
      <c r="A1268"/>
      <c r="B1268" t="s">
        <v>814</v>
      </c>
      <c r="C1268" s="135" t="s">
        <v>816</v>
      </c>
      <c r="D1268" s="7">
        <v>44659</v>
      </c>
      <c r="E1268" s="8">
        <v>-5992.38</v>
      </c>
      <c r="F1268" s="8"/>
      <c r="G1268"/>
      <c r="H1268"/>
      <c r="I1268"/>
      <c r="J1268"/>
      <c r="K1268"/>
      <c r="L1268"/>
      <c r="M1268"/>
      <c r="N1268"/>
      <c r="O1268"/>
    </row>
    <row r="1269" spans="1:15" s="44" customFormat="1" x14ac:dyDescent="0.3">
      <c r="A1269"/>
      <c r="B1269" t="s">
        <v>814</v>
      </c>
      <c r="C1269" s="135" t="s">
        <v>817</v>
      </c>
      <c r="D1269" s="7">
        <v>44797</v>
      </c>
      <c r="E1269" s="8">
        <v>-10500</v>
      </c>
      <c r="F1269" s="8"/>
      <c r="G1269"/>
      <c r="H1269"/>
      <c r="I1269"/>
      <c r="J1269"/>
      <c r="K1269"/>
      <c r="L1269"/>
      <c r="M1269"/>
      <c r="N1269"/>
      <c r="O1269"/>
    </row>
    <row r="1270" spans="1:15" s="44" customFormat="1" x14ac:dyDescent="0.3">
      <c r="A1270"/>
      <c r="B1270" t="s">
        <v>814</v>
      </c>
      <c r="C1270" s="135" t="s">
        <v>818</v>
      </c>
      <c r="D1270" s="7">
        <v>45351</v>
      </c>
      <c r="E1270" s="8">
        <v>-4113.66</v>
      </c>
      <c r="F1270" s="8"/>
      <c r="G1270"/>
      <c r="H1270"/>
      <c r="I1270"/>
      <c r="J1270"/>
      <c r="K1270"/>
      <c r="L1270"/>
      <c r="M1270"/>
      <c r="N1270"/>
      <c r="O1270"/>
    </row>
    <row r="1271" spans="1:15" s="44" customFormat="1" x14ac:dyDescent="0.3">
      <c r="A1271"/>
      <c r="B1271" t="s">
        <v>819</v>
      </c>
      <c r="C1271" s="135" t="s">
        <v>87</v>
      </c>
      <c r="D1271" s="7">
        <v>45441</v>
      </c>
      <c r="E1271" s="8">
        <v>-9.16</v>
      </c>
      <c r="F1271" s="8"/>
      <c r="G1271"/>
      <c r="H1271"/>
      <c r="I1271"/>
      <c r="J1271"/>
      <c r="K1271"/>
      <c r="L1271"/>
      <c r="M1271"/>
      <c r="N1271"/>
      <c r="O1271"/>
    </row>
    <row r="1272" spans="1:15" s="44" customFormat="1" x14ac:dyDescent="0.3">
      <c r="A1272"/>
      <c r="B1272" t="s">
        <v>819</v>
      </c>
      <c r="C1272" s="135" t="s">
        <v>820</v>
      </c>
      <c r="D1272" s="7">
        <v>45443</v>
      </c>
      <c r="E1272" s="8">
        <v>7685.4</v>
      </c>
      <c r="F1272" s="8"/>
      <c r="G1272"/>
      <c r="H1272"/>
      <c r="I1272"/>
      <c r="J1272"/>
      <c r="K1272"/>
      <c r="L1272"/>
      <c r="M1272"/>
      <c r="N1272"/>
      <c r="O1272"/>
    </row>
    <row r="1273" spans="1:15" s="44" customFormat="1" x14ac:dyDescent="0.3">
      <c r="A1273"/>
      <c r="B1273" t="s">
        <v>819</v>
      </c>
      <c r="C1273" s="135" t="s">
        <v>821</v>
      </c>
      <c r="D1273" s="7">
        <v>45483</v>
      </c>
      <c r="E1273" s="8">
        <v>-6064.03</v>
      </c>
      <c r="F1273" s="8"/>
      <c r="G1273"/>
      <c r="H1273"/>
      <c r="I1273"/>
      <c r="J1273"/>
      <c r="K1273"/>
      <c r="L1273"/>
      <c r="M1273"/>
      <c r="N1273"/>
      <c r="O1273"/>
    </row>
    <row r="1274" spans="1:15" s="44" customFormat="1" x14ac:dyDescent="0.3">
      <c r="A1274"/>
      <c r="B1274" t="s">
        <v>819</v>
      </c>
      <c r="C1274" s="135" t="s">
        <v>822</v>
      </c>
      <c r="D1274" s="7">
        <v>45578</v>
      </c>
      <c r="E1274" s="8">
        <v>5724.48</v>
      </c>
      <c r="F1274" s="8"/>
      <c r="G1274"/>
      <c r="H1274"/>
      <c r="I1274"/>
      <c r="J1274"/>
      <c r="K1274"/>
      <c r="L1274"/>
      <c r="M1274"/>
      <c r="N1274"/>
      <c r="O1274"/>
    </row>
    <row r="1275" spans="1:15" s="44" customFormat="1" x14ac:dyDescent="0.3">
      <c r="A1275"/>
      <c r="B1275" t="s">
        <v>819</v>
      </c>
      <c r="C1275" s="138" t="s">
        <v>823</v>
      </c>
      <c r="D1275" s="7">
        <v>45589</v>
      </c>
      <c r="E1275" s="8">
        <v>-822.86</v>
      </c>
      <c r="F1275" s="8"/>
      <c r="G1275"/>
      <c r="H1275"/>
      <c r="I1275"/>
      <c r="J1275"/>
      <c r="K1275"/>
      <c r="L1275"/>
      <c r="M1275"/>
      <c r="N1275"/>
      <c r="O1275"/>
    </row>
    <row r="1276" spans="1:15" s="44" customFormat="1" x14ac:dyDescent="0.3">
      <c r="A1276"/>
      <c r="B1276" t="s">
        <v>819</v>
      </c>
      <c r="C1276" s="135" t="s">
        <v>824</v>
      </c>
      <c r="D1276" s="7">
        <v>45595</v>
      </c>
      <c r="E1276" s="8">
        <v>-4659.12</v>
      </c>
      <c r="F1276" s="8"/>
      <c r="G1276"/>
      <c r="H1276"/>
      <c r="I1276"/>
      <c r="J1276"/>
      <c r="K1276"/>
      <c r="L1276"/>
      <c r="M1276"/>
      <c r="N1276"/>
      <c r="O1276"/>
    </row>
    <row r="1277" spans="1:15" s="44" customFormat="1" x14ac:dyDescent="0.3">
      <c r="A1277"/>
      <c r="B1277" t="s">
        <v>819</v>
      </c>
      <c r="C1277" s="135" t="s">
        <v>824</v>
      </c>
      <c r="D1277" s="7">
        <v>45595</v>
      </c>
      <c r="E1277" s="8">
        <v>-1550.7</v>
      </c>
      <c r="F1277" s="8"/>
      <c r="G1277"/>
      <c r="H1277"/>
      <c r="I1277"/>
      <c r="J1277"/>
      <c r="K1277"/>
      <c r="L1277"/>
      <c r="M1277"/>
      <c r="N1277"/>
      <c r="O1277"/>
    </row>
    <row r="1278" spans="1:15" s="44" customFormat="1" x14ac:dyDescent="0.3">
      <c r="A1278"/>
      <c r="B1278" t="s">
        <v>819</v>
      </c>
      <c r="C1278" s="135" t="s">
        <v>825</v>
      </c>
      <c r="D1278" s="7">
        <v>45604</v>
      </c>
      <c r="E1278" s="8">
        <v>-8281</v>
      </c>
      <c r="F1278" s="8"/>
      <c r="G1278"/>
      <c r="H1278"/>
      <c r="I1278"/>
      <c r="J1278"/>
      <c r="K1278"/>
      <c r="L1278"/>
      <c r="M1278"/>
      <c r="N1278"/>
      <c r="O1278"/>
    </row>
    <row r="1279" spans="1:15" s="44" customFormat="1" x14ac:dyDescent="0.3">
      <c r="A1279"/>
      <c r="B1279" t="s">
        <v>819</v>
      </c>
      <c r="C1279" s="135" t="s">
        <v>825</v>
      </c>
      <c r="D1279" s="7">
        <v>45604</v>
      </c>
      <c r="E1279" s="8">
        <v>-5806.45</v>
      </c>
      <c r="F1279" s="8"/>
      <c r="G1279"/>
      <c r="H1279"/>
      <c r="I1279"/>
      <c r="J1279"/>
      <c r="K1279"/>
      <c r="L1279"/>
      <c r="M1279"/>
      <c r="N1279"/>
      <c r="O1279"/>
    </row>
    <row r="1280" spans="1:15" s="44" customFormat="1" x14ac:dyDescent="0.3">
      <c r="A1280"/>
      <c r="B1280" t="s">
        <v>819</v>
      </c>
      <c r="C1280" s="135" t="s">
        <v>825</v>
      </c>
      <c r="D1280" s="7">
        <v>45604</v>
      </c>
      <c r="E1280" s="8">
        <v>-1562.4</v>
      </c>
      <c r="F1280" s="8"/>
      <c r="G1280"/>
      <c r="H1280"/>
      <c r="I1280"/>
      <c r="J1280"/>
      <c r="K1280"/>
      <c r="L1280"/>
      <c r="M1280"/>
      <c r="N1280"/>
      <c r="O1280"/>
    </row>
    <row r="1281" spans="1:15" s="44" customFormat="1" x14ac:dyDescent="0.3">
      <c r="A1281"/>
      <c r="B1281" t="s">
        <v>819</v>
      </c>
      <c r="C1281" s="135" t="s">
        <v>18</v>
      </c>
      <c r="D1281" s="7">
        <v>45609</v>
      </c>
      <c r="E1281" s="8">
        <v>-16925.3</v>
      </c>
      <c r="F1281" s="8"/>
      <c r="G1281"/>
      <c r="H1281"/>
      <c r="I1281"/>
      <c r="J1281"/>
      <c r="K1281"/>
      <c r="L1281"/>
      <c r="M1281"/>
      <c r="N1281"/>
      <c r="O1281"/>
    </row>
    <row r="1282" spans="1:15" s="44" customFormat="1" x14ac:dyDescent="0.3">
      <c r="A1282"/>
      <c r="B1282" t="s">
        <v>819</v>
      </c>
      <c r="C1282" s="135" t="s">
        <v>18</v>
      </c>
      <c r="D1282" s="7">
        <v>45609</v>
      </c>
      <c r="E1282" s="8">
        <v>-4594.8500000000004</v>
      </c>
      <c r="F1282" s="8"/>
      <c r="G1282"/>
      <c r="H1282"/>
      <c r="I1282"/>
      <c r="J1282"/>
      <c r="K1282"/>
      <c r="L1282"/>
      <c r="M1282"/>
      <c r="N1282"/>
      <c r="O1282"/>
    </row>
    <row r="1283" spans="1:15" s="44" customFormat="1" x14ac:dyDescent="0.3">
      <c r="A1283"/>
      <c r="B1283" t="s">
        <v>819</v>
      </c>
      <c r="C1283" s="135" t="s">
        <v>826</v>
      </c>
      <c r="D1283" s="7">
        <v>45614</v>
      </c>
      <c r="E1283" s="8">
        <v>-5938.02</v>
      </c>
      <c r="F1283" s="8"/>
      <c r="G1283"/>
      <c r="H1283"/>
      <c r="I1283"/>
      <c r="J1283"/>
      <c r="K1283"/>
      <c r="L1283"/>
      <c r="M1283"/>
      <c r="N1283"/>
      <c r="O1283"/>
    </row>
    <row r="1284" spans="1:15" s="44" customFormat="1" x14ac:dyDescent="0.3">
      <c r="A1284"/>
      <c r="B1284" t="s">
        <v>819</v>
      </c>
      <c r="C1284" s="135" t="s">
        <v>826</v>
      </c>
      <c r="D1284" s="7">
        <v>45614</v>
      </c>
      <c r="E1284" s="8">
        <v>-6230.7</v>
      </c>
      <c r="F1284" s="8"/>
      <c r="G1284"/>
      <c r="H1284"/>
      <c r="I1284"/>
      <c r="J1284"/>
      <c r="K1284"/>
      <c r="L1284"/>
      <c r="M1284"/>
      <c r="N1284"/>
      <c r="O1284"/>
    </row>
    <row r="1285" spans="1:15" s="44" customFormat="1" x14ac:dyDescent="0.3">
      <c r="A1285"/>
      <c r="B1285" t="s">
        <v>819</v>
      </c>
      <c r="C1285" s="135" t="s">
        <v>826</v>
      </c>
      <c r="D1285" s="7">
        <v>45614</v>
      </c>
      <c r="E1285" s="8">
        <v>-1139.7</v>
      </c>
      <c r="F1285" s="8"/>
      <c r="G1285"/>
      <c r="H1285"/>
      <c r="I1285"/>
      <c r="J1285"/>
      <c r="K1285"/>
      <c r="L1285"/>
      <c r="M1285"/>
      <c r="N1285"/>
      <c r="O1285"/>
    </row>
    <row r="1286" spans="1:15" s="44" customFormat="1" x14ac:dyDescent="0.3">
      <c r="A1286"/>
      <c r="B1286" t="s">
        <v>819</v>
      </c>
      <c r="C1286" s="44">
        <v>41403</v>
      </c>
      <c r="D1286" s="7">
        <v>45642</v>
      </c>
      <c r="E1286" s="8">
        <v>-10885.61</v>
      </c>
      <c r="F1286" s="8"/>
      <c r="G1286"/>
      <c r="H1286"/>
      <c r="I1286"/>
      <c r="J1286"/>
      <c r="K1286"/>
      <c r="L1286"/>
      <c r="M1286"/>
      <c r="N1286"/>
      <c r="O1286"/>
    </row>
    <row r="1287" spans="1:15" s="44" customFormat="1" x14ac:dyDescent="0.3">
      <c r="A1287"/>
      <c r="B1287" t="s">
        <v>819</v>
      </c>
      <c r="C1287" s="135" t="s">
        <v>827</v>
      </c>
      <c r="D1287" s="7">
        <v>45645</v>
      </c>
      <c r="E1287" s="8">
        <v>-534</v>
      </c>
      <c r="F1287" s="8"/>
      <c r="G1287"/>
      <c r="H1287"/>
      <c r="I1287"/>
      <c r="J1287"/>
      <c r="K1287"/>
      <c r="L1287"/>
      <c r="M1287"/>
      <c r="N1287"/>
      <c r="O1287"/>
    </row>
    <row r="1288" spans="1:15" s="44" customFormat="1" x14ac:dyDescent="0.3">
      <c r="A1288"/>
      <c r="B1288" t="s">
        <v>819</v>
      </c>
      <c r="C1288" s="138" t="s">
        <v>828</v>
      </c>
      <c r="D1288" s="7">
        <v>45657</v>
      </c>
      <c r="E1288" s="8">
        <v>-3289.33</v>
      </c>
      <c r="F1288" s="8"/>
      <c r="G1288"/>
      <c r="H1288"/>
      <c r="I1288"/>
      <c r="J1288"/>
      <c r="K1288"/>
      <c r="L1288"/>
      <c r="M1288"/>
      <c r="N1288"/>
      <c r="O1288"/>
    </row>
    <row r="1289" spans="1:15" s="44" customFormat="1" x14ac:dyDescent="0.3">
      <c r="A1289"/>
      <c r="B1289" t="s">
        <v>819</v>
      </c>
      <c r="C1289" s="135" t="s">
        <v>829</v>
      </c>
      <c r="D1289" s="7">
        <v>45665</v>
      </c>
      <c r="E1289" s="8">
        <v>-24479.56</v>
      </c>
      <c r="F1289" s="8"/>
      <c r="G1289"/>
      <c r="H1289"/>
      <c r="I1289"/>
      <c r="J1289"/>
      <c r="K1289"/>
      <c r="L1289"/>
      <c r="M1289"/>
      <c r="N1289"/>
      <c r="O1289"/>
    </row>
    <row r="1290" spans="1:15" s="44" customFormat="1" x14ac:dyDescent="0.3">
      <c r="A1290"/>
      <c r="B1290" t="s">
        <v>819</v>
      </c>
      <c r="C1290" s="135" t="s">
        <v>830</v>
      </c>
      <c r="D1290" s="7">
        <v>45670</v>
      </c>
      <c r="E1290" s="8">
        <v>-7601.53</v>
      </c>
      <c r="F1290" s="8"/>
      <c r="G1290"/>
      <c r="H1290"/>
      <c r="I1290"/>
      <c r="J1290"/>
      <c r="K1290"/>
      <c r="L1290"/>
      <c r="M1290"/>
      <c r="N1290"/>
      <c r="O1290"/>
    </row>
    <row r="1291" spans="1:15" s="44" customFormat="1" x14ac:dyDescent="0.3">
      <c r="A1291"/>
      <c r="B1291" t="s">
        <v>819</v>
      </c>
      <c r="C1291" s="135" t="s">
        <v>830</v>
      </c>
      <c r="D1291" s="7">
        <v>45670</v>
      </c>
      <c r="E1291" s="8">
        <v>-165.96</v>
      </c>
      <c r="F1291" s="8"/>
      <c r="G1291"/>
      <c r="H1291"/>
      <c r="I1291"/>
      <c r="J1291"/>
      <c r="K1291"/>
      <c r="L1291"/>
      <c r="M1291"/>
      <c r="N1291"/>
      <c r="O1291"/>
    </row>
    <row r="1292" spans="1:15" s="44" customFormat="1" x14ac:dyDescent="0.3">
      <c r="A1292"/>
      <c r="B1292" t="s">
        <v>819</v>
      </c>
      <c r="C1292" s="135" t="s">
        <v>831</v>
      </c>
      <c r="D1292" s="7">
        <v>45676</v>
      </c>
      <c r="E1292" s="8">
        <v>280</v>
      </c>
      <c r="F1292" s="8"/>
      <c r="G1292"/>
      <c r="H1292"/>
      <c r="I1292"/>
      <c r="J1292"/>
      <c r="K1292"/>
      <c r="L1292"/>
      <c r="M1292"/>
      <c r="N1292"/>
      <c r="O1292"/>
    </row>
    <row r="1293" spans="1:15" s="44" customFormat="1" x14ac:dyDescent="0.3">
      <c r="A1293"/>
      <c r="B1293" t="s">
        <v>819</v>
      </c>
      <c r="C1293" s="135" t="s">
        <v>832</v>
      </c>
      <c r="D1293" s="7">
        <v>45679</v>
      </c>
      <c r="E1293" s="8">
        <v>17.04</v>
      </c>
      <c r="F1293" s="8"/>
      <c r="G1293"/>
      <c r="H1293"/>
      <c r="I1293"/>
      <c r="J1293"/>
      <c r="K1293"/>
      <c r="L1293"/>
      <c r="M1293"/>
      <c r="N1293"/>
      <c r="O1293"/>
    </row>
    <row r="1294" spans="1:15" s="44" customFormat="1" x14ac:dyDescent="0.3">
      <c r="A1294"/>
      <c r="B1294" t="s">
        <v>819</v>
      </c>
      <c r="C1294" s="135" t="s">
        <v>832</v>
      </c>
      <c r="D1294" s="7">
        <v>45679</v>
      </c>
      <c r="E1294" s="8">
        <v>60</v>
      </c>
      <c r="F1294" s="8"/>
      <c r="G1294"/>
      <c r="H1294"/>
      <c r="I1294"/>
      <c r="J1294"/>
      <c r="K1294"/>
      <c r="L1294"/>
      <c r="M1294"/>
      <c r="N1294"/>
      <c r="O1294"/>
    </row>
    <row r="1295" spans="1:15" s="44" customFormat="1" x14ac:dyDescent="0.3">
      <c r="A1295"/>
      <c r="B1295" t="s">
        <v>819</v>
      </c>
      <c r="C1295" s="135" t="s">
        <v>833</v>
      </c>
      <c r="D1295" s="7">
        <v>45679</v>
      </c>
      <c r="E1295" s="8">
        <v>4348.37</v>
      </c>
      <c r="F1295" s="8"/>
      <c r="G1295"/>
      <c r="H1295"/>
      <c r="I1295"/>
      <c r="J1295"/>
      <c r="K1295"/>
      <c r="L1295"/>
      <c r="M1295"/>
      <c r="N1295"/>
      <c r="O1295"/>
    </row>
    <row r="1296" spans="1:15" s="44" customFormat="1" x14ac:dyDescent="0.3">
      <c r="A1296"/>
      <c r="B1296" t="s">
        <v>819</v>
      </c>
      <c r="C1296" s="135" t="s">
        <v>833</v>
      </c>
      <c r="D1296" s="7">
        <v>45679</v>
      </c>
      <c r="E1296" s="8">
        <v>726</v>
      </c>
      <c r="F1296" s="8"/>
      <c r="G1296"/>
      <c r="H1296"/>
      <c r="I1296"/>
      <c r="J1296"/>
      <c r="K1296"/>
      <c r="L1296"/>
      <c r="M1296"/>
      <c r="N1296"/>
      <c r="O1296"/>
    </row>
    <row r="1297" spans="1:15" s="44" customFormat="1" x14ac:dyDescent="0.3">
      <c r="A1297"/>
      <c r="B1297" t="s">
        <v>819</v>
      </c>
      <c r="C1297" s="135" t="s">
        <v>834</v>
      </c>
      <c r="D1297" s="7">
        <v>45693</v>
      </c>
      <c r="E1297" s="8">
        <v>-1562.48</v>
      </c>
      <c r="F1297" s="8"/>
      <c r="G1297"/>
      <c r="H1297"/>
      <c r="I1297"/>
      <c r="J1297"/>
      <c r="K1297"/>
      <c r="L1297"/>
      <c r="M1297"/>
      <c r="N1297"/>
      <c r="O1297"/>
    </row>
    <row r="1298" spans="1:15" s="44" customFormat="1" x14ac:dyDescent="0.3">
      <c r="A1298"/>
      <c r="B1298" t="s">
        <v>819</v>
      </c>
      <c r="C1298" s="135" t="s">
        <v>834</v>
      </c>
      <c r="D1298" s="7">
        <v>45693</v>
      </c>
      <c r="E1298" s="8">
        <v>-1773.67</v>
      </c>
      <c r="F1298" s="8"/>
      <c r="G1298"/>
      <c r="H1298"/>
      <c r="I1298"/>
      <c r="J1298"/>
      <c r="K1298"/>
      <c r="L1298"/>
      <c r="M1298"/>
      <c r="N1298"/>
      <c r="O1298"/>
    </row>
    <row r="1299" spans="1:15" s="44" customFormat="1" x14ac:dyDescent="0.3">
      <c r="A1299"/>
      <c r="B1299" t="s">
        <v>819</v>
      </c>
      <c r="C1299" s="135" t="s">
        <v>834</v>
      </c>
      <c r="D1299" s="7">
        <v>45693</v>
      </c>
      <c r="E1299" s="8">
        <v>-2998.26</v>
      </c>
      <c r="F1299" s="8"/>
      <c r="G1299"/>
      <c r="H1299"/>
      <c r="I1299"/>
      <c r="J1299"/>
      <c r="K1299"/>
      <c r="L1299"/>
      <c r="M1299"/>
      <c r="N1299"/>
      <c r="O1299"/>
    </row>
    <row r="1300" spans="1:15" s="44" customFormat="1" x14ac:dyDescent="0.3">
      <c r="A1300"/>
      <c r="B1300" t="s">
        <v>819</v>
      </c>
      <c r="C1300" s="135" t="s">
        <v>835</v>
      </c>
      <c r="D1300" s="7">
        <v>45710</v>
      </c>
      <c r="E1300" s="8">
        <v>441.6</v>
      </c>
      <c r="F1300" s="8"/>
      <c r="G1300"/>
      <c r="H1300"/>
      <c r="I1300"/>
      <c r="J1300"/>
      <c r="K1300"/>
      <c r="L1300"/>
      <c r="M1300"/>
      <c r="N1300"/>
      <c r="O1300"/>
    </row>
    <row r="1301" spans="1:15" s="44" customFormat="1" x14ac:dyDescent="0.3">
      <c r="A1301"/>
      <c r="B1301" t="s">
        <v>819</v>
      </c>
      <c r="C1301" s="135" t="s">
        <v>836</v>
      </c>
      <c r="D1301" s="7">
        <v>45723</v>
      </c>
      <c r="E1301" s="8">
        <v>-176268.73</v>
      </c>
      <c r="F1301" s="8"/>
      <c r="G1301"/>
      <c r="H1301"/>
      <c r="I1301"/>
      <c r="J1301"/>
      <c r="K1301"/>
      <c r="L1301"/>
      <c r="M1301"/>
      <c r="N1301"/>
      <c r="O1301"/>
    </row>
    <row r="1302" spans="1:15" s="44" customFormat="1" x14ac:dyDescent="0.3">
      <c r="A1302"/>
      <c r="B1302" t="s">
        <v>819</v>
      </c>
      <c r="C1302" s="135" t="s">
        <v>836</v>
      </c>
      <c r="D1302" s="7">
        <v>45723</v>
      </c>
      <c r="E1302" s="8">
        <v>-26400.97</v>
      </c>
      <c r="F1302" s="8"/>
      <c r="G1302"/>
      <c r="H1302"/>
      <c r="I1302"/>
      <c r="J1302"/>
      <c r="K1302"/>
      <c r="L1302"/>
      <c r="M1302"/>
      <c r="N1302"/>
      <c r="O1302"/>
    </row>
    <row r="1303" spans="1:15" s="44" customFormat="1" x14ac:dyDescent="0.3">
      <c r="A1303"/>
      <c r="B1303" t="s">
        <v>819</v>
      </c>
      <c r="C1303" s="135" t="s">
        <v>837</v>
      </c>
      <c r="D1303" s="7">
        <v>45734</v>
      </c>
      <c r="E1303" s="8">
        <v>-1954.08</v>
      </c>
      <c r="F1303" s="8"/>
      <c r="G1303"/>
      <c r="H1303"/>
      <c r="I1303"/>
      <c r="J1303"/>
      <c r="K1303"/>
      <c r="L1303"/>
      <c r="M1303"/>
      <c r="N1303"/>
      <c r="O1303"/>
    </row>
    <row r="1304" spans="1:15" s="44" customFormat="1" x14ac:dyDescent="0.3">
      <c r="A1304"/>
      <c r="B1304" t="s">
        <v>819</v>
      </c>
      <c r="C1304" s="135" t="s">
        <v>837</v>
      </c>
      <c r="D1304" s="7">
        <v>45734</v>
      </c>
      <c r="E1304" s="8">
        <v>-2563.65</v>
      </c>
      <c r="F1304" s="8"/>
      <c r="G1304"/>
      <c r="H1304"/>
      <c r="I1304"/>
      <c r="J1304"/>
      <c r="K1304"/>
      <c r="L1304"/>
      <c r="M1304"/>
      <c r="N1304"/>
      <c r="O1304"/>
    </row>
    <row r="1305" spans="1:15" s="44" customFormat="1" x14ac:dyDescent="0.3">
      <c r="A1305"/>
      <c r="B1305" t="s">
        <v>819</v>
      </c>
      <c r="C1305" s="135" t="s">
        <v>837</v>
      </c>
      <c r="D1305" s="7">
        <v>45734</v>
      </c>
      <c r="E1305" s="8">
        <v>-1561.5</v>
      </c>
      <c r="F1305" s="8"/>
      <c r="G1305"/>
      <c r="H1305"/>
      <c r="I1305"/>
      <c r="J1305"/>
      <c r="K1305"/>
      <c r="L1305"/>
      <c r="M1305"/>
      <c r="N1305"/>
      <c r="O1305"/>
    </row>
    <row r="1306" spans="1:15" s="44" customFormat="1" x14ac:dyDescent="0.3">
      <c r="A1306"/>
      <c r="B1306" t="s">
        <v>819</v>
      </c>
      <c r="C1306" s="135" t="s">
        <v>837</v>
      </c>
      <c r="D1306" s="7">
        <v>45734</v>
      </c>
      <c r="E1306" s="8">
        <v>-12664.37</v>
      </c>
      <c r="F1306" s="8"/>
      <c r="G1306"/>
      <c r="H1306"/>
      <c r="I1306"/>
      <c r="J1306"/>
      <c r="K1306"/>
      <c r="L1306"/>
      <c r="M1306"/>
      <c r="N1306"/>
      <c r="O1306"/>
    </row>
    <row r="1307" spans="1:15" s="44" customFormat="1" x14ac:dyDescent="0.3">
      <c r="A1307"/>
      <c r="B1307" t="s">
        <v>819</v>
      </c>
      <c r="C1307" s="135" t="s">
        <v>837</v>
      </c>
      <c r="D1307" s="7">
        <v>45734</v>
      </c>
      <c r="E1307" s="8">
        <v>-190.2</v>
      </c>
      <c r="F1307" s="8"/>
      <c r="G1307"/>
      <c r="H1307"/>
      <c r="I1307"/>
      <c r="J1307"/>
      <c r="K1307"/>
      <c r="L1307"/>
      <c r="M1307"/>
      <c r="N1307"/>
      <c r="O1307"/>
    </row>
    <row r="1308" spans="1:15" s="44" customFormat="1" x14ac:dyDescent="0.3">
      <c r="A1308"/>
      <c r="B1308" t="s">
        <v>819</v>
      </c>
      <c r="C1308" s="135" t="s">
        <v>837</v>
      </c>
      <c r="D1308" s="7">
        <v>45734</v>
      </c>
      <c r="E1308" s="8">
        <v>-1606.92</v>
      </c>
      <c r="F1308" s="8"/>
      <c r="G1308"/>
      <c r="H1308"/>
      <c r="I1308"/>
      <c r="J1308"/>
      <c r="K1308"/>
      <c r="L1308"/>
      <c r="M1308"/>
      <c r="N1308"/>
      <c r="O1308"/>
    </row>
    <row r="1309" spans="1:15" s="44" customFormat="1" x14ac:dyDescent="0.3">
      <c r="A1309"/>
      <c r="B1309" t="s">
        <v>819</v>
      </c>
      <c r="C1309" s="135" t="s">
        <v>837</v>
      </c>
      <c r="D1309" s="7">
        <v>45734</v>
      </c>
      <c r="E1309" s="8">
        <v>-618</v>
      </c>
      <c r="F1309" s="8"/>
      <c r="G1309"/>
      <c r="H1309"/>
      <c r="I1309"/>
      <c r="J1309"/>
      <c r="K1309"/>
      <c r="L1309"/>
      <c r="M1309"/>
      <c r="N1309"/>
      <c r="O1309"/>
    </row>
    <row r="1310" spans="1:15" s="44" customFormat="1" x14ac:dyDescent="0.3">
      <c r="A1310"/>
      <c r="B1310" t="s">
        <v>819</v>
      </c>
      <c r="C1310" s="135" t="s">
        <v>838</v>
      </c>
      <c r="D1310" s="7">
        <v>45736</v>
      </c>
      <c r="E1310" s="8">
        <v>-17569.79</v>
      </c>
      <c r="F1310" s="8"/>
      <c r="G1310"/>
      <c r="H1310"/>
      <c r="I1310"/>
      <c r="J1310"/>
      <c r="K1310"/>
      <c r="L1310"/>
      <c r="M1310"/>
      <c r="N1310"/>
      <c r="O1310"/>
    </row>
    <row r="1311" spans="1:15" s="44" customFormat="1" x14ac:dyDescent="0.3">
      <c r="A1311"/>
      <c r="B1311" t="s">
        <v>819</v>
      </c>
      <c r="C1311" s="135" t="s">
        <v>838</v>
      </c>
      <c r="D1311" s="7">
        <v>45736</v>
      </c>
      <c r="E1311" s="8">
        <v>-20063.7</v>
      </c>
      <c r="F1311" s="8"/>
      <c r="G1311"/>
      <c r="H1311"/>
      <c r="I1311"/>
      <c r="J1311"/>
      <c r="K1311"/>
      <c r="L1311"/>
      <c r="M1311"/>
      <c r="N1311"/>
      <c r="O1311"/>
    </row>
    <row r="1312" spans="1:15" s="44" customFormat="1" x14ac:dyDescent="0.3">
      <c r="A1312"/>
      <c r="B1312" t="s">
        <v>819</v>
      </c>
      <c r="C1312" s="135" t="s">
        <v>838</v>
      </c>
      <c r="D1312" s="7">
        <v>45736</v>
      </c>
      <c r="E1312" s="8">
        <v>-18648</v>
      </c>
      <c r="F1312" s="8"/>
      <c r="G1312"/>
      <c r="H1312"/>
      <c r="I1312"/>
      <c r="J1312"/>
      <c r="K1312"/>
      <c r="L1312"/>
      <c r="M1312"/>
      <c r="N1312"/>
      <c r="O1312"/>
    </row>
    <row r="1313" spans="1:15" s="44" customFormat="1" x14ac:dyDescent="0.3">
      <c r="A1313"/>
      <c r="B1313" t="s">
        <v>819</v>
      </c>
      <c r="C1313" s="135" t="s">
        <v>839</v>
      </c>
      <c r="D1313" s="7">
        <v>45742</v>
      </c>
      <c r="E1313" s="8">
        <v>730</v>
      </c>
      <c r="F1313" s="8"/>
      <c r="G1313"/>
      <c r="H1313"/>
      <c r="I1313"/>
      <c r="J1313"/>
      <c r="K1313"/>
      <c r="L1313"/>
      <c r="M1313"/>
      <c r="N1313"/>
      <c r="O1313"/>
    </row>
    <row r="1314" spans="1:15" s="44" customFormat="1" x14ac:dyDescent="0.3">
      <c r="A1314"/>
      <c r="B1314" t="s">
        <v>819</v>
      </c>
      <c r="C1314" s="135" t="s">
        <v>840</v>
      </c>
      <c r="D1314" s="7">
        <v>45743</v>
      </c>
      <c r="E1314" s="8">
        <v>4000</v>
      </c>
      <c r="F1314" s="8"/>
      <c r="G1314"/>
      <c r="H1314"/>
      <c r="I1314"/>
      <c r="J1314"/>
      <c r="K1314"/>
      <c r="L1314"/>
      <c r="M1314"/>
      <c r="N1314"/>
      <c r="O1314"/>
    </row>
    <row r="1315" spans="1:15" s="44" customFormat="1" x14ac:dyDescent="0.3">
      <c r="A1315"/>
      <c r="B1315" t="s">
        <v>819</v>
      </c>
      <c r="C1315" s="135" t="s">
        <v>564</v>
      </c>
      <c r="D1315" s="7">
        <v>45749</v>
      </c>
      <c r="E1315" s="8">
        <v>-1170</v>
      </c>
      <c r="F1315" s="8"/>
      <c r="G1315"/>
      <c r="H1315"/>
      <c r="I1315"/>
      <c r="J1315"/>
      <c r="K1315"/>
      <c r="L1315"/>
      <c r="M1315"/>
      <c r="N1315"/>
      <c r="O1315"/>
    </row>
    <row r="1316" spans="1:15" s="44" customFormat="1" x14ac:dyDescent="0.3">
      <c r="A1316"/>
      <c r="B1316" t="s">
        <v>819</v>
      </c>
      <c r="C1316" s="135" t="s">
        <v>767</v>
      </c>
      <c r="D1316" s="7">
        <v>45750</v>
      </c>
      <c r="E1316" s="8">
        <v>-5781.58</v>
      </c>
      <c r="F1316" s="8"/>
      <c r="G1316"/>
      <c r="H1316"/>
      <c r="I1316"/>
      <c r="J1316"/>
      <c r="K1316"/>
      <c r="L1316"/>
      <c r="M1316"/>
      <c r="N1316"/>
      <c r="O1316"/>
    </row>
    <row r="1317" spans="1:15" s="44" customFormat="1" x14ac:dyDescent="0.3">
      <c r="A1317"/>
      <c r="B1317" t="s">
        <v>819</v>
      </c>
      <c r="C1317" s="135" t="s">
        <v>767</v>
      </c>
      <c r="D1317" s="7">
        <v>45750</v>
      </c>
      <c r="E1317" s="8">
        <v>-3038.35</v>
      </c>
      <c r="F1317" s="8"/>
      <c r="G1317"/>
      <c r="H1317"/>
      <c r="I1317"/>
      <c r="J1317"/>
      <c r="K1317"/>
      <c r="L1317"/>
      <c r="M1317"/>
      <c r="N1317"/>
      <c r="O1317"/>
    </row>
    <row r="1318" spans="1:15" s="44" customFormat="1" x14ac:dyDescent="0.3">
      <c r="A1318"/>
      <c r="B1318" t="s">
        <v>819</v>
      </c>
      <c r="C1318" s="135" t="s">
        <v>767</v>
      </c>
      <c r="D1318" s="7">
        <v>45750</v>
      </c>
      <c r="E1318" s="8">
        <v>-143.22</v>
      </c>
      <c r="F1318" s="8"/>
      <c r="G1318"/>
      <c r="H1318"/>
      <c r="I1318"/>
      <c r="J1318"/>
      <c r="K1318"/>
      <c r="L1318"/>
      <c r="M1318"/>
      <c r="N1318"/>
      <c r="O1318"/>
    </row>
    <row r="1319" spans="1:15" s="44" customFormat="1" x14ac:dyDescent="0.3">
      <c r="A1319"/>
      <c r="B1319" t="s">
        <v>819</v>
      </c>
      <c r="C1319" s="135" t="s">
        <v>767</v>
      </c>
      <c r="D1319" s="7">
        <v>45750</v>
      </c>
      <c r="E1319" s="8">
        <v>-4559.5200000000004</v>
      </c>
      <c r="F1319" s="8"/>
      <c r="G1319"/>
      <c r="H1319"/>
      <c r="I1319"/>
      <c r="J1319"/>
      <c r="K1319"/>
      <c r="L1319"/>
      <c r="M1319"/>
      <c r="N1319"/>
      <c r="O1319"/>
    </row>
    <row r="1320" spans="1:15" s="44" customFormat="1" x14ac:dyDescent="0.3">
      <c r="A1320"/>
      <c r="B1320" t="s">
        <v>819</v>
      </c>
      <c r="C1320" s="135" t="s">
        <v>767</v>
      </c>
      <c r="D1320" s="7">
        <v>45750</v>
      </c>
      <c r="E1320" s="8">
        <v>-1840.15</v>
      </c>
      <c r="F1320" s="8"/>
      <c r="G1320"/>
      <c r="H1320"/>
      <c r="I1320"/>
      <c r="J1320"/>
      <c r="K1320"/>
      <c r="L1320"/>
      <c r="M1320"/>
      <c r="N1320"/>
      <c r="O1320"/>
    </row>
    <row r="1321" spans="1:15" s="44" customFormat="1" x14ac:dyDescent="0.3">
      <c r="A1321"/>
      <c r="B1321" t="s">
        <v>819</v>
      </c>
      <c r="C1321" s="135" t="s">
        <v>841</v>
      </c>
      <c r="D1321" s="7">
        <v>45754</v>
      </c>
      <c r="E1321" s="8">
        <v>-12376.54</v>
      </c>
      <c r="F1321" s="8"/>
      <c r="G1321"/>
      <c r="H1321"/>
      <c r="I1321"/>
      <c r="J1321"/>
      <c r="K1321"/>
      <c r="L1321"/>
      <c r="M1321"/>
      <c r="N1321"/>
      <c r="O1321"/>
    </row>
    <row r="1322" spans="1:15" s="44" customFormat="1" x14ac:dyDescent="0.3">
      <c r="A1322"/>
      <c r="B1322" t="s">
        <v>819</v>
      </c>
      <c r="C1322" s="135" t="s">
        <v>842</v>
      </c>
      <c r="D1322" s="7">
        <v>45756</v>
      </c>
      <c r="E1322" s="8">
        <v>689</v>
      </c>
      <c r="F1322" s="8"/>
      <c r="G1322"/>
      <c r="H1322"/>
      <c r="I1322"/>
      <c r="J1322"/>
      <c r="K1322"/>
      <c r="L1322"/>
      <c r="M1322"/>
      <c r="N1322"/>
      <c r="O1322"/>
    </row>
    <row r="1323" spans="1:15" s="44" customFormat="1" x14ac:dyDescent="0.3">
      <c r="A1323"/>
      <c r="B1323" t="s">
        <v>819</v>
      </c>
      <c r="C1323" s="135" t="s">
        <v>677</v>
      </c>
      <c r="D1323" s="7">
        <v>45762</v>
      </c>
      <c r="E1323" s="8">
        <v>-1647.08</v>
      </c>
      <c r="F1323" s="8"/>
      <c r="G1323"/>
      <c r="H1323"/>
      <c r="I1323"/>
      <c r="J1323"/>
      <c r="K1323"/>
      <c r="L1323"/>
      <c r="M1323"/>
      <c r="N1323"/>
      <c r="O1323"/>
    </row>
    <row r="1324" spans="1:15" s="44" customFormat="1" x14ac:dyDescent="0.3">
      <c r="A1324"/>
      <c r="B1324" t="s">
        <v>819</v>
      </c>
      <c r="C1324" s="135" t="s">
        <v>567</v>
      </c>
      <c r="D1324" s="7">
        <v>45769</v>
      </c>
      <c r="E1324" s="8">
        <v>-2873.03</v>
      </c>
      <c r="F1324" s="8"/>
      <c r="G1324"/>
      <c r="H1324"/>
      <c r="I1324"/>
      <c r="J1324"/>
      <c r="K1324"/>
      <c r="L1324"/>
      <c r="M1324"/>
      <c r="N1324"/>
      <c r="O1324"/>
    </row>
    <row r="1325" spans="1:15" s="44" customFormat="1" x14ac:dyDescent="0.3">
      <c r="A1325"/>
      <c r="B1325" t="s">
        <v>819</v>
      </c>
      <c r="C1325" s="135" t="s">
        <v>567</v>
      </c>
      <c r="D1325" s="7">
        <v>45769</v>
      </c>
      <c r="E1325" s="8">
        <v>-2610.5</v>
      </c>
      <c r="F1325" s="8"/>
      <c r="G1325"/>
      <c r="H1325"/>
      <c r="I1325"/>
      <c r="J1325"/>
      <c r="K1325"/>
      <c r="L1325"/>
      <c r="M1325"/>
      <c r="N1325"/>
      <c r="O1325"/>
    </row>
    <row r="1326" spans="1:15" s="44" customFormat="1" x14ac:dyDescent="0.3">
      <c r="A1326"/>
      <c r="B1326" t="s">
        <v>819</v>
      </c>
      <c r="C1326" s="135" t="s">
        <v>567</v>
      </c>
      <c r="D1326" s="7">
        <v>45769</v>
      </c>
      <c r="E1326" s="8">
        <v>-1903</v>
      </c>
      <c r="F1326" s="8"/>
      <c r="G1326"/>
      <c r="H1326"/>
      <c r="I1326"/>
      <c r="J1326"/>
      <c r="K1326"/>
      <c r="L1326"/>
      <c r="M1326"/>
      <c r="N1326"/>
      <c r="O1326"/>
    </row>
    <row r="1327" spans="1:15" s="44" customFormat="1" x14ac:dyDescent="0.3">
      <c r="A1327"/>
      <c r="B1327" t="s">
        <v>819</v>
      </c>
      <c r="C1327" s="135" t="s">
        <v>567</v>
      </c>
      <c r="D1327" s="7">
        <v>45769</v>
      </c>
      <c r="E1327" s="8">
        <v>-3337.04</v>
      </c>
      <c r="F1327" s="8"/>
      <c r="G1327"/>
      <c r="H1327"/>
      <c r="I1327"/>
      <c r="J1327"/>
      <c r="K1327"/>
      <c r="L1327"/>
      <c r="M1327"/>
      <c r="N1327"/>
      <c r="O1327"/>
    </row>
    <row r="1328" spans="1:15" s="44" customFormat="1" x14ac:dyDescent="0.3">
      <c r="A1328"/>
      <c r="B1328" t="s">
        <v>819</v>
      </c>
      <c r="C1328" s="135" t="s">
        <v>567</v>
      </c>
      <c r="D1328" s="7">
        <v>45769</v>
      </c>
      <c r="E1328" s="8">
        <v>-24232</v>
      </c>
      <c r="F1328" s="8"/>
      <c r="G1328"/>
      <c r="H1328"/>
      <c r="I1328"/>
      <c r="J1328"/>
      <c r="K1328"/>
      <c r="L1328"/>
      <c r="M1328"/>
      <c r="N1328"/>
      <c r="O1328"/>
    </row>
    <row r="1329" spans="1:15" s="44" customFormat="1" x14ac:dyDescent="0.3">
      <c r="A1329"/>
      <c r="B1329" t="s">
        <v>819</v>
      </c>
      <c r="C1329" s="135" t="s">
        <v>571</v>
      </c>
      <c r="D1329" s="7">
        <v>45783</v>
      </c>
      <c r="E1329" s="8">
        <v>-12513</v>
      </c>
      <c r="F1329" s="8"/>
      <c r="G1329"/>
      <c r="H1329"/>
      <c r="I1329"/>
      <c r="J1329"/>
      <c r="K1329"/>
      <c r="L1329"/>
      <c r="M1329"/>
      <c r="N1329"/>
      <c r="O1329"/>
    </row>
    <row r="1330" spans="1:15" s="44" customFormat="1" x14ac:dyDescent="0.3">
      <c r="A1330"/>
      <c r="B1330" t="s">
        <v>819</v>
      </c>
      <c r="C1330" s="135" t="s">
        <v>571</v>
      </c>
      <c r="D1330" s="7">
        <v>45783</v>
      </c>
      <c r="E1330" s="8">
        <v>-452.15</v>
      </c>
      <c r="F1330" s="8"/>
      <c r="G1330"/>
      <c r="H1330"/>
      <c r="I1330"/>
      <c r="J1330"/>
      <c r="K1330"/>
      <c r="L1330"/>
      <c r="M1330"/>
      <c r="N1330"/>
      <c r="O1330"/>
    </row>
    <row r="1331" spans="1:15" s="44" customFormat="1" x14ac:dyDescent="0.3">
      <c r="A1331"/>
      <c r="B1331" t="s">
        <v>819</v>
      </c>
      <c r="C1331" s="135" t="s">
        <v>571</v>
      </c>
      <c r="D1331" s="7">
        <v>45783</v>
      </c>
      <c r="E1331" s="8">
        <v>-751.3</v>
      </c>
      <c r="F1331" s="8"/>
      <c r="G1331"/>
      <c r="H1331"/>
      <c r="I1331"/>
      <c r="J1331"/>
      <c r="K1331"/>
      <c r="L1331"/>
      <c r="M1331"/>
      <c r="N1331"/>
      <c r="O1331"/>
    </row>
    <row r="1332" spans="1:15" s="44" customFormat="1" x14ac:dyDescent="0.3">
      <c r="A1332"/>
      <c r="B1332" t="s">
        <v>819</v>
      </c>
      <c r="C1332" s="135" t="s">
        <v>571</v>
      </c>
      <c r="D1332" s="7">
        <v>45783</v>
      </c>
      <c r="E1332" s="8">
        <v>-13919.63</v>
      </c>
      <c r="F1332" s="8"/>
      <c r="G1332"/>
      <c r="H1332"/>
      <c r="I1332"/>
      <c r="J1332"/>
      <c r="K1332"/>
      <c r="L1332"/>
      <c r="M1332"/>
      <c r="N1332"/>
      <c r="O1332"/>
    </row>
    <row r="1333" spans="1:15" s="44" customFormat="1" x14ac:dyDescent="0.3">
      <c r="A1333"/>
      <c r="B1333" t="s">
        <v>819</v>
      </c>
      <c r="C1333" s="135" t="s">
        <v>571</v>
      </c>
      <c r="D1333" s="7">
        <v>45783</v>
      </c>
      <c r="E1333" s="8">
        <v>-1333.31</v>
      </c>
      <c r="F1333" s="8"/>
      <c r="G1333"/>
      <c r="H1333"/>
      <c r="I1333"/>
      <c r="J1333"/>
      <c r="K1333"/>
      <c r="L1333"/>
      <c r="M1333"/>
      <c r="N1333"/>
      <c r="O1333"/>
    </row>
    <row r="1334" spans="1:15" s="44" customFormat="1" x14ac:dyDescent="0.3">
      <c r="A1334"/>
      <c r="B1334" t="s">
        <v>819</v>
      </c>
      <c r="C1334" s="135" t="s">
        <v>571</v>
      </c>
      <c r="D1334" s="7">
        <v>45783</v>
      </c>
      <c r="E1334" s="8">
        <v>-378.54</v>
      </c>
      <c r="F1334" s="8"/>
      <c r="G1334"/>
      <c r="H1334"/>
      <c r="I1334"/>
      <c r="J1334"/>
      <c r="K1334"/>
      <c r="L1334"/>
      <c r="M1334"/>
      <c r="N1334"/>
      <c r="O1334"/>
    </row>
    <row r="1335" spans="1:15" s="44" customFormat="1" x14ac:dyDescent="0.3">
      <c r="A1335"/>
      <c r="B1335" t="s">
        <v>819</v>
      </c>
      <c r="C1335" s="135" t="s">
        <v>571</v>
      </c>
      <c r="D1335" s="7">
        <v>45783</v>
      </c>
      <c r="E1335" s="8">
        <v>-25208.7</v>
      </c>
      <c r="F1335" s="8"/>
      <c r="G1335"/>
      <c r="H1335"/>
      <c r="I1335"/>
      <c r="J1335"/>
      <c r="K1335"/>
      <c r="L1335"/>
      <c r="M1335"/>
      <c r="N1335"/>
      <c r="O1335"/>
    </row>
    <row r="1336" spans="1:15" s="44" customFormat="1" x14ac:dyDescent="0.3">
      <c r="A1336"/>
      <c r="B1336" t="s">
        <v>819</v>
      </c>
      <c r="C1336" s="135" t="s">
        <v>571</v>
      </c>
      <c r="D1336" s="7">
        <v>45783</v>
      </c>
      <c r="E1336" s="8">
        <v>-3381.86</v>
      </c>
      <c r="F1336" s="8"/>
      <c r="G1336"/>
      <c r="H1336"/>
      <c r="I1336"/>
      <c r="J1336"/>
      <c r="K1336"/>
      <c r="L1336"/>
      <c r="M1336"/>
      <c r="N1336"/>
      <c r="O1336"/>
    </row>
    <row r="1337" spans="1:15" s="44" customFormat="1" x14ac:dyDescent="0.3">
      <c r="A1337"/>
      <c r="B1337" t="s">
        <v>819</v>
      </c>
      <c r="C1337" s="135" t="s">
        <v>571</v>
      </c>
      <c r="D1337" s="7">
        <v>45783</v>
      </c>
      <c r="E1337" s="8">
        <v>-3038.1</v>
      </c>
      <c r="F1337" s="8"/>
      <c r="G1337"/>
      <c r="H1337"/>
      <c r="I1337"/>
      <c r="J1337"/>
      <c r="K1337"/>
      <c r="L1337"/>
      <c r="M1337"/>
      <c r="N1337"/>
      <c r="O1337"/>
    </row>
    <row r="1338" spans="1:15" s="44" customFormat="1" x14ac:dyDescent="0.3">
      <c r="A1338"/>
      <c r="B1338" t="s">
        <v>819</v>
      </c>
      <c r="C1338" s="135" t="s">
        <v>571</v>
      </c>
      <c r="D1338" s="7">
        <v>45783</v>
      </c>
      <c r="E1338" s="8">
        <v>-21574</v>
      </c>
      <c r="F1338" s="8"/>
      <c r="G1338"/>
      <c r="H1338"/>
      <c r="I1338"/>
      <c r="J1338"/>
      <c r="K1338"/>
      <c r="L1338"/>
      <c r="M1338"/>
      <c r="N1338"/>
      <c r="O1338"/>
    </row>
    <row r="1339" spans="1:15" s="44" customFormat="1" x14ac:dyDescent="0.3">
      <c r="A1339"/>
      <c r="B1339" t="s">
        <v>819</v>
      </c>
      <c r="C1339" s="135" t="s">
        <v>571</v>
      </c>
      <c r="D1339" s="7">
        <v>45783</v>
      </c>
      <c r="E1339" s="8">
        <v>-914.61</v>
      </c>
      <c r="F1339" s="8"/>
      <c r="G1339"/>
      <c r="H1339"/>
      <c r="I1339"/>
      <c r="J1339"/>
      <c r="K1339"/>
      <c r="L1339"/>
      <c r="M1339"/>
      <c r="N1339"/>
      <c r="O1339"/>
    </row>
    <row r="1340" spans="1:15" s="44" customFormat="1" x14ac:dyDescent="0.3">
      <c r="A1340"/>
      <c r="B1340" t="s">
        <v>819</v>
      </c>
      <c r="C1340" s="135" t="s">
        <v>571</v>
      </c>
      <c r="D1340" s="7">
        <v>45783</v>
      </c>
      <c r="E1340" s="8">
        <v>-926.4</v>
      </c>
      <c r="F1340" s="8"/>
      <c r="G1340"/>
      <c r="H1340"/>
      <c r="I1340"/>
      <c r="J1340"/>
      <c r="K1340"/>
      <c r="L1340"/>
      <c r="M1340"/>
      <c r="N1340"/>
      <c r="O1340"/>
    </row>
    <row r="1341" spans="1:15" s="44" customFormat="1" x14ac:dyDescent="0.3">
      <c r="A1341"/>
      <c r="B1341" t="s">
        <v>819</v>
      </c>
      <c r="C1341" s="135" t="s">
        <v>571</v>
      </c>
      <c r="D1341" s="7">
        <v>45783</v>
      </c>
      <c r="E1341" s="8">
        <v>-2610.7600000000002</v>
      </c>
      <c r="F1341" s="8"/>
      <c r="G1341"/>
      <c r="H1341"/>
      <c r="I1341"/>
      <c r="J1341"/>
      <c r="K1341"/>
      <c r="L1341"/>
      <c r="M1341"/>
      <c r="N1341"/>
      <c r="O1341"/>
    </row>
    <row r="1342" spans="1:15" s="44" customFormat="1" x14ac:dyDescent="0.3">
      <c r="A1342"/>
      <c r="B1342" t="s">
        <v>819</v>
      </c>
      <c r="C1342" s="135" t="s">
        <v>571</v>
      </c>
      <c r="D1342" s="7">
        <v>45783</v>
      </c>
      <c r="E1342" s="8">
        <v>-36666.31</v>
      </c>
      <c r="F1342" s="8"/>
      <c r="G1342"/>
      <c r="H1342"/>
      <c r="I1342"/>
      <c r="J1342"/>
      <c r="K1342"/>
      <c r="L1342"/>
      <c r="M1342"/>
      <c r="N1342"/>
      <c r="O1342"/>
    </row>
    <row r="1343" spans="1:15" s="44" customFormat="1" x14ac:dyDescent="0.3">
      <c r="A1343"/>
      <c r="B1343" t="s">
        <v>819</v>
      </c>
      <c r="C1343" s="135" t="s">
        <v>571</v>
      </c>
      <c r="D1343" s="7">
        <v>45783</v>
      </c>
      <c r="E1343" s="8">
        <v>-10096.26</v>
      </c>
      <c r="F1343" s="8"/>
      <c r="G1343"/>
      <c r="H1343"/>
      <c r="I1343"/>
      <c r="J1343"/>
      <c r="K1343"/>
      <c r="L1343"/>
      <c r="M1343"/>
      <c r="N1343"/>
      <c r="O1343"/>
    </row>
    <row r="1344" spans="1:15" s="44" customFormat="1" x14ac:dyDescent="0.3">
      <c r="A1344"/>
      <c r="B1344" t="s">
        <v>819</v>
      </c>
      <c r="C1344" s="135" t="s">
        <v>571</v>
      </c>
      <c r="D1344" s="7">
        <v>45783</v>
      </c>
      <c r="E1344" s="8">
        <v>-3862.8</v>
      </c>
      <c r="F1344" s="8"/>
      <c r="G1344"/>
      <c r="H1344"/>
      <c r="I1344"/>
      <c r="J1344"/>
      <c r="K1344"/>
      <c r="L1344"/>
      <c r="M1344"/>
      <c r="N1344"/>
      <c r="O1344"/>
    </row>
    <row r="1345" spans="1:15" s="44" customFormat="1" x14ac:dyDescent="0.3">
      <c r="A1345"/>
      <c r="B1345" t="s">
        <v>819</v>
      </c>
      <c r="C1345" s="135" t="s">
        <v>571</v>
      </c>
      <c r="D1345" s="7">
        <v>45783</v>
      </c>
      <c r="E1345" s="8">
        <v>-41.2</v>
      </c>
      <c r="F1345" s="8"/>
      <c r="G1345"/>
      <c r="H1345"/>
      <c r="I1345"/>
      <c r="J1345"/>
      <c r="K1345"/>
      <c r="L1345"/>
      <c r="M1345"/>
      <c r="N1345"/>
      <c r="O1345"/>
    </row>
    <row r="1346" spans="1:15" s="44" customFormat="1" x14ac:dyDescent="0.3">
      <c r="A1346"/>
      <c r="B1346" t="s">
        <v>819</v>
      </c>
      <c r="C1346" s="135" t="s">
        <v>571</v>
      </c>
      <c r="D1346" s="7">
        <v>45783</v>
      </c>
      <c r="E1346" s="8">
        <v>-1264.5</v>
      </c>
      <c r="F1346" s="8"/>
      <c r="G1346"/>
      <c r="H1346"/>
      <c r="I1346"/>
      <c r="J1346"/>
      <c r="K1346"/>
      <c r="L1346"/>
      <c r="M1346"/>
      <c r="N1346"/>
      <c r="O1346"/>
    </row>
    <row r="1347" spans="1:15" s="44" customFormat="1" x14ac:dyDescent="0.3">
      <c r="A1347"/>
      <c r="B1347" t="s">
        <v>819</v>
      </c>
      <c r="C1347" s="135" t="s">
        <v>571</v>
      </c>
      <c r="D1347" s="7">
        <v>45783</v>
      </c>
      <c r="E1347" s="8">
        <v>-10806</v>
      </c>
      <c r="F1347" s="8"/>
      <c r="G1347"/>
      <c r="H1347"/>
      <c r="I1347"/>
      <c r="J1347"/>
      <c r="K1347"/>
      <c r="L1347"/>
      <c r="M1347"/>
      <c r="N1347"/>
      <c r="O1347"/>
    </row>
    <row r="1348" spans="1:15" s="44" customFormat="1" x14ac:dyDescent="0.3">
      <c r="A1348"/>
      <c r="B1348" t="s">
        <v>819</v>
      </c>
      <c r="C1348" s="135" t="s">
        <v>571</v>
      </c>
      <c r="D1348" s="7">
        <v>45783</v>
      </c>
      <c r="E1348" s="8">
        <v>-8708.58</v>
      </c>
      <c r="F1348" s="8"/>
      <c r="G1348"/>
      <c r="H1348"/>
      <c r="I1348"/>
      <c r="J1348"/>
      <c r="K1348"/>
      <c r="L1348"/>
      <c r="M1348"/>
      <c r="N1348"/>
      <c r="O1348"/>
    </row>
    <row r="1349" spans="1:15" s="44" customFormat="1" x14ac:dyDescent="0.3">
      <c r="A1349"/>
      <c r="B1349" t="s">
        <v>819</v>
      </c>
      <c r="C1349" s="135" t="s">
        <v>571</v>
      </c>
      <c r="D1349" s="7">
        <v>45783</v>
      </c>
      <c r="E1349" s="8">
        <v>-1140</v>
      </c>
      <c r="F1349" s="8"/>
      <c r="G1349"/>
      <c r="H1349"/>
      <c r="I1349"/>
      <c r="J1349"/>
      <c r="K1349"/>
      <c r="L1349"/>
      <c r="M1349"/>
      <c r="N1349"/>
      <c r="O1349"/>
    </row>
    <row r="1350" spans="1:15" s="44" customFormat="1" x14ac:dyDescent="0.3">
      <c r="A1350"/>
      <c r="B1350" t="s">
        <v>819</v>
      </c>
      <c r="C1350" s="135" t="s">
        <v>571</v>
      </c>
      <c r="D1350" s="7">
        <v>45783</v>
      </c>
      <c r="E1350" s="8">
        <v>-1216.27</v>
      </c>
      <c r="F1350" s="8"/>
      <c r="G1350"/>
      <c r="H1350"/>
      <c r="I1350"/>
      <c r="J1350"/>
      <c r="K1350"/>
      <c r="L1350"/>
      <c r="M1350"/>
      <c r="N1350"/>
      <c r="O1350"/>
    </row>
    <row r="1351" spans="1:15" s="44" customFormat="1" x14ac:dyDescent="0.3">
      <c r="A1351"/>
      <c r="B1351" t="s">
        <v>819</v>
      </c>
      <c r="C1351" s="135" t="s">
        <v>571</v>
      </c>
      <c r="D1351" s="7">
        <v>45783</v>
      </c>
      <c r="E1351" s="8">
        <v>-3854.1</v>
      </c>
      <c r="F1351" s="8"/>
      <c r="G1351"/>
      <c r="H1351"/>
      <c r="I1351"/>
      <c r="J1351"/>
      <c r="K1351"/>
      <c r="L1351"/>
      <c r="M1351"/>
      <c r="N1351"/>
      <c r="O1351"/>
    </row>
    <row r="1352" spans="1:15" s="44" customFormat="1" x14ac:dyDescent="0.3">
      <c r="A1352"/>
      <c r="B1352" t="s">
        <v>819</v>
      </c>
      <c r="C1352" s="135" t="s">
        <v>571</v>
      </c>
      <c r="D1352" s="7">
        <v>45783</v>
      </c>
      <c r="E1352" s="8">
        <v>-726.4</v>
      </c>
      <c r="F1352" s="8"/>
      <c r="G1352"/>
      <c r="H1352"/>
      <c r="I1352"/>
      <c r="J1352"/>
      <c r="K1352"/>
      <c r="L1352"/>
      <c r="M1352"/>
      <c r="N1352"/>
      <c r="O1352"/>
    </row>
    <row r="1353" spans="1:15" s="44" customFormat="1" x14ac:dyDescent="0.3">
      <c r="A1353"/>
      <c r="B1353" t="s">
        <v>819</v>
      </c>
      <c r="C1353" s="135" t="s">
        <v>571</v>
      </c>
      <c r="D1353" s="7">
        <v>45783</v>
      </c>
      <c r="E1353" s="8">
        <v>-716</v>
      </c>
      <c r="F1353" s="8"/>
      <c r="G1353"/>
      <c r="H1353"/>
      <c r="I1353"/>
      <c r="J1353"/>
      <c r="K1353"/>
      <c r="L1353"/>
      <c r="M1353"/>
      <c r="N1353"/>
      <c r="O1353"/>
    </row>
    <row r="1354" spans="1:15" s="44" customFormat="1" x14ac:dyDescent="0.3">
      <c r="A1354"/>
      <c r="B1354" t="s">
        <v>819</v>
      </c>
      <c r="C1354" s="135" t="s">
        <v>571</v>
      </c>
      <c r="D1354" s="7">
        <v>45783</v>
      </c>
      <c r="E1354" s="8">
        <v>-7248.98</v>
      </c>
      <c r="F1354" s="8"/>
      <c r="G1354"/>
      <c r="H1354"/>
      <c r="I1354"/>
      <c r="J1354"/>
      <c r="K1354"/>
      <c r="L1354"/>
      <c r="M1354"/>
      <c r="N1354"/>
      <c r="O1354"/>
    </row>
    <row r="1355" spans="1:15" s="44" customFormat="1" x14ac:dyDescent="0.3">
      <c r="A1355"/>
      <c r="B1355" t="s">
        <v>819</v>
      </c>
      <c r="C1355" s="135" t="s">
        <v>571</v>
      </c>
      <c r="D1355" s="7">
        <v>45783</v>
      </c>
      <c r="E1355" s="8">
        <v>-156</v>
      </c>
      <c r="F1355" s="8"/>
      <c r="G1355"/>
      <c r="H1355"/>
      <c r="I1355"/>
      <c r="J1355"/>
      <c r="K1355"/>
      <c r="L1355"/>
      <c r="M1355"/>
      <c r="N1355"/>
      <c r="O1355"/>
    </row>
    <row r="1356" spans="1:15" s="44" customFormat="1" x14ac:dyDescent="0.3">
      <c r="A1356"/>
      <c r="B1356" t="s">
        <v>819</v>
      </c>
      <c r="C1356" s="135" t="s">
        <v>571</v>
      </c>
      <c r="D1356" s="7">
        <v>45783</v>
      </c>
      <c r="E1356" s="8">
        <v>-9720.17</v>
      </c>
      <c r="F1356" s="8"/>
      <c r="G1356"/>
      <c r="H1356"/>
      <c r="I1356"/>
      <c r="J1356"/>
      <c r="K1356"/>
      <c r="L1356"/>
      <c r="M1356"/>
      <c r="N1356"/>
      <c r="O1356"/>
    </row>
    <row r="1357" spans="1:15" s="44" customFormat="1" x14ac:dyDescent="0.3">
      <c r="A1357"/>
      <c r="B1357" t="s">
        <v>819</v>
      </c>
      <c r="C1357" s="135" t="s">
        <v>843</v>
      </c>
      <c r="D1357" s="7">
        <v>45784</v>
      </c>
      <c r="E1357" s="8">
        <v>446.52</v>
      </c>
      <c r="F1357" s="8"/>
      <c r="G1357"/>
      <c r="H1357"/>
      <c r="I1357"/>
      <c r="J1357"/>
      <c r="K1357"/>
      <c r="L1357"/>
      <c r="M1357"/>
      <c r="N1357"/>
      <c r="O1357"/>
    </row>
    <row r="1358" spans="1:15" s="44" customFormat="1" x14ac:dyDescent="0.3">
      <c r="A1358"/>
      <c r="B1358" t="s">
        <v>819</v>
      </c>
      <c r="C1358" s="135" t="s">
        <v>572</v>
      </c>
      <c r="D1358" s="7">
        <v>45785</v>
      </c>
      <c r="E1358" s="8">
        <v>-5844</v>
      </c>
      <c r="F1358" s="8"/>
      <c r="G1358"/>
      <c r="H1358"/>
      <c r="I1358"/>
      <c r="J1358"/>
      <c r="K1358"/>
      <c r="L1358"/>
      <c r="M1358"/>
      <c r="N1358"/>
      <c r="O1358"/>
    </row>
    <row r="1359" spans="1:15" s="44" customFormat="1" x14ac:dyDescent="0.3">
      <c r="A1359"/>
      <c r="B1359" t="s">
        <v>819</v>
      </c>
      <c r="C1359" s="135" t="s">
        <v>299</v>
      </c>
      <c r="D1359" s="7">
        <v>45786</v>
      </c>
      <c r="E1359" s="8">
        <v>-10</v>
      </c>
      <c r="F1359" s="8"/>
      <c r="G1359"/>
      <c r="H1359"/>
      <c r="I1359"/>
      <c r="J1359"/>
      <c r="K1359"/>
      <c r="L1359"/>
      <c r="M1359"/>
      <c r="N1359"/>
      <c r="O1359"/>
    </row>
    <row r="1360" spans="1:15" s="44" customFormat="1" x14ac:dyDescent="0.3">
      <c r="A1360"/>
      <c r="B1360" t="s">
        <v>819</v>
      </c>
      <c r="C1360" s="135" t="s">
        <v>299</v>
      </c>
      <c r="D1360" s="7">
        <v>45786</v>
      </c>
      <c r="E1360" s="8">
        <v>-16781.490000000002</v>
      </c>
      <c r="F1360" s="8"/>
      <c r="G1360"/>
      <c r="H1360"/>
      <c r="I1360"/>
      <c r="J1360"/>
      <c r="K1360"/>
      <c r="L1360"/>
      <c r="M1360"/>
      <c r="N1360"/>
      <c r="O1360"/>
    </row>
    <row r="1361" spans="1:15" s="44" customFormat="1" x14ac:dyDescent="0.3">
      <c r="A1361"/>
      <c r="B1361" t="s">
        <v>819</v>
      </c>
      <c r="C1361" s="135" t="s">
        <v>299</v>
      </c>
      <c r="D1361" s="7">
        <v>45786</v>
      </c>
      <c r="E1361" s="8">
        <v>-898</v>
      </c>
      <c r="F1361" s="8"/>
      <c r="G1361"/>
      <c r="H1361"/>
      <c r="I1361"/>
      <c r="J1361"/>
      <c r="K1361"/>
      <c r="L1361"/>
      <c r="M1361"/>
      <c r="N1361"/>
      <c r="O1361"/>
    </row>
    <row r="1362" spans="1:15" s="44" customFormat="1" x14ac:dyDescent="0.3">
      <c r="A1362"/>
      <c r="B1362" t="s">
        <v>819</v>
      </c>
      <c r="C1362" s="135" t="s">
        <v>299</v>
      </c>
      <c r="D1362" s="7">
        <v>45786</v>
      </c>
      <c r="E1362" s="8">
        <v>-2338.71</v>
      </c>
      <c r="F1362" s="8"/>
      <c r="G1362"/>
      <c r="H1362"/>
      <c r="I1362"/>
      <c r="J1362"/>
      <c r="K1362"/>
      <c r="L1362"/>
      <c r="M1362"/>
      <c r="N1362"/>
      <c r="O1362"/>
    </row>
    <row r="1363" spans="1:15" s="44" customFormat="1" x14ac:dyDescent="0.3">
      <c r="A1363"/>
      <c r="B1363" t="s">
        <v>819</v>
      </c>
      <c r="C1363" s="135" t="s">
        <v>299</v>
      </c>
      <c r="D1363" s="7">
        <v>45786</v>
      </c>
      <c r="E1363" s="8">
        <v>-45646.11</v>
      </c>
      <c r="F1363" s="8"/>
      <c r="G1363"/>
      <c r="H1363"/>
      <c r="I1363"/>
      <c r="J1363"/>
      <c r="K1363"/>
      <c r="L1363"/>
      <c r="M1363"/>
      <c r="N1363"/>
      <c r="O1363"/>
    </row>
    <row r="1364" spans="1:15" s="44" customFormat="1" x14ac:dyDescent="0.3">
      <c r="A1364"/>
      <c r="B1364" t="s">
        <v>819</v>
      </c>
      <c r="C1364" s="135" t="s">
        <v>299</v>
      </c>
      <c r="D1364" s="7">
        <v>45786</v>
      </c>
      <c r="E1364" s="8">
        <v>-2392.65</v>
      </c>
      <c r="F1364" s="8"/>
      <c r="G1364"/>
      <c r="H1364"/>
      <c r="I1364"/>
      <c r="J1364"/>
      <c r="K1364"/>
      <c r="L1364"/>
      <c r="M1364"/>
      <c r="N1364"/>
      <c r="O1364"/>
    </row>
    <row r="1365" spans="1:15" s="44" customFormat="1" x14ac:dyDescent="0.3">
      <c r="A1365"/>
      <c r="B1365" t="s">
        <v>819</v>
      </c>
      <c r="C1365" s="135" t="s">
        <v>299</v>
      </c>
      <c r="D1365" s="7">
        <v>45786</v>
      </c>
      <c r="E1365" s="8">
        <v>-2200</v>
      </c>
      <c r="F1365" s="8"/>
      <c r="G1365"/>
      <c r="H1365"/>
      <c r="I1365"/>
      <c r="J1365"/>
      <c r="K1365"/>
      <c r="L1365"/>
      <c r="M1365"/>
      <c r="N1365"/>
      <c r="O1365"/>
    </row>
    <row r="1366" spans="1:15" s="44" customFormat="1" x14ac:dyDescent="0.3">
      <c r="A1366"/>
      <c r="B1366" t="s">
        <v>819</v>
      </c>
      <c r="C1366" s="135" t="s">
        <v>299</v>
      </c>
      <c r="D1366" s="7">
        <v>45786</v>
      </c>
      <c r="E1366" s="8">
        <v>-673.08</v>
      </c>
      <c r="F1366" s="8"/>
      <c r="G1366"/>
      <c r="H1366"/>
      <c r="I1366"/>
      <c r="J1366"/>
      <c r="K1366"/>
      <c r="L1366"/>
      <c r="M1366"/>
      <c r="N1366"/>
      <c r="O1366"/>
    </row>
    <row r="1367" spans="1:15" s="44" customFormat="1" x14ac:dyDescent="0.3">
      <c r="A1367"/>
      <c r="B1367" t="s">
        <v>819</v>
      </c>
      <c r="C1367" s="135" t="s">
        <v>299</v>
      </c>
      <c r="D1367" s="7">
        <v>45786</v>
      </c>
      <c r="E1367" s="8">
        <v>-9851.01</v>
      </c>
      <c r="F1367" s="8"/>
      <c r="G1367"/>
      <c r="H1367"/>
      <c r="I1367"/>
      <c r="J1367"/>
      <c r="K1367"/>
      <c r="L1367"/>
      <c r="M1367"/>
      <c r="N1367"/>
      <c r="O1367"/>
    </row>
    <row r="1368" spans="1:15" s="44" customFormat="1" x14ac:dyDescent="0.3">
      <c r="A1368"/>
      <c r="B1368" t="s">
        <v>819</v>
      </c>
      <c r="C1368" s="135" t="s">
        <v>299</v>
      </c>
      <c r="D1368" s="7">
        <v>45786</v>
      </c>
      <c r="E1368" s="8">
        <v>-3959.16</v>
      </c>
      <c r="F1368" s="8"/>
      <c r="G1368"/>
      <c r="H1368"/>
      <c r="I1368"/>
      <c r="J1368"/>
      <c r="K1368"/>
      <c r="L1368"/>
      <c r="M1368"/>
      <c r="N1368"/>
      <c r="O1368"/>
    </row>
    <row r="1369" spans="1:15" s="44" customFormat="1" x14ac:dyDescent="0.3">
      <c r="A1369"/>
      <c r="B1369" t="s">
        <v>819</v>
      </c>
      <c r="C1369" s="135" t="s">
        <v>299</v>
      </c>
      <c r="D1369" s="7">
        <v>45786</v>
      </c>
      <c r="E1369" s="8">
        <v>-33513</v>
      </c>
      <c r="F1369" s="8"/>
      <c r="G1369"/>
      <c r="H1369"/>
      <c r="I1369"/>
      <c r="J1369"/>
      <c r="K1369"/>
      <c r="L1369"/>
      <c r="M1369"/>
      <c r="N1369"/>
      <c r="O1369"/>
    </row>
    <row r="1370" spans="1:15" s="44" customFormat="1" x14ac:dyDescent="0.3">
      <c r="A1370"/>
      <c r="B1370" t="s">
        <v>819</v>
      </c>
      <c r="C1370" s="135" t="s">
        <v>299</v>
      </c>
      <c r="D1370" s="7">
        <v>45786</v>
      </c>
      <c r="E1370" s="8">
        <v>-9443.2199999999993</v>
      </c>
      <c r="F1370" s="8"/>
      <c r="G1370"/>
      <c r="H1370"/>
      <c r="I1370"/>
      <c r="J1370"/>
      <c r="K1370"/>
      <c r="L1370"/>
      <c r="M1370"/>
      <c r="N1370"/>
      <c r="O1370"/>
    </row>
    <row r="1371" spans="1:15" s="44" customFormat="1" x14ac:dyDescent="0.3">
      <c r="A1371"/>
      <c r="B1371" t="s">
        <v>819</v>
      </c>
      <c r="C1371" s="135" t="s">
        <v>299</v>
      </c>
      <c r="D1371" s="7">
        <v>45786</v>
      </c>
      <c r="E1371" s="8">
        <v>-685.07</v>
      </c>
      <c r="F1371" s="8"/>
      <c r="G1371"/>
      <c r="H1371"/>
      <c r="I1371"/>
      <c r="J1371"/>
      <c r="K1371"/>
      <c r="L1371"/>
      <c r="M1371"/>
      <c r="N1371"/>
      <c r="O1371"/>
    </row>
    <row r="1372" spans="1:15" s="44" customFormat="1" x14ac:dyDescent="0.3">
      <c r="A1372"/>
      <c r="B1372" t="s">
        <v>819</v>
      </c>
      <c r="C1372" s="135" t="s">
        <v>299</v>
      </c>
      <c r="D1372" s="7">
        <v>45786</v>
      </c>
      <c r="E1372" s="8">
        <v>-221.63</v>
      </c>
      <c r="F1372" s="8"/>
      <c r="G1372"/>
      <c r="H1372"/>
      <c r="I1372"/>
      <c r="J1372"/>
      <c r="K1372"/>
      <c r="L1372"/>
      <c r="M1372"/>
      <c r="N1372"/>
      <c r="O1372"/>
    </row>
    <row r="1373" spans="1:15" s="44" customFormat="1" x14ac:dyDescent="0.3">
      <c r="A1373"/>
      <c r="B1373" t="s">
        <v>819</v>
      </c>
      <c r="C1373" s="135" t="s">
        <v>299</v>
      </c>
      <c r="D1373" s="7">
        <v>45786</v>
      </c>
      <c r="E1373" s="8">
        <v>-10972.41</v>
      </c>
      <c r="F1373" s="8"/>
      <c r="G1373"/>
      <c r="H1373"/>
      <c r="I1373"/>
      <c r="J1373"/>
      <c r="K1373"/>
      <c r="L1373"/>
      <c r="M1373"/>
      <c r="N1373"/>
      <c r="O1373"/>
    </row>
    <row r="1374" spans="1:15" s="44" customFormat="1" x14ac:dyDescent="0.3">
      <c r="A1374"/>
      <c r="B1374" t="s">
        <v>819</v>
      </c>
      <c r="C1374" s="135" t="s">
        <v>844</v>
      </c>
      <c r="D1374" s="7">
        <v>45787</v>
      </c>
      <c r="E1374" s="8">
        <v>2600</v>
      </c>
      <c r="F1374" s="8"/>
      <c r="G1374"/>
      <c r="H1374"/>
      <c r="I1374"/>
      <c r="J1374"/>
      <c r="K1374"/>
      <c r="L1374"/>
      <c r="M1374"/>
      <c r="N1374"/>
      <c r="O1374"/>
    </row>
    <row r="1375" spans="1:15" s="44" customFormat="1" x14ac:dyDescent="0.3">
      <c r="A1375"/>
      <c r="B1375" t="s">
        <v>819</v>
      </c>
      <c r="C1375" s="135" t="s">
        <v>845</v>
      </c>
      <c r="D1375" s="7">
        <v>45789</v>
      </c>
      <c r="E1375" s="8">
        <v>1554</v>
      </c>
      <c r="F1375" s="8"/>
      <c r="G1375"/>
      <c r="H1375"/>
      <c r="I1375"/>
      <c r="J1375"/>
      <c r="K1375"/>
      <c r="L1375"/>
      <c r="M1375"/>
      <c r="N1375"/>
      <c r="O1375"/>
    </row>
    <row r="1376" spans="1:15" s="44" customFormat="1" x14ac:dyDescent="0.3">
      <c r="A1376"/>
      <c r="B1376" t="s">
        <v>819</v>
      </c>
      <c r="C1376" s="135" t="s">
        <v>845</v>
      </c>
      <c r="D1376" s="7">
        <v>45789</v>
      </c>
      <c r="E1376" s="8">
        <v>965</v>
      </c>
      <c r="F1376" s="8"/>
      <c r="G1376"/>
      <c r="H1376"/>
      <c r="I1376"/>
      <c r="J1376"/>
      <c r="K1376"/>
      <c r="L1376"/>
      <c r="M1376"/>
      <c r="N1376"/>
      <c r="O1376"/>
    </row>
    <row r="1377" spans="1:15" s="44" customFormat="1" x14ac:dyDescent="0.3">
      <c r="A1377"/>
      <c r="B1377" t="s">
        <v>819</v>
      </c>
      <c r="C1377" s="135" t="s">
        <v>845</v>
      </c>
      <c r="D1377" s="7">
        <v>45789</v>
      </c>
      <c r="E1377" s="8">
        <v>1794</v>
      </c>
      <c r="F1377" s="8"/>
      <c r="G1377"/>
      <c r="H1377"/>
      <c r="I1377"/>
      <c r="J1377"/>
      <c r="K1377"/>
      <c r="L1377"/>
      <c r="M1377"/>
      <c r="N1377"/>
      <c r="O1377"/>
    </row>
    <row r="1378" spans="1:15" s="44" customFormat="1" x14ac:dyDescent="0.3">
      <c r="A1378"/>
      <c r="B1378" t="s">
        <v>819</v>
      </c>
      <c r="C1378" s="135" t="s">
        <v>845</v>
      </c>
      <c r="D1378" s="7">
        <v>45789</v>
      </c>
      <c r="E1378" s="8">
        <v>6187</v>
      </c>
      <c r="F1378" s="8"/>
      <c r="G1378"/>
      <c r="H1378"/>
      <c r="I1378"/>
      <c r="J1378"/>
      <c r="K1378"/>
      <c r="L1378"/>
      <c r="M1378"/>
      <c r="N1378"/>
      <c r="O1378"/>
    </row>
    <row r="1379" spans="1:15" s="44" customFormat="1" x14ac:dyDescent="0.3">
      <c r="A1379"/>
      <c r="B1379" t="s">
        <v>819</v>
      </c>
      <c r="C1379" s="135" t="s">
        <v>846</v>
      </c>
      <c r="D1379" s="7">
        <v>45791</v>
      </c>
      <c r="E1379" s="8">
        <v>-9250</v>
      </c>
      <c r="F1379" s="8"/>
      <c r="G1379"/>
      <c r="H1379"/>
      <c r="I1379"/>
      <c r="J1379"/>
      <c r="K1379"/>
      <c r="L1379"/>
      <c r="M1379"/>
      <c r="N1379"/>
      <c r="O1379"/>
    </row>
    <row r="1380" spans="1:15" s="44" customFormat="1" x14ac:dyDescent="0.3">
      <c r="A1380"/>
      <c r="B1380" t="s">
        <v>819</v>
      </c>
      <c r="C1380" s="135" t="s">
        <v>846</v>
      </c>
      <c r="D1380" s="7">
        <v>45791</v>
      </c>
      <c r="E1380" s="8">
        <v>-14389.01</v>
      </c>
      <c r="F1380" s="8"/>
      <c r="G1380"/>
      <c r="H1380"/>
      <c r="I1380"/>
      <c r="J1380"/>
      <c r="K1380"/>
      <c r="L1380"/>
      <c r="M1380"/>
      <c r="N1380"/>
      <c r="O1380"/>
    </row>
    <row r="1381" spans="1:15" s="44" customFormat="1" x14ac:dyDescent="0.3">
      <c r="A1381"/>
      <c r="B1381" t="s">
        <v>819</v>
      </c>
      <c r="C1381" s="135" t="s">
        <v>846</v>
      </c>
      <c r="D1381" s="7">
        <v>45791</v>
      </c>
      <c r="E1381" s="8">
        <v>-1270</v>
      </c>
      <c r="F1381" s="8"/>
      <c r="G1381"/>
      <c r="H1381"/>
      <c r="I1381"/>
      <c r="J1381"/>
      <c r="K1381"/>
      <c r="L1381"/>
      <c r="M1381"/>
      <c r="N1381"/>
      <c r="O1381"/>
    </row>
    <row r="1382" spans="1:15" s="44" customFormat="1" x14ac:dyDescent="0.3">
      <c r="A1382"/>
      <c r="B1382" t="s">
        <v>819</v>
      </c>
      <c r="C1382" s="135" t="s">
        <v>846</v>
      </c>
      <c r="D1382" s="7">
        <v>45791</v>
      </c>
      <c r="E1382" s="8">
        <v>-6699.02</v>
      </c>
      <c r="F1382" s="8"/>
      <c r="G1382"/>
      <c r="H1382"/>
      <c r="I1382"/>
      <c r="J1382"/>
      <c r="K1382"/>
      <c r="L1382"/>
      <c r="M1382"/>
      <c r="N1382"/>
      <c r="O1382"/>
    </row>
    <row r="1383" spans="1:15" s="44" customFormat="1" x14ac:dyDescent="0.3">
      <c r="A1383"/>
      <c r="B1383" t="s">
        <v>819</v>
      </c>
      <c r="C1383" s="135" t="s">
        <v>847</v>
      </c>
      <c r="D1383" s="7">
        <v>45795</v>
      </c>
      <c r="E1383" s="8">
        <v>2600</v>
      </c>
      <c r="F1383" s="8"/>
      <c r="G1383"/>
      <c r="H1383"/>
      <c r="I1383"/>
      <c r="J1383"/>
      <c r="K1383"/>
      <c r="L1383"/>
      <c r="M1383"/>
      <c r="N1383"/>
      <c r="O1383"/>
    </row>
    <row r="1384" spans="1:15" s="44" customFormat="1" x14ac:dyDescent="0.3">
      <c r="A1384"/>
      <c r="B1384" t="s">
        <v>819</v>
      </c>
      <c r="C1384" s="135" t="s">
        <v>847</v>
      </c>
      <c r="D1384" s="7">
        <v>45795</v>
      </c>
      <c r="E1384" s="8">
        <v>2600</v>
      </c>
      <c r="F1384" s="8"/>
      <c r="G1384"/>
      <c r="H1384"/>
      <c r="I1384"/>
      <c r="J1384"/>
      <c r="K1384"/>
      <c r="L1384"/>
      <c r="M1384"/>
      <c r="N1384"/>
      <c r="O1384"/>
    </row>
    <row r="1385" spans="1:15" s="44" customFormat="1" x14ac:dyDescent="0.3">
      <c r="A1385"/>
      <c r="B1385" t="s">
        <v>819</v>
      </c>
      <c r="C1385" s="135" t="s">
        <v>847</v>
      </c>
      <c r="D1385" s="7">
        <v>45795</v>
      </c>
      <c r="E1385" s="8">
        <v>2600</v>
      </c>
      <c r="F1385" s="8"/>
      <c r="G1385"/>
      <c r="H1385"/>
      <c r="I1385"/>
      <c r="J1385"/>
      <c r="K1385"/>
      <c r="L1385"/>
      <c r="M1385"/>
      <c r="N1385"/>
      <c r="O1385"/>
    </row>
    <row r="1386" spans="1:15" s="44" customFormat="1" x14ac:dyDescent="0.3">
      <c r="A1386"/>
      <c r="B1386" t="s">
        <v>819</v>
      </c>
      <c r="C1386" s="135" t="s">
        <v>847</v>
      </c>
      <c r="D1386" s="7">
        <v>45795</v>
      </c>
      <c r="E1386" s="8">
        <v>2600</v>
      </c>
      <c r="F1386" s="8"/>
      <c r="G1386"/>
      <c r="H1386"/>
      <c r="I1386"/>
      <c r="J1386"/>
      <c r="K1386"/>
      <c r="L1386"/>
      <c r="M1386"/>
      <c r="N1386"/>
      <c r="O1386"/>
    </row>
    <row r="1387" spans="1:15" s="44" customFormat="1" x14ac:dyDescent="0.3">
      <c r="A1387"/>
      <c r="B1387" t="s">
        <v>819</v>
      </c>
      <c r="C1387" s="135" t="s">
        <v>848</v>
      </c>
      <c r="D1387" s="7">
        <v>45795</v>
      </c>
      <c r="E1387" s="8">
        <v>3360.14</v>
      </c>
      <c r="F1387" s="8"/>
      <c r="G1387"/>
      <c r="H1387"/>
      <c r="I1387"/>
      <c r="J1387"/>
      <c r="K1387"/>
      <c r="L1387"/>
      <c r="M1387"/>
      <c r="N1387"/>
      <c r="O1387"/>
    </row>
    <row r="1388" spans="1:15" s="44" customFormat="1" x14ac:dyDescent="0.3">
      <c r="A1388"/>
      <c r="B1388" t="s">
        <v>819</v>
      </c>
      <c r="C1388" s="135" t="s">
        <v>849</v>
      </c>
      <c r="D1388" s="7">
        <v>45800</v>
      </c>
      <c r="E1388" s="8">
        <v>64.08</v>
      </c>
      <c r="F1388" s="8"/>
      <c r="G1388"/>
      <c r="H1388"/>
      <c r="I1388"/>
      <c r="J1388"/>
      <c r="K1388"/>
      <c r="L1388"/>
      <c r="M1388"/>
      <c r="N1388"/>
      <c r="O1388"/>
    </row>
    <row r="1389" spans="1:15" s="44" customFormat="1" x14ac:dyDescent="0.3">
      <c r="A1389"/>
      <c r="B1389" t="s">
        <v>819</v>
      </c>
      <c r="C1389" s="135" t="s">
        <v>850</v>
      </c>
      <c r="D1389" s="7">
        <v>45800</v>
      </c>
      <c r="E1389" s="8">
        <v>924.86</v>
      </c>
      <c r="F1389" s="8"/>
      <c r="G1389"/>
      <c r="H1389"/>
      <c r="I1389"/>
      <c r="J1389"/>
      <c r="K1389"/>
      <c r="L1389"/>
      <c r="M1389"/>
      <c r="N1389"/>
      <c r="O1389"/>
    </row>
    <row r="1390" spans="1:15" s="44" customFormat="1" x14ac:dyDescent="0.3">
      <c r="A1390"/>
      <c r="B1390" t="s">
        <v>819</v>
      </c>
      <c r="C1390" s="135" t="s">
        <v>851</v>
      </c>
      <c r="D1390" s="7">
        <v>45800</v>
      </c>
      <c r="E1390" s="8">
        <v>-16477.939999999999</v>
      </c>
      <c r="F1390" s="8"/>
      <c r="G1390"/>
      <c r="H1390"/>
      <c r="I1390"/>
      <c r="J1390"/>
      <c r="K1390"/>
      <c r="L1390"/>
      <c r="M1390"/>
      <c r="N1390"/>
      <c r="O1390"/>
    </row>
    <row r="1391" spans="1:15" s="44" customFormat="1" x14ac:dyDescent="0.3">
      <c r="A1391"/>
      <c r="B1391" t="s">
        <v>819</v>
      </c>
      <c r="C1391" s="135" t="s">
        <v>851</v>
      </c>
      <c r="D1391" s="7">
        <v>45800</v>
      </c>
      <c r="E1391" s="8">
        <v>-13648.48</v>
      </c>
      <c r="F1391" s="8"/>
      <c r="G1391"/>
      <c r="H1391"/>
      <c r="I1391"/>
      <c r="J1391"/>
      <c r="K1391"/>
      <c r="L1391"/>
      <c r="M1391"/>
      <c r="N1391"/>
      <c r="O1391"/>
    </row>
    <row r="1392" spans="1:15" s="44" customFormat="1" x14ac:dyDescent="0.3">
      <c r="A1392"/>
      <c r="B1392" t="s">
        <v>819</v>
      </c>
      <c r="C1392" s="135" t="s">
        <v>851</v>
      </c>
      <c r="D1392" s="7">
        <v>45800</v>
      </c>
      <c r="E1392" s="8">
        <v>-666.06</v>
      </c>
      <c r="F1392" s="8"/>
      <c r="G1392"/>
      <c r="H1392"/>
      <c r="I1392"/>
      <c r="J1392"/>
      <c r="K1392"/>
      <c r="L1392"/>
      <c r="M1392"/>
      <c r="N1392"/>
      <c r="O1392"/>
    </row>
    <row r="1393" spans="1:15" s="44" customFormat="1" x14ac:dyDescent="0.3">
      <c r="A1393"/>
      <c r="B1393" t="s">
        <v>819</v>
      </c>
      <c r="C1393" s="135" t="s">
        <v>851</v>
      </c>
      <c r="D1393" s="7">
        <v>45800</v>
      </c>
      <c r="E1393" s="8">
        <v>-4761.87</v>
      </c>
      <c r="F1393" s="8"/>
      <c r="G1393"/>
      <c r="H1393"/>
      <c r="I1393"/>
      <c r="J1393"/>
      <c r="K1393"/>
      <c r="L1393"/>
      <c r="M1393"/>
      <c r="N1393"/>
      <c r="O1393"/>
    </row>
    <row r="1394" spans="1:15" s="44" customFormat="1" x14ac:dyDescent="0.3">
      <c r="A1394"/>
      <c r="B1394" t="s">
        <v>819</v>
      </c>
      <c r="C1394" s="135" t="s">
        <v>851</v>
      </c>
      <c r="D1394" s="7">
        <v>45800</v>
      </c>
      <c r="E1394" s="8">
        <v>-17744.22</v>
      </c>
      <c r="F1394" s="8"/>
      <c r="G1394"/>
      <c r="H1394"/>
      <c r="I1394"/>
      <c r="J1394"/>
      <c r="K1394"/>
      <c r="L1394"/>
      <c r="M1394"/>
      <c r="N1394"/>
      <c r="O1394"/>
    </row>
    <row r="1395" spans="1:15" s="44" customFormat="1" x14ac:dyDescent="0.3">
      <c r="A1395"/>
      <c r="B1395" t="s">
        <v>819</v>
      </c>
      <c r="C1395" s="135" t="s">
        <v>851</v>
      </c>
      <c r="D1395" s="7">
        <v>45800</v>
      </c>
      <c r="E1395" s="8">
        <v>-19262.05</v>
      </c>
      <c r="F1395" s="8"/>
      <c r="G1395"/>
      <c r="H1395"/>
      <c r="I1395"/>
      <c r="J1395"/>
      <c r="K1395"/>
      <c r="L1395"/>
      <c r="M1395"/>
      <c r="N1395"/>
      <c r="O1395"/>
    </row>
    <row r="1396" spans="1:15" s="44" customFormat="1" x14ac:dyDescent="0.3">
      <c r="A1396"/>
      <c r="B1396" t="s">
        <v>819</v>
      </c>
      <c r="C1396" s="135" t="s">
        <v>24</v>
      </c>
      <c r="D1396" s="7">
        <v>45804</v>
      </c>
      <c r="E1396" s="8">
        <v>-20128</v>
      </c>
      <c r="F1396" s="8"/>
      <c r="G1396"/>
      <c r="H1396"/>
      <c r="I1396"/>
      <c r="J1396"/>
      <c r="K1396"/>
      <c r="L1396"/>
      <c r="M1396"/>
      <c r="N1396"/>
      <c r="O1396"/>
    </row>
    <row r="1397" spans="1:15" s="44" customFormat="1" x14ac:dyDescent="0.3">
      <c r="A1397"/>
      <c r="B1397" t="s">
        <v>819</v>
      </c>
      <c r="C1397" s="135" t="s">
        <v>852</v>
      </c>
      <c r="D1397" s="7">
        <v>45805</v>
      </c>
      <c r="E1397" s="8">
        <v>5334.22</v>
      </c>
      <c r="F1397" s="8"/>
      <c r="G1397"/>
      <c r="H1397"/>
      <c r="I1397"/>
      <c r="J1397"/>
      <c r="K1397"/>
      <c r="L1397"/>
      <c r="M1397"/>
      <c r="N1397"/>
      <c r="O1397"/>
    </row>
    <row r="1398" spans="1:15" s="44" customFormat="1" x14ac:dyDescent="0.3">
      <c r="A1398"/>
      <c r="B1398" t="s">
        <v>819</v>
      </c>
      <c r="C1398" s="135" t="s">
        <v>326</v>
      </c>
      <c r="D1398" s="7">
        <v>45806</v>
      </c>
      <c r="E1398" s="8">
        <v>39392.93</v>
      </c>
      <c r="F1398" s="8"/>
      <c r="G1398"/>
      <c r="H1398"/>
      <c r="I1398"/>
      <c r="J1398"/>
      <c r="K1398"/>
      <c r="L1398"/>
      <c r="M1398"/>
      <c r="N1398"/>
      <c r="O1398"/>
    </row>
    <row r="1399" spans="1:15" s="44" customFormat="1" x14ac:dyDescent="0.3">
      <c r="A1399"/>
      <c r="B1399" t="s">
        <v>819</v>
      </c>
      <c r="C1399" s="135" t="s">
        <v>852</v>
      </c>
      <c r="D1399" s="7">
        <v>45807</v>
      </c>
      <c r="E1399" s="8">
        <v>7201.53</v>
      </c>
      <c r="F1399" s="8"/>
      <c r="G1399"/>
      <c r="H1399"/>
      <c r="I1399"/>
      <c r="J1399"/>
      <c r="K1399"/>
      <c r="L1399"/>
      <c r="M1399"/>
      <c r="N1399"/>
      <c r="O1399"/>
    </row>
    <row r="1400" spans="1:15" s="44" customFormat="1" x14ac:dyDescent="0.3">
      <c r="A1400"/>
      <c r="B1400" t="s">
        <v>819</v>
      </c>
      <c r="C1400" s="135" t="s">
        <v>852</v>
      </c>
      <c r="D1400" s="7">
        <v>45807</v>
      </c>
      <c r="E1400" s="8">
        <v>13971.54</v>
      </c>
      <c r="F1400" s="8"/>
      <c r="G1400"/>
      <c r="H1400"/>
      <c r="I1400"/>
      <c r="J1400"/>
      <c r="K1400"/>
      <c r="L1400"/>
      <c r="M1400"/>
      <c r="N1400"/>
      <c r="O1400"/>
    </row>
    <row r="1401" spans="1:15" s="44" customFormat="1" x14ac:dyDescent="0.3">
      <c r="A1401"/>
      <c r="B1401" t="s">
        <v>819</v>
      </c>
      <c r="C1401" s="135" t="s">
        <v>94</v>
      </c>
      <c r="D1401" s="7">
        <v>45807</v>
      </c>
      <c r="E1401" s="8">
        <v>-2835.65</v>
      </c>
      <c r="F1401" s="8"/>
      <c r="G1401"/>
      <c r="H1401"/>
      <c r="I1401"/>
      <c r="J1401"/>
      <c r="K1401"/>
      <c r="L1401"/>
      <c r="M1401"/>
      <c r="N1401"/>
      <c r="O1401"/>
    </row>
    <row r="1402" spans="1:15" s="44" customFormat="1" x14ac:dyDescent="0.3">
      <c r="A1402"/>
      <c r="B1402" t="s">
        <v>819</v>
      </c>
      <c r="C1402" s="135" t="s">
        <v>853</v>
      </c>
      <c r="D1402" s="7">
        <v>45810</v>
      </c>
      <c r="E1402" s="8">
        <v>-2315</v>
      </c>
      <c r="F1402" s="8"/>
      <c r="G1402"/>
      <c r="H1402"/>
      <c r="I1402"/>
      <c r="J1402"/>
      <c r="K1402"/>
      <c r="L1402"/>
      <c r="M1402"/>
      <c r="N1402"/>
      <c r="O1402"/>
    </row>
    <row r="1403" spans="1:15" s="44" customFormat="1" x14ac:dyDescent="0.3">
      <c r="A1403"/>
      <c r="B1403" t="s">
        <v>819</v>
      </c>
      <c r="C1403" s="135" t="s">
        <v>16</v>
      </c>
      <c r="D1403" s="7">
        <v>45824</v>
      </c>
      <c r="E1403" s="8">
        <v>-22521.01</v>
      </c>
      <c r="F1403" s="8"/>
      <c r="G1403"/>
      <c r="H1403"/>
      <c r="I1403"/>
      <c r="J1403"/>
      <c r="K1403"/>
      <c r="L1403"/>
      <c r="M1403"/>
      <c r="N1403"/>
      <c r="O1403"/>
    </row>
    <row r="1404" spans="1:15" s="44" customFormat="1" x14ac:dyDescent="0.3">
      <c r="A1404"/>
      <c r="B1404" t="s">
        <v>819</v>
      </c>
      <c r="C1404" s="135" t="s">
        <v>16</v>
      </c>
      <c r="D1404" s="7">
        <v>45824</v>
      </c>
      <c r="E1404" s="8">
        <v>-38448.519999999997</v>
      </c>
      <c r="F1404" s="8"/>
      <c r="G1404"/>
      <c r="H1404"/>
      <c r="I1404"/>
      <c r="J1404"/>
      <c r="K1404"/>
      <c r="L1404"/>
      <c r="M1404"/>
      <c r="N1404"/>
      <c r="O1404"/>
    </row>
    <row r="1405" spans="1:15" s="44" customFormat="1" x14ac:dyDescent="0.3">
      <c r="A1405"/>
      <c r="B1405" t="s">
        <v>819</v>
      </c>
      <c r="C1405" s="135" t="s">
        <v>16</v>
      </c>
      <c r="D1405" s="7">
        <v>45824</v>
      </c>
      <c r="E1405" s="8">
        <v>-2222.44</v>
      </c>
      <c r="F1405" s="8"/>
      <c r="G1405"/>
      <c r="H1405"/>
      <c r="I1405"/>
      <c r="J1405"/>
      <c r="K1405"/>
      <c r="L1405"/>
      <c r="M1405"/>
      <c r="N1405"/>
      <c r="O1405"/>
    </row>
    <row r="1406" spans="1:15" s="44" customFormat="1" x14ac:dyDescent="0.3">
      <c r="A1406"/>
      <c r="B1406" t="s">
        <v>819</v>
      </c>
      <c r="C1406" s="135" t="s">
        <v>16</v>
      </c>
      <c r="D1406" s="7">
        <v>45824</v>
      </c>
      <c r="E1406" s="8">
        <v>-31846.45</v>
      </c>
      <c r="F1406" s="8"/>
      <c r="G1406"/>
      <c r="H1406"/>
      <c r="I1406"/>
      <c r="J1406"/>
      <c r="K1406"/>
      <c r="L1406"/>
      <c r="M1406"/>
      <c r="N1406"/>
      <c r="O1406"/>
    </row>
    <row r="1407" spans="1:15" s="44" customFormat="1" x14ac:dyDescent="0.3">
      <c r="A1407"/>
      <c r="B1407" t="s">
        <v>819</v>
      </c>
      <c r="C1407" s="135" t="s">
        <v>16</v>
      </c>
      <c r="D1407" s="7">
        <v>45824</v>
      </c>
      <c r="E1407" s="8">
        <v>-11023</v>
      </c>
      <c r="F1407" s="8"/>
      <c r="G1407"/>
      <c r="H1407"/>
      <c r="I1407"/>
      <c r="J1407"/>
      <c r="K1407"/>
      <c r="L1407"/>
      <c r="M1407"/>
      <c r="N1407"/>
      <c r="O1407"/>
    </row>
    <row r="1408" spans="1:15" s="44" customFormat="1" x14ac:dyDescent="0.3">
      <c r="A1408"/>
      <c r="B1408" t="s">
        <v>819</v>
      </c>
      <c r="C1408" s="135" t="s">
        <v>16</v>
      </c>
      <c r="D1408" s="7">
        <v>45824</v>
      </c>
      <c r="E1408" s="8">
        <v>-5137.88</v>
      </c>
      <c r="F1408" s="8"/>
      <c r="G1408"/>
      <c r="H1408"/>
      <c r="I1408"/>
      <c r="J1408"/>
      <c r="K1408"/>
      <c r="L1408"/>
      <c r="M1408"/>
      <c r="N1408"/>
      <c r="O1408"/>
    </row>
    <row r="1409" spans="1:15" s="44" customFormat="1" x14ac:dyDescent="0.3">
      <c r="A1409"/>
      <c r="B1409" t="s">
        <v>819</v>
      </c>
      <c r="C1409" s="135" t="s">
        <v>16</v>
      </c>
      <c r="D1409" s="7">
        <v>45824</v>
      </c>
      <c r="E1409" s="8">
        <v>-5080.2</v>
      </c>
      <c r="F1409" s="8"/>
      <c r="G1409"/>
      <c r="H1409"/>
      <c r="I1409"/>
      <c r="J1409"/>
      <c r="K1409"/>
      <c r="L1409"/>
      <c r="M1409"/>
      <c r="N1409"/>
      <c r="O1409"/>
    </row>
    <row r="1410" spans="1:15" s="44" customFormat="1" x14ac:dyDescent="0.3">
      <c r="A1410"/>
      <c r="B1410" t="s">
        <v>819</v>
      </c>
      <c r="C1410" s="135" t="s">
        <v>16</v>
      </c>
      <c r="D1410" s="7">
        <v>45824</v>
      </c>
      <c r="E1410" s="8">
        <v>-10367.06</v>
      </c>
      <c r="F1410" s="8"/>
      <c r="G1410"/>
      <c r="H1410"/>
      <c r="I1410"/>
      <c r="J1410"/>
      <c r="K1410"/>
      <c r="L1410"/>
      <c r="M1410"/>
      <c r="N1410"/>
      <c r="O1410"/>
    </row>
    <row r="1411" spans="1:15" s="44" customFormat="1" x14ac:dyDescent="0.3">
      <c r="A1411"/>
      <c r="B1411" t="s">
        <v>819</v>
      </c>
      <c r="C1411" s="135" t="s">
        <v>16</v>
      </c>
      <c r="D1411" s="7">
        <v>45824</v>
      </c>
      <c r="E1411" s="8">
        <v>-2477.66</v>
      </c>
      <c r="F1411" s="8"/>
      <c r="G1411"/>
      <c r="H1411"/>
      <c r="I1411"/>
      <c r="J1411"/>
      <c r="K1411"/>
      <c r="L1411"/>
      <c r="M1411"/>
      <c r="N1411"/>
      <c r="O1411"/>
    </row>
    <row r="1412" spans="1:15" s="44" customFormat="1" x14ac:dyDescent="0.3">
      <c r="A1412"/>
      <c r="B1412" t="s">
        <v>819</v>
      </c>
      <c r="C1412" s="135" t="s">
        <v>16</v>
      </c>
      <c r="D1412" s="7">
        <v>45824</v>
      </c>
      <c r="E1412" s="8">
        <v>-5781.19</v>
      </c>
      <c r="F1412" s="8"/>
      <c r="G1412"/>
      <c r="H1412"/>
      <c r="I1412"/>
      <c r="J1412"/>
      <c r="K1412"/>
      <c r="L1412"/>
      <c r="M1412"/>
      <c r="N1412"/>
      <c r="O1412"/>
    </row>
    <row r="1413" spans="1:15" s="44" customFormat="1" x14ac:dyDescent="0.3">
      <c r="A1413"/>
      <c r="B1413" t="s">
        <v>819</v>
      </c>
      <c r="C1413" s="135" t="s">
        <v>854</v>
      </c>
      <c r="D1413" s="7">
        <v>45826</v>
      </c>
      <c r="E1413" s="8">
        <v>-32394.27</v>
      </c>
      <c r="F1413" s="8"/>
      <c r="G1413"/>
      <c r="H1413"/>
      <c r="I1413"/>
      <c r="J1413"/>
      <c r="K1413"/>
      <c r="L1413"/>
      <c r="M1413"/>
      <c r="N1413"/>
      <c r="O1413"/>
    </row>
    <row r="1414" spans="1:15" s="44" customFormat="1" x14ac:dyDescent="0.3">
      <c r="A1414"/>
      <c r="B1414" t="s">
        <v>819</v>
      </c>
      <c r="C1414" s="44">
        <v>20250630</v>
      </c>
      <c r="D1414" s="7">
        <v>45838</v>
      </c>
      <c r="E1414" s="8">
        <v>6669</v>
      </c>
      <c r="F1414" s="8"/>
      <c r="G1414"/>
      <c r="H1414"/>
      <c r="I1414"/>
      <c r="J1414"/>
      <c r="K1414"/>
      <c r="L1414"/>
      <c r="M1414"/>
      <c r="N1414"/>
      <c r="O1414"/>
    </row>
    <row r="1415" spans="1:15" s="44" customFormat="1" x14ac:dyDescent="0.3">
      <c r="A1415"/>
      <c r="B1415" t="s">
        <v>819</v>
      </c>
      <c r="C1415" s="135" t="s">
        <v>855</v>
      </c>
      <c r="D1415" s="7">
        <v>45838</v>
      </c>
      <c r="E1415" s="8">
        <v>5386.05</v>
      </c>
      <c r="F1415" s="8"/>
      <c r="G1415"/>
      <c r="H1415"/>
      <c r="I1415"/>
      <c r="J1415"/>
      <c r="K1415"/>
      <c r="L1415"/>
      <c r="M1415"/>
      <c r="N1415"/>
      <c r="O1415"/>
    </row>
    <row r="1416" spans="1:15" s="44" customFormat="1" x14ac:dyDescent="0.3">
      <c r="A1416"/>
      <c r="B1416" t="s">
        <v>819</v>
      </c>
      <c r="C1416" s="135" t="s">
        <v>856</v>
      </c>
      <c r="D1416" s="7">
        <v>45838</v>
      </c>
      <c r="E1416" s="8">
        <v>919.1</v>
      </c>
      <c r="F1416" s="8"/>
      <c r="G1416"/>
      <c r="H1416"/>
      <c r="I1416"/>
      <c r="J1416"/>
      <c r="K1416"/>
      <c r="L1416"/>
      <c r="M1416"/>
      <c r="N1416"/>
      <c r="O1416"/>
    </row>
    <row r="1417" spans="1:15" s="44" customFormat="1" x14ac:dyDescent="0.3">
      <c r="A1417"/>
      <c r="B1417" t="s">
        <v>819</v>
      </c>
      <c r="C1417" s="135" t="s">
        <v>857</v>
      </c>
      <c r="D1417" s="7">
        <v>45838</v>
      </c>
      <c r="E1417" s="8">
        <v>1323</v>
      </c>
      <c r="F1417" s="8"/>
      <c r="G1417"/>
      <c r="H1417"/>
      <c r="I1417"/>
      <c r="J1417"/>
      <c r="K1417"/>
      <c r="L1417"/>
      <c r="M1417"/>
      <c r="N1417"/>
      <c r="O1417"/>
    </row>
    <row r="1418" spans="1:15" s="44" customFormat="1" x14ac:dyDescent="0.3">
      <c r="A1418"/>
      <c r="B1418" t="s">
        <v>819</v>
      </c>
      <c r="C1418" s="135" t="s">
        <v>858</v>
      </c>
      <c r="D1418" s="7">
        <v>45838</v>
      </c>
      <c r="E1418" s="8">
        <v>90</v>
      </c>
      <c r="F1418" s="8"/>
      <c r="G1418"/>
      <c r="H1418"/>
      <c r="I1418"/>
      <c r="J1418"/>
      <c r="K1418"/>
      <c r="L1418"/>
      <c r="M1418"/>
      <c r="N1418"/>
      <c r="O1418"/>
    </row>
    <row r="1419" spans="1:15" s="44" customFormat="1" x14ac:dyDescent="0.3">
      <c r="A1419"/>
      <c r="B1419" t="s">
        <v>859</v>
      </c>
      <c r="C1419" s="135" t="s">
        <v>87</v>
      </c>
      <c r="D1419" s="7">
        <v>45806</v>
      </c>
      <c r="E1419" s="8">
        <v>-248.51</v>
      </c>
      <c r="F1419" s="8"/>
      <c r="G1419"/>
      <c r="H1419"/>
      <c r="I1419"/>
      <c r="J1419"/>
      <c r="K1419"/>
      <c r="L1419"/>
      <c r="M1419"/>
      <c r="N1419"/>
      <c r="O1419"/>
    </row>
    <row r="1420" spans="1:15" s="44" customFormat="1" x14ac:dyDescent="0.3">
      <c r="A1420"/>
      <c r="B1420" t="s">
        <v>860</v>
      </c>
      <c r="C1420" s="44">
        <v>999184577</v>
      </c>
      <c r="D1420" s="7">
        <v>45776</v>
      </c>
      <c r="E1420" s="8">
        <v>42908.51</v>
      </c>
      <c r="F1420" s="8"/>
      <c r="G1420"/>
      <c r="H1420"/>
      <c r="I1420"/>
      <c r="J1420"/>
      <c r="K1420"/>
      <c r="L1420"/>
      <c r="M1420"/>
      <c r="N1420"/>
      <c r="O1420"/>
    </row>
    <row r="1421" spans="1:15" s="44" customFormat="1" x14ac:dyDescent="0.3">
      <c r="A1421"/>
      <c r="B1421" t="s">
        <v>860</v>
      </c>
      <c r="C1421" s="44">
        <v>999184610</v>
      </c>
      <c r="D1421" s="7">
        <v>45777</v>
      </c>
      <c r="E1421" s="8">
        <v>36626.660000000003</v>
      </c>
      <c r="F1421" s="8"/>
      <c r="G1421"/>
      <c r="H1421"/>
      <c r="I1421"/>
      <c r="J1421"/>
      <c r="K1421"/>
      <c r="L1421"/>
      <c r="M1421"/>
      <c r="N1421"/>
      <c r="O1421"/>
    </row>
    <row r="1422" spans="1:15" s="44" customFormat="1" x14ac:dyDescent="0.3">
      <c r="A1422"/>
      <c r="B1422" t="s">
        <v>860</v>
      </c>
      <c r="C1422" s="135" t="s">
        <v>25</v>
      </c>
      <c r="D1422" s="7">
        <v>45810</v>
      </c>
      <c r="E1422" s="8">
        <v>-737.86</v>
      </c>
      <c r="F1422" s="8"/>
      <c r="G1422"/>
      <c r="H1422"/>
      <c r="I1422"/>
      <c r="J1422"/>
      <c r="K1422"/>
      <c r="L1422"/>
      <c r="M1422"/>
      <c r="N1422"/>
      <c r="O1422"/>
    </row>
    <row r="1423" spans="1:15" s="44" customFormat="1" x14ac:dyDescent="0.3">
      <c r="A1423"/>
      <c r="B1423" t="s">
        <v>860</v>
      </c>
      <c r="C1423" s="135" t="s">
        <v>861</v>
      </c>
      <c r="D1423" s="7">
        <v>45829</v>
      </c>
      <c r="E1423" s="8">
        <v>-25755.06</v>
      </c>
      <c r="F1423" s="8"/>
      <c r="G1423"/>
      <c r="H1423"/>
      <c r="I1423"/>
      <c r="J1423"/>
      <c r="K1423"/>
      <c r="L1423"/>
      <c r="M1423"/>
      <c r="N1423"/>
      <c r="O1423"/>
    </row>
    <row r="1424" spans="1:15" s="44" customFormat="1" x14ac:dyDescent="0.3">
      <c r="A1424"/>
      <c r="B1424" t="s">
        <v>860</v>
      </c>
      <c r="C1424" s="44">
        <v>999186726</v>
      </c>
      <c r="D1424" s="7">
        <v>45834</v>
      </c>
      <c r="E1424" s="8">
        <v>39437.82</v>
      </c>
      <c r="F1424" s="8"/>
      <c r="G1424"/>
      <c r="H1424"/>
      <c r="I1424"/>
      <c r="J1424"/>
      <c r="K1424"/>
      <c r="L1424"/>
      <c r="M1424"/>
      <c r="N1424"/>
      <c r="O1424"/>
    </row>
    <row r="1425" spans="1:15" s="44" customFormat="1" x14ac:dyDescent="0.3">
      <c r="A1425"/>
      <c r="B1425" t="s">
        <v>862</v>
      </c>
      <c r="C1425" s="44">
        <v>999151243</v>
      </c>
      <c r="D1425" s="7">
        <v>45183</v>
      </c>
      <c r="E1425" s="8">
        <v>5203.87</v>
      </c>
      <c r="F1425" s="8"/>
      <c r="G1425"/>
      <c r="H1425"/>
      <c r="I1425"/>
      <c r="J1425"/>
      <c r="K1425"/>
      <c r="L1425"/>
      <c r="M1425"/>
      <c r="N1425"/>
      <c r="O1425"/>
    </row>
    <row r="1426" spans="1:15" s="44" customFormat="1" x14ac:dyDescent="0.3">
      <c r="A1426"/>
      <c r="B1426" t="s">
        <v>862</v>
      </c>
      <c r="C1426" s="44">
        <v>999184573</v>
      </c>
      <c r="D1426" s="7">
        <v>45776</v>
      </c>
      <c r="E1426" s="8">
        <v>23854.799999999999</v>
      </c>
      <c r="F1426" s="8"/>
      <c r="G1426"/>
      <c r="H1426"/>
      <c r="I1426"/>
      <c r="J1426"/>
      <c r="K1426"/>
      <c r="L1426"/>
      <c r="M1426"/>
      <c r="N1426"/>
      <c r="O1426"/>
    </row>
    <row r="1427" spans="1:15" s="44" customFormat="1" x14ac:dyDescent="0.3">
      <c r="A1427"/>
      <c r="B1427" t="s">
        <v>862</v>
      </c>
      <c r="C1427" s="44">
        <v>999185190</v>
      </c>
      <c r="D1427" s="7">
        <v>45791</v>
      </c>
      <c r="E1427" s="8">
        <v>21384.86</v>
      </c>
      <c r="F1427" s="8"/>
      <c r="G1427"/>
      <c r="H1427"/>
      <c r="I1427"/>
      <c r="J1427"/>
      <c r="K1427"/>
      <c r="L1427"/>
      <c r="M1427"/>
      <c r="N1427"/>
      <c r="O1427"/>
    </row>
    <row r="1428" spans="1:15" s="44" customFormat="1" x14ac:dyDescent="0.3">
      <c r="A1428"/>
      <c r="B1428" t="s">
        <v>863</v>
      </c>
      <c r="C1428" s="135" t="s">
        <v>864</v>
      </c>
      <c r="D1428" s="7">
        <v>45622</v>
      </c>
      <c r="E1428" s="8">
        <v>-260</v>
      </c>
      <c r="F1428" s="8"/>
      <c r="G1428"/>
      <c r="H1428"/>
      <c r="I1428"/>
      <c r="J1428"/>
      <c r="K1428"/>
      <c r="L1428"/>
      <c r="M1428"/>
      <c r="N1428"/>
      <c r="O1428"/>
    </row>
    <row r="1429" spans="1:15" s="44" customFormat="1" x14ac:dyDescent="0.3">
      <c r="A1429"/>
      <c r="B1429" t="s">
        <v>863</v>
      </c>
      <c r="C1429" s="135" t="s">
        <v>864</v>
      </c>
      <c r="D1429" s="7">
        <v>45622</v>
      </c>
      <c r="E1429" s="8">
        <v>-8194</v>
      </c>
      <c r="F1429" s="8"/>
      <c r="G1429"/>
      <c r="H1429"/>
      <c r="I1429"/>
      <c r="J1429"/>
      <c r="K1429"/>
      <c r="L1429"/>
      <c r="M1429"/>
      <c r="N1429"/>
      <c r="O1429"/>
    </row>
    <row r="1430" spans="1:15" s="44" customFormat="1" x14ac:dyDescent="0.3">
      <c r="A1430"/>
      <c r="B1430" t="s">
        <v>865</v>
      </c>
      <c r="C1430" s="135" t="s">
        <v>866</v>
      </c>
      <c r="D1430" s="7">
        <v>45792</v>
      </c>
      <c r="E1430" s="8">
        <v>4783.1099999999997</v>
      </c>
      <c r="F1430" s="8"/>
      <c r="G1430"/>
      <c r="H1430"/>
      <c r="I1430"/>
      <c r="J1430"/>
      <c r="K1430"/>
      <c r="L1430"/>
      <c r="M1430"/>
      <c r="N1430"/>
      <c r="O1430"/>
    </row>
    <row r="1431" spans="1:15" s="44" customFormat="1" x14ac:dyDescent="0.3">
      <c r="A1431"/>
      <c r="B1431" t="s">
        <v>867</v>
      </c>
      <c r="C1431" s="135" t="s">
        <v>868</v>
      </c>
      <c r="D1431" s="7">
        <v>45838</v>
      </c>
      <c r="E1431" s="8">
        <v>2020.39</v>
      </c>
      <c r="F1431" s="8"/>
      <c r="G1431"/>
      <c r="H1431"/>
      <c r="I1431"/>
      <c r="J1431"/>
      <c r="K1431"/>
      <c r="L1431"/>
      <c r="M1431"/>
      <c r="N1431"/>
      <c r="O1431"/>
    </row>
    <row r="1432" spans="1:15" s="44" customFormat="1" x14ac:dyDescent="0.3">
      <c r="A1432"/>
      <c r="B1432" t="s">
        <v>869</v>
      </c>
      <c r="C1432" s="135" t="s">
        <v>870</v>
      </c>
      <c r="D1432" s="7">
        <v>45108</v>
      </c>
      <c r="E1432" s="8">
        <v>502.31</v>
      </c>
      <c r="F1432" s="8"/>
      <c r="G1432"/>
      <c r="H1432"/>
      <c r="I1432"/>
      <c r="J1432"/>
      <c r="K1432"/>
      <c r="L1432"/>
      <c r="M1432"/>
      <c r="N1432"/>
      <c r="O1432"/>
    </row>
    <row r="1433" spans="1:15" s="44" customFormat="1" x14ac:dyDescent="0.3">
      <c r="A1433"/>
      <c r="B1433" t="s">
        <v>869</v>
      </c>
      <c r="C1433" s="44">
        <v>20250630</v>
      </c>
      <c r="D1433" s="7">
        <v>45838</v>
      </c>
      <c r="E1433" s="8">
        <v>1497.6</v>
      </c>
      <c r="F1433" s="8"/>
      <c r="G1433"/>
      <c r="H1433"/>
      <c r="I1433"/>
      <c r="J1433"/>
      <c r="K1433"/>
      <c r="L1433"/>
      <c r="M1433"/>
      <c r="N1433"/>
      <c r="O1433"/>
    </row>
    <row r="1434" spans="1:15" s="44" customFormat="1" x14ac:dyDescent="0.3">
      <c r="A1434"/>
      <c r="B1434" t="s">
        <v>871</v>
      </c>
      <c r="C1434" s="138" t="s">
        <v>872</v>
      </c>
      <c r="D1434" s="7">
        <v>45754</v>
      </c>
      <c r="E1434" s="8">
        <v>-862.7</v>
      </c>
      <c r="F1434" s="8"/>
      <c r="G1434"/>
      <c r="H1434"/>
      <c r="I1434"/>
      <c r="J1434"/>
      <c r="K1434"/>
      <c r="L1434"/>
      <c r="M1434"/>
      <c r="N1434"/>
      <c r="O1434"/>
    </row>
    <row r="1435" spans="1:15" s="44" customFormat="1" x14ac:dyDescent="0.3">
      <c r="A1435"/>
      <c r="B1435" t="s">
        <v>873</v>
      </c>
      <c r="C1435" s="44">
        <v>1101363409</v>
      </c>
      <c r="D1435" s="7">
        <v>45597</v>
      </c>
      <c r="E1435" s="8">
        <v>50</v>
      </c>
      <c r="F1435" s="8"/>
      <c r="G1435"/>
      <c r="H1435"/>
      <c r="I1435"/>
      <c r="J1435"/>
      <c r="K1435"/>
      <c r="L1435"/>
      <c r="M1435"/>
      <c r="N1435"/>
      <c r="O1435"/>
    </row>
    <row r="1436" spans="1:15" s="44" customFormat="1" x14ac:dyDescent="0.3">
      <c r="A1436"/>
      <c r="B1436" t="s">
        <v>873</v>
      </c>
      <c r="C1436" s="44">
        <v>1101363409</v>
      </c>
      <c r="D1436" s="7">
        <v>45597</v>
      </c>
      <c r="E1436" s="8">
        <v>50</v>
      </c>
      <c r="F1436" s="8"/>
      <c r="G1436"/>
      <c r="H1436"/>
      <c r="I1436"/>
      <c r="J1436"/>
      <c r="K1436"/>
      <c r="L1436"/>
      <c r="M1436"/>
      <c r="N1436"/>
      <c r="O1436"/>
    </row>
    <row r="1437" spans="1:15" s="44" customFormat="1" x14ac:dyDescent="0.3">
      <c r="A1437"/>
      <c r="B1437" t="s">
        <v>874</v>
      </c>
      <c r="C1437" s="44">
        <v>23012784</v>
      </c>
      <c r="D1437" s="7">
        <v>45373</v>
      </c>
      <c r="E1437" s="8">
        <v>941.94</v>
      </c>
      <c r="F1437" s="8"/>
      <c r="G1437"/>
      <c r="H1437"/>
      <c r="I1437"/>
      <c r="J1437"/>
      <c r="K1437"/>
      <c r="L1437"/>
      <c r="M1437"/>
      <c r="N1437"/>
      <c r="O1437"/>
    </row>
    <row r="1438" spans="1:15" s="44" customFormat="1" x14ac:dyDescent="0.3">
      <c r="A1438"/>
      <c r="B1438" t="s">
        <v>874</v>
      </c>
      <c r="C1438" s="135" t="s">
        <v>24</v>
      </c>
      <c r="D1438" s="7">
        <v>45804</v>
      </c>
      <c r="E1438" s="8">
        <v>-120.97</v>
      </c>
      <c r="F1438" s="8"/>
      <c r="G1438"/>
      <c r="H1438"/>
      <c r="I1438"/>
      <c r="J1438"/>
      <c r="K1438"/>
      <c r="L1438"/>
      <c r="M1438"/>
      <c r="N1438"/>
      <c r="O1438"/>
    </row>
    <row r="1439" spans="1:15" s="44" customFormat="1" x14ac:dyDescent="0.3">
      <c r="A1439"/>
      <c r="B1439" t="s">
        <v>874</v>
      </c>
      <c r="C1439" s="135" t="s">
        <v>24</v>
      </c>
      <c r="D1439" s="7">
        <v>45804</v>
      </c>
      <c r="E1439" s="8">
        <v>-55.37</v>
      </c>
      <c r="F1439" s="8"/>
      <c r="G1439"/>
      <c r="H1439"/>
      <c r="I1439"/>
      <c r="J1439"/>
      <c r="K1439"/>
      <c r="L1439"/>
      <c r="M1439"/>
      <c r="N1439"/>
      <c r="O1439"/>
    </row>
    <row r="1440" spans="1:15" s="44" customFormat="1" x14ac:dyDescent="0.3">
      <c r="A1440"/>
      <c r="B1440" t="s">
        <v>874</v>
      </c>
      <c r="C1440" s="135" t="s">
        <v>24</v>
      </c>
      <c r="D1440" s="7">
        <v>45804</v>
      </c>
      <c r="E1440" s="8">
        <v>-3756.61</v>
      </c>
      <c r="F1440" s="8"/>
      <c r="G1440"/>
      <c r="H1440"/>
      <c r="I1440"/>
      <c r="J1440"/>
      <c r="K1440"/>
      <c r="L1440"/>
      <c r="M1440"/>
      <c r="N1440"/>
      <c r="O1440"/>
    </row>
    <row r="1441" spans="1:15" s="44" customFormat="1" x14ac:dyDescent="0.3">
      <c r="A1441"/>
      <c r="B1441" t="s">
        <v>874</v>
      </c>
      <c r="C1441" s="138" t="s">
        <v>875</v>
      </c>
      <c r="D1441" s="7">
        <v>45824</v>
      </c>
      <c r="E1441" s="8">
        <v>-8548.6299999999992</v>
      </c>
      <c r="F1441" s="8"/>
      <c r="G1441"/>
      <c r="H1441"/>
      <c r="I1441"/>
      <c r="J1441"/>
      <c r="K1441"/>
      <c r="L1441"/>
      <c r="M1441"/>
      <c r="N1441"/>
      <c r="O1441"/>
    </row>
    <row r="1442" spans="1:15" s="44" customFormat="1" x14ac:dyDescent="0.3">
      <c r="A1442"/>
      <c r="B1442" t="s">
        <v>874</v>
      </c>
      <c r="C1442" s="135" t="s">
        <v>16</v>
      </c>
      <c r="D1442" s="7">
        <v>45824</v>
      </c>
      <c r="E1442" s="8">
        <v>-2110.9499999999998</v>
      </c>
      <c r="F1442" s="8"/>
      <c r="G1442"/>
      <c r="H1442"/>
      <c r="I1442"/>
      <c r="J1442"/>
      <c r="K1442"/>
      <c r="L1442"/>
      <c r="M1442"/>
      <c r="N1442"/>
      <c r="O1442"/>
    </row>
    <row r="1443" spans="1:15" s="44" customFormat="1" x14ac:dyDescent="0.3">
      <c r="A1443"/>
      <c r="B1443" t="s">
        <v>874</v>
      </c>
      <c r="C1443" s="135" t="s">
        <v>16</v>
      </c>
      <c r="D1443" s="7">
        <v>45824</v>
      </c>
      <c r="E1443" s="8">
        <v>-10286.98</v>
      </c>
      <c r="F1443" s="8"/>
      <c r="G1443"/>
      <c r="H1443"/>
      <c r="I1443"/>
      <c r="J1443"/>
      <c r="K1443"/>
      <c r="L1443"/>
      <c r="M1443"/>
      <c r="N1443"/>
      <c r="O1443"/>
    </row>
    <row r="1444" spans="1:15" s="44" customFormat="1" x14ac:dyDescent="0.3">
      <c r="A1444"/>
      <c r="B1444" t="s">
        <v>874</v>
      </c>
      <c r="C1444" s="135" t="s">
        <v>16</v>
      </c>
      <c r="D1444" s="7">
        <v>45824</v>
      </c>
      <c r="E1444" s="8">
        <v>-4255.96</v>
      </c>
      <c r="F1444" s="8"/>
      <c r="G1444"/>
      <c r="H1444"/>
      <c r="I1444"/>
      <c r="J1444"/>
      <c r="K1444"/>
      <c r="L1444"/>
      <c r="M1444"/>
      <c r="N1444"/>
      <c r="O1444"/>
    </row>
    <row r="1445" spans="1:15" s="44" customFormat="1" x14ac:dyDescent="0.3">
      <c r="A1445"/>
      <c r="B1445" t="s">
        <v>876</v>
      </c>
      <c r="C1445" s="44">
        <v>14298381</v>
      </c>
      <c r="D1445" s="7">
        <v>45671</v>
      </c>
      <c r="E1445" s="8">
        <v>2575</v>
      </c>
      <c r="F1445" s="8"/>
      <c r="G1445"/>
      <c r="H1445"/>
      <c r="I1445"/>
      <c r="J1445"/>
      <c r="K1445"/>
      <c r="L1445"/>
      <c r="M1445"/>
      <c r="N1445"/>
      <c r="O1445"/>
    </row>
    <row r="1446" spans="1:15" s="44" customFormat="1" x14ac:dyDescent="0.3">
      <c r="A1446"/>
      <c r="B1446" t="s">
        <v>876</v>
      </c>
      <c r="C1446" s="44">
        <v>14298381</v>
      </c>
      <c r="D1446" s="7">
        <v>45671</v>
      </c>
      <c r="E1446" s="8">
        <v>2575</v>
      </c>
      <c r="F1446" s="8"/>
      <c r="G1446"/>
      <c r="H1446"/>
      <c r="I1446"/>
      <c r="J1446"/>
      <c r="K1446"/>
      <c r="L1446"/>
      <c r="M1446"/>
      <c r="N1446"/>
      <c r="O1446"/>
    </row>
    <row r="1447" spans="1:15" s="44" customFormat="1" x14ac:dyDescent="0.3">
      <c r="A1447"/>
      <c r="B1447" t="s">
        <v>876</v>
      </c>
      <c r="C1447" s="135" t="s">
        <v>877</v>
      </c>
      <c r="D1447" s="7">
        <v>45688</v>
      </c>
      <c r="E1447" s="8">
        <v>68</v>
      </c>
      <c r="F1447" s="8"/>
      <c r="G1447"/>
      <c r="H1447"/>
      <c r="I1447"/>
      <c r="J1447"/>
      <c r="K1447"/>
      <c r="L1447"/>
      <c r="M1447"/>
      <c r="N1447"/>
      <c r="O1447"/>
    </row>
    <row r="1448" spans="1:15" s="44" customFormat="1" x14ac:dyDescent="0.3">
      <c r="A1448"/>
      <c r="B1448" t="s">
        <v>876</v>
      </c>
      <c r="C1448" s="44">
        <v>14518920</v>
      </c>
      <c r="D1448" s="7">
        <v>45735</v>
      </c>
      <c r="E1448" s="8">
        <v>0.1</v>
      </c>
      <c r="F1448" s="8"/>
      <c r="G1448"/>
      <c r="H1448"/>
      <c r="I1448"/>
      <c r="J1448"/>
      <c r="K1448"/>
      <c r="L1448"/>
      <c r="M1448"/>
      <c r="N1448"/>
      <c r="O1448"/>
    </row>
    <row r="1449" spans="1:15" s="44" customFormat="1" x14ac:dyDescent="0.3">
      <c r="A1449"/>
      <c r="B1449" t="s">
        <v>876</v>
      </c>
      <c r="C1449" s="135" t="s">
        <v>878</v>
      </c>
      <c r="D1449" s="7">
        <v>45751</v>
      </c>
      <c r="E1449" s="8">
        <v>668.5</v>
      </c>
      <c r="F1449" s="8"/>
      <c r="G1449"/>
      <c r="H1449"/>
      <c r="I1449"/>
      <c r="J1449"/>
      <c r="K1449"/>
      <c r="L1449"/>
      <c r="M1449"/>
      <c r="N1449"/>
      <c r="O1449"/>
    </row>
    <row r="1450" spans="1:15" x14ac:dyDescent="0.3">
      <c r="B1450" t="s">
        <v>879</v>
      </c>
      <c r="C1450" s="135" t="s">
        <v>564</v>
      </c>
      <c r="D1450" s="7">
        <v>45749</v>
      </c>
      <c r="E1450" s="8">
        <v>-174.25</v>
      </c>
      <c r="F1450" s="8"/>
    </row>
    <row r="1451" spans="1:15" x14ac:dyDescent="0.3">
      <c r="B1451" t="s">
        <v>879</v>
      </c>
      <c r="C1451" s="138" t="s">
        <v>880</v>
      </c>
      <c r="D1451" s="7">
        <v>45750</v>
      </c>
      <c r="E1451" s="8">
        <v>-1366.16</v>
      </c>
      <c r="F1451" s="8"/>
    </row>
    <row r="1452" spans="1:15" x14ac:dyDescent="0.3">
      <c r="B1452" t="s">
        <v>879</v>
      </c>
      <c r="C1452" s="44">
        <v>664</v>
      </c>
      <c r="D1452" s="7">
        <v>45757</v>
      </c>
      <c r="E1452" s="8">
        <v>-18269.599999999999</v>
      </c>
      <c r="F1452" s="8"/>
    </row>
    <row r="1453" spans="1:15" x14ac:dyDescent="0.3">
      <c r="B1453" t="s">
        <v>879</v>
      </c>
      <c r="C1453" s="135" t="s">
        <v>881</v>
      </c>
      <c r="D1453" s="7">
        <v>45770</v>
      </c>
      <c r="E1453" s="8">
        <v>-325.91000000000003</v>
      </c>
      <c r="F1453" s="8"/>
    </row>
    <row r="1454" spans="1:15" x14ac:dyDescent="0.3">
      <c r="B1454" t="s">
        <v>882</v>
      </c>
      <c r="C1454" s="44">
        <v>27375</v>
      </c>
      <c r="D1454" s="7">
        <v>45490</v>
      </c>
      <c r="E1454" s="8">
        <v>-676.2</v>
      </c>
      <c r="F1454" s="8"/>
    </row>
    <row r="1455" spans="1:15" x14ac:dyDescent="0.3">
      <c r="B1455" t="s">
        <v>882</v>
      </c>
      <c r="C1455" s="138" t="s">
        <v>883</v>
      </c>
      <c r="D1455" s="7">
        <v>45667</v>
      </c>
      <c r="E1455" s="8">
        <v>-2115</v>
      </c>
      <c r="F1455" s="8"/>
    </row>
    <row r="1456" spans="1:15" x14ac:dyDescent="0.3">
      <c r="B1456" t="s">
        <v>884</v>
      </c>
      <c r="C1456" s="44">
        <v>20250630</v>
      </c>
      <c r="D1456" s="7">
        <v>45838</v>
      </c>
      <c r="E1456" s="8">
        <v>3756.61</v>
      </c>
      <c r="F1456" s="8"/>
    </row>
    <row r="1457" spans="2:6" x14ac:dyDescent="0.3">
      <c r="B1457" t="s">
        <v>885</v>
      </c>
      <c r="C1457" s="135" t="s">
        <v>886</v>
      </c>
      <c r="D1457" s="7">
        <v>45709</v>
      </c>
      <c r="E1457" s="8">
        <v>1008.51</v>
      </c>
      <c r="F1457" s="8"/>
    </row>
    <row r="1458" spans="2:6" x14ac:dyDescent="0.3">
      <c r="B1458" t="s">
        <v>887</v>
      </c>
      <c r="C1458" s="135" t="s">
        <v>888</v>
      </c>
      <c r="D1458" s="7">
        <v>45691</v>
      </c>
      <c r="E1458" s="8">
        <v>217.3</v>
      </c>
      <c r="F1458" s="8"/>
    </row>
    <row r="1459" spans="2:6" x14ac:dyDescent="0.3">
      <c r="B1459" t="s">
        <v>887</v>
      </c>
      <c r="C1459" s="135" t="s">
        <v>889</v>
      </c>
      <c r="D1459" s="7">
        <v>45698</v>
      </c>
      <c r="E1459" s="8">
        <v>513</v>
      </c>
      <c r="F1459" s="8"/>
    </row>
    <row r="1460" spans="2:6" x14ac:dyDescent="0.3">
      <c r="B1460" t="s">
        <v>887</v>
      </c>
      <c r="C1460" s="135" t="s">
        <v>890</v>
      </c>
      <c r="D1460" s="7">
        <v>45701</v>
      </c>
      <c r="E1460" s="8">
        <v>363.08</v>
      </c>
      <c r="F1460" s="8"/>
    </row>
    <row r="1461" spans="2:6" x14ac:dyDescent="0.3">
      <c r="B1461" t="s">
        <v>887</v>
      </c>
      <c r="C1461" s="135" t="s">
        <v>891</v>
      </c>
      <c r="D1461" s="7">
        <v>45702</v>
      </c>
      <c r="E1461" s="8">
        <v>0.27</v>
      </c>
      <c r="F1461" s="8"/>
    </row>
    <row r="1462" spans="2:6" x14ac:dyDescent="0.3">
      <c r="B1462" t="s">
        <v>887</v>
      </c>
      <c r="C1462" s="135" t="s">
        <v>892</v>
      </c>
      <c r="D1462" s="7">
        <v>45713</v>
      </c>
      <c r="E1462" s="8">
        <v>130.94999999999999</v>
      </c>
      <c r="F1462" s="8"/>
    </row>
    <row r="1463" spans="2:6" x14ac:dyDescent="0.3">
      <c r="B1463" t="s">
        <v>887</v>
      </c>
      <c r="C1463" s="135" t="s">
        <v>893</v>
      </c>
      <c r="D1463" s="7">
        <v>45716</v>
      </c>
      <c r="E1463" s="8">
        <v>135.34</v>
      </c>
      <c r="F1463" s="8"/>
    </row>
    <row r="1464" spans="2:6" x14ac:dyDescent="0.3">
      <c r="B1464" t="s">
        <v>887</v>
      </c>
      <c r="C1464" s="135" t="s">
        <v>894</v>
      </c>
      <c r="D1464" s="7">
        <v>45716</v>
      </c>
      <c r="E1464" s="8">
        <v>139.69999999999999</v>
      </c>
      <c r="F1464" s="8"/>
    </row>
    <row r="1465" spans="2:6" x14ac:dyDescent="0.3">
      <c r="B1465" t="s">
        <v>887</v>
      </c>
      <c r="C1465" s="135" t="s">
        <v>894</v>
      </c>
      <c r="D1465" s="7">
        <v>45716</v>
      </c>
      <c r="E1465" s="8">
        <v>140</v>
      </c>
      <c r="F1465" s="8"/>
    </row>
    <row r="1466" spans="2:6" x14ac:dyDescent="0.3">
      <c r="B1466" t="s">
        <v>887</v>
      </c>
      <c r="C1466" s="135" t="s">
        <v>895</v>
      </c>
      <c r="D1466" s="7">
        <v>45723</v>
      </c>
      <c r="E1466" s="8">
        <v>78.08</v>
      </c>
      <c r="F1466" s="8"/>
    </row>
    <row r="1467" spans="2:6" x14ac:dyDescent="0.3">
      <c r="B1467" t="s">
        <v>887</v>
      </c>
      <c r="C1467" s="135" t="s">
        <v>889</v>
      </c>
      <c r="D1467" s="7">
        <v>45726</v>
      </c>
      <c r="E1467" s="8">
        <v>513</v>
      </c>
      <c r="F1467" s="8"/>
    </row>
    <row r="1468" spans="2:6" x14ac:dyDescent="0.3">
      <c r="B1468" t="s">
        <v>887</v>
      </c>
      <c r="C1468" s="135" t="s">
        <v>889</v>
      </c>
      <c r="D1468" s="7">
        <v>45726</v>
      </c>
      <c r="E1468" s="8">
        <v>513</v>
      </c>
      <c r="F1468" s="8"/>
    </row>
    <row r="1469" spans="2:6" x14ac:dyDescent="0.3">
      <c r="B1469" t="s">
        <v>887</v>
      </c>
      <c r="C1469" s="135" t="s">
        <v>889</v>
      </c>
      <c r="D1469" s="7">
        <v>45726</v>
      </c>
      <c r="E1469" s="8">
        <v>512.66</v>
      </c>
      <c r="F1469" s="8"/>
    </row>
    <row r="1470" spans="2:6" x14ac:dyDescent="0.3">
      <c r="B1470" t="s">
        <v>887</v>
      </c>
      <c r="C1470" s="135" t="s">
        <v>896</v>
      </c>
      <c r="D1470" s="7">
        <v>45727</v>
      </c>
      <c r="E1470" s="8">
        <v>815</v>
      </c>
      <c r="F1470" s="8"/>
    </row>
    <row r="1471" spans="2:6" x14ac:dyDescent="0.3">
      <c r="B1471" t="s">
        <v>887</v>
      </c>
      <c r="C1471" s="135" t="s">
        <v>896</v>
      </c>
      <c r="D1471" s="7">
        <v>45727</v>
      </c>
      <c r="E1471" s="8">
        <v>815</v>
      </c>
      <c r="F1471" s="8"/>
    </row>
    <row r="1472" spans="2:6" x14ac:dyDescent="0.3">
      <c r="B1472" t="s">
        <v>887</v>
      </c>
      <c r="C1472" s="135" t="s">
        <v>896</v>
      </c>
      <c r="D1472" s="7">
        <v>45727</v>
      </c>
      <c r="E1472" s="8">
        <v>815</v>
      </c>
      <c r="F1472" s="8"/>
    </row>
    <row r="1473" spans="1:15" x14ac:dyDescent="0.3">
      <c r="B1473" t="s">
        <v>887</v>
      </c>
      <c r="C1473" s="135" t="s">
        <v>896</v>
      </c>
      <c r="D1473" s="7">
        <v>45727</v>
      </c>
      <c r="E1473" s="8">
        <v>815.63</v>
      </c>
      <c r="F1473" s="8"/>
    </row>
    <row r="1474" spans="1:15" x14ac:dyDescent="0.3">
      <c r="B1474" t="s">
        <v>887</v>
      </c>
      <c r="C1474" s="135" t="s">
        <v>897</v>
      </c>
      <c r="D1474" s="7">
        <v>45740</v>
      </c>
      <c r="E1474" s="8">
        <v>-40.64</v>
      </c>
      <c r="F1474" s="8"/>
    </row>
    <row r="1475" spans="1:15" x14ac:dyDescent="0.3">
      <c r="B1475" t="s">
        <v>887</v>
      </c>
      <c r="C1475" s="135" t="s">
        <v>897</v>
      </c>
      <c r="D1475" s="7">
        <v>45740</v>
      </c>
      <c r="E1475" s="8">
        <v>-2.62</v>
      </c>
      <c r="F1475" s="8"/>
    </row>
    <row r="1476" spans="1:15" x14ac:dyDescent="0.3">
      <c r="B1476" t="s">
        <v>887</v>
      </c>
      <c r="C1476" s="135" t="s">
        <v>897</v>
      </c>
      <c r="D1476" s="7">
        <v>45740</v>
      </c>
      <c r="E1476" s="8">
        <v>-0.57999999999999996</v>
      </c>
      <c r="F1476" s="8"/>
    </row>
    <row r="1477" spans="1:15" x14ac:dyDescent="0.3">
      <c r="B1477" t="s">
        <v>887</v>
      </c>
      <c r="C1477" s="135" t="s">
        <v>897</v>
      </c>
      <c r="D1477" s="7">
        <v>45740</v>
      </c>
      <c r="E1477" s="8">
        <v>-55.33</v>
      </c>
      <c r="F1477" s="8"/>
    </row>
    <row r="1478" spans="1:15" x14ac:dyDescent="0.3">
      <c r="B1478" t="s">
        <v>887</v>
      </c>
      <c r="C1478" s="135" t="s">
        <v>897</v>
      </c>
      <c r="D1478" s="7">
        <v>45740</v>
      </c>
      <c r="E1478" s="8">
        <v>-5312.29</v>
      </c>
      <c r="F1478" s="8"/>
    </row>
    <row r="1479" spans="1:15" x14ac:dyDescent="0.3">
      <c r="B1479" t="s">
        <v>887</v>
      </c>
      <c r="C1479" s="12" t="s">
        <v>898</v>
      </c>
      <c r="D1479" s="7">
        <v>45740</v>
      </c>
      <c r="E1479" s="8">
        <v>-415.04</v>
      </c>
      <c r="F1479" s="8"/>
    </row>
    <row r="1480" spans="1:15" x14ac:dyDescent="0.3">
      <c r="B1480" t="s">
        <v>887</v>
      </c>
      <c r="C1480" s="12" t="s">
        <v>899</v>
      </c>
      <c r="D1480" s="7">
        <v>45740</v>
      </c>
      <c r="E1480" s="8">
        <v>-32.71</v>
      </c>
      <c r="F1480" s="8"/>
    </row>
    <row r="1481" spans="1:15" x14ac:dyDescent="0.3">
      <c r="B1481" t="s">
        <v>887</v>
      </c>
      <c r="C1481" s="12" t="s">
        <v>900</v>
      </c>
      <c r="D1481" s="7">
        <v>45740</v>
      </c>
      <c r="E1481" s="8">
        <v>-32.71</v>
      </c>
      <c r="F1481" s="8"/>
    </row>
    <row r="1482" spans="1:15" s="44" customFormat="1" x14ac:dyDescent="0.3">
      <c r="A1482"/>
      <c r="B1482" t="s">
        <v>887</v>
      </c>
      <c r="C1482" s="12" t="s">
        <v>901</v>
      </c>
      <c r="D1482" s="7">
        <v>45740</v>
      </c>
      <c r="E1482" s="8">
        <v>-209.03</v>
      </c>
      <c r="F1482" s="8"/>
      <c r="G1482"/>
      <c r="H1482"/>
      <c r="I1482"/>
      <c r="J1482"/>
      <c r="K1482"/>
      <c r="L1482"/>
      <c r="M1482"/>
      <c r="N1482"/>
      <c r="O1482"/>
    </row>
    <row r="1483" spans="1:15" s="44" customFormat="1" x14ac:dyDescent="0.3">
      <c r="A1483"/>
      <c r="B1483" t="s">
        <v>887</v>
      </c>
      <c r="C1483" s="135" t="s">
        <v>902</v>
      </c>
      <c r="D1483" s="7">
        <v>45777</v>
      </c>
      <c r="E1483" s="8">
        <v>2599.9499999999998</v>
      </c>
      <c r="F1483" s="8"/>
      <c r="G1483"/>
      <c r="H1483"/>
      <c r="I1483"/>
      <c r="J1483"/>
      <c r="K1483"/>
      <c r="L1483"/>
      <c r="M1483"/>
      <c r="N1483"/>
      <c r="O1483"/>
    </row>
    <row r="1484" spans="1:15" s="44" customFormat="1" x14ac:dyDescent="0.3">
      <c r="A1484"/>
      <c r="B1484" t="s">
        <v>887</v>
      </c>
      <c r="C1484" s="135" t="s">
        <v>903</v>
      </c>
      <c r="D1484" s="7">
        <v>45824</v>
      </c>
      <c r="E1484" s="8">
        <v>4529</v>
      </c>
      <c r="F1484" s="8"/>
      <c r="G1484"/>
      <c r="H1484"/>
      <c r="I1484"/>
      <c r="J1484"/>
      <c r="K1484"/>
      <c r="L1484"/>
      <c r="M1484"/>
      <c r="N1484"/>
      <c r="O1484"/>
    </row>
    <row r="1485" spans="1:15" s="44" customFormat="1" x14ac:dyDescent="0.3">
      <c r="A1485"/>
      <c r="B1485" t="s">
        <v>887</v>
      </c>
      <c r="C1485" s="135" t="s">
        <v>903</v>
      </c>
      <c r="D1485" s="7">
        <v>45824</v>
      </c>
      <c r="E1485" s="8">
        <v>4528.0200000000004</v>
      </c>
      <c r="F1485" s="8"/>
      <c r="G1485"/>
      <c r="H1485"/>
      <c r="I1485"/>
      <c r="J1485"/>
      <c r="K1485"/>
      <c r="L1485"/>
      <c r="M1485"/>
      <c r="N1485"/>
      <c r="O1485"/>
    </row>
    <row r="1486" spans="1:15" s="44" customFormat="1" x14ac:dyDescent="0.3">
      <c r="A1486"/>
      <c r="B1486" t="s">
        <v>887</v>
      </c>
      <c r="C1486" s="135" t="s">
        <v>904</v>
      </c>
      <c r="D1486" s="7">
        <v>45832</v>
      </c>
      <c r="E1486" s="8">
        <v>-48626.44</v>
      </c>
      <c r="F1486" s="8"/>
      <c r="G1486"/>
      <c r="H1486"/>
      <c r="I1486"/>
      <c r="J1486"/>
      <c r="K1486"/>
      <c r="L1486"/>
      <c r="M1486"/>
      <c r="N1486"/>
      <c r="O1486"/>
    </row>
    <row r="1487" spans="1:15" s="44" customFormat="1" x14ac:dyDescent="0.3">
      <c r="A1487"/>
      <c r="B1487" t="s">
        <v>905</v>
      </c>
      <c r="C1487" s="135" t="s">
        <v>906</v>
      </c>
      <c r="D1487" s="7">
        <v>45505</v>
      </c>
      <c r="E1487" s="8">
        <v>720.82</v>
      </c>
      <c r="F1487" s="8"/>
      <c r="G1487"/>
      <c r="H1487"/>
      <c r="I1487"/>
      <c r="J1487"/>
      <c r="K1487"/>
      <c r="L1487"/>
      <c r="M1487"/>
      <c r="N1487"/>
      <c r="O1487"/>
    </row>
    <row r="1488" spans="1:15" s="44" customFormat="1" x14ac:dyDescent="0.3">
      <c r="A1488"/>
      <c r="B1488" t="s">
        <v>907</v>
      </c>
      <c r="C1488" s="138" t="s">
        <v>908</v>
      </c>
      <c r="D1488" s="7">
        <v>45771</v>
      </c>
      <c r="E1488" s="8">
        <v>-10595.3</v>
      </c>
      <c r="F1488" s="8"/>
      <c r="G1488"/>
      <c r="H1488"/>
      <c r="I1488"/>
      <c r="J1488"/>
      <c r="K1488"/>
      <c r="L1488"/>
      <c r="M1488"/>
      <c r="N1488"/>
      <c r="O1488"/>
    </row>
    <row r="1489" spans="1:15" s="44" customFormat="1" x14ac:dyDescent="0.3">
      <c r="A1489"/>
      <c r="B1489" t="s">
        <v>907</v>
      </c>
      <c r="C1489" s="135" t="s">
        <v>446</v>
      </c>
      <c r="D1489" s="7">
        <v>45776</v>
      </c>
      <c r="E1489" s="8">
        <v>-932.31</v>
      </c>
      <c r="F1489" s="8"/>
      <c r="G1489"/>
      <c r="H1489"/>
      <c r="I1489"/>
      <c r="J1489"/>
      <c r="K1489"/>
      <c r="L1489"/>
      <c r="M1489"/>
      <c r="N1489"/>
      <c r="O1489"/>
    </row>
    <row r="1490" spans="1:15" s="44" customFormat="1" x14ac:dyDescent="0.3">
      <c r="A1490"/>
      <c r="B1490" t="s">
        <v>907</v>
      </c>
      <c r="C1490" s="135" t="s">
        <v>94</v>
      </c>
      <c r="D1490" s="7">
        <v>45809</v>
      </c>
      <c r="E1490" s="8">
        <v>-75.760000000000005</v>
      </c>
      <c r="F1490" s="8"/>
      <c r="G1490"/>
      <c r="H1490"/>
      <c r="I1490"/>
      <c r="J1490"/>
      <c r="K1490"/>
      <c r="L1490"/>
      <c r="M1490"/>
      <c r="N1490"/>
      <c r="O1490"/>
    </row>
    <row r="1491" spans="1:15" s="44" customFormat="1" x14ac:dyDescent="0.3">
      <c r="A1491"/>
      <c r="B1491" t="s">
        <v>907</v>
      </c>
      <c r="C1491" s="135" t="s">
        <v>94</v>
      </c>
      <c r="D1491" s="7">
        <v>45809</v>
      </c>
      <c r="E1491" s="8">
        <v>-1441.27</v>
      </c>
      <c r="F1491" s="8"/>
      <c r="G1491"/>
      <c r="H1491"/>
      <c r="I1491"/>
      <c r="J1491"/>
      <c r="K1491"/>
      <c r="L1491"/>
      <c r="M1491"/>
      <c r="N1491"/>
      <c r="O1491"/>
    </row>
    <row r="1492" spans="1:15" s="44" customFormat="1" x14ac:dyDescent="0.3">
      <c r="A1492"/>
      <c r="B1492" t="s">
        <v>907</v>
      </c>
      <c r="C1492" s="138" t="s">
        <v>883</v>
      </c>
      <c r="D1492" s="7">
        <v>45824</v>
      </c>
      <c r="E1492" s="8">
        <v>-968.08</v>
      </c>
      <c r="F1492" s="8"/>
      <c r="G1492"/>
      <c r="H1492"/>
      <c r="I1492"/>
      <c r="J1492"/>
      <c r="K1492"/>
      <c r="L1492"/>
      <c r="M1492"/>
      <c r="N1492"/>
      <c r="O1492"/>
    </row>
    <row r="1493" spans="1:15" s="44" customFormat="1" x14ac:dyDescent="0.3">
      <c r="A1493"/>
      <c r="B1493" t="s">
        <v>907</v>
      </c>
      <c r="C1493" s="138" t="s">
        <v>909</v>
      </c>
      <c r="D1493" s="7">
        <v>45826</v>
      </c>
      <c r="E1493" s="8">
        <v>-10595.3</v>
      </c>
      <c r="F1493" s="8"/>
      <c r="G1493"/>
      <c r="H1493"/>
      <c r="I1493"/>
      <c r="J1493"/>
      <c r="K1493"/>
      <c r="L1493"/>
      <c r="M1493"/>
      <c r="N1493"/>
      <c r="O1493"/>
    </row>
    <row r="1494" spans="1:15" s="44" customFormat="1" x14ac:dyDescent="0.3">
      <c r="A1494"/>
      <c r="B1494" t="s">
        <v>907</v>
      </c>
      <c r="C1494" s="138" t="s">
        <v>910</v>
      </c>
      <c r="D1494" s="7">
        <v>45833</v>
      </c>
      <c r="E1494" s="8">
        <v>-4881.37</v>
      </c>
      <c r="F1494" s="8"/>
      <c r="G1494"/>
      <c r="H1494"/>
      <c r="I1494"/>
      <c r="J1494"/>
      <c r="K1494"/>
      <c r="L1494"/>
      <c r="M1494"/>
      <c r="N1494"/>
      <c r="O1494"/>
    </row>
    <row r="1495" spans="1:15" s="44" customFormat="1" x14ac:dyDescent="0.3">
      <c r="A1495"/>
      <c r="B1495" t="s">
        <v>911</v>
      </c>
      <c r="C1495" s="44">
        <v>188009241</v>
      </c>
      <c r="D1495" s="7">
        <v>45673</v>
      </c>
      <c r="E1495" s="8">
        <v>827.38</v>
      </c>
      <c r="F1495" s="8"/>
      <c r="G1495"/>
      <c r="H1495"/>
      <c r="I1495"/>
      <c r="J1495"/>
      <c r="K1495"/>
      <c r="L1495"/>
      <c r="M1495"/>
      <c r="N1495"/>
      <c r="O1495"/>
    </row>
    <row r="1496" spans="1:15" s="44" customFormat="1" x14ac:dyDescent="0.3">
      <c r="A1496"/>
      <c r="B1496" t="s">
        <v>911</v>
      </c>
      <c r="C1496" s="44">
        <v>188009476</v>
      </c>
      <c r="D1496" s="7">
        <v>45673</v>
      </c>
      <c r="E1496" s="8">
        <v>767.5</v>
      </c>
      <c r="F1496" s="8"/>
      <c r="G1496"/>
      <c r="H1496"/>
      <c r="I1496"/>
      <c r="J1496"/>
      <c r="K1496"/>
      <c r="L1496"/>
      <c r="M1496"/>
      <c r="N1496"/>
      <c r="O1496"/>
    </row>
    <row r="1497" spans="1:15" s="44" customFormat="1" x14ac:dyDescent="0.3">
      <c r="A1497"/>
      <c r="B1497" t="s">
        <v>911</v>
      </c>
      <c r="C1497" s="44">
        <v>188169574</v>
      </c>
      <c r="D1497" s="7">
        <v>45678</v>
      </c>
      <c r="E1497" s="8">
        <v>620.59</v>
      </c>
      <c r="F1497" s="8"/>
      <c r="G1497"/>
      <c r="H1497"/>
      <c r="I1497"/>
      <c r="J1497"/>
      <c r="K1497"/>
      <c r="L1497"/>
      <c r="M1497"/>
      <c r="N1497"/>
      <c r="O1497"/>
    </row>
    <row r="1498" spans="1:15" s="44" customFormat="1" x14ac:dyDescent="0.3">
      <c r="A1498"/>
      <c r="B1498" t="s">
        <v>911</v>
      </c>
      <c r="C1498" s="44">
        <v>188248104</v>
      </c>
      <c r="D1498" s="7">
        <v>45679</v>
      </c>
      <c r="E1498" s="8">
        <v>767.5</v>
      </c>
      <c r="F1498" s="8"/>
      <c r="G1498"/>
      <c r="H1498"/>
      <c r="I1498"/>
      <c r="J1498"/>
      <c r="K1498"/>
      <c r="L1498"/>
      <c r="M1498"/>
      <c r="N1498"/>
      <c r="O1498"/>
    </row>
    <row r="1499" spans="1:15" s="44" customFormat="1" x14ac:dyDescent="0.3">
      <c r="A1499"/>
      <c r="B1499" t="s">
        <v>911</v>
      </c>
      <c r="C1499" s="44">
        <v>194719434</v>
      </c>
      <c r="D1499" s="7">
        <v>45835</v>
      </c>
      <c r="E1499" s="8">
        <v>226.8</v>
      </c>
      <c r="F1499" s="8"/>
      <c r="G1499"/>
      <c r="H1499"/>
      <c r="I1499"/>
      <c r="J1499"/>
      <c r="K1499"/>
      <c r="L1499"/>
      <c r="M1499"/>
      <c r="N1499"/>
      <c r="O1499"/>
    </row>
    <row r="1500" spans="1:15" s="44" customFormat="1" x14ac:dyDescent="0.3">
      <c r="A1500"/>
      <c r="B1500" t="s">
        <v>912</v>
      </c>
      <c r="C1500" s="44">
        <v>1343718</v>
      </c>
      <c r="D1500" s="7">
        <v>45733</v>
      </c>
      <c r="E1500" s="8">
        <v>4309</v>
      </c>
      <c r="F1500" s="8"/>
      <c r="G1500"/>
      <c r="H1500"/>
      <c r="I1500"/>
      <c r="J1500"/>
      <c r="K1500"/>
      <c r="L1500"/>
      <c r="M1500"/>
      <c r="N1500"/>
      <c r="O1500"/>
    </row>
    <row r="1501" spans="1:15" s="44" customFormat="1" x14ac:dyDescent="0.3">
      <c r="A1501"/>
      <c r="B1501" t="s">
        <v>912</v>
      </c>
      <c r="C1501" s="44">
        <v>1253518</v>
      </c>
      <c r="D1501" s="7">
        <v>45827</v>
      </c>
      <c r="E1501" s="8">
        <v>5340</v>
      </c>
      <c r="F1501" s="8"/>
      <c r="G1501"/>
      <c r="H1501"/>
      <c r="I1501"/>
      <c r="J1501"/>
      <c r="K1501"/>
      <c r="L1501"/>
      <c r="M1501"/>
      <c r="N1501"/>
      <c r="O1501"/>
    </row>
    <row r="1502" spans="1:15" s="44" customFormat="1" x14ac:dyDescent="0.3">
      <c r="A1502"/>
      <c r="B1502" t="s">
        <v>913</v>
      </c>
      <c r="C1502" s="44">
        <v>33048</v>
      </c>
      <c r="D1502" s="7">
        <v>45838</v>
      </c>
      <c r="E1502" s="8">
        <v>3220</v>
      </c>
      <c r="F1502" s="8"/>
      <c r="G1502"/>
      <c r="H1502"/>
      <c r="I1502"/>
      <c r="J1502"/>
      <c r="K1502"/>
      <c r="L1502"/>
      <c r="M1502"/>
      <c r="N1502"/>
      <c r="O1502"/>
    </row>
    <row r="1503" spans="1:15" s="44" customFormat="1" x14ac:dyDescent="0.3">
      <c r="A1503"/>
      <c r="B1503" t="s">
        <v>914</v>
      </c>
      <c r="C1503" s="44">
        <v>142055</v>
      </c>
      <c r="D1503" s="7">
        <v>45658</v>
      </c>
      <c r="E1503" s="8">
        <v>149.04</v>
      </c>
      <c r="F1503" s="8"/>
      <c r="G1503"/>
      <c r="H1503"/>
      <c r="I1503"/>
      <c r="J1503"/>
      <c r="K1503"/>
      <c r="L1503"/>
      <c r="M1503"/>
      <c r="N1503"/>
      <c r="O1503"/>
    </row>
    <row r="1504" spans="1:15" s="44" customFormat="1" x14ac:dyDescent="0.3">
      <c r="A1504"/>
      <c r="B1504" t="s">
        <v>914</v>
      </c>
      <c r="C1504" s="44">
        <v>142361</v>
      </c>
      <c r="D1504" s="7">
        <v>45716</v>
      </c>
      <c r="E1504" s="8">
        <v>1783.09</v>
      </c>
      <c r="F1504" s="8"/>
      <c r="G1504"/>
      <c r="H1504"/>
      <c r="I1504"/>
      <c r="J1504"/>
      <c r="K1504"/>
      <c r="L1504"/>
      <c r="M1504"/>
      <c r="N1504"/>
      <c r="O1504"/>
    </row>
    <row r="1505" spans="1:15" s="44" customFormat="1" x14ac:dyDescent="0.3">
      <c r="A1505"/>
      <c r="B1505" t="s">
        <v>914</v>
      </c>
      <c r="C1505" s="44">
        <v>142500</v>
      </c>
      <c r="D1505" s="7">
        <v>45747</v>
      </c>
      <c r="E1505" s="8">
        <v>858.52</v>
      </c>
      <c r="F1505" s="8"/>
      <c r="G1505"/>
      <c r="H1505"/>
      <c r="I1505"/>
      <c r="J1505"/>
      <c r="K1505"/>
      <c r="L1505"/>
      <c r="M1505"/>
      <c r="N1505"/>
      <c r="O1505"/>
    </row>
    <row r="1506" spans="1:15" s="44" customFormat="1" x14ac:dyDescent="0.3">
      <c r="A1506"/>
      <c r="B1506" t="s">
        <v>914</v>
      </c>
      <c r="C1506" s="44">
        <v>142654</v>
      </c>
      <c r="D1506" s="7">
        <v>45777</v>
      </c>
      <c r="E1506" s="8">
        <v>190.4</v>
      </c>
      <c r="F1506" s="8"/>
      <c r="G1506"/>
      <c r="H1506"/>
      <c r="I1506"/>
      <c r="J1506"/>
      <c r="K1506"/>
      <c r="L1506"/>
      <c r="M1506"/>
      <c r="N1506"/>
      <c r="O1506"/>
    </row>
    <row r="1507" spans="1:15" s="44" customFormat="1" x14ac:dyDescent="0.3">
      <c r="A1507"/>
      <c r="B1507" t="s">
        <v>914</v>
      </c>
      <c r="C1507" s="44">
        <v>142812</v>
      </c>
      <c r="D1507" s="7">
        <v>45808</v>
      </c>
      <c r="E1507" s="8">
        <v>106.56</v>
      </c>
      <c r="F1507" s="8"/>
      <c r="G1507"/>
      <c r="H1507"/>
      <c r="I1507"/>
      <c r="J1507"/>
      <c r="K1507"/>
      <c r="L1507"/>
      <c r="M1507"/>
      <c r="N1507"/>
      <c r="O1507"/>
    </row>
    <row r="1508" spans="1:15" s="44" customFormat="1" x14ac:dyDescent="0.3">
      <c r="A1508"/>
      <c r="B1508" t="s">
        <v>914</v>
      </c>
      <c r="C1508" s="44">
        <v>142963</v>
      </c>
      <c r="D1508" s="7">
        <v>45838</v>
      </c>
      <c r="E1508" s="8">
        <v>227.03</v>
      </c>
      <c r="F1508" s="8"/>
      <c r="G1508"/>
      <c r="H1508"/>
      <c r="I1508"/>
      <c r="J1508"/>
      <c r="K1508"/>
      <c r="L1508"/>
      <c r="M1508"/>
      <c r="N1508"/>
      <c r="O1508"/>
    </row>
    <row r="1509" spans="1:15" s="44" customFormat="1" x14ac:dyDescent="0.3">
      <c r="A1509"/>
      <c r="B1509" t="s">
        <v>915</v>
      </c>
      <c r="C1509" s="44">
        <v>247514092</v>
      </c>
      <c r="D1509" s="7">
        <v>45779</v>
      </c>
      <c r="E1509" s="8">
        <v>927.45</v>
      </c>
      <c r="F1509" s="8"/>
      <c r="G1509"/>
      <c r="H1509"/>
      <c r="I1509"/>
      <c r="J1509"/>
      <c r="K1509"/>
      <c r="L1509"/>
      <c r="M1509"/>
      <c r="N1509"/>
      <c r="O1509"/>
    </row>
    <row r="1510" spans="1:15" s="44" customFormat="1" x14ac:dyDescent="0.3">
      <c r="A1510"/>
      <c r="B1510" t="s">
        <v>916</v>
      </c>
      <c r="C1510" s="135" t="s">
        <v>917</v>
      </c>
      <c r="D1510" s="7">
        <v>45502</v>
      </c>
      <c r="E1510" s="8">
        <v>6064</v>
      </c>
      <c r="F1510" s="8"/>
      <c r="G1510"/>
      <c r="H1510"/>
      <c r="I1510"/>
      <c r="J1510"/>
      <c r="K1510"/>
      <c r="L1510"/>
      <c r="M1510"/>
      <c r="N1510"/>
      <c r="O1510"/>
    </row>
    <row r="1511" spans="1:15" s="44" customFormat="1" x14ac:dyDescent="0.3">
      <c r="A1511"/>
      <c r="B1511" t="s">
        <v>918</v>
      </c>
      <c r="C1511" s="44">
        <v>20250630</v>
      </c>
      <c r="D1511" s="7">
        <v>45838</v>
      </c>
      <c r="E1511" s="8">
        <v>2505.11</v>
      </c>
      <c r="F1511" s="8"/>
      <c r="G1511"/>
      <c r="H1511"/>
      <c r="I1511"/>
      <c r="J1511"/>
      <c r="K1511"/>
      <c r="L1511"/>
      <c r="M1511"/>
      <c r="N1511"/>
      <c r="O1511"/>
    </row>
    <row r="1512" spans="1:15" s="44" customFormat="1" x14ac:dyDescent="0.3">
      <c r="A1512"/>
      <c r="B1512" t="s">
        <v>919</v>
      </c>
      <c r="C1512" s="135" t="s">
        <v>920</v>
      </c>
      <c r="D1512" s="7">
        <v>45814</v>
      </c>
      <c r="E1512" s="8">
        <v>622.85</v>
      </c>
      <c r="F1512" s="8"/>
      <c r="G1512"/>
      <c r="H1512"/>
      <c r="I1512"/>
      <c r="J1512"/>
      <c r="K1512"/>
      <c r="L1512"/>
      <c r="M1512"/>
      <c r="N1512"/>
      <c r="O1512"/>
    </row>
    <row r="1513" spans="1:15" s="44" customFormat="1" x14ac:dyDescent="0.3">
      <c r="A1513"/>
      <c r="B1513" t="s">
        <v>921</v>
      </c>
      <c r="C1513" s="138" t="s">
        <v>922</v>
      </c>
      <c r="D1513" s="7">
        <v>45833</v>
      </c>
      <c r="E1513" s="8">
        <v>-1508.22</v>
      </c>
      <c r="F1513" s="8"/>
      <c r="G1513"/>
      <c r="H1513"/>
      <c r="I1513"/>
      <c r="J1513"/>
      <c r="K1513"/>
      <c r="L1513"/>
      <c r="M1513"/>
      <c r="N1513"/>
      <c r="O1513"/>
    </row>
    <row r="1514" spans="1:15" s="44" customFormat="1" x14ac:dyDescent="0.3">
      <c r="A1514"/>
      <c r="B1514" t="s">
        <v>923</v>
      </c>
      <c r="C1514" s="44">
        <v>41279</v>
      </c>
      <c r="D1514" s="7">
        <v>45740</v>
      </c>
      <c r="E1514" s="8">
        <v>3171.3</v>
      </c>
      <c r="F1514" s="8"/>
      <c r="G1514"/>
      <c r="H1514"/>
      <c r="I1514"/>
      <c r="J1514"/>
      <c r="K1514"/>
      <c r="L1514"/>
      <c r="M1514"/>
      <c r="N1514"/>
      <c r="O1514"/>
    </row>
    <row r="1515" spans="1:15" s="44" customFormat="1" x14ac:dyDescent="0.3">
      <c r="A1515"/>
      <c r="B1515" t="s">
        <v>923</v>
      </c>
      <c r="C1515" s="135" t="s">
        <v>924</v>
      </c>
      <c r="D1515" s="7">
        <v>45805</v>
      </c>
      <c r="E1515" s="8">
        <v>-846.5</v>
      </c>
      <c r="F1515" s="8"/>
      <c r="G1515"/>
      <c r="H1515"/>
      <c r="I1515"/>
      <c r="J1515"/>
      <c r="K1515"/>
      <c r="L1515"/>
      <c r="M1515"/>
      <c r="N1515"/>
      <c r="O1515"/>
    </row>
    <row r="1516" spans="1:15" s="44" customFormat="1" x14ac:dyDescent="0.3">
      <c r="A1516"/>
      <c r="B1516" t="s">
        <v>923</v>
      </c>
      <c r="C1516" s="135" t="s">
        <v>333</v>
      </c>
      <c r="D1516" s="7">
        <v>45825</v>
      </c>
      <c r="E1516" s="8">
        <v>-2223.9499999999998</v>
      </c>
      <c r="F1516" s="8"/>
      <c r="G1516"/>
      <c r="H1516"/>
      <c r="I1516"/>
      <c r="J1516"/>
      <c r="K1516"/>
      <c r="L1516"/>
      <c r="M1516"/>
      <c r="N1516"/>
      <c r="O1516"/>
    </row>
    <row r="1517" spans="1:15" s="44" customFormat="1" x14ac:dyDescent="0.3">
      <c r="A1517"/>
      <c r="B1517" t="s">
        <v>925</v>
      </c>
      <c r="C1517" s="44">
        <v>2062025</v>
      </c>
      <c r="D1517" s="7">
        <v>45694</v>
      </c>
      <c r="E1517" s="8">
        <v>243.34</v>
      </c>
      <c r="F1517" s="8"/>
      <c r="G1517"/>
      <c r="H1517"/>
      <c r="I1517"/>
      <c r="J1517"/>
      <c r="K1517"/>
      <c r="L1517"/>
      <c r="M1517"/>
      <c r="N1517"/>
      <c r="O1517"/>
    </row>
    <row r="1518" spans="1:15" s="44" customFormat="1" x14ac:dyDescent="0.3">
      <c r="A1518"/>
      <c r="B1518" t="s">
        <v>926</v>
      </c>
      <c r="C1518" s="44">
        <v>33229323</v>
      </c>
      <c r="D1518" s="7">
        <v>45596</v>
      </c>
      <c r="E1518" s="8">
        <v>5000</v>
      </c>
      <c r="F1518" s="8"/>
      <c r="G1518"/>
      <c r="H1518"/>
      <c r="I1518"/>
      <c r="J1518"/>
      <c r="K1518"/>
      <c r="L1518"/>
      <c r="M1518"/>
      <c r="N1518"/>
      <c r="O1518"/>
    </row>
    <row r="1519" spans="1:15" s="44" customFormat="1" x14ac:dyDescent="0.3">
      <c r="A1519"/>
      <c r="B1519" t="s">
        <v>927</v>
      </c>
      <c r="C1519" s="135" t="s">
        <v>20</v>
      </c>
      <c r="D1519" s="7">
        <v>45643</v>
      </c>
      <c r="E1519" s="8">
        <v>-100000</v>
      </c>
      <c r="F1519" s="8"/>
      <c r="G1519"/>
      <c r="H1519"/>
      <c r="I1519"/>
      <c r="J1519"/>
      <c r="K1519"/>
      <c r="L1519"/>
      <c r="M1519"/>
      <c r="N1519"/>
      <c r="O1519"/>
    </row>
    <row r="1520" spans="1:15" s="44" customFormat="1" x14ac:dyDescent="0.3">
      <c r="A1520"/>
      <c r="B1520" t="s">
        <v>927</v>
      </c>
      <c r="C1520" s="135" t="s">
        <v>928</v>
      </c>
      <c r="D1520" s="7">
        <v>45646</v>
      </c>
      <c r="E1520" s="8">
        <v>0.45</v>
      </c>
      <c r="F1520" s="8"/>
      <c r="G1520"/>
      <c r="H1520"/>
      <c r="I1520"/>
      <c r="J1520"/>
      <c r="K1520"/>
      <c r="L1520"/>
      <c r="M1520"/>
      <c r="N1520"/>
      <c r="O1520"/>
    </row>
    <row r="1521" spans="1:15" s="44" customFormat="1" x14ac:dyDescent="0.3">
      <c r="A1521"/>
      <c r="B1521" t="s">
        <v>927</v>
      </c>
      <c r="C1521" s="135" t="s">
        <v>929</v>
      </c>
      <c r="D1521" s="7">
        <v>45764</v>
      </c>
      <c r="E1521" s="8">
        <v>925.76</v>
      </c>
      <c r="F1521" s="8"/>
      <c r="G1521"/>
      <c r="H1521"/>
      <c r="I1521"/>
      <c r="J1521"/>
      <c r="K1521"/>
      <c r="L1521"/>
      <c r="M1521"/>
      <c r="N1521"/>
      <c r="O1521"/>
    </row>
    <row r="1522" spans="1:15" s="44" customFormat="1" ht="13.25" customHeight="1" x14ac:dyDescent="0.3">
      <c r="A1522"/>
      <c r="B1522" t="s">
        <v>927</v>
      </c>
      <c r="C1522" s="14" t="s">
        <v>930</v>
      </c>
      <c r="D1522" s="7">
        <v>45779</v>
      </c>
      <c r="E1522" s="8">
        <v>-18732.54</v>
      </c>
      <c r="F1522" s="8"/>
      <c r="G1522"/>
      <c r="H1522"/>
      <c r="I1522"/>
      <c r="J1522"/>
      <c r="K1522"/>
      <c r="L1522"/>
      <c r="M1522"/>
      <c r="N1522"/>
      <c r="O1522"/>
    </row>
    <row r="1523" spans="1:15" s="44" customFormat="1" x14ac:dyDescent="0.3">
      <c r="A1523"/>
      <c r="B1523" t="s">
        <v>931</v>
      </c>
      <c r="C1523" s="135" t="s">
        <v>932</v>
      </c>
      <c r="D1523" s="7">
        <v>45601</v>
      </c>
      <c r="E1523" s="8">
        <v>-3983</v>
      </c>
      <c r="F1523" s="8"/>
      <c r="G1523"/>
      <c r="H1523"/>
      <c r="I1523"/>
      <c r="J1523"/>
      <c r="K1523"/>
      <c r="L1523"/>
      <c r="M1523"/>
      <c r="N1523"/>
      <c r="O1523"/>
    </row>
    <row r="1524" spans="1:15" s="44" customFormat="1" x14ac:dyDescent="0.3">
      <c r="A1524"/>
      <c r="B1524" t="s">
        <v>933</v>
      </c>
      <c r="C1524" s="135" t="s">
        <v>934</v>
      </c>
      <c r="D1524" s="7">
        <v>45383</v>
      </c>
      <c r="E1524" s="8">
        <v>7592.08</v>
      </c>
      <c r="F1524" s="8"/>
      <c r="G1524"/>
      <c r="H1524"/>
      <c r="I1524"/>
      <c r="J1524"/>
      <c r="K1524"/>
      <c r="L1524"/>
      <c r="M1524"/>
      <c r="N1524"/>
      <c r="O1524"/>
    </row>
    <row r="1525" spans="1:15" s="44" customFormat="1" x14ac:dyDescent="0.3">
      <c r="A1525"/>
      <c r="B1525" t="s">
        <v>933</v>
      </c>
      <c r="C1525" s="135" t="s">
        <v>935</v>
      </c>
      <c r="D1525" s="7">
        <v>45392</v>
      </c>
      <c r="E1525" s="8">
        <v>4224.9799999999996</v>
      </c>
      <c r="F1525" s="8"/>
      <c r="G1525"/>
      <c r="H1525"/>
      <c r="I1525"/>
      <c r="J1525"/>
      <c r="K1525"/>
      <c r="L1525"/>
      <c r="M1525"/>
      <c r="N1525"/>
      <c r="O1525"/>
    </row>
    <row r="1526" spans="1:15" s="44" customFormat="1" x14ac:dyDescent="0.3">
      <c r="A1526"/>
      <c r="B1526" t="s">
        <v>933</v>
      </c>
      <c r="C1526" s="135" t="s">
        <v>936</v>
      </c>
      <c r="D1526" s="7">
        <v>45530</v>
      </c>
      <c r="E1526" s="8">
        <v>2255.1999999999998</v>
      </c>
      <c r="F1526" s="8"/>
      <c r="G1526"/>
      <c r="H1526"/>
      <c r="I1526"/>
      <c r="J1526"/>
      <c r="K1526"/>
      <c r="L1526"/>
      <c r="M1526"/>
      <c r="N1526"/>
      <c r="O1526"/>
    </row>
    <row r="1527" spans="1:15" s="44" customFormat="1" x14ac:dyDescent="0.3">
      <c r="A1527"/>
      <c r="B1527" t="s">
        <v>933</v>
      </c>
      <c r="C1527" s="135" t="s">
        <v>937</v>
      </c>
      <c r="D1527" s="7">
        <v>45566</v>
      </c>
      <c r="E1527" s="8">
        <v>2518.16</v>
      </c>
      <c r="F1527" s="8"/>
      <c r="G1527"/>
      <c r="H1527"/>
      <c r="I1527"/>
      <c r="J1527"/>
      <c r="K1527"/>
      <c r="L1527"/>
      <c r="M1527"/>
      <c r="N1527"/>
      <c r="O1527"/>
    </row>
    <row r="1528" spans="1:15" s="44" customFormat="1" x14ac:dyDescent="0.3">
      <c r="A1528"/>
      <c r="B1528" t="s">
        <v>933</v>
      </c>
      <c r="C1528" s="44">
        <v>36106</v>
      </c>
      <c r="D1528" s="7">
        <v>45645</v>
      </c>
      <c r="E1528" s="8">
        <v>-18000</v>
      </c>
      <c r="F1528" s="8"/>
      <c r="G1528"/>
      <c r="H1528"/>
      <c r="I1528"/>
      <c r="J1528"/>
      <c r="K1528"/>
      <c r="L1528"/>
      <c r="M1528"/>
      <c r="N1528"/>
      <c r="O1528"/>
    </row>
    <row r="1529" spans="1:15" s="44" customFormat="1" x14ac:dyDescent="0.3">
      <c r="A1529"/>
      <c r="B1529" t="s">
        <v>933</v>
      </c>
      <c r="C1529" s="135" t="s">
        <v>938</v>
      </c>
      <c r="D1529" s="7">
        <v>45658</v>
      </c>
      <c r="E1529" s="8">
        <v>8650.52</v>
      </c>
      <c r="F1529" s="8"/>
      <c r="G1529"/>
      <c r="H1529"/>
      <c r="I1529"/>
      <c r="J1529"/>
      <c r="K1529"/>
      <c r="L1529"/>
      <c r="M1529"/>
      <c r="N1529"/>
      <c r="O1529"/>
    </row>
    <row r="1530" spans="1:15" x14ac:dyDescent="0.3">
      <c r="B1530" t="s">
        <v>933</v>
      </c>
      <c r="C1530" s="44">
        <v>664</v>
      </c>
      <c r="D1530" s="7">
        <v>45681</v>
      </c>
      <c r="E1530" s="8">
        <v>-4361.46</v>
      </c>
      <c r="F1530" s="8"/>
    </row>
    <row r="1531" spans="1:15" x14ac:dyDescent="0.3">
      <c r="B1531" t="s">
        <v>933</v>
      </c>
      <c r="C1531" s="135" t="s">
        <v>939</v>
      </c>
      <c r="D1531" s="7">
        <v>45726</v>
      </c>
      <c r="E1531" s="8">
        <v>-6266.98</v>
      </c>
      <c r="F1531" s="8"/>
    </row>
    <row r="1532" spans="1:15" x14ac:dyDescent="0.3">
      <c r="B1532" t="s">
        <v>933</v>
      </c>
      <c r="C1532" s="135" t="s">
        <v>940</v>
      </c>
      <c r="D1532" s="7">
        <v>45730</v>
      </c>
      <c r="E1532" s="8">
        <v>3635</v>
      </c>
      <c r="F1532" s="8"/>
    </row>
    <row r="1533" spans="1:15" x14ac:dyDescent="0.3">
      <c r="B1533" t="s">
        <v>933</v>
      </c>
      <c r="C1533" s="135" t="s">
        <v>815</v>
      </c>
      <c r="D1533" s="7">
        <v>45732</v>
      </c>
      <c r="E1533" s="8">
        <v>-1371.13</v>
      </c>
      <c r="F1533" s="8"/>
    </row>
    <row r="1534" spans="1:15" x14ac:dyDescent="0.3">
      <c r="B1534" t="s">
        <v>933</v>
      </c>
      <c r="C1534" s="44">
        <v>664</v>
      </c>
      <c r="D1534" s="7">
        <v>45760</v>
      </c>
      <c r="E1534" s="8">
        <v>-8146.36</v>
      </c>
      <c r="F1534" s="8"/>
    </row>
    <row r="1535" spans="1:15" s="84" customFormat="1" x14ac:dyDescent="0.3">
      <c r="B1535" t="s">
        <v>933</v>
      </c>
      <c r="C1535" s="139" t="s">
        <v>941</v>
      </c>
      <c r="D1535" s="86">
        <v>45797</v>
      </c>
      <c r="E1535" s="3">
        <v>-2232.3000000000002</v>
      </c>
      <c r="F1535" s="3"/>
    </row>
    <row r="1536" spans="1:15" x14ac:dyDescent="0.3">
      <c r="B1536" t="s">
        <v>933</v>
      </c>
      <c r="C1536" s="44">
        <v>664</v>
      </c>
      <c r="D1536" s="7">
        <v>45799</v>
      </c>
      <c r="E1536" s="8">
        <v>-2469.13</v>
      </c>
      <c r="F1536" s="8"/>
    </row>
    <row r="1537" spans="1:15" x14ac:dyDescent="0.3">
      <c r="B1537" t="s">
        <v>933</v>
      </c>
      <c r="C1537" s="135" t="s">
        <v>94</v>
      </c>
      <c r="D1537" s="7">
        <v>45809</v>
      </c>
      <c r="E1537" s="8">
        <v>-3989.69</v>
      </c>
      <c r="F1537" s="8"/>
    </row>
    <row r="1538" spans="1:15" x14ac:dyDescent="0.3">
      <c r="B1538" t="s">
        <v>933</v>
      </c>
      <c r="C1538" s="135" t="s">
        <v>942</v>
      </c>
      <c r="D1538" s="7">
        <v>45811</v>
      </c>
      <c r="E1538" s="8">
        <v>6368.57</v>
      </c>
      <c r="F1538" s="8"/>
    </row>
    <row r="1539" spans="1:15" x14ac:dyDescent="0.3">
      <c r="B1539" t="s">
        <v>933</v>
      </c>
      <c r="C1539" s="135" t="s">
        <v>943</v>
      </c>
      <c r="D1539" s="7">
        <v>45813</v>
      </c>
      <c r="E1539" s="8">
        <v>-3747.42</v>
      </c>
      <c r="F1539" s="8"/>
    </row>
    <row r="1540" spans="1:15" x14ac:dyDescent="0.3">
      <c r="B1540" t="s">
        <v>933</v>
      </c>
      <c r="C1540" s="44">
        <v>664</v>
      </c>
      <c r="D1540" s="7">
        <v>45817</v>
      </c>
      <c r="E1540" s="8">
        <v>-3630.28</v>
      </c>
      <c r="F1540" s="8"/>
    </row>
    <row r="1541" spans="1:15" x14ac:dyDescent="0.3">
      <c r="B1541" t="s">
        <v>933</v>
      </c>
      <c r="C1541" s="135" t="s">
        <v>854</v>
      </c>
      <c r="D1541" s="7">
        <v>45826</v>
      </c>
      <c r="E1541" s="8">
        <v>-50624</v>
      </c>
      <c r="F1541" s="8"/>
    </row>
    <row r="1542" spans="1:15" x14ac:dyDescent="0.3">
      <c r="B1542" t="s">
        <v>933</v>
      </c>
      <c r="C1542" s="135" t="s">
        <v>944</v>
      </c>
      <c r="D1542" s="7">
        <v>45835</v>
      </c>
      <c r="E1542" s="8">
        <v>-128.76</v>
      </c>
      <c r="F1542" s="8"/>
    </row>
    <row r="1543" spans="1:15" x14ac:dyDescent="0.3">
      <c r="B1543" t="s">
        <v>933</v>
      </c>
      <c r="C1543" s="135" t="s">
        <v>944</v>
      </c>
      <c r="D1543" s="7">
        <v>45835</v>
      </c>
      <c r="E1543" s="8">
        <v>-1189.55</v>
      </c>
      <c r="F1543" s="8"/>
    </row>
    <row r="1544" spans="1:15" x14ac:dyDescent="0.3">
      <c r="B1544" t="s">
        <v>933</v>
      </c>
      <c r="C1544" s="135" t="s">
        <v>944</v>
      </c>
      <c r="D1544" s="7">
        <v>45835</v>
      </c>
      <c r="E1544" s="8">
        <v>-9631.01</v>
      </c>
      <c r="F1544" s="8"/>
    </row>
    <row r="1545" spans="1:15" x14ac:dyDescent="0.3">
      <c r="B1545" t="s">
        <v>933</v>
      </c>
      <c r="C1545" s="135" t="s">
        <v>944</v>
      </c>
      <c r="D1545" s="7">
        <v>45835</v>
      </c>
      <c r="E1545" s="8">
        <v>-31536.86</v>
      </c>
      <c r="F1545" s="8"/>
    </row>
    <row r="1546" spans="1:15" s="44" customFormat="1" x14ac:dyDescent="0.3">
      <c r="A1546"/>
      <c r="B1546" t="s">
        <v>933</v>
      </c>
      <c r="C1546" s="135" t="s">
        <v>944</v>
      </c>
      <c r="D1546" s="7">
        <v>45835</v>
      </c>
      <c r="E1546" s="8">
        <v>-10670.39</v>
      </c>
      <c r="F1546" s="8"/>
      <c r="G1546"/>
      <c r="H1546"/>
      <c r="I1546"/>
      <c r="J1546"/>
      <c r="K1546"/>
      <c r="L1546"/>
      <c r="M1546"/>
      <c r="N1546"/>
      <c r="O1546"/>
    </row>
    <row r="1547" spans="1:15" s="44" customFormat="1" x14ac:dyDescent="0.3">
      <c r="A1547"/>
      <c r="B1547" t="s">
        <v>933</v>
      </c>
      <c r="C1547" s="135" t="s">
        <v>945</v>
      </c>
      <c r="D1547" s="7">
        <v>45838</v>
      </c>
      <c r="E1547" s="8">
        <v>94586.14</v>
      </c>
      <c r="F1547" s="8"/>
      <c r="G1547"/>
      <c r="H1547"/>
      <c r="I1547"/>
      <c r="J1547"/>
      <c r="K1547"/>
      <c r="L1547"/>
      <c r="M1547"/>
      <c r="N1547"/>
      <c r="O1547"/>
    </row>
    <row r="1548" spans="1:15" s="44" customFormat="1" x14ac:dyDescent="0.3">
      <c r="A1548"/>
      <c r="B1548" t="s">
        <v>933</v>
      </c>
      <c r="C1548" s="135" t="s">
        <v>946</v>
      </c>
      <c r="D1548" s="7">
        <v>45838</v>
      </c>
      <c r="E1548" s="8">
        <v>25748.92</v>
      </c>
      <c r="F1548" s="8"/>
      <c r="G1548"/>
      <c r="H1548"/>
      <c r="I1548"/>
      <c r="J1548"/>
      <c r="K1548"/>
      <c r="L1548"/>
      <c r="M1548"/>
      <c r="N1548"/>
      <c r="O1548"/>
    </row>
    <row r="1549" spans="1:15" s="44" customFormat="1" x14ac:dyDescent="0.3">
      <c r="A1549"/>
      <c r="B1549"/>
      <c r="C1549" s="135"/>
      <c r="D1549"/>
      <c r="E1549">
        <v>0</v>
      </c>
      <c r="F1549"/>
      <c r="G1549"/>
      <c r="H1549"/>
      <c r="I1549"/>
      <c r="J1549"/>
      <c r="K1549"/>
      <c r="L1549"/>
      <c r="M1549"/>
      <c r="N1549"/>
      <c r="O1549"/>
    </row>
    <row r="1550" spans="1:15" s="44" customFormat="1" x14ac:dyDescent="0.3">
      <c r="A1550"/>
      <c r="B1550"/>
      <c r="C1550" s="4"/>
      <c r="D1550"/>
      <c r="E1550"/>
      <c r="F1550"/>
      <c r="G1550"/>
      <c r="H1550"/>
      <c r="I1550"/>
      <c r="J1550"/>
      <c r="K1550"/>
      <c r="L1550"/>
      <c r="M1550"/>
      <c r="N1550"/>
      <c r="O1550"/>
    </row>
  </sheetData>
  <autoFilter ref="A4:O4" xr:uid="{D95EE93E-F804-447C-8EE5-E784E91549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0D2A-DE12-4D99-9C25-E12125656DB1}">
  <dimension ref="A1:S1557"/>
  <sheetViews>
    <sheetView topLeftCell="G3" workbookViewId="0">
      <selection activeCell="D814" sqref="D814"/>
    </sheetView>
  </sheetViews>
  <sheetFormatPr defaultRowHeight="14" x14ac:dyDescent="0.3"/>
  <cols>
    <col min="1" max="1" width="58.1640625" style="2" bestFit="1" customWidth="1"/>
    <col min="2" max="2" width="49.9140625" style="1" bestFit="1" customWidth="1"/>
    <col min="3" max="3" width="12.6640625" style="2" bestFit="1" customWidth="1"/>
    <col min="4" max="4" width="12.83203125" style="2" bestFit="1" customWidth="1"/>
    <col min="5" max="6" width="12.83203125" style="2" customWidth="1"/>
    <col min="7" max="7" width="53.1640625" style="44" customWidth="1"/>
    <col min="8" max="8" width="39.1640625" customWidth="1"/>
    <col min="9" max="9" width="12.1640625" style="41" bestFit="1" customWidth="1"/>
    <col min="10" max="10" width="12.83203125" bestFit="1" customWidth="1"/>
    <col min="11" max="11" width="101.6640625" bestFit="1" customWidth="1"/>
    <col min="17" max="17" width="12.33203125" customWidth="1"/>
  </cols>
  <sheetData>
    <row r="1" spans="1:19" ht="15.5" x14ac:dyDescent="0.35">
      <c r="A1" s="24" t="s">
        <v>4063</v>
      </c>
      <c r="D1" s="3">
        <f>SUM(D5:D1555)</f>
        <v>2626157.3600000045</v>
      </c>
      <c r="E1" s="3"/>
      <c r="F1" s="122"/>
      <c r="G1" s="111" t="s">
        <v>4084</v>
      </c>
      <c r="H1" s="43"/>
      <c r="J1" s="124">
        <f>SUM(J5:J947)</f>
        <v>2626157.3599999994</v>
      </c>
      <c r="K1" s="17" t="s">
        <v>4081</v>
      </c>
      <c r="P1" s="24" t="s">
        <v>4104</v>
      </c>
      <c r="Q1" s="84"/>
      <c r="R1" s="24" t="s">
        <v>3800</v>
      </c>
      <c r="S1" s="42">
        <f>SUM(S4:S121)</f>
        <v>2626157.36</v>
      </c>
    </row>
    <row r="2" spans="1:19" ht="15.5" x14ac:dyDescent="0.35">
      <c r="F2" s="129" t="s">
        <v>4111</v>
      </c>
      <c r="G2" s="116" t="s">
        <v>4097</v>
      </c>
      <c r="H2" s="116" t="s">
        <v>4097</v>
      </c>
      <c r="I2" s="116" t="s">
        <v>4098</v>
      </c>
      <c r="J2" s="125" t="s">
        <v>4098</v>
      </c>
      <c r="K2" s="82" t="s">
        <v>4064</v>
      </c>
      <c r="L2" s="43" t="s">
        <v>4100</v>
      </c>
      <c r="M2" s="43"/>
      <c r="N2" s="43"/>
      <c r="P2" s="24" t="s">
        <v>4105</v>
      </c>
      <c r="Q2" s="84"/>
      <c r="R2" s="16" t="s">
        <v>947</v>
      </c>
      <c r="S2" s="41"/>
    </row>
    <row r="3" spans="1:19" x14ac:dyDescent="0.3">
      <c r="A3"/>
      <c r="B3" s="4"/>
      <c r="C3"/>
      <c r="D3"/>
      <c r="E3"/>
      <c r="F3" s="130" t="s">
        <v>4112</v>
      </c>
      <c r="G3" s="117"/>
      <c r="H3" s="116"/>
      <c r="I3" s="118" t="s">
        <v>4099</v>
      </c>
      <c r="J3" s="126" t="s">
        <v>4099</v>
      </c>
      <c r="L3" s="43" t="s">
        <v>4101</v>
      </c>
      <c r="R3" s="43" t="s">
        <v>3801</v>
      </c>
      <c r="S3" s="41"/>
    </row>
    <row r="4" spans="1:19" ht="12" customHeight="1" x14ac:dyDescent="0.35">
      <c r="A4" s="5" t="s">
        <v>0</v>
      </c>
      <c r="B4" s="6" t="s">
        <v>1</v>
      </c>
      <c r="C4" s="5" t="s">
        <v>2</v>
      </c>
      <c r="D4" s="5" t="s">
        <v>3</v>
      </c>
      <c r="E4" s="5"/>
      <c r="F4" s="129" t="s">
        <v>4113</v>
      </c>
      <c r="G4" s="113" t="s">
        <v>1</v>
      </c>
      <c r="H4" s="114" t="s">
        <v>3807</v>
      </c>
      <c r="I4" s="115" t="s">
        <v>4096</v>
      </c>
      <c r="J4" s="127" t="s">
        <v>4095</v>
      </c>
      <c r="K4" s="102" t="s">
        <v>4065</v>
      </c>
      <c r="L4" s="43" t="s">
        <v>4102</v>
      </c>
      <c r="R4" t="s">
        <v>0</v>
      </c>
      <c r="S4" s="41">
        <f t="shared" ref="S4:S35" si="0">SUMIF(A:A,R4,D:D)</f>
        <v>0</v>
      </c>
    </row>
    <row r="5" spans="1:19" ht="11.4" customHeight="1" x14ac:dyDescent="0.3">
      <c r="A5" t="s">
        <v>4</v>
      </c>
      <c r="B5">
        <v>6814</v>
      </c>
      <c r="C5" s="7">
        <v>45817</v>
      </c>
      <c r="D5" s="8">
        <v>217</v>
      </c>
      <c r="E5" s="8"/>
      <c r="F5" s="123" t="s">
        <v>4109</v>
      </c>
      <c r="G5" s="44">
        <v>6814</v>
      </c>
      <c r="H5" t="str">
        <f>_xlfn.XLOOKUP(G5,B:B,A:A,,)</f>
        <v>911 Trucking LLC</v>
      </c>
      <c r="I5" s="112">
        <f>_xlfn.XLOOKUP(G5,B:B,C:C,,)</f>
        <v>45817</v>
      </c>
      <c r="J5" s="128">
        <f>SUMIF(B:B,G5,D:D)</f>
        <v>3370</v>
      </c>
      <c r="K5" s="102" t="s">
        <v>4066</v>
      </c>
      <c r="L5" s="43" t="s">
        <v>4103</v>
      </c>
      <c r="R5" t="s">
        <v>4</v>
      </c>
      <c r="S5" s="41">
        <f t="shared" si="0"/>
        <v>10920</v>
      </c>
    </row>
    <row r="6" spans="1:19" ht="13.25" customHeight="1" x14ac:dyDescent="0.3">
      <c r="A6" t="s">
        <v>4</v>
      </c>
      <c r="B6">
        <v>6814</v>
      </c>
      <c r="C6" s="7">
        <v>45817</v>
      </c>
      <c r="D6" s="8">
        <v>216</v>
      </c>
      <c r="E6" s="8"/>
      <c r="F6" s="123" t="s">
        <v>4109</v>
      </c>
      <c r="G6" s="44">
        <v>6836</v>
      </c>
      <c r="H6" t="str">
        <f t="shared" ref="H6:H69" si="1">_xlfn.XLOOKUP(G6,B:B,A:A,,)</f>
        <v>911 Trucking LLC</v>
      </c>
      <c r="I6" s="112">
        <f t="shared" ref="I6:I69" si="2">_xlfn.XLOOKUP(G6,B:B,C:C,,)</f>
        <v>45824</v>
      </c>
      <c r="J6" s="128">
        <f t="shared" ref="J6:J69" si="3">SUMIF(B:B,G6,D:D)</f>
        <v>650</v>
      </c>
      <c r="K6" s="102" t="s">
        <v>4067</v>
      </c>
      <c r="L6" s="43" t="s">
        <v>4085</v>
      </c>
      <c r="R6" t="s">
        <v>5</v>
      </c>
      <c r="S6" s="41">
        <f t="shared" si="0"/>
        <v>391.5</v>
      </c>
    </row>
    <row r="7" spans="1:19" x14ac:dyDescent="0.3">
      <c r="A7" t="s">
        <v>4</v>
      </c>
      <c r="B7">
        <v>6814</v>
      </c>
      <c r="C7" s="7">
        <v>45817</v>
      </c>
      <c r="D7" s="8">
        <v>217</v>
      </c>
      <c r="E7" s="8"/>
      <c r="F7" s="123" t="s">
        <v>4109</v>
      </c>
      <c r="G7" s="44">
        <v>6862</v>
      </c>
      <c r="H7" t="str">
        <f t="shared" si="1"/>
        <v>911 Trucking LLC</v>
      </c>
      <c r="I7" s="112">
        <f t="shared" si="2"/>
        <v>45830</v>
      </c>
      <c r="J7" s="128">
        <f t="shared" si="3"/>
        <v>1300</v>
      </c>
      <c r="R7" t="s">
        <v>6</v>
      </c>
      <c r="S7" s="41">
        <f t="shared" si="0"/>
        <v>974.5</v>
      </c>
    </row>
    <row r="8" spans="1:19" x14ac:dyDescent="0.3">
      <c r="A8" t="s">
        <v>4</v>
      </c>
      <c r="B8">
        <v>6814</v>
      </c>
      <c r="C8" s="7">
        <v>45817</v>
      </c>
      <c r="D8" s="8">
        <v>325</v>
      </c>
      <c r="E8" s="8"/>
      <c r="F8" s="123" t="s">
        <v>4109</v>
      </c>
      <c r="G8" s="44">
        <v>6863</v>
      </c>
      <c r="H8" t="str">
        <f t="shared" si="1"/>
        <v>911 Trucking LLC</v>
      </c>
      <c r="I8" s="112">
        <f t="shared" si="2"/>
        <v>45830</v>
      </c>
      <c r="J8" s="128">
        <f t="shared" si="3"/>
        <v>4950</v>
      </c>
      <c r="K8" s="102"/>
      <c r="L8" s="43"/>
      <c r="R8" t="s">
        <v>8</v>
      </c>
      <c r="S8" s="41">
        <f t="shared" si="0"/>
        <v>34925.850000000006</v>
      </c>
    </row>
    <row r="9" spans="1:19" x14ac:dyDescent="0.3">
      <c r="A9" t="s">
        <v>4</v>
      </c>
      <c r="B9">
        <v>6814</v>
      </c>
      <c r="C9" s="7">
        <v>45817</v>
      </c>
      <c r="D9" s="8">
        <v>257</v>
      </c>
      <c r="E9" s="8"/>
      <c r="F9" s="123" t="s">
        <v>4109</v>
      </c>
      <c r="G9" s="44">
        <v>6873</v>
      </c>
      <c r="H9" t="str">
        <f t="shared" si="1"/>
        <v>911 Trucking LLC</v>
      </c>
      <c r="I9" s="112">
        <f t="shared" si="2"/>
        <v>45838</v>
      </c>
      <c r="J9" s="128">
        <f t="shared" si="3"/>
        <v>650</v>
      </c>
      <c r="L9" s="43"/>
      <c r="R9" t="s">
        <v>15</v>
      </c>
      <c r="S9" s="41">
        <f t="shared" si="0"/>
        <v>-33032.89</v>
      </c>
    </row>
    <row r="10" spans="1:19" x14ac:dyDescent="0.3">
      <c r="A10" t="s">
        <v>4</v>
      </c>
      <c r="B10">
        <v>6814</v>
      </c>
      <c r="C10" s="7">
        <v>45817</v>
      </c>
      <c r="D10" s="8">
        <v>257</v>
      </c>
      <c r="E10" s="8"/>
      <c r="F10" s="122" t="s">
        <v>4110</v>
      </c>
      <c r="G10" s="44">
        <v>20250630</v>
      </c>
      <c r="H10" t="str">
        <f t="shared" si="1"/>
        <v>AGM Tools, Inc.</v>
      </c>
      <c r="I10" s="112">
        <f t="shared" si="2"/>
        <v>45838</v>
      </c>
      <c r="J10" s="128">
        <f t="shared" si="3"/>
        <v>67216.349999999991</v>
      </c>
      <c r="R10" t="s">
        <v>17</v>
      </c>
      <c r="S10" s="41">
        <f t="shared" si="0"/>
        <v>-44894.490000000005</v>
      </c>
    </row>
    <row r="11" spans="1:19" x14ac:dyDescent="0.3">
      <c r="A11" t="s">
        <v>4</v>
      </c>
      <c r="B11">
        <v>6814</v>
      </c>
      <c r="C11" s="7">
        <v>45817</v>
      </c>
      <c r="D11" s="8">
        <v>256</v>
      </c>
      <c r="E11" s="8"/>
      <c r="F11" s="123" t="s">
        <v>4109</v>
      </c>
      <c r="G11" s="44" t="s">
        <v>7</v>
      </c>
      <c r="H11" t="str">
        <f t="shared" si="1"/>
        <v>All America Forwarding Inc</v>
      </c>
      <c r="I11" s="112">
        <f t="shared" si="2"/>
        <v>45811</v>
      </c>
      <c r="J11" s="128">
        <f t="shared" si="3"/>
        <v>974.5</v>
      </c>
      <c r="K11" s="102"/>
      <c r="L11" s="43"/>
      <c r="O11" s="43"/>
      <c r="R11" t="s">
        <v>28</v>
      </c>
      <c r="S11" s="41">
        <f t="shared" si="0"/>
        <v>45000</v>
      </c>
    </row>
    <row r="12" spans="1:19" x14ac:dyDescent="0.3">
      <c r="A12" t="s">
        <v>4</v>
      </c>
      <c r="B12">
        <v>6814</v>
      </c>
      <c r="C12" s="7">
        <v>45817</v>
      </c>
      <c r="D12" s="8">
        <v>217</v>
      </c>
      <c r="E12" s="8"/>
      <c r="F12" s="122" t="s">
        <v>4110</v>
      </c>
      <c r="G12" s="44" t="s">
        <v>9</v>
      </c>
      <c r="H12" t="str">
        <f t="shared" si="1"/>
        <v>Aluguard</v>
      </c>
      <c r="I12" s="112">
        <f t="shared" si="2"/>
        <v>45321</v>
      </c>
      <c r="J12" s="128">
        <f t="shared" si="3"/>
        <v>1126.6600000000001</v>
      </c>
      <c r="L12" s="43"/>
      <c r="R12" t="s">
        <v>30</v>
      </c>
      <c r="S12" s="41">
        <f t="shared" si="0"/>
        <v>8.4</v>
      </c>
    </row>
    <row r="13" spans="1:19" x14ac:dyDescent="0.3">
      <c r="A13" t="s">
        <v>4</v>
      </c>
      <c r="B13">
        <v>6814</v>
      </c>
      <c r="C13" s="7">
        <v>45817</v>
      </c>
      <c r="D13" s="8">
        <v>325</v>
      </c>
      <c r="E13" s="8"/>
      <c r="F13" s="122" t="s">
        <v>4110</v>
      </c>
      <c r="G13" s="44" t="s">
        <v>10</v>
      </c>
      <c r="H13" t="str">
        <f t="shared" si="1"/>
        <v>Aluguard</v>
      </c>
      <c r="I13" s="112">
        <f t="shared" si="2"/>
        <v>45336</v>
      </c>
      <c r="J13" s="128">
        <f t="shared" si="3"/>
        <v>25293.620000000003</v>
      </c>
      <c r="L13" s="43"/>
      <c r="N13" s="43"/>
      <c r="R13" t="s">
        <v>32</v>
      </c>
      <c r="S13" s="41">
        <f t="shared" si="0"/>
        <v>-2154.81</v>
      </c>
    </row>
    <row r="14" spans="1:19" x14ac:dyDescent="0.3">
      <c r="A14" t="s">
        <v>4</v>
      </c>
      <c r="B14">
        <v>6814</v>
      </c>
      <c r="C14" s="7">
        <v>45817</v>
      </c>
      <c r="D14" s="8">
        <v>216</v>
      </c>
      <c r="E14" s="8"/>
      <c r="F14" s="122" t="s">
        <v>4110</v>
      </c>
      <c r="G14" s="44" t="s">
        <v>11</v>
      </c>
      <c r="H14" t="str">
        <f t="shared" si="1"/>
        <v>Aluguard</v>
      </c>
      <c r="I14" s="112">
        <f t="shared" si="2"/>
        <v>45336</v>
      </c>
      <c r="J14" s="128">
        <f t="shared" si="3"/>
        <v>6737.68</v>
      </c>
      <c r="R14" t="s">
        <v>34</v>
      </c>
      <c r="S14" s="41">
        <f t="shared" si="0"/>
        <v>227069.27000000005</v>
      </c>
    </row>
    <row r="15" spans="1:19" x14ac:dyDescent="0.3">
      <c r="A15" t="s">
        <v>4</v>
      </c>
      <c r="B15">
        <v>6814</v>
      </c>
      <c r="C15" s="7">
        <v>45817</v>
      </c>
      <c r="D15" s="8">
        <v>217</v>
      </c>
      <c r="E15" s="8"/>
      <c r="F15" s="122" t="s">
        <v>4110</v>
      </c>
      <c r="G15" s="44" t="s">
        <v>12</v>
      </c>
      <c r="H15" t="str">
        <f t="shared" si="1"/>
        <v>Aluguard</v>
      </c>
      <c r="I15" s="112">
        <f t="shared" si="2"/>
        <v>45336</v>
      </c>
      <c r="J15" s="128">
        <f t="shared" si="3"/>
        <v>723.7</v>
      </c>
      <c r="R15" t="s">
        <v>49</v>
      </c>
      <c r="S15" s="41">
        <f t="shared" si="0"/>
        <v>18858.48</v>
      </c>
    </row>
    <row r="16" spans="1:19" x14ac:dyDescent="0.3">
      <c r="A16" t="s">
        <v>4</v>
      </c>
      <c r="B16">
        <v>6814</v>
      </c>
      <c r="C16" s="7">
        <v>45817</v>
      </c>
      <c r="D16" s="8">
        <v>325</v>
      </c>
      <c r="E16" s="8"/>
      <c r="F16" s="122" t="s">
        <v>4110</v>
      </c>
      <c r="G16" s="44" t="s">
        <v>13</v>
      </c>
      <c r="H16" t="str">
        <f t="shared" si="1"/>
        <v>Aluguard</v>
      </c>
      <c r="I16" s="112">
        <f t="shared" si="2"/>
        <v>45444</v>
      </c>
      <c r="J16" s="128">
        <f t="shared" si="3"/>
        <v>1043</v>
      </c>
      <c r="R16" t="s">
        <v>50</v>
      </c>
      <c r="S16" s="41">
        <f t="shared" si="0"/>
        <v>12850.140000000001</v>
      </c>
    </row>
    <row r="17" spans="1:19" x14ac:dyDescent="0.3">
      <c r="A17" t="s">
        <v>4</v>
      </c>
      <c r="B17">
        <v>6814</v>
      </c>
      <c r="C17" s="7">
        <v>45817</v>
      </c>
      <c r="D17" s="8">
        <v>325</v>
      </c>
      <c r="E17" s="8"/>
      <c r="F17" s="122" t="s">
        <v>4110</v>
      </c>
      <c r="G17" s="44" t="s">
        <v>14</v>
      </c>
      <c r="H17" t="str">
        <f t="shared" si="1"/>
        <v>Aluguard</v>
      </c>
      <c r="I17" s="112">
        <f t="shared" si="2"/>
        <v>45700</v>
      </c>
      <c r="J17" s="128">
        <f t="shared" si="3"/>
        <v>1.19</v>
      </c>
      <c r="R17" t="s">
        <v>62</v>
      </c>
      <c r="S17" s="41">
        <f t="shared" si="0"/>
        <v>500</v>
      </c>
    </row>
    <row r="18" spans="1:19" x14ac:dyDescent="0.3">
      <c r="A18" t="s">
        <v>4</v>
      </c>
      <c r="B18">
        <v>6836</v>
      </c>
      <c r="C18" s="7">
        <v>45824</v>
      </c>
      <c r="D18" s="8">
        <v>162</v>
      </c>
      <c r="E18" s="8"/>
      <c r="F18" s="122" t="s">
        <v>4110</v>
      </c>
      <c r="G18" s="44" t="s">
        <v>16</v>
      </c>
      <c r="H18" t="str">
        <f t="shared" si="1"/>
        <v>AMY  ACT CO., LTD</v>
      </c>
      <c r="I18" s="112">
        <f t="shared" si="2"/>
        <v>45824</v>
      </c>
      <c r="J18" s="128">
        <f t="shared" si="3"/>
        <v>-582308.22999999986</v>
      </c>
      <c r="R18" t="s">
        <v>65</v>
      </c>
      <c r="S18" s="41">
        <f t="shared" si="0"/>
        <v>2987.0800000000004</v>
      </c>
    </row>
    <row r="19" spans="1:19" x14ac:dyDescent="0.3">
      <c r="A19" t="s">
        <v>4</v>
      </c>
      <c r="B19">
        <v>6836</v>
      </c>
      <c r="C19" s="7">
        <v>45824</v>
      </c>
      <c r="D19" s="8">
        <v>163</v>
      </c>
      <c r="E19" s="8"/>
      <c r="F19" s="122" t="s">
        <v>4110</v>
      </c>
      <c r="G19" s="44" t="s">
        <v>18</v>
      </c>
      <c r="H19" t="str">
        <f t="shared" si="1"/>
        <v>AN CUONG WOOD -WORKING JOINT STOCK COMPANY</v>
      </c>
      <c r="I19" s="112">
        <f t="shared" si="2"/>
        <v>45609</v>
      </c>
      <c r="J19" s="128">
        <f t="shared" si="3"/>
        <v>-37177.86</v>
      </c>
      <c r="R19" t="s">
        <v>66</v>
      </c>
      <c r="S19" s="41">
        <f t="shared" si="0"/>
        <v>327998.17000000004</v>
      </c>
    </row>
    <row r="20" spans="1:19" x14ac:dyDescent="0.3">
      <c r="A20" t="s">
        <v>4</v>
      </c>
      <c r="B20">
        <v>6836</v>
      </c>
      <c r="C20" s="7">
        <v>45824</v>
      </c>
      <c r="D20" s="8">
        <v>163</v>
      </c>
      <c r="E20" s="8"/>
      <c r="F20" s="122" t="s">
        <v>4110</v>
      </c>
      <c r="G20" s="44" t="s">
        <v>19</v>
      </c>
      <c r="H20" t="str">
        <f t="shared" si="1"/>
        <v>AN CUONG WOOD -WORKING JOINT STOCK COMPANY</v>
      </c>
      <c r="I20" s="112">
        <f t="shared" si="2"/>
        <v>45617</v>
      </c>
      <c r="J20" s="128">
        <f t="shared" si="3"/>
        <v>1558</v>
      </c>
      <c r="R20" t="s">
        <v>82</v>
      </c>
      <c r="S20" s="41">
        <f t="shared" si="0"/>
        <v>24518.35</v>
      </c>
    </row>
    <row r="21" spans="1:19" x14ac:dyDescent="0.3">
      <c r="A21" t="s">
        <v>4</v>
      </c>
      <c r="B21">
        <v>6836</v>
      </c>
      <c r="C21" s="7">
        <v>45824</v>
      </c>
      <c r="D21" s="8">
        <v>162</v>
      </c>
      <c r="E21" s="8"/>
      <c r="F21" s="122" t="s">
        <v>4110</v>
      </c>
      <c r="G21" s="44" t="s">
        <v>20</v>
      </c>
      <c r="H21" t="str">
        <f t="shared" si="1"/>
        <v>AN CUONG WOOD -WORKING JOINT STOCK COMPANY</v>
      </c>
      <c r="I21" s="112">
        <f t="shared" si="2"/>
        <v>45643</v>
      </c>
      <c r="J21" s="128">
        <f t="shared" si="3"/>
        <v>-104330.36</v>
      </c>
      <c r="R21" t="s">
        <v>85</v>
      </c>
      <c r="S21" s="41">
        <f t="shared" si="0"/>
        <v>175</v>
      </c>
    </row>
    <row r="22" spans="1:19" x14ac:dyDescent="0.3">
      <c r="A22" t="s">
        <v>4</v>
      </c>
      <c r="B22">
        <v>6862</v>
      </c>
      <c r="C22" s="7">
        <v>45830</v>
      </c>
      <c r="D22" s="8">
        <v>650</v>
      </c>
      <c r="E22" s="8"/>
      <c r="F22" s="122" t="s">
        <v>4110</v>
      </c>
      <c r="G22" s="44" t="s">
        <v>21</v>
      </c>
      <c r="H22" t="str">
        <f t="shared" si="1"/>
        <v>AN CUONG WOOD -WORKING JOINT STOCK COMPANY</v>
      </c>
      <c r="I22" s="112">
        <f t="shared" si="2"/>
        <v>45650</v>
      </c>
      <c r="J22" s="128">
        <f t="shared" si="3"/>
        <v>-291613.46000000002</v>
      </c>
      <c r="R22" t="s">
        <v>86</v>
      </c>
      <c r="S22" s="41">
        <f t="shared" si="0"/>
        <v>0</v>
      </c>
    </row>
    <row r="23" spans="1:19" x14ac:dyDescent="0.3">
      <c r="A23" t="s">
        <v>4</v>
      </c>
      <c r="B23">
        <v>6862</v>
      </c>
      <c r="C23" s="7">
        <v>45830</v>
      </c>
      <c r="D23" s="8">
        <v>650</v>
      </c>
      <c r="E23" s="8"/>
      <c r="F23" s="122" t="s">
        <v>4110</v>
      </c>
      <c r="G23" s="44">
        <v>20250108</v>
      </c>
      <c r="H23" t="str">
        <f t="shared" si="1"/>
        <v>AN CUONG WOOD -WORKING JOINT STOCK COMPANY</v>
      </c>
      <c r="I23" s="112">
        <f t="shared" si="2"/>
        <v>45659</v>
      </c>
      <c r="J23" s="128">
        <f t="shared" si="3"/>
        <v>3020.68</v>
      </c>
      <c r="R23" t="s">
        <v>88</v>
      </c>
      <c r="S23" s="41">
        <f t="shared" si="0"/>
        <v>23564.84</v>
      </c>
    </row>
    <row r="24" spans="1:19" x14ac:dyDescent="0.3">
      <c r="A24" t="s">
        <v>4</v>
      </c>
      <c r="B24">
        <v>6863</v>
      </c>
      <c r="C24" s="7">
        <v>45830</v>
      </c>
      <c r="D24" s="8">
        <v>550</v>
      </c>
      <c r="E24" s="8"/>
      <c r="F24" s="122" t="s">
        <v>4110</v>
      </c>
      <c r="G24" s="44">
        <v>20250137</v>
      </c>
      <c r="H24" t="str">
        <f t="shared" si="1"/>
        <v>AN CUONG WOOD -WORKING JOINT STOCK COMPANY</v>
      </c>
      <c r="I24" s="112">
        <f t="shared" si="2"/>
        <v>45671</v>
      </c>
      <c r="J24" s="128">
        <f t="shared" si="3"/>
        <v>1583</v>
      </c>
      <c r="R24" t="s">
        <v>90</v>
      </c>
      <c r="S24" s="41">
        <f t="shared" si="0"/>
        <v>9128.69</v>
      </c>
    </row>
    <row r="25" spans="1:19" x14ac:dyDescent="0.3">
      <c r="A25" t="s">
        <v>4</v>
      </c>
      <c r="B25">
        <v>6863</v>
      </c>
      <c r="C25" s="7">
        <v>45830</v>
      </c>
      <c r="D25" s="8">
        <v>550</v>
      </c>
      <c r="E25" s="8"/>
      <c r="F25" s="122" t="s">
        <v>4110</v>
      </c>
      <c r="G25" s="44">
        <v>20250229</v>
      </c>
      <c r="H25" t="str">
        <f t="shared" si="1"/>
        <v>AN CUONG WOOD -WORKING JOINT STOCK COMPANY</v>
      </c>
      <c r="I25" s="112">
        <f t="shared" si="2"/>
        <v>45701</v>
      </c>
      <c r="J25" s="128">
        <f t="shared" si="3"/>
        <v>400</v>
      </c>
      <c r="R25" t="s">
        <v>91</v>
      </c>
      <c r="S25" s="41">
        <f t="shared" si="0"/>
        <v>8911.7800000000007</v>
      </c>
    </row>
    <row r="26" spans="1:19" x14ac:dyDescent="0.3">
      <c r="A26" t="s">
        <v>4</v>
      </c>
      <c r="B26">
        <v>6863</v>
      </c>
      <c r="C26" s="7">
        <v>45830</v>
      </c>
      <c r="D26" s="8">
        <v>550</v>
      </c>
      <c r="E26" s="8"/>
      <c r="F26" s="122" t="s">
        <v>4110</v>
      </c>
      <c r="G26" s="44" t="s">
        <v>22</v>
      </c>
      <c r="H26" t="str">
        <f t="shared" si="1"/>
        <v>AN CUONG WOOD -WORKING JOINT STOCK COMPANY</v>
      </c>
      <c r="I26" s="112">
        <f t="shared" si="2"/>
        <v>45706</v>
      </c>
      <c r="J26" s="128">
        <f t="shared" si="3"/>
        <v>-400</v>
      </c>
      <c r="R26" t="s">
        <v>92</v>
      </c>
      <c r="S26" s="41">
        <f t="shared" si="0"/>
        <v>-25.61</v>
      </c>
    </row>
    <row r="27" spans="1:19" x14ac:dyDescent="0.3">
      <c r="A27" t="s">
        <v>4</v>
      </c>
      <c r="B27">
        <v>6863</v>
      </c>
      <c r="C27" s="7">
        <v>45830</v>
      </c>
      <c r="D27" s="8">
        <v>825</v>
      </c>
      <c r="E27" s="8"/>
      <c r="F27" s="122" t="s">
        <v>4110</v>
      </c>
      <c r="G27" s="44" t="s">
        <v>23</v>
      </c>
      <c r="H27" t="str">
        <f t="shared" si="1"/>
        <v>AN CUONG WOOD -WORKING JOINT STOCK COMPANY</v>
      </c>
      <c r="I27" s="112">
        <f t="shared" si="2"/>
        <v>45719</v>
      </c>
      <c r="J27" s="128">
        <f t="shared" si="3"/>
        <v>-29.81</v>
      </c>
      <c r="R27" t="s">
        <v>93</v>
      </c>
      <c r="S27" s="41">
        <f t="shared" si="0"/>
        <v>-4539.5200000000004</v>
      </c>
    </row>
    <row r="28" spans="1:19" x14ac:dyDescent="0.3">
      <c r="A28" t="s">
        <v>4</v>
      </c>
      <c r="B28">
        <v>6863</v>
      </c>
      <c r="C28" s="7">
        <v>45830</v>
      </c>
      <c r="D28" s="8">
        <v>1650</v>
      </c>
      <c r="E28" s="8"/>
      <c r="F28" s="122" t="s">
        <v>4110</v>
      </c>
      <c r="G28" s="44">
        <v>20250349</v>
      </c>
      <c r="H28" t="str">
        <f t="shared" si="1"/>
        <v>AN CUONG WOOD -WORKING JOINT STOCK COMPANY</v>
      </c>
      <c r="I28" s="112">
        <f t="shared" si="2"/>
        <v>45729</v>
      </c>
      <c r="J28" s="128">
        <f t="shared" si="3"/>
        <v>951</v>
      </c>
      <c r="R28" t="s">
        <v>95</v>
      </c>
      <c r="S28" s="41">
        <f t="shared" si="0"/>
        <v>-640.36</v>
      </c>
    </row>
    <row r="29" spans="1:19" x14ac:dyDescent="0.3">
      <c r="A29" t="s">
        <v>4</v>
      </c>
      <c r="B29">
        <v>6863</v>
      </c>
      <c r="C29" s="7">
        <v>45830</v>
      </c>
      <c r="D29" s="8">
        <v>825</v>
      </c>
      <c r="E29" s="8"/>
      <c r="F29" s="122" t="s">
        <v>4110</v>
      </c>
      <c r="G29" s="44">
        <v>20250416</v>
      </c>
      <c r="H29" t="str">
        <f t="shared" si="1"/>
        <v>AN CUONG WOOD -WORKING JOINT STOCK COMPANY</v>
      </c>
      <c r="I29" s="112">
        <f t="shared" si="2"/>
        <v>45750</v>
      </c>
      <c r="J29" s="128">
        <f t="shared" si="3"/>
        <v>0.2</v>
      </c>
      <c r="R29" t="s">
        <v>96</v>
      </c>
      <c r="S29" s="41">
        <f t="shared" si="0"/>
        <v>205725.94</v>
      </c>
    </row>
    <row r="30" spans="1:19" x14ac:dyDescent="0.3">
      <c r="A30" t="s">
        <v>4</v>
      </c>
      <c r="B30">
        <v>6873</v>
      </c>
      <c r="C30" s="7">
        <v>45838</v>
      </c>
      <c r="D30" s="8">
        <v>325</v>
      </c>
      <c r="E30" s="8"/>
      <c r="F30" s="122" t="s">
        <v>4110</v>
      </c>
      <c r="G30" s="44">
        <v>202505104</v>
      </c>
      <c r="H30" t="str">
        <f t="shared" si="1"/>
        <v>AN CUONG WOOD -WORKING JOINT STOCK COMPANY</v>
      </c>
      <c r="I30" s="112">
        <f t="shared" si="2"/>
        <v>45803</v>
      </c>
      <c r="J30" s="128">
        <f t="shared" si="3"/>
        <v>496.46</v>
      </c>
      <c r="R30" t="s">
        <v>103</v>
      </c>
      <c r="S30" s="41">
        <f t="shared" si="0"/>
        <v>598.74</v>
      </c>
    </row>
    <row r="31" spans="1:19" x14ac:dyDescent="0.3">
      <c r="A31" t="s">
        <v>4</v>
      </c>
      <c r="B31">
        <v>6873</v>
      </c>
      <c r="C31" s="7">
        <v>45838</v>
      </c>
      <c r="D31" s="8">
        <v>325</v>
      </c>
      <c r="E31" s="8"/>
      <c r="F31" s="122" t="s">
        <v>4110</v>
      </c>
      <c r="G31" s="44" t="s">
        <v>24</v>
      </c>
      <c r="H31" t="str">
        <f t="shared" si="1"/>
        <v>AN CUONG WOOD -WORKING JOINT STOCK COMPANY</v>
      </c>
      <c r="I31" s="112">
        <f t="shared" si="2"/>
        <v>45804</v>
      </c>
      <c r="J31" s="128">
        <f t="shared" si="3"/>
        <v>-136706.65</v>
      </c>
      <c r="R31" t="s">
        <v>105</v>
      </c>
      <c r="S31" s="41">
        <f t="shared" si="0"/>
        <v>37.49</v>
      </c>
    </row>
    <row r="32" spans="1:19" x14ac:dyDescent="0.3">
      <c r="A32" t="s">
        <v>5</v>
      </c>
      <c r="B32">
        <v>20250630</v>
      </c>
      <c r="C32" s="7">
        <v>45838</v>
      </c>
      <c r="D32" s="8">
        <v>391.5</v>
      </c>
      <c r="E32" s="8"/>
      <c r="F32" s="122" t="s">
        <v>4110</v>
      </c>
      <c r="G32" s="44" t="s">
        <v>25</v>
      </c>
      <c r="H32" t="str">
        <f t="shared" si="1"/>
        <v>AN CUONG WOOD -WORKING JOINT STOCK COMPANY</v>
      </c>
      <c r="I32" s="112">
        <f t="shared" si="2"/>
        <v>45810</v>
      </c>
      <c r="J32" s="128">
        <f t="shared" si="3"/>
        <v>-4720.51</v>
      </c>
      <c r="R32" t="s">
        <v>107</v>
      </c>
      <c r="S32" s="41">
        <f t="shared" si="0"/>
        <v>31184.17</v>
      </c>
    </row>
    <row r="33" spans="1:19" x14ac:dyDescent="0.3">
      <c r="A33" t="s">
        <v>6</v>
      </c>
      <c r="B33" s="4" t="s">
        <v>7</v>
      </c>
      <c r="C33" s="7">
        <v>45811</v>
      </c>
      <c r="D33" s="8">
        <v>487.5</v>
      </c>
      <c r="E33" s="8"/>
      <c r="F33" s="122" t="s">
        <v>4110</v>
      </c>
      <c r="G33" s="44" t="s">
        <v>26</v>
      </c>
      <c r="H33" t="str">
        <f t="shared" si="1"/>
        <v>AN CUONG WOOD -WORKING JOINT STOCK COMPANY</v>
      </c>
      <c r="I33" s="112">
        <f t="shared" si="2"/>
        <v>45828</v>
      </c>
      <c r="J33" s="128">
        <f t="shared" si="3"/>
        <v>-189696.39</v>
      </c>
      <c r="R33" t="s">
        <v>109</v>
      </c>
      <c r="S33" s="41">
        <f t="shared" si="0"/>
        <v>2321261.7999999993</v>
      </c>
    </row>
    <row r="34" spans="1:19" x14ac:dyDescent="0.3">
      <c r="A34" t="s">
        <v>6</v>
      </c>
      <c r="B34" s="4" t="s">
        <v>7</v>
      </c>
      <c r="C34" s="7">
        <v>45811</v>
      </c>
      <c r="D34" s="8">
        <v>487</v>
      </c>
      <c r="E34" s="8"/>
      <c r="F34" s="122" t="s">
        <v>4110</v>
      </c>
      <c r="G34" s="44" t="s">
        <v>27</v>
      </c>
      <c r="H34" t="str">
        <f t="shared" si="1"/>
        <v>AN CUONG WOOD -WORKING JOINT STOCK COMPANY</v>
      </c>
      <c r="I34" s="112">
        <f t="shared" si="2"/>
        <v>45838</v>
      </c>
      <c r="J34" s="128">
        <f t="shared" si="3"/>
        <v>6773.28</v>
      </c>
      <c r="R34" t="s">
        <v>300</v>
      </c>
      <c r="S34" s="41">
        <f t="shared" si="0"/>
        <v>195890.11</v>
      </c>
    </row>
    <row r="35" spans="1:19" x14ac:dyDescent="0.3">
      <c r="A35" t="s">
        <v>8</v>
      </c>
      <c r="B35" s="4" t="s">
        <v>9</v>
      </c>
      <c r="C35" s="7">
        <v>45321</v>
      </c>
      <c r="D35" s="8">
        <v>1126.6600000000001</v>
      </c>
      <c r="E35" s="8"/>
      <c r="F35" s="122" t="s">
        <v>4110</v>
      </c>
      <c r="G35" s="44" t="s">
        <v>29</v>
      </c>
      <c r="H35" t="str">
        <f t="shared" si="1"/>
        <v>ANIDRIDEDESIGN</v>
      </c>
      <c r="I35" s="112">
        <f t="shared" si="2"/>
        <v>45725</v>
      </c>
      <c r="J35" s="128">
        <f t="shared" si="3"/>
        <v>45000</v>
      </c>
      <c r="R35" t="s">
        <v>301</v>
      </c>
      <c r="S35" s="41">
        <f t="shared" si="0"/>
        <v>1191.52</v>
      </c>
    </row>
    <row r="36" spans="1:19" x14ac:dyDescent="0.3">
      <c r="A36" t="s">
        <v>8</v>
      </c>
      <c r="B36" s="4" t="s">
        <v>10</v>
      </c>
      <c r="C36" s="7">
        <v>45336</v>
      </c>
      <c r="D36" s="8">
        <v>3350.88</v>
      </c>
      <c r="E36" s="8"/>
      <c r="F36" s="122" t="s">
        <v>4110</v>
      </c>
      <c r="G36" s="44" t="s">
        <v>31</v>
      </c>
      <c r="H36" t="str">
        <f t="shared" si="1"/>
        <v>Art is Love, LLC / Interia Hospitality</v>
      </c>
      <c r="I36" s="112">
        <f t="shared" si="2"/>
        <v>45838</v>
      </c>
      <c r="J36" s="128">
        <f t="shared" si="3"/>
        <v>8.4</v>
      </c>
      <c r="R36" t="s">
        <v>302</v>
      </c>
      <c r="S36" s="41">
        <f t="shared" ref="S36:S67" si="4">SUMIF(A:A,R36,D:D)</f>
        <v>334000</v>
      </c>
    </row>
    <row r="37" spans="1:19" x14ac:dyDescent="0.3">
      <c r="A37" t="s">
        <v>8</v>
      </c>
      <c r="B37" s="4" t="s">
        <v>11</v>
      </c>
      <c r="C37" s="7">
        <v>45336</v>
      </c>
      <c r="D37" s="8">
        <v>6737.68</v>
      </c>
      <c r="E37" s="8"/>
      <c r="F37" s="122" t="s">
        <v>4110</v>
      </c>
      <c r="G37" s="44" t="s">
        <v>33</v>
      </c>
      <c r="H37" t="str">
        <f t="shared" si="1"/>
        <v>ARTLINE GROUP</v>
      </c>
      <c r="I37" s="112">
        <f t="shared" si="2"/>
        <v>45763</v>
      </c>
      <c r="J37" s="128">
        <f t="shared" si="3"/>
        <v>-2154.81</v>
      </c>
      <c r="R37" t="s">
        <v>303</v>
      </c>
      <c r="S37" s="41">
        <f t="shared" si="4"/>
        <v>11060.84</v>
      </c>
    </row>
    <row r="38" spans="1:19" x14ac:dyDescent="0.3">
      <c r="A38" t="s">
        <v>8</v>
      </c>
      <c r="B38" s="4" t="s">
        <v>12</v>
      </c>
      <c r="C38" s="7">
        <v>45336</v>
      </c>
      <c r="D38" s="8">
        <v>723.7</v>
      </c>
      <c r="E38" s="8"/>
      <c r="F38" s="122" t="s">
        <v>4110</v>
      </c>
      <c r="G38" s="44">
        <v>2840</v>
      </c>
      <c r="H38" t="str">
        <f t="shared" si="1"/>
        <v>ATLAS CONCORDE S.p.A</v>
      </c>
      <c r="I38" s="112">
        <f t="shared" si="2"/>
        <v>45292</v>
      </c>
      <c r="J38" s="128">
        <f t="shared" si="3"/>
        <v>-1860.64</v>
      </c>
      <c r="R38" t="s">
        <v>306</v>
      </c>
      <c r="S38" s="41">
        <f t="shared" si="4"/>
        <v>126607.11</v>
      </c>
    </row>
    <row r="39" spans="1:19" x14ac:dyDescent="0.3">
      <c r="A39" t="s">
        <v>8</v>
      </c>
      <c r="B39" s="4" t="s">
        <v>13</v>
      </c>
      <c r="C39" s="7">
        <v>45444</v>
      </c>
      <c r="D39" s="8">
        <v>1043</v>
      </c>
      <c r="E39" s="8"/>
      <c r="F39" s="122" t="s">
        <v>4110</v>
      </c>
      <c r="G39" s="44" t="s">
        <v>35</v>
      </c>
      <c r="H39" t="str">
        <f t="shared" si="1"/>
        <v>ATLAS CONCORDE S.p.A</v>
      </c>
      <c r="I39" s="112">
        <f t="shared" si="2"/>
        <v>45658</v>
      </c>
      <c r="J39" s="128">
        <f t="shared" si="3"/>
        <v>0.96</v>
      </c>
      <c r="R39" t="s">
        <v>324</v>
      </c>
      <c r="S39" s="41">
        <f t="shared" si="4"/>
        <v>-82655.94</v>
      </c>
    </row>
    <row r="40" spans="1:19" x14ac:dyDescent="0.3">
      <c r="A40" t="s">
        <v>8</v>
      </c>
      <c r="B40" s="4" t="s">
        <v>10</v>
      </c>
      <c r="C40" s="7">
        <v>45502</v>
      </c>
      <c r="D40" s="8">
        <v>21942.74</v>
      </c>
      <c r="E40" s="8"/>
      <c r="F40" s="122" t="s">
        <v>4110</v>
      </c>
      <c r="G40" s="44" t="s">
        <v>36</v>
      </c>
      <c r="H40" t="str">
        <f t="shared" si="1"/>
        <v>ATLAS CONCORDE S.p.A</v>
      </c>
      <c r="I40" s="112">
        <f t="shared" si="2"/>
        <v>45708</v>
      </c>
      <c r="J40" s="128">
        <f t="shared" si="3"/>
        <v>28916.230000000003</v>
      </c>
      <c r="R40" t="s">
        <v>339</v>
      </c>
      <c r="S40" s="41">
        <f t="shared" si="4"/>
        <v>34757.1</v>
      </c>
    </row>
    <row r="41" spans="1:19" x14ac:dyDescent="0.3">
      <c r="A41" t="s">
        <v>8</v>
      </c>
      <c r="B41" s="4" t="s">
        <v>14</v>
      </c>
      <c r="C41" s="7">
        <v>45700</v>
      </c>
      <c r="D41" s="8">
        <v>0.76</v>
      </c>
      <c r="E41" s="8"/>
      <c r="F41" s="122" t="s">
        <v>4110</v>
      </c>
      <c r="G41" s="44" t="s">
        <v>37</v>
      </c>
      <c r="H41" t="str">
        <f t="shared" si="1"/>
        <v>ATLAS CONCORDE S.p.A</v>
      </c>
      <c r="I41" s="112">
        <f t="shared" si="2"/>
        <v>45709</v>
      </c>
      <c r="J41" s="128">
        <f t="shared" si="3"/>
        <v>13591.44</v>
      </c>
      <c r="R41" t="s">
        <v>341</v>
      </c>
      <c r="S41" s="41">
        <f t="shared" si="4"/>
        <v>22000</v>
      </c>
    </row>
    <row r="42" spans="1:19" x14ac:dyDescent="0.3">
      <c r="A42" t="s">
        <v>8</v>
      </c>
      <c r="B42" s="4" t="s">
        <v>14</v>
      </c>
      <c r="C42" s="7">
        <v>45700</v>
      </c>
      <c r="D42" s="8">
        <v>0.43</v>
      </c>
      <c r="E42" s="8"/>
      <c r="F42" s="122" t="s">
        <v>4110</v>
      </c>
      <c r="G42" s="44" t="s">
        <v>38</v>
      </c>
      <c r="H42" t="str">
        <f t="shared" si="1"/>
        <v>ATLAS CONCORDE S.p.A</v>
      </c>
      <c r="I42" s="112">
        <f t="shared" si="2"/>
        <v>45713</v>
      </c>
      <c r="J42" s="128">
        <f t="shared" si="3"/>
        <v>18403.2</v>
      </c>
      <c r="R42" t="s">
        <v>343</v>
      </c>
      <c r="S42" s="41">
        <f t="shared" si="4"/>
        <v>-10557.02</v>
      </c>
    </row>
    <row r="43" spans="1:19" x14ac:dyDescent="0.3">
      <c r="A43" t="s">
        <v>15</v>
      </c>
      <c r="B43" s="4" t="s">
        <v>16</v>
      </c>
      <c r="C43" s="7">
        <v>45824</v>
      </c>
      <c r="D43" s="8">
        <v>-33032.89</v>
      </c>
      <c r="E43" s="8"/>
      <c r="F43" s="122" t="s">
        <v>4110</v>
      </c>
      <c r="G43" s="44" t="s">
        <v>39</v>
      </c>
      <c r="H43" t="str">
        <f t="shared" si="1"/>
        <v>ATLAS CONCORDE S.p.A</v>
      </c>
      <c r="I43" s="112">
        <f t="shared" si="2"/>
        <v>45722</v>
      </c>
      <c r="J43" s="128">
        <f t="shared" si="3"/>
        <v>29145.599999999999</v>
      </c>
      <c r="R43" t="s">
        <v>345</v>
      </c>
      <c r="S43" s="41">
        <f t="shared" si="4"/>
        <v>-9900</v>
      </c>
    </row>
    <row r="44" spans="1:19" x14ac:dyDescent="0.3">
      <c r="A44" s="132" t="s">
        <v>17</v>
      </c>
      <c r="B44" s="4" t="s">
        <v>18</v>
      </c>
      <c r="C44" s="7">
        <v>45609</v>
      </c>
      <c r="D44" s="8">
        <v>-3069.8</v>
      </c>
      <c r="E44" s="8"/>
      <c r="F44" s="122" t="s">
        <v>4110</v>
      </c>
      <c r="G44" s="44" t="s">
        <v>40</v>
      </c>
      <c r="H44" t="str">
        <f t="shared" si="1"/>
        <v>ATLAS CONCORDE S.p.A</v>
      </c>
      <c r="I44" s="112">
        <f t="shared" si="2"/>
        <v>45730</v>
      </c>
      <c r="J44" s="128">
        <f t="shared" si="3"/>
        <v>4860</v>
      </c>
      <c r="R44" t="s">
        <v>346</v>
      </c>
      <c r="S44" s="41">
        <f t="shared" si="4"/>
        <v>13564.65</v>
      </c>
    </row>
    <row r="45" spans="1:19" x14ac:dyDescent="0.3">
      <c r="A45" s="132" t="s">
        <v>17</v>
      </c>
      <c r="B45" s="4" t="s">
        <v>19</v>
      </c>
      <c r="C45" s="7">
        <v>45617</v>
      </c>
      <c r="D45" s="8">
        <v>1558</v>
      </c>
      <c r="E45" s="8"/>
      <c r="F45" s="122" t="s">
        <v>4110</v>
      </c>
      <c r="G45" s="44" t="s">
        <v>41</v>
      </c>
      <c r="H45" t="str">
        <f t="shared" si="1"/>
        <v>ATLAS CONCORDE S.p.A</v>
      </c>
      <c r="I45" s="112">
        <f t="shared" si="2"/>
        <v>45742</v>
      </c>
      <c r="J45" s="128">
        <f t="shared" si="3"/>
        <v>21990.33</v>
      </c>
      <c r="R45" t="s">
        <v>347</v>
      </c>
      <c r="S45" s="41">
        <f t="shared" si="4"/>
        <v>3246.63</v>
      </c>
    </row>
    <row r="46" spans="1:19" x14ac:dyDescent="0.3">
      <c r="A46" s="132" t="s">
        <v>17</v>
      </c>
      <c r="B46" s="4" t="s">
        <v>20</v>
      </c>
      <c r="C46" s="7">
        <v>45643</v>
      </c>
      <c r="D46" s="8">
        <v>-2993.47</v>
      </c>
      <c r="E46" s="8"/>
      <c r="F46" s="122" t="s">
        <v>4110</v>
      </c>
      <c r="G46" s="44" t="s">
        <v>42</v>
      </c>
      <c r="H46" t="str">
        <f t="shared" si="1"/>
        <v>ATLAS CONCORDE S.p.A</v>
      </c>
      <c r="I46" s="112">
        <f t="shared" si="2"/>
        <v>45757</v>
      </c>
      <c r="J46" s="128">
        <f t="shared" si="3"/>
        <v>18392.669999999998</v>
      </c>
      <c r="R46" t="s">
        <v>350</v>
      </c>
      <c r="S46" s="41">
        <f t="shared" si="4"/>
        <v>6921.97</v>
      </c>
    </row>
    <row r="47" spans="1:19" x14ac:dyDescent="0.3">
      <c r="A47" s="132" t="s">
        <v>17</v>
      </c>
      <c r="B47" s="4" t="s">
        <v>21</v>
      </c>
      <c r="C47" s="7">
        <v>45650</v>
      </c>
      <c r="D47" s="8">
        <v>-5098.9799999999996</v>
      </c>
      <c r="E47" s="8"/>
      <c r="F47" s="122" t="s">
        <v>4110</v>
      </c>
      <c r="G47" s="44" t="s">
        <v>43</v>
      </c>
      <c r="H47" t="str">
        <f t="shared" si="1"/>
        <v>ATLAS CONCORDE S.p.A</v>
      </c>
      <c r="I47" s="112">
        <f t="shared" si="2"/>
        <v>45757</v>
      </c>
      <c r="J47" s="128">
        <f t="shared" si="3"/>
        <v>18392.669999999998</v>
      </c>
      <c r="R47" t="s">
        <v>354</v>
      </c>
      <c r="S47" s="41">
        <f t="shared" si="4"/>
        <v>-1248.3699999999999</v>
      </c>
    </row>
    <row r="48" spans="1:19" x14ac:dyDescent="0.3">
      <c r="A48" s="132" t="s">
        <v>17</v>
      </c>
      <c r="B48">
        <v>20250108</v>
      </c>
      <c r="C48" s="7">
        <v>45659</v>
      </c>
      <c r="D48" s="8">
        <v>3020.68</v>
      </c>
      <c r="E48" s="8"/>
      <c r="F48" s="122" t="s">
        <v>4110</v>
      </c>
      <c r="G48" s="44" t="s">
        <v>44</v>
      </c>
      <c r="H48" t="str">
        <f t="shared" si="1"/>
        <v>ATLAS CONCORDE S.p.A</v>
      </c>
      <c r="I48" s="112">
        <f t="shared" si="2"/>
        <v>45757</v>
      </c>
      <c r="J48" s="128">
        <f t="shared" si="3"/>
        <v>18392.669999999998</v>
      </c>
      <c r="R48" t="s">
        <v>356</v>
      </c>
      <c r="S48" s="41">
        <f t="shared" si="4"/>
        <v>220566.97999999998</v>
      </c>
    </row>
    <row r="49" spans="1:19" x14ac:dyDescent="0.3">
      <c r="A49" s="132" t="s">
        <v>17</v>
      </c>
      <c r="B49">
        <v>20250137</v>
      </c>
      <c r="C49" s="7">
        <v>45671</v>
      </c>
      <c r="D49" s="8">
        <v>1583</v>
      </c>
      <c r="E49" s="8"/>
      <c r="F49" s="122" t="s">
        <v>4110</v>
      </c>
      <c r="G49" s="44" t="s">
        <v>45</v>
      </c>
      <c r="H49" t="str">
        <f t="shared" si="1"/>
        <v>ATLAS CONCORDE S.p.A</v>
      </c>
      <c r="I49" s="112">
        <f t="shared" si="2"/>
        <v>45762</v>
      </c>
      <c r="J49" s="128">
        <f t="shared" si="3"/>
        <v>22120.7</v>
      </c>
      <c r="R49" t="s">
        <v>421</v>
      </c>
      <c r="S49" s="41">
        <f t="shared" si="4"/>
        <v>-6395</v>
      </c>
    </row>
    <row r="50" spans="1:19" x14ac:dyDescent="0.3">
      <c r="A50" s="132" t="s">
        <v>17</v>
      </c>
      <c r="B50">
        <v>20250229</v>
      </c>
      <c r="C50" s="7">
        <v>45701</v>
      </c>
      <c r="D50" s="8">
        <v>400</v>
      </c>
      <c r="E50" s="8"/>
      <c r="F50" s="122" t="s">
        <v>4110</v>
      </c>
      <c r="G50" s="44" t="s">
        <v>46</v>
      </c>
      <c r="H50" t="str">
        <f t="shared" si="1"/>
        <v>ATLAS CONCORDE S.p.A</v>
      </c>
      <c r="I50" s="112">
        <f t="shared" si="2"/>
        <v>45765</v>
      </c>
      <c r="J50" s="128">
        <f t="shared" si="3"/>
        <v>8409.42</v>
      </c>
      <c r="R50" t="s">
        <v>422</v>
      </c>
      <c r="S50" s="41">
        <f t="shared" si="4"/>
        <v>-649334.3200000003</v>
      </c>
    </row>
    <row r="51" spans="1:19" x14ac:dyDescent="0.3">
      <c r="A51" s="132" t="s">
        <v>17</v>
      </c>
      <c r="B51" s="9" t="s">
        <v>22</v>
      </c>
      <c r="C51" s="7">
        <v>45706</v>
      </c>
      <c r="D51" s="8">
        <v>-400</v>
      </c>
      <c r="E51" s="8"/>
      <c r="F51" s="122" t="s">
        <v>4110</v>
      </c>
      <c r="G51" s="44" t="s">
        <v>47</v>
      </c>
      <c r="H51" t="str">
        <f t="shared" si="1"/>
        <v>ATLAS CONCORDE S.p.A</v>
      </c>
      <c r="I51" s="112">
        <f t="shared" si="2"/>
        <v>45771</v>
      </c>
      <c r="J51" s="128">
        <f t="shared" si="3"/>
        <v>18593.280000000002</v>
      </c>
      <c r="R51" t="s">
        <v>676</v>
      </c>
      <c r="S51" s="41">
        <f t="shared" si="4"/>
        <v>-4842.6099999999997</v>
      </c>
    </row>
    <row r="52" spans="1:19" x14ac:dyDescent="0.3">
      <c r="A52" s="132" t="s">
        <v>17</v>
      </c>
      <c r="B52" s="4" t="s">
        <v>23</v>
      </c>
      <c r="C52" s="7">
        <v>45719</v>
      </c>
      <c r="D52" s="8">
        <v>-29.81</v>
      </c>
      <c r="E52" s="8"/>
      <c r="F52" s="122" t="s">
        <v>4110</v>
      </c>
      <c r="G52" s="44" t="s">
        <v>48</v>
      </c>
      <c r="H52" t="str">
        <f t="shared" si="1"/>
        <v>ATLAS CONCORDE S.p.A</v>
      </c>
      <c r="I52" s="112">
        <f t="shared" si="2"/>
        <v>45806</v>
      </c>
      <c r="J52" s="128">
        <f t="shared" si="3"/>
        <v>2536.92</v>
      </c>
      <c r="R52" t="s">
        <v>678</v>
      </c>
      <c r="S52" s="41">
        <f t="shared" si="4"/>
        <v>2960.2</v>
      </c>
    </row>
    <row r="53" spans="1:19" x14ac:dyDescent="0.3">
      <c r="A53" s="132" t="s">
        <v>17</v>
      </c>
      <c r="B53">
        <v>20250349</v>
      </c>
      <c r="C53" s="7">
        <v>45729</v>
      </c>
      <c r="D53" s="8">
        <v>951</v>
      </c>
      <c r="E53" s="8"/>
      <c r="F53" s="122" t="s">
        <v>4110</v>
      </c>
      <c r="G53" s="44">
        <v>8674</v>
      </c>
      <c r="H53" t="str">
        <f t="shared" si="1"/>
        <v>ATLAS CONCORDE USA</v>
      </c>
      <c r="I53" s="112">
        <f t="shared" si="2"/>
        <v>45735</v>
      </c>
      <c r="J53" s="128">
        <f t="shared" si="3"/>
        <v>63.17</v>
      </c>
      <c r="R53" t="s">
        <v>686</v>
      </c>
      <c r="S53" s="41">
        <f t="shared" si="4"/>
        <v>-18135</v>
      </c>
    </row>
    <row r="54" spans="1:19" x14ac:dyDescent="0.3">
      <c r="A54" s="132" t="s">
        <v>17</v>
      </c>
      <c r="B54">
        <v>20250416</v>
      </c>
      <c r="C54" s="7">
        <v>45750</v>
      </c>
      <c r="D54" s="8">
        <v>0.2</v>
      </c>
      <c r="E54" s="8"/>
      <c r="F54" s="122" t="s">
        <v>4110</v>
      </c>
      <c r="G54" s="44">
        <v>9266</v>
      </c>
      <c r="H54" t="str">
        <f t="shared" si="1"/>
        <v>ATLAS CONCORDE USA</v>
      </c>
      <c r="I54" s="112">
        <f t="shared" si="2"/>
        <v>45742</v>
      </c>
      <c r="J54" s="128">
        <f t="shared" si="3"/>
        <v>17915.98</v>
      </c>
      <c r="R54" t="s">
        <v>688</v>
      </c>
      <c r="S54" s="41">
        <f t="shared" si="4"/>
        <v>5904.52</v>
      </c>
    </row>
    <row r="55" spans="1:19" x14ac:dyDescent="0.3">
      <c r="A55" s="132" t="s">
        <v>17</v>
      </c>
      <c r="B55">
        <v>202505104</v>
      </c>
      <c r="C55" s="7">
        <v>45803</v>
      </c>
      <c r="D55" s="8">
        <v>496.46</v>
      </c>
      <c r="E55" s="8"/>
      <c r="F55" s="122" t="s">
        <v>4110</v>
      </c>
      <c r="G55" s="44">
        <v>10344</v>
      </c>
      <c r="H55" t="str">
        <f t="shared" si="1"/>
        <v>ATLAS CONCORDE USA</v>
      </c>
      <c r="I55" s="112">
        <f t="shared" si="2"/>
        <v>45751</v>
      </c>
      <c r="J55" s="128">
        <f t="shared" si="3"/>
        <v>879.33</v>
      </c>
      <c r="R55" t="s">
        <v>691</v>
      </c>
      <c r="S55" s="41">
        <f t="shared" si="4"/>
        <v>9790.11</v>
      </c>
    </row>
    <row r="56" spans="1:19" x14ac:dyDescent="0.3">
      <c r="A56" s="132" t="s">
        <v>17</v>
      </c>
      <c r="B56" s="4" t="s">
        <v>24</v>
      </c>
      <c r="C56" s="7">
        <v>45804</v>
      </c>
      <c r="D56" s="8">
        <v>-4597.3999999999996</v>
      </c>
      <c r="E56" s="8"/>
      <c r="F56" s="122" t="s">
        <v>4110</v>
      </c>
      <c r="G56" s="44" t="s">
        <v>51</v>
      </c>
      <c r="H56" t="str">
        <f t="shared" si="1"/>
        <v>Beijing Topli Decorative Materials Co., LTD</v>
      </c>
      <c r="I56" s="112">
        <f t="shared" si="2"/>
        <v>45457</v>
      </c>
      <c r="J56" s="128">
        <f t="shared" si="3"/>
        <v>217.11</v>
      </c>
      <c r="R56" t="s">
        <v>692</v>
      </c>
      <c r="S56" s="41">
        <f t="shared" si="4"/>
        <v>3465</v>
      </c>
    </row>
    <row r="57" spans="1:19" x14ac:dyDescent="0.3">
      <c r="A57" s="132" t="s">
        <v>17</v>
      </c>
      <c r="B57" s="4" t="s">
        <v>25</v>
      </c>
      <c r="C57" s="7">
        <v>45810</v>
      </c>
      <c r="D57" s="8">
        <v>-3982.65</v>
      </c>
      <c r="E57" s="8"/>
      <c r="F57" s="122" t="s">
        <v>4110</v>
      </c>
      <c r="G57" s="44" t="s">
        <v>52</v>
      </c>
      <c r="H57" t="str">
        <f t="shared" si="1"/>
        <v>Beijing Topli Decorative Materials Co., LTD</v>
      </c>
      <c r="I57" s="112">
        <f t="shared" si="2"/>
        <v>45566</v>
      </c>
      <c r="J57" s="128">
        <f t="shared" si="3"/>
        <v>240</v>
      </c>
      <c r="R57" t="s">
        <v>693</v>
      </c>
      <c r="S57" s="41">
        <f t="shared" si="4"/>
        <v>-1050</v>
      </c>
    </row>
    <row r="58" spans="1:19" x14ac:dyDescent="0.3">
      <c r="A58" s="132" t="s">
        <v>17</v>
      </c>
      <c r="B58" s="4" t="s">
        <v>16</v>
      </c>
      <c r="C58" s="7">
        <v>45824</v>
      </c>
      <c r="D58" s="8">
        <v>-15086</v>
      </c>
      <c r="E58" s="8"/>
      <c r="F58" s="122" t="s">
        <v>4110</v>
      </c>
      <c r="G58" s="44" t="s">
        <v>53</v>
      </c>
      <c r="H58" t="str">
        <f t="shared" si="1"/>
        <v>Beijing Topli Decorative Materials Co., LTD</v>
      </c>
      <c r="I58" s="112">
        <f t="shared" si="2"/>
        <v>45566</v>
      </c>
      <c r="J58" s="128">
        <f t="shared" si="3"/>
        <v>260</v>
      </c>
      <c r="R58" t="s">
        <v>695</v>
      </c>
      <c r="S58" s="41">
        <f t="shared" si="4"/>
        <v>2634.9500000000003</v>
      </c>
    </row>
    <row r="59" spans="1:19" x14ac:dyDescent="0.3">
      <c r="A59" s="132" t="s">
        <v>17</v>
      </c>
      <c r="B59" s="4" t="s">
        <v>16</v>
      </c>
      <c r="C59" s="7">
        <v>45824</v>
      </c>
      <c r="D59" s="131">
        <v>-6871.5</v>
      </c>
      <c r="E59" s="8"/>
      <c r="F59" s="122" t="s">
        <v>4110</v>
      </c>
      <c r="G59" s="44" t="s">
        <v>54</v>
      </c>
      <c r="H59" t="str">
        <f t="shared" si="1"/>
        <v>Beijing Topli Decorative Materials Co., LTD</v>
      </c>
      <c r="I59" s="112">
        <f t="shared" si="2"/>
        <v>45597</v>
      </c>
      <c r="J59" s="128">
        <f t="shared" si="3"/>
        <v>9.86</v>
      </c>
      <c r="R59" t="s">
        <v>696</v>
      </c>
      <c r="S59" s="41">
        <f t="shared" si="4"/>
        <v>19029.32</v>
      </c>
    </row>
    <row r="60" spans="1:19" x14ac:dyDescent="0.3">
      <c r="A60" s="132" t="s">
        <v>17</v>
      </c>
      <c r="B60" s="4" t="s">
        <v>26</v>
      </c>
      <c r="C60" s="7">
        <v>45828</v>
      </c>
      <c r="D60" s="8">
        <v>-17547.5</v>
      </c>
      <c r="E60" s="8"/>
      <c r="F60" s="122" t="s">
        <v>4110</v>
      </c>
      <c r="G60" s="44" t="s">
        <v>55</v>
      </c>
      <c r="H60" t="str">
        <f t="shared" si="1"/>
        <v>Beijing Topli Decorative Materials Co., LTD</v>
      </c>
      <c r="I60" s="112">
        <f t="shared" si="2"/>
        <v>45597</v>
      </c>
      <c r="J60" s="128">
        <f t="shared" si="3"/>
        <v>2381.39</v>
      </c>
      <c r="R60" t="s">
        <v>698</v>
      </c>
      <c r="S60" s="41">
        <f t="shared" si="4"/>
        <v>-1030.98</v>
      </c>
    </row>
    <row r="61" spans="1:19" x14ac:dyDescent="0.3">
      <c r="A61" s="132" t="s">
        <v>17</v>
      </c>
      <c r="B61" s="4" t="s">
        <v>27</v>
      </c>
      <c r="C61" s="7">
        <v>45838</v>
      </c>
      <c r="D61" s="8">
        <v>6773.28</v>
      </c>
      <c r="E61" s="8"/>
      <c r="F61" s="122" t="s">
        <v>4110</v>
      </c>
      <c r="G61" s="44" t="s">
        <v>56</v>
      </c>
      <c r="H61" t="str">
        <f t="shared" si="1"/>
        <v>Beijing Topli Decorative Materials Co., LTD</v>
      </c>
      <c r="I61" s="112">
        <f t="shared" si="2"/>
        <v>45611</v>
      </c>
      <c r="J61" s="128">
        <f t="shared" si="3"/>
        <v>1478</v>
      </c>
      <c r="R61" t="s">
        <v>702</v>
      </c>
      <c r="S61" s="41">
        <f t="shared" si="4"/>
        <v>271.01</v>
      </c>
    </row>
    <row r="62" spans="1:19" x14ac:dyDescent="0.3">
      <c r="A62" t="s">
        <v>28</v>
      </c>
      <c r="B62" s="4" t="s">
        <v>29</v>
      </c>
      <c r="C62" s="7">
        <v>45725</v>
      </c>
      <c r="D62" s="8">
        <v>45000</v>
      </c>
      <c r="E62" s="8"/>
      <c r="F62" s="122" t="s">
        <v>4110</v>
      </c>
      <c r="G62" s="44" t="s">
        <v>57</v>
      </c>
      <c r="H62" t="str">
        <f t="shared" si="1"/>
        <v>Beijing Topli Decorative Materials Co., LTD</v>
      </c>
      <c r="I62" s="112">
        <f t="shared" si="2"/>
        <v>45616</v>
      </c>
      <c r="J62" s="128">
        <f t="shared" si="3"/>
        <v>2763.97</v>
      </c>
      <c r="R62" t="s">
        <v>703</v>
      </c>
      <c r="S62" s="41">
        <f t="shared" si="4"/>
        <v>-1247.44</v>
      </c>
    </row>
    <row r="63" spans="1:19" x14ac:dyDescent="0.3">
      <c r="A63" t="s">
        <v>30</v>
      </c>
      <c r="B63" s="4" t="s">
        <v>31</v>
      </c>
      <c r="C63" s="7">
        <v>45838</v>
      </c>
      <c r="D63" s="8">
        <v>8.4</v>
      </c>
      <c r="E63" s="8"/>
      <c r="F63" s="122" t="s">
        <v>4110</v>
      </c>
      <c r="G63" s="44" t="s">
        <v>58</v>
      </c>
      <c r="H63" t="str">
        <f t="shared" si="1"/>
        <v>Beijing Topli Decorative Materials Co., LTD</v>
      </c>
      <c r="I63" s="112">
        <f t="shared" si="2"/>
        <v>45627</v>
      </c>
      <c r="J63" s="128">
        <f t="shared" si="3"/>
        <v>589.41</v>
      </c>
      <c r="R63" t="s">
        <v>705</v>
      </c>
      <c r="S63" s="41">
        <f t="shared" si="4"/>
        <v>5329.06</v>
      </c>
    </row>
    <row r="64" spans="1:19" x14ac:dyDescent="0.3">
      <c r="A64" t="s">
        <v>32</v>
      </c>
      <c r="B64" s="9" t="s">
        <v>33</v>
      </c>
      <c r="C64" s="7">
        <v>45763</v>
      </c>
      <c r="D64" s="8">
        <v>-2154.81</v>
      </c>
      <c r="E64" s="8"/>
      <c r="F64" s="122" t="s">
        <v>4110</v>
      </c>
      <c r="G64" s="44" t="s">
        <v>59</v>
      </c>
      <c r="H64" t="str">
        <f t="shared" si="1"/>
        <v>Beijing Topli Decorative Materials Co., LTD</v>
      </c>
      <c r="I64" s="112">
        <f t="shared" si="2"/>
        <v>45747</v>
      </c>
      <c r="J64" s="128">
        <f t="shared" si="3"/>
        <v>6700.08</v>
      </c>
      <c r="R64" t="s">
        <v>711</v>
      </c>
      <c r="S64" s="41">
        <f t="shared" si="4"/>
        <v>33750</v>
      </c>
    </row>
    <row r="65" spans="1:19" x14ac:dyDescent="0.3">
      <c r="A65" t="s">
        <v>34</v>
      </c>
      <c r="B65">
        <v>2840</v>
      </c>
      <c r="C65" s="7">
        <v>45292</v>
      </c>
      <c r="D65" s="8">
        <v>-1860.64</v>
      </c>
      <c r="E65" s="8"/>
      <c r="F65" s="122" t="s">
        <v>4110</v>
      </c>
      <c r="G65" s="44" t="s">
        <v>60</v>
      </c>
      <c r="H65" t="str">
        <f t="shared" si="1"/>
        <v>Beijing Topli Decorative Materials Co., LTD</v>
      </c>
      <c r="I65" s="112">
        <f t="shared" si="2"/>
        <v>45756</v>
      </c>
      <c r="J65" s="128">
        <f t="shared" si="3"/>
        <v>-29627.25</v>
      </c>
      <c r="R65" t="s">
        <v>712</v>
      </c>
      <c r="S65" s="41">
        <f t="shared" si="4"/>
        <v>20100.16</v>
      </c>
    </row>
    <row r="66" spans="1:19" x14ac:dyDescent="0.3">
      <c r="A66" t="s">
        <v>34</v>
      </c>
      <c r="B66" s="4" t="s">
        <v>35</v>
      </c>
      <c r="C66" s="7">
        <v>45658</v>
      </c>
      <c r="D66" s="8">
        <v>0.96</v>
      </c>
      <c r="E66" s="8"/>
      <c r="F66" s="122" t="s">
        <v>4110</v>
      </c>
      <c r="G66" s="44" t="s">
        <v>61</v>
      </c>
      <c r="H66" t="str">
        <f t="shared" si="1"/>
        <v>Beijing Topli Decorative Materials Co., LTD</v>
      </c>
      <c r="I66" s="112">
        <f t="shared" si="2"/>
        <v>45813</v>
      </c>
      <c r="J66" s="128">
        <f t="shared" si="3"/>
        <v>381.36</v>
      </c>
      <c r="R66" t="s">
        <v>714</v>
      </c>
      <c r="S66" s="41">
        <f t="shared" si="4"/>
        <v>6543.53</v>
      </c>
    </row>
    <row r="67" spans="1:19" ht="12.65" customHeight="1" x14ac:dyDescent="0.3">
      <c r="A67" t="s">
        <v>34</v>
      </c>
      <c r="B67" s="4" t="s">
        <v>36</v>
      </c>
      <c r="C67" s="7">
        <v>45708</v>
      </c>
      <c r="D67" s="8">
        <v>12145.04</v>
      </c>
      <c r="E67" s="8"/>
      <c r="F67" s="123" t="s">
        <v>4109</v>
      </c>
      <c r="G67" s="44" t="s">
        <v>63</v>
      </c>
      <c r="H67" t="str">
        <f t="shared" si="1"/>
        <v>BusBot/Freedom Logistics (Denim)</v>
      </c>
      <c r="I67" s="112">
        <f t="shared" si="2"/>
        <v>45689</v>
      </c>
      <c r="J67" s="128">
        <f t="shared" si="3"/>
        <v>450</v>
      </c>
      <c r="K67" s="102"/>
      <c r="R67" t="s">
        <v>716</v>
      </c>
      <c r="S67" s="41">
        <f t="shared" si="4"/>
        <v>157565.31000000003</v>
      </c>
    </row>
    <row r="68" spans="1:19" x14ac:dyDescent="0.3">
      <c r="A68" t="s">
        <v>34</v>
      </c>
      <c r="B68" s="4" t="s">
        <v>36</v>
      </c>
      <c r="C68" s="7">
        <v>45708</v>
      </c>
      <c r="D68" s="8">
        <v>5884.79</v>
      </c>
      <c r="E68" s="8"/>
      <c r="F68" s="123" t="s">
        <v>4109</v>
      </c>
      <c r="G68" s="44" t="s">
        <v>64</v>
      </c>
      <c r="H68" t="str">
        <f t="shared" si="1"/>
        <v>BusBot/Freedom Logistics (Denim)</v>
      </c>
      <c r="I68" s="112">
        <f t="shared" si="2"/>
        <v>45699</v>
      </c>
      <c r="J68" s="128">
        <f t="shared" si="3"/>
        <v>50</v>
      </c>
      <c r="R68" t="s">
        <v>736</v>
      </c>
      <c r="S68" s="41">
        <f t="shared" ref="S68:S99" si="5">SUMIF(A:A,R68,D:D)</f>
        <v>191364.21000000002</v>
      </c>
    </row>
    <row r="69" spans="1:19" x14ac:dyDescent="0.3">
      <c r="A69" t="s">
        <v>34</v>
      </c>
      <c r="B69" s="4" t="s">
        <v>36</v>
      </c>
      <c r="C69" s="7">
        <v>45708</v>
      </c>
      <c r="D69" s="8">
        <v>10886.4</v>
      </c>
      <c r="E69" s="8"/>
      <c r="F69" s="123" t="s">
        <v>4109</v>
      </c>
      <c r="G69" s="44">
        <v>6216845811</v>
      </c>
      <c r="H69" t="str">
        <f t="shared" si="1"/>
        <v>C.H. Robinson Worldwide, Inc</v>
      </c>
      <c r="I69" s="112">
        <f t="shared" si="2"/>
        <v>45692</v>
      </c>
      <c r="J69" s="128">
        <f t="shared" si="3"/>
        <v>2985</v>
      </c>
      <c r="K69" s="102"/>
      <c r="R69" t="s">
        <v>764</v>
      </c>
      <c r="S69" s="41">
        <f t="shared" si="5"/>
        <v>353.66</v>
      </c>
    </row>
    <row r="70" spans="1:19" x14ac:dyDescent="0.3">
      <c r="A70" t="s">
        <v>34</v>
      </c>
      <c r="B70" s="4" t="s">
        <v>37</v>
      </c>
      <c r="C70" s="7">
        <v>45709</v>
      </c>
      <c r="D70" s="8">
        <v>13591.44</v>
      </c>
      <c r="E70" s="8"/>
      <c r="F70" s="123" t="s">
        <v>4109</v>
      </c>
      <c r="G70" s="44">
        <v>6220209006</v>
      </c>
      <c r="H70" t="str">
        <f t="shared" ref="H70:H133" si="6">_xlfn.XLOOKUP(G70,B:B,A:A,,)</f>
        <v>C.H. Robinson Worldwide, Inc</v>
      </c>
      <c r="I70" s="112">
        <f t="shared" ref="I70:I133" si="7">_xlfn.XLOOKUP(G70,B:B,C:C,,)</f>
        <v>45750</v>
      </c>
      <c r="J70" s="128">
        <f t="shared" ref="J70:J133" si="8">SUMIF(B:B,G70,D:D)</f>
        <v>0.01</v>
      </c>
      <c r="R70" t="s">
        <v>765</v>
      </c>
      <c r="S70" s="41">
        <f t="shared" si="5"/>
        <v>-4055.69</v>
      </c>
    </row>
    <row r="71" spans="1:19" x14ac:dyDescent="0.3">
      <c r="A71" t="s">
        <v>34</v>
      </c>
      <c r="B71" s="4" t="s">
        <v>38</v>
      </c>
      <c r="C71" s="7">
        <v>45713</v>
      </c>
      <c r="D71" s="8">
        <v>18403.2</v>
      </c>
      <c r="E71" s="8"/>
      <c r="F71" s="123" t="s">
        <v>4109</v>
      </c>
      <c r="G71" s="44">
        <v>6220721434</v>
      </c>
      <c r="H71" t="str">
        <f t="shared" si="6"/>
        <v>C.H. Robinson Worldwide, Inc</v>
      </c>
      <c r="I71" s="112">
        <f t="shared" si="7"/>
        <v>45764</v>
      </c>
      <c r="J71" s="128">
        <f t="shared" si="8"/>
        <v>2.0699999999999998</v>
      </c>
      <c r="R71" t="s">
        <v>772</v>
      </c>
      <c r="S71" s="41">
        <f t="shared" si="5"/>
        <v>-3772.26</v>
      </c>
    </row>
    <row r="72" spans="1:19" x14ac:dyDescent="0.3">
      <c r="A72" t="s">
        <v>34</v>
      </c>
      <c r="B72" s="4" t="s">
        <v>39</v>
      </c>
      <c r="C72" s="7">
        <v>45722</v>
      </c>
      <c r="D72" s="8">
        <v>29145.599999999999</v>
      </c>
      <c r="E72" s="8"/>
      <c r="F72" s="122" t="s">
        <v>4110</v>
      </c>
      <c r="G72" s="44" t="s">
        <v>67</v>
      </c>
      <c r="H72" t="str">
        <f t="shared" si="6"/>
        <v>Cambodian Zulite Stone Co., Ltd.</v>
      </c>
      <c r="I72" s="112">
        <f t="shared" si="7"/>
        <v>45658</v>
      </c>
      <c r="J72" s="128">
        <f t="shared" si="8"/>
        <v>0.01</v>
      </c>
      <c r="R72" t="s">
        <v>775</v>
      </c>
      <c r="S72" s="41">
        <f t="shared" si="5"/>
        <v>689</v>
      </c>
    </row>
    <row r="73" spans="1:19" x14ac:dyDescent="0.3">
      <c r="A73" t="s">
        <v>34</v>
      </c>
      <c r="B73" s="4" t="s">
        <v>40</v>
      </c>
      <c r="C73" s="7">
        <v>45730</v>
      </c>
      <c r="D73" s="8">
        <v>4860</v>
      </c>
      <c r="E73" s="8"/>
      <c r="F73" s="122" t="s">
        <v>4110</v>
      </c>
      <c r="G73" s="44" t="s">
        <v>68</v>
      </c>
      <c r="H73" t="str">
        <f t="shared" si="6"/>
        <v>Cambodian Zulite Stone Co., Ltd.</v>
      </c>
      <c r="I73" s="112">
        <f t="shared" si="7"/>
        <v>45748</v>
      </c>
      <c r="J73" s="128">
        <f t="shared" si="8"/>
        <v>58501.75</v>
      </c>
      <c r="R73" t="s">
        <v>777</v>
      </c>
      <c r="S73" s="41">
        <f t="shared" si="5"/>
        <v>-8993.4599999999991</v>
      </c>
    </row>
    <row r="74" spans="1:19" x14ac:dyDescent="0.3">
      <c r="A74" t="s">
        <v>34</v>
      </c>
      <c r="B74" s="4" t="s">
        <v>41</v>
      </c>
      <c r="C74" s="7">
        <v>45742</v>
      </c>
      <c r="D74" s="8">
        <v>1091.6099999999999</v>
      </c>
      <c r="E74" s="8"/>
      <c r="F74" s="122" t="s">
        <v>4110</v>
      </c>
      <c r="G74" s="44" t="s">
        <v>69</v>
      </c>
      <c r="H74" t="str">
        <f t="shared" si="6"/>
        <v>Cambodian Zulite Stone Co., Ltd.</v>
      </c>
      <c r="I74" s="112">
        <f t="shared" si="7"/>
        <v>45750</v>
      </c>
      <c r="J74" s="128">
        <f t="shared" si="8"/>
        <v>3820.32</v>
      </c>
      <c r="R74" t="s">
        <v>779</v>
      </c>
      <c r="S74" s="41">
        <f t="shared" si="5"/>
        <v>250</v>
      </c>
    </row>
    <row r="75" spans="1:19" x14ac:dyDescent="0.3">
      <c r="A75" t="s">
        <v>34</v>
      </c>
      <c r="B75" s="4" t="s">
        <v>41</v>
      </c>
      <c r="C75" s="7">
        <v>45742</v>
      </c>
      <c r="D75" s="8">
        <v>3387.6</v>
      </c>
      <c r="E75" s="8"/>
      <c r="F75" s="122" t="s">
        <v>4110</v>
      </c>
      <c r="G75" s="44" t="s">
        <v>70</v>
      </c>
      <c r="H75" t="str">
        <f t="shared" si="6"/>
        <v>Cambodian Zulite Stone Co., Ltd.</v>
      </c>
      <c r="I75" s="112">
        <f t="shared" si="7"/>
        <v>45750</v>
      </c>
      <c r="J75" s="128">
        <f t="shared" si="8"/>
        <v>5805</v>
      </c>
      <c r="R75" t="s">
        <v>780</v>
      </c>
      <c r="S75" s="41">
        <f t="shared" si="5"/>
        <v>-3986.78</v>
      </c>
    </row>
    <row r="76" spans="1:19" x14ac:dyDescent="0.3">
      <c r="A76" t="s">
        <v>34</v>
      </c>
      <c r="B76" s="4" t="s">
        <v>41</v>
      </c>
      <c r="C76" s="7">
        <v>45742</v>
      </c>
      <c r="D76" s="8">
        <v>7272.72</v>
      </c>
      <c r="E76" s="8"/>
      <c r="F76" s="122" t="s">
        <v>4110</v>
      </c>
      <c r="G76" s="44" t="s">
        <v>71</v>
      </c>
      <c r="H76" t="str">
        <f t="shared" si="6"/>
        <v>Cambodian Zulite Stone Co., Ltd.</v>
      </c>
      <c r="I76" s="112">
        <f t="shared" si="7"/>
        <v>45750</v>
      </c>
      <c r="J76" s="128">
        <f t="shared" si="8"/>
        <v>6106.03</v>
      </c>
      <c r="R76" t="s">
        <v>782</v>
      </c>
      <c r="S76" s="41">
        <f t="shared" si="5"/>
        <v>2397.6</v>
      </c>
    </row>
    <row r="77" spans="1:19" x14ac:dyDescent="0.3">
      <c r="A77" t="s">
        <v>34</v>
      </c>
      <c r="B77" s="4" t="s">
        <v>41</v>
      </c>
      <c r="C77" s="7">
        <v>45742</v>
      </c>
      <c r="D77" s="8">
        <v>8424</v>
      </c>
      <c r="E77" s="8"/>
      <c r="F77" s="122" t="s">
        <v>4110</v>
      </c>
      <c r="G77" s="44" t="s">
        <v>72</v>
      </c>
      <c r="H77" t="str">
        <f t="shared" si="6"/>
        <v>Cambodian Zulite Stone Co., Ltd.</v>
      </c>
      <c r="I77" s="112">
        <f t="shared" si="7"/>
        <v>45750</v>
      </c>
      <c r="J77" s="128">
        <f t="shared" si="8"/>
        <v>17005.63</v>
      </c>
      <c r="R77" t="s">
        <v>786</v>
      </c>
      <c r="S77" s="41">
        <f t="shared" si="5"/>
        <v>330</v>
      </c>
    </row>
    <row r="78" spans="1:19" x14ac:dyDescent="0.3">
      <c r="A78" t="s">
        <v>34</v>
      </c>
      <c r="B78" s="4" t="s">
        <v>41</v>
      </c>
      <c r="C78" s="7">
        <v>45742</v>
      </c>
      <c r="D78" s="8">
        <v>1814.4</v>
      </c>
      <c r="E78" s="8"/>
      <c r="F78" s="122" t="s">
        <v>4110</v>
      </c>
      <c r="G78" s="44" t="s">
        <v>73</v>
      </c>
      <c r="H78" t="str">
        <f t="shared" si="6"/>
        <v>Cambodian Zulite Stone Co., Ltd.</v>
      </c>
      <c r="I78" s="112">
        <f t="shared" si="7"/>
        <v>45750</v>
      </c>
      <c r="J78" s="128">
        <f t="shared" si="8"/>
        <v>9861.86</v>
      </c>
      <c r="R78" t="s">
        <v>788</v>
      </c>
      <c r="S78" s="41">
        <f t="shared" si="5"/>
        <v>-210</v>
      </c>
    </row>
    <row r="79" spans="1:19" x14ac:dyDescent="0.3">
      <c r="A79" t="s">
        <v>34</v>
      </c>
      <c r="B79" s="4" t="s">
        <v>42</v>
      </c>
      <c r="C79" s="7">
        <v>45757</v>
      </c>
      <c r="D79" s="8">
        <v>18392.669999999998</v>
      </c>
      <c r="E79" s="8"/>
      <c r="F79" s="122" t="s">
        <v>4110</v>
      </c>
      <c r="G79" s="44" t="s">
        <v>74</v>
      </c>
      <c r="H79" t="str">
        <f t="shared" si="6"/>
        <v>Cambodian Zulite Stone Co., Ltd.</v>
      </c>
      <c r="I79" s="112">
        <f t="shared" si="7"/>
        <v>45750</v>
      </c>
      <c r="J79" s="128">
        <f t="shared" si="8"/>
        <v>12713.89</v>
      </c>
      <c r="R79" t="s">
        <v>790</v>
      </c>
      <c r="S79" s="41">
        <f t="shared" si="5"/>
        <v>-18334.150000000001</v>
      </c>
    </row>
    <row r="80" spans="1:19" x14ac:dyDescent="0.3">
      <c r="A80" t="s">
        <v>34</v>
      </c>
      <c r="B80" s="4" t="s">
        <v>43</v>
      </c>
      <c r="C80" s="7">
        <v>45757</v>
      </c>
      <c r="D80" s="8">
        <v>18392.669999999998</v>
      </c>
      <c r="E80" s="8"/>
      <c r="F80" s="122" t="s">
        <v>4110</v>
      </c>
      <c r="G80" s="44" t="s">
        <v>75</v>
      </c>
      <c r="H80" t="str">
        <f t="shared" si="6"/>
        <v>Cambodian Zulite Stone Co., Ltd.</v>
      </c>
      <c r="I80" s="112">
        <f t="shared" si="7"/>
        <v>45753</v>
      </c>
      <c r="J80" s="128">
        <f t="shared" si="8"/>
        <v>24828.74</v>
      </c>
      <c r="R80" t="s">
        <v>791</v>
      </c>
      <c r="S80" s="41">
        <f t="shared" si="5"/>
        <v>-3410</v>
      </c>
    </row>
    <row r="81" spans="1:19" x14ac:dyDescent="0.3">
      <c r="A81" t="s">
        <v>34</v>
      </c>
      <c r="B81" s="4" t="s">
        <v>44</v>
      </c>
      <c r="C81" s="7">
        <v>45757</v>
      </c>
      <c r="D81" s="8">
        <v>18392.669999999998</v>
      </c>
      <c r="E81" s="8"/>
      <c r="F81" s="122" t="s">
        <v>4110</v>
      </c>
      <c r="G81" s="44" t="s">
        <v>76</v>
      </c>
      <c r="H81" t="str">
        <f t="shared" si="6"/>
        <v>Cambodian Zulite Stone Co., Ltd.</v>
      </c>
      <c r="I81" s="112">
        <f t="shared" si="7"/>
        <v>45761</v>
      </c>
      <c r="J81" s="128">
        <f t="shared" si="8"/>
        <v>7942.62</v>
      </c>
      <c r="R81" t="s">
        <v>793</v>
      </c>
      <c r="S81" s="41">
        <f t="shared" si="5"/>
        <v>-250464.05000000002</v>
      </c>
    </row>
    <row r="82" spans="1:19" x14ac:dyDescent="0.3">
      <c r="A82" t="s">
        <v>34</v>
      </c>
      <c r="B82" s="4" t="s">
        <v>45</v>
      </c>
      <c r="C82" s="7">
        <v>45762</v>
      </c>
      <c r="D82" s="8">
        <v>18017.29</v>
      </c>
      <c r="E82" s="8"/>
      <c r="F82" s="122" t="s">
        <v>4110</v>
      </c>
      <c r="G82" s="44" t="s">
        <v>77</v>
      </c>
      <c r="H82" t="str">
        <f t="shared" si="6"/>
        <v>Cambodian Zulite Stone Co., Ltd.</v>
      </c>
      <c r="I82" s="112">
        <f t="shared" si="7"/>
        <v>45766</v>
      </c>
      <c r="J82" s="128">
        <f t="shared" si="8"/>
        <v>70855.649999999994</v>
      </c>
      <c r="R82" t="s">
        <v>803</v>
      </c>
      <c r="S82" s="41">
        <f t="shared" si="5"/>
        <v>-81.599999999999994</v>
      </c>
    </row>
    <row r="83" spans="1:19" x14ac:dyDescent="0.3">
      <c r="A83" t="s">
        <v>34</v>
      </c>
      <c r="B83" s="4" t="s">
        <v>45</v>
      </c>
      <c r="C83" s="7">
        <v>45762</v>
      </c>
      <c r="D83" s="8">
        <v>4103.41</v>
      </c>
      <c r="E83" s="8"/>
      <c r="F83" s="122" t="s">
        <v>4110</v>
      </c>
      <c r="G83" s="44" t="s">
        <v>78</v>
      </c>
      <c r="H83" t="str">
        <f t="shared" si="6"/>
        <v>Cambodian Zulite Stone Co., Ltd.</v>
      </c>
      <c r="I83" s="112">
        <f t="shared" si="7"/>
        <v>45794</v>
      </c>
      <c r="J83" s="128">
        <f t="shared" si="8"/>
        <v>95584.7</v>
      </c>
      <c r="R83" t="s">
        <v>806</v>
      </c>
      <c r="S83" s="41">
        <f t="shared" si="5"/>
        <v>51.5</v>
      </c>
    </row>
    <row r="84" spans="1:19" x14ac:dyDescent="0.3">
      <c r="A84" t="s">
        <v>34</v>
      </c>
      <c r="B84" s="4" t="s">
        <v>46</v>
      </c>
      <c r="C84" s="7">
        <v>45765</v>
      </c>
      <c r="D84" s="8">
        <v>8409.42</v>
      </c>
      <c r="E84" s="8"/>
      <c r="F84" s="122" t="s">
        <v>4110</v>
      </c>
      <c r="G84" s="44" t="s">
        <v>79</v>
      </c>
      <c r="H84" t="str">
        <f t="shared" si="6"/>
        <v>Cambodian Zulite Stone Co., Ltd.</v>
      </c>
      <c r="I84" s="112">
        <f t="shared" si="7"/>
        <v>45809</v>
      </c>
      <c r="J84" s="128">
        <f t="shared" si="8"/>
        <v>7741.34</v>
      </c>
      <c r="R84" t="s">
        <v>807</v>
      </c>
      <c r="S84" s="41">
        <f t="shared" si="5"/>
        <v>-9982.84</v>
      </c>
    </row>
    <row r="85" spans="1:19" x14ac:dyDescent="0.3">
      <c r="A85" t="s">
        <v>34</v>
      </c>
      <c r="B85" s="4" t="s">
        <v>47</v>
      </c>
      <c r="C85" s="7">
        <v>45771</v>
      </c>
      <c r="D85" s="8">
        <v>907.2</v>
      </c>
      <c r="E85" s="8"/>
      <c r="F85" s="122" t="s">
        <v>4110</v>
      </c>
      <c r="G85" s="44" t="s">
        <v>80</v>
      </c>
      <c r="H85" t="str">
        <f t="shared" si="6"/>
        <v>Cambodian Zulite Stone Co., Ltd.</v>
      </c>
      <c r="I85" s="112">
        <f t="shared" si="7"/>
        <v>45809</v>
      </c>
      <c r="J85" s="128">
        <f t="shared" si="8"/>
        <v>2354.56</v>
      </c>
      <c r="R85" t="s">
        <v>809</v>
      </c>
      <c r="S85" s="41">
        <f t="shared" si="5"/>
        <v>-4807.82</v>
      </c>
    </row>
    <row r="86" spans="1:19" x14ac:dyDescent="0.3">
      <c r="A86" t="s">
        <v>34</v>
      </c>
      <c r="B86" s="4" t="s">
        <v>47</v>
      </c>
      <c r="C86" s="7">
        <v>45771</v>
      </c>
      <c r="D86" s="8">
        <v>17686.080000000002</v>
      </c>
      <c r="E86" s="8"/>
      <c r="F86" s="122" t="s">
        <v>4110</v>
      </c>
      <c r="G86" s="44" t="s">
        <v>81</v>
      </c>
      <c r="H86" t="str">
        <f t="shared" si="6"/>
        <v>Cambodian Zulite Stone Co., Ltd.</v>
      </c>
      <c r="I86" s="112">
        <f t="shared" si="7"/>
        <v>45809</v>
      </c>
      <c r="J86" s="128">
        <f t="shared" si="8"/>
        <v>4876.07</v>
      </c>
      <c r="R86" t="s">
        <v>811</v>
      </c>
      <c r="S86" s="41">
        <f t="shared" si="5"/>
        <v>67708.100000000006</v>
      </c>
    </row>
    <row r="87" spans="1:19" x14ac:dyDescent="0.3">
      <c r="A87" t="s">
        <v>34</v>
      </c>
      <c r="B87" s="4" t="s">
        <v>48</v>
      </c>
      <c r="C87" s="7">
        <v>45806</v>
      </c>
      <c r="D87" s="8">
        <v>2536.92</v>
      </c>
      <c r="E87" s="8"/>
      <c r="F87" s="122" t="s">
        <v>4110</v>
      </c>
      <c r="G87" s="44" t="s">
        <v>83</v>
      </c>
      <c r="H87" t="str">
        <f t="shared" si="6"/>
        <v>CERAMICA REFIN SPA -ITALY</v>
      </c>
      <c r="I87" s="112">
        <f t="shared" si="7"/>
        <v>45665</v>
      </c>
      <c r="J87" s="128">
        <f t="shared" si="8"/>
        <v>596.16999999999996</v>
      </c>
      <c r="R87" t="s">
        <v>814</v>
      </c>
      <c r="S87" s="41">
        <f t="shared" si="5"/>
        <v>-20783.54</v>
      </c>
    </row>
    <row r="88" spans="1:19" x14ac:dyDescent="0.3">
      <c r="A88" t="s">
        <v>34</v>
      </c>
      <c r="B88">
        <v>20250630</v>
      </c>
      <c r="C88" s="7">
        <v>45838</v>
      </c>
      <c r="D88" s="8">
        <v>5183.82</v>
      </c>
      <c r="E88" s="8"/>
      <c r="F88" s="122" t="s">
        <v>4110</v>
      </c>
      <c r="G88" s="44" t="s">
        <v>84</v>
      </c>
      <c r="H88" t="str">
        <f t="shared" si="6"/>
        <v>CERAMICA REFIN SPA -ITALY</v>
      </c>
      <c r="I88" s="112">
        <f t="shared" si="7"/>
        <v>45762</v>
      </c>
      <c r="J88" s="128">
        <f t="shared" si="8"/>
        <v>23922.18</v>
      </c>
      <c r="R88" t="s">
        <v>819</v>
      </c>
      <c r="S88" s="41">
        <f t="shared" si="5"/>
        <v>-954614.19999999972</v>
      </c>
    </row>
    <row r="89" spans="1:19" x14ac:dyDescent="0.3">
      <c r="A89" t="s">
        <v>49</v>
      </c>
      <c r="B89">
        <v>8674</v>
      </c>
      <c r="C89" s="7">
        <v>45735</v>
      </c>
      <c r="D89" s="8">
        <v>63.17</v>
      </c>
      <c r="E89" s="8"/>
      <c r="F89" s="122" t="s">
        <v>4110</v>
      </c>
      <c r="G89" s="44">
        <v>39430</v>
      </c>
      <c r="H89" t="str">
        <f t="shared" si="6"/>
        <v>CM Hospitality</v>
      </c>
      <c r="I89" s="112">
        <f t="shared" si="7"/>
        <v>45659</v>
      </c>
      <c r="J89" s="128">
        <f t="shared" si="8"/>
        <v>175</v>
      </c>
      <c r="R89" t="s">
        <v>859</v>
      </c>
      <c r="S89" s="41">
        <f t="shared" si="5"/>
        <v>-248.51</v>
      </c>
    </row>
    <row r="90" spans="1:19" x14ac:dyDescent="0.3">
      <c r="A90" t="s">
        <v>49</v>
      </c>
      <c r="B90">
        <v>9266</v>
      </c>
      <c r="C90" s="7">
        <v>45742</v>
      </c>
      <c r="D90" s="8">
        <v>17915.98</v>
      </c>
      <c r="E90" s="8"/>
      <c r="F90" s="122" t="s">
        <v>4110</v>
      </c>
      <c r="G90" s="44" t="s">
        <v>87</v>
      </c>
      <c r="H90" t="str">
        <f t="shared" si="6"/>
        <v>Dal Tile</v>
      </c>
      <c r="I90" s="112">
        <f t="shared" si="7"/>
        <v>45806</v>
      </c>
      <c r="J90" s="128">
        <f t="shared" si="8"/>
        <v>-22712.789999999997</v>
      </c>
      <c r="R90" t="s">
        <v>860</v>
      </c>
      <c r="S90" s="41">
        <f t="shared" si="5"/>
        <v>113313.94</v>
      </c>
    </row>
    <row r="91" spans="1:19" x14ac:dyDescent="0.3">
      <c r="A91" t="s">
        <v>49</v>
      </c>
      <c r="B91">
        <v>10344</v>
      </c>
      <c r="C91" s="7">
        <v>45751</v>
      </c>
      <c r="D91" s="8">
        <v>879.33</v>
      </c>
      <c r="E91" s="8"/>
      <c r="F91" s="122" t="s">
        <v>4110</v>
      </c>
      <c r="G91" s="44" t="s">
        <v>89</v>
      </c>
      <c r="H91" t="str">
        <f t="shared" si="6"/>
        <v>Durkan Carpet</v>
      </c>
      <c r="I91" s="112">
        <f t="shared" si="7"/>
        <v>45838</v>
      </c>
      <c r="J91" s="128">
        <f t="shared" si="8"/>
        <v>23564.84</v>
      </c>
      <c r="R91" t="s">
        <v>862</v>
      </c>
      <c r="S91" s="41">
        <f t="shared" si="5"/>
        <v>57448.83</v>
      </c>
    </row>
    <row r="92" spans="1:19" x14ac:dyDescent="0.3">
      <c r="A92" t="s">
        <v>50</v>
      </c>
      <c r="B92" s="4" t="s">
        <v>51</v>
      </c>
      <c r="C92" s="7">
        <v>45457</v>
      </c>
      <c r="D92" s="8">
        <v>217.11</v>
      </c>
      <c r="E92" s="8"/>
      <c r="F92" s="122" t="s">
        <v>4110</v>
      </c>
      <c r="G92" s="44">
        <v>112294</v>
      </c>
      <c r="H92" t="str">
        <f t="shared" si="6"/>
        <v>Easy Stones</v>
      </c>
      <c r="I92" s="112">
        <f t="shared" si="7"/>
        <v>45798</v>
      </c>
      <c r="J92" s="128">
        <f t="shared" si="8"/>
        <v>1776.6999999999998</v>
      </c>
      <c r="R92" t="s">
        <v>863</v>
      </c>
      <c r="S92" s="41">
        <f t="shared" si="5"/>
        <v>-8454</v>
      </c>
    </row>
    <row r="93" spans="1:19" x14ac:dyDescent="0.3">
      <c r="A93" t="s">
        <v>50</v>
      </c>
      <c r="B93" s="4" t="s">
        <v>52</v>
      </c>
      <c r="C93" s="7">
        <v>45566</v>
      </c>
      <c r="D93" s="8">
        <v>240</v>
      </c>
      <c r="E93" s="8"/>
      <c r="F93" s="122" t="s">
        <v>4110</v>
      </c>
      <c r="G93" s="44">
        <v>112662</v>
      </c>
      <c r="H93" t="str">
        <f t="shared" si="6"/>
        <v>Easy Stones</v>
      </c>
      <c r="I93" s="112">
        <f t="shared" si="7"/>
        <v>45804</v>
      </c>
      <c r="J93" s="128">
        <f t="shared" si="8"/>
        <v>2100.5700000000002</v>
      </c>
      <c r="R93" t="s">
        <v>865</v>
      </c>
      <c r="S93" s="41">
        <f t="shared" si="5"/>
        <v>4783.1099999999997</v>
      </c>
    </row>
    <row r="94" spans="1:19" x14ac:dyDescent="0.3">
      <c r="A94" t="s">
        <v>50</v>
      </c>
      <c r="B94" s="4" t="s">
        <v>53</v>
      </c>
      <c r="C94" s="7">
        <v>45566</v>
      </c>
      <c r="D94" s="8">
        <v>260</v>
      </c>
      <c r="E94" s="8"/>
      <c r="F94" s="122" t="s">
        <v>4110</v>
      </c>
      <c r="G94" s="44">
        <v>112673</v>
      </c>
      <c r="H94" t="str">
        <f t="shared" si="6"/>
        <v>Easy Stones</v>
      </c>
      <c r="I94" s="112">
        <f t="shared" si="7"/>
        <v>45811</v>
      </c>
      <c r="J94" s="128">
        <f t="shared" si="8"/>
        <v>5251.42</v>
      </c>
      <c r="R94" t="s">
        <v>867</v>
      </c>
      <c r="S94" s="41">
        <f t="shared" si="5"/>
        <v>2020.39</v>
      </c>
    </row>
    <row r="95" spans="1:19" x14ac:dyDescent="0.3">
      <c r="A95" t="s">
        <v>50</v>
      </c>
      <c r="B95" s="4" t="s">
        <v>54</v>
      </c>
      <c r="C95" s="7">
        <v>45597</v>
      </c>
      <c r="D95" s="8">
        <v>9.86</v>
      </c>
      <c r="E95" s="8"/>
      <c r="F95" s="122" t="s">
        <v>4110</v>
      </c>
      <c r="G95" s="44" t="s">
        <v>94</v>
      </c>
      <c r="H95" t="str">
        <f t="shared" si="6"/>
        <v>F.B. STONES S.R.L.</v>
      </c>
      <c r="I95" s="112">
        <f t="shared" si="7"/>
        <v>45807</v>
      </c>
      <c r="J95" s="128">
        <f t="shared" si="8"/>
        <v>-19276.89</v>
      </c>
      <c r="R95" t="s">
        <v>869</v>
      </c>
      <c r="S95" s="41">
        <f t="shared" si="5"/>
        <v>1999.9099999999999</v>
      </c>
    </row>
    <row r="96" spans="1:19" x14ac:dyDescent="0.3">
      <c r="A96" t="s">
        <v>50</v>
      </c>
      <c r="B96" s="4" t="s">
        <v>55</v>
      </c>
      <c r="C96" s="7">
        <v>45597</v>
      </c>
      <c r="D96" s="8">
        <v>102</v>
      </c>
      <c r="E96" s="8"/>
      <c r="F96" s="122" t="s">
        <v>4110</v>
      </c>
      <c r="G96" s="44">
        <v>1416</v>
      </c>
      <c r="H96" t="str">
        <f t="shared" si="6"/>
        <v>Fabricut Contract /S.Harris</v>
      </c>
      <c r="I96" s="112">
        <f t="shared" si="7"/>
        <v>45813</v>
      </c>
      <c r="J96" s="128">
        <f t="shared" si="8"/>
        <v>-640.36</v>
      </c>
      <c r="R96" t="s">
        <v>871</v>
      </c>
      <c r="S96" s="41">
        <f t="shared" si="5"/>
        <v>-862.7</v>
      </c>
    </row>
    <row r="97" spans="1:19" x14ac:dyDescent="0.3">
      <c r="A97" t="s">
        <v>50</v>
      </c>
      <c r="B97" s="4" t="s">
        <v>55</v>
      </c>
      <c r="C97" s="7">
        <v>45597</v>
      </c>
      <c r="D97" s="8">
        <v>2141.39</v>
      </c>
      <c r="E97" s="8"/>
      <c r="F97" s="122" t="s">
        <v>4110</v>
      </c>
      <c r="G97" s="44" t="s">
        <v>97</v>
      </c>
      <c r="H97" t="str">
        <f t="shared" si="6"/>
        <v>Fama</v>
      </c>
      <c r="I97" s="112">
        <f t="shared" si="7"/>
        <v>45790</v>
      </c>
      <c r="J97" s="128">
        <f t="shared" si="8"/>
        <v>35965.879999999997</v>
      </c>
      <c r="R97" t="s">
        <v>873</v>
      </c>
      <c r="S97" s="41">
        <f t="shared" si="5"/>
        <v>100</v>
      </c>
    </row>
    <row r="98" spans="1:19" x14ac:dyDescent="0.3">
      <c r="A98" t="s">
        <v>50</v>
      </c>
      <c r="B98" s="4" t="s">
        <v>55</v>
      </c>
      <c r="C98" s="7">
        <v>45597</v>
      </c>
      <c r="D98" s="8">
        <v>138</v>
      </c>
      <c r="E98" s="8"/>
      <c r="F98" s="122" t="s">
        <v>4110</v>
      </c>
      <c r="G98" s="44" t="s">
        <v>98</v>
      </c>
      <c r="H98" t="str">
        <f t="shared" si="6"/>
        <v>Fama</v>
      </c>
      <c r="I98" s="112">
        <f t="shared" si="7"/>
        <v>45791</v>
      </c>
      <c r="J98" s="128">
        <f t="shared" si="8"/>
        <v>32758.78</v>
      </c>
      <c r="R98" t="s">
        <v>874</v>
      </c>
      <c r="S98" s="41">
        <f t="shared" si="5"/>
        <v>-28193.53</v>
      </c>
    </row>
    <row r="99" spans="1:19" x14ac:dyDescent="0.3">
      <c r="A99" t="s">
        <v>50</v>
      </c>
      <c r="B99" s="4" t="s">
        <v>56</v>
      </c>
      <c r="C99" s="7">
        <v>45611</v>
      </c>
      <c r="D99" s="8">
        <v>1478</v>
      </c>
      <c r="E99" s="8"/>
      <c r="F99" s="122" t="s">
        <v>4110</v>
      </c>
      <c r="G99" s="44" t="s">
        <v>99</v>
      </c>
      <c r="H99" t="str">
        <f t="shared" si="6"/>
        <v>Fama</v>
      </c>
      <c r="I99" s="112">
        <f t="shared" si="7"/>
        <v>45800</v>
      </c>
      <c r="J99" s="128">
        <f t="shared" si="8"/>
        <v>33688.300000000003</v>
      </c>
      <c r="R99" t="s">
        <v>876</v>
      </c>
      <c r="S99" s="41">
        <f t="shared" si="5"/>
        <v>5886.6</v>
      </c>
    </row>
    <row r="100" spans="1:19" x14ac:dyDescent="0.3">
      <c r="A100" t="s">
        <v>50</v>
      </c>
      <c r="B100" s="4" t="s">
        <v>57</v>
      </c>
      <c r="C100" s="7">
        <v>45616</v>
      </c>
      <c r="D100" s="8">
        <v>2763.97</v>
      </c>
      <c r="E100" s="8"/>
      <c r="F100" s="122" t="s">
        <v>4110</v>
      </c>
      <c r="G100" s="44" t="s">
        <v>100</v>
      </c>
      <c r="H100" t="str">
        <f t="shared" si="6"/>
        <v>Fama</v>
      </c>
      <c r="I100" s="112">
        <f t="shared" si="7"/>
        <v>45803</v>
      </c>
      <c r="J100" s="128">
        <f t="shared" si="8"/>
        <v>16217.56</v>
      </c>
      <c r="R100" t="s">
        <v>879</v>
      </c>
      <c r="S100" s="41">
        <f t="shared" ref="S100:S121" si="9">SUMIF(A:A,R100,D:D)</f>
        <v>-20135.919999999998</v>
      </c>
    </row>
    <row r="101" spans="1:19" x14ac:dyDescent="0.3">
      <c r="A101" t="s">
        <v>50</v>
      </c>
      <c r="B101" s="4" t="s">
        <v>58</v>
      </c>
      <c r="C101" s="7">
        <v>45627</v>
      </c>
      <c r="D101" s="8">
        <v>589.41</v>
      </c>
      <c r="E101" s="8"/>
      <c r="F101" s="122" t="s">
        <v>4110</v>
      </c>
      <c r="G101" s="44" t="s">
        <v>101</v>
      </c>
      <c r="H101" t="str">
        <f t="shared" si="6"/>
        <v>Fama</v>
      </c>
      <c r="I101" s="112">
        <f t="shared" si="7"/>
        <v>45813</v>
      </c>
      <c r="J101" s="128">
        <f t="shared" si="8"/>
        <v>32463.58</v>
      </c>
      <c r="R101" t="s">
        <v>882</v>
      </c>
      <c r="S101" s="41">
        <f t="shared" si="9"/>
        <v>-2791.2</v>
      </c>
    </row>
    <row r="102" spans="1:19" x14ac:dyDescent="0.3">
      <c r="A102" t="s">
        <v>50</v>
      </c>
      <c r="B102" s="4" t="s">
        <v>59</v>
      </c>
      <c r="C102" s="7">
        <v>45747</v>
      </c>
      <c r="D102" s="8">
        <v>6700.08</v>
      </c>
      <c r="E102" s="8"/>
      <c r="F102" s="122" t="s">
        <v>4110</v>
      </c>
      <c r="G102" s="44" t="s">
        <v>102</v>
      </c>
      <c r="H102" t="str">
        <f t="shared" si="6"/>
        <v>Fama</v>
      </c>
      <c r="I102" s="112">
        <f t="shared" si="7"/>
        <v>45826</v>
      </c>
      <c r="J102" s="128">
        <f t="shared" si="8"/>
        <v>54631.840000000004</v>
      </c>
      <c r="R102" t="s">
        <v>884</v>
      </c>
      <c r="S102" s="41">
        <f t="shared" si="9"/>
        <v>3756.61</v>
      </c>
    </row>
    <row r="103" spans="1:19" x14ac:dyDescent="0.3">
      <c r="A103" t="s">
        <v>50</v>
      </c>
      <c r="B103" s="4" t="s">
        <v>60</v>
      </c>
      <c r="C103" s="7">
        <v>45756</v>
      </c>
      <c r="D103" s="8">
        <v>-1564.74</v>
      </c>
      <c r="E103" s="8"/>
      <c r="F103" s="122" t="s">
        <v>4110</v>
      </c>
      <c r="G103" s="44" t="s">
        <v>104</v>
      </c>
      <c r="H103" t="str">
        <f t="shared" si="6"/>
        <v>Fenabel</v>
      </c>
      <c r="I103" s="112">
        <f t="shared" si="7"/>
        <v>45434</v>
      </c>
      <c r="J103" s="128">
        <f t="shared" si="8"/>
        <v>598.74</v>
      </c>
      <c r="R103" t="s">
        <v>885</v>
      </c>
      <c r="S103" s="41">
        <f t="shared" si="9"/>
        <v>1008.51</v>
      </c>
    </row>
    <row r="104" spans="1:19" x14ac:dyDescent="0.3">
      <c r="A104" t="s">
        <v>50</v>
      </c>
      <c r="B104" s="4" t="s">
        <v>24</v>
      </c>
      <c r="C104" s="7">
        <v>45804</v>
      </c>
      <c r="D104" s="8">
        <v>-2859</v>
      </c>
      <c r="E104" s="8"/>
      <c r="F104" s="122" t="s">
        <v>4110</v>
      </c>
      <c r="G104" s="44" t="s">
        <v>106</v>
      </c>
      <c r="H104" t="str">
        <f t="shared" si="6"/>
        <v>Fil Doux Textiles</v>
      </c>
      <c r="I104" s="112">
        <f t="shared" si="7"/>
        <v>45828</v>
      </c>
      <c r="J104" s="128">
        <f t="shared" si="8"/>
        <v>37.49</v>
      </c>
      <c r="R104" t="s">
        <v>887</v>
      </c>
      <c r="S104" s="41">
        <f t="shared" si="9"/>
        <v>-36553.410000000003</v>
      </c>
    </row>
    <row r="105" spans="1:19" x14ac:dyDescent="0.3">
      <c r="A105" t="s">
        <v>50</v>
      </c>
      <c r="B105" s="4" t="s">
        <v>24</v>
      </c>
      <c r="C105" s="7">
        <v>45804</v>
      </c>
      <c r="D105" s="8">
        <v>-793.3</v>
      </c>
      <c r="E105" s="8"/>
      <c r="F105" s="122" t="s">
        <v>4110</v>
      </c>
      <c r="G105" s="44">
        <v>20240524</v>
      </c>
      <c r="H105" t="str">
        <f t="shared" si="6"/>
        <v>FPD SHPK</v>
      </c>
      <c r="I105" s="112">
        <f t="shared" si="7"/>
        <v>45436</v>
      </c>
      <c r="J105" s="128">
        <f t="shared" si="8"/>
        <v>2192.4</v>
      </c>
      <c r="R105" t="s">
        <v>905</v>
      </c>
      <c r="S105" s="41">
        <f t="shared" si="9"/>
        <v>720.82</v>
      </c>
    </row>
    <row r="106" spans="1:19" x14ac:dyDescent="0.3">
      <c r="A106" t="s">
        <v>50</v>
      </c>
      <c r="B106" s="4" t="s">
        <v>61</v>
      </c>
      <c r="C106" s="7">
        <v>45813</v>
      </c>
      <c r="D106" s="8">
        <v>381.36</v>
      </c>
      <c r="E106" s="8"/>
      <c r="F106" s="122" t="s">
        <v>4110</v>
      </c>
      <c r="G106" s="44" t="s">
        <v>108</v>
      </c>
      <c r="H106" t="str">
        <f t="shared" si="6"/>
        <v>FPD SHPK</v>
      </c>
      <c r="I106" s="112">
        <f t="shared" si="7"/>
        <v>45838</v>
      </c>
      <c r="J106" s="128">
        <f t="shared" si="8"/>
        <v>27074.77</v>
      </c>
      <c r="R106" t="s">
        <v>907</v>
      </c>
      <c r="S106" s="41">
        <f t="shared" si="9"/>
        <v>-29489.389999999996</v>
      </c>
    </row>
    <row r="107" spans="1:19" x14ac:dyDescent="0.3">
      <c r="A107" t="s">
        <v>50</v>
      </c>
      <c r="B107" s="4" t="s">
        <v>16</v>
      </c>
      <c r="C107" s="7">
        <v>45824</v>
      </c>
      <c r="D107" s="8">
        <v>-2276.42</v>
      </c>
      <c r="E107" s="8"/>
      <c r="F107" s="122" t="s">
        <v>4110</v>
      </c>
      <c r="G107" s="44" t="s">
        <v>110</v>
      </c>
      <c r="H107" t="str">
        <f t="shared" si="6"/>
        <v>GIBAM SHOPS SPA</v>
      </c>
      <c r="I107" s="112">
        <f t="shared" si="7"/>
        <v>44847</v>
      </c>
      <c r="J107" s="128">
        <f t="shared" si="8"/>
        <v>15010.14</v>
      </c>
      <c r="R107" t="s">
        <v>911</v>
      </c>
      <c r="S107" s="41">
        <f t="shared" si="9"/>
        <v>3209.7700000000004</v>
      </c>
    </row>
    <row r="108" spans="1:19" x14ac:dyDescent="0.3">
      <c r="A108" t="s">
        <v>50</v>
      </c>
      <c r="B108">
        <v>20250630</v>
      </c>
      <c r="C108" s="7">
        <v>45838</v>
      </c>
      <c r="D108" s="8">
        <v>5322.42</v>
      </c>
      <c r="E108" s="8"/>
      <c r="F108" s="122" t="s">
        <v>4110</v>
      </c>
      <c r="G108" s="44" t="s">
        <v>111</v>
      </c>
      <c r="H108" t="str">
        <f t="shared" si="6"/>
        <v>GIBAM SHOPS SPA</v>
      </c>
      <c r="I108" s="112">
        <f t="shared" si="7"/>
        <v>44918</v>
      </c>
      <c r="J108" s="128">
        <f t="shared" si="8"/>
        <v>353.77</v>
      </c>
      <c r="R108" t="s">
        <v>912</v>
      </c>
      <c r="S108" s="41">
        <f t="shared" si="9"/>
        <v>9649</v>
      </c>
    </row>
    <row r="109" spans="1:19" x14ac:dyDescent="0.3">
      <c r="A109" t="s">
        <v>62</v>
      </c>
      <c r="B109" s="4" t="s">
        <v>63</v>
      </c>
      <c r="C109" s="7">
        <v>45689</v>
      </c>
      <c r="D109" s="8">
        <v>450</v>
      </c>
      <c r="E109" s="8"/>
      <c r="F109" s="122" t="s">
        <v>4110</v>
      </c>
      <c r="G109" s="44" t="s">
        <v>112</v>
      </c>
      <c r="H109" t="str">
        <f t="shared" si="6"/>
        <v>GIBAM SHOPS SPA</v>
      </c>
      <c r="I109" s="112">
        <f t="shared" si="7"/>
        <v>45052</v>
      </c>
      <c r="J109" s="128">
        <f t="shared" si="8"/>
        <v>3763.2</v>
      </c>
      <c r="R109" t="s">
        <v>913</v>
      </c>
      <c r="S109" s="41">
        <f t="shared" si="9"/>
        <v>3220</v>
      </c>
    </row>
    <row r="110" spans="1:19" x14ac:dyDescent="0.3">
      <c r="A110" t="s">
        <v>62</v>
      </c>
      <c r="B110" s="4" t="s">
        <v>64</v>
      </c>
      <c r="C110" s="7">
        <v>45699</v>
      </c>
      <c r="D110" s="8">
        <v>50</v>
      </c>
      <c r="E110" s="8"/>
      <c r="F110" s="122" t="s">
        <v>4110</v>
      </c>
      <c r="G110" s="44" t="s">
        <v>113</v>
      </c>
      <c r="H110" t="str">
        <f t="shared" si="6"/>
        <v>GIBAM SHOPS SPA</v>
      </c>
      <c r="I110" s="112">
        <f t="shared" si="7"/>
        <v>45112</v>
      </c>
      <c r="J110" s="128">
        <f t="shared" si="8"/>
        <v>34856.589999999997</v>
      </c>
      <c r="R110" t="s">
        <v>914</v>
      </c>
      <c r="S110" s="41">
        <f t="shared" si="9"/>
        <v>3314.64</v>
      </c>
    </row>
    <row r="111" spans="1:19" x14ac:dyDescent="0.3">
      <c r="A111" t="s">
        <v>65</v>
      </c>
      <c r="B111">
        <v>6216845811</v>
      </c>
      <c r="C111" s="7">
        <v>45692</v>
      </c>
      <c r="D111" s="8">
        <v>2985</v>
      </c>
      <c r="E111" s="8"/>
      <c r="F111" s="122" t="s">
        <v>4110</v>
      </c>
      <c r="G111" s="44" t="s">
        <v>114</v>
      </c>
      <c r="H111" t="str">
        <f t="shared" si="6"/>
        <v>GIBAM SHOPS SPA</v>
      </c>
      <c r="I111" s="112">
        <f t="shared" si="7"/>
        <v>45133</v>
      </c>
      <c r="J111" s="128">
        <f t="shared" si="8"/>
        <v>77.36</v>
      </c>
      <c r="R111" t="s">
        <v>915</v>
      </c>
      <c r="S111" s="41">
        <f t="shared" si="9"/>
        <v>927.45</v>
      </c>
    </row>
    <row r="112" spans="1:19" x14ac:dyDescent="0.3">
      <c r="A112" t="s">
        <v>65</v>
      </c>
      <c r="B112">
        <v>6220209006</v>
      </c>
      <c r="C112" s="7">
        <v>45750</v>
      </c>
      <c r="D112" s="8">
        <v>0.01</v>
      </c>
      <c r="E112" s="8"/>
      <c r="F112" s="122" t="s">
        <v>4110</v>
      </c>
      <c r="G112" s="44" t="s">
        <v>115</v>
      </c>
      <c r="H112" t="str">
        <f t="shared" si="6"/>
        <v>GIBAM SHOPS SPA</v>
      </c>
      <c r="I112" s="112">
        <f t="shared" si="7"/>
        <v>45142</v>
      </c>
      <c r="J112" s="128">
        <f t="shared" si="8"/>
        <v>76.52</v>
      </c>
      <c r="R112" t="s">
        <v>916</v>
      </c>
      <c r="S112" s="41">
        <f t="shared" si="9"/>
        <v>6064</v>
      </c>
    </row>
    <row r="113" spans="1:19" x14ac:dyDescent="0.3">
      <c r="A113" t="s">
        <v>65</v>
      </c>
      <c r="B113">
        <v>6220721434</v>
      </c>
      <c r="C113" s="7">
        <v>45764</v>
      </c>
      <c r="D113" s="8">
        <v>2.0699999999999998</v>
      </c>
      <c r="E113" s="8"/>
      <c r="F113" s="122" t="s">
        <v>4110</v>
      </c>
      <c r="G113" s="44" t="s">
        <v>116</v>
      </c>
      <c r="H113" t="str">
        <f t="shared" si="6"/>
        <v>GIBAM SHOPS SPA</v>
      </c>
      <c r="I113" s="112">
        <f t="shared" si="7"/>
        <v>45198</v>
      </c>
      <c r="J113" s="128">
        <f t="shared" si="8"/>
        <v>4370.13</v>
      </c>
      <c r="R113" t="s">
        <v>918</v>
      </c>
      <c r="S113" s="41">
        <f t="shared" si="9"/>
        <v>2505.11</v>
      </c>
    </row>
    <row r="114" spans="1:19" x14ac:dyDescent="0.3">
      <c r="A114" t="s">
        <v>66</v>
      </c>
      <c r="B114" s="4" t="s">
        <v>67</v>
      </c>
      <c r="C114" s="7">
        <v>45658</v>
      </c>
      <c r="D114" s="8">
        <v>0.01</v>
      </c>
      <c r="E114" s="8"/>
      <c r="F114" s="122" t="s">
        <v>4110</v>
      </c>
      <c r="G114" s="44" t="s">
        <v>117</v>
      </c>
      <c r="H114" t="str">
        <f t="shared" si="6"/>
        <v>GIBAM SHOPS SPA</v>
      </c>
      <c r="I114" s="112">
        <f t="shared" si="7"/>
        <v>45198</v>
      </c>
      <c r="J114" s="128">
        <f t="shared" si="8"/>
        <v>17721.02</v>
      </c>
      <c r="R114" t="s">
        <v>919</v>
      </c>
      <c r="S114" s="41">
        <f t="shared" si="9"/>
        <v>622.85</v>
      </c>
    </row>
    <row r="115" spans="1:19" x14ac:dyDescent="0.3">
      <c r="A115" t="s">
        <v>66</v>
      </c>
      <c r="B115" s="4" t="s">
        <v>68</v>
      </c>
      <c r="C115" s="7">
        <v>45748</v>
      </c>
      <c r="D115" s="8">
        <v>10090.290000000001</v>
      </c>
      <c r="E115" s="8"/>
      <c r="F115" s="122" t="s">
        <v>4110</v>
      </c>
      <c r="G115" s="44" t="s">
        <v>118</v>
      </c>
      <c r="H115" t="str">
        <f t="shared" si="6"/>
        <v>GIBAM SHOPS SPA</v>
      </c>
      <c r="I115" s="112">
        <f t="shared" si="7"/>
        <v>45198</v>
      </c>
      <c r="J115" s="128">
        <f t="shared" si="8"/>
        <v>2121.17</v>
      </c>
      <c r="R115" t="s">
        <v>921</v>
      </c>
      <c r="S115" s="41">
        <f t="shared" si="9"/>
        <v>-1508.22</v>
      </c>
    </row>
    <row r="116" spans="1:19" x14ac:dyDescent="0.3">
      <c r="A116" t="s">
        <v>66</v>
      </c>
      <c r="B116" s="4" t="s">
        <v>68</v>
      </c>
      <c r="C116" s="7">
        <v>45748</v>
      </c>
      <c r="D116" s="8">
        <v>48411.46</v>
      </c>
      <c r="E116" s="8"/>
      <c r="F116" s="122" t="s">
        <v>4110</v>
      </c>
      <c r="G116" s="44" t="s">
        <v>119</v>
      </c>
      <c r="H116" t="str">
        <f t="shared" si="6"/>
        <v>GIBAM SHOPS SPA</v>
      </c>
      <c r="I116" s="112">
        <f t="shared" si="7"/>
        <v>45204</v>
      </c>
      <c r="J116" s="128">
        <f t="shared" si="8"/>
        <v>113.05</v>
      </c>
      <c r="R116" t="s">
        <v>923</v>
      </c>
      <c r="S116" s="41">
        <f t="shared" si="9"/>
        <v>100.85000000000036</v>
      </c>
    </row>
    <row r="117" spans="1:19" x14ac:dyDescent="0.3">
      <c r="A117" t="s">
        <v>66</v>
      </c>
      <c r="B117" s="4" t="s">
        <v>69</v>
      </c>
      <c r="C117" s="7">
        <v>45750</v>
      </c>
      <c r="D117" s="8">
        <v>3820.32</v>
      </c>
      <c r="E117" s="8"/>
      <c r="F117" s="122" t="s">
        <v>4110</v>
      </c>
      <c r="G117" s="44" t="s">
        <v>120</v>
      </c>
      <c r="H117" t="str">
        <f t="shared" si="6"/>
        <v>GIBAM SHOPS SPA</v>
      </c>
      <c r="I117" s="112">
        <f t="shared" si="7"/>
        <v>45216</v>
      </c>
      <c r="J117" s="128">
        <f t="shared" si="8"/>
        <v>28363.48</v>
      </c>
      <c r="R117" t="s">
        <v>925</v>
      </c>
      <c r="S117" s="41">
        <f t="shared" si="9"/>
        <v>243.34</v>
      </c>
    </row>
    <row r="118" spans="1:19" x14ac:dyDescent="0.3">
      <c r="A118" t="s">
        <v>66</v>
      </c>
      <c r="B118" s="4" t="s">
        <v>70</v>
      </c>
      <c r="C118" s="7">
        <v>45750</v>
      </c>
      <c r="D118" s="8">
        <v>2025</v>
      </c>
      <c r="E118" s="8"/>
      <c r="F118" s="122" t="s">
        <v>4110</v>
      </c>
      <c r="G118" s="44" t="s">
        <v>121</v>
      </c>
      <c r="H118" t="str">
        <f t="shared" si="6"/>
        <v>GIBAM SHOPS SPA</v>
      </c>
      <c r="I118" s="112">
        <f t="shared" si="7"/>
        <v>45218</v>
      </c>
      <c r="J118" s="128">
        <f t="shared" si="8"/>
        <v>2026.26</v>
      </c>
      <c r="R118" t="s">
        <v>926</v>
      </c>
      <c r="S118" s="41">
        <f t="shared" si="9"/>
        <v>5000</v>
      </c>
    </row>
    <row r="119" spans="1:19" x14ac:dyDescent="0.3">
      <c r="A119" t="s">
        <v>66</v>
      </c>
      <c r="B119" s="4" t="s">
        <v>70</v>
      </c>
      <c r="C119" s="7">
        <v>45750</v>
      </c>
      <c r="D119" s="8">
        <v>3780</v>
      </c>
      <c r="E119" s="8"/>
      <c r="F119" s="122" t="s">
        <v>4110</v>
      </c>
      <c r="G119" s="44" t="s">
        <v>122</v>
      </c>
      <c r="H119" t="str">
        <f t="shared" si="6"/>
        <v>GIBAM SHOPS SPA</v>
      </c>
      <c r="I119" s="112">
        <f t="shared" si="7"/>
        <v>45218</v>
      </c>
      <c r="J119" s="128">
        <f t="shared" si="8"/>
        <v>8549.34</v>
      </c>
      <c r="R119" t="s">
        <v>927</v>
      </c>
      <c r="S119" s="41">
        <f t="shared" si="9"/>
        <v>-117806.33000000002</v>
      </c>
    </row>
    <row r="120" spans="1:19" x14ac:dyDescent="0.3">
      <c r="A120" t="s">
        <v>66</v>
      </c>
      <c r="B120" s="4" t="s">
        <v>71</v>
      </c>
      <c r="C120" s="7">
        <v>45750</v>
      </c>
      <c r="D120" s="8">
        <v>6106.03</v>
      </c>
      <c r="E120" s="8"/>
      <c r="F120" s="122" t="s">
        <v>4110</v>
      </c>
      <c r="G120" s="44" t="s">
        <v>123</v>
      </c>
      <c r="H120" t="str">
        <f t="shared" si="6"/>
        <v>GIBAM SHOPS SPA</v>
      </c>
      <c r="I120" s="112">
        <f t="shared" si="7"/>
        <v>45218</v>
      </c>
      <c r="J120" s="128">
        <f t="shared" si="8"/>
        <v>474.15</v>
      </c>
      <c r="R120" t="s">
        <v>931</v>
      </c>
      <c r="S120" s="41">
        <f t="shared" si="9"/>
        <v>-3983</v>
      </c>
    </row>
    <row r="121" spans="1:19" x14ac:dyDescent="0.3">
      <c r="A121" t="s">
        <v>66</v>
      </c>
      <c r="B121" s="4" t="s">
        <v>72</v>
      </c>
      <c r="C121" s="7">
        <v>45750</v>
      </c>
      <c r="D121" s="8">
        <v>17005.63</v>
      </c>
      <c r="E121" s="8"/>
      <c r="F121" s="122" t="s">
        <v>4110</v>
      </c>
      <c r="G121" s="44" t="s">
        <v>124</v>
      </c>
      <c r="H121" t="str">
        <f t="shared" si="6"/>
        <v>GIBAM SHOPS SPA</v>
      </c>
      <c r="I121" s="112">
        <f t="shared" si="7"/>
        <v>45218</v>
      </c>
      <c r="J121" s="128">
        <f t="shared" si="8"/>
        <v>499.63</v>
      </c>
      <c r="R121" t="s">
        <v>933</v>
      </c>
      <c r="S121" s="41">
        <f t="shared" si="9"/>
        <v>-2415.75</v>
      </c>
    </row>
    <row r="122" spans="1:19" x14ac:dyDescent="0.3">
      <c r="A122" t="s">
        <v>66</v>
      </c>
      <c r="B122" s="4" t="s">
        <v>73</v>
      </c>
      <c r="C122" s="7">
        <v>45750</v>
      </c>
      <c r="D122" s="8">
        <v>9861.86</v>
      </c>
      <c r="E122" s="8"/>
      <c r="F122" s="122" t="s">
        <v>4110</v>
      </c>
      <c r="G122" s="44" t="s">
        <v>125</v>
      </c>
      <c r="H122" t="str">
        <f t="shared" si="6"/>
        <v>GIBAM SHOPS SPA</v>
      </c>
      <c r="I122" s="112">
        <f t="shared" si="7"/>
        <v>45223</v>
      </c>
      <c r="J122" s="128">
        <f t="shared" si="8"/>
        <v>1315.54</v>
      </c>
      <c r="Q122" s="41"/>
    </row>
    <row r="123" spans="1:19" x14ac:dyDescent="0.3">
      <c r="A123" t="s">
        <v>66</v>
      </c>
      <c r="B123" s="4" t="s">
        <v>74</v>
      </c>
      <c r="C123" s="7">
        <v>45750</v>
      </c>
      <c r="D123" s="8">
        <v>12713.89</v>
      </c>
      <c r="E123" s="8"/>
      <c r="F123" s="122" t="s">
        <v>4110</v>
      </c>
      <c r="G123" s="44" t="s">
        <v>126</v>
      </c>
      <c r="H123" t="str">
        <f t="shared" si="6"/>
        <v>GIBAM SHOPS SPA</v>
      </c>
      <c r="I123" s="112">
        <f t="shared" si="7"/>
        <v>45225</v>
      </c>
      <c r="J123" s="128">
        <f t="shared" si="8"/>
        <v>617.38</v>
      </c>
    </row>
    <row r="124" spans="1:19" x14ac:dyDescent="0.3">
      <c r="A124" t="s">
        <v>66</v>
      </c>
      <c r="B124" s="4" t="s">
        <v>75</v>
      </c>
      <c r="C124" s="7">
        <v>45753</v>
      </c>
      <c r="D124" s="8">
        <v>24828.74</v>
      </c>
      <c r="E124" s="8"/>
      <c r="F124" s="122" t="s">
        <v>4110</v>
      </c>
      <c r="G124" s="44" t="s">
        <v>127</v>
      </c>
      <c r="H124" t="str">
        <f t="shared" si="6"/>
        <v>GIBAM SHOPS SPA</v>
      </c>
      <c r="I124" s="112">
        <f t="shared" si="7"/>
        <v>45232</v>
      </c>
      <c r="J124" s="128">
        <f t="shared" si="8"/>
        <v>29036.48</v>
      </c>
    </row>
    <row r="125" spans="1:19" x14ac:dyDescent="0.3">
      <c r="A125" t="s">
        <v>66</v>
      </c>
      <c r="B125" s="4" t="s">
        <v>76</v>
      </c>
      <c r="C125" s="7">
        <v>45761</v>
      </c>
      <c r="D125" s="8">
        <v>7942.62</v>
      </c>
      <c r="E125" s="8"/>
      <c r="F125" s="122" t="s">
        <v>4110</v>
      </c>
      <c r="G125" s="44" t="s">
        <v>128</v>
      </c>
      <c r="H125" t="str">
        <f t="shared" si="6"/>
        <v>GIBAM SHOPS SPA</v>
      </c>
      <c r="I125" s="112">
        <f t="shared" si="7"/>
        <v>45232</v>
      </c>
      <c r="J125" s="128">
        <f t="shared" si="8"/>
        <v>98.7</v>
      </c>
    </row>
    <row r="126" spans="1:19" x14ac:dyDescent="0.3">
      <c r="A126" t="s">
        <v>66</v>
      </c>
      <c r="B126" s="4" t="s">
        <v>77</v>
      </c>
      <c r="C126" s="7">
        <v>45766</v>
      </c>
      <c r="D126" s="8">
        <v>70855.649999999994</v>
      </c>
      <c r="E126" s="8"/>
      <c r="F126" s="122" t="s">
        <v>4110</v>
      </c>
      <c r="G126" s="44" t="s">
        <v>129</v>
      </c>
      <c r="H126" t="str">
        <f t="shared" si="6"/>
        <v>GIBAM SHOPS SPA</v>
      </c>
      <c r="I126" s="112">
        <f t="shared" si="7"/>
        <v>45232</v>
      </c>
      <c r="J126" s="128">
        <f t="shared" si="8"/>
        <v>128.38999999999999</v>
      </c>
    </row>
    <row r="127" spans="1:19" x14ac:dyDescent="0.3">
      <c r="A127" t="s">
        <v>66</v>
      </c>
      <c r="B127" s="4" t="s">
        <v>78</v>
      </c>
      <c r="C127" s="7">
        <v>45794</v>
      </c>
      <c r="D127" s="8">
        <v>95584.7</v>
      </c>
      <c r="E127" s="8"/>
      <c r="F127" s="122" t="s">
        <v>4110</v>
      </c>
      <c r="G127" s="44" t="s">
        <v>130</v>
      </c>
      <c r="H127" t="str">
        <f t="shared" si="6"/>
        <v>GIBAM SHOPS SPA</v>
      </c>
      <c r="I127" s="112">
        <f t="shared" si="7"/>
        <v>45232</v>
      </c>
      <c r="J127" s="128">
        <f t="shared" si="8"/>
        <v>105.42</v>
      </c>
    </row>
    <row r="128" spans="1:19" x14ac:dyDescent="0.3">
      <c r="A128" t="s">
        <v>66</v>
      </c>
      <c r="B128" s="4" t="s">
        <v>79</v>
      </c>
      <c r="C128" s="7">
        <v>45809</v>
      </c>
      <c r="D128" s="8">
        <v>7741.34</v>
      </c>
      <c r="E128" s="8"/>
      <c r="F128" s="122" t="s">
        <v>4110</v>
      </c>
      <c r="G128" s="44" t="s">
        <v>131</v>
      </c>
      <c r="H128" t="str">
        <f t="shared" si="6"/>
        <v>GIBAM SHOPS SPA</v>
      </c>
      <c r="I128" s="112">
        <f t="shared" si="7"/>
        <v>45243</v>
      </c>
      <c r="J128" s="128">
        <f t="shared" si="8"/>
        <v>21886.080000000002</v>
      </c>
    </row>
    <row r="129" spans="1:10" x14ac:dyDescent="0.3">
      <c r="A129" t="s">
        <v>66</v>
      </c>
      <c r="B129" s="4" t="s">
        <v>80</v>
      </c>
      <c r="C129" s="7">
        <v>45809</v>
      </c>
      <c r="D129" s="8">
        <v>2354.56</v>
      </c>
      <c r="E129" s="8"/>
      <c r="F129" s="122" t="s">
        <v>4110</v>
      </c>
      <c r="G129" s="44" t="s">
        <v>132</v>
      </c>
      <c r="H129" t="str">
        <f t="shared" si="6"/>
        <v>GIBAM SHOPS SPA</v>
      </c>
      <c r="I129" s="112">
        <f t="shared" si="7"/>
        <v>45246</v>
      </c>
      <c r="J129" s="128">
        <f t="shared" si="8"/>
        <v>464.73</v>
      </c>
    </row>
    <row r="130" spans="1:10" x14ac:dyDescent="0.3">
      <c r="A130" t="s">
        <v>66</v>
      </c>
      <c r="B130" s="4" t="s">
        <v>81</v>
      </c>
      <c r="C130" s="7">
        <v>45809</v>
      </c>
      <c r="D130" s="8">
        <v>4876.07</v>
      </c>
      <c r="E130" s="8"/>
      <c r="F130" s="122" t="s">
        <v>4110</v>
      </c>
      <c r="G130" s="44" t="s">
        <v>133</v>
      </c>
      <c r="H130" t="str">
        <f t="shared" si="6"/>
        <v>GIBAM SHOPS SPA</v>
      </c>
      <c r="I130" s="112">
        <f t="shared" si="7"/>
        <v>45246</v>
      </c>
      <c r="J130" s="128">
        <f t="shared" si="8"/>
        <v>4017.52</v>
      </c>
    </row>
    <row r="131" spans="1:10" x14ac:dyDescent="0.3">
      <c r="A131" t="s">
        <v>82</v>
      </c>
      <c r="B131" s="4" t="s">
        <v>83</v>
      </c>
      <c r="C131" s="7">
        <v>45665</v>
      </c>
      <c r="D131" s="8">
        <v>596.16999999999996</v>
      </c>
      <c r="E131" s="8"/>
      <c r="F131" s="122" t="s">
        <v>4110</v>
      </c>
      <c r="G131" s="44" t="s">
        <v>134</v>
      </c>
      <c r="H131" t="str">
        <f t="shared" si="6"/>
        <v>GIBAM SHOPS SPA</v>
      </c>
      <c r="I131" s="112">
        <f t="shared" si="7"/>
        <v>45254</v>
      </c>
      <c r="J131" s="128">
        <f t="shared" si="8"/>
        <v>18493.66</v>
      </c>
    </row>
    <row r="132" spans="1:10" x14ac:dyDescent="0.3">
      <c r="A132" t="s">
        <v>82</v>
      </c>
      <c r="B132" s="4" t="s">
        <v>84</v>
      </c>
      <c r="C132" s="7">
        <v>45762</v>
      </c>
      <c r="D132" s="8">
        <v>63.18</v>
      </c>
      <c r="E132" s="8"/>
      <c r="F132" s="122" t="s">
        <v>4110</v>
      </c>
      <c r="G132" s="44" t="s">
        <v>135</v>
      </c>
      <c r="H132" t="str">
        <f t="shared" si="6"/>
        <v>GIBAM SHOPS SPA</v>
      </c>
      <c r="I132" s="112">
        <f t="shared" si="7"/>
        <v>45254</v>
      </c>
      <c r="J132" s="128">
        <f t="shared" si="8"/>
        <v>3012.03</v>
      </c>
    </row>
    <row r="133" spans="1:10" x14ac:dyDescent="0.3">
      <c r="A133" t="s">
        <v>82</v>
      </c>
      <c r="B133" s="4" t="s">
        <v>84</v>
      </c>
      <c r="C133" s="7">
        <v>45762</v>
      </c>
      <c r="D133" s="8">
        <v>627.75</v>
      </c>
      <c r="E133" s="8"/>
      <c r="F133" s="122" t="s">
        <v>4110</v>
      </c>
      <c r="G133" s="44" t="s">
        <v>136</v>
      </c>
      <c r="H133" t="str">
        <f t="shared" si="6"/>
        <v>GIBAM SHOPS SPA</v>
      </c>
      <c r="I133" s="112">
        <f t="shared" si="7"/>
        <v>45259</v>
      </c>
      <c r="J133" s="128">
        <f t="shared" si="8"/>
        <v>406.75</v>
      </c>
    </row>
    <row r="134" spans="1:10" x14ac:dyDescent="0.3">
      <c r="A134" t="s">
        <v>82</v>
      </c>
      <c r="B134" s="4" t="s">
        <v>84</v>
      </c>
      <c r="C134" s="7">
        <v>45762</v>
      </c>
      <c r="D134" s="8">
        <v>23231.25</v>
      </c>
      <c r="E134" s="8"/>
      <c r="F134" s="122" t="s">
        <v>4110</v>
      </c>
      <c r="G134" s="44" t="s">
        <v>137</v>
      </c>
      <c r="H134" t="str">
        <f t="shared" ref="H134:H197" si="10">_xlfn.XLOOKUP(G134,B:B,A:A,,)</f>
        <v>GIBAM SHOPS SPA</v>
      </c>
      <c r="I134" s="112">
        <f t="shared" ref="I134:I197" si="11">_xlfn.XLOOKUP(G134,B:B,C:C,,)</f>
        <v>45260</v>
      </c>
      <c r="J134" s="128">
        <f t="shared" ref="J134:J197" si="12">SUMIF(B:B,G134,D:D)</f>
        <v>39927.57</v>
      </c>
    </row>
    <row r="135" spans="1:10" x14ac:dyDescent="0.3">
      <c r="A135" t="s">
        <v>85</v>
      </c>
      <c r="B135">
        <v>39430</v>
      </c>
      <c r="C135" s="7">
        <v>45659</v>
      </c>
      <c r="D135" s="8">
        <v>175</v>
      </c>
      <c r="E135" s="8"/>
      <c r="F135" s="122" t="s">
        <v>4110</v>
      </c>
      <c r="G135" s="44" t="s">
        <v>138</v>
      </c>
      <c r="H135" t="str">
        <f t="shared" si="10"/>
        <v>GIBAM SHOPS SPA</v>
      </c>
      <c r="I135" s="112">
        <f t="shared" si="11"/>
        <v>45260</v>
      </c>
      <c r="J135" s="128">
        <f t="shared" si="12"/>
        <v>7652.58</v>
      </c>
    </row>
    <row r="136" spans="1:10" x14ac:dyDescent="0.3">
      <c r="A136" t="s">
        <v>86</v>
      </c>
      <c r="B136" s="4" t="s">
        <v>87</v>
      </c>
      <c r="C136" s="7">
        <v>45806</v>
      </c>
      <c r="D136" s="8">
        <v>-4947.9799999999996</v>
      </c>
      <c r="E136" s="8"/>
      <c r="F136" s="122" t="s">
        <v>4110</v>
      </c>
      <c r="G136" s="44" t="s">
        <v>139</v>
      </c>
      <c r="H136" t="str">
        <f t="shared" si="10"/>
        <v>GIBAM SHOPS SPA</v>
      </c>
      <c r="I136" s="112">
        <f t="shared" si="11"/>
        <v>45260</v>
      </c>
      <c r="J136" s="128">
        <f t="shared" si="12"/>
        <v>8410.1200000000008</v>
      </c>
    </row>
    <row r="137" spans="1:10" x14ac:dyDescent="0.3">
      <c r="A137" t="s">
        <v>86</v>
      </c>
      <c r="B137">
        <v>20250630</v>
      </c>
      <c r="C137" s="7">
        <v>45838</v>
      </c>
      <c r="D137" s="8">
        <v>4947.9799999999996</v>
      </c>
      <c r="E137" s="8"/>
      <c r="F137" s="122" t="s">
        <v>4110</v>
      </c>
      <c r="G137" s="44" t="s">
        <v>140</v>
      </c>
      <c r="H137" t="str">
        <f t="shared" si="10"/>
        <v>GIBAM SHOPS SPA</v>
      </c>
      <c r="I137" s="112">
        <f t="shared" si="11"/>
        <v>45260</v>
      </c>
      <c r="J137" s="128">
        <f t="shared" si="12"/>
        <v>1152.5</v>
      </c>
    </row>
    <row r="138" spans="1:10" x14ac:dyDescent="0.3">
      <c r="A138" t="s">
        <v>88</v>
      </c>
      <c r="B138" s="4" t="s">
        <v>89</v>
      </c>
      <c r="C138" s="7">
        <v>45838</v>
      </c>
      <c r="D138" s="8">
        <v>23564.84</v>
      </c>
      <c r="E138" s="8"/>
      <c r="F138" s="122" t="s">
        <v>4110</v>
      </c>
      <c r="G138" s="44" t="s">
        <v>141</v>
      </c>
      <c r="H138" t="str">
        <f t="shared" si="10"/>
        <v>GIBAM SHOPS SPA</v>
      </c>
      <c r="I138" s="112">
        <f t="shared" si="11"/>
        <v>45260</v>
      </c>
      <c r="J138" s="128">
        <f t="shared" si="12"/>
        <v>2487.1</v>
      </c>
    </row>
    <row r="139" spans="1:10" x14ac:dyDescent="0.3">
      <c r="A139" t="s">
        <v>90</v>
      </c>
      <c r="B139">
        <v>112294</v>
      </c>
      <c r="C139" s="7">
        <v>45798</v>
      </c>
      <c r="D139" s="8">
        <v>1381.31</v>
      </c>
      <c r="E139" s="8"/>
      <c r="F139" s="122" t="s">
        <v>4110</v>
      </c>
      <c r="G139" s="44" t="s">
        <v>142</v>
      </c>
      <c r="H139" t="str">
        <f t="shared" si="10"/>
        <v>GIBAM SHOPS SPA</v>
      </c>
      <c r="I139" s="112">
        <f t="shared" si="11"/>
        <v>45260</v>
      </c>
      <c r="J139" s="128">
        <f t="shared" si="12"/>
        <v>11450.08</v>
      </c>
    </row>
    <row r="140" spans="1:10" x14ac:dyDescent="0.3">
      <c r="A140" t="s">
        <v>90</v>
      </c>
      <c r="B140">
        <v>112294</v>
      </c>
      <c r="C140" s="7">
        <v>45798</v>
      </c>
      <c r="D140" s="8">
        <v>395.39</v>
      </c>
      <c r="E140" s="8"/>
      <c r="F140" s="122" t="s">
        <v>4110</v>
      </c>
      <c r="G140" s="44" t="s">
        <v>143</v>
      </c>
      <c r="H140" t="str">
        <f t="shared" si="10"/>
        <v>GIBAM SHOPS SPA</v>
      </c>
      <c r="I140" s="112">
        <f t="shared" si="11"/>
        <v>45260</v>
      </c>
      <c r="J140" s="128">
        <f t="shared" si="12"/>
        <v>696.59</v>
      </c>
    </row>
    <row r="141" spans="1:10" x14ac:dyDescent="0.3">
      <c r="A141" t="s">
        <v>90</v>
      </c>
      <c r="B141">
        <v>112662</v>
      </c>
      <c r="C141" s="7">
        <v>45804</v>
      </c>
      <c r="D141" s="8">
        <v>2100.5700000000002</v>
      </c>
      <c r="E141" s="8"/>
      <c r="F141" s="122" t="s">
        <v>4110</v>
      </c>
      <c r="G141" s="44" t="s">
        <v>144</v>
      </c>
      <c r="H141" t="str">
        <f t="shared" si="10"/>
        <v>GIBAM SHOPS SPA</v>
      </c>
      <c r="I141" s="112">
        <f t="shared" si="11"/>
        <v>45260</v>
      </c>
      <c r="J141" s="128">
        <f t="shared" si="12"/>
        <v>9825.8700000000008</v>
      </c>
    </row>
    <row r="142" spans="1:10" x14ac:dyDescent="0.3">
      <c r="A142" t="s">
        <v>90</v>
      </c>
      <c r="B142">
        <v>112673</v>
      </c>
      <c r="C142" s="7">
        <v>45811</v>
      </c>
      <c r="D142" s="8">
        <v>5251.42</v>
      </c>
      <c r="E142" s="8"/>
      <c r="F142" s="122" t="s">
        <v>4110</v>
      </c>
      <c r="G142" s="44" t="s">
        <v>145</v>
      </c>
      <c r="H142" t="str">
        <f t="shared" si="10"/>
        <v>GIBAM SHOPS SPA</v>
      </c>
      <c r="I142" s="112">
        <f t="shared" si="11"/>
        <v>45260</v>
      </c>
      <c r="J142" s="128">
        <f t="shared" si="12"/>
        <v>4505.1099999999997</v>
      </c>
    </row>
    <row r="143" spans="1:10" x14ac:dyDescent="0.3">
      <c r="A143" t="s">
        <v>91</v>
      </c>
      <c r="B143">
        <v>20250630</v>
      </c>
      <c r="C143" s="7">
        <v>45838</v>
      </c>
      <c r="D143" s="8">
        <v>8911.7800000000007</v>
      </c>
      <c r="E143" s="8"/>
      <c r="F143" s="122" t="s">
        <v>4110</v>
      </c>
      <c r="G143" s="44" t="s">
        <v>146</v>
      </c>
      <c r="H143" t="str">
        <f t="shared" si="10"/>
        <v>GIBAM SHOPS SPA</v>
      </c>
      <c r="I143" s="112">
        <f t="shared" si="11"/>
        <v>45260</v>
      </c>
      <c r="J143" s="128">
        <f t="shared" si="12"/>
        <v>2580.3000000000002</v>
      </c>
    </row>
    <row r="144" spans="1:10" x14ac:dyDescent="0.3">
      <c r="A144" t="s">
        <v>92</v>
      </c>
      <c r="B144" s="4" t="s">
        <v>87</v>
      </c>
      <c r="C144" s="7">
        <v>45806</v>
      </c>
      <c r="D144" s="8">
        <v>-25.61</v>
      </c>
      <c r="E144" s="8"/>
      <c r="F144" s="122" t="s">
        <v>4110</v>
      </c>
      <c r="G144" s="44" t="s">
        <v>147</v>
      </c>
      <c r="H144" t="str">
        <f t="shared" si="10"/>
        <v>GIBAM SHOPS SPA</v>
      </c>
      <c r="I144" s="112">
        <f t="shared" si="11"/>
        <v>45260</v>
      </c>
      <c r="J144" s="128">
        <f t="shared" si="12"/>
        <v>6708.68</v>
      </c>
    </row>
    <row r="145" spans="1:10" x14ac:dyDescent="0.3">
      <c r="A145" t="s">
        <v>93</v>
      </c>
      <c r="B145" s="4" t="s">
        <v>94</v>
      </c>
      <c r="C145" s="7">
        <v>45807</v>
      </c>
      <c r="D145" s="8">
        <v>-4539.5200000000004</v>
      </c>
      <c r="E145" s="8"/>
      <c r="F145" s="122" t="s">
        <v>4110</v>
      </c>
      <c r="G145" s="44" t="s">
        <v>148</v>
      </c>
      <c r="H145" t="str">
        <f t="shared" si="10"/>
        <v>GIBAM SHOPS SPA</v>
      </c>
      <c r="I145" s="112">
        <f t="shared" si="11"/>
        <v>45265</v>
      </c>
      <c r="J145" s="128">
        <f t="shared" si="12"/>
        <v>2367.23</v>
      </c>
    </row>
    <row r="146" spans="1:10" x14ac:dyDescent="0.3">
      <c r="A146" t="s">
        <v>95</v>
      </c>
      <c r="B146">
        <v>1416</v>
      </c>
      <c r="C146" s="7">
        <v>45813</v>
      </c>
      <c r="D146" s="8">
        <v>-640.36</v>
      </c>
      <c r="E146" s="8"/>
      <c r="F146" s="122" t="s">
        <v>4110</v>
      </c>
      <c r="G146" s="44" t="s">
        <v>149</v>
      </c>
      <c r="H146" t="str">
        <f t="shared" si="10"/>
        <v>GIBAM SHOPS SPA</v>
      </c>
      <c r="I146" s="112">
        <f t="shared" si="11"/>
        <v>45274</v>
      </c>
      <c r="J146" s="128">
        <f t="shared" si="12"/>
        <v>4874.12</v>
      </c>
    </row>
    <row r="147" spans="1:10" x14ac:dyDescent="0.3">
      <c r="A147" t="s">
        <v>96</v>
      </c>
      <c r="B147" s="4" t="s">
        <v>97</v>
      </c>
      <c r="C147" s="7">
        <v>45790</v>
      </c>
      <c r="D147" s="8">
        <v>35965.879999999997</v>
      </c>
      <c r="E147" s="8"/>
      <c r="F147" s="122" t="s">
        <v>4110</v>
      </c>
      <c r="G147" s="44" t="s">
        <v>150</v>
      </c>
      <c r="H147" t="str">
        <f t="shared" si="10"/>
        <v>GIBAM SHOPS SPA</v>
      </c>
      <c r="I147" s="112">
        <f t="shared" si="11"/>
        <v>45280</v>
      </c>
      <c r="J147" s="128">
        <f t="shared" si="12"/>
        <v>28794.26</v>
      </c>
    </row>
    <row r="148" spans="1:10" x14ac:dyDescent="0.3">
      <c r="A148" t="s">
        <v>96</v>
      </c>
      <c r="B148" s="4" t="s">
        <v>98</v>
      </c>
      <c r="C148" s="7">
        <v>45791</v>
      </c>
      <c r="D148" s="8">
        <v>28625.52</v>
      </c>
      <c r="E148" s="8"/>
      <c r="F148" s="122" t="s">
        <v>4110</v>
      </c>
      <c r="G148" s="44" t="s">
        <v>151</v>
      </c>
      <c r="H148" t="str">
        <f t="shared" si="10"/>
        <v>GIBAM SHOPS SPA</v>
      </c>
      <c r="I148" s="112">
        <f t="shared" si="11"/>
        <v>45280</v>
      </c>
      <c r="J148" s="128">
        <f t="shared" si="12"/>
        <v>5824.31</v>
      </c>
    </row>
    <row r="149" spans="1:10" x14ac:dyDescent="0.3">
      <c r="A149" t="s">
        <v>96</v>
      </c>
      <c r="B149" s="4" t="s">
        <v>98</v>
      </c>
      <c r="C149" s="7">
        <v>45791</v>
      </c>
      <c r="D149" s="8">
        <v>4133.26</v>
      </c>
      <c r="E149" s="8"/>
      <c r="F149" s="122" t="s">
        <v>4110</v>
      </c>
      <c r="G149" s="44" t="s">
        <v>152</v>
      </c>
      <c r="H149" t="str">
        <f t="shared" si="10"/>
        <v>GIBAM SHOPS SPA</v>
      </c>
      <c r="I149" s="112">
        <f t="shared" si="11"/>
        <v>45280</v>
      </c>
      <c r="J149" s="128">
        <f t="shared" si="12"/>
        <v>15220.37</v>
      </c>
    </row>
    <row r="150" spans="1:10" x14ac:dyDescent="0.3">
      <c r="A150" t="s">
        <v>96</v>
      </c>
      <c r="B150" s="4" t="s">
        <v>99</v>
      </c>
      <c r="C150" s="7">
        <v>45800</v>
      </c>
      <c r="D150" s="8">
        <v>29426.3</v>
      </c>
      <c r="E150" s="8"/>
      <c r="F150" s="122" t="s">
        <v>4110</v>
      </c>
      <c r="G150" s="44" t="s">
        <v>153</v>
      </c>
      <c r="H150" t="str">
        <f t="shared" si="10"/>
        <v>GIBAM SHOPS SPA</v>
      </c>
      <c r="I150" s="112">
        <f t="shared" si="11"/>
        <v>45280</v>
      </c>
      <c r="J150" s="128">
        <f t="shared" si="12"/>
        <v>9673.3700000000008</v>
      </c>
    </row>
    <row r="151" spans="1:10" x14ac:dyDescent="0.3">
      <c r="A151" t="s">
        <v>96</v>
      </c>
      <c r="B151" s="4" t="s">
        <v>99</v>
      </c>
      <c r="C151" s="7">
        <v>45800</v>
      </c>
      <c r="D151" s="8">
        <v>4262</v>
      </c>
      <c r="E151" s="8"/>
      <c r="F151" s="122" t="s">
        <v>4110</v>
      </c>
      <c r="G151" s="44" t="s">
        <v>154</v>
      </c>
      <c r="H151" t="str">
        <f t="shared" si="10"/>
        <v>GIBAM SHOPS SPA</v>
      </c>
      <c r="I151" s="112">
        <f t="shared" si="11"/>
        <v>45287</v>
      </c>
      <c r="J151" s="128">
        <f t="shared" si="12"/>
        <v>2594.64</v>
      </c>
    </row>
    <row r="152" spans="1:10" x14ac:dyDescent="0.3">
      <c r="A152" t="s">
        <v>96</v>
      </c>
      <c r="B152" s="4" t="s">
        <v>100</v>
      </c>
      <c r="C152" s="7">
        <v>45803</v>
      </c>
      <c r="D152" s="8">
        <v>16217.56</v>
      </c>
      <c r="E152" s="8"/>
      <c r="F152" s="122" t="s">
        <v>4110</v>
      </c>
      <c r="G152" s="44" t="s">
        <v>155</v>
      </c>
      <c r="H152" t="str">
        <f t="shared" si="10"/>
        <v>GIBAM SHOPS SPA</v>
      </c>
      <c r="I152" s="112">
        <f t="shared" si="11"/>
        <v>45287</v>
      </c>
      <c r="J152" s="128">
        <f t="shared" si="12"/>
        <v>37869.089999999997</v>
      </c>
    </row>
    <row r="153" spans="1:10" x14ac:dyDescent="0.3">
      <c r="A153" t="s">
        <v>96</v>
      </c>
      <c r="B153" s="4" t="s">
        <v>101</v>
      </c>
      <c r="C153" s="7">
        <v>45813</v>
      </c>
      <c r="D153" s="8">
        <v>32463.58</v>
      </c>
      <c r="E153" s="8"/>
      <c r="F153" s="122" t="s">
        <v>4110</v>
      </c>
      <c r="G153" s="44" t="s">
        <v>156</v>
      </c>
      <c r="H153" t="str">
        <f t="shared" si="10"/>
        <v>GIBAM SHOPS SPA</v>
      </c>
      <c r="I153" s="112">
        <f t="shared" si="11"/>
        <v>45288</v>
      </c>
      <c r="J153" s="128">
        <f t="shared" si="12"/>
        <v>1529.86</v>
      </c>
    </row>
    <row r="154" spans="1:10" x14ac:dyDescent="0.3">
      <c r="A154" t="s">
        <v>96</v>
      </c>
      <c r="B154" s="4" t="s">
        <v>102</v>
      </c>
      <c r="C154" s="7">
        <v>45826</v>
      </c>
      <c r="D154" s="8">
        <v>29225.08</v>
      </c>
      <c r="E154" s="8"/>
      <c r="F154" s="122" t="s">
        <v>4110</v>
      </c>
      <c r="G154" s="44" t="s">
        <v>157</v>
      </c>
      <c r="H154" t="str">
        <f t="shared" si="10"/>
        <v>GIBAM SHOPS SPA</v>
      </c>
      <c r="I154" s="112">
        <f t="shared" si="11"/>
        <v>45288</v>
      </c>
      <c r="J154" s="128">
        <f t="shared" si="12"/>
        <v>9659.23</v>
      </c>
    </row>
    <row r="155" spans="1:10" x14ac:dyDescent="0.3">
      <c r="A155" t="s">
        <v>96</v>
      </c>
      <c r="B155" s="4" t="s">
        <v>102</v>
      </c>
      <c r="C155" s="7">
        <v>45826</v>
      </c>
      <c r="D155" s="8">
        <v>19078.82</v>
      </c>
      <c r="E155" s="8"/>
      <c r="F155" s="122" t="s">
        <v>4110</v>
      </c>
      <c r="G155" s="44" t="s">
        <v>158</v>
      </c>
      <c r="H155" t="str">
        <f t="shared" si="10"/>
        <v>GIBAM SHOPS SPA</v>
      </c>
      <c r="I155" s="112">
        <f t="shared" si="11"/>
        <v>45288</v>
      </c>
      <c r="J155" s="128">
        <f t="shared" si="12"/>
        <v>1422.94</v>
      </c>
    </row>
    <row r="156" spans="1:10" x14ac:dyDescent="0.3">
      <c r="A156" t="s">
        <v>96</v>
      </c>
      <c r="B156" s="4" t="s">
        <v>102</v>
      </c>
      <c r="C156" s="7">
        <v>45826</v>
      </c>
      <c r="D156" s="8">
        <v>6327.94</v>
      </c>
      <c r="E156" s="8"/>
      <c r="F156" s="122" t="s">
        <v>4110</v>
      </c>
      <c r="G156" s="44" t="s">
        <v>159</v>
      </c>
      <c r="H156" t="str">
        <f t="shared" si="10"/>
        <v>GIBAM SHOPS SPA</v>
      </c>
      <c r="I156" s="112">
        <f t="shared" si="11"/>
        <v>45288</v>
      </c>
      <c r="J156" s="128">
        <f t="shared" si="12"/>
        <v>6957.88</v>
      </c>
    </row>
    <row r="157" spans="1:10" x14ac:dyDescent="0.3">
      <c r="A157" t="s">
        <v>103</v>
      </c>
      <c r="B157" s="4" t="s">
        <v>104</v>
      </c>
      <c r="C157" s="7">
        <v>45434</v>
      </c>
      <c r="D157" s="8">
        <v>598.74</v>
      </c>
      <c r="E157" s="8"/>
      <c r="F157" s="122" t="s">
        <v>4110</v>
      </c>
      <c r="G157" s="44" t="s">
        <v>160</v>
      </c>
      <c r="H157" t="str">
        <f t="shared" si="10"/>
        <v>GIBAM SHOPS SPA</v>
      </c>
      <c r="I157" s="112">
        <f t="shared" si="11"/>
        <v>45288</v>
      </c>
      <c r="J157" s="128">
        <f t="shared" si="12"/>
        <v>5599.05</v>
      </c>
    </row>
    <row r="158" spans="1:10" x14ac:dyDescent="0.3">
      <c r="A158" t="s">
        <v>105</v>
      </c>
      <c r="B158" s="4" t="s">
        <v>106</v>
      </c>
      <c r="C158" s="7">
        <v>45828</v>
      </c>
      <c r="D158" s="8">
        <v>37.49</v>
      </c>
      <c r="E158" s="8"/>
      <c r="F158" s="122" t="s">
        <v>4110</v>
      </c>
      <c r="G158" s="44" t="s">
        <v>161</v>
      </c>
      <c r="H158" t="str">
        <f t="shared" si="10"/>
        <v>GIBAM SHOPS SPA</v>
      </c>
      <c r="I158" s="112">
        <f t="shared" si="11"/>
        <v>45291</v>
      </c>
      <c r="J158" s="128">
        <f t="shared" si="12"/>
        <v>4225.59</v>
      </c>
    </row>
    <row r="159" spans="1:10" x14ac:dyDescent="0.3">
      <c r="A159" t="s">
        <v>107</v>
      </c>
      <c r="B159">
        <v>20240524</v>
      </c>
      <c r="C159" s="7">
        <v>45436</v>
      </c>
      <c r="D159" s="8">
        <v>2192.4</v>
      </c>
      <c r="E159" s="8"/>
      <c r="F159" s="122" t="s">
        <v>4110</v>
      </c>
      <c r="G159" s="44" t="s">
        <v>162</v>
      </c>
      <c r="H159" t="str">
        <f t="shared" si="10"/>
        <v>GIBAM SHOPS SPA</v>
      </c>
      <c r="I159" s="112">
        <f t="shared" si="11"/>
        <v>45291</v>
      </c>
      <c r="J159" s="128">
        <f t="shared" si="12"/>
        <v>1573.68</v>
      </c>
    </row>
    <row r="160" spans="1:10" x14ac:dyDescent="0.3">
      <c r="A160" t="s">
        <v>107</v>
      </c>
      <c r="B160">
        <v>20250630</v>
      </c>
      <c r="C160" s="7">
        <v>45838</v>
      </c>
      <c r="D160" s="8">
        <v>1917</v>
      </c>
      <c r="E160" s="8"/>
      <c r="F160" s="122" t="s">
        <v>4110</v>
      </c>
      <c r="G160" s="44" t="s">
        <v>163</v>
      </c>
      <c r="H160" t="str">
        <f t="shared" si="10"/>
        <v>GIBAM SHOPS SPA</v>
      </c>
      <c r="I160" s="112">
        <f t="shared" si="11"/>
        <v>45291</v>
      </c>
      <c r="J160" s="128">
        <f t="shared" si="12"/>
        <v>3966.62</v>
      </c>
    </row>
    <row r="161" spans="1:10" x14ac:dyDescent="0.3">
      <c r="A161" t="s">
        <v>107</v>
      </c>
      <c r="B161" s="4" t="s">
        <v>108</v>
      </c>
      <c r="C161" s="7">
        <v>45838</v>
      </c>
      <c r="D161" s="8">
        <v>27074.77</v>
      </c>
      <c r="E161" s="8"/>
      <c r="F161" s="122" t="s">
        <v>4110</v>
      </c>
      <c r="G161" s="44" t="s">
        <v>164</v>
      </c>
      <c r="H161" t="str">
        <f t="shared" si="10"/>
        <v>GIBAM SHOPS SPA</v>
      </c>
      <c r="I161" s="112">
        <f t="shared" si="11"/>
        <v>45291</v>
      </c>
      <c r="J161" s="128">
        <f t="shared" si="12"/>
        <v>14318.36</v>
      </c>
    </row>
    <row r="162" spans="1:10" x14ac:dyDescent="0.3">
      <c r="A162" t="s">
        <v>109</v>
      </c>
      <c r="B162" s="4" t="s">
        <v>110</v>
      </c>
      <c r="C162" s="7">
        <v>44847</v>
      </c>
      <c r="D162" s="8">
        <v>15010.14</v>
      </c>
      <c r="E162" s="8"/>
      <c r="F162" s="122" t="s">
        <v>4110</v>
      </c>
      <c r="G162" s="44" t="s">
        <v>165</v>
      </c>
      <c r="H162" t="str">
        <f t="shared" si="10"/>
        <v>GIBAM SHOPS SPA</v>
      </c>
      <c r="I162" s="112">
        <f t="shared" si="11"/>
        <v>45291</v>
      </c>
      <c r="J162" s="128">
        <f t="shared" si="12"/>
        <v>21576.5</v>
      </c>
    </row>
    <row r="163" spans="1:10" x14ac:dyDescent="0.3">
      <c r="A163" t="s">
        <v>109</v>
      </c>
      <c r="B163" s="4" t="s">
        <v>111</v>
      </c>
      <c r="C163" s="7">
        <v>44918</v>
      </c>
      <c r="D163" s="8">
        <v>353.77</v>
      </c>
      <c r="E163" s="8"/>
      <c r="F163" s="122" t="s">
        <v>4110</v>
      </c>
      <c r="G163" s="44" t="s">
        <v>166</v>
      </c>
      <c r="H163" t="str">
        <f t="shared" si="10"/>
        <v>GIBAM SHOPS SPA</v>
      </c>
      <c r="I163" s="112">
        <f t="shared" si="11"/>
        <v>45291</v>
      </c>
      <c r="J163" s="128">
        <f t="shared" si="12"/>
        <v>296.83999999999997</v>
      </c>
    </row>
    <row r="164" spans="1:10" x14ac:dyDescent="0.3">
      <c r="A164" t="s">
        <v>109</v>
      </c>
      <c r="B164" s="4" t="s">
        <v>112</v>
      </c>
      <c r="C164" s="7">
        <v>45052</v>
      </c>
      <c r="D164" s="8">
        <v>3763.2</v>
      </c>
      <c r="E164" s="8"/>
      <c r="F164" s="122" t="s">
        <v>4110</v>
      </c>
      <c r="G164" s="44" t="s">
        <v>167</v>
      </c>
      <c r="H164" t="str">
        <f t="shared" si="10"/>
        <v>GIBAM SHOPS SPA</v>
      </c>
      <c r="I164" s="112">
        <f t="shared" si="11"/>
        <v>45291</v>
      </c>
      <c r="J164" s="128">
        <f t="shared" si="12"/>
        <v>7368.88</v>
      </c>
    </row>
    <row r="165" spans="1:10" x14ac:dyDescent="0.3">
      <c r="A165" t="s">
        <v>109</v>
      </c>
      <c r="B165" s="4" t="s">
        <v>113</v>
      </c>
      <c r="C165" s="7">
        <v>45112</v>
      </c>
      <c r="D165" s="8">
        <v>34856.589999999997</v>
      </c>
      <c r="E165" s="8"/>
      <c r="F165" s="122" t="s">
        <v>4110</v>
      </c>
      <c r="G165" s="44" t="s">
        <v>168</v>
      </c>
      <c r="H165" t="str">
        <f t="shared" si="10"/>
        <v>GIBAM SHOPS SPA</v>
      </c>
      <c r="I165" s="112">
        <f t="shared" si="11"/>
        <v>45291</v>
      </c>
      <c r="J165" s="128">
        <f t="shared" si="12"/>
        <v>25813.82</v>
      </c>
    </row>
    <row r="166" spans="1:10" x14ac:dyDescent="0.3">
      <c r="A166" t="s">
        <v>109</v>
      </c>
      <c r="B166" s="4" t="s">
        <v>114</v>
      </c>
      <c r="C166" s="7">
        <v>45133</v>
      </c>
      <c r="D166" s="8">
        <v>77.36</v>
      </c>
      <c r="E166" s="8"/>
      <c r="F166" s="122" t="s">
        <v>4110</v>
      </c>
      <c r="G166" s="44" t="s">
        <v>169</v>
      </c>
      <c r="H166" t="str">
        <f t="shared" si="10"/>
        <v>GIBAM SHOPS SPA</v>
      </c>
      <c r="I166" s="112">
        <f t="shared" si="11"/>
        <v>45291</v>
      </c>
      <c r="J166" s="128">
        <f t="shared" si="12"/>
        <v>568.76</v>
      </c>
    </row>
    <row r="167" spans="1:10" x14ac:dyDescent="0.3">
      <c r="A167" t="s">
        <v>109</v>
      </c>
      <c r="B167" s="4" t="s">
        <v>115</v>
      </c>
      <c r="C167" s="7">
        <v>45142</v>
      </c>
      <c r="D167" s="8">
        <v>76.52</v>
      </c>
      <c r="E167" s="8"/>
      <c r="F167" s="122" t="s">
        <v>4110</v>
      </c>
      <c r="G167" s="44" t="s">
        <v>170</v>
      </c>
      <c r="H167" t="str">
        <f t="shared" si="10"/>
        <v>GIBAM SHOPS SPA</v>
      </c>
      <c r="I167" s="112">
        <f t="shared" si="11"/>
        <v>45291</v>
      </c>
      <c r="J167" s="128">
        <f t="shared" si="12"/>
        <v>48064.52</v>
      </c>
    </row>
    <row r="168" spans="1:10" x14ac:dyDescent="0.3">
      <c r="A168" t="s">
        <v>109</v>
      </c>
      <c r="B168" s="4" t="s">
        <v>116</v>
      </c>
      <c r="C168" s="7">
        <v>45198</v>
      </c>
      <c r="D168" s="8">
        <v>4370.13</v>
      </c>
      <c r="E168" s="8"/>
      <c r="F168" s="122" t="s">
        <v>4110</v>
      </c>
      <c r="G168" s="44" t="s">
        <v>171</v>
      </c>
      <c r="H168" t="str">
        <f t="shared" si="10"/>
        <v>GIBAM SHOPS SPA</v>
      </c>
      <c r="I168" s="112">
        <f t="shared" si="11"/>
        <v>45292</v>
      </c>
      <c r="J168" s="128">
        <f t="shared" si="12"/>
        <v>30910.47</v>
      </c>
    </row>
    <row r="169" spans="1:10" x14ac:dyDescent="0.3">
      <c r="A169" t="s">
        <v>109</v>
      </c>
      <c r="B169" s="4" t="s">
        <v>117</v>
      </c>
      <c r="C169" s="7">
        <v>45198</v>
      </c>
      <c r="D169" s="8">
        <v>17721.02</v>
      </c>
      <c r="E169" s="8"/>
      <c r="F169" s="122" t="s">
        <v>4110</v>
      </c>
      <c r="G169" s="44" t="s">
        <v>172</v>
      </c>
      <c r="H169" t="str">
        <f t="shared" si="10"/>
        <v>GIBAM SHOPS SPA</v>
      </c>
      <c r="I169" s="112">
        <f t="shared" si="11"/>
        <v>45292</v>
      </c>
      <c r="J169" s="128">
        <f t="shared" si="12"/>
        <v>1425.18</v>
      </c>
    </row>
    <row r="170" spans="1:10" x14ac:dyDescent="0.3">
      <c r="A170" t="s">
        <v>109</v>
      </c>
      <c r="B170" s="4" t="s">
        <v>118</v>
      </c>
      <c r="C170" s="7">
        <v>45198</v>
      </c>
      <c r="D170" s="8">
        <v>2121.17</v>
      </c>
      <c r="E170" s="8"/>
      <c r="F170" s="122" t="s">
        <v>4110</v>
      </c>
      <c r="G170" s="44" t="s">
        <v>173</v>
      </c>
      <c r="H170" t="str">
        <f t="shared" si="10"/>
        <v>GIBAM SHOPS SPA</v>
      </c>
      <c r="I170" s="112">
        <f t="shared" si="11"/>
        <v>45302</v>
      </c>
      <c r="J170" s="128">
        <f t="shared" si="12"/>
        <v>997.21</v>
      </c>
    </row>
    <row r="171" spans="1:10" x14ac:dyDescent="0.3">
      <c r="A171" t="s">
        <v>109</v>
      </c>
      <c r="B171" s="4" t="s">
        <v>119</v>
      </c>
      <c r="C171" s="7">
        <v>45204</v>
      </c>
      <c r="D171" s="8">
        <v>113.05</v>
      </c>
      <c r="E171" s="8"/>
      <c r="F171" s="122" t="s">
        <v>4110</v>
      </c>
      <c r="G171" s="44" t="s">
        <v>174</v>
      </c>
      <c r="H171" t="str">
        <f t="shared" si="10"/>
        <v>GIBAM SHOPS SPA</v>
      </c>
      <c r="I171" s="112">
        <f t="shared" si="11"/>
        <v>45322</v>
      </c>
      <c r="J171" s="128">
        <f t="shared" si="12"/>
        <v>778.75</v>
      </c>
    </row>
    <row r="172" spans="1:10" x14ac:dyDescent="0.3">
      <c r="A172" t="s">
        <v>109</v>
      </c>
      <c r="B172" s="4" t="s">
        <v>120</v>
      </c>
      <c r="C172" s="7">
        <v>45216</v>
      </c>
      <c r="D172" s="8">
        <v>28363.48</v>
      </c>
      <c r="E172" s="8"/>
      <c r="F172" s="122" t="s">
        <v>4110</v>
      </c>
      <c r="G172" s="44" t="s">
        <v>175</v>
      </c>
      <c r="H172" t="str">
        <f t="shared" si="10"/>
        <v>GIBAM SHOPS SPA</v>
      </c>
      <c r="I172" s="112">
        <f t="shared" si="11"/>
        <v>45337</v>
      </c>
      <c r="J172" s="128">
        <f t="shared" si="12"/>
        <v>65859.13</v>
      </c>
    </row>
    <row r="173" spans="1:10" x14ac:dyDescent="0.3">
      <c r="A173" t="s">
        <v>109</v>
      </c>
      <c r="B173" s="4" t="s">
        <v>121</v>
      </c>
      <c r="C173" s="7">
        <v>45218</v>
      </c>
      <c r="D173" s="8">
        <v>2026.26</v>
      </c>
      <c r="E173" s="8"/>
      <c r="F173" s="122" t="s">
        <v>4110</v>
      </c>
      <c r="G173" s="44" t="s">
        <v>176</v>
      </c>
      <c r="H173" t="str">
        <f t="shared" si="10"/>
        <v>GIBAM SHOPS SPA</v>
      </c>
      <c r="I173" s="112">
        <f t="shared" si="11"/>
        <v>45344</v>
      </c>
      <c r="J173" s="128">
        <f t="shared" si="12"/>
        <v>12002.19</v>
      </c>
    </row>
    <row r="174" spans="1:10" x14ac:dyDescent="0.3">
      <c r="A174" t="s">
        <v>109</v>
      </c>
      <c r="B174" s="4" t="s">
        <v>122</v>
      </c>
      <c r="C174" s="7">
        <v>45218</v>
      </c>
      <c r="D174" s="8">
        <v>8549.34</v>
      </c>
      <c r="E174" s="8"/>
      <c r="F174" s="122" t="s">
        <v>4110</v>
      </c>
      <c r="G174" s="44" t="s">
        <v>177</v>
      </c>
      <c r="H174" t="str">
        <f t="shared" si="10"/>
        <v>GIBAM SHOPS SPA</v>
      </c>
      <c r="I174" s="112">
        <f t="shared" si="11"/>
        <v>45344</v>
      </c>
      <c r="J174" s="128">
        <f t="shared" si="12"/>
        <v>72378.73</v>
      </c>
    </row>
    <row r="175" spans="1:10" x14ac:dyDescent="0.3">
      <c r="A175" t="s">
        <v>109</v>
      </c>
      <c r="B175" s="4" t="s">
        <v>123</v>
      </c>
      <c r="C175" s="7">
        <v>45218</v>
      </c>
      <c r="D175" s="8">
        <v>474.15</v>
      </c>
      <c r="E175" s="8"/>
      <c r="F175" s="122" t="s">
        <v>4110</v>
      </c>
      <c r="G175" s="44" t="s">
        <v>178</v>
      </c>
      <c r="H175" t="str">
        <f t="shared" si="10"/>
        <v>GIBAM SHOPS SPA</v>
      </c>
      <c r="I175" s="112">
        <f t="shared" si="11"/>
        <v>45350</v>
      </c>
      <c r="J175" s="128">
        <f t="shared" si="12"/>
        <v>17327.87</v>
      </c>
    </row>
    <row r="176" spans="1:10" x14ac:dyDescent="0.3">
      <c r="A176" t="s">
        <v>109</v>
      </c>
      <c r="B176" s="4" t="s">
        <v>124</v>
      </c>
      <c r="C176" s="7">
        <v>45218</v>
      </c>
      <c r="D176" s="8">
        <v>499.63</v>
      </c>
      <c r="E176" s="8"/>
      <c r="F176" s="122" t="s">
        <v>4110</v>
      </c>
      <c r="G176" s="44" t="s">
        <v>179</v>
      </c>
      <c r="H176" t="str">
        <f t="shared" si="10"/>
        <v>GIBAM SHOPS SPA</v>
      </c>
      <c r="I176" s="112">
        <f t="shared" si="11"/>
        <v>45350</v>
      </c>
      <c r="J176" s="128">
        <f t="shared" si="12"/>
        <v>854.09</v>
      </c>
    </row>
    <row r="177" spans="1:10" x14ac:dyDescent="0.3">
      <c r="A177" t="s">
        <v>109</v>
      </c>
      <c r="B177" s="4" t="s">
        <v>125</v>
      </c>
      <c r="C177" s="7">
        <v>45223</v>
      </c>
      <c r="D177" s="8">
        <v>1315.54</v>
      </c>
      <c r="E177" s="8"/>
      <c r="F177" s="122" t="s">
        <v>4110</v>
      </c>
      <c r="G177" s="44" t="s">
        <v>180</v>
      </c>
      <c r="H177" t="str">
        <f t="shared" si="10"/>
        <v>GIBAM SHOPS SPA</v>
      </c>
      <c r="I177" s="112">
        <f t="shared" si="11"/>
        <v>45350</v>
      </c>
      <c r="J177" s="128">
        <f t="shared" si="12"/>
        <v>1265.5999999999999</v>
      </c>
    </row>
    <row r="178" spans="1:10" x14ac:dyDescent="0.3">
      <c r="A178" t="s">
        <v>109</v>
      </c>
      <c r="B178" s="4" t="s">
        <v>126</v>
      </c>
      <c r="C178" s="7">
        <v>45225</v>
      </c>
      <c r="D178" s="8">
        <v>617.38</v>
      </c>
      <c r="E178" s="8"/>
      <c r="F178" s="122" t="s">
        <v>4110</v>
      </c>
      <c r="G178" s="44" t="s">
        <v>181</v>
      </c>
      <c r="H178" t="str">
        <f t="shared" si="10"/>
        <v>GIBAM SHOPS SPA</v>
      </c>
      <c r="I178" s="112">
        <f t="shared" si="11"/>
        <v>45350</v>
      </c>
      <c r="J178" s="128">
        <f t="shared" si="12"/>
        <v>3526.96</v>
      </c>
    </row>
    <row r="179" spans="1:10" x14ac:dyDescent="0.3">
      <c r="A179" t="s">
        <v>109</v>
      </c>
      <c r="B179" s="4" t="s">
        <v>127</v>
      </c>
      <c r="C179" s="7">
        <v>45232</v>
      </c>
      <c r="D179" s="8">
        <v>29036.48</v>
      </c>
      <c r="E179" s="8"/>
      <c r="F179" s="122" t="s">
        <v>4110</v>
      </c>
      <c r="G179" s="44" t="s">
        <v>182</v>
      </c>
      <c r="H179" t="str">
        <f t="shared" si="10"/>
        <v>GIBAM SHOPS SPA</v>
      </c>
      <c r="I179" s="112">
        <f t="shared" si="11"/>
        <v>45350</v>
      </c>
      <c r="J179" s="128">
        <f t="shared" si="12"/>
        <v>61328.73</v>
      </c>
    </row>
    <row r="180" spans="1:10" x14ac:dyDescent="0.3">
      <c r="A180" t="s">
        <v>109</v>
      </c>
      <c r="B180" s="4" t="s">
        <v>128</v>
      </c>
      <c r="C180" s="7">
        <v>45232</v>
      </c>
      <c r="D180" s="8">
        <v>98.7</v>
      </c>
      <c r="E180" s="8"/>
      <c r="F180" s="122" t="s">
        <v>4110</v>
      </c>
      <c r="G180" s="44" t="s">
        <v>183</v>
      </c>
      <c r="H180" t="str">
        <f t="shared" si="10"/>
        <v>GIBAM SHOPS SPA</v>
      </c>
      <c r="I180" s="112">
        <f t="shared" si="11"/>
        <v>45351</v>
      </c>
      <c r="J180" s="128">
        <f t="shared" si="12"/>
        <v>9330.6299999999992</v>
      </c>
    </row>
    <row r="181" spans="1:10" x14ac:dyDescent="0.3">
      <c r="A181" t="s">
        <v>109</v>
      </c>
      <c r="B181" s="4" t="s">
        <v>129</v>
      </c>
      <c r="C181" s="7">
        <v>45232</v>
      </c>
      <c r="D181" s="8">
        <v>128.38999999999999</v>
      </c>
      <c r="E181" s="8"/>
      <c r="F181" s="122" t="s">
        <v>4110</v>
      </c>
      <c r="G181" s="44" t="s">
        <v>184</v>
      </c>
      <c r="H181" t="str">
        <f t="shared" si="10"/>
        <v>GIBAM SHOPS SPA</v>
      </c>
      <c r="I181" s="112">
        <f t="shared" si="11"/>
        <v>45351</v>
      </c>
      <c r="J181" s="128">
        <f t="shared" si="12"/>
        <v>1166.8900000000001</v>
      </c>
    </row>
    <row r="182" spans="1:10" x14ac:dyDescent="0.3">
      <c r="A182" t="s">
        <v>109</v>
      </c>
      <c r="B182" s="4" t="s">
        <v>130</v>
      </c>
      <c r="C182" s="7">
        <v>45232</v>
      </c>
      <c r="D182" s="8">
        <v>105.42</v>
      </c>
      <c r="E182" s="8"/>
      <c r="F182" s="122" t="s">
        <v>4110</v>
      </c>
      <c r="G182" s="44" t="s">
        <v>185</v>
      </c>
      <c r="H182" t="str">
        <f t="shared" si="10"/>
        <v>GIBAM SHOPS SPA</v>
      </c>
      <c r="I182" s="112">
        <f t="shared" si="11"/>
        <v>45351</v>
      </c>
      <c r="J182" s="128">
        <f t="shared" si="12"/>
        <v>581.54</v>
      </c>
    </row>
    <row r="183" spans="1:10" x14ac:dyDescent="0.3">
      <c r="A183" t="s">
        <v>109</v>
      </c>
      <c r="B183" s="4" t="s">
        <v>131</v>
      </c>
      <c r="C183" s="7">
        <v>45243</v>
      </c>
      <c r="D183" s="8">
        <v>21886.080000000002</v>
      </c>
      <c r="E183" s="8"/>
      <c r="F183" s="122" t="s">
        <v>4110</v>
      </c>
      <c r="G183" s="44" t="s">
        <v>186</v>
      </c>
      <c r="H183" t="str">
        <f t="shared" si="10"/>
        <v>GIBAM SHOPS SPA</v>
      </c>
      <c r="I183" s="112">
        <f t="shared" si="11"/>
        <v>45352</v>
      </c>
      <c r="J183" s="128">
        <f t="shared" si="12"/>
        <v>14947.4</v>
      </c>
    </row>
    <row r="184" spans="1:10" x14ac:dyDescent="0.3">
      <c r="A184" t="s">
        <v>109</v>
      </c>
      <c r="B184" s="4" t="s">
        <v>132</v>
      </c>
      <c r="C184" s="7">
        <v>45246</v>
      </c>
      <c r="D184" s="8">
        <v>464.73</v>
      </c>
      <c r="E184" s="8"/>
      <c r="F184" s="122" t="s">
        <v>4110</v>
      </c>
      <c r="G184" s="44" t="s">
        <v>187</v>
      </c>
      <c r="H184" t="str">
        <f t="shared" si="10"/>
        <v>GIBAM SHOPS SPA</v>
      </c>
      <c r="I184" s="112">
        <f t="shared" si="11"/>
        <v>45352</v>
      </c>
      <c r="J184" s="128">
        <f t="shared" si="12"/>
        <v>44105.01</v>
      </c>
    </row>
    <row r="185" spans="1:10" x14ac:dyDescent="0.3">
      <c r="A185" t="s">
        <v>109</v>
      </c>
      <c r="B185" s="4" t="s">
        <v>133</v>
      </c>
      <c r="C185" s="7">
        <v>45246</v>
      </c>
      <c r="D185" s="8">
        <v>4017.52</v>
      </c>
      <c r="E185" s="8"/>
      <c r="F185" s="122" t="s">
        <v>4110</v>
      </c>
      <c r="G185" s="44" t="s">
        <v>188</v>
      </c>
      <c r="H185" t="str">
        <f t="shared" si="10"/>
        <v>GIBAM SHOPS SPA</v>
      </c>
      <c r="I185" s="112">
        <f t="shared" si="11"/>
        <v>45355</v>
      </c>
      <c r="J185" s="128">
        <f t="shared" si="12"/>
        <v>119.1</v>
      </c>
    </row>
    <row r="186" spans="1:10" x14ac:dyDescent="0.3">
      <c r="A186" t="s">
        <v>109</v>
      </c>
      <c r="B186" s="4" t="s">
        <v>134</v>
      </c>
      <c r="C186" s="7">
        <v>45254</v>
      </c>
      <c r="D186" s="8">
        <v>18493.66</v>
      </c>
      <c r="E186" s="8"/>
      <c r="F186" s="122" t="s">
        <v>4110</v>
      </c>
      <c r="G186" s="44" t="s">
        <v>189</v>
      </c>
      <c r="H186" t="str">
        <f t="shared" si="10"/>
        <v>GIBAM SHOPS SPA</v>
      </c>
      <c r="I186" s="112">
        <f t="shared" si="11"/>
        <v>45355</v>
      </c>
      <c r="J186" s="128">
        <f t="shared" si="12"/>
        <v>109.35</v>
      </c>
    </row>
    <row r="187" spans="1:10" x14ac:dyDescent="0.3">
      <c r="A187" t="s">
        <v>109</v>
      </c>
      <c r="B187" s="4" t="s">
        <v>135</v>
      </c>
      <c r="C187" s="7">
        <v>45254</v>
      </c>
      <c r="D187" s="8">
        <v>3012.03</v>
      </c>
      <c r="E187" s="8"/>
      <c r="F187" s="122" t="s">
        <v>4110</v>
      </c>
      <c r="G187" s="44" t="s">
        <v>190</v>
      </c>
      <c r="H187" t="str">
        <f t="shared" si="10"/>
        <v>GIBAM SHOPS SPA</v>
      </c>
      <c r="I187" s="112">
        <f t="shared" si="11"/>
        <v>45359</v>
      </c>
      <c r="J187" s="128">
        <f t="shared" si="12"/>
        <v>8243.17</v>
      </c>
    </row>
    <row r="188" spans="1:10" x14ac:dyDescent="0.3">
      <c r="A188" t="s">
        <v>109</v>
      </c>
      <c r="B188" s="4" t="s">
        <v>136</v>
      </c>
      <c r="C188" s="7">
        <v>45259</v>
      </c>
      <c r="D188" s="8">
        <v>406.75</v>
      </c>
      <c r="E188" s="8"/>
      <c r="F188" s="122" t="s">
        <v>4110</v>
      </c>
      <c r="G188" s="44" t="s">
        <v>191</v>
      </c>
      <c r="H188" t="str">
        <f t="shared" si="10"/>
        <v>GIBAM SHOPS SPA</v>
      </c>
      <c r="I188" s="112">
        <f t="shared" si="11"/>
        <v>45366</v>
      </c>
      <c r="J188" s="128">
        <f t="shared" si="12"/>
        <v>52.59</v>
      </c>
    </row>
    <row r="189" spans="1:10" x14ac:dyDescent="0.3">
      <c r="A189" t="s">
        <v>109</v>
      </c>
      <c r="B189" s="4" t="s">
        <v>137</v>
      </c>
      <c r="C189" s="7">
        <v>45260</v>
      </c>
      <c r="D189" s="8">
        <v>39927.57</v>
      </c>
      <c r="E189" s="8"/>
      <c r="F189" s="122" t="s">
        <v>4110</v>
      </c>
      <c r="G189" s="44" t="s">
        <v>192</v>
      </c>
      <c r="H189" t="str">
        <f t="shared" si="10"/>
        <v>GIBAM SHOPS SPA</v>
      </c>
      <c r="I189" s="112">
        <f t="shared" si="11"/>
        <v>45366</v>
      </c>
      <c r="J189" s="128">
        <f t="shared" si="12"/>
        <v>20216.38</v>
      </c>
    </row>
    <row r="190" spans="1:10" x14ac:dyDescent="0.3">
      <c r="A190" t="s">
        <v>109</v>
      </c>
      <c r="B190" s="4" t="s">
        <v>138</v>
      </c>
      <c r="C190" s="7">
        <v>45260</v>
      </c>
      <c r="D190" s="8">
        <v>7652.58</v>
      </c>
      <c r="E190" s="8"/>
      <c r="F190" s="122" t="s">
        <v>4110</v>
      </c>
      <c r="G190" s="44" t="s">
        <v>193</v>
      </c>
      <c r="H190" t="str">
        <f t="shared" si="10"/>
        <v>GIBAM SHOPS SPA</v>
      </c>
      <c r="I190" s="112">
        <f t="shared" si="11"/>
        <v>45366</v>
      </c>
      <c r="J190" s="128">
        <f t="shared" si="12"/>
        <v>2765.95</v>
      </c>
    </row>
    <row r="191" spans="1:10" x14ac:dyDescent="0.3">
      <c r="A191" t="s">
        <v>109</v>
      </c>
      <c r="B191" s="4" t="s">
        <v>139</v>
      </c>
      <c r="C191" s="7">
        <v>45260</v>
      </c>
      <c r="D191" s="8">
        <v>8410.1200000000008</v>
      </c>
      <c r="E191" s="8"/>
      <c r="F191" s="122" t="s">
        <v>4110</v>
      </c>
      <c r="G191" s="44" t="s">
        <v>194</v>
      </c>
      <c r="H191" t="str">
        <f t="shared" si="10"/>
        <v>GIBAM SHOPS SPA</v>
      </c>
      <c r="I191" s="112">
        <f t="shared" si="11"/>
        <v>45366</v>
      </c>
      <c r="J191" s="128">
        <f t="shared" si="12"/>
        <v>100189.37</v>
      </c>
    </row>
    <row r="192" spans="1:10" x14ac:dyDescent="0.3">
      <c r="A192" t="s">
        <v>109</v>
      </c>
      <c r="B192" s="4" t="s">
        <v>140</v>
      </c>
      <c r="C192" s="7">
        <v>45260</v>
      </c>
      <c r="D192" s="8">
        <v>1152.5</v>
      </c>
      <c r="E192" s="8"/>
      <c r="F192" s="122" t="s">
        <v>4110</v>
      </c>
      <c r="G192" s="44" t="s">
        <v>195</v>
      </c>
      <c r="H192" t="str">
        <f t="shared" si="10"/>
        <v>GIBAM SHOPS SPA</v>
      </c>
      <c r="I192" s="112">
        <f t="shared" si="11"/>
        <v>45372</v>
      </c>
      <c r="J192" s="128">
        <f t="shared" si="12"/>
        <v>212.86</v>
      </c>
    </row>
    <row r="193" spans="1:10" x14ac:dyDescent="0.3">
      <c r="A193" t="s">
        <v>109</v>
      </c>
      <c r="B193" s="4" t="s">
        <v>141</v>
      </c>
      <c r="C193" s="7">
        <v>45260</v>
      </c>
      <c r="D193" s="8">
        <v>2487.1</v>
      </c>
      <c r="E193" s="8"/>
      <c r="F193" s="122" t="s">
        <v>4110</v>
      </c>
      <c r="G193" s="44" t="s">
        <v>196</v>
      </c>
      <c r="H193" t="str">
        <f t="shared" si="10"/>
        <v>GIBAM SHOPS SPA</v>
      </c>
      <c r="I193" s="112">
        <f t="shared" si="11"/>
        <v>45372</v>
      </c>
      <c r="J193" s="128">
        <f t="shared" si="12"/>
        <v>196.17</v>
      </c>
    </row>
    <row r="194" spans="1:10" x14ac:dyDescent="0.3">
      <c r="A194" t="s">
        <v>109</v>
      </c>
      <c r="B194" s="4" t="s">
        <v>142</v>
      </c>
      <c r="C194" s="7">
        <v>45260</v>
      </c>
      <c r="D194" s="8">
        <v>11450.08</v>
      </c>
      <c r="E194" s="8"/>
      <c r="F194" s="122" t="s">
        <v>4110</v>
      </c>
      <c r="G194" s="44" t="s">
        <v>197</v>
      </c>
      <c r="H194" t="str">
        <f t="shared" si="10"/>
        <v>GIBAM SHOPS SPA</v>
      </c>
      <c r="I194" s="112">
        <f t="shared" si="11"/>
        <v>45372</v>
      </c>
      <c r="J194" s="128">
        <f t="shared" si="12"/>
        <v>210.84</v>
      </c>
    </row>
    <row r="195" spans="1:10" x14ac:dyDescent="0.3">
      <c r="A195" t="s">
        <v>109</v>
      </c>
      <c r="B195" s="4" t="s">
        <v>143</v>
      </c>
      <c r="C195" s="7">
        <v>45260</v>
      </c>
      <c r="D195" s="8">
        <v>696.59</v>
      </c>
      <c r="E195" s="8"/>
      <c r="F195" s="122" t="s">
        <v>4110</v>
      </c>
      <c r="G195" s="44" t="s">
        <v>198</v>
      </c>
      <c r="H195" t="str">
        <f t="shared" si="10"/>
        <v>GIBAM SHOPS SPA</v>
      </c>
      <c r="I195" s="112">
        <f t="shared" si="11"/>
        <v>45372</v>
      </c>
      <c r="J195" s="128">
        <f t="shared" si="12"/>
        <v>9027.1200000000008</v>
      </c>
    </row>
    <row r="196" spans="1:10" x14ac:dyDescent="0.3">
      <c r="A196" t="s">
        <v>109</v>
      </c>
      <c r="B196" s="4" t="s">
        <v>144</v>
      </c>
      <c r="C196" s="7">
        <v>45260</v>
      </c>
      <c r="D196" s="8">
        <v>9825.8700000000008</v>
      </c>
      <c r="E196" s="8"/>
      <c r="F196" s="122" t="s">
        <v>4110</v>
      </c>
      <c r="G196" s="44" t="s">
        <v>199</v>
      </c>
      <c r="H196" t="str">
        <f t="shared" si="10"/>
        <v>GIBAM SHOPS SPA</v>
      </c>
      <c r="I196" s="112">
        <f t="shared" si="11"/>
        <v>45372</v>
      </c>
      <c r="J196" s="128">
        <f t="shared" si="12"/>
        <v>220</v>
      </c>
    </row>
    <row r="197" spans="1:10" x14ac:dyDescent="0.3">
      <c r="A197" t="s">
        <v>109</v>
      </c>
      <c r="B197" s="4" t="s">
        <v>145</v>
      </c>
      <c r="C197" s="7">
        <v>45260</v>
      </c>
      <c r="D197" s="8">
        <v>4505.1099999999997</v>
      </c>
      <c r="E197" s="8"/>
      <c r="F197" s="122" t="s">
        <v>4110</v>
      </c>
      <c r="G197" s="44" t="s">
        <v>200</v>
      </c>
      <c r="H197" t="str">
        <f t="shared" si="10"/>
        <v>GIBAM SHOPS SPA</v>
      </c>
      <c r="I197" s="112">
        <f t="shared" si="11"/>
        <v>45372</v>
      </c>
      <c r="J197" s="128">
        <f t="shared" si="12"/>
        <v>244.03</v>
      </c>
    </row>
    <row r="198" spans="1:10" x14ac:dyDescent="0.3">
      <c r="A198" t="s">
        <v>109</v>
      </c>
      <c r="B198" s="4" t="s">
        <v>146</v>
      </c>
      <c r="C198" s="7">
        <v>45260</v>
      </c>
      <c r="D198" s="8">
        <v>2580.3000000000002</v>
      </c>
      <c r="E198" s="8"/>
      <c r="F198" s="122" t="s">
        <v>4110</v>
      </c>
      <c r="G198" s="44" t="s">
        <v>201</v>
      </c>
      <c r="H198" t="str">
        <f t="shared" ref="H198:H261" si="13">_xlfn.XLOOKUP(G198,B:B,A:A,,)</f>
        <v>GIBAM SHOPS SPA</v>
      </c>
      <c r="I198" s="112">
        <f t="shared" ref="I198:I261" si="14">_xlfn.XLOOKUP(G198,B:B,C:C,,)</f>
        <v>45379</v>
      </c>
      <c r="J198" s="128">
        <f t="shared" ref="J198:J261" si="15">SUMIF(B:B,G198,D:D)</f>
        <v>46656.74</v>
      </c>
    </row>
    <row r="199" spans="1:10" x14ac:dyDescent="0.3">
      <c r="A199" t="s">
        <v>109</v>
      </c>
      <c r="B199" s="4" t="s">
        <v>147</v>
      </c>
      <c r="C199" s="7">
        <v>45260</v>
      </c>
      <c r="D199" s="8">
        <v>6708.68</v>
      </c>
      <c r="E199" s="8"/>
      <c r="F199" s="122" t="s">
        <v>4110</v>
      </c>
      <c r="G199" s="44" t="s">
        <v>202</v>
      </c>
      <c r="H199" t="str">
        <f t="shared" si="13"/>
        <v>GIBAM SHOPS SPA</v>
      </c>
      <c r="I199" s="112">
        <f t="shared" si="14"/>
        <v>45412</v>
      </c>
      <c r="J199" s="128">
        <f t="shared" si="15"/>
        <v>0.01</v>
      </c>
    </row>
    <row r="200" spans="1:10" x14ac:dyDescent="0.3">
      <c r="A200" t="s">
        <v>109</v>
      </c>
      <c r="B200" s="4" t="s">
        <v>148</v>
      </c>
      <c r="C200" s="7">
        <v>45265</v>
      </c>
      <c r="D200" s="8">
        <v>2367.23</v>
      </c>
      <c r="E200" s="8"/>
      <c r="F200" s="122" t="s">
        <v>4110</v>
      </c>
      <c r="G200" s="44">
        <v>108109</v>
      </c>
      <c r="H200" t="str">
        <f t="shared" si="13"/>
        <v>GIBAM SHOPS SPA</v>
      </c>
      <c r="I200" s="112">
        <f t="shared" si="14"/>
        <v>45416</v>
      </c>
      <c r="J200" s="128">
        <f t="shared" si="15"/>
        <v>54.26</v>
      </c>
    </row>
    <row r="201" spans="1:10" x14ac:dyDescent="0.3">
      <c r="A201" t="s">
        <v>109</v>
      </c>
      <c r="B201" s="4" t="s">
        <v>149</v>
      </c>
      <c r="C201" s="7">
        <v>45274</v>
      </c>
      <c r="D201" s="8">
        <v>4874.12</v>
      </c>
      <c r="E201" s="8"/>
      <c r="F201" s="122" t="s">
        <v>4110</v>
      </c>
      <c r="G201" s="44" t="s">
        <v>203</v>
      </c>
      <c r="H201" t="str">
        <f t="shared" si="13"/>
        <v>GIBAM SHOPS SPA</v>
      </c>
      <c r="I201" s="112">
        <f t="shared" si="14"/>
        <v>45444</v>
      </c>
      <c r="J201" s="128">
        <f t="shared" si="15"/>
        <v>109.44</v>
      </c>
    </row>
    <row r="202" spans="1:10" x14ac:dyDescent="0.3">
      <c r="A202" t="s">
        <v>109</v>
      </c>
      <c r="B202" s="4" t="s">
        <v>150</v>
      </c>
      <c r="C202" s="7">
        <v>45280</v>
      </c>
      <c r="D202" s="8">
        <v>28794.26</v>
      </c>
      <c r="E202" s="8"/>
      <c r="F202" s="122" t="s">
        <v>4110</v>
      </c>
      <c r="G202" s="44" t="s">
        <v>204</v>
      </c>
      <c r="H202" t="str">
        <f t="shared" si="13"/>
        <v>GIBAM SHOPS SPA</v>
      </c>
      <c r="I202" s="112">
        <f t="shared" si="14"/>
        <v>45444</v>
      </c>
      <c r="J202" s="128">
        <f t="shared" si="15"/>
        <v>9403.44</v>
      </c>
    </row>
    <row r="203" spans="1:10" x14ac:dyDescent="0.3">
      <c r="A203" t="s">
        <v>109</v>
      </c>
      <c r="B203" s="4" t="s">
        <v>151</v>
      </c>
      <c r="C203" s="7">
        <v>45280</v>
      </c>
      <c r="D203" s="8">
        <v>5824.31</v>
      </c>
      <c r="E203" s="8"/>
      <c r="F203" s="122" t="s">
        <v>4110</v>
      </c>
      <c r="G203" s="44" t="s">
        <v>205</v>
      </c>
      <c r="H203" t="str">
        <f t="shared" si="13"/>
        <v>GIBAM SHOPS SPA</v>
      </c>
      <c r="I203" s="112">
        <f t="shared" si="14"/>
        <v>45444</v>
      </c>
      <c r="J203" s="128">
        <f t="shared" si="15"/>
        <v>513.27</v>
      </c>
    </row>
    <row r="204" spans="1:10" x14ac:dyDescent="0.3">
      <c r="A204" t="s">
        <v>109</v>
      </c>
      <c r="B204" s="4" t="s">
        <v>152</v>
      </c>
      <c r="C204" s="7">
        <v>45280</v>
      </c>
      <c r="D204" s="8">
        <v>15220.37</v>
      </c>
      <c r="E204" s="8"/>
      <c r="F204" s="122" t="s">
        <v>4110</v>
      </c>
      <c r="G204" s="44" t="s">
        <v>206</v>
      </c>
      <c r="H204" t="str">
        <f t="shared" si="13"/>
        <v>GIBAM SHOPS SPA</v>
      </c>
      <c r="I204" s="112">
        <f t="shared" si="14"/>
        <v>45464</v>
      </c>
      <c r="J204" s="128">
        <f t="shared" si="15"/>
        <v>0.28000000000000003</v>
      </c>
    </row>
    <row r="205" spans="1:10" x14ac:dyDescent="0.3">
      <c r="A205" t="s">
        <v>109</v>
      </c>
      <c r="B205" s="4" t="s">
        <v>153</v>
      </c>
      <c r="C205" s="7">
        <v>45280</v>
      </c>
      <c r="D205" s="8">
        <v>9673.3700000000008</v>
      </c>
      <c r="E205" s="8"/>
      <c r="F205" s="122" t="s">
        <v>4110</v>
      </c>
      <c r="G205" s="44" t="s">
        <v>207</v>
      </c>
      <c r="H205" t="str">
        <f t="shared" si="13"/>
        <v>GIBAM SHOPS SPA</v>
      </c>
      <c r="I205" s="112">
        <f t="shared" si="14"/>
        <v>45467</v>
      </c>
      <c r="J205" s="128">
        <f t="shared" si="15"/>
        <v>0.91</v>
      </c>
    </row>
    <row r="206" spans="1:10" x14ac:dyDescent="0.3">
      <c r="A206" t="s">
        <v>109</v>
      </c>
      <c r="B206" s="4" t="s">
        <v>154</v>
      </c>
      <c r="C206" s="7">
        <v>45287</v>
      </c>
      <c r="D206" s="8">
        <v>2594.64</v>
      </c>
      <c r="E206" s="8"/>
      <c r="F206" s="122" t="s">
        <v>4110</v>
      </c>
      <c r="G206" s="44" t="s">
        <v>208</v>
      </c>
      <c r="H206" t="str">
        <f t="shared" si="13"/>
        <v>GIBAM SHOPS SPA</v>
      </c>
      <c r="I206" s="112">
        <f t="shared" si="14"/>
        <v>45469</v>
      </c>
      <c r="J206" s="128">
        <f t="shared" si="15"/>
        <v>22.49</v>
      </c>
    </row>
    <row r="207" spans="1:10" x14ac:dyDescent="0.3">
      <c r="A207" t="s">
        <v>109</v>
      </c>
      <c r="B207" s="4" t="s">
        <v>155</v>
      </c>
      <c r="C207" s="7">
        <v>45287</v>
      </c>
      <c r="D207" s="8">
        <v>37869.089999999997</v>
      </c>
      <c r="E207" s="8"/>
      <c r="F207" s="122" t="s">
        <v>4110</v>
      </c>
      <c r="G207" s="44" t="s">
        <v>209</v>
      </c>
      <c r="H207" t="str">
        <f t="shared" si="13"/>
        <v>GIBAM SHOPS SPA</v>
      </c>
      <c r="I207" s="112">
        <f t="shared" si="14"/>
        <v>45471</v>
      </c>
      <c r="J207" s="128">
        <f t="shared" si="15"/>
        <v>0.01</v>
      </c>
    </row>
    <row r="208" spans="1:10" x14ac:dyDescent="0.3">
      <c r="A208" t="s">
        <v>109</v>
      </c>
      <c r="B208" s="4" t="s">
        <v>156</v>
      </c>
      <c r="C208" s="7">
        <v>45288</v>
      </c>
      <c r="D208" s="8">
        <v>1529.86</v>
      </c>
      <c r="E208" s="8"/>
      <c r="F208" s="122" t="s">
        <v>4110</v>
      </c>
      <c r="G208" s="44" t="s">
        <v>210</v>
      </c>
      <c r="H208" t="str">
        <f t="shared" si="13"/>
        <v>GIBAM SHOPS SPA</v>
      </c>
      <c r="I208" s="112">
        <f t="shared" si="14"/>
        <v>45471</v>
      </c>
      <c r="J208" s="128">
        <f t="shared" si="15"/>
        <v>6802.52</v>
      </c>
    </row>
    <row r="209" spans="1:10" x14ac:dyDescent="0.3">
      <c r="A209" t="s">
        <v>109</v>
      </c>
      <c r="B209" s="4" t="s">
        <v>157</v>
      </c>
      <c r="C209" s="7">
        <v>45288</v>
      </c>
      <c r="D209" s="8">
        <v>9659.23</v>
      </c>
      <c r="E209" s="8"/>
      <c r="F209" s="122" t="s">
        <v>4110</v>
      </c>
      <c r="G209" s="44" t="s">
        <v>211</v>
      </c>
      <c r="H209" t="str">
        <f t="shared" si="13"/>
        <v>GIBAM SHOPS SPA</v>
      </c>
      <c r="I209" s="112">
        <f t="shared" si="14"/>
        <v>45471</v>
      </c>
      <c r="J209" s="128">
        <f t="shared" si="15"/>
        <v>360.01</v>
      </c>
    </row>
    <row r="210" spans="1:10" x14ac:dyDescent="0.3">
      <c r="A210" t="s">
        <v>109</v>
      </c>
      <c r="B210" s="4" t="s">
        <v>158</v>
      </c>
      <c r="C210" s="7">
        <v>45288</v>
      </c>
      <c r="D210" s="8">
        <v>1422.94</v>
      </c>
      <c r="E210" s="8"/>
      <c r="F210" s="122" t="s">
        <v>4110</v>
      </c>
      <c r="G210" s="44" t="s">
        <v>212</v>
      </c>
      <c r="H210" t="str">
        <f t="shared" si="13"/>
        <v>GIBAM SHOPS SPA</v>
      </c>
      <c r="I210" s="112">
        <f t="shared" si="14"/>
        <v>45485</v>
      </c>
      <c r="J210" s="128">
        <f t="shared" si="15"/>
        <v>2577.9699999999998</v>
      </c>
    </row>
    <row r="211" spans="1:10" x14ac:dyDescent="0.3">
      <c r="A211" t="s">
        <v>109</v>
      </c>
      <c r="B211" s="4" t="s">
        <v>159</v>
      </c>
      <c r="C211" s="7">
        <v>45288</v>
      </c>
      <c r="D211" s="8">
        <v>6957.88</v>
      </c>
      <c r="E211" s="8"/>
      <c r="F211" s="122" t="s">
        <v>4110</v>
      </c>
      <c r="G211" s="44" t="s">
        <v>213</v>
      </c>
      <c r="H211" t="str">
        <f t="shared" si="13"/>
        <v>GIBAM SHOPS SPA</v>
      </c>
      <c r="I211" s="112">
        <f t="shared" si="14"/>
        <v>45495</v>
      </c>
      <c r="J211" s="128">
        <f t="shared" si="15"/>
        <v>1694.15</v>
      </c>
    </row>
    <row r="212" spans="1:10" x14ac:dyDescent="0.3">
      <c r="A212" t="s">
        <v>109</v>
      </c>
      <c r="B212" s="4" t="s">
        <v>160</v>
      </c>
      <c r="C212" s="7">
        <v>45288</v>
      </c>
      <c r="D212" s="8">
        <v>5599.05</v>
      </c>
      <c r="E212" s="8"/>
      <c r="F212" s="122" t="s">
        <v>4110</v>
      </c>
      <c r="G212" s="44" t="s">
        <v>214</v>
      </c>
      <c r="H212" t="str">
        <f t="shared" si="13"/>
        <v>GIBAM SHOPS SPA</v>
      </c>
      <c r="I212" s="112">
        <f t="shared" si="14"/>
        <v>45496</v>
      </c>
      <c r="J212" s="128">
        <f t="shared" si="15"/>
        <v>178.9</v>
      </c>
    </row>
    <row r="213" spans="1:10" x14ac:dyDescent="0.3">
      <c r="A213" t="s">
        <v>109</v>
      </c>
      <c r="B213" s="4" t="s">
        <v>161</v>
      </c>
      <c r="C213" s="7">
        <v>45291</v>
      </c>
      <c r="D213" s="8">
        <v>4225.59</v>
      </c>
      <c r="E213" s="8"/>
      <c r="F213" s="122" t="s">
        <v>4110</v>
      </c>
      <c r="G213" s="44" t="s">
        <v>215</v>
      </c>
      <c r="H213" t="str">
        <f t="shared" si="13"/>
        <v>GIBAM SHOPS SPA</v>
      </c>
      <c r="I213" s="112">
        <f t="shared" si="14"/>
        <v>45496</v>
      </c>
      <c r="J213" s="128">
        <f t="shared" si="15"/>
        <v>544.11</v>
      </c>
    </row>
    <row r="214" spans="1:10" x14ac:dyDescent="0.3">
      <c r="A214" t="s">
        <v>109</v>
      </c>
      <c r="B214" s="4" t="s">
        <v>162</v>
      </c>
      <c r="C214" s="7">
        <v>45291</v>
      </c>
      <c r="D214" s="8">
        <v>1573.68</v>
      </c>
      <c r="E214" s="8"/>
      <c r="F214" s="122" t="s">
        <v>4110</v>
      </c>
      <c r="G214" s="44" t="s">
        <v>216</v>
      </c>
      <c r="H214" t="str">
        <f t="shared" si="13"/>
        <v>GIBAM SHOPS SPA</v>
      </c>
      <c r="I214" s="112">
        <f t="shared" si="14"/>
        <v>45504</v>
      </c>
      <c r="J214" s="128">
        <f t="shared" si="15"/>
        <v>14790.76</v>
      </c>
    </row>
    <row r="215" spans="1:10" x14ac:dyDescent="0.3">
      <c r="A215" t="s">
        <v>109</v>
      </c>
      <c r="B215" s="4" t="s">
        <v>163</v>
      </c>
      <c r="C215" s="7">
        <v>45291</v>
      </c>
      <c r="D215" s="8">
        <v>3966.62</v>
      </c>
      <c r="E215" s="8"/>
      <c r="F215" s="122" t="s">
        <v>4110</v>
      </c>
      <c r="G215" s="44" t="s">
        <v>217</v>
      </c>
      <c r="H215" t="str">
        <f t="shared" si="13"/>
        <v>GIBAM SHOPS SPA</v>
      </c>
      <c r="I215" s="112">
        <f t="shared" si="14"/>
        <v>45504</v>
      </c>
      <c r="J215" s="128">
        <f t="shared" si="15"/>
        <v>1735.67</v>
      </c>
    </row>
    <row r="216" spans="1:10" x14ac:dyDescent="0.3">
      <c r="A216" t="s">
        <v>109</v>
      </c>
      <c r="B216" s="4" t="s">
        <v>164</v>
      </c>
      <c r="C216" s="7">
        <v>45291</v>
      </c>
      <c r="D216" s="8">
        <v>14318.36</v>
      </c>
      <c r="E216" s="8"/>
      <c r="F216" s="122" t="s">
        <v>4110</v>
      </c>
      <c r="G216" s="44" t="s">
        <v>218</v>
      </c>
      <c r="H216" t="str">
        <f t="shared" si="13"/>
        <v>GIBAM SHOPS SPA</v>
      </c>
      <c r="I216" s="112">
        <f t="shared" si="14"/>
        <v>45505</v>
      </c>
      <c r="J216" s="128">
        <f t="shared" si="15"/>
        <v>19051.060000000001</v>
      </c>
    </row>
    <row r="217" spans="1:10" x14ac:dyDescent="0.3">
      <c r="A217" t="s">
        <v>109</v>
      </c>
      <c r="B217" s="4" t="s">
        <v>165</v>
      </c>
      <c r="C217" s="7">
        <v>45291</v>
      </c>
      <c r="D217" s="8">
        <v>21576.5</v>
      </c>
      <c r="E217" s="8"/>
      <c r="F217" s="122" t="s">
        <v>4110</v>
      </c>
      <c r="G217" s="44" t="s">
        <v>219</v>
      </c>
      <c r="H217" t="str">
        <f t="shared" si="13"/>
        <v>GIBAM SHOPS SPA</v>
      </c>
      <c r="I217" s="112">
        <f t="shared" si="14"/>
        <v>45505</v>
      </c>
      <c r="J217" s="128">
        <f t="shared" si="15"/>
        <v>6194.25</v>
      </c>
    </row>
    <row r="218" spans="1:10" x14ac:dyDescent="0.3">
      <c r="A218" t="s">
        <v>109</v>
      </c>
      <c r="B218" s="4" t="s">
        <v>166</v>
      </c>
      <c r="C218" s="7">
        <v>45291</v>
      </c>
      <c r="D218" s="8">
        <v>296.83999999999997</v>
      </c>
      <c r="E218" s="8"/>
      <c r="F218" s="122" t="s">
        <v>4110</v>
      </c>
      <c r="G218" s="44" t="s">
        <v>220</v>
      </c>
      <c r="H218" t="str">
        <f t="shared" si="13"/>
        <v>GIBAM SHOPS SPA</v>
      </c>
      <c r="I218" s="112">
        <f t="shared" si="14"/>
        <v>45506</v>
      </c>
      <c r="J218" s="128">
        <f t="shared" si="15"/>
        <v>36810.019999999997</v>
      </c>
    </row>
    <row r="219" spans="1:10" x14ac:dyDescent="0.3">
      <c r="A219" t="s">
        <v>109</v>
      </c>
      <c r="B219" s="4" t="s">
        <v>167</v>
      </c>
      <c r="C219" s="7">
        <v>45291</v>
      </c>
      <c r="D219" s="8">
        <v>7368.88</v>
      </c>
      <c r="E219" s="8"/>
      <c r="F219" s="122" t="s">
        <v>4110</v>
      </c>
      <c r="G219" s="44" t="s">
        <v>221</v>
      </c>
      <c r="H219" t="str">
        <f t="shared" si="13"/>
        <v>GIBAM SHOPS SPA</v>
      </c>
      <c r="I219" s="112">
        <f t="shared" si="14"/>
        <v>45506</v>
      </c>
      <c r="J219" s="128">
        <f t="shared" si="15"/>
        <v>50469.919999999998</v>
      </c>
    </row>
    <row r="220" spans="1:10" x14ac:dyDescent="0.3">
      <c r="A220" t="s">
        <v>109</v>
      </c>
      <c r="B220" s="4" t="s">
        <v>168</v>
      </c>
      <c r="C220" s="7">
        <v>45291</v>
      </c>
      <c r="D220" s="8">
        <v>25813.82</v>
      </c>
      <c r="E220" s="8"/>
      <c r="F220" s="122" t="s">
        <v>4110</v>
      </c>
      <c r="G220" s="44" t="s">
        <v>222</v>
      </c>
      <c r="H220" t="str">
        <f t="shared" si="13"/>
        <v>GIBAM SHOPS SPA</v>
      </c>
      <c r="I220" s="112">
        <f t="shared" si="14"/>
        <v>45511</v>
      </c>
      <c r="J220" s="128">
        <f t="shared" si="15"/>
        <v>17241.560000000001</v>
      </c>
    </row>
    <row r="221" spans="1:10" x14ac:dyDescent="0.3">
      <c r="A221" t="s">
        <v>109</v>
      </c>
      <c r="B221" s="4" t="s">
        <v>169</v>
      </c>
      <c r="C221" s="7">
        <v>45291</v>
      </c>
      <c r="D221" s="8">
        <v>568.76</v>
      </c>
      <c r="E221" s="8"/>
      <c r="F221" s="122" t="s">
        <v>4110</v>
      </c>
      <c r="G221" s="44" t="s">
        <v>223</v>
      </c>
      <c r="H221" t="str">
        <f t="shared" si="13"/>
        <v>GIBAM SHOPS SPA</v>
      </c>
      <c r="I221" s="112">
        <f t="shared" si="14"/>
        <v>45511</v>
      </c>
      <c r="J221" s="128">
        <f t="shared" si="15"/>
        <v>48732.84</v>
      </c>
    </row>
    <row r="222" spans="1:10" x14ac:dyDescent="0.3">
      <c r="A222" t="s">
        <v>109</v>
      </c>
      <c r="B222" s="4" t="s">
        <v>170</v>
      </c>
      <c r="C222" s="7">
        <v>45291</v>
      </c>
      <c r="D222" s="8">
        <v>48064.52</v>
      </c>
      <c r="E222" s="8"/>
      <c r="F222" s="122" t="s">
        <v>4110</v>
      </c>
      <c r="G222" s="44" t="s">
        <v>224</v>
      </c>
      <c r="H222" t="str">
        <f t="shared" si="13"/>
        <v>GIBAM SHOPS SPA</v>
      </c>
      <c r="I222" s="112">
        <f t="shared" si="14"/>
        <v>45532</v>
      </c>
      <c r="J222" s="128">
        <f t="shared" si="15"/>
        <v>41698.42</v>
      </c>
    </row>
    <row r="223" spans="1:10" x14ac:dyDescent="0.3">
      <c r="A223" t="s">
        <v>109</v>
      </c>
      <c r="B223" s="4" t="s">
        <v>171</v>
      </c>
      <c r="C223" s="7">
        <v>45292</v>
      </c>
      <c r="D223" s="8">
        <v>30910.47</v>
      </c>
      <c r="E223" s="8"/>
      <c r="F223" s="122" t="s">
        <v>4110</v>
      </c>
      <c r="G223" s="44" t="s">
        <v>225</v>
      </c>
      <c r="H223" t="str">
        <f t="shared" si="13"/>
        <v>GIBAM SHOPS SPA</v>
      </c>
      <c r="I223" s="112">
        <f t="shared" si="14"/>
        <v>45532</v>
      </c>
      <c r="J223" s="128">
        <f t="shared" si="15"/>
        <v>3622.29</v>
      </c>
    </row>
    <row r="224" spans="1:10" x14ac:dyDescent="0.3">
      <c r="A224" t="s">
        <v>109</v>
      </c>
      <c r="B224" s="4" t="s">
        <v>172</v>
      </c>
      <c r="C224" s="7">
        <v>45292</v>
      </c>
      <c r="D224" s="8">
        <v>1425.18</v>
      </c>
      <c r="E224" s="8"/>
      <c r="F224" s="122" t="s">
        <v>4110</v>
      </c>
      <c r="G224" s="44" t="s">
        <v>226</v>
      </c>
      <c r="H224" t="str">
        <f t="shared" si="13"/>
        <v>GIBAM SHOPS SPA</v>
      </c>
      <c r="I224" s="112">
        <f t="shared" si="14"/>
        <v>45544</v>
      </c>
      <c r="J224" s="128">
        <f t="shared" si="15"/>
        <v>1886.6</v>
      </c>
    </row>
    <row r="225" spans="1:10" x14ac:dyDescent="0.3">
      <c r="A225" t="s">
        <v>109</v>
      </c>
      <c r="B225" s="4" t="s">
        <v>173</v>
      </c>
      <c r="C225" s="7">
        <v>45302</v>
      </c>
      <c r="D225" s="8">
        <v>997.21</v>
      </c>
      <c r="E225" s="8"/>
      <c r="F225" s="122" t="s">
        <v>4110</v>
      </c>
      <c r="G225" s="44" t="s">
        <v>227</v>
      </c>
      <c r="H225" t="str">
        <f t="shared" si="13"/>
        <v>GIBAM SHOPS SPA</v>
      </c>
      <c r="I225" s="112">
        <f t="shared" si="14"/>
        <v>45547</v>
      </c>
      <c r="J225" s="128">
        <f t="shared" si="15"/>
        <v>33.130000000000003</v>
      </c>
    </row>
    <row r="226" spans="1:10" x14ac:dyDescent="0.3">
      <c r="A226" t="s">
        <v>109</v>
      </c>
      <c r="B226" s="4" t="s">
        <v>174</v>
      </c>
      <c r="C226" s="7">
        <v>45322</v>
      </c>
      <c r="D226" s="8">
        <v>778.75</v>
      </c>
      <c r="E226" s="8"/>
      <c r="F226" s="122" t="s">
        <v>4110</v>
      </c>
      <c r="G226" s="44" t="s">
        <v>228</v>
      </c>
      <c r="H226" t="str">
        <f t="shared" si="13"/>
        <v>GIBAM SHOPS SPA</v>
      </c>
      <c r="I226" s="112">
        <f t="shared" si="14"/>
        <v>45558</v>
      </c>
      <c r="J226" s="128">
        <f t="shared" si="15"/>
        <v>33433.33</v>
      </c>
    </row>
    <row r="227" spans="1:10" x14ac:dyDescent="0.3">
      <c r="A227" t="s">
        <v>109</v>
      </c>
      <c r="B227" s="4" t="s">
        <v>175</v>
      </c>
      <c r="C227" s="7">
        <v>45337</v>
      </c>
      <c r="D227" s="8">
        <v>65859.13</v>
      </c>
      <c r="E227" s="8"/>
      <c r="F227" s="122" t="s">
        <v>4110</v>
      </c>
      <c r="G227" s="44" t="s">
        <v>229</v>
      </c>
      <c r="H227" t="str">
        <f t="shared" si="13"/>
        <v>GIBAM SHOPS SPA</v>
      </c>
      <c r="I227" s="112">
        <f t="shared" si="14"/>
        <v>45558</v>
      </c>
      <c r="J227" s="128">
        <f t="shared" si="15"/>
        <v>3415.51</v>
      </c>
    </row>
    <row r="228" spans="1:10" x14ac:dyDescent="0.3">
      <c r="A228" t="s">
        <v>109</v>
      </c>
      <c r="B228" s="4" t="s">
        <v>176</v>
      </c>
      <c r="C228" s="7">
        <v>45344</v>
      </c>
      <c r="D228" s="8">
        <v>12002.19</v>
      </c>
      <c r="E228" s="8"/>
      <c r="F228" s="122" t="s">
        <v>4110</v>
      </c>
      <c r="G228" s="44" t="s">
        <v>230</v>
      </c>
      <c r="H228" t="str">
        <f t="shared" si="13"/>
        <v>GIBAM SHOPS SPA</v>
      </c>
      <c r="I228" s="112">
        <f t="shared" si="14"/>
        <v>45558</v>
      </c>
      <c r="J228" s="128">
        <f t="shared" si="15"/>
        <v>17556.599999999999</v>
      </c>
    </row>
    <row r="229" spans="1:10" x14ac:dyDescent="0.3">
      <c r="A229" t="s">
        <v>109</v>
      </c>
      <c r="B229" s="4" t="s">
        <v>177</v>
      </c>
      <c r="C229" s="7">
        <v>45344</v>
      </c>
      <c r="D229" s="8">
        <v>72378.73</v>
      </c>
      <c r="E229" s="8"/>
      <c r="F229" s="122" t="s">
        <v>4110</v>
      </c>
      <c r="G229" s="44" t="s">
        <v>231</v>
      </c>
      <c r="H229" t="str">
        <f t="shared" si="13"/>
        <v>GIBAM SHOPS SPA</v>
      </c>
      <c r="I229" s="112">
        <f t="shared" si="14"/>
        <v>45558</v>
      </c>
      <c r="J229" s="128">
        <f t="shared" si="15"/>
        <v>9093.9500000000007</v>
      </c>
    </row>
    <row r="230" spans="1:10" x14ac:dyDescent="0.3">
      <c r="A230" t="s">
        <v>109</v>
      </c>
      <c r="B230" s="4" t="s">
        <v>178</v>
      </c>
      <c r="C230" s="7">
        <v>45350</v>
      </c>
      <c r="D230" s="8">
        <v>17327.87</v>
      </c>
      <c r="E230" s="8"/>
      <c r="F230" s="122" t="s">
        <v>4110</v>
      </c>
      <c r="G230" s="44" t="s">
        <v>232</v>
      </c>
      <c r="H230" t="str">
        <f t="shared" si="13"/>
        <v>GIBAM SHOPS SPA</v>
      </c>
      <c r="I230" s="112">
        <f t="shared" si="14"/>
        <v>45558</v>
      </c>
      <c r="J230" s="128">
        <f t="shared" si="15"/>
        <v>8798.44</v>
      </c>
    </row>
    <row r="231" spans="1:10" x14ac:dyDescent="0.3">
      <c r="A231" t="s">
        <v>109</v>
      </c>
      <c r="B231" s="4" t="s">
        <v>179</v>
      </c>
      <c r="C231" s="7">
        <v>45350</v>
      </c>
      <c r="D231" s="8">
        <v>854.09</v>
      </c>
      <c r="E231" s="8"/>
      <c r="F231" s="122" t="s">
        <v>4110</v>
      </c>
      <c r="G231" s="44" t="s">
        <v>233</v>
      </c>
      <c r="H231" t="str">
        <f t="shared" si="13"/>
        <v>GIBAM SHOPS SPA</v>
      </c>
      <c r="I231" s="112">
        <f t="shared" si="14"/>
        <v>45565</v>
      </c>
      <c r="J231" s="128">
        <f t="shared" si="15"/>
        <v>1290</v>
      </c>
    </row>
    <row r="232" spans="1:10" x14ac:dyDescent="0.3">
      <c r="A232" t="s">
        <v>109</v>
      </c>
      <c r="B232" s="4" t="s">
        <v>180</v>
      </c>
      <c r="C232" s="7">
        <v>45350</v>
      </c>
      <c r="D232" s="8">
        <v>1265.5999999999999</v>
      </c>
      <c r="E232" s="8"/>
      <c r="F232" s="122" t="s">
        <v>4110</v>
      </c>
      <c r="G232" s="44" t="s">
        <v>234</v>
      </c>
      <c r="H232" t="str">
        <f t="shared" si="13"/>
        <v>GIBAM SHOPS SPA</v>
      </c>
      <c r="I232" s="112">
        <f t="shared" si="14"/>
        <v>45565</v>
      </c>
      <c r="J232" s="128">
        <f t="shared" si="15"/>
        <v>8931.69</v>
      </c>
    </row>
    <row r="233" spans="1:10" x14ac:dyDescent="0.3">
      <c r="A233" t="s">
        <v>109</v>
      </c>
      <c r="B233" s="4" t="s">
        <v>181</v>
      </c>
      <c r="C233" s="7">
        <v>45350</v>
      </c>
      <c r="D233" s="8">
        <v>3526.96</v>
      </c>
      <c r="E233" s="8"/>
      <c r="F233" s="122" t="s">
        <v>4110</v>
      </c>
      <c r="G233" s="44" t="s">
        <v>235</v>
      </c>
      <c r="H233" t="str">
        <f t="shared" si="13"/>
        <v>GIBAM SHOPS SPA</v>
      </c>
      <c r="I233" s="112">
        <f t="shared" si="14"/>
        <v>45565</v>
      </c>
      <c r="J233" s="128">
        <f t="shared" si="15"/>
        <v>2736.38</v>
      </c>
    </row>
    <row r="234" spans="1:10" x14ac:dyDescent="0.3">
      <c r="A234" t="s">
        <v>109</v>
      </c>
      <c r="B234" s="4" t="s">
        <v>182</v>
      </c>
      <c r="C234" s="7">
        <v>45350</v>
      </c>
      <c r="D234" s="8">
        <v>61328.73</v>
      </c>
      <c r="E234" s="8"/>
      <c r="F234" s="122" t="s">
        <v>4110</v>
      </c>
      <c r="G234" s="44" t="s">
        <v>236</v>
      </c>
      <c r="H234" t="str">
        <f t="shared" si="13"/>
        <v>GIBAM SHOPS SPA</v>
      </c>
      <c r="I234" s="112">
        <f t="shared" si="14"/>
        <v>45565</v>
      </c>
      <c r="J234" s="128">
        <f t="shared" si="15"/>
        <v>455.49</v>
      </c>
    </row>
    <row r="235" spans="1:10" x14ac:dyDescent="0.3">
      <c r="A235" t="s">
        <v>109</v>
      </c>
      <c r="B235" s="4" t="s">
        <v>183</v>
      </c>
      <c r="C235" s="7">
        <v>45351</v>
      </c>
      <c r="D235" s="8">
        <v>9330.6299999999992</v>
      </c>
      <c r="E235" s="8"/>
      <c r="F235" s="122" t="s">
        <v>4110</v>
      </c>
      <c r="G235" s="44" t="s">
        <v>237</v>
      </c>
      <c r="H235" t="str">
        <f t="shared" si="13"/>
        <v>GIBAM SHOPS SPA</v>
      </c>
      <c r="I235" s="112">
        <f t="shared" si="14"/>
        <v>45565</v>
      </c>
      <c r="J235" s="128">
        <f t="shared" si="15"/>
        <v>6183.03</v>
      </c>
    </row>
    <row r="236" spans="1:10" x14ac:dyDescent="0.3">
      <c r="A236" t="s">
        <v>109</v>
      </c>
      <c r="B236" s="4" t="s">
        <v>184</v>
      </c>
      <c r="C236" s="7">
        <v>45351</v>
      </c>
      <c r="D236" s="8">
        <v>1166.8900000000001</v>
      </c>
      <c r="E236" s="8"/>
      <c r="F236" s="122" t="s">
        <v>4110</v>
      </c>
      <c r="G236" s="44" t="s">
        <v>238</v>
      </c>
      <c r="H236" t="str">
        <f t="shared" si="13"/>
        <v>GIBAM SHOPS SPA</v>
      </c>
      <c r="I236" s="112">
        <f t="shared" si="14"/>
        <v>45565</v>
      </c>
      <c r="J236" s="128">
        <f t="shared" si="15"/>
        <v>585.79</v>
      </c>
    </row>
    <row r="237" spans="1:10" x14ac:dyDescent="0.3">
      <c r="A237" t="s">
        <v>109</v>
      </c>
      <c r="B237" s="4" t="s">
        <v>185</v>
      </c>
      <c r="C237" s="7">
        <v>45351</v>
      </c>
      <c r="D237" s="8">
        <v>581.54</v>
      </c>
      <c r="E237" s="8"/>
      <c r="F237" s="122" t="s">
        <v>4110</v>
      </c>
      <c r="G237" s="44" t="s">
        <v>239</v>
      </c>
      <c r="H237" t="str">
        <f t="shared" si="13"/>
        <v>GIBAM SHOPS SPA</v>
      </c>
      <c r="I237" s="112">
        <f t="shared" si="14"/>
        <v>45568</v>
      </c>
      <c r="J237" s="128">
        <f t="shared" si="15"/>
        <v>973.31</v>
      </c>
    </row>
    <row r="238" spans="1:10" x14ac:dyDescent="0.3">
      <c r="A238" t="s">
        <v>109</v>
      </c>
      <c r="B238" s="4" t="s">
        <v>186</v>
      </c>
      <c r="C238" s="7">
        <v>45352</v>
      </c>
      <c r="D238" s="8">
        <v>14947.4</v>
      </c>
      <c r="E238" s="8"/>
      <c r="F238" s="122" t="s">
        <v>4110</v>
      </c>
      <c r="G238" s="44" t="s">
        <v>240</v>
      </c>
      <c r="H238" t="str">
        <f t="shared" si="13"/>
        <v>GIBAM SHOPS SPA</v>
      </c>
      <c r="I238" s="112">
        <f t="shared" si="14"/>
        <v>45568</v>
      </c>
      <c r="J238" s="128">
        <f t="shared" si="15"/>
        <v>19186.27</v>
      </c>
    </row>
    <row r="239" spans="1:10" x14ac:dyDescent="0.3">
      <c r="A239" t="s">
        <v>109</v>
      </c>
      <c r="B239" s="4" t="s">
        <v>187</v>
      </c>
      <c r="C239" s="7">
        <v>45352</v>
      </c>
      <c r="D239" s="8">
        <v>44105.01</v>
      </c>
      <c r="E239" s="8"/>
      <c r="F239" s="122" t="s">
        <v>4110</v>
      </c>
      <c r="G239" s="44" t="s">
        <v>241</v>
      </c>
      <c r="H239" t="str">
        <f t="shared" si="13"/>
        <v>GIBAM SHOPS SPA</v>
      </c>
      <c r="I239" s="112">
        <f t="shared" si="14"/>
        <v>45568</v>
      </c>
      <c r="J239" s="128">
        <f t="shared" si="15"/>
        <v>154.72999999999999</v>
      </c>
    </row>
    <row r="240" spans="1:10" x14ac:dyDescent="0.3">
      <c r="A240" t="s">
        <v>109</v>
      </c>
      <c r="B240" s="4" t="s">
        <v>188</v>
      </c>
      <c r="C240" s="7">
        <v>45355</v>
      </c>
      <c r="D240" s="8">
        <v>119.1</v>
      </c>
      <c r="E240" s="8"/>
      <c r="F240" s="122" t="s">
        <v>4110</v>
      </c>
      <c r="G240" s="44" t="s">
        <v>242</v>
      </c>
      <c r="H240" t="str">
        <f t="shared" si="13"/>
        <v>GIBAM SHOPS SPA</v>
      </c>
      <c r="I240" s="112">
        <f t="shared" si="14"/>
        <v>45568</v>
      </c>
      <c r="J240" s="128">
        <f t="shared" si="15"/>
        <v>292.64999999999998</v>
      </c>
    </row>
    <row r="241" spans="1:10" x14ac:dyDescent="0.3">
      <c r="A241" t="s">
        <v>109</v>
      </c>
      <c r="B241" s="4" t="s">
        <v>189</v>
      </c>
      <c r="C241" s="7">
        <v>45355</v>
      </c>
      <c r="D241" s="8">
        <v>109.35</v>
      </c>
      <c r="E241" s="8"/>
      <c r="F241" s="122" t="s">
        <v>4110</v>
      </c>
      <c r="G241" s="44" t="s">
        <v>243</v>
      </c>
      <c r="H241" t="str">
        <f t="shared" si="13"/>
        <v>GIBAM SHOPS SPA</v>
      </c>
      <c r="I241" s="112">
        <f t="shared" si="14"/>
        <v>45568</v>
      </c>
      <c r="J241" s="128">
        <f t="shared" si="15"/>
        <v>10517.66</v>
      </c>
    </row>
    <row r="242" spans="1:10" x14ac:dyDescent="0.3">
      <c r="A242" t="s">
        <v>109</v>
      </c>
      <c r="B242" s="4" t="s">
        <v>190</v>
      </c>
      <c r="C242" s="7">
        <v>45359</v>
      </c>
      <c r="D242" s="8">
        <v>8243.17</v>
      </c>
      <c r="E242" s="8"/>
      <c r="F242" s="122" t="s">
        <v>4110</v>
      </c>
      <c r="G242" s="44" t="s">
        <v>244</v>
      </c>
      <c r="H242" t="str">
        <f t="shared" si="13"/>
        <v>GIBAM SHOPS SPA</v>
      </c>
      <c r="I242" s="112">
        <f t="shared" si="14"/>
        <v>45568</v>
      </c>
      <c r="J242" s="128">
        <f t="shared" si="15"/>
        <v>91946.63</v>
      </c>
    </row>
    <row r="243" spans="1:10" x14ac:dyDescent="0.3">
      <c r="A243" t="s">
        <v>109</v>
      </c>
      <c r="B243" s="4" t="s">
        <v>191</v>
      </c>
      <c r="C243" s="7">
        <v>45366</v>
      </c>
      <c r="D243" s="8">
        <v>52.59</v>
      </c>
      <c r="E243" s="8"/>
      <c r="F243" s="122" t="s">
        <v>4110</v>
      </c>
      <c r="G243" s="44" t="s">
        <v>245</v>
      </c>
      <c r="H243" t="str">
        <f t="shared" si="13"/>
        <v>GIBAM SHOPS SPA</v>
      </c>
      <c r="I243" s="112">
        <f t="shared" si="14"/>
        <v>45572</v>
      </c>
      <c r="J243" s="128">
        <f t="shared" si="15"/>
        <v>65465.84</v>
      </c>
    </row>
    <row r="244" spans="1:10" x14ac:dyDescent="0.3">
      <c r="A244" t="s">
        <v>109</v>
      </c>
      <c r="B244" s="4" t="s">
        <v>192</v>
      </c>
      <c r="C244" s="7">
        <v>45366</v>
      </c>
      <c r="D244" s="8">
        <v>20216.38</v>
      </c>
      <c r="E244" s="8"/>
      <c r="F244" s="122" t="s">
        <v>4110</v>
      </c>
      <c r="G244" s="44" t="s">
        <v>246</v>
      </c>
      <c r="H244" t="str">
        <f t="shared" si="13"/>
        <v>GIBAM SHOPS SPA</v>
      </c>
      <c r="I244" s="112">
        <f t="shared" si="14"/>
        <v>45586</v>
      </c>
      <c r="J244" s="128">
        <f t="shared" si="15"/>
        <v>3775.85</v>
      </c>
    </row>
    <row r="245" spans="1:10" x14ac:dyDescent="0.3">
      <c r="A245" t="s">
        <v>109</v>
      </c>
      <c r="B245" s="4" t="s">
        <v>193</v>
      </c>
      <c r="C245" s="7">
        <v>45366</v>
      </c>
      <c r="D245" s="8">
        <v>2765.95</v>
      </c>
      <c r="E245" s="8"/>
      <c r="F245" s="122" t="s">
        <v>4110</v>
      </c>
      <c r="G245" s="44" t="s">
        <v>247</v>
      </c>
      <c r="H245" t="str">
        <f t="shared" si="13"/>
        <v>GIBAM SHOPS SPA</v>
      </c>
      <c r="I245" s="112">
        <f t="shared" si="14"/>
        <v>45593</v>
      </c>
      <c r="J245" s="128">
        <f t="shared" si="15"/>
        <v>1633.5</v>
      </c>
    </row>
    <row r="246" spans="1:10" x14ac:dyDescent="0.3">
      <c r="A246" t="s">
        <v>109</v>
      </c>
      <c r="B246" s="4" t="s">
        <v>194</v>
      </c>
      <c r="C246" s="7">
        <v>45366</v>
      </c>
      <c r="D246" s="8">
        <v>100189.37</v>
      </c>
      <c r="E246" s="8"/>
      <c r="F246" s="122" t="s">
        <v>4110</v>
      </c>
      <c r="G246" s="44" t="s">
        <v>248</v>
      </c>
      <c r="H246" t="str">
        <f t="shared" si="13"/>
        <v>GIBAM SHOPS SPA</v>
      </c>
      <c r="I246" s="112">
        <f t="shared" si="14"/>
        <v>45593</v>
      </c>
      <c r="J246" s="128">
        <f t="shared" si="15"/>
        <v>443.8</v>
      </c>
    </row>
    <row r="247" spans="1:10" x14ac:dyDescent="0.3">
      <c r="A247" t="s">
        <v>109</v>
      </c>
      <c r="B247" s="4" t="s">
        <v>195</v>
      </c>
      <c r="C247" s="7">
        <v>45372</v>
      </c>
      <c r="D247" s="8">
        <v>212.86</v>
      </c>
      <c r="E247" s="8"/>
      <c r="F247" s="122" t="s">
        <v>4110</v>
      </c>
      <c r="G247" s="44" t="s">
        <v>249</v>
      </c>
      <c r="H247" t="str">
        <f t="shared" si="13"/>
        <v>GIBAM SHOPS SPA</v>
      </c>
      <c r="I247" s="112">
        <f t="shared" si="14"/>
        <v>45593</v>
      </c>
      <c r="J247" s="128">
        <f t="shared" si="15"/>
        <v>580.42999999999995</v>
      </c>
    </row>
    <row r="248" spans="1:10" x14ac:dyDescent="0.3">
      <c r="A248" t="s">
        <v>109</v>
      </c>
      <c r="B248" s="4" t="s">
        <v>196</v>
      </c>
      <c r="C248" s="7">
        <v>45372</v>
      </c>
      <c r="D248" s="8">
        <v>196.17</v>
      </c>
      <c r="E248" s="8"/>
      <c r="F248" s="122" t="s">
        <v>4110</v>
      </c>
      <c r="G248" s="44" t="s">
        <v>250</v>
      </c>
      <c r="H248" t="str">
        <f t="shared" si="13"/>
        <v>GIBAM SHOPS SPA</v>
      </c>
      <c r="I248" s="112">
        <f t="shared" si="14"/>
        <v>45593</v>
      </c>
      <c r="J248" s="128">
        <f t="shared" si="15"/>
        <v>3363.1800000000003</v>
      </c>
    </row>
    <row r="249" spans="1:10" x14ac:dyDescent="0.3">
      <c r="A249" t="s">
        <v>109</v>
      </c>
      <c r="B249" s="4" t="s">
        <v>197</v>
      </c>
      <c r="C249" s="7">
        <v>45372</v>
      </c>
      <c r="D249" s="8">
        <v>210.84</v>
      </c>
      <c r="E249" s="8"/>
      <c r="F249" s="122" t="s">
        <v>4110</v>
      </c>
      <c r="G249" s="44" t="s">
        <v>251</v>
      </c>
      <c r="H249" t="str">
        <f t="shared" si="13"/>
        <v>GIBAM SHOPS SPA</v>
      </c>
      <c r="I249" s="112">
        <f t="shared" si="14"/>
        <v>45593</v>
      </c>
      <c r="J249" s="128">
        <f t="shared" si="15"/>
        <v>4486.5200000000004</v>
      </c>
    </row>
    <row r="250" spans="1:10" x14ac:dyDescent="0.3">
      <c r="A250" t="s">
        <v>109</v>
      </c>
      <c r="B250" s="4" t="s">
        <v>198</v>
      </c>
      <c r="C250" s="7">
        <v>45372</v>
      </c>
      <c r="D250" s="8">
        <v>9027.1200000000008</v>
      </c>
      <c r="E250" s="8"/>
      <c r="F250" s="122" t="s">
        <v>4110</v>
      </c>
      <c r="G250" s="44" t="s">
        <v>252</v>
      </c>
      <c r="H250" t="str">
        <f t="shared" si="13"/>
        <v>GIBAM SHOPS SPA</v>
      </c>
      <c r="I250" s="112">
        <f t="shared" si="14"/>
        <v>45593</v>
      </c>
      <c r="J250" s="128">
        <f t="shared" si="15"/>
        <v>4712.3999999999996</v>
      </c>
    </row>
    <row r="251" spans="1:10" x14ac:dyDescent="0.3">
      <c r="A251" t="s">
        <v>109</v>
      </c>
      <c r="B251" s="4" t="s">
        <v>199</v>
      </c>
      <c r="C251" s="7">
        <v>45372</v>
      </c>
      <c r="D251" s="8">
        <v>220</v>
      </c>
      <c r="E251" s="8"/>
      <c r="F251" s="122" t="s">
        <v>4110</v>
      </c>
      <c r="G251" s="44" t="s">
        <v>253</v>
      </c>
      <c r="H251" t="str">
        <f t="shared" si="13"/>
        <v>GIBAM SHOPS SPA</v>
      </c>
      <c r="I251" s="112">
        <f t="shared" si="14"/>
        <v>45593</v>
      </c>
      <c r="J251" s="128">
        <f t="shared" si="15"/>
        <v>4975.51</v>
      </c>
    </row>
    <row r="252" spans="1:10" x14ac:dyDescent="0.3">
      <c r="A252" t="s">
        <v>109</v>
      </c>
      <c r="B252" s="4" t="s">
        <v>200</v>
      </c>
      <c r="C252" s="7">
        <v>45372</v>
      </c>
      <c r="D252" s="8">
        <v>244.03</v>
      </c>
      <c r="E252" s="8"/>
      <c r="F252" s="122" t="s">
        <v>4110</v>
      </c>
      <c r="G252" s="44" t="s">
        <v>254</v>
      </c>
      <c r="H252" t="str">
        <f t="shared" si="13"/>
        <v>GIBAM SHOPS SPA</v>
      </c>
      <c r="I252" s="112">
        <f t="shared" si="14"/>
        <v>45594</v>
      </c>
      <c r="J252" s="128">
        <f t="shared" si="15"/>
        <v>58997.99</v>
      </c>
    </row>
    <row r="253" spans="1:10" x14ac:dyDescent="0.3">
      <c r="A253" t="s">
        <v>109</v>
      </c>
      <c r="B253" s="4" t="s">
        <v>201</v>
      </c>
      <c r="C253" s="7">
        <v>45379</v>
      </c>
      <c r="D253" s="8">
        <v>46656.74</v>
      </c>
      <c r="E253" s="8"/>
      <c r="F253" s="122" t="s">
        <v>4110</v>
      </c>
      <c r="G253" s="44" t="s">
        <v>255</v>
      </c>
      <c r="H253" t="str">
        <f t="shared" si="13"/>
        <v>GIBAM SHOPS SPA</v>
      </c>
      <c r="I253" s="112">
        <f t="shared" si="14"/>
        <v>45597</v>
      </c>
      <c r="J253" s="128">
        <f t="shared" si="15"/>
        <v>62782.28</v>
      </c>
    </row>
    <row r="254" spans="1:10" x14ac:dyDescent="0.3">
      <c r="A254" t="s">
        <v>109</v>
      </c>
      <c r="B254" s="4" t="s">
        <v>202</v>
      </c>
      <c r="C254" s="7">
        <v>45412</v>
      </c>
      <c r="D254" s="8">
        <v>0.01</v>
      </c>
      <c r="E254" s="8"/>
      <c r="F254" s="122" t="s">
        <v>4110</v>
      </c>
      <c r="G254" s="44" t="s">
        <v>256</v>
      </c>
      <c r="H254" t="str">
        <f t="shared" si="13"/>
        <v>GIBAM SHOPS SPA</v>
      </c>
      <c r="I254" s="112">
        <f t="shared" si="14"/>
        <v>45618</v>
      </c>
      <c r="J254" s="128">
        <f t="shared" si="15"/>
        <v>7459.87</v>
      </c>
    </row>
    <row r="255" spans="1:10" x14ac:dyDescent="0.3">
      <c r="A255" t="s">
        <v>109</v>
      </c>
      <c r="B255" s="10">
        <v>108109</v>
      </c>
      <c r="C255" s="7">
        <v>45416</v>
      </c>
      <c r="D255" s="8">
        <v>54.26</v>
      </c>
      <c r="E255" s="8"/>
      <c r="F255" s="122" t="s">
        <v>4110</v>
      </c>
      <c r="G255" s="44" t="s">
        <v>257</v>
      </c>
      <c r="H255" t="str">
        <f t="shared" si="13"/>
        <v>GIBAM SHOPS SPA</v>
      </c>
      <c r="I255" s="112">
        <f t="shared" si="14"/>
        <v>45618</v>
      </c>
      <c r="J255" s="128">
        <f t="shared" si="15"/>
        <v>20459.62</v>
      </c>
    </row>
    <row r="256" spans="1:10" x14ac:dyDescent="0.3">
      <c r="A256" t="s">
        <v>109</v>
      </c>
      <c r="B256" s="4" t="s">
        <v>203</v>
      </c>
      <c r="C256" s="7">
        <v>45444</v>
      </c>
      <c r="D256" s="8">
        <v>109.44</v>
      </c>
      <c r="E256" s="8"/>
      <c r="F256" s="122" t="s">
        <v>4110</v>
      </c>
      <c r="G256" s="44" t="s">
        <v>258</v>
      </c>
      <c r="H256" t="str">
        <f t="shared" si="13"/>
        <v>GIBAM SHOPS SPA</v>
      </c>
      <c r="I256" s="112">
        <f t="shared" si="14"/>
        <v>45618</v>
      </c>
      <c r="J256" s="128">
        <f t="shared" si="15"/>
        <v>2218.98</v>
      </c>
    </row>
    <row r="257" spans="1:10" x14ac:dyDescent="0.3">
      <c r="A257" t="s">
        <v>109</v>
      </c>
      <c r="B257" s="4" t="s">
        <v>204</v>
      </c>
      <c r="C257" s="7">
        <v>45444</v>
      </c>
      <c r="D257" s="8">
        <v>9403.44</v>
      </c>
      <c r="E257" s="8"/>
      <c r="F257" s="122" t="s">
        <v>4110</v>
      </c>
      <c r="G257" s="44" t="s">
        <v>259</v>
      </c>
      <c r="H257" t="str">
        <f t="shared" si="13"/>
        <v>GIBAM SHOPS SPA</v>
      </c>
      <c r="I257" s="112">
        <f t="shared" si="14"/>
        <v>45618</v>
      </c>
      <c r="J257" s="128">
        <f t="shared" si="15"/>
        <v>520.92999999999995</v>
      </c>
    </row>
    <row r="258" spans="1:10" x14ac:dyDescent="0.3">
      <c r="A258" t="s">
        <v>109</v>
      </c>
      <c r="B258" s="4" t="s">
        <v>205</v>
      </c>
      <c r="C258" s="7">
        <v>45444</v>
      </c>
      <c r="D258" s="8">
        <v>513.27</v>
      </c>
      <c r="E258" s="8"/>
      <c r="F258" s="122" t="s">
        <v>4110</v>
      </c>
      <c r="G258" s="44" t="s">
        <v>260</v>
      </c>
      <c r="H258" t="str">
        <f t="shared" si="13"/>
        <v>GIBAM SHOPS SPA</v>
      </c>
      <c r="I258" s="112">
        <f t="shared" si="14"/>
        <v>45622</v>
      </c>
      <c r="J258" s="128">
        <f t="shared" si="15"/>
        <v>11058.43</v>
      </c>
    </row>
    <row r="259" spans="1:10" x14ac:dyDescent="0.3">
      <c r="A259" t="s">
        <v>109</v>
      </c>
      <c r="B259" s="4" t="s">
        <v>206</v>
      </c>
      <c r="C259" s="7">
        <v>45464</v>
      </c>
      <c r="D259" s="8">
        <v>0.28000000000000003</v>
      </c>
      <c r="E259" s="8"/>
      <c r="F259" s="122" t="s">
        <v>4110</v>
      </c>
      <c r="G259" s="44" t="s">
        <v>261</v>
      </c>
      <c r="H259" t="str">
        <f t="shared" si="13"/>
        <v>GIBAM SHOPS SPA</v>
      </c>
      <c r="I259" s="112">
        <f t="shared" si="14"/>
        <v>45622</v>
      </c>
      <c r="J259" s="128">
        <f t="shared" si="15"/>
        <v>454.67</v>
      </c>
    </row>
    <row r="260" spans="1:10" x14ac:dyDescent="0.3">
      <c r="A260" t="s">
        <v>109</v>
      </c>
      <c r="B260" s="4" t="s">
        <v>207</v>
      </c>
      <c r="C260" s="7">
        <v>45467</v>
      </c>
      <c r="D260" s="8">
        <v>0.91</v>
      </c>
      <c r="E260" s="8"/>
      <c r="F260" s="122" t="s">
        <v>4110</v>
      </c>
      <c r="G260" s="44" t="s">
        <v>262</v>
      </c>
      <c r="H260" t="str">
        <f t="shared" si="13"/>
        <v>GIBAM SHOPS SPA</v>
      </c>
      <c r="I260" s="112">
        <f t="shared" si="14"/>
        <v>45622</v>
      </c>
      <c r="J260" s="128">
        <f t="shared" si="15"/>
        <v>34421.65</v>
      </c>
    </row>
    <row r="261" spans="1:10" s="11" customFormat="1" x14ac:dyDescent="0.3">
      <c r="A261" t="s">
        <v>109</v>
      </c>
      <c r="B261" s="4" t="s">
        <v>208</v>
      </c>
      <c r="C261" s="7">
        <v>45469</v>
      </c>
      <c r="D261" s="8">
        <v>22.49</v>
      </c>
      <c r="E261" s="8"/>
      <c r="F261" s="122" t="s">
        <v>4110</v>
      </c>
      <c r="G261" s="44" t="s">
        <v>263</v>
      </c>
      <c r="H261" t="str">
        <f t="shared" si="13"/>
        <v>GIBAM SHOPS SPA</v>
      </c>
      <c r="I261" s="112">
        <f t="shared" si="14"/>
        <v>45623</v>
      </c>
      <c r="J261" s="128">
        <f t="shared" si="15"/>
        <v>30.31</v>
      </c>
    </row>
    <row r="262" spans="1:10" x14ac:dyDescent="0.3">
      <c r="A262" t="s">
        <v>109</v>
      </c>
      <c r="B262" s="4" t="s">
        <v>209</v>
      </c>
      <c r="C262" s="7">
        <v>45471</v>
      </c>
      <c r="D262" s="8">
        <v>0.01</v>
      </c>
      <c r="E262" s="8"/>
      <c r="F262" s="122" t="s">
        <v>4110</v>
      </c>
      <c r="G262" s="44" t="s">
        <v>264</v>
      </c>
      <c r="H262" t="str">
        <f t="shared" ref="H262:H325" si="16">_xlfn.XLOOKUP(G262,B:B,A:A,,)</f>
        <v>GIBAM SHOPS SPA</v>
      </c>
      <c r="I262" s="112">
        <f t="shared" ref="I262:I325" si="17">_xlfn.XLOOKUP(G262,B:B,C:C,,)</f>
        <v>45625</v>
      </c>
      <c r="J262" s="128">
        <f t="shared" ref="J262:J325" si="18">SUMIF(B:B,G262,D:D)</f>
        <v>46746.17</v>
      </c>
    </row>
    <row r="263" spans="1:10" x14ac:dyDescent="0.3">
      <c r="A263" t="s">
        <v>109</v>
      </c>
      <c r="B263" s="4" t="s">
        <v>210</v>
      </c>
      <c r="C263" s="7">
        <v>45471</v>
      </c>
      <c r="D263" s="8">
        <v>6802.52</v>
      </c>
      <c r="E263" s="8"/>
      <c r="F263" s="122" t="s">
        <v>4110</v>
      </c>
      <c r="G263" s="44" t="s">
        <v>265</v>
      </c>
      <c r="H263" t="str">
        <f t="shared" si="16"/>
        <v>GIBAM SHOPS SPA</v>
      </c>
      <c r="I263" s="112">
        <f t="shared" si="17"/>
        <v>45625</v>
      </c>
      <c r="J263" s="128">
        <f t="shared" si="18"/>
        <v>3598.56</v>
      </c>
    </row>
    <row r="264" spans="1:10" x14ac:dyDescent="0.3">
      <c r="A264" t="s">
        <v>109</v>
      </c>
      <c r="B264" s="4" t="s">
        <v>211</v>
      </c>
      <c r="C264" s="7">
        <v>45471</v>
      </c>
      <c r="D264" s="8">
        <v>360.01</v>
      </c>
      <c r="E264" s="8"/>
      <c r="F264" s="122" t="s">
        <v>4110</v>
      </c>
      <c r="G264" s="44" t="s">
        <v>266</v>
      </c>
      <c r="H264" t="str">
        <f t="shared" si="16"/>
        <v>GIBAM SHOPS SPA</v>
      </c>
      <c r="I264" s="112">
        <f t="shared" si="17"/>
        <v>45625</v>
      </c>
      <c r="J264" s="128">
        <f t="shared" si="18"/>
        <v>13962.03</v>
      </c>
    </row>
    <row r="265" spans="1:10" x14ac:dyDescent="0.3">
      <c r="A265" t="s">
        <v>109</v>
      </c>
      <c r="B265" s="4" t="s">
        <v>212</v>
      </c>
      <c r="C265" s="7">
        <v>45485</v>
      </c>
      <c r="D265" s="8">
        <v>2577.9699999999998</v>
      </c>
      <c r="E265" s="8"/>
      <c r="F265" s="122" t="s">
        <v>4110</v>
      </c>
      <c r="G265" s="44" t="s">
        <v>267</v>
      </c>
      <c r="H265" t="str">
        <f t="shared" si="16"/>
        <v>GIBAM SHOPS SPA</v>
      </c>
      <c r="I265" s="112">
        <f t="shared" si="17"/>
        <v>45625</v>
      </c>
      <c r="J265" s="128">
        <f t="shared" si="18"/>
        <v>271.33999999999997</v>
      </c>
    </row>
    <row r="266" spans="1:10" x14ac:dyDescent="0.3">
      <c r="A266" t="s">
        <v>109</v>
      </c>
      <c r="B266" s="4" t="s">
        <v>213</v>
      </c>
      <c r="C266" s="7">
        <v>45495</v>
      </c>
      <c r="D266" s="8">
        <v>1694.15</v>
      </c>
      <c r="E266" s="8"/>
      <c r="F266" s="122" t="s">
        <v>4110</v>
      </c>
      <c r="G266" s="44" t="s">
        <v>268</v>
      </c>
      <c r="H266" t="str">
        <f t="shared" si="16"/>
        <v>GIBAM SHOPS SPA</v>
      </c>
      <c r="I266" s="112">
        <f t="shared" si="17"/>
        <v>45625</v>
      </c>
      <c r="J266" s="128">
        <f t="shared" si="18"/>
        <v>597.87</v>
      </c>
    </row>
    <row r="267" spans="1:10" x14ac:dyDescent="0.3">
      <c r="A267" t="s">
        <v>109</v>
      </c>
      <c r="B267" s="4" t="s">
        <v>214</v>
      </c>
      <c r="C267" s="7">
        <v>45496</v>
      </c>
      <c r="D267" s="8">
        <v>178.9</v>
      </c>
      <c r="E267" s="8"/>
      <c r="F267" s="122" t="s">
        <v>4110</v>
      </c>
      <c r="G267" s="44" t="s">
        <v>269</v>
      </c>
      <c r="H267" t="str">
        <f t="shared" si="16"/>
        <v>GIBAM SHOPS SPA</v>
      </c>
      <c r="I267" s="112">
        <f t="shared" si="17"/>
        <v>45629</v>
      </c>
      <c r="J267" s="128">
        <f t="shared" si="18"/>
        <v>3955.38</v>
      </c>
    </row>
    <row r="268" spans="1:10" x14ac:dyDescent="0.3">
      <c r="A268" t="s">
        <v>109</v>
      </c>
      <c r="B268" s="4" t="s">
        <v>215</v>
      </c>
      <c r="C268" s="7">
        <v>45496</v>
      </c>
      <c r="D268" s="8">
        <v>544.11</v>
      </c>
      <c r="E268" s="8"/>
      <c r="F268" s="122" t="s">
        <v>4110</v>
      </c>
      <c r="G268" s="44" t="s">
        <v>270</v>
      </c>
      <c r="H268" t="str">
        <f t="shared" si="16"/>
        <v>GIBAM SHOPS SPA</v>
      </c>
      <c r="I268" s="112">
        <f t="shared" si="17"/>
        <v>45629</v>
      </c>
      <c r="J268" s="128">
        <f t="shared" si="18"/>
        <v>3705.27</v>
      </c>
    </row>
    <row r="269" spans="1:10" x14ac:dyDescent="0.3">
      <c r="A269" t="s">
        <v>109</v>
      </c>
      <c r="B269" s="4" t="s">
        <v>216</v>
      </c>
      <c r="C269" s="7">
        <v>45504</v>
      </c>
      <c r="D269" s="8">
        <v>156.80000000000001</v>
      </c>
      <c r="E269" s="8"/>
      <c r="F269" s="122" t="s">
        <v>4110</v>
      </c>
      <c r="G269" s="44" t="s">
        <v>271</v>
      </c>
      <c r="H269" t="str">
        <f t="shared" si="16"/>
        <v>GIBAM SHOPS SPA</v>
      </c>
      <c r="I269" s="112">
        <f t="shared" si="17"/>
        <v>45630</v>
      </c>
      <c r="J269" s="128">
        <f t="shared" si="18"/>
        <v>598.79999999999995</v>
      </c>
    </row>
    <row r="270" spans="1:10" x14ac:dyDescent="0.3">
      <c r="A270" t="s">
        <v>109</v>
      </c>
      <c r="B270" s="4" t="s">
        <v>216</v>
      </c>
      <c r="C270" s="7">
        <v>45504</v>
      </c>
      <c r="D270" s="8">
        <v>6275.92</v>
      </c>
      <c r="E270" s="8"/>
      <c r="F270" s="122" t="s">
        <v>4110</v>
      </c>
      <c r="G270" s="44" t="s">
        <v>272</v>
      </c>
      <c r="H270" t="str">
        <f t="shared" si="16"/>
        <v>GIBAM SHOPS SPA</v>
      </c>
      <c r="I270" s="112">
        <f t="shared" si="17"/>
        <v>45630</v>
      </c>
      <c r="J270" s="128">
        <f t="shared" si="18"/>
        <v>940.68</v>
      </c>
    </row>
    <row r="271" spans="1:10" x14ac:dyDescent="0.3">
      <c r="A271" t="s">
        <v>109</v>
      </c>
      <c r="B271" s="4" t="s">
        <v>216</v>
      </c>
      <c r="C271" s="7">
        <v>45504</v>
      </c>
      <c r="D271" s="8">
        <v>284.08</v>
      </c>
      <c r="E271" s="8"/>
      <c r="F271" s="122" t="s">
        <v>4110</v>
      </c>
      <c r="G271" s="44" t="s">
        <v>273</v>
      </c>
      <c r="H271" t="str">
        <f t="shared" si="16"/>
        <v>GIBAM SHOPS SPA</v>
      </c>
      <c r="I271" s="112">
        <f t="shared" si="17"/>
        <v>45631</v>
      </c>
      <c r="J271" s="128">
        <f t="shared" si="18"/>
        <v>74045.62</v>
      </c>
    </row>
    <row r="272" spans="1:10" x14ac:dyDescent="0.3">
      <c r="A272" t="s">
        <v>109</v>
      </c>
      <c r="B272" s="4" t="s">
        <v>216</v>
      </c>
      <c r="C272" s="7">
        <v>45504</v>
      </c>
      <c r="D272" s="8">
        <v>461.22</v>
      </c>
      <c r="E272" s="8"/>
      <c r="F272" s="122" t="s">
        <v>4110</v>
      </c>
      <c r="G272" s="44" t="s">
        <v>274</v>
      </c>
      <c r="H272" t="str">
        <f t="shared" si="16"/>
        <v>GIBAM SHOPS SPA</v>
      </c>
      <c r="I272" s="112">
        <f t="shared" si="17"/>
        <v>45636</v>
      </c>
      <c r="J272" s="128">
        <f t="shared" si="18"/>
        <v>174.37</v>
      </c>
    </row>
    <row r="273" spans="1:10" x14ac:dyDescent="0.3">
      <c r="A273" t="s">
        <v>109</v>
      </c>
      <c r="B273" s="4" t="s">
        <v>217</v>
      </c>
      <c r="C273" s="7">
        <v>45504</v>
      </c>
      <c r="D273" s="8">
        <v>1735.67</v>
      </c>
      <c r="E273" s="8"/>
      <c r="F273" s="122" t="s">
        <v>4110</v>
      </c>
      <c r="G273" s="44" t="s">
        <v>275</v>
      </c>
      <c r="H273" t="str">
        <f t="shared" si="16"/>
        <v>GIBAM SHOPS SPA</v>
      </c>
      <c r="I273" s="112">
        <f t="shared" si="17"/>
        <v>45636</v>
      </c>
      <c r="J273" s="128">
        <f t="shared" si="18"/>
        <v>183.26</v>
      </c>
    </row>
    <row r="274" spans="1:10" x14ac:dyDescent="0.3">
      <c r="A274" t="s">
        <v>109</v>
      </c>
      <c r="B274" s="4" t="s">
        <v>216</v>
      </c>
      <c r="C274" s="7">
        <v>45504</v>
      </c>
      <c r="D274" s="8">
        <v>7612.74</v>
      </c>
      <c r="E274" s="8"/>
      <c r="F274" s="122" t="s">
        <v>4110</v>
      </c>
      <c r="G274" s="44" t="s">
        <v>276</v>
      </c>
      <c r="H274" t="str">
        <f t="shared" si="16"/>
        <v>GIBAM SHOPS SPA</v>
      </c>
      <c r="I274" s="112">
        <f t="shared" si="17"/>
        <v>45637</v>
      </c>
      <c r="J274" s="128">
        <f t="shared" si="18"/>
        <v>3482.14</v>
      </c>
    </row>
    <row r="275" spans="1:10" x14ac:dyDescent="0.3">
      <c r="A275" t="s">
        <v>109</v>
      </c>
      <c r="B275" s="4" t="s">
        <v>218</v>
      </c>
      <c r="C275" s="7">
        <v>45505</v>
      </c>
      <c r="D275" s="8">
        <v>19051.060000000001</v>
      </c>
      <c r="E275" s="8"/>
      <c r="F275" s="122" t="s">
        <v>4110</v>
      </c>
      <c r="G275" s="44" t="s">
        <v>277</v>
      </c>
      <c r="H275" t="str">
        <f t="shared" si="16"/>
        <v>GIBAM SHOPS SPA</v>
      </c>
      <c r="I275" s="112">
        <f t="shared" si="17"/>
        <v>45638</v>
      </c>
      <c r="J275" s="128">
        <f t="shared" si="18"/>
        <v>167677.56</v>
      </c>
    </row>
    <row r="276" spans="1:10" x14ac:dyDescent="0.3">
      <c r="A276" t="s">
        <v>109</v>
      </c>
      <c r="B276" s="4" t="s">
        <v>219</v>
      </c>
      <c r="C276" s="7">
        <v>45505</v>
      </c>
      <c r="D276" s="8">
        <v>6194.25</v>
      </c>
      <c r="E276" s="8"/>
      <c r="F276" s="122" t="s">
        <v>4110</v>
      </c>
      <c r="G276" s="44" t="s">
        <v>278</v>
      </c>
      <c r="H276" t="str">
        <f t="shared" si="16"/>
        <v>GIBAM SHOPS SPA</v>
      </c>
      <c r="I276" s="112">
        <f t="shared" si="17"/>
        <v>45644</v>
      </c>
      <c r="J276" s="128">
        <f t="shared" si="18"/>
        <v>33166.959999999999</v>
      </c>
    </row>
    <row r="277" spans="1:10" x14ac:dyDescent="0.3">
      <c r="A277" t="s">
        <v>109</v>
      </c>
      <c r="B277" s="4" t="s">
        <v>220</v>
      </c>
      <c r="C277" s="7">
        <v>45506</v>
      </c>
      <c r="D277" s="8">
        <v>36810.019999999997</v>
      </c>
      <c r="E277" s="8"/>
      <c r="F277" s="122" t="s">
        <v>4110</v>
      </c>
      <c r="G277" s="44" t="s">
        <v>279</v>
      </c>
      <c r="H277" t="str">
        <f t="shared" si="16"/>
        <v>GIBAM SHOPS SPA</v>
      </c>
      <c r="I277" s="112">
        <f t="shared" si="17"/>
        <v>45645</v>
      </c>
      <c r="J277" s="128">
        <f t="shared" si="18"/>
        <v>13165.35</v>
      </c>
    </row>
    <row r="278" spans="1:10" x14ac:dyDescent="0.3">
      <c r="A278" t="s">
        <v>109</v>
      </c>
      <c r="B278" s="4" t="s">
        <v>221</v>
      </c>
      <c r="C278" s="7">
        <v>45506</v>
      </c>
      <c r="D278" s="8">
        <v>50469.919999999998</v>
      </c>
      <c r="E278" s="8"/>
      <c r="F278" s="122" t="s">
        <v>4110</v>
      </c>
      <c r="G278" s="44" t="s">
        <v>280</v>
      </c>
      <c r="H278" t="str">
        <f t="shared" si="16"/>
        <v>GIBAM SHOPS SPA</v>
      </c>
      <c r="I278" s="112">
        <f t="shared" si="17"/>
        <v>45646</v>
      </c>
      <c r="J278" s="128">
        <f t="shared" si="18"/>
        <v>3930.77</v>
      </c>
    </row>
    <row r="279" spans="1:10" x14ac:dyDescent="0.3">
      <c r="A279" t="s">
        <v>109</v>
      </c>
      <c r="B279" s="4" t="s">
        <v>222</v>
      </c>
      <c r="C279" s="7">
        <v>45511</v>
      </c>
      <c r="D279" s="8">
        <v>17241.560000000001</v>
      </c>
      <c r="E279" s="8"/>
      <c r="F279" s="122" t="s">
        <v>4110</v>
      </c>
      <c r="G279" s="44" t="s">
        <v>281</v>
      </c>
      <c r="H279" t="str">
        <f t="shared" si="16"/>
        <v>GIBAM SHOPS SPA</v>
      </c>
      <c r="I279" s="112">
        <f t="shared" si="17"/>
        <v>45684</v>
      </c>
      <c r="J279" s="128">
        <f t="shared" si="18"/>
        <v>64830.44</v>
      </c>
    </row>
    <row r="280" spans="1:10" x14ac:dyDescent="0.3">
      <c r="A280" t="s">
        <v>109</v>
      </c>
      <c r="B280" s="4" t="s">
        <v>223</v>
      </c>
      <c r="C280" s="7">
        <v>45511</v>
      </c>
      <c r="D280" s="8">
        <v>48732.84</v>
      </c>
      <c r="E280" s="8"/>
      <c r="F280" s="122" t="s">
        <v>4110</v>
      </c>
      <c r="G280" s="44" t="s">
        <v>282</v>
      </c>
      <c r="H280" t="str">
        <f t="shared" si="16"/>
        <v>GIBAM SHOPS SPA</v>
      </c>
      <c r="I280" s="112">
        <f t="shared" si="17"/>
        <v>45692</v>
      </c>
      <c r="J280" s="128">
        <f t="shared" si="18"/>
        <v>25248.01</v>
      </c>
    </row>
    <row r="281" spans="1:10" x14ac:dyDescent="0.3">
      <c r="A281" t="s">
        <v>109</v>
      </c>
      <c r="B281" s="4" t="s">
        <v>224</v>
      </c>
      <c r="C281" s="7">
        <v>45532</v>
      </c>
      <c r="D281" s="8">
        <v>41698.42</v>
      </c>
      <c r="E281" s="8"/>
      <c r="F281" s="122" t="s">
        <v>4110</v>
      </c>
      <c r="G281" s="44" t="s">
        <v>283</v>
      </c>
      <c r="H281" t="str">
        <f t="shared" si="16"/>
        <v>GIBAM SHOPS SPA</v>
      </c>
      <c r="I281" s="112">
        <f t="shared" si="17"/>
        <v>45692</v>
      </c>
      <c r="J281" s="128">
        <f t="shared" si="18"/>
        <v>729.17</v>
      </c>
    </row>
    <row r="282" spans="1:10" x14ac:dyDescent="0.3">
      <c r="A282" t="s">
        <v>109</v>
      </c>
      <c r="B282" s="4" t="s">
        <v>225</v>
      </c>
      <c r="C282" s="7">
        <v>45532</v>
      </c>
      <c r="D282" s="8">
        <v>3622.29</v>
      </c>
      <c r="E282" s="8"/>
      <c r="F282" s="122" t="s">
        <v>4110</v>
      </c>
      <c r="G282" s="44" t="s">
        <v>284</v>
      </c>
      <c r="H282" t="str">
        <f t="shared" si="16"/>
        <v>GIBAM SHOPS SPA</v>
      </c>
      <c r="I282" s="112">
        <f t="shared" si="17"/>
        <v>45692</v>
      </c>
      <c r="J282" s="128">
        <f t="shared" si="18"/>
        <v>3597</v>
      </c>
    </row>
    <row r="283" spans="1:10" x14ac:dyDescent="0.3">
      <c r="A283" t="s">
        <v>109</v>
      </c>
      <c r="B283" s="4" t="s">
        <v>226</v>
      </c>
      <c r="C283" s="7">
        <v>45544</v>
      </c>
      <c r="D283" s="8">
        <v>1886.6</v>
      </c>
      <c r="E283" s="8"/>
      <c r="F283" s="122" t="s">
        <v>4110</v>
      </c>
      <c r="G283" s="44" t="s">
        <v>285</v>
      </c>
      <c r="H283" t="str">
        <f t="shared" si="16"/>
        <v>GIBAM SHOPS SPA</v>
      </c>
      <c r="I283" s="112">
        <f t="shared" si="17"/>
        <v>45692</v>
      </c>
      <c r="J283" s="128">
        <f t="shared" si="18"/>
        <v>519.30999999999995</v>
      </c>
    </row>
    <row r="284" spans="1:10" x14ac:dyDescent="0.3">
      <c r="A284" t="s">
        <v>109</v>
      </c>
      <c r="B284" s="4" t="s">
        <v>227</v>
      </c>
      <c r="C284" s="7">
        <v>45547</v>
      </c>
      <c r="D284" s="8">
        <v>33.130000000000003</v>
      </c>
      <c r="E284" s="8"/>
      <c r="F284" s="122" t="s">
        <v>4110</v>
      </c>
      <c r="G284" s="44" t="s">
        <v>286</v>
      </c>
      <c r="H284" t="str">
        <f t="shared" si="16"/>
        <v>GIBAM SHOPS SPA</v>
      </c>
      <c r="I284" s="112">
        <f t="shared" si="17"/>
        <v>45692</v>
      </c>
      <c r="J284" s="128">
        <f t="shared" si="18"/>
        <v>3017.01</v>
      </c>
    </row>
    <row r="285" spans="1:10" x14ac:dyDescent="0.3">
      <c r="A285" t="s">
        <v>109</v>
      </c>
      <c r="B285" s="4" t="s">
        <v>228</v>
      </c>
      <c r="C285" s="7">
        <v>45558</v>
      </c>
      <c r="D285" s="8">
        <v>33433.33</v>
      </c>
      <c r="E285" s="8"/>
      <c r="F285" s="122" t="s">
        <v>4110</v>
      </c>
      <c r="G285" s="44" t="s">
        <v>287</v>
      </c>
      <c r="H285" t="str">
        <f t="shared" si="16"/>
        <v>GIBAM SHOPS SPA</v>
      </c>
      <c r="I285" s="112">
        <f t="shared" si="17"/>
        <v>45692</v>
      </c>
      <c r="J285" s="128">
        <f t="shared" si="18"/>
        <v>74.12</v>
      </c>
    </row>
    <row r="286" spans="1:10" x14ac:dyDescent="0.3">
      <c r="A286" t="s">
        <v>109</v>
      </c>
      <c r="B286" s="4" t="s">
        <v>229</v>
      </c>
      <c r="C286" s="7">
        <v>45558</v>
      </c>
      <c r="D286" s="8">
        <v>3415.51</v>
      </c>
      <c r="E286" s="8"/>
      <c r="F286" s="122" t="s">
        <v>4110</v>
      </c>
      <c r="G286" s="44" t="s">
        <v>288</v>
      </c>
      <c r="H286" t="str">
        <f t="shared" si="16"/>
        <v>GIBAM SHOPS SPA</v>
      </c>
      <c r="I286" s="112">
        <f t="shared" si="17"/>
        <v>45692</v>
      </c>
      <c r="J286" s="128">
        <f t="shared" si="18"/>
        <v>637.75</v>
      </c>
    </row>
    <row r="287" spans="1:10" x14ac:dyDescent="0.3">
      <c r="A287" t="s">
        <v>109</v>
      </c>
      <c r="B287" s="4" t="s">
        <v>230</v>
      </c>
      <c r="C287" s="7">
        <v>45558</v>
      </c>
      <c r="D287" s="8">
        <v>17556.599999999999</v>
      </c>
      <c r="E287" s="8"/>
      <c r="F287" s="122" t="s">
        <v>4110</v>
      </c>
      <c r="G287" s="44" t="s">
        <v>289</v>
      </c>
      <c r="H287" t="str">
        <f t="shared" si="16"/>
        <v>GIBAM SHOPS SPA</v>
      </c>
      <c r="I287" s="112">
        <f t="shared" si="17"/>
        <v>45692</v>
      </c>
      <c r="J287" s="128">
        <f t="shared" si="18"/>
        <v>177.8</v>
      </c>
    </row>
    <row r="288" spans="1:10" x14ac:dyDescent="0.3">
      <c r="A288" t="s">
        <v>109</v>
      </c>
      <c r="B288" s="4" t="s">
        <v>231</v>
      </c>
      <c r="C288" s="7">
        <v>45558</v>
      </c>
      <c r="D288" s="8">
        <v>9093.9500000000007</v>
      </c>
      <c r="E288" s="8"/>
      <c r="F288" s="122" t="s">
        <v>4110</v>
      </c>
      <c r="G288" s="44" t="s">
        <v>290</v>
      </c>
      <c r="H288" t="str">
        <f t="shared" si="16"/>
        <v>GIBAM SHOPS SPA</v>
      </c>
      <c r="I288" s="112">
        <f t="shared" si="17"/>
        <v>45692</v>
      </c>
      <c r="J288" s="128">
        <f t="shared" si="18"/>
        <v>155.19999999999999</v>
      </c>
    </row>
    <row r="289" spans="1:10" x14ac:dyDescent="0.3">
      <c r="A289" t="s">
        <v>109</v>
      </c>
      <c r="B289" s="4" t="s">
        <v>232</v>
      </c>
      <c r="C289" s="7">
        <v>45558</v>
      </c>
      <c r="D289" s="8">
        <v>8798.44</v>
      </c>
      <c r="E289" s="8"/>
      <c r="F289" s="122" t="s">
        <v>4110</v>
      </c>
      <c r="G289" s="44" t="s">
        <v>291</v>
      </c>
      <c r="H289" t="str">
        <f t="shared" si="16"/>
        <v>GIBAM SHOPS SPA</v>
      </c>
      <c r="I289" s="112">
        <f t="shared" si="17"/>
        <v>45692</v>
      </c>
      <c r="J289" s="128">
        <f t="shared" si="18"/>
        <v>363.47</v>
      </c>
    </row>
    <row r="290" spans="1:10" x14ac:dyDescent="0.3">
      <c r="A290" t="s">
        <v>109</v>
      </c>
      <c r="B290" s="4" t="s">
        <v>233</v>
      </c>
      <c r="C290" s="7">
        <v>45565</v>
      </c>
      <c r="D290" s="8">
        <v>1290</v>
      </c>
      <c r="E290" s="8"/>
      <c r="F290" s="122" t="s">
        <v>4110</v>
      </c>
      <c r="G290" s="44" t="s">
        <v>292</v>
      </c>
      <c r="H290" t="str">
        <f t="shared" si="16"/>
        <v>GIBAM SHOPS SPA</v>
      </c>
      <c r="I290" s="112">
        <f t="shared" si="17"/>
        <v>45694</v>
      </c>
      <c r="J290" s="128">
        <f t="shared" si="18"/>
        <v>396.18</v>
      </c>
    </row>
    <row r="291" spans="1:10" x14ac:dyDescent="0.3">
      <c r="A291" t="s">
        <v>109</v>
      </c>
      <c r="B291" s="4" t="s">
        <v>234</v>
      </c>
      <c r="C291" s="7">
        <v>45565</v>
      </c>
      <c r="D291" s="8">
        <v>8931.69</v>
      </c>
      <c r="E291" s="8"/>
      <c r="F291" s="122" t="s">
        <v>4110</v>
      </c>
      <c r="G291" s="44" t="s">
        <v>293</v>
      </c>
      <c r="H291" t="str">
        <f t="shared" si="16"/>
        <v>GIBAM SHOPS SPA</v>
      </c>
      <c r="I291" s="112">
        <f t="shared" si="17"/>
        <v>45707</v>
      </c>
      <c r="J291" s="128">
        <f t="shared" si="18"/>
        <v>313.76</v>
      </c>
    </row>
    <row r="292" spans="1:10" x14ac:dyDescent="0.3">
      <c r="A292" t="s">
        <v>109</v>
      </c>
      <c r="B292" s="4" t="s">
        <v>235</v>
      </c>
      <c r="C292" s="7">
        <v>45565</v>
      </c>
      <c r="D292" s="8">
        <v>2736.38</v>
      </c>
      <c r="E292" s="8"/>
      <c r="F292" s="122" t="s">
        <v>4110</v>
      </c>
      <c r="G292" s="44" t="s">
        <v>294</v>
      </c>
      <c r="H292" t="str">
        <f t="shared" si="16"/>
        <v>GIBAM SHOPS SPA</v>
      </c>
      <c r="I292" s="112">
        <f t="shared" si="17"/>
        <v>45707</v>
      </c>
      <c r="J292" s="128">
        <f t="shared" si="18"/>
        <v>928.82</v>
      </c>
    </row>
    <row r="293" spans="1:10" x14ac:dyDescent="0.3">
      <c r="A293" t="s">
        <v>109</v>
      </c>
      <c r="B293" s="4" t="s">
        <v>236</v>
      </c>
      <c r="C293" s="7">
        <v>45565</v>
      </c>
      <c r="D293" s="8">
        <v>455.49</v>
      </c>
      <c r="E293" s="8"/>
      <c r="F293" s="122" t="s">
        <v>4110</v>
      </c>
      <c r="G293" s="44" t="s">
        <v>295</v>
      </c>
      <c r="H293" t="str">
        <f t="shared" si="16"/>
        <v>GIBAM SHOPS SPA</v>
      </c>
      <c r="I293" s="112">
        <f t="shared" si="17"/>
        <v>45707</v>
      </c>
      <c r="J293" s="128">
        <f t="shared" si="18"/>
        <v>406.26</v>
      </c>
    </row>
    <row r="294" spans="1:10" x14ac:dyDescent="0.3">
      <c r="A294" t="s">
        <v>109</v>
      </c>
      <c r="B294" s="4" t="s">
        <v>237</v>
      </c>
      <c r="C294" s="7">
        <v>45565</v>
      </c>
      <c r="D294" s="8">
        <v>6183.03</v>
      </c>
      <c r="E294" s="8"/>
      <c r="F294" s="122" t="s">
        <v>4110</v>
      </c>
      <c r="G294" s="44" t="s">
        <v>296</v>
      </c>
      <c r="H294" t="str">
        <f t="shared" si="16"/>
        <v>GIBAM SHOPS SPA</v>
      </c>
      <c r="I294" s="112">
        <f t="shared" si="17"/>
        <v>45707</v>
      </c>
      <c r="J294" s="128">
        <f t="shared" si="18"/>
        <v>92.06</v>
      </c>
    </row>
    <row r="295" spans="1:10" x14ac:dyDescent="0.3">
      <c r="A295" t="s">
        <v>109</v>
      </c>
      <c r="B295" s="4" t="s">
        <v>238</v>
      </c>
      <c r="C295" s="7">
        <v>45565</v>
      </c>
      <c r="D295" s="8">
        <v>585.79</v>
      </c>
      <c r="E295" s="8"/>
      <c r="F295" s="122" t="s">
        <v>4110</v>
      </c>
      <c r="G295" s="44" t="s">
        <v>297</v>
      </c>
      <c r="H295" t="str">
        <f t="shared" si="16"/>
        <v>GIBAM SHOPS SPA</v>
      </c>
      <c r="I295" s="112">
        <f t="shared" si="17"/>
        <v>45729</v>
      </c>
      <c r="J295" s="128">
        <f t="shared" si="18"/>
        <v>708.45</v>
      </c>
    </row>
    <row r="296" spans="1:10" x14ac:dyDescent="0.3">
      <c r="A296" t="s">
        <v>109</v>
      </c>
      <c r="B296" s="4" t="s">
        <v>239</v>
      </c>
      <c r="C296" s="7">
        <v>45568</v>
      </c>
      <c r="D296" s="8">
        <v>973.31</v>
      </c>
      <c r="E296" s="8"/>
      <c r="F296" s="122" t="s">
        <v>4110</v>
      </c>
      <c r="G296" s="44" t="s">
        <v>298</v>
      </c>
      <c r="H296" t="str">
        <f t="shared" si="16"/>
        <v>GIBAM SHOPS SPA</v>
      </c>
      <c r="I296" s="112">
        <f t="shared" si="17"/>
        <v>45729</v>
      </c>
      <c r="J296" s="128">
        <f t="shared" si="18"/>
        <v>415.06</v>
      </c>
    </row>
    <row r="297" spans="1:10" x14ac:dyDescent="0.3">
      <c r="A297" t="s">
        <v>109</v>
      </c>
      <c r="B297" s="4" t="s">
        <v>240</v>
      </c>
      <c r="C297" s="7">
        <v>45568</v>
      </c>
      <c r="D297" s="8">
        <v>19186.27</v>
      </c>
      <c r="E297" s="8"/>
      <c r="F297" s="122" t="s">
        <v>4110</v>
      </c>
      <c r="G297" s="44" t="s">
        <v>299</v>
      </c>
      <c r="H297" t="str">
        <f t="shared" si="16"/>
        <v>GIBAM SHOPS SPA</v>
      </c>
      <c r="I297" s="112">
        <f t="shared" si="17"/>
        <v>45786</v>
      </c>
      <c r="J297" s="128">
        <f t="shared" si="18"/>
        <v>-139822.21</v>
      </c>
    </row>
    <row r="298" spans="1:10" x14ac:dyDescent="0.3">
      <c r="A298" t="s">
        <v>109</v>
      </c>
      <c r="B298" s="4" t="s">
        <v>241</v>
      </c>
      <c r="C298" s="7">
        <v>45568</v>
      </c>
      <c r="D298" s="8">
        <v>154.72999999999999</v>
      </c>
      <c r="E298" s="8"/>
      <c r="F298" s="122" t="s">
        <v>4110</v>
      </c>
      <c r="G298" s="44">
        <v>23533943</v>
      </c>
      <c r="H298" t="str">
        <f t="shared" si="16"/>
        <v>Graniti Fiandre Italy</v>
      </c>
      <c r="I298" s="112">
        <f t="shared" si="17"/>
        <v>45218</v>
      </c>
      <c r="J298" s="128">
        <f t="shared" si="18"/>
        <v>50142.18</v>
      </c>
    </row>
    <row r="299" spans="1:10" x14ac:dyDescent="0.3">
      <c r="A299" t="s">
        <v>109</v>
      </c>
      <c r="B299" s="4" t="s">
        <v>242</v>
      </c>
      <c r="C299" s="7">
        <v>45568</v>
      </c>
      <c r="D299" s="8">
        <v>292.64999999999998</v>
      </c>
      <c r="E299" s="8"/>
      <c r="F299" s="122" t="s">
        <v>4110</v>
      </c>
      <c r="G299" s="44">
        <v>23540770</v>
      </c>
      <c r="H299" t="str">
        <f t="shared" si="16"/>
        <v>Graniti Fiandre Italy</v>
      </c>
      <c r="I299" s="112">
        <f t="shared" si="17"/>
        <v>45274</v>
      </c>
      <c r="J299" s="128">
        <f t="shared" si="18"/>
        <v>60159.82</v>
      </c>
    </row>
    <row r="300" spans="1:10" x14ac:dyDescent="0.3">
      <c r="A300" t="s">
        <v>109</v>
      </c>
      <c r="B300" s="4" t="s">
        <v>243</v>
      </c>
      <c r="C300" s="7">
        <v>45568</v>
      </c>
      <c r="D300" s="8">
        <v>10517.66</v>
      </c>
      <c r="E300" s="8"/>
      <c r="F300" s="122" t="s">
        <v>4110</v>
      </c>
      <c r="G300" s="44">
        <v>23541378</v>
      </c>
      <c r="H300" t="str">
        <f t="shared" si="16"/>
        <v>Graniti Fiandre Italy</v>
      </c>
      <c r="I300" s="112">
        <f t="shared" si="17"/>
        <v>45280</v>
      </c>
      <c r="J300" s="128">
        <f t="shared" si="18"/>
        <v>85588.11</v>
      </c>
    </row>
    <row r="301" spans="1:10" x14ac:dyDescent="0.3">
      <c r="A301" t="s">
        <v>109</v>
      </c>
      <c r="B301" s="4" t="s">
        <v>244</v>
      </c>
      <c r="C301" s="7">
        <v>45568</v>
      </c>
      <c r="D301" s="8">
        <v>91946.63</v>
      </c>
      <c r="E301" s="8"/>
      <c r="F301" s="122" t="s">
        <v>4110</v>
      </c>
      <c r="G301" s="44">
        <v>89</v>
      </c>
      <c r="H301" t="str">
        <f t="shared" si="16"/>
        <v>GRANITI VICENTIA REALTY 2</v>
      </c>
      <c r="I301" s="112">
        <f t="shared" si="17"/>
        <v>45672</v>
      </c>
      <c r="J301" s="128">
        <f t="shared" si="18"/>
        <v>54000</v>
      </c>
    </row>
    <row r="302" spans="1:10" x14ac:dyDescent="0.3">
      <c r="A302" t="s">
        <v>109</v>
      </c>
      <c r="B302" s="4" t="s">
        <v>245</v>
      </c>
      <c r="C302" s="7">
        <v>45572</v>
      </c>
      <c r="D302" s="8">
        <v>65465.84</v>
      </c>
      <c r="E302" s="8"/>
      <c r="F302" s="122" t="s">
        <v>4110</v>
      </c>
      <c r="G302" s="44">
        <v>93</v>
      </c>
      <c r="H302" t="str">
        <f t="shared" si="16"/>
        <v>GRANITI VICENTIA REALTY 2</v>
      </c>
      <c r="I302" s="112">
        <f t="shared" si="17"/>
        <v>45703</v>
      </c>
      <c r="J302" s="128">
        <f t="shared" si="18"/>
        <v>56000</v>
      </c>
    </row>
    <row r="303" spans="1:10" x14ac:dyDescent="0.3">
      <c r="A303" t="s">
        <v>109</v>
      </c>
      <c r="B303" s="4" t="s">
        <v>246</v>
      </c>
      <c r="C303" s="7">
        <v>45586</v>
      </c>
      <c r="D303" s="8">
        <v>3775.85</v>
      </c>
      <c r="E303" s="8"/>
      <c r="F303" s="122" t="s">
        <v>4110</v>
      </c>
      <c r="G303" s="44">
        <v>97</v>
      </c>
      <c r="H303" t="str">
        <f t="shared" si="16"/>
        <v>GRANITI VICENTIA REALTY 2</v>
      </c>
      <c r="I303" s="112">
        <f t="shared" si="17"/>
        <v>45731</v>
      </c>
      <c r="J303" s="128">
        <f t="shared" si="18"/>
        <v>56000</v>
      </c>
    </row>
    <row r="304" spans="1:10" x14ac:dyDescent="0.3">
      <c r="A304" t="s">
        <v>109</v>
      </c>
      <c r="B304" s="4" t="s">
        <v>247</v>
      </c>
      <c r="C304" s="7">
        <v>45593</v>
      </c>
      <c r="D304" s="8">
        <v>1633.5</v>
      </c>
      <c r="E304" s="8"/>
      <c r="F304" s="122" t="s">
        <v>4110</v>
      </c>
      <c r="G304" s="44">
        <v>101</v>
      </c>
      <c r="H304" t="str">
        <f t="shared" si="16"/>
        <v>GRANITI VICENTIA REALTY 2</v>
      </c>
      <c r="I304" s="112">
        <f t="shared" si="17"/>
        <v>45762</v>
      </c>
      <c r="J304" s="128">
        <f t="shared" si="18"/>
        <v>56000</v>
      </c>
    </row>
    <row r="305" spans="1:10" x14ac:dyDescent="0.3">
      <c r="A305" t="s">
        <v>109</v>
      </c>
      <c r="B305" s="4" t="s">
        <v>248</v>
      </c>
      <c r="C305" s="7">
        <v>45593</v>
      </c>
      <c r="D305" s="8">
        <v>443.8</v>
      </c>
      <c r="E305" s="8"/>
      <c r="F305" s="122" t="s">
        <v>4110</v>
      </c>
      <c r="G305" s="44">
        <v>106</v>
      </c>
      <c r="H305" t="str">
        <f t="shared" si="16"/>
        <v>GRANITI VICENTIA REALTY 2</v>
      </c>
      <c r="I305" s="112">
        <f t="shared" si="17"/>
        <v>45778</v>
      </c>
      <c r="J305" s="128">
        <f t="shared" si="18"/>
        <v>56000</v>
      </c>
    </row>
    <row r="306" spans="1:10" x14ac:dyDescent="0.3">
      <c r="A306" t="s">
        <v>109</v>
      </c>
      <c r="B306" s="4" t="s">
        <v>249</v>
      </c>
      <c r="C306" s="7">
        <v>45593</v>
      </c>
      <c r="D306" s="8">
        <v>580.42999999999995</v>
      </c>
      <c r="E306" s="8"/>
      <c r="F306" s="122" t="s">
        <v>4110</v>
      </c>
      <c r="G306" s="44">
        <v>111</v>
      </c>
      <c r="H306" t="str">
        <f t="shared" si="16"/>
        <v>GRANITI VICENTIA REALTY 2</v>
      </c>
      <c r="I306" s="112">
        <f t="shared" si="17"/>
        <v>45809</v>
      </c>
      <c r="J306" s="128">
        <f t="shared" si="18"/>
        <v>56000</v>
      </c>
    </row>
    <row r="307" spans="1:10" x14ac:dyDescent="0.3">
      <c r="A307" t="s">
        <v>109</v>
      </c>
      <c r="B307" s="4" t="s">
        <v>250</v>
      </c>
      <c r="C307" s="7">
        <v>45593</v>
      </c>
      <c r="D307" s="8">
        <v>1122.8</v>
      </c>
      <c r="E307" s="8"/>
      <c r="F307" s="122" t="s">
        <v>4110</v>
      </c>
      <c r="G307" s="44" t="s">
        <v>304</v>
      </c>
      <c r="H307" t="str">
        <f t="shared" si="16"/>
        <v>GREEN RIVER INTL INC</v>
      </c>
      <c r="I307" s="112">
        <f t="shared" si="17"/>
        <v>45490</v>
      </c>
      <c r="J307" s="128">
        <f t="shared" si="18"/>
        <v>6010.33</v>
      </c>
    </row>
    <row r="308" spans="1:10" x14ac:dyDescent="0.3">
      <c r="A308" t="s">
        <v>109</v>
      </c>
      <c r="B308" s="4" t="s">
        <v>251</v>
      </c>
      <c r="C308" s="7">
        <v>45593</v>
      </c>
      <c r="D308" s="8">
        <v>4486.5200000000004</v>
      </c>
      <c r="E308" s="8"/>
      <c r="F308" s="122" t="s">
        <v>4110</v>
      </c>
      <c r="G308" s="44" t="s">
        <v>305</v>
      </c>
      <c r="H308" t="str">
        <f t="shared" si="16"/>
        <v>GREEN RIVER INTL INC</v>
      </c>
      <c r="I308" s="112">
        <f t="shared" si="17"/>
        <v>45566</v>
      </c>
      <c r="J308" s="128">
        <f t="shared" si="18"/>
        <v>6530.51</v>
      </c>
    </row>
    <row r="309" spans="1:10" x14ac:dyDescent="0.3">
      <c r="A309" t="s">
        <v>109</v>
      </c>
      <c r="B309" s="4" t="s">
        <v>252</v>
      </c>
      <c r="C309" s="7">
        <v>45593</v>
      </c>
      <c r="D309" s="8">
        <v>4712.3999999999996</v>
      </c>
      <c r="E309" s="8"/>
      <c r="F309" s="122" t="s">
        <v>4110</v>
      </c>
      <c r="G309" s="44" t="s">
        <v>307</v>
      </c>
      <c r="H309" t="str">
        <f t="shared" si="16"/>
        <v>GV Facades LLC</v>
      </c>
      <c r="I309" s="112">
        <f t="shared" si="17"/>
        <v>45418</v>
      </c>
      <c r="J309" s="128">
        <f t="shared" si="18"/>
        <v>2903.02</v>
      </c>
    </row>
    <row r="310" spans="1:10" x14ac:dyDescent="0.3">
      <c r="A310" t="s">
        <v>109</v>
      </c>
      <c r="B310" s="4" t="s">
        <v>253</v>
      </c>
      <c r="C310" s="7">
        <v>45593</v>
      </c>
      <c r="D310" s="8">
        <v>4975.51</v>
      </c>
      <c r="E310" s="8"/>
      <c r="F310" s="122" t="s">
        <v>4110</v>
      </c>
      <c r="G310" s="44" t="s">
        <v>308</v>
      </c>
      <c r="H310" t="str">
        <f t="shared" si="16"/>
        <v>GV Facades LLC</v>
      </c>
      <c r="I310" s="112">
        <f t="shared" si="17"/>
        <v>45446</v>
      </c>
      <c r="J310" s="128">
        <f t="shared" si="18"/>
        <v>2152.48</v>
      </c>
    </row>
    <row r="311" spans="1:10" x14ac:dyDescent="0.3">
      <c r="A311" t="s">
        <v>109</v>
      </c>
      <c r="B311" s="4" t="s">
        <v>254</v>
      </c>
      <c r="C311" s="7">
        <v>45594</v>
      </c>
      <c r="D311" s="8">
        <v>58997.99</v>
      </c>
      <c r="E311" s="8"/>
      <c r="F311" s="122" t="s">
        <v>4110</v>
      </c>
      <c r="G311" s="44" t="s">
        <v>309</v>
      </c>
      <c r="H311" t="str">
        <f t="shared" si="16"/>
        <v>GV Facades LLC</v>
      </c>
      <c r="I311" s="112">
        <f t="shared" si="17"/>
        <v>45446</v>
      </c>
      <c r="J311" s="128">
        <f t="shared" si="18"/>
        <v>5204.46</v>
      </c>
    </row>
    <row r="312" spans="1:10" x14ac:dyDescent="0.3">
      <c r="A312" t="s">
        <v>109</v>
      </c>
      <c r="B312" s="4" t="s">
        <v>255</v>
      </c>
      <c r="C312" s="7">
        <v>45597</v>
      </c>
      <c r="D312" s="8">
        <v>62782.28</v>
      </c>
      <c r="E312" s="8"/>
      <c r="F312" s="122" t="s">
        <v>4110</v>
      </c>
      <c r="G312" s="44" t="s">
        <v>310</v>
      </c>
      <c r="H312" t="str">
        <f t="shared" si="16"/>
        <v>GV Facades LLC</v>
      </c>
      <c r="I312" s="112">
        <f t="shared" si="17"/>
        <v>45446</v>
      </c>
      <c r="J312" s="128">
        <f t="shared" si="18"/>
        <v>4552.0200000000004</v>
      </c>
    </row>
    <row r="313" spans="1:10" x14ac:dyDescent="0.3">
      <c r="A313" t="s">
        <v>109</v>
      </c>
      <c r="B313" s="4" t="s">
        <v>250</v>
      </c>
      <c r="C313" s="7">
        <v>45597</v>
      </c>
      <c r="D313" s="8">
        <v>2240.38</v>
      </c>
      <c r="E313" s="8"/>
      <c r="F313" s="122" t="s">
        <v>4110</v>
      </c>
      <c r="G313" s="44" t="s">
        <v>311</v>
      </c>
      <c r="H313" t="str">
        <f t="shared" si="16"/>
        <v>GV Facades LLC</v>
      </c>
      <c r="I313" s="112">
        <f t="shared" si="17"/>
        <v>45446</v>
      </c>
      <c r="J313" s="128">
        <f t="shared" si="18"/>
        <v>7040</v>
      </c>
    </row>
    <row r="314" spans="1:10" x14ac:dyDescent="0.3">
      <c r="A314" t="s">
        <v>109</v>
      </c>
      <c r="B314" s="4" t="s">
        <v>256</v>
      </c>
      <c r="C314" s="7">
        <v>45618</v>
      </c>
      <c r="D314" s="8">
        <v>7459.87</v>
      </c>
      <c r="E314" s="8"/>
      <c r="F314" s="122" t="s">
        <v>4110</v>
      </c>
      <c r="G314" s="44" t="s">
        <v>312</v>
      </c>
      <c r="H314" t="str">
        <f t="shared" si="16"/>
        <v>GV Facades LLC</v>
      </c>
      <c r="I314" s="112">
        <f t="shared" si="17"/>
        <v>45446</v>
      </c>
      <c r="J314" s="128">
        <f t="shared" si="18"/>
        <v>13844.95</v>
      </c>
    </row>
    <row r="315" spans="1:10" x14ac:dyDescent="0.3">
      <c r="A315" t="s">
        <v>109</v>
      </c>
      <c r="B315" s="4" t="s">
        <v>257</v>
      </c>
      <c r="C315" s="7">
        <v>45618</v>
      </c>
      <c r="D315" s="8">
        <v>20459.62</v>
      </c>
      <c r="E315" s="8"/>
      <c r="F315" s="122" t="s">
        <v>4110</v>
      </c>
      <c r="G315" s="44" t="s">
        <v>313</v>
      </c>
      <c r="H315" t="str">
        <f t="shared" si="16"/>
        <v>GV Facades LLC</v>
      </c>
      <c r="I315" s="112">
        <f t="shared" si="17"/>
        <v>45530</v>
      </c>
      <c r="J315" s="128">
        <f t="shared" si="18"/>
        <v>2250.7199999999998</v>
      </c>
    </row>
    <row r="316" spans="1:10" x14ac:dyDescent="0.3">
      <c r="A316" t="s">
        <v>109</v>
      </c>
      <c r="B316" s="4" t="s">
        <v>258</v>
      </c>
      <c r="C316" s="7">
        <v>45618</v>
      </c>
      <c r="D316" s="8">
        <v>2218.98</v>
      </c>
      <c r="E316" s="8"/>
      <c r="F316" s="122" t="s">
        <v>4110</v>
      </c>
      <c r="G316" s="44" t="s">
        <v>314</v>
      </c>
      <c r="H316" t="str">
        <f t="shared" si="16"/>
        <v>GV Facades LLC</v>
      </c>
      <c r="I316" s="112">
        <f t="shared" si="17"/>
        <v>45635</v>
      </c>
      <c r="J316" s="128">
        <f t="shared" si="18"/>
        <v>20974.15</v>
      </c>
    </row>
    <row r="317" spans="1:10" x14ac:dyDescent="0.3">
      <c r="A317" t="s">
        <v>109</v>
      </c>
      <c r="B317" s="4" t="s">
        <v>259</v>
      </c>
      <c r="C317" s="7">
        <v>45618</v>
      </c>
      <c r="D317" s="8">
        <v>520.92999999999995</v>
      </c>
      <c r="E317" s="8"/>
      <c r="F317" s="122" t="s">
        <v>4110</v>
      </c>
      <c r="G317" s="44" t="s">
        <v>315</v>
      </c>
      <c r="H317" t="str">
        <f t="shared" si="16"/>
        <v>GV Facades LLC</v>
      </c>
      <c r="I317" s="112">
        <f t="shared" si="17"/>
        <v>45635</v>
      </c>
      <c r="J317" s="128">
        <f t="shared" si="18"/>
        <v>1859.64</v>
      </c>
    </row>
    <row r="318" spans="1:10" x14ac:dyDescent="0.3">
      <c r="A318" t="s">
        <v>109</v>
      </c>
      <c r="B318" s="4" t="s">
        <v>260</v>
      </c>
      <c r="C318" s="7">
        <v>45622</v>
      </c>
      <c r="D318" s="8">
        <v>11058.43</v>
      </c>
      <c r="E318" s="8"/>
      <c r="F318" s="122" t="s">
        <v>4110</v>
      </c>
      <c r="G318" s="44" t="s">
        <v>316</v>
      </c>
      <c r="H318" t="str">
        <f t="shared" si="16"/>
        <v>GV Facades LLC</v>
      </c>
      <c r="I318" s="112">
        <f t="shared" si="17"/>
        <v>45666</v>
      </c>
      <c r="J318" s="128">
        <f t="shared" si="18"/>
        <v>-245.41</v>
      </c>
    </row>
    <row r="319" spans="1:10" x14ac:dyDescent="0.3">
      <c r="A319" t="s">
        <v>109</v>
      </c>
      <c r="B319" s="4" t="s">
        <v>261</v>
      </c>
      <c r="C319" s="7">
        <v>45622</v>
      </c>
      <c r="D319" s="8">
        <v>454.67</v>
      </c>
      <c r="E319" s="8"/>
      <c r="F319" s="122" t="s">
        <v>4110</v>
      </c>
      <c r="G319" s="44" t="s">
        <v>317</v>
      </c>
      <c r="H319" t="str">
        <f t="shared" si="16"/>
        <v>GV Facades LLC</v>
      </c>
      <c r="I319" s="112">
        <f t="shared" si="17"/>
        <v>45789</v>
      </c>
      <c r="J319" s="128">
        <f t="shared" si="18"/>
        <v>4462.72</v>
      </c>
    </row>
    <row r="320" spans="1:10" x14ac:dyDescent="0.3">
      <c r="A320" t="s">
        <v>109</v>
      </c>
      <c r="B320" s="4" t="s">
        <v>262</v>
      </c>
      <c r="C320" s="7">
        <v>45622</v>
      </c>
      <c r="D320" s="8">
        <v>34421.65</v>
      </c>
      <c r="E320" s="8"/>
      <c r="F320" s="122" t="s">
        <v>4110</v>
      </c>
      <c r="G320" s="44" t="s">
        <v>318</v>
      </c>
      <c r="H320" t="str">
        <f t="shared" si="16"/>
        <v>GV Facades LLC</v>
      </c>
      <c r="I320" s="112">
        <f t="shared" si="17"/>
        <v>45804</v>
      </c>
      <c r="J320" s="128">
        <f t="shared" si="18"/>
        <v>3517.3</v>
      </c>
    </row>
    <row r="321" spans="1:10" x14ac:dyDescent="0.3">
      <c r="A321" t="s">
        <v>109</v>
      </c>
      <c r="B321" s="4" t="s">
        <v>263</v>
      </c>
      <c r="C321" s="7">
        <v>45623</v>
      </c>
      <c r="D321" s="8">
        <v>30.31</v>
      </c>
      <c r="E321" s="8"/>
      <c r="F321" s="122" t="s">
        <v>4110</v>
      </c>
      <c r="G321" s="44" t="s">
        <v>319</v>
      </c>
      <c r="H321" t="str">
        <f t="shared" si="16"/>
        <v>GV Facades LLC</v>
      </c>
      <c r="I321" s="112">
        <f t="shared" si="17"/>
        <v>45810</v>
      </c>
      <c r="J321" s="128">
        <f t="shared" si="18"/>
        <v>371.5</v>
      </c>
    </row>
    <row r="322" spans="1:10" x14ac:dyDescent="0.3">
      <c r="A322" t="s">
        <v>109</v>
      </c>
      <c r="B322" s="4" t="s">
        <v>264</v>
      </c>
      <c r="C322" s="7">
        <v>45625</v>
      </c>
      <c r="D322" s="8">
        <v>46746.17</v>
      </c>
      <c r="E322" s="8"/>
      <c r="F322" s="122" t="s">
        <v>4110</v>
      </c>
      <c r="G322" s="44" t="s">
        <v>320</v>
      </c>
      <c r="H322" t="str">
        <f t="shared" si="16"/>
        <v>GV Facades LLC</v>
      </c>
      <c r="I322" s="112">
        <f t="shared" si="17"/>
        <v>45838</v>
      </c>
      <c r="J322" s="128">
        <f t="shared" si="18"/>
        <v>6990</v>
      </c>
    </row>
    <row r="323" spans="1:10" x14ac:dyDescent="0.3">
      <c r="A323" t="s">
        <v>109</v>
      </c>
      <c r="B323" s="4" t="s">
        <v>265</v>
      </c>
      <c r="C323" s="7">
        <v>45625</v>
      </c>
      <c r="D323" s="8">
        <v>3598.56</v>
      </c>
      <c r="E323" s="8"/>
      <c r="F323" s="122" t="s">
        <v>4110</v>
      </c>
      <c r="G323" s="44" t="s">
        <v>321</v>
      </c>
      <c r="H323" t="str">
        <f t="shared" si="16"/>
        <v>GV Facades LLC</v>
      </c>
      <c r="I323" s="112">
        <f t="shared" si="17"/>
        <v>45838</v>
      </c>
      <c r="J323" s="128">
        <f t="shared" si="18"/>
        <v>3654</v>
      </c>
    </row>
    <row r="324" spans="1:10" x14ac:dyDescent="0.3">
      <c r="A324" t="s">
        <v>109</v>
      </c>
      <c r="B324" s="4" t="s">
        <v>266</v>
      </c>
      <c r="C324" s="7">
        <v>45625</v>
      </c>
      <c r="D324" s="8">
        <v>13962.03</v>
      </c>
      <c r="E324" s="8"/>
      <c r="F324" s="122" t="s">
        <v>4110</v>
      </c>
      <c r="G324" s="44" t="s">
        <v>322</v>
      </c>
      <c r="H324" t="str">
        <f t="shared" si="16"/>
        <v>GV Facades LLC</v>
      </c>
      <c r="I324" s="112">
        <f t="shared" si="17"/>
        <v>45838</v>
      </c>
      <c r="J324" s="128">
        <f t="shared" si="18"/>
        <v>41155.78</v>
      </c>
    </row>
    <row r="325" spans="1:10" x14ac:dyDescent="0.3">
      <c r="A325" t="s">
        <v>109</v>
      </c>
      <c r="B325" s="4" t="s">
        <v>267</v>
      </c>
      <c r="C325" s="7">
        <v>45625</v>
      </c>
      <c r="D325" s="8">
        <v>271.33999999999997</v>
      </c>
      <c r="E325" s="8"/>
      <c r="F325" s="122" t="s">
        <v>4110</v>
      </c>
      <c r="G325" s="44" t="s">
        <v>323</v>
      </c>
      <c r="H325" t="str">
        <f t="shared" si="16"/>
        <v>GV Facades LLC</v>
      </c>
      <c r="I325" s="112">
        <f t="shared" si="17"/>
        <v>45838</v>
      </c>
      <c r="J325" s="128">
        <f t="shared" si="18"/>
        <v>5919.78</v>
      </c>
    </row>
    <row r="326" spans="1:10" x14ac:dyDescent="0.3">
      <c r="A326" t="s">
        <v>109</v>
      </c>
      <c r="B326" s="4" t="s">
        <v>268</v>
      </c>
      <c r="C326" s="7">
        <v>45625</v>
      </c>
      <c r="D326" s="8">
        <v>597.87</v>
      </c>
      <c r="E326" s="8"/>
      <c r="F326" s="122" t="s">
        <v>4110</v>
      </c>
      <c r="G326" s="44" t="s">
        <v>325</v>
      </c>
      <c r="H326" t="str">
        <f t="shared" ref="H326:H389" si="19">_xlfn.XLOOKUP(G326,B:B,A:A,,)</f>
        <v>HARMONY HOSPITALITY CO LTD</v>
      </c>
      <c r="I326" s="112">
        <f t="shared" ref="I326:I389" si="20">_xlfn.XLOOKUP(G326,B:B,C:C,,)</f>
        <v>45802</v>
      </c>
      <c r="J326" s="128">
        <f t="shared" ref="J326:J389" si="21">SUMIF(B:B,G326,D:D)</f>
        <v>26350.49</v>
      </c>
    </row>
    <row r="327" spans="1:10" x14ac:dyDescent="0.3">
      <c r="A327" t="s">
        <v>109</v>
      </c>
      <c r="B327" s="4" t="s">
        <v>269</v>
      </c>
      <c r="C327" s="7">
        <v>45629</v>
      </c>
      <c r="D327" s="8">
        <v>3955.38</v>
      </c>
      <c r="E327" s="8"/>
      <c r="F327" s="122" t="s">
        <v>4110</v>
      </c>
      <c r="G327" s="44" t="s">
        <v>326</v>
      </c>
      <c r="H327" t="str">
        <f t="shared" si="19"/>
        <v>HARMONY HOSPITALITY CO LTD</v>
      </c>
      <c r="I327" s="112">
        <f t="shared" si="20"/>
        <v>45804</v>
      </c>
      <c r="J327" s="128">
        <f t="shared" si="21"/>
        <v>92223.14</v>
      </c>
    </row>
    <row r="328" spans="1:10" x14ac:dyDescent="0.3">
      <c r="A328" t="s">
        <v>109</v>
      </c>
      <c r="B328" s="4" t="s">
        <v>270</v>
      </c>
      <c r="C328" s="7">
        <v>45629</v>
      </c>
      <c r="D328" s="8">
        <v>3705.27</v>
      </c>
      <c r="E328" s="8"/>
      <c r="F328" s="122" t="s">
        <v>4110</v>
      </c>
      <c r="G328" s="44" t="s">
        <v>327</v>
      </c>
      <c r="H328" t="str">
        <f t="shared" si="19"/>
        <v>HARMONY HOSPITALITY CO LTD</v>
      </c>
      <c r="I328" s="112">
        <f t="shared" si="20"/>
        <v>45807</v>
      </c>
      <c r="J328" s="128">
        <f t="shared" si="21"/>
        <v>48937.65</v>
      </c>
    </row>
    <row r="329" spans="1:10" x14ac:dyDescent="0.3">
      <c r="A329" t="s">
        <v>109</v>
      </c>
      <c r="B329" s="4" t="s">
        <v>271</v>
      </c>
      <c r="C329" s="7">
        <v>45630</v>
      </c>
      <c r="D329" s="8">
        <v>598.79999999999995</v>
      </c>
      <c r="E329" s="8"/>
      <c r="F329" s="122" t="s">
        <v>4110</v>
      </c>
      <c r="G329" s="44" t="s">
        <v>328</v>
      </c>
      <c r="H329" t="str">
        <f t="shared" si="19"/>
        <v>HARMONY HOSPITALITY CO LTD</v>
      </c>
      <c r="I329" s="112">
        <f t="shared" si="20"/>
        <v>45807</v>
      </c>
      <c r="J329" s="128">
        <f t="shared" si="21"/>
        <v>8973.35</v>
      </c>
    </row>
    <row r="330" spans="1:10" x14ac:dyDescent="0.3">
      <c r="A330" t="s">
        <v>109</v>
      </c>
      <c r="B330" s="4" t="s">
        <v>272</v>
      </c>
      <c r="C330" s="7">
        <v>45630</v>
      </c>
      <c r="D330" s="8">
        <v>940.68</v>
      </c>
      <c r="E330" s="8"/>
      <c r="F330" s="122" t="s">
        <v>4110</v>
      </c>
      <c r="G330" s="44" t="s">
        <v>329</v>
      </c>
      <c r="H330" t="str">
        <f t="shared" si="19"/>
        <v>HARMONY HOSPITALITY CO LTD</v>
      </c>
      <c r="I330" s="112">
        <f t="shared" si="20"/>
        <v>45807</v>
      </c>
      <c r="J330" s="128">
        <f t="shared" si="21"/>
        <v>39159.199999999997</v>
      </c>
    </row>
    <row r="331" spans="1:10" x14ac:dyDescent="0.3">
      <c r="A331" t="s">
        <v>109</v>
      </c>
      <c r="B331" s="4" t="s">
        <v>273</v>
      </c>
      <c r="C331" s="7">
        <v>45631</v>
      </c>
      <c r="D331" s="8">
        <v>74045.62</v>
      </c>
      <c r="E331" s="8"/>
      <c r="F331" s="122" t="s">
        <v>4110</v>
      </c>
      <c r="G331" s="44" t="s">
        <v>330</v>
      </c>
      <c r="H331" t="str">
        <f t="shared" si="19"/>
        <v>HARMONY HOSPITALITY CO LTD</v>
      </c>
      <c r="I331" s="112">
        <f t="shared" si="20"/>
        <v>45807</v>
      </c>
      <c r="J331" s="128">
        <f t="shared" si="21"/>
        <v>24187.4</v>
      </c>
    </row>
    <row r="332" spans="1:10" x14ac:dyDescent="0.3">
      <c r="A332" t="s">
        <v>109</v>
      </c>
      <c r="B332" s="4" t="s">
        <v>274</v>
      </c>
      <c r="C332" s="7">
        <v>45636</v>
      </c>
      <c r="D332" s="8">
        <v>174.37</v>
      </c>
      <c r="E332" s="8"/>
      <c r="F332" s="122" t="s">
        <v>4110</v>
      </c>
      <c r="G332" s="44" t="s">
        <v>331</v>
      </c>
      <c r="H332" t="str">
        <f t="shared" si="19"/>
        <v>HARMONY HOSPITALITY CO LTD</v>
      </c>
      <c r="I332" s="112">
        <f t="shared" si="20"/>
        <v>45807</v>
      </c>
      <c r="J332" s="128">
        <f t="shared" si="21"/>
        <v>49931.82</v>
      </c>
    </row>
    <row r="333" spans="1:10" x14ac:dyDescent="0.3">
      <c r="A333" t="s">
        <v>109</v>
      </c>
      <c r="B333" s="4" t="s">
        <v>275</v>
      </c>
      <c r="C333" s="7">
        <v>45636</v>
      </c>
      <c r="D333" s="8">
        <v>183.26</v>
      </c>
      <c r="E333" s="8"/>
      <c r="F333" s="122" t="s">
        <v>4110</v>
      </c>
      <c r="G333" s="44" t="s">
        <v>332</v>
      </c>
      <c r="H333" t="str">
        <f t="shared" si="19"/>
        <v>HARMONY HOSPITALITY CO LTD</v>
      </c>
      <c r="I333" s="112">
        <f t="shared" si="20"/>
        <v>45807</v>
      </c>
      <c r="J333" s="128">
        <f t="shared" si="21"/>
        <v>60597.5</v>
      </c>
    </row>
    <row r="334" spans="1:10" x14ac:dyDescent="0.3">
      <c r="A334" t="s">
        <v>109</v>
      </c>
      <c r="B334" s="4" t="s">
        <v>276</v>
      </c>
      <c r="C334" s="7">
        <v>45637</v>
      </c>
      <c r="D334" s="8">
        <v>3482.14</v>
      </c>
      <c r="E334" s="8"/>
      <c r="F334" s="122" t="s">
        <v>4110</v>
      </c>
      <c r="G334" s="44" t="s">
        <v>333</v>
      </c>
      <c r="H334" t="str">
        <f t="shared" si="19"/>
        <v>HARMONY HOSPITALITY CO LTD</v>
      </c>
      <c r="I334" s="112">
        <f t="shared" si="20"/>
        <v>45825</v>
      </c>
      <c r="J334" s="128">
        <f t="shared" si="21"/>
        <v>-28020.2</v>
      </c>
    </row>
    <row r="335" spans="1:10" x14ac:dyDescent="0.3">
      <c r="A335" t="s">
        <v>109</v>
      </c>
      <c r="B335" s="4" t="s">
        <v>277</v>
      </c>
      <c r="C335" s="7">
        <v>45638</v>
      </c>
      <c r="D335" s="8">
        <v>167677.56</v>
      </c>
      <c r="E335" s="8"/>
      <c r="F335" s="122" t="s">
        <v>4110</v>
      </c>
      <c r="G335" s="44" t="s">
        <v>334</v>
      </c>
      <c r="H335" t="str">
        <f t="shared" si="19"/>
        <v>HARMONY HOSPITALITY CO LTD</v>
      </c>
      <c r="I335" s="112">
        <f t="shared" si="20"/>
        <v>45831</v>
      </c>
      <c r="J335" s="128">
        <f t="shared" si="21"/>
        <v>40323.79</v>
      </c>
    </row>
    <row r="336" spans="1:10" x14ac:dyDescent="0.3">
      <c r="A336" t="s">
        <v>109</v>
      </c>
      <c r="B336" s="4" t="s">
        <v>278</v>
      </c>
      <c r="C336" s="7">
        <v>45644</v>
      </c>
      <c r="D336" s="8">
        <v>5634.45</v>
      </c>
      <c r="E336" s="8"/>
      <c r="F336" s="122" t="s">
        <v>4110</v>
      </c>
      <c r="G336" s="44" t="s">
        <v>335</v>
      </c>
      <c r="H336" t="str">
        <f t="shared" si="19"/>
        <v>HARMONY HOSPITALITY CO LTD</v>
      </c>
      <c r="I336" s="112">
        <f t="shared" si="20"/>
        <v>45831</v>
      </c>
      <c r="J336" s="128">
        <f t="shared" si="21"/>
        <v>1506</v>
      </c>
    </row>
    <row r="337" spans="1:10" x14ac:dyDescent="0.3">
      <c r="A337" t="s">
        <v>109</v>
      </c>
      <c r="B337" s="4" t="s">
        <v>278</v>
      </c>
      <c r="C337" s="7">
        <v>45644</v>
      </c>
      <c r="D337" s="8">
        <v>27532.51</v>
      </c>
      <c r="E337" s="8"/>
      <c r="F337" s="122" t="s">
        <v>4110</v>
      </c>
      <c r="G337" s="44" t="s">
        <v>336</v>
      </c>
      <c r="H337" t="str">
        <f t="shared" si="19"/>
        <v>HARMONY HOSPITALITY CO LTD</v>
      </c>
      <c r="I337" s="112">
        <f t="shared" si="20"/>
        <v>45831</v>
      </c>
      <c r="J337" s="128">
        <f t="shared" si="21"/>
        <v>-69985.3</v>
      </c>
    </row>
    <row r="338" spans="1:10" x14ac:dyDescent="0.3">
      <c r="A338" t="s">
        <v>109</v>
      </c>
      <c r="B338" s="4" t="s">
        <v>279</v>
      </c>
      <c r="C338" s="7">
        <v>45645</v>
      </c>
      <c r="D338" s="8">
        <v>13165.35</v>
      </c>
      <c r="E338" s="8"/>
      <c r="F338" s="122" t="s">
        <v>4110</v>
      </c>
      <c r="G338" s="44" t="s">
        <v>337</v>
      </c>
      <c r="H338" t="str">
        <f t="shared" si="19"/>
        <v>HARMONY HOSPITALITY CO LTD</v>
      </c>
      <c r="I338" s="112">
        <f t="shared" si="20"/>
        <v>45835</v>
      </c>
      <c r="J338" s="128">
        <f t="shared" si="21"/>
        <v>4317.0200000000004</v>
      </c>
    </row>
    <row r="339" spans="1:10" x14ac:dyDescent="0.3">
      <c r="A339" t="s">
        <v>109</v>
      </c>
      <c r="B339" s="4" t="s">
        <v>280</v>
      </c>
      <c r="C339" s="7">
        <v>45646</v>
      </c>
      <c r="D339" s="8">
        <v>3930.77</v>
      </c>
      <c r="E339" s="8"/>
      <c r="F339" s="122" t="s">
        <v>4110</v>
      </c>
      <c r="G339" s="44" t="s">
        <v>338</v>
      </c>
      <c r="H339" t="str">
        <f t="shared" si="19"/>
        <v>HARMONY HOSPITALITY CO LTD</v>
      </c>
      <c r="I339" s="112">
        <f t="shared" si="20"/>
        <v>45835</v>
      </c>
      <c r="J339" s="128">
        <f t="shared" si="21"/>
        <v>6846.5499999999993</v>
      </c>
    </row>
    <row r="340" spans="1:10" x14ac:dyDescent="0.3">
      <c r="A340" t="s">
        <v>109</v>
      </c>
      <c r="B340" s="4" t="s">
        <v>281</v>
      </c>
      <c r="C340" s="7">
        <v>45684</v>
      </c>
      <c r="D340" s="8">
        <v>64830.44</v>
      </c>
      <c r="E340" s="8"/>
      <c r="F340" s="122" t="s">
        <v>4110</v>
      </c>
      <c r="G340" s="44" t="s">
        <v>340</v>
      </c>
      <c r="H340" t="str">
        <f t="shared" si="19"/>
        <v>HD EXPO/Hunter Hotel Investment Conference,</v>
      </c>
      <c r="I340" s="112">
        <f t="shared" si="20"/>
        <v>45828</v>
      </c>
      <c r="J340" s="128">
        <f t="shared" si="21"/>
        <v>34757.1</v>
      </c>
    </row>
    <row r="341" spans="1:10" x14ac:dyDescent="0.3">
      <c r="A341" t="s">
        <v>109</v>
      </c>
      <c r="B341" s="4" t="s">
        <v>282</v>
      </c>
      <c r="C341" s="7">
        <v>45692</v>
      </c>
      <c r="D341" s="8">
        <v>25248.01</v>
      </c>
      <c r="E341" s="8"/>
      <c r="F341" s="122" t="s">
        <v>4110</v>
      </c>
      <c r="G341" s="44" t="s">
        <v>342</v>
      </c>
      <c r="H341" t="str">
        <f t="shared" si="19"/>
        <v>HEBEI VINCENTAA SCULPTURE ENGINEER CO LTD</v>
      </c>
      <c r="I341" s="112">
        <f t="shared" si="20"/>
        <v>45797</v>
      </c>
      <c r="J341" s="128">
        <f t="shared" si="21"/>
        <v>22000</v>
      </c>
    </row>
    <row r="342" spans="1:10" x14ac:dyDescent="0.3">
      <c r="A342" t="s">
        <v>109</v>
      </c>
      <c r="B342" s="4" t="s">
        <v>283</v>
      </c>
      <c r="C342" s="7">
        <v>45692</v>
      </c>
      <c r="D342" s="8">
        <v>729.17</v>
      </c>
      <c r="E342" s="8"/>
      <c r="F342" s="122" t="s">
        <v>4110</v>
      </c>
      <c r="G342" s="44" t="s">
        <v>344</v>
      </c>
      <c r="H342" t="str">
        <f t="shared" si="19"/>
        <v>Hilltop Stones Inc.</v>
      </c>
      <c r="I342" s="112">
        <f t="shared" si="20"/>
        <v>45820</v>
      </c>
      <c r="J342" s="128">
        <f t="shared" si="21"/>
        <v>-10557.02</v>
      </c>
    </row>
    <row r="343" spans="1:10" x14ac:dyDescent="0.3">
      <c r="A343" t="s">
        <v>109</v>
      </c>
      <c r="B343" s="4" t="s">
        <v>284</v>
      </c>
      <c r="C343" s="7">
        <v>45692</v>
      </c>
      <c r="D343" s="8">
        <v>3597</v>
      </c>
      <c r="E343" s="8"/>
      <c r="F343" s="122" t="s">
        <v>4110</v>
      </c>
      <c r="G343" s="44">
        <v>11569</v>
      </c>
      <c r="H343" t="str">
        <f t="shared" si="19"/>
        <v>HJ sink</v>
      </c>
      <c r="I343" s="112">
        <f t="shared" si="20"/>
        <v>45824</v>
      </c>
      <c r="J343" s="128">
        <f t="shared" si="21"/>
        <v>-9900</v>
      </c>
    </row>
    <row r="344" spans="1:10" x14ac:dyDescent="0.3">
      <c r="A344" t="s">
        <v>109</v>
      </c>
      <c r="B344" s="4" t="s">
        <v>285</v>
      </c>
      <c r="C344" s="7">
        <v>45692</v>
      </c>
      <c r="D344" s="8">
        <v>519.30999999999995</v>
      </c>
      <c r="E344" s="8"/>
      <c r="F344" s="122" t="s">
        <v>4110</v>
      </c>
      <c r="G344" s="44" t="s">
        <v>348</v>
      </c>
      <c r="H344" t="str">
        <f t="shared" si="19"/>
        <v>Home Depot</v>
      </c>
      <c r="I344" s="112">
        <f t="shared" si="20"/>
        <v>45728</v>
      </c>
      <c r="J344" s="128">
        <f t="shared" si="21"/>
        <v>1917.02</v>
      </c>
    </row>
    <row r="345" spans="1:10" x14ac:dyDescent="0.3">
      <c r="A345" t="s">
        <v>109</v>
      </c>
      <c r="B345" s="4" t="s">
        <v>286</v>
      </c>
      <c r="C345" s="7">
        <v>45692</v>
      </c>
      <c r="D345" s="8">
        <v>3017.01</v>
      </c>
      <c r="E345" s="8"/>
      <c r="F345" s="122" t="s">
        <v>4110</v>
      </c>
      <c r="G345" s="44" t="s">
        <v>349</v>
      </c>
      <c r="H345" t="str">
        <f t="shared" si="19"/>
        <v>Home Depot</v>
      </c>
      <c r="I345" s="112">
        <f t="shared" si="20"/>
        <v>45742</v>
      </c>
      <c r="J345" s="128">
        <f t="shared" si="21"/>
        <v>1329.61</v>
      </c>
    </row>
    <row r="346" spans="1:10" x14ac:dyDescent="0.3">
      <c r="A346" t="s">
        <v>109</v>
      </c>
      <c r="B346" s="4" t="s">
        <v>287</v>
      </c>
      <c r="C346" s="7">
        <v>45692</v>
      </c>
      <c r="D346" s="8">
        <v>74.12</v>
      </c>
      <c r="E346" s="8"/>
      <c r="F346" s="122" t="s">
        <v>4110</v>
      </c>
      <c r="G346" s="44">
        <v>25017885541</v>
      </c>
      <c r="H346" t="str">
        <f t="shared" si="19"/>
        <v>Hotel Engine</v>
      </c>
      <c r="I346" s="112">
        <f t="shared" si="20"/>
        <v>45685</v>
      </c>
      <c r="J346" s="128">
        <f t="shared" si="21"/>
        <v>118.99</v>
      </c>
    </row>
    <row r="347" spans="1:10" x14ac:dyDescent="0.3">
      <c r="A347" t="s">
        <v>109</v>
      </c>
      <c r="B347" s="4" t="s">
        <v>288</v>
      </c>
      <c r="C347" s="7">
        <v>45692</v>
      </c>
      <c r="D347" s="8">
        <v>637.75</v>
      </c>
      <c r="E347" s="8"/>
      <c r="F347" s="122" t="s">
        <v>4110</v>
      </c>
      <c r="G347" s="44">
        <v>25017885542</v>
      </c>
      <c r="H347" t="str">
        <f t="shared" si="19"/>
        <v>Hotel Engine</v>
      </c>
      <c r="I347" s="112">
        <f t="shared" si="20"/>
        <v>45685</v>
      </c>
      <c r="J347" s="128">
        <f t="shared" si="21"/>
        <v>118.99</v>
      </c>
    </row>
    <row r="348" spans="1:10" x14ac:dyDescent="0.3">
      <c r="A348" t="s">
        <v>109</v>
      </c>
      <c r="B348" s="4" t="s">
        <v>289</v>
      </c>
      <c r="C348" s="7">
        <v>45692</v>
      </c>
      <c r="D348" s="8">
        <v>177.8</v>
      </c>
      <c r="E348" s="8"/>
      <c r="F348" s="122" t="s">
        <v>4110</v>
      </c>
      <c r="G348" s="44">
        <v>25017929001</v>
      </c>
      <c r="H348" t="str">
        <f t="shared" si="19"/>
        <v>Hotel Engine</v>
      </c>
      <c r="I348" s="112">
        <f t="shared" si="20"/>
        <v>45698</v>
      </c>
      <c r="J348" s="128">
        <f t="shared" si="21"/>
        <v>366.37</v>
      </c>
    </row>
    <row r="349" spans="1:10" x14ac:dyDescent="0.3">
      <c r="A349" t="s">
        <v>109</v>
      </c>
      <c r="B349" s="4" t="s">
        <v>290</v>
      </c>
      <c r="C349" s="7">
        <v>45692</v>
      </c>
      <c r="D349" s="8">
        <v>155.19999999999999</v>
      </c>
      <c r="E349" s="8"/>
      <c r="F349" s="122" t="s">
        <v>4110</v>
      </c>
      <c r="G349" s="44">
        <v>25017929002</v>
      </c>
      <c r="H349" t="str">
        <f t="shared" si="19"/>
        <v>Hotel Engine</v>
      </c>
      <c r="I349" s="112">
        <f t="shared" si="20"/>
        <v>45698</v>
      </c>
      <c r="J349" s="128">
        <f t="shared" si="21"/>
        <v>366.37</v>
      </c>
    </row>
    <row r="350" spans="1:10" x14ac:dyDescent="0.3">
      <c r="A350" t="s">
        <v>109</v>
      </c>
      <c r="B350" s="4" t="s">
        <v>291</v>
      </c>
      <c r="C350" s="7">
        <v>45692</v>
      </c>
      <c r="D350" s="8">
        <v>363.47</v>
      </c>
      <c r="E350" s="8"/>
      <c r="F350" s="122" t="s">
        <v>4110</v>
      </c>
      <c r="G350" s="44">
        <v>25017929003</v>
      </c>
      <c r="H350" t="str">
        <f t="shared" si="19"/>
        <v>Hotel Engine</v>
      </c>
      <c r="I350" s="112">
        <f t="shared" si="20"/>
        <v>45698</v>
      </c>
      <c r="J350" s="128">
        <f t="shared" si="21"/>
        <v>366.37</v>
      </c>
    </row>
    <row r="351" spans="1:10" x14ac:dyDescent="0.3">
      <c r="A351" t="s">
        <v>109</v>
      </c>
      <c r="B351" s="4" t="s">
        <v>292</v>
      </c>
      <c r="C351" s="7">
        <v>45694</v>
      </c>
      <c r="D351" s="8">
        <v>396.18</v>
      </c>
      <c r="E351" s="8"/>
      <c r="F351" s="122" t="s">
        <v>4110</v>
      </c>
      <c r="G351" s="44">
        <v>25018106058</v>
      </c>
      <c r="H351" t="str">
        <f t="shared" si="19"/>
        <v>Hotel Engine</v>
      </c>
      <c r="I351" s="112">
        <f t="shared" si="20"/>
        <v>45698</v>
      </c>
      <c r="J351" s="128">
        <f t="shared" si="21"/>
        <v>113.08</v>
      </c>
    </row>
    <row r="352" spans="1:10" x14ac:dyDescent="0.3">
      <c r="A352" t="s">
        <v>109</v>
      </c>
      <c r="B352" s="4" t="s">
        <v>293</v>
      </c>
      <c r="C352" s="7">
        <v>45707</v>
      </c>
      <c r="D352" s="8">
        <v>313.76</v>
      </c>
      <c r="E352" s="8"/>
      <c r="F352" s="122" t="s">
        <v>4110</v>
      </c>
      <c r="G352" s="44">
        <v>25018106059</v>
      </c>
      <c r="H352" t="str">
        <f t="shared" si="19"/>
        <v>Hotel Engine</v>
      </c>
      <c r="I352" s="112">
        <f t="shared" si="20"/>
        <v>45698</v>
      </c>
      <c r="J352" s="128">
        <f t="shared" si="21"/>
        <v>113.08</v>
      </c>
    </row>
    <row r="353" spans="1:11" x14ac:dyDescent="0.3">
      <c r="A353" t="s">
        <v>109</v>
      </c>
      <c r="B353" s="4" t="s">
        <v>294</v>
      </c>
      <c r="C353" s="7">
        <v>45707</v>
      </c>
      <c r="D353" s="8">
        <v>928.82</v>
      </c>
      <c r="E353" s="8"/>
      <c r="F353" s="122" t="s">
        <v>4110</v>
      </c>
      <c r="G353" s="44" t="s">
        <v>351</v>
      </c>
      <c r="H353" t="str">
        <f t="shared" si="19"/>
        <v>Hotel Engine</v>
      </c>
      <c r="I353" s="112">
        <f t="shared" si="20"/>
        <v>45698</v>
      </c>
      <c r="J353" s="128">
        <f t="shared" si="21"/>
        <v>1563.25</v>
      </c>
    </row>
    <row r="354" spans="1:11" x14ac:dyDescent="0.3">
      <c r="A354" t="s">
        <v>109</v>
      </c>
      <c r="B354" s="4" t="s">
        <v>295</v>
      </c>
      <c r="C354" s="7">
        <v>45707</v>
      </c>
      <c r="D354" s="8">
        <v>406.26</v>
      </c>
      <c r="E354" s="8"/>
      <c r="F354" s="122" t="s">
        <v>4110</v>
      </c>
      <c r="G354" s="44" t="s">
        <v>352</v>
      </c>
      <c r="H354" t="str">
        <f t="shared" si="19"/>
        <v>Hotel Engine</v>
      </c>
      <c r="I354" s="112">
        <f t="shared" si="20"/>
        <v>45712</v>
      </c>
      <c r="J354" s="128">
        <f t="shared" si="21"/>
        <v>3418.21</v>
      </c>
    </row>
    <row r="355" spans="1:11" x14ac:dyDescent="0.3">
      <c r="A355" t="s">
        <v>109</v>
      </c>
      <c r="B355" s="4" t="s">
        <v>296</v>
      </c>
      <c r="C355" s="7">
        <v>45707</v>
      </c>
      <c r="D355" s="8">
        <v>92.06</v>
      </c>
      <c r="E355" s="8"/>
      <c r="F355" s="122" t="s">
        <v>4110</v>
      </c>
      <c r="G355" s="44" t="s">
        <v>353</v>
      </c>
      <c r="H355" t="str">
        <f t="shared" si="19"/>
        <v>Hotel Engine</v>
      </c>
      <c r="I355" s="112">
        <f t="shared" si="20"/>
        <v>45810</v>
      </c>
      <c r="J355" s="128">
        <f t="shared" si="21"/>
        <v>151.77000000000001</v>
      </c>
    </row>
    <row r="356" spans="1:11" x14ac:dyDescent="0.3">
      <c r="A356" t="s">
        <v>109</v>
      </c>
      <c r="B356" s="4" t="s">
        <v>297</v>
      </c>
      <c r="C356" s="7">
        <v>45729</v>
      </c>
      <c r="D356" s="8">
        <v>708.45</v>
      </c>
      <c r="E356" s="8"/>
      <c r="F356" s="122" t="s">
        <v>4110</v>
      </c>
      <c r="G356" s="44">
        <v>25069285680</v>
      </c>
      <c r="H356" t="str">
        <f t="shared" si="19"/>
        <v>Hotel Engine</v>
      </c>
      <c r="I356" s="112">
        <f t="shared" si="20"/>
        <v>45810</v>
      </c>
      <c r="J356" s="128">
        <f t="shared" si="21"/>
        <v>225.49</v>
      </c>
    </row>
    <row r="357" spans="1:11" x14ac:dyDescent="0.3">
      <c r="A357" t="s">
        <v>109</v>
      </c>
      <c r="B357" s="4" t="s">
        <v>298</v>
      </c>
      <c r="C357" s="7">
        <v>45729</v>
      </c>
      <c r="D357" s="8">
        <v>415.06</v>
      </c>
      <c r="E357" s="8"/>
      <c r="F357" s="122" t="s">
        <v>4110</v>
      </c>
      <c r="G357" s="44" t="s">
        <v>355</v>
      </c>
      <c r="H357" t="str">
        <f t="shared" si="19"/>
        <v>Indus Trade &amp; Technology</v>
      </c>
      <c r="I357" s="112">
        <f t="shared" si="20"/>
        <v>45798</v>
      </c>
      <c r="J357" s="128">
        <f t="shared" si="21"/>
        <v>-1248.3699999999999</v>
      </c>
    </row>
    <row r="358" spans="1:11" x14ac:dyDescent="0.3">
      <c r="A358" t="s">
        <v>109</v>
      </c>
      <c r="B358" s="4" t="s">
        <v>299</v>
      </c>
      <c r="C358" s="7">
        <v>45786</v>
      </c>
      <c r="D358" s="8">
        <v>-236.67</v>
      </c>
      <c r="E358" s="8"/>
      <c r="F358" s="123" t="s">
        <v>4109</v>
      </c>
      <c r="G358" s="44" t="s">
        <v>357</v>
      </c>
      <c r="H358" t="str">
        <f t="shared" si="19"/>
        <v>INTERGLOBO(FREIGHT)</v>
      </c>
      <c r="I358" s="112">
        <f t="shared" si="20"/>
        <v>45588</v>
      </c>
      <c r="J358" s="128">
        <f t="shared" si="21"/>
        <v>15125</v>
      </c>
      <c r="K358" s="102"/>
    </row>
    <row r="359" spans="1:11" x14ac:dyDescent="0.3">
      <c r="A359" t="s">
        <v>300</v>
      </c>
      <c r="B359">
        <v>23533943</v>
      </c>
      <c r="C359" s="7">
        <v>45218</v>
      </c>
      <c r="D359" s="8">
        <v>50142.18</v>
      </c>
      <c r="E359" s="8"/>
      <c r="F359" s="123" t="s">
        <v>4109</v>
      </c>
      <c r="G359" s="44" t="s">
        <v>358</v>
      </c>
      <c r="H359" t="str">
        <f t="shared" si="19"/>
        <v>INTERGLOBO(FREIGHT)</v>
      </c>
      <c r="I359" s="112">
        <f t="shared" si="20"/>
        <v>45607</v>
      </c>
      <c r="J359" s="128">
        <f t="shared" si="21"/>
        <v>4675.8500000000004</v>
      </c>
    </row>
    <row r="360" spans="1:11" x14ac:dyDescent="0.3">
      <c r="A360" t="s">
        <v>300</v>
      </c>
      <c r="B360">
        <v>23540770</v>
      </c>
      <c r="C360" s="7">
        <v>45274</v>
      </c>
      <c r="D360" s="8">
        <v>60159.82</v>
      </c>
      <c r="E360" s="8"/>
      <c r="F360" s="123" t="s">
        <v>4109</v>
      </c>
      <c r="G360" s="44" t="s">
        <v>359</v>
      </c>
      <c r="H360" t="str">
        <f t="shared" si="19"/>
        <v>INTERGLOBO(FREIGHT)</v>
      </c>
      <c r="I360" s="112">
        <f t="shared" si="20"/>
        <v>45659</v>
      </c>
      <c r="J360" s="128">
        <f t="shared" si="21"/>
        <v>13236</v>
      </c>
    </row>
    <row r="361" spans="1:11" x14ac:dyDescent="0.3">
      <c r="A361" t="s">
        <v>300</v>
      </c>
      <c r="B361">
        <v>23541378</v>
      </c>
      <c r="C361" s="7">
        <v>45280</v>
      </c>
      <c r="D361" s="8">
        <v>85588.11</v>
      </c>
      <c r="E361" s="8"/>
      <c r="F361" s="123" t="s">
        <v>4109</v>
      </c>
      <c r="G361" s="44" t="s">
        <v>360</v>
      </c>
      <c r="H361" t="str">
        <f t="shared" si="19"/>
        <v>INTERGLOBO(FREIGHT)</v>
      </c>
      <c r="I361" s="112">
        <f t="shared" si="20"/>
        <v>45659</v>
      </c>
      <c r="J361" s="128">
        <f t="shared" si="21"/>
        <v>4582</v>
      </c>
    </row>
    <row r="362" spans="1:11" x14ac:dyDescent="0.3">
      <c r="A362" t="s">
        <v>301</v>
      </c>
      <c r="B362">
        <v>20250630</v>
      </c>
      <c r="C362" s="7">
        <v>45838</v>
      </c>
      <c r="D362" s="8">
        <v>1191.52</v>
      </c>
      <c r="E362" s="8"/>
      <c r="F362" s="123" t="s">
        <v>4109</v>
      </c>
      <c r="G362" s="44" t="s">
        <v>361</v>
      </c>
      <c r="H362" t="str">
        <f t="shared" si="19"/>
        <v>INTERGLOBO(FREIGHT)</v>
      </c>
      <c r="I362" s="112">
        <f t="shared" si="20"/>
        <v>45660</v>
      </c>
      <c r="J362" s="128">
        <f t="shared" si="21"/>
        <v>950</v>
      </c>
    </row>
    <row r="363" spans="1:11" x14ac:dyDescent="0.3">
      <c r="A363" t="s">
        <v>302</v>
      </c>
      <c r="B363">
        <v>89</v>
      </c>
      <c r="C363" s="7">
        <v>45672</v>
      </c>
      <c r="D363" s="8">
        <v>54000</v>
      </c>
      <c r="E363" s="8"/>
      <c r="F363" s="123" t="s">
        <v>4109</v>
      </c>
      <c r="G363" s="44" t="s">
        <v>362</v>
      </c>
      <c r="H363" t="str">
        <f t="shared" si="19"/>
        <v>INTERGLOBO(FREIGHT)</v>
      </c>
      <c r="I363" s="112">
        <f t="shared" si="20"/>
        <v>45660</v>
      </c>
      <c r="J363" s="128">
        <f t="shared" si="21"/>
        <v>9350</v>
      </c>
    </row>
    <row r="364" spans="1:11" x14ac:dyDescent="0.3">
      <c r="A364" t="s">
        <v>302</v>
      </c>
      <c r="B364">
        <v>93</v>
      </c>
      <c r="C364" s="7">
        <v>45703</v>
      </c>
      <c r="D364" s="8">
        <v>56000</v>
      </c>
      <c r="E364" s="8"/>
      <c r="F364" s="123" t="s">
        <v>4109</v>
      </c>
      <c r="G364" s="44" t="s">
        <v>363</v>
      </c>
      <c r="H364" t="str">
        <f t="shared" si="19"/>
        <v>INTERGLOBO(FREIGHT)</v>
      </c>
      <c r="I364" s="112">
        <f t="shared" si="20"/>
        <v>45663</v>
      </c>
      <c r="J364" s="128">
        <f t="shared" si="21"/>
        <v>100</v>
      </c>
    </row>
    <row r="365" spans="1:11" x14ac:dyDescent="0.3">
      <c r="A365" t="s">
        <v>302</v>
      </c>
      <c r="B365">
        <v>97</v>
      </c>
      <c r="C365" s="7">
        <v>45731</v>
      </c>
      <c r="D365" s="8">
        <v>56000</v>
      </c>
      <c r="E365" s="8"/>
      <c r="F365" s="123" t="s">
        <v>4109</v>
      </c>
      <c r="G365" s="44" t="s">
        <v>364</v>
      </c>
      <c r="H365" t="str">
        <f t="shared" si="19"/>
        <v>INTERGLOBO(FREIGHT)</v>
      </c>
      <c r="I365" s="112">
        <f t="shared" si="20"/>
        <v>45663</v>
      </c>
      <c r="J365" s="128">
        <f t="shared" si="21"/>
        <v>100</v>
      </c>
    </row>
    <row r="366" spans="1:11" x14ac:dyDescent="0.3">
      <c r="A366" t="s">
        <v>302</v>
      </c>
      <c r="B366">
        <v>101</v>
      </c>
      <c r="C366" s="7">
        <v>45762</v>
      </c>
      <c r="D366" s="8">
        <v>56000</v>
      </c>
      <c r="E366" s="8"/>
      <c r="F366" s="123" t="s">
        <v>4109</v>
      </c>
      <c r="G366" s="44" t="s">
        <v>365</v>
      </c>
      <c r="H366" t="str">
        <f t="shared" si="19"/>
        <v>INTERGLOBO(FREIGHT)</v>
      </c>
      <c r="I366" s="112">
        <f t="shared" si="20"/>
        <v>45663</v>
      </c>
      <c r="J366" s="128">
        <f t="shared" si="21"/>
        <v>100</v>
      </c>
    </row>
    <row r="367" spans="1:11" x14ac:dyDescent="0.3">
      <c r="A367" t="s">
        <v>302</v>
      </c>
      <c r="B367">
        <v>106</v>
      </c>
      <c r="C367" s="7">
        <v>45778</v>
      </c>
      <c r="D367" s="8">
        <v>56000</v>
      </c>
      <c r="E367" s="8"/>
      <c r="F367" s="123" t="s">
        <v>4109</v>
      </c>
      <c r="G367" s="44" t="s">
        <v>366</v>
      </c>
      <c r="H367" t="str">
        <f t="shared" si="19"/>
        <v>INTERGLOBO(FREIGHT)</v>
      </c>
      <c r="I367" s="112">
        <f t="shared" si="20"/>
        <v>45665</v>
      </c>
      <c r="J367" s="128">
        <f t="shared" si="21"/>
        <v>21385</v>
      </c>
    </row>
    <row r="368" spans="1:11" x14ac:dyDescent="0.3">
      <c r="A368" t="s">
        <v>302</v>
      </c>
      <c r="B368">
        <v>111</v>
      </c>
      <c r="C368" s="7">
        <v>45809</v>
      </c>
      <c r="D368" s="8">
        <v>56000</v>
      </c>
      <c r="E368" s="8"/>
      <c r="F368" s="123" t="s">
        <v>4109</v>
      </c>
      <c r="G368" s="44" t="s">
        <v>367</v>
      </c>
      <c r="H368" t="str">
        <f t="shared" si="19"/>
        <v>INTERGLOBO(FREIGHT)</v>
      </c>
      <c r="I368" s="112">
        <f t="shared" si="20"/>
        <v>45665</v>
      </c>
      <c r="J368" s="128">
        <f t="shared" si="21"/>
        <v>8019</v>
      </c>
    </row>
    <row r="369" spans="1:10" x14ac:dyDescent="0.3">
      <c r="A369" t="s">
        <v>303</v>
      </c>
      <c r="B369" s="4" t="s">
        <v>304</v>
      </c>
      <c r="C369" s="7">
        <v>45490</v>
      </c>
      <c r="D369" s="8">
        <v>4530.33</v>
      </c>
      <c r="E369" s="8"/>
      <c r="F369" s="123" t="s">
        <v>4109</v>
      </c>
      <c r="G369" s="44" t="s">
        <v>368</v>
      </c>
      <c r="H369" t="str">
        <f t="shared" si="19"/>
        <v>INTERGLOBO(FREIGHT)</v>
      </c>
      <c r="I369" s="112">
        <f t="shared" si="20"/>
        <v>45667</v>
      </c>
      <c r="J369" s="128">
        <f t="shared" si="21"/>
        <v>100</v>
      </c>
    </row>
    <row r="370" spans="1:10" x14ac:dyDescent="0.3">
      <c r="A370" t="s">
        <v>303</v>
      </c>
      <c r="B370" s="4" t="s">
        <v>305</v>
      </c>
      <c r="C370" s="7">
        <v>45566</v>
      </c>
      <c r="D370" s="8">
        <v>450.51</v>
      </c>
      <c r="E370" s="8"/>
      <c r="F370" s="123" t="s">
        <v>4109</v>
      </c>
      <c r="G370" s="44" t="s">
        <v>369</v>
      </c>
      <c r="H370" t="str">
        <f t="shared" si="19"/>
        <v>INTERGLOBO(FREIGHT)</v>
      </c>
      <c r="I370" s="112">
        <f t="shared" si="20"/>
        <v>45670</v>
      </c>
      <c r="J370" s="128">
        <f t="shared" si="21"/>
        <v>3587</v>
      </c>
    </row>
    <row r="371" spans="1:10" x14ac:dyDescent="0.3">
      <c r="A371" t="s">
        <v>303</v>
      </c>
      <c r="B371" s="4" t="s">
        <v>305</v>
      </c>
      <c r="C371" s="7">
        <v>45566</v>
      </c>
      <c r="D371" s="8">
        <v>6080</v>
      </c>
      <c r="E371" s="8"/>
      <c r="F371" s="123" t="s">
        <v>4109</v>
      </c>
      <c r="G371" s="44" t="s">
        <v>370</v>
      </c>
      <c r="H371" t="str">
        <f t="shared" si="19"/>
        <v>INTERGLOBO(FREIGHT)</v>
      </c>
      <c r="I371" s="112">
        <f t="shared" si="20"/>
        <v>45670</v>
      </c>
      <c r="J371" s="128">
        <f t="shared" si="21"/>
        <v>4547</v>
      </c>
    </row>
    <row r="372" spans="1:10" x14ac:dyDescent="0.3">
      <c r="A372" t="s">
        <v>306</v>
      </c>
      <c r="B372" s="4" t="s">
        <v>307</v>
      </c>
      <c r="C372" s="7">
        <v>45418</v>
      </c>
      <c r="D372" s="8">
        <v>2903.02</v>
      </c>
      <c r="E372" s="8"/>
      <c r="F372" s="123" t="s">
        <v>4109</v>
      </c>
      <c r="G372" s="44" t="s">
        <v>371</v>
      </c>
      <c r="H372" t="str">
        <f t="shared" si="19"/>
        <v>INTERGLOBO(FREIGHT)</v>
      </c>
      <c r="I372" s="112">
        <f t="shared" si="20"/>
        <v>45670</v>
      </c>
      <c r="J372" s="128">
        <f t="shared" si="21"/>
        <v>12561</v>
      </c>
    </row>
    <row r="373" spans="1:10" x14ac:dyDescent="0.3">
      <c r="A373" t="s">
        <v>306</v>
      </c>
      <c r="B373" s="4" t="s">
        <v>308</v>
      </c>
      <c r="C373" s="7">
        <v>45446</v>
      </c>
      <c r="D373" s="8">
        <v>2152.48</v>
      </c>
      <c r="E373" s="8"/>
      <c r="F373" s="123" t="s">
        <v>4109</v>
      </c>
      <c r="G373" s="44" t="s">
        <v>372</v>
      </c>
      <c r="H373" t="str">
        <f t="shared" si="19"/>
        <v>INTERGLOBO(FREIGHT)</v>
      </c>
      <c r="I373" s="112">
        <f t="shared" si="20"/>
        <v>45670</v>
      </c>
      <c r="J373" s="128">
        <f t="shared" si="21"/>
        <v>12561</v>
      </c>
    </row>
    <row r="374" spans="1:10" x14ac:dyDescent="0.3">
      <c r="A374" t="s">
        <v>306</v>
      </c>
      <c r="B374" s="4" t="s">
        <v>309</v>
      </c>
      <c r="C374" s="7">
        <v>45446</v>
      </c>
      <c r="D374" s="8">
        <v>5204.46</v>
      </c>
      <c r="E374" s="8"/>
      <c r="F374" s="123" t="s">
        <v>4109</v>
      </c>
      <c r="G374" s="44" t="s">
        <v>373</v>
      </c>
      <c r="H374" t="str">
        <f t="shared" si="19"/>
        <v>INTERGLOBO(FREIGHT)</v>
      </c>
      <c r="I374" s="112">
        <f t="shared" si="20"/>
        <v>45674</v>
      </c>
      <c r="J374" s="128">
        <f t="shared" si="21"/>
        <v>5112</v>
      </c>
    </row>
    <row r="375" spans="1:10" x14ac:dyDescent="0.3">
      <c r="A375" t="s">
        <v>306</v>
      </c>
      <c r="B375" s="4" t="s">
        <v>310</v>
      </c>
      <c r="C375" s="7">
        <v>45446</v>
      </c>
      <c r="D375" s="8">
        <v>4552.0200000000004</v>
      </c>
      <c r="E375" s="8"/>
      <c r="F375" s="123" t="s">
        <v>4109</v>
      </c>
      <c r="G375" s="44" t="s">
        <v>374</v>
      </c>
      <c r="H375" t="str">
        <f t="shared" si="19"/>
        <v>INTERGLOBO(FREIGHT)</v>
      </c>
      <c r="I375" s="112">
        <f t="shared" si="20"/>
        <v>45674</v>
      </c>
      <c r="J375" s="128">
        <f t="shared" si="21"/>
        <v>100</v>
      </c>
    </row>
    <row r="376" spans="1:10" x14ac:dyDescent="0.3">
      <c r="A376" t="s">
        <v>306</v>
      </c>
      <c r="B376" s="4" t="s">
        <v>311</v>
      </c>
      <c r="C376" s="7">
        <v>45446</v>
      </c>
      <c r="D376" s="8">
        <v>7040</v>
      </c>
      <c r="E376" s="8"/>
      <c r="F376" s="123" t="s">
        <v>4109</v>
      </c>
      <c r="G376" s="44" t="s">
        <v>375</v>
      </c>
      <c r="H376" t="str">
        <f t="shared" si="19"/>
        <v>INTERGLOBO(FREIGHT)</v>
      </c>
      <c r="I376" s="112">
        <f t="shared" si="20"/>
        <v>45679</v>
      </c>
      <c r="J376" s="128">
        <f t="shared" si="21"/>
        <v>3937</v>
      </c>
    </row>
    <row r="377" spans="1:10" x14ac:dyDescent="0.3">
      <c r="A377" t="s">
        <v>306</v>
      </c>
      <c r="B377" s="4" t="s">
        <v>312</v>
      </c>
      <c r="C377" s="7">
        <v>45446</v>
      </c>
      <c r="D377" s="8">
        <v>13844.95</v>
      </c>
      <c r="E377" s="8"/>
      <c r="F377" s="123" t="s">
        <v>4109</v>
      </c>
      <c r="G377" s="44" t="s">
        <v>376</v>
      </c>
      <c r="H377" t="str">
        <f t="shared" si="19"/>
        <v>INTERGLOBO(FREIGHT)</v>
      </c>
      <c r="I377" s="112">
        <f t="shared" si="20"/>
        <v>45679</v>
      </c>
      <c r="J377" s="128">
        <f t="shared" si="21"/>
        <v>3367</v>
      </c>
    </row>
    <row r="378" spans="1:10" x14ac:dyDescent="0.3">
      <c r="A378" t="s">
        <v>306</v>
      </c>
      <c r="B378" s="4" t="s">
        <v>313</v>
      </c>
      <c r="C378" s="7">
        <v>45530</v>
      </c>
      <c r="D378" s="8">
        <v>2250.7199999999998</v>
      </c>
      <c r="E378" s="8"/>
      <c r="F378" s="123" t="s">
        <v>4109</v>
      </c>
      <c r="G378" s="44" t="s">
        <v>377</v>
      </c>
      <c r="H378" t="str">
        <f t="shared" si="19"/>
        <v>INTERGLOBO(FREIGHT)</v>
      </c>
      <c r="I378" s="112">
        <f t="shared" si="20"/>
        <v>45680</v>
      </c>
      <c r="J378" s="128">
        <f t="shared" si="21"/>
        <v>100</v>
      </c>
    </row>
    <row r="379" spans="1:10" x14ac:dyDescent="0.3">
      <c r="A379" t="s">
        <v>306</v>
      </c>
      <c r="B379" s="4" t="s">
        <v>314</v>
      </c>
      <c r="C379" s="7">
        <v>45635</v>
      </c>
      <c r="D379" s="8">
        <v>20974.15</v>
      </c>
      <c r="E379" s="8"/>
      <c r="F379" s="123" t="s">
        <v>4109</v>
      </c>
      <c r="G379" s="44" t="s">
        <v>378</v>
      </c>
      <c r="H379" t="str">
        <f t="shared" si="19"/>
        <v>INTERGLOBO(FREIGHT)</v>
      </c>
      <c r="I379" s="112">
        <f t="shared" si="20"/>
        <v>45684</v>
      </c>
      <c r="J379" s="128">
        <f t="shared" si="21"/>
        <v>100</v>
      </c>
    </row>
    <row r="380" spans="1:10" x14ac:dyDescent="0.3">
      <c r="A380" t="s">
        <v>306</v>
      </c>
      <c r="B380" s="4" t="s">
        <v>315</v>
      </c>
      <c r="C380" s="7">
        <v>45635</v>
      </c>
      <c r="D380" s="8">
        <v>1859.64</v>
      </c>
      <c r="E380" s="8"/>
      <c r="F380" s="123" t="s">
        <v>4109</v>
      </c>
      <c r="G380" s="44" t="s">
        <v>379</v>
      </c>
      <c r="H380" t="str">
        <f t="shared" si="19"/>
        <v>INTERGLOBO(FREIGHT)</v>
      </c>
      <c r="I380" s="112">
        <f t="shared" si="20"/>
        <v>45689</v>
      </c>
      <c r="J380" s="128">
        <f t="shared" si="21"/>
        <v>2875</v>
      </c>
    </row>
    <row r="381" spans="1:10" x14ac:dyDescent="0.3">
      <c r="A381" t="s">
        <v>306</v>
      </c>
      <c r="B381" s="4" t="s">
        <v>316</v>
      </c>
      <c r="C381" s="7">
        <v>45666</v>
      </c>
      <c r="D381" s="8">
        <v>-245.41</v>
      </c>
      <c r="E381" s="8"/>
      <c r="F381" s="123" t="s">
        <v>4109</v>
      </c>
      <c r="G381" s="44" t="s">
        <v>380</v>
      </c>
      <c r="H381" t="str">
        <f t="shared" si="19"/>
        <v>INTERGLOBO(FREIGHT)</v>
      </c>
      <c r="I381" s="112">
        <f t="shared" si="20"/>
        <v>45691</v>
      </c>
      <c r="J381" s="128">
        <f t="shared" si="21"/>
        <v>100</v>
      </c>
    </row>
    <row r="382" spans="1:10" x14ac:dyDescent="0.3">
      <c r="A382" t="s">
        <v>306</v>
      </c>
      <c r="B382" s="4" t="s">
        <v>317</v>
      </c>
      <c r="C382" s="7">
        <v>45789</v>
      </c>
      <c r="D382" s="8">
        <v>4462.72</v>
      </c>
      <c r="E382" s="8"/>
      <c r="F382" s="123" t="s">
        <v>4109</v>
      </c>
      <c r="G382" s="44" t="s">
        <v>381</v>
      </c>
      <c r="H382" t="str">
        <f t="shared" si="19"/>
        <v>INTERGLOBO(FREIGHT)</v>
      </c>
      <c r="I382" s="112">
        <f t="shared" si="20"/>
        <v>45691</v>
      </c>
      <c r="J382" s="128">
        <f t="shared" si="21"/>
        <v>100</v>
      </c>
    </row>
    <row r="383" spans="1:10" x14ac:dyDescent="0.3">
      <c r="A383" t="s">
        <v>306</v>
      </c>
      <c r="B383" s="4" t="s">
        <v>318</v>
      </c>
      <c r="C383" s="7">
        <v>45804</v>
      </c>
      <c r="D383" s="8">
        <v>3517.3</v>
      </c>
      <c r="E383" s="8"/>
      <c r="F383" s="123" t="s">
        <v>4109</v>
      </c>
      <c r="G383" s="44" t="s">
        <v>382</v>
      </c>
      <c r="H383" t="str">
        <f t="shared" si="19"/>
        <v>INTERGLOBO(FREIGHT)</v>
      </c>
      <c r="I383" s="112">
        <f t="shared" si="20"/>
        <v>45692</v>
      </c>
      <c r="J383" s="128">
        <f t="shared" si="21"/>
        <v>100</v>
      </c>
    </row>
    <row r="384" spans="1:10" x14ac:dyDescent="0.3">
      <c r="A384" t="s">
        <v>306</v>
      </c>
      <c r="B384" s="4" t="s">
        <v>319</v>
      </c>
      <c r="C384" s="7">
        <v>45810</v>
      </c>
      <c r="D384" s="8">
        <v>371.5</v>
      </c>
      <c r="E384" s="8"/>
      <c r="F384" s="123" t="s">
        <v>4109</v>
      </c>
      <c r="G384" s="44" t="s">
        <v>383</v>
      </c>
      <c r="H384" t="str">
        <f t="shared" si="19"/>
        <v>INTERGLOBO(FREIGHT)</v>
      </c>
      <c r="I384" s="112">
        <f t="shared" si="20"/>
        <v>45692</v>
      </c>
      <c r="J384" s="128">
        <f t="shared" si="21"/>
        <v>100</v>
      </c>
    </row>
    <row r="385" spans="1:10" x14ac:dyDescent="0.3">
      <c r="A385" t="s">
        <v>306</v>
      </c>
      <c r="B385" s="4" t="s">
        <v>320</v>
      </c>
      <c r="C385" s="7">
        <v>45838</v>
      </c>
      <c r="D385" s="8">
        <v>6990</v>
      </c>
      <c r="E385" s="8"/>
      <c r="F385" s="123" t="s">
        <v>4109</v>
      </c>
      <c r="G385" s="44" t="s">
        <v>384</v>
      </c>
      <c r="H385" t="str">
        <f t="shared" si="19"/>
        <v>INTERGLOBO(FREIGHT)</v>
      </c>
      <c r="I385" s="112">
        <f t="shared" si="20"/>
        <v>45695</v>
      </c>
      <c r="J385" s="128">
        <f t="shared" si="21"/>
        <v>4062</v>
      </c>
    </row>
    <row r="386" spans="1:10" x14ac:dyDescent="0.3">
      <c r="A386" t="s">
        <v>306</v>
      </c>
      <c r="B386" s="4" t="s">
        <v>321</v>
      </c>
      <c r="C386" s="7">
        <v>45838</v>
      </c>
      <c r="D386" s="8">
        <v>3654</v>
      </c>
      <c r="E386" s="8"/>
      <c r="F386" s="123" t="s">
        <v>4109</v>
      </c>
      <c r="G386" s="44" t="s">
        <v>385</v>
      </c>
      <c r="H386" t="str">
        <f t="shared" si="19"/>
        <v>INTERGLOBO(FREIGHT)</v>
      </c>
      <c r="I386" s="112">
        <f t="shared" si="20"/>
        <v>45695</v>
      </c>
      <c r="J386" s="128">
        <f t="shared" si="21"/>
        <v>4062</v>
      </c>
    </row>
    <row r="387" spans="1:10" x14ac:dyDescent="0.3">
      <c r="A387" t="s">
        <v>306</v>
      </c>
      <c r="B387" s="4" t="s">
        <v>322</v>
      </c>
      <c r="C387" s="7">
        <v>45838</v>
      </c>
      <c r="D387" s="8">
        <v>41155.78</v>
      </c>
      <c r="E387" s="8"/>
      <c r="F387" s="123" t="s">
        <v>4109</v>
      </c>
      <c r="G387" s="44" t="s">
        <v>386</v>
      </c>
      <c r="H387" t="str">
        <f t="shared" si="19"/>
        <v>INTERGLOBO(FREIGHT)</v>
      </c>
      <c r="I387" s="112">
        <f t="shared" si="20"/>
        <v>45695</v>
      </c>
      <c r="J387" s="128">
        <f t="shared" si="21"/>
        <v>100</v>
      </c>
    </row>
    <row r="388" spans="1:10" x14ac:dyDescent="0.3">
      <c r="A388" t="s">
        <v>306</v>
      </c>
      <c r="B388" s="4" t="s">
        <v>323</v>
      </c>
      <c r="C388" s="7">
        <v>45838</v>
      </c>
      <c r="D388" s="8">
        <v>5919.78</v>
      </c>
      <c r="E388" s="8"/>
      <c r="F388" s="123" t="s">
        <v>4109</v>
      </c>
      <c r="G388" s="44" t="s">
        <v>387</v>
      </c>
      <c r="H388" t="str">
        <f t="shared" si="19"/>
        <v>INTERGLOBO(FREIGHT)</v>
      </c>
      <c r="I388" s="112">
        <f t="shared" si="20"/>
        <v>45695</v>
      </c>
      <c r="J388" s="128">
        <f t="shared" si="21"/>
        <v>100</v>
      </c>
    </row>
    <row r="389" spans="1:10" x14ac:dyDescent="0.3">
      <c r="A389" t="s">
        <v>324</v>
      </c>
      <c r="B389" s="4" t="s">
        <v>325</v>
      </c>
      <c r="C389" s="7">
        <v>45802</v>
      </c>
      <c r="D389" s="8">
        <v>26350.49</v>
      </c>
      <c r="E389" s="8"/>
      <c r="F389" s="123" t="s">
        <v>4109</v>
      </c>
      <c r="G389" s="44" t="s">
        <v>388</v>
      </c>
      <c r="H389" t="str">
        <f t="shared" si="19"/>
        <v>INTERGLOBO(FREIGHT)</v>
      </c>
      <c r="I389" s="112">
        <f t="shared" si="20"/>
        <v>45700</v>
      </c>
      <c r="J389" s="128">
        <f t="shared" si="21"/>
        <v>12861</v>
      </c>
    </row>
    <row r="390" spans="1:10" x14ac:dyDescent="0.3">
      <c r="A390" t="s">
        <v>324</v>
      </c>
      <c r="B390" s="4" t="s">
        <v>326</v>
      </c>
      <c r="C390" s="7">
        <v>45804</v>
      </c>
      <c r="D390" s="8">
        <v>49275</v>
      </c>
      <c r="E390" s="8"/>
      <c r="F390" s="123" t="s">
        <v>4109</v>
      </c>
      <c r="G390" s="44" t="s">
        <v>389</v>
      </c>
      <c r="H390" t="str">
        <f t="shared" ref="H390:H453" si="22">_xlfn.XLOOKUP(G390,B:B,A:A,,)</f>
        <v>INTERGLOBO(FREIGHT)</v>
      </c>
      <c r="I390" s="112">
        <f t="shared" ref="I390:I453" si="23">_xlfn.XLOOKUP(G390,B:B,C:C,,)</f>
        <v>45700</v>
      </c>
      <c r="J390" s="128">
        <f t="shared" ref="J390:J453" si="24">SUMIF(B:B,G390,D:D)</f>
        <v>100</v>
      </c>
    </row>
    <row r="391" spans="1:10" x14ac:dyDescent="0.3">
      <c r="A391" t="s">
        <v>324</v>
      </c>
      <c r="B391" s="4" t="s">
        <v>24</v>
      </c>
      <c r="C391" s="7">
        <v>45804</v>
      </c>
      <c r="D391" s="8">
        <v>-100000</v>
      </c>
      <c r="E391" s="8"/>
      <c r="F391" s="123" t="s">
        <v>4109</v>
      </c>
      <c r="G391" s="44" t="s">
        <v>390</v>
      </c>
      <c r="H391" t="str">
        <f t="shared" si="22"/>
        <v>INTERGLOBO(FREIGHT)</v>
      </c>
      <c r="I391" s="112">
        <f t="shared" si="23"/>
        <v>45701</v>
      </c>
      <c r="J391" s="128">
        <f t="shared" si="24"/>
        <v>100</v>
      </c>
    </row>
    <row r="392" spans="1:10" x14ac:dyDescent="0.3">
      <c r="A392" t="s">
        <v>324</v>
      </c>
      <c r="B392" s="4" t="s">
        <v>327</v>
      </c>
      <c r="C392" s="7">
        <v>45807</v>
      </c>
      <c r="D392" s="8">
        <v>16756.2</v>
      </c>
      <c r="E392" s="8"/>
      <c r="F392" s="123" t="s">
        <v>4109</v>
      </c>
      <c r="G392" s="44" t="s">
        <v>391</v>
      </c>
      <c r="H392" t="str">
        <f t="shared" si="22"/>
        <v>INTERGLOBO(FREIGHT)</v>
      </c>
      <c r="I392" s="112">
        <f t="shared" si="23"/>
        <v>45701</v>
      </c>
      <c r="J392" s="128">
        <f t="shared" si="24"/>
        <v>100</v>
      </c>
    </row>
    <row r="393" spans="1:10" x14ac:dyDescent="0.3">
      <c r="A393" t="s">
        <v>324</v>
      </c>
      <c r="B393" s="4" t="s">
        <v>327</v>
      </c>
      <c r="C393" s="7">
        <v>45807</v>
      </c>
      <c r="D393" s="8">
        <v>32181.45</v>
      </c>
      <c r="E393" s="8"/>
      <c r="F393" s="123" t="s">
        <v>4109</v>
      </c>
      <c r="G393" s="44" t="s">
        <v>392</v>
      </c>
      <c r="H393" t="str">
        <f t="shared" si="22"/>
        <v>INTERGLOBO(FREIGHT)</v>
      </c>
      <c r="I393" s="112">
        <f t="shared" si="23"/>
        <v>45712</v>
      </c>
      <c r="J393" s="128">
        <f t="shared" si="24"/>
        <v>2765</v>
      </c>
    </row>
    <row r="394" spans="1:10" x14ac:dyDescent="0.3">
      <c r="A394" t="s">
        <v>324</v>
      </c>
      <c r="B394" s="4" t="s">
        <v>328</v>
      </c>
      <c r="C394" s="7">
        <v>45807</v>
      </c>
      <c r="D394" s="8">
        <v>8973.35</v>
      </c>
      <c r="E394" s="8"/>
      <c r="F394" s="123" t="s">
        <v>4109</v>
      </c>
      <c r="G394" s="44" t="s">
        <v>393</v>
      </c>
      <c r="H394" t="str">
        <f t="shared" si="22"/>
        <v>INTERGLOBO(FREIGHT)</v>
      </c>
      <c r="I394" s="112">
        <f t="shared" si="23"/>
        <v>45714</v>
      </c>
      <c r="J394" s="128">
        <f t="shared" si="24"/>
        <v>268.61</v>
      </c>
    </row>
    <row r="395" spans="1:10" x14ac:dyDescent="0.3">
      <c r="A395" t="s">
        <v>324</v>
      </c>
      <c r="B395" s="4" t="s">
        <v>329</v>
      </c>
      <c r="C395" s="7">
        <v>45807</v>
      </c>
      <c r="D395" s="8">
        <v>32513</v>
      </c>
      <c r="E395" s="8"/>
      <c r="F395" s="123" t="s">
        <v>4109</v>
      </c>
      <c r="G395" s="44" t="s">
        <v>394</v>
      </c>
      <c r="H395" t="str">
        <f t="shared" si="22"/>
        <v>INTERGLOBO(FREIGHT)</v>
      </c>
      <c r="I395" s="112">
        <f t="shared" si="23"/>
        <v>45714</v>
      </c>
      <c r="J395" s="128">
        <f t="shared" si="24"/>
        <v>100</v>
      </c>
    </row>
    <row r="396" spans="1:10" x14ac:dyDescent="0.3">
      <c r="A396" t="s">
        <v>324</v>
      </c>
      <c r="B396" s="4" t="s">
        <v>330</v>
      </c>
      <c r="C396" s="7">
        <v>45807</v>
      </c>
      <c r="D396" s="8">
        <v>14271.55</v>
      </c>
      <c r="E396" s="8"/>
      <c r="F396" s="123" t="s">
        <v>4109</v>
      </c>
      <c r="G396" s="44" t="s">
        <v>395</v>
      </c>
      <c r="H396" t="str">
        <f t="shared" si="22"/>
        <v>INTERGLOBO(FREIGHT)</v>
      </c>
      <c r="I396" s="112">
        <f t="shared" si="23"/>
        <v>45715</v>
      </c>
      <c r="J396" s="128">
        <f t="shared" si="24"/>
        <v>100</v>
      </c>
    </row>
    <row r="397" spans="1:10" x14ac:dyDescent="0.3">
      <c r="A397" t="s">
        <v>324</v>
      </c>
      <c r="B397" s="4" t="s">
        <v>331</v>
      </c>
      <c r="C397" s="7">
        <v>45807</v>
      </c>
      <c r="D397" s="8">
        <v>22719.51</v>
      </c>
      <c r="E397" s="8"/>
      <c r="F397" s="123" t="s">
        <v>4109</v>
      </c>
      <c r="G397" s="44" t="s">
        <v>396</v>
      </c>
      <c r="H397" t="str">
        <f t="shared" si="22"/>
        <v>INTERGLOBO(FREIGHT)</v>
      </c>
      <c r="I397" s="112">
        <f t="shared" si="23"/>
        <v>45715</v>
      </c>
      <c r="J397" s="128">
        <f t="shared" si="24"/>
        <v>100</v>
      </c>
    </row>
    <row r="398" spans="1:10" x14ac:dyDescent="0.3">
      <c r="A398" t="s">
        <v>324</v>
      </c>
      <c r="B398" s="4" t="s">
        <v>331</v>
      </c>
      <c r="C398" s="7">
        <v>45807</v>
      </c>
      <c r="D398" s="8">
        <v>14393.91</v>
      </c>
      <c r="E398" s="8"/>
      <c r="F398" s="123" t="s">
        <v>4109</v>
      </c>
      <c r="G398" s="44" t="s">
        <v>397</v>
      </c>
      <c r="H398" t="str">
        <f t="shared" si="22"/>
        <v>INTERGLOBO(FREIGHT)</v>
      </c>
      <c r="I398" s="112">
        <f t="shared" si="23"/>
        <v>45721</v>
      </c>
      <c r="J398" s="128">
        <f t="shared" si="24"/>
        <v>8425</v>
      </c>
    </row>
    <row r="399" spans="1:10" x14ac:dyDescent="0.3">
      <c r="A399" t="s">
        <v>324</v>
      </c>
      <c r="B399" s="4" t="s">
        <v>331</v>
      </c>
      <c r="C399" s="7">
        <v>45807</v>
      </c>
      <c r="D399" s="8">
        <v>673.08</v>
      </c>
      <c r="E399" s="8"/>
      <c r="F399" s="123" t="s">
        <v>4109</v>
      </c>
      <c r="G399" s="44" t="s">
        <v>398</v>
      </c>
      <c r="H399" t="str">
        <f t="shared" si="22"/>
        <v>INTERGLOBO(FREIGHT)</v>
      </c>
      <c r="I399" s="112">
        <f t="shared" si="23"/>
        <v>45722</v>
      </c>
      <c r="J399" s="128">
        <f t="shared" si="24"/>
        <v>2912</v>
      </c>
    </row>
    <row r="400" spans="1:10" x14ac:dyDescent="0.3">
      <c r="A400" t="s">
        <v>324</v>
      </c>
      <c r="B400" s="4" t="s">
        <v>331</v>
      </c>
      <c r="C400" s="7">
        <v>45807</v>
      </c>
      <c r="D400" s="8">
        <v>12145.32</v>
      </c>
      <c r="E400" s="8"/>
      <c r="F400" s="123" t="s">
        <v>4109</v>
      </c>
      <c r="G400" s="44" t="s">
        <v>399</v>
      </c>
      <c r="H400" t="str">
        <f t="shared" si="22"/>
        <v>INTERGLOBO(FREIGHT)</v>
      </c>
      <c r="I400" s="112">
        <f t="shared" si="23"/>
        <v>45723</v>
      </c>
      <c r="J400" s="128">
        <f t="shared" si="24"/>
        <v>4785</v>
      </c>
    </row>
    <row r="401" spans="1:10" x14ac:dyDescent="0.3">
      <c r="A401" t="s">
        <v>324</v>
      </c>
      <c r="B401" s="4" t="s">
        <v>332</v>
      </c>
      <c r="C401" s="7">
        <v>45807</v>
      </c>
      <c r="D401" s="8">
        <v>60597.5</v>
      </c>
      <c r="E401" s="8"/>
      <c r="F401" s="123" t="s">
        <v>4109</v>
      </c>
      <c r="G401" s="44" t="s">
        <v>400</v>
      </c>
      <c r="H401" t="str">
        <f t="shared" si="22"/>
        <v>INTERGLOBO(FREIGHT)</v>
      </c>
      <c r="I401" s="112">
        <f t="shared" si="23"/>
        <v>45723</v>
      </c>
      <c r="J401" s="128">
        <f t="shared" si="24"/>
        <v>3825</v>
      </c>
    </row>
    <row r="402" spans="1:10" x14ac:dyDescent="0.3">
      <c r="A402" t="s">
        <v>324</v>
      </c>
      <c r="B402" s="4" t="s">
        <v>16</v>
      </c>
      <c r="C402" s="7">
        <v>45824</v>
      </c>
      <c r="D402" s="8">
        <v>-3022.59</v>
      </c>
      <c r="E402" s="8"/>
      <c r="F402" s="123" t="s">
        <v>4109</v>
      </c>
      <c r="G402" s="44" t="s">
        <v>401</v>
      </c>
      <c r="H402" t="str">
        <f t="shared" si="22"/>
        <v>INTERGLOBO(FREIGHT)</v>
      </c>
      <c r="I402" s="112">
        <f t="shared" si="23"/>
        <v>45726</v>
      </c>
      <c r="J402" s="128">
        <f t="shared" si="24"/>
        <v>1202.8399999999999</v>
      </c>
    </row>
    <row r="403" spans="1:10" x14ac:dyDescent="0.3">
      <c r="A403" t="s">
        <v>324</v>
      </c>
      <c r="B403" s="4" t="s">
        <v>16</v>
      </c>
      <c r="C403" s="7">
        <v>45824</v>
      </c>
      <c r="D403" s="8">
        <v>-10194.709999999999</v>
      </c>
      <c r="E403" s="8"/>
      <c r="F403" s="123" t="s">
        <v>4109</v>
      </c>
      <c r="G403" s="44" t="s">
        <v>402</v>
      </c>
      <c r="H403" t="str">
        <f t="shared" si="22"/>
        <v>INTERGLOBO(FREIGHT)</v>
      </c>
      <c r="I403" s="112">
        <f t="shared" si="23"/>
        <v>45726</v>
      </c>
      <c r="J403" s="128">
        <f t="shared" si="24"/>
        <v>352.72</v>
      </c>
    </row>
    <row r="404" spans="1:10" x14ac:dyDescent="0.3">
      <c r="A404" t="s">
        <v>324</v>
      </c>
      <c r="B404" s="4" t="s">
        <v>16</v>
      </c>
      <c r="C404" s="7">
        <v>45824</v>
      </c>
      <c r="D404" s="8">
        <v>-1401.2</v>
      </c>
      <c r="E404" s="8"/>
      <c r="F404" s="123" t="s">
        <v>4109</v>
      </c>
      <c r="G404" s="44" t="s">
        <v>403</v>
      </c>
      <c r="H404" t="str">
        <f t="shared" si="22"/>
        <v>INTERGLOBO(FREIGHT)</v>
      </c>
      <c r="I404" s="112">
        <f t="shared" si="23"/>
        <v>45727</v>
      </c>
      <c r="J404" s="128">
        <f t="shared" si="24"/>
        <v>100</v>
      </c>
    </row>
    <row r="405" spans="1:10" x14ac:dyDescent="0.3">
      <c r="A405" t="s">
        <v>324</v>
      </c>
      <c r="B405" s="4" t="s">
        <v>16</v>
      </c>
      <c r="C405" s="7">
        <v>45824</v>
      </c>
      <c r="D405" s="8">
        <v>-39042</v>
      </c>
      <c r="E405" s="8"/>
      <c r="F405" s="123" t="s">
        <v>4109</v>
      </c>
      <c r="G405" s="44" t="s">
        <v>404</v>
      </c>
      <c r="H405" t="str">
        <f t="shared" si="22"/>
        <v>INTERGLOBO(FREIGHT)</v>
      </c>
      <c r="I405" s="112">
        <f t="shared" si="23"/>
        <v>45741</v>
      </c>
      <c r="J405" s="128">
        <f t="shared" si="24"/>
        <v>6525.71</v>
      </c>
    </row>
    <row r="406" spans="1:10" x14ac:dyDescent="0.3">
      <c r="A406" t="s">
        <v>324</v>
      </c>
      <c r="B406" s="4" t="s">
        <v>16</v>
      </c>
      <c r="C406" s="7">
        <v>45824</v>
      </c>
      <c r="D406" s="8">
        <v>-16529.18</v>
      </c>
      <c r="E406" s="8"/>
      <c r="F406" s="123" t="s">
        <v>4109</v>
      </c>
      <c r="G406" s="44" t="s">
        <v>405</v>
      </c>
      <c r="H406" t="str">
        <f t="shared" si="22"/>
        <v>INTERGLOBO(FREIGHT)</v>
      </c>
      <c r="I406" s="112">
        <f t="shared" si="23"/>
        <v>45742</v>
      </c>
      <c r="J406" s="128">
        <f t="shared" si="24"/>
        <v>4775</v>
      </c>
    </row>
    <row r="407" spans="1:10" x14ac:dyDescent="0.3">
      <c r="A407" t="s">
        <v>324</v>
      </c>
      <c r="B407" s="4" t="s">
        <v>16</v>
      </c>
      <c r="C407" s="7">
        <v>45824</v>
      </c>
      <c r="D407" s="8">
        <v>-9904.7999999999993</v>
      </c>
      <c r="E407" s="8"/>
      <c r="F407" s="123" t="s">
        <v>4109</v>
      </c>
      <c r="G407" s="44" t="s">
        <v>406</v>
      </c>
      <c r="H407" t="str">
        <f t="shared" si="22"/>
        <v>INTERGLOBO(FREIGHT)</v>
      </c>
      <c r="I407" s="112">
        <f t="shared" si="23"/>
        <v>45742</v>
      </c>
      <c r="J407" s="128">
        <f t="shared" si="24"/>
        <v>5195</v>
      </c>
    </row>
    <row r="408" spans="1:10" x14ac:dyDescent="0.3">
      <c r="A408" t="s">
        <v>324</v>
      </c>
      <c r="B408" s="4" t="s">
        <v>333</v>
      </c>
      <c r="C408" s="7">
        <v>45825</v>
      </c>
      <c r="D408" s="8">
        <v>-4567.0600000000004</v>
      </c>
      <c r="E408" s="8"/>
      <c r="F408" s="123" t="s">
        <v>4109</v>
      </c>
      <c r="G408" s="44" t="s">
        <v>407</v>
      </c>
      <c r="H408" t="str">
        <f t="shared" si="22"/>
        <v>INTERGLOBO(FREIGHT)</v>
      </c>
      <c r="I408" s="112">
        <f t="shared" si="23"/>
        <v>45742</v>
      </c>
      <c r="J408" s="128">
        <f t="shared" si="24"/>
        <v>4775</v>
      </c>
    </row>
    <row r="409" spans="1:10" x14ac:dyDescent="0.3">
      <c r="A409" t="s">
        <v>324</v>
      </c>
      <c r="B409" s="4" t="s">
        <v>333</v>
      </c>
      <c r="C409" s="7">
        <v>45825</v>
      </c>
      <c r="D409" s="8">
        <v>-14358.75</v>
      </c>
      <c r="E409" s="8"/>
      <c r="F409" s="123" t="s">
        <v>4109</v>
      </c>
      <c r="G409" s="44" t="s">
        <v>408</v>
      </c>
      <c r="H409" t="str">
        <f t="shared" si="22"/>
        <v>INTERGLOBO(FREIGHT)</v>
      </c>
      <c r="I409" s="112">
        <f t="shared" si="23"/>
        <v>45742</v>
      </c>
      <c r="J409" s="128">
        <f t="shared" si="24"/>
        <v>5195.8</v>
      </c>
    </row>
    <row r="410" spans="1:10" x14ac:dyDescent="0.3">
      <c r="A410" t="s">
        <v>324</v>
      </c>
      <c r="B410" s="4" t="s">
        <v>333</v>
      </c>
      <c r="C410" s="7">
        <v>45825</v>
      </c>
      <c r="D410" s="8">
        <v>-6870.44</v>
      </c>
      <c r="E410" s="8"/>
      <c r="F410" s="123" t="s">
        <v>4109</v>
      </c>
      <c r="G410" s="44" t="s">
        <v>409</v>
      </c>
      <c r="H410" t="str">
        <f t="shared" si="22"/>
        <v>INTERGLOBO(FREIGHT)</v>
      </c>
      <c r="I410" s="112">
        <f t="shared" si="23"/>
        <v>45778</v>
      </c>
      <c r="J410" s="128">
        <f t="shared" si="24"/>
        <v>2535</v>
      </c>
    </row>
    <row r="411" spans="1:10" x14ac:dyDescent="0.3">
      <c r="A411" t="s">
        <v>324</v>
      </c>
      <c r="B411" s="4" t="s">
        <v>26</v>
      </c>
      <c r="C411" s="7">
        <v>45828</v>
      </c>
      <c r="D411" s="8">
        <v>-172148.89</v>
      </c>
      <c r="E411" s="8"/>
      <c r="F411" s="123" t="s">
        <v>4109</v>
      </c>
      <c r="G411" s="44" t="s">
        <v>410</v>
      </c>
      <c r="H411" t="str">
        <f t="shared" si="22"/>
        <v>INTERGLOBO(FREIGHT)</v>
      </c>
      <c r="I411" s="112">
        <f t="shared" si="23"/>
        <v>45813</v>
      </c>
      <c r="J411" s="128">
        <f t="shared" si="24"/>
        <v>125</v>
      </c>
    </row>
    <row r="412" spans="1:10" x14ac:dyDescent="0.3">
      <c r="A412" t="s">
        <v>324</v>
      </c>
      <c r="B412" s="4" t="s">
        <v>334</v>
      </c>
      <c r="C412" s="7">
        <v>45831</v>
      </c>
      <c r="D412" s="8">
        <v>40323.79</v>
      </c>
      <c r="E412" s="8"/>
      <c r="F412" s="123" t="s">
        <v>4109</v>
      </c>
      <c r="G412" s="44" t="s">
        <v>411</v>
      </c>
      <c r="H412" t="str">
        <f t="shared" si="22"/>
        <v>INTERGLOBO(FREIGHT)</v>
      </c>
      <c r="I412" s="112">
        <f t="shared" si="23"/>
        <v>45813</v>
      </c>
      <c r="J412" s="128">
        <f t="shared" si="24"/>
        <v>3743.92</v>
      </c>
    </row>
    <row r="413" spans="1:10" x14ac:dyDescent="0.3">
      <c r="A413" t="s">
        <v>324</v>
      </c>
      <c r="B413" s="4" t="s">
        <v>329</v>
      </c>
      <c r="C413" s="7">
        <v>45831</v>
      </c>
      <c r="D413" s="8">
        <v>6646.2</v>
      </c>
      <c r="E413" s="8"/>
      <c r="F413" s="123" t="s">
        <v>4109</v>
      </c>
      <c r="G413" s="44" t="s">
        <v>412</v>
      </c>
      <c r="H413" t="str">
        <f t="shared" si="22"/>
        <v>INTERGLOBO(FREIGHT)</v>
      </c>
      <c r="I413" s="112">
        <f t="shared" si="23"/>
        <v>45813</v>
      </c>
      <c r="J413" s="128">
        <f t="shared" si="24"/>
        <v>3760</v>
      </c>
    </row>
    <row r="414" spans="1:10" x14ac:dyDescent="0.3">
      <c r="A414" t="s">
        <v>324</v>
      </c>
      <c r="B414" s="4" t="s">
        <v>330</v>
      </c>
      <c r="C414" s="7">
        <v>45831</v>
      </c>
      <c r="D414" s="8">
        <v>4053</v>
      </c>
      <c r="E414" s="8"/>
      <c r="F414" s="123" t="s">
        <v>4109</v>
      </c>
      <c r="G414" s="44" t="s">
        <v>413</v>
      </c>
      <c r="H414" t="str">
        <f t="shared" si="22"/>
        <v>INTERGLOBO(FREIGHT)</v>
      </c>
      <c r="I414" s="112">
        <f t="shared" si="23"/>
        <v>45813</v>
      </c>
      <c r="J414" s="128">
        <f t="shared" si="24"/>
        <v>3760</v>
      </c>
    </row>
    <row r="415" spans="1:10" x14ac:dyDescent="0.3">
      <c r="A415" t="s">
        <v>324</v>
      </c>
      <c r="B415" s="4" t="s">
        <v>330</v>
      </c>
      <c r="C415" s="7">
        <v>45831</v>
      </c>
      <c r="D415" s="8">
        <v>5862.85</v>
      </c>
      <c r="E415" s="8"/>
      <c r="F415" s="123" t="s">
        <v>4109</v>
      </c>
      <c r="G415" s="44" t="s">
        <v>414</v>
      </c>
      <c r="H415" t="str">
        <f t="shared" si="22"/>
        <v>INTERGLOBO(FREIGHT)</v>
      </c>
      <c r="I415" s="112">
        <f t="shared" si="23"/>
        <v>45813</v>
      </c>
      <c r="J415" s="128">
        <f t="shared" si="24"/>
        <v>125</v>
      </c>
    </row>
    <row r="416" spans="1:10" x14ac:dyDescent="0.3">
      <c r="A416" t="s">
        <v>324</v>
      </c>
      <c r="B416" s="4" t="s">
        <v>335</v>
      </c>
      <c r="C416" s="7">
        <v>45831</v>
      </c>
      <c r="D416" s="8">
        <v>1506</v>
      </c>
      <c r="E416" s="8"/>
      <c r="F416" s="123" t="s">
        <v>4109</v>
      </c>
      <c r="G416" s="44" t="s">
        <v>415</v>
      </c>
      <c r="H416" t="str">
        <f t="shared" si="22"/>
        <v>INTERGLOBO(FREIGHT)</v>
      </c>
      <c r="I416" s="112">
        <f t="shared" si="23"/>
        <v>45813</v>
      </c>
      <c r="J416" s="128">
        <f t="shared" si="24"/>
        <v>125</v>
      </c>
    </row>
    <row r="417" spans="1:10" x14ac:dyDescent="0.3">
      <c r="A417" t="s">
        <v>324</v>
      </c>
      <c r="B417" s="4" t="s">
        <v>336</v>
      </c>
      <c r="C417" s="7">
        <v>45831</v>
      </c>
      <c r="D417" s="8">
        <v>-20234.400000000001</v>
      </c>
      <c r="E417" s="8"/>
      <c r="F417" s="123" t="s">
        <v>4109</v>
      </c>
      <c r="G417" s="44" t="s">
        <v>416</v>
      </c>
      <c r="H417" t="str">
        <f t="shared" si="22"/>
        <v>INTERGLOBO(FREIGHT)</v>
      </c>
      <c r="I417" s="112">
        <f t="shared" si="23"/>
        <v>45813</v>
      </c>
      <c r="J417" s="128">
        <f t="shared" si="24"/>
        <v>293.61</v>
      </c>
    </row>
    <row r="418" spans="1:10" x14ac:dyDescent="0.3">
      <c r="A418" t="s">
        <v>324</v>
      </c>
      <c r="B418" s="4" t="s">
        <v>336</v>
      </c>
      <c r="C418" s="7">
        <v>45831</v>
      </c>
      <c r="D418" s="8">
        <v>-49662.9</v>
      </c>
      <c r="E418" s="8"/>
      <c r="F418" s="123" t="s">
        <v>4109</v>
      </c>
      <c r="G418" s="44" t="s">
        <v>417</v>
      </c>
      <c r="H418" t="str">
        <f t="shared" si="22"/>
        <v>INTERGLOBO(FREIGHT)</v>
      </c>
      <c r="I418" s="112">
        <f t="shared" si="23"/>
        <v>45813</v>
      </c>
      <c r="J418" s="128">
        <f t="shared" si="24"/>
        <v>125</v>
      </c>
    </row>
    <row r="419" spans="1:10" x14ac:dyDescent="0.3">
      <c r="A419" t="s">
        <v>324</v>
      </c>
      <c r="B419" s="4" t="s">
        <v>326</v>
      </c>
      <c r="C419" s="7">
        <v>45835</v>
      </c>
      <c r="D419" s="8">
        <v>3555.21</v>
      </c>
      <c r="E419" s="8"/>
      <c r="F419" s="123" t="s">
        <v>4109</v>
      </c>
      <c r="G419" s="44" t="s">
        <v>418</v>
      </c>
      <c r="H419" t="str">
        <f t="shared" si="22"/>
        <v>INTERGLOBO(FREIGHT)</v>
      </c>
      <c r="I419" s="112">
        <f t="shared" si="23"/>
        <v>45818</v>
      </c>
      <c r="J419" s="128">
        <f t="shared" si="24"/>
        <v>5866.92</v>
      </c>
    </row>
    <row r="420" spans="1:10" x14ac:dyDescent="0.3">
      <c r="A420" t="s">
        <v>324</v>
      </c>
      <c r="B420" s="4" t="s">
        <v>337</v>
      </c>
      <c r="C420" s="7">
        <v>45835</v>
      </c>
      <c r="D420" s="8">
        <v>4317.0200000000004</v>
      </c>
      <c r="E420" s="8"/>
      <c r="F420" s="123" t="s">
        <v>4109</v>
      </c>
      <c r="G420" s="44" t="s">
        <v>419</v>
      </c>
      <c r="H420" t="str">
        <f t="shared" si="22"/>
        <v>INTERGLOBO(FREIGHT)</v>
      </c>
      <c r="I420" s="112">
        <f t="shared" si="23"/>
        <v>45825</v>
      </c>
      <c r="J420" s="128">
        <f t="shared" si="24"/>
        <v>125</v>
      </c>
    </row>
    <row r="421" spans="1:10" x14ac:dyDescent="0.3">
      <c r="A421" t="s">
        <v>324</v>
      </c>
      <c r="B421" s="4" t="s">
        <v>338</v>
      </c>
      <c r="C421" s="7">
        <v>45835</v>
      </c>
      <c r="D421" s="8">
        <v>2458.15</v>
      </c>
      <c r="E421" s="8"/>
      <c r="F421" s="123" t="s">
        <v>4109</v>
      </c>
      <c r="G421" s="44" t="s">
        <v>420</v>
      </c>
      <c r="H421" t="str">
        <f t="shared" si="22"/>
        <v>INTERGLOBO(FREIGHT)</v>
      </c>
      <c r="I421" s="112">
        <f t="shared" si="23"/>
        <v>45832</v>
      </c>
      <c r="J421" s="128">
        <f t="shared" si="24"/>
        <v>125</v>
      </c>
    </row>
    <row r="422" spans="1:10" x14ac:dyDescent="0.3">
      <c r="A422" t="s">
        <v>324</v>
      </c>
      <c r="B422" s="4" t="s">
        <v>338</v>
      </c>
      <c r="C422" s="7">
        <v>45835</v>
      </c>
      <c r="D422" s="8">
        <v>4388.3999999999996</v>
      </c>
      <c r="E422" s="8"/>
      <c r="F422" s="122" t="s">
        <v>4110</v>
      </c>
      <c r="G422" s="44" t="s">
        <v>423</v>
      </c>
      <c r="H422" t="str">
        <f t="shared" si="22"/>
        <v>Jasfer Industry Co., Limited</v>
      </c>
      <c r="I422" s="112">
        <f t="shared" si="23"/>
        <v>44707</v>
      </c>
      <c r="J422" s="128">
        <f t="shared" si="24"/>
        <v>1032.6500000000001</v>
      </c>
    </row>
    <row r="423" spans="1:10" x14ac:dyDescent="0.3">
      <c r="A423" t="s">
        <v>324</v>
      </c>
      <c r="B423">
        <v>20250630</v>
      </c>
      <c r="C423" s="7">
        <v>45838</v>
      </c>
      <c r="D423" s="8">
        <v>1320</v>
      </c>
      <c r="E423" s="8"/>
      <c r="F423" s="122" t="s">
        <v>4110</v>
      </c>
      <c r="G423" s="44" t="s">
        <v>424</v>
      </c>
      <c r="H423" t="str">
        <f t="shared" si="22"/>
        <v>Jasfer Industry Co., Limited</v>
      </c>
      <c r="I423" s="112">
        <f t="shared" si="23"/>
        <v>45231</v>
      </c>
      <c r="J423" s="128">
        <f t="shared" si="24"/>
        <v>3464</v>
      </c>
    </row>
    <row r="424" spans="1:10" x14ac:dyDescent="0.3">
      <c r="A424" t="s">
        <v>339</v>
      </c>
      <c r="B424" s="4" t="s">
        <v>340</v>
      </c>
      <c r="C424" s="7">
        <v>45828</v>
      </c>
      <c r="D424" s="8">
        <v>34757.1</v>
      </c>
      <c r="E424" s="8"/>
      <c r="F424" s="122" t="s">
        <v>4110</v>
      </c>
      <c r="G424" s="44" t="s">
        <v>425</v>
      </c>
      <c r="H424" t="str">
        <f t="shared" si="22"/>
        <v>Jasfer Industry Co., Limited</v>
      </c>
      <c r="I424" s="112">
        <f t="shared" si="23"/>
        <v>45271</v>
      </c>
      <c r="J424" s="128">
        <f t="shared" si="24"/>
        <v>400</v>
      </c>
    </row>
    <row r="425" spans="1:10" x14ac:dyDescent="0.3">
      <c r="A425" t="s">
        <v>341</v>
      </c>
      <c r="B425" s="4" t="s">
        <v>342</v>
      </c>
      <c r="C425" s="7">
        <v>45797</v>
      </c>
      <c r="D425" s="8">
        <v>22000</v>
      </c>
      <c r="E425" s="8"/>
      <c r="F425" s="122" t="s">
        <v>4110</v>
      </c>
      <c r="G425" s="44" t="s">
        <v>426</v>
      </c>
      <c r="H425" t="str">
        <f t="shared" si="22"/>
        <v>Jasfer Industry Co., Limited</v>
      </c>
      <c r="I425" s="112">
        <f t="shared" si="23"/>
        <v>45289</v>
      </c>
      <c r="J425" s="128">
        <f t="shared" si="24"/>
        <v>2648.2200000000003</v>
      </c>
    </row>
    <row r="426" spans="1:10" x14ac:dyDescent="0.3">
      <c r="A426" t="s">
        <v>343</v>
      </c>
      <c r="B426" s="4" t="s">
        <v>344</v>
      </c>
      <c r="C426" s="7">
        <v>45820</v>
      </c>
      <c r="D426" s="8">
        <v>-10557.02</v>
      </c>
      <c r="E426" s="8"/>
      <c r="F426" s="122" t="s">
        <v>4110</v>
      </c>
      <c r="G426" s="44" t="s">
        <v>427</v>
      </c>
      <c r="H426" t="str">
        <f t="shared" si="22"/>
        <v>Jasfer Industry Co., Limited</v>
      </c>
      <c r="I426" s="112">
        <f t="shared" si="23"/>
        <v>45292</v>
      </c>
      <c r="J426" s="128">
        <f t="shared" si="24"/>
        <v>3840.09</v>
      </c>
    </row>
    <row r="427" spans="1:10" x14ac:dyDescent="0.3">
      <c r="A427" t="s">
        <v>345</v>
      </c>
      <c r="B427" s="12">
        <v>11569</v>
      </c>
      <c r="C427" s="7">
        <v>45824</v>
      </c>
      <c r="D427" s="8">
        <v>-9900</v>
      </c>
      <c r="E427" s="8"/>
      <c r="F427" s="122" t="s">
        <v>4110</v>
      </c>
      <c r="G427" s="44" t="s">
        <v>428</v>
      </c>
      <c r="H427" t="str">
        <f t="shared" si="22"/>
        <v>Jasfer Industry Co., Limited</v>
      </c>
      <c r="I427" s="112">
        <f t="shared" si="23"/>
        <v>45292</v>
      </c>
      <c r="J427" s="128">
        <f t="shared" si="24"/>
        <v>224.28</v>
      </c>
    </row>
    <row r="428" spans="1:10" x14ac:dyDescent="0.3">
      <c r="A428" t="s">
        <v>346</v>
      </c>
      <c r="B428">
        <v>20250630</v>
      </c>
      <c r="C428" s="7">
        <v>45838</v>
      </c>
      <c r="D428" s="8">
        <v>13564.65</v>
      </c>
      <c r="E428" s="8"/>
      <c r="F428" s="122" t="s">
        <v>4110</v>
      </c>
      <c r="G428" s="44" t="s">
        <v>429</v>
      </c>
      <c r="H428" t="str">
        <f t="shared" si="22"/>
        <v>Jasfer Industry Co., Limited</v>
      </c>
      <c r="I428" s="112">
        <f t="shared" si="23"/>
        <v>45292</v>
      </c>
      <c r="J428" s="128">
        <f t="shared" si="24"/>
        <v>3709.62</v>
      </c>
    </row>
    <row r="429" spans="1:10" x14ac:dyDescent="0.3">
      <c r="A429" t="s">
        <v>347</v>
      </c>
      <c r="B429" s="4" t="s">
        <v>348</v>
      </c>
      <c r="C429" s="7">
        <v>45728</v>
      </c>
      <c r="D429" s="8">
        <v>1917.02</v>
      </c>
      <c r="E429" s="8"/>
      <c r="F429" s="122" t="s">
        <v>4110</v>
      </c>
      <c r="G429" s="44" t="s">
        <v>430</v>
      </c>
      <c r="H429" t="str">
        <f t="shared" si="22"/>
        <v>Jasfer Industry Co., Limited</v>
      </c>
      <c r="I429" s="112">
        <f t="shared" si="23"/>
        <v>45292</v>
      </c>
      <c r="J429" s="128">
        <f t="shared" si="24"/>
        <v>1350</v>
      </c>
    </row>
    <row r="430" spans="1:10" x14ac:dyDescent="0.3">
      <c r="A430" t="s">
        <v>347</v>
      </c>
      <c r="B430" s="4" t="s">
        <v>349</v>
      </c>
      <c r="C430" s="7">
        <v>45742</v>
      </c>
      <c r="D430" s="8">
        <v>1329.61</v>
      </c>
      <c r="E430" s="8"/>
      <c r="F430" s="122" t="s">
        <v>4110</v>
      </c>
      <c r="G430" s="44" t="s">
        <v>431</v>
      </c>
      <c r="H430" t="str">
        <f t="shared" si="22"/>
        <v>Jasfer Industry Co., Limited</v>
      </c>
      <c r="I430" s="112">
        <f t="shared" si="23"/>
        <v>45292</v>
      </c>
      <c r="J430" s="128">
        <f t="shared" si="24"/>
        <v>300</v>
      </c>
    </row>
    <row r="431" spans="1:10" x14ac:dyDescent="0.3">
      <c r="A431" t="s">
        <v>350</v>
      </c>
      <c r="B431">
        <v>25017885541</v>
      </c>
      <c r="C431" s="7">
        <v>45685</v>
      </c>
      <c r="D431" s="8">
        <v>118.99</v>
      </c>
      <c r="E431" s="8"/>
      <c r="F431" s="122" t="s">
        <v>4110</v>
      </c>
      <c r="G431" s="44" t="s">
        <v>432</v>
      </c>
      <c r="H431" t="str">
        <f t="shared" si="22"/>
        <v>Jasfer Industry Co., Limited</v>
      </c>
      <c r="I431" s="112">
        <f t="shared" si="23"/>
        <v>45296</v>
      </c>
      <c r="J431" s="128">
        <f t="shared" si="24"/>
        <v>2000</v>
      </c>
    </row>
    <row r="432" spans="1:10" x14ac:dyDescent="0.3">
      <c r="A432" t="s">
        <v>350</v>
      </c>
      <c r="B432">
        <v>25017885542</v>
      </c>
      <c r="C432" s="7">
        <v>45685</v>
      </c>
      <c r="D432" s="8">
        <v>118.99</v>
      </c>
      <c r="E432" s="8"/>
      <c r="F432" s="122" t="s">
        <v>4110</v>
      </c>
      <c r="G432" s="44" t="s">
        <v>433</v>
      </c>
      <c r="H432" t="str">
        <f t="shared" si="22"/>
        <v>Jasfer Industry Co., Limited</v>
      </c>
      <c r="I432" s="112">
        <f t="shared" si="23"/>
        <v>45299</v>
      </c>
      <c r="J432" s="128">
        <f t="shared" si="24"/>
        <v>2359.04</v>
      </c>
    </row>
    <row r="433" spans="1:10" x14ac:dyDescent="0.3">
      <c r="A433" t="s">
        <v>350</v>
      </c>
      <c r="B433">
        <v>25017929001</v>
      </c>
      <c r="C433" s="7">
        <v>45698</v>
      </c>
      <c r="D433" s="8">
        <v>366.37</v>
      </c>
      <c r="E433" s="8"/>
      <c r="F433" s="122" t="s">
        <v>4110</v>
      </c>
      <c r="G433" s="44">
        <v>36045</v>
      </c>
      <c r="H433" t="str">
        <f t="shared" si="22"/>
        <v>Jasfer Industry Co., Limited</v>
      </c>
      <c r="I433" s="112">
        <f t="shared" si="23"/>
        <v>45302</v>
      </c>
      <c r="J433" s="128">
        <f t="shared" si="24"/>
        <v>8044.97</v>
      </c>
    </row>
    <row r="434" spans="1:10" x14ac:dyDescent="0.3">
      <c r="A434" t="s">
        <v>350</v>
      </c>
      <c r="B434">
        <v>25017929002</v>
      </c>
      <c r="C434" s="7">
        <v>45698</v>
      </c>
      <c r="D434" s="8">
        <v>366.37</v>
      </c>
      <c r="E434" s="8"/>
      <c r="F434" s="122" t="s">
        <v>4110</v>
      </c>
      <c r="G434" s="44" t="s">
        <v>434</v>
      </c>
      <c r="H434" t="str">
        <f t="shared" si="22"/>
        <v>Jasfer Industry Co., Limited</v>
      </c>
      <c r="I434" s="112">
        <f t="shared" si="23"/>
        <v>45302</v>
      </c>
      <c r="J434" s="128">
        <f t="shared" si="24"/>
        <v>809.99</v>
      </c>
    </row>
    <row r="435" spans="1:10" s="11" customFormat="1" x14ac:dyDescent="0.3">
      <c r="A435" t="s">
        <v>350</v>
      </c>
      <c r="B435">
        <v>25017929003</v>
      </c>
      <c r="C435" s="7">
        <v>45698</v>
      </c>
      <c r="D435" s="8">
        <v>366.37</v>
      </c>
      <c r="E435" s="8"/>
      <c r="F435" s="122" t="s">
        <v>4110</v>
      </c>
      <c r="G435" s="44" t="s">
        <v>435</v>
      </c>
      <c r="H435" t="str">
        <f t="shared" si="22"/>
        <v>Jasfer Industry Co., Limited</v>
      </c>
      <c r="I435" s="112">
        <f t="shared" si="23"/>
        <v>45323</v>
      </c>
      <c r="J435" s="128">
        <f t="shared" si="24"/>
        <v>416.12</v>
      </c>
    </row>
    <row r="436" spans="1:10" x14ac:dyDescent="0.3">
      <c r="A436" t="s">
        <v>350</v>
      </c>
      <c r="B436">
        <v>25018106058</v>
      </c>
      <c r="C436" s="7">
        <v>45698</v>
      </c>
      <c r="D436" s="8">
        <v>113.08</v>
      </c>
      <c r="E436" s="8"/>
      <c r="F436" s="122" t="s">
        <v>4110</v>
      </c>
      <c r="G436" s="44" t="s">
        <v>436</v>
      </c>
      <c r="H436" t="str">
        <f t="shared" si="22"/>
        <v>Jasfer Industry Co., Limited</v>
      </c>
      <c r="I436" s="112">
        <f t="shared" si="23"/>
        <v>45323</v>
      </c>
      <c r="J436" s="128">
        <f t="shared" si="24"/>
        <v>340</v>
      </c>
    </row>
    <row r="437" spans="1:10" x14ac:dyDescent="0.3">
      <c r="A437" t="s">
        <v>350</v>
      </c>
      <c r="B437">
        <v>25018106059</v>
      </c>
      <c r="C437" s="7">
        <v>45698</v>
      </c>
      <c r="D437" s="8">
        <v>113.08</v>
      </c>
      <c r="E437" s="8"/>
      <c r="F437" s="122" t="s">
        <v>4110</v>
      </c>
      <c r="G437" s="44" t="s">
        <v>437</v>
      </c>
      <c r="H437" t="str">
        <f t="shared" si="22"/>
        <v>Jasfer Industry Co., Limited</v>
      </c>
      <c r="I437" s="112">
        <f t="shared" si="23"/>
        <v>45325</v>
      </c>
      <c r="J437" s="128">
        <f t="shared" si="24"/>
        <v>1048.6500000000001</v>
      </c>
    </row>
    <row r="438" spans="1:10" x14ac:dyDescent="0.3">
      <c r="A438" t="s">
        <v>350</v>
      </c>
      <c r="B438" s="4" t="s">
        <v>351</v>
      </c>
      <c r="C438" s="7">
        <v>45698</v>
      </c>
      <c r="D438" s="8">
        <v>1563.25</v>
      </c>
      <c r="E438" s="8"/>
      <c r="F438" s="122" t="s">
        <v>4110</v>
      </c>
      <c r="G438" s="44" t="s">
        <v>438</v>
      </c>
      <c r="H438" t="str">
        <f t="shared" si="22"/>
        <v>Jasfer Industry Co., Limited</v>
      </c>
      <c r="I438" s="112">
        <f t="shared" si="23"/>
        <v>45358</v>
      </c>
      <c r="J438" s="128">
        <f t="shared" si="24"/>
        <v>-8873.01</v>
      </c>
    </row>
    <row r="439" spans="1:10" s="11" customFormat="1" x14ac:dyDescent="0.3">
      <c r="A439" t="s">
        <v>350</v>
      </c>
      <c r="B439" s="4" t="s">
        <v>352</v>
      </c>
      <c r="C439" s="7">
        <v>45712</v>
      </c>
      <c r="D439" s="8">
        <v>3418.21</v>
      </c>
      <c r="E439" s="8"/>
      <c r="F439" s="122" t="s">
        <v>4110</v>
      </c>
      <c r="G439" s="44" t="s">
        <v>439</v>
      </c>
      <c r="H439" t="str">
        <f t="shared" si="22"/>
        <v>Jasfer Industry Co., Limited</v>
      </c>
      <c r="I439" s="112">
        <f t="shared" si="23"/>
        <v>45358</v>
      </c>
      <c r="J439" s="128">
        <f t="shared" si="24"/>
        <v>7367.4</v>
      </c>
    </row>
    <row r="440" spans="1:10" x14ac:dyDescent="0.3">
      <c r="A440" t="s">
        <v>350</v>
      </c>
      <c r="B440" s="4" t="s">
        <v>353</v>
      </c>
      <c r="C440" s="7">
        <v>45810</v>
      </c>
      <c r="D440" s="8">
        <v>151.77000000000001</v>
      </c>
      <c r="E440" s="8"/>
      <c r="F440" s="122" t="s">
        <v>4110</v>
      </c>
      <c r="G440" s="44" t="s">
        <v>440</v>
      </c>
      <c r="H440" t="str">
        <f t="shared" si="22"/>
        <v>Jasfer Industry Co., Limited</v>
      </c>
      <c r="I440" s="112">
        <f t="shared" si="23"/>
        <v>45373</v>
      </c>
      <c r="J440" s="128">
        <f t="shared" si="24"/>
        <v>1516.94</v>
      </c>
    </row>
    <row r="441" spans="1:10" x14ac:dyDescent="0.3">
      <c r="A441" t="s">
        <v>350</v>
      </c>
      <c r="B441">
        <v>25069285680</v>
      </c>
      <c r="C441" s="7">
        <v>45810</v>
      </c>
      <c r="D441" s="8">
        <v>225.49</v>
      </c>
      <c r="E441" s="8"/>
      <c r="F441" s="122" t="s">
        <v>4110</v>
      </c>
      <c r="G441" s="44" t="s">
        <v>441</v>
      </c>
      <c r="H441" t="str">
        <f t="shared" si="22"/>
        <v>Jasfer Industry Co., Limited</v>
      </c>
      <c r="I441" s="112">
        <f t="shared" si="23"/>
        <v>45390</v>
      </c>
      <c r="J441" s="128">
        <f t="shared" si="24"/>
        <v>200</v>
      </c>
    </row>
    <row r="442" spans="1:10" x14ac:dyDescent="0.3">
      <c r="A442" t="s">
        <v>354</v>
      </c>
      <c r="B442" s="4" t="s">
        <v>355</v>
      </c>
      <c r="C442" s="7">
        <v>45798</v>
      </c>
      <c r="D442" s="8">
        <v>-1248.3699999999999</v>
      </c>
      <c r="E442" s="8"/>
      <c r="F442" s="122" t="s">
        <v>4110</v>
      </c>
      <c r="G442" s="44" t="s">
        <v>442</v>
      </c>
      <c r="H442" t="str">
        <f t="shared" si="22"/>
        <v>Jasfer Industry Co., Limited</v>
      </c>
      <c r="I442" s="112">
        <f t="shared" si="23"/>
        <v>45392</v>
      </c>
      <c r="J442" s="128">
        <f t="shared" si="24"/>
        <v>38.950000000000003</v>
      </c>
    </row>
    <row r="443" spans="1:10" x14ac:dyDescent="0.3">
      <c r="A443" t="s">
        <v>356</v>
      </c>
      <c r="B443" s="4" t="s">
        <v>357</v>
      </c>
      <c r="C443" s="7">
        <v>45588</v>
      </c>
      <c r="D443" s="8">
        <v>8862</v>
      </c>
      <c r="E443" s="8"/>
      <c r="F443" s="122" t="s">
        <v>4110</v>
      </c>
      <c r="G443" s="44" t="s">
        <v>443</v>
      </c>
      <c r="H443" t="str">
        <f t="shared" si="22"/>
        <v>Jasfer Industry Co., Limited</v>
      </c>
      <c r="I443" s="112">
        <f t="shared" si="23"/>
        <v>45392</v>
      </c>
      <c r="J443" s="128">
        <f t="shared" si="24"/>
        <v>565.5</v>
      </c>
    </row>
    <row r="444" spans="1:10" x14ac:dyDescent="0.3">
      <c r="A444" t="s">
        <v>356</v>
      </c>
      <c r="B444" s="4" t="s">
        <v>357</v>
      </c>
      <c r="C444" s="7">
        <v>45588</v>
      </c>
      <c r="D444" s="8">
        <v>6263</v>
      </c>
      <c r="E444" s="8"/>
      <c r="F444" s="122" t="s">
        <v>4110</v>
      </c>
      <c r="G444" s="44" t="s">
        <v>444</v>
      </c>
      <c r="H444" t="str">
        <f t="shared" si="22"/>
        <v>Jasfer Industry Co., Limited</v>
      </c>
      <c r="I444" s="112">
        <f t="shared" si="23"/>
        <v>45399</v>
      </c>
      <c r="J444" s="128">
        <f t="shared" si="24"/>
        <v>16184.27</v>
      </c>
    </row>
    <row r="445" spans="1:10" x14ac:dyDescent="0.3">
      <c r="A445" t="s">
        <v>356</v>
      </c>
      <c r="B445" s="4" t="s">
        <v>358</v>
      </c>
      <c r="C445" s="7">
        <v>45607</v>
      </c>
      <c r="D445" s="8">
        <v>87.85</v>
      </c>
      <c r="E445" s="8"/>
      <c r="F445" s="122" t="s">
        <v>4110</v>
      </c>
      <c r="G445" s="44" t="s">
        <v>445</v>
      </c>
      <c r="H445" t="str">
        <f t="shared" si="22"/>
        <v>Jasfer Industry Co., Limited</v>
      </c>
      <c r="I445" s="112">
        <f t="shared" si="23"/>
        <v>45401</v>
      </c>
      <c r="J445" s="128">
        <f t="shared" si="24"/>
        <v>6330.48</v>
      </c>
    </row>
    <row r="446" spans="1:10" x14ac:dyDescent="0.3">
      <c r="A446" t="s">
        <v>356</v>
      </c>
      <c r="B446" s="4" t="s">
        <v>358</v>
      </c>
      <c r="C446" s="7">
        <v>45607</v>
      </c>
      <c r="D446" s="8">
        <v>4588</v>
      </c>
      <c r="E446" s="8"/>
      <c r="F446" s="122" t="s">
        <v>4110</v>
      </c>
      <c r="G446" s="44" t="s">
        <v>446</v>
      </c>
      <c r="H446" t="str">
        <f t="shared" si="22"/>
        <v>Jasfer Industry Co., Limited</v>
      </c>
      <c r="I446" s="112">
        <f t="shared" si="23"/>
        <v>45411</v>
      </c>
      <c r="J446" s="128">
        <f t="shared" si="24"/>
        <v>-1089.48</v>
      </c>
    </row>
    <row r="447" spans="1:10" x14ac:dyDescent="0.3">
      <c r="A447" t="s">
        <v>356</v>
      </c>
      <c r="B447" s="4" t="s">
        <v>359</v>
      </c>
      <c r="C447" s="7">
        <v>45659</v>
      </c>
      <c r="D447" s="8">
        <v>4412</v>
      </c>
      <c r="E447" s="8"/>
      <c r="F447" s="122" t="s">
        <v>4110</v>
      </c>
      <c r="G447" s="44" t="s">
        <v>447</v>
      </c>
      <c r="H447" t="str">
        <f t="shared" si="22"/>
        <v>Jasfer Industry Co., Limited</v>
      </c>
      <c r="I447" s="112">
        <f t="shared" si="23"/>
        <v>45418</v>
      </c>
      <c r="J447" s="128">
        <f t="shared" si="24"/>
        <v>1217.5999999999999</v>
      </c>
    </row>
    <row r="448" spans="1:10" x14ac:dyDescent="0.3">
      <c r="A448" t="s">
        <v>356</v>
      </c>
      <c r="B448" s="4" t="s">
        <v>359</v>
      </c>
      <c r="C448" s="7">
        <v>45659</v>
      </c>
      <c r="D448" s="8">
        <v>4412</v>
      </c>
      <c r="E448" s="8"/>
      <c r="F448" s="122" t="s">
        <v>4110</v>
      </c>
      <c r="G448" s="44" t="s">
        <v>448</v>
      </c>
      <c r="H448" t="str">
        <f t="shared" si="22"/>
        <v>Jasfer Industry Co., Limited</v>
      </c>
      <c r="I448" s="112">
        <f t="shared" si="23"/>
        <v>45418</v>
      </c>
      <c r="J448" s="128">
        <f t="shared" si="24"/>
        <v>22837.5</v>
      </c>
    </row>
    <row r="449" spans="1:10" x14ac:dyDescent="0.3">
      <c r="A449" t="s">
        <v>356</v>
      </c>
      <c r="B449" s="4" t="s">
        <v>359</v>
      </c>
      <c r="C449" s="7">
        <v>45659</v>
      </c>
      <c r="D449" s="8">
        <v>4412</v>
      </c>
      <c r="E449" s="8"/>
      <c r="F449" s="122" t="s">
        <v>4110</v>
      </c>
      <c r="G449" s="44" t="s">
        <v>449</v>
      </c>
      <c r="H449" t="str">
        <f t="shared" si="22"/>
        <v>Jasfer Industry Co., Limited</v>
      </c>
      <c r="I449" s="112">
        <f t="shared" si="23"/>
        <v>45418</v>
      </c>
      <c r="J449" s="128">
        <f t="shared" si="24"/>
        <v>5887</v>
      </c>
    </row>
    <row r="450" spans="1:10" x14ac:dyDescent="0.3">
      <c r="A450" t="s">
        <v>356</v>
      </c>
      <c r="B450" s="4" t="s">
        <v>360</v>
      </c>
      <c r="C450" s="7">
        <v>45659</v>
      </c>
      <c r="D450" s="8">
        <v>1527</v>
      </c>
      <c r="E450" s="8"/>
      <c r="F450" s="122" t="s">
        <v>4110</v>
      </c>
      <c r="G450" s="44" t="s">
        <v>450</v>
      </c>
      <c r="H450" t="str">
        <f t="shared" si="22"/>
        <v>Jasfer Industry Co., Limited</v>
      </c>
      <c r="I450" s="112">
        <f t="shared" si="23"/>
        <v>45418</v>
      </c>
      <c r="J450" s="128">
        <f t="shared" si="24"/>
        <v>1218</v>
      </c>
    </row>
    <row r="451" spans="1:10" x14ac:dyDescent="0.3">
      <c r="A451" t="s">
        <v>356</v>
      </c>
      <c r="B451" s="4" t="s">
        <v>360</v>
      </c>
      <c r="C451" s="7">
        <v>45659</v>
      </c>
      <c r="D451" s="8">
        <v>1527</v>
      </c>
      <c r="E451" s="8"/>
      <c r="F451" s="122" t="s">
        <v>4110</v>
      </c>
      <c r="G451" s="44" t="s">
        <v>451</v>
      </c>
      <c r="H451" t="str">
        <f t="shared" si="22"/>
        <v>Jasfer Industry Co., Limited</v>
      </c>
      <c r="I451" s="112">
        <f t="shared" si="23"/>
        <v>45420</v>
      </c>
      <c r="J451" s="128">
        <f t="shared" si="24"/>
        <v>13398</v>
      </c>
    </row>
    <row r="452" spans="1:10" x14ac:dyDescent="0.3">
      <c r="A452" t="s">
        <v>356</v>
      </c>
      <c r="B452" s="4" t="s">
        <v>360</v>
      </c>
      <c r="C452" s="7">
        <v>45659</v>
      </c>
      <c r="D452" s="8">
        <v>1528</v>
      </c>
      <c r="E452" s="8"/>
      <c r="F452" s="122" t="s">
        <v>4110</v>
      </c>
      <c r="G452" s="44" t="s">
        <v>452</v>
      </c>
      <c r="H452" t="str">
        <f t="shared" si="22"/>
        <v>Jasfer Industry Co., Limited</v>
      </c>
      <c r="I452" s="112">
        <f t="shared" si="23"/>
        <v>45425</v>
      </c>
      <c r="J452" s="128">
        <f t="shared" si="24"/>
        <v>222.31</v>
      </c>
    </row>
    <row r="453" spans="1:10" x14ac:dyDescent="0.3">
      <c r="A453" t="s">
        <v>356</v>
      </c>
      <c r="B453" s="4" t="s">
        <v>361</v>
      </c>
      <c r="C453" s="7">
        <v>45660</v>
      </c>
      <c r="D453" s="8">
        <v>950</v>
      </c>
      <c r="E453" s="8"/>
      <c r="F453" s="122" t="s">
        <v>4110</v>
      </c>
      <c r="G453" s="44" t="s">
        <v>453</v>
      </c>
      <c r="H453" t="str">
        <f t="shared" si="22"/>
        <v>Jasfer Industry Co., Limited</v>
      </c>
      <c r="I453" s="112">
        <f t="shared" si="23"/>
        <v>45442</v>
      </c>
      <c r="J453" s="128">
        <f t="shared" si="24"/>
        <v>233</v>
      </c>
    </row>
    <row r="454" spans="1:10" x14ac:dyDescent="0.3">
      <c r="A454" t="s">
        <v>356</v>
      </c>
      <c r="B454" s="4" t="s">
        <v>362</v>
      </c>
      <c r="C454" s="7">
        <v>45660</v>
      </c>
      <c r="D454" s="8">
        <v>9350</v>
      </c>
      <c r="E454" s="8"/>
      <c r="F454" s="122" t="s">
        <v>4110</v>
      </c>
      <c r="G454" s="44" t="s">
        <v>454</v>
      </c>
      <c r="H454" t="str">
        <f t="shared" ref="H454:H517" si="25">_xlfn.XLOOKUP(G454,B:B,A:A,,)</f>
        <v>Jasfer Industry Co., Limited</v>
      </c>
      <c r="I454" s="112">
        <f t="shared" ref="I454:I517" si="26">_xlfn.XLOOKUP(G454,B:B,C:C,,)</f>
        <v>45450</v>
      </c>
      <c r="J454" s="128">
        <f t="shared" ref="J454:J517" si="27">SUMIF(B:B,G454,D:D)</f>
        <v>2252.38</v>
      </c>
    </row>
    <row r="455" spans="1:10" x14ac:dyDescent="0.3">
      <c r="A455" t="s">
        <v>356</v>
      </c>
      <c r="B455" s="4" t="s">
        <v>363</v>
      </c>
      <c r="C455" s="7">
        <v>45663</v>
      </c>
      <c r="D455" s="8">
        <v>34</v>
      </c>
      <c r="E455" s="8"/>
      <c r="F455" s="122" t="s">
        <v>4110</v>
      </c>
      <c r="G455" s="44" t="s">
        <v>455</v>
      </c>
      <c r="H455" t="str">
        <f t="shared" si="25"/>
        <v>Jasfer Industry Co., Limited</v>
      </c>
      <c r="I455" s="112">
        <f t="shared" si="26"/>
        <v>45450</v>
      </c>
      <c r="J455" s="128">
        <f t="shared" si="27"/>
        <v>2436.44</v>
      </c>
    </row>
    <row r="456" spans="1:10" x14ac:dyDescent="0.3">
      <c r="A456" t="s">
        <v>356</v>
      </c>
      <c r="B456" s="4" t="s">
        <v>363</v>
      </c>
      <c r="C456" s="7">
        <v>45663</v>
      </c>
      <c r="D456" s="8">
        <v>33</v>
      </c>
      <c r="E456" s="8"/>
      <c r="F456" s="122" t="s">
        <v>4110</v>
      </c>
      <c r="G456" s="44" t="s">
        <v>456</v>
      </c>
      <c r="H456" t="str">
        <f t="shared" si="25"/>
        <v>Jasfer Industry Co., Limited</v>
      </c>
      <c r="I456" s="112">
        <f t="shared" si="26"/>
        <v>45461</v>
      </c>
      <c r="J456" s="128">
        <f t="shared" si="27"/>
        <v>-13149.33</v>
      </c>
    </row>
    <row r="457" spans="1:10" x14ac:dyDescent="0.3">
      <c r="A457" t="s">
        <v>356</v>
      </c>
      <c r="B457" s="4" t="s">
        <v>363</v>
      </c>
      <c r="C457" s="7">
        <v>45663</v>
      </c>
      <c r="D457" s="8">
        <v>33</v>
      </c>
      <c r="E457" s="8"/>
      <c r="F457" s="122" t="s">
        <v>4110</v>
      </c>
      <c r="G457" s="44" t="s">
        <v>457</v>
      </c>
      <c r="H457" t="str">
        <f t="shared" si="25"/>
        <v>Jasfer Industry Co., Limited</v>
      </c>
      <c r="I457" s="112">
        <f t="shared" si="26"/>
        <v>45462</v>
      </c>
      <c r="J457" s="128">
        <f t="shared" si="27"/>
        <v>973.74</v>
      </c>
    </row>
    <row r="458" spans="1:10" x14ac:dyDescent="0.3">
      <c r="A458" t="s">
        <v>356</v>
      </c>
      <c r="B458" s="4" t="s">
        <v>364</v>
      </c>
      <c r="C458" s="7">
        <v>45663</v>
      </c>
      <c r="D458" s="8">
        <v>33</v>
      </c>
      <c r="E458" s="8"/>
      <c r="F458" s="122" t="s">
        <v>4110</v>
      </c>
      <c r="G458" s="44" t="s">
        <v>458</v>
      </c>
      <c r="H458" t="str">
        <f t="shared" si="25"/>
        <v>Jasfer Industry Co., Limited</v>
      </c>
      <c r="I458" s="112">
        <f t="shared" si="26"/>
        <v>45469</v>
      </c>
      <c r="J458" s="128">
        <f t="shared" si="27"/>
        <v>-3160</v>
      </c>
    </row>
    <row r="459" spans="1:10" x14ac:dyDescent="0.3">
      <c r="A459" t="s">
        <v>356</v>
      </c>
      <c r="B459" s="4" t="s">
        <v>364</v>
      </c>
      <c r="C459" s="7">
        <v>45663</v>
      </c>
      <c r="D459" s="8">
        <v>34</v>
      </c>
      <c r="E459" s="8"/>
      <c r="F459" s="122" t="s">
        <v>4110</v>
      </c>
      <c r="G459" s="44" t="s">
        <v>459</v>
      </c>
      <c r="H459" t="str">
        <f t="shared" si="25"/>
        <v>Jasfer Industry Co., Limited</v>
      </c>
      <c r="I459" s="112">
        <f t="shared" si="26"/>
        <v>45473</v>
      </c>
      <c r="J459" s="128">
        <f t="shared" si="27"/>
        <v>-799.2</v>
      </c>
    </row>
    <row r="460" spans="1:10" x14ac:dyDescent="0.3">
      <c r="A460" t="s">
        <v>356</v>
      </c>
      <c r="B460" s="4" t="s">
        <v>364</v>
      </c>
      <c r="C460" s="7">
        <v>45663</v>
      </c>
      <c r="D460" s="8">
        <v>33</v>
      </c>
      <c r="E460" s="8"/>
      <c r="F460" s="122" t="s">
        <v>4110</v>
      </c>
      <c r="G460" s="44" t="s">
        <v>460</v>
      </c>
      <c r="H460" t="str">
        <f t="shared" si="25"/>
        <v>Jasfer Industry Co., Limited</v>
      </c>
      <c r="I460" s="112">
        <f t="shared" si="26"/>
        <v>45474</v>
      </c>
      <c r="J460" s="128">
        <f t="shared" si="27"/>
        <v>10590.91</v>
      </c>
    </row>
    <row r="461" spans="1:10" x14ac:dyDescent="0.3">
      <c r="A461" t="s">
        <v>356</v>
      </c>
      <c r="B461" s="4" t="s">
        <v>365</v>
      </c>
      <c r="C461" s="7">
        <v>45663</v>
      </c>
      <c r="D461" s="8">
        <v>25</v>
      </c>
      <c r="E461" s="8"/>
      <c r="F461" s="122" t="s">
        <v>4110</v>
      </c>
      <c r="G461" s="44" t="s">
        <v>461</v>
      </c>
      <c r="H461" t="str">
        <f t="shared" si="25"/>
        <v>Jasfer Industry Co., Limited</v>
      </c>
      <c r="I461" s="112">
        <f t="shared" si="26"/>
        <v>45475</v>
      </c>
      <c r="J461" s="128">
        <f t="shared" si="27"/>
        <v>-13009.33</v>
      </c>
    </row>
    <row r="462" spans="1:10" x14ac:dyDescent="0.3">
      <c r="A462" t="s">
        <v>356</v>
      </c>
      <c r="B462" s="4" t="s">
        <v>365</v>
      </c>
      <c r="C462" s="7">
        <v>45663</v>
      </c>
      <c r="D462" s="8">
        <v>25</v>
      </c>
      <c r="E462" s="8"/>
      <c r="F462" s="122" t="s">
        <v>4110</v>
      </c>
      <c r="G462" s="44" t="s">
        <v>462</v>
      </c>
      <c r="H462" t="str">
        <f t="shared" si="25"/>
        <v>Jasfer Industry Co., Limited</v>
      </c>
      <c r="I462" s="112">
        <f t="shared" si="26"/>
        <v>45475</v>
      </c>
      <c r="J462" s="128">
        <f t="shared" si="27"/>
        <v>21802.9</v>
      </c>
    </row>
    <row r="463" spans="1:10" x14ac:dyDescent="0.3">
      <c r="A463" t="s">
        <v>356</v>
      </c>
      <c r="B463" s="4" t="s">
        <v>365</v>
      </c>
      <c r="C463" s="7">
        <v>45663</v>
      </c>
      <c r="D463" s="8">
        <v>25</v>
      </c>
      <c r="E463" s="8"/>
      <c r="F463" s="122" t="s">
        <v>4110</v>
      </c>
      <c r="G463" s="44" t="s">
        <v>463</v>
      </c>
      <c r="H463" t="str">
        <f t="shared" si="25"/>
        <v>Jasfer Industry Co., Limited</v>
      </c>
      <c r="I463" s="112">
        <f t="shared" si="26"/>
        <v>45503</v>
      </c>
      <c r="J463" s="128">
        <f t="shared" si="27"/>
        <v>748.17</v>
      </c>
    </row>
    <row r="464" spans="1:10" x14ac:dyDescent="0.3">
      <c r="A464" t="s">
        <v>356</v>
      </c>
      <c r="B464" s="4" t="s">
        <v>365</v>
      </c>
      <c r="C464" s="7">
        <v>45663</v>
      </c>
      <c r="D464" s="8">
        <v>25</v>
      </c>
      <c r="E464" s="8"/>
      <c r="F464" s="122" t="s">
        <v>4110</v>
      </c>
      <c r="G464" s="44">
        <v>20240801</v>
      </c>
      <c r="H464" t="str">
        <f t="shared" si="25"/>
        <v>Jasfer Industry Co., Limited</v>
      </c>
      <c r="I464" s="112">
        <f t="shared" si="26"/>
        <v>45505</v>
      </c>
      <c r="J464" s="128">
        <f t="shared" si="27"/>
        <v>704</v>
      </c>
    </row>
    <row r="465" spans="1:10" x14ac:dyDescent="0.3">
      <c r="A465" t="s">
        <v>356</v>
      </c>
      <c r="B465" s="4" t="s">
        <v>366</v>
      </c>
      <c r="C465" s="7">
        <v>45665</v>
      </c>
      <c r="D465" s="8">
        <v>21385</v>
      </c>
      <c r="E465" s="8"/>
      <c r="F465" s="122" t="s">
        <v>4110</v>
      </c>
      <c r="G465" s="44" t="s">
        <v>464</v>
      </c>
      <c r="H465" t="str">
        <f t="shared" si="25"/>
        <v>Jasfer Industry Co., Limited</v>
      </c>
      <c r="I465" s="112">
        <f t="shared" si="26"/>
        <v>45505</v>
      </c>
      <c r="J465" s="128">
        <f t="shared" si="27"/>
        <v>4000</v>
      </c>
    </row>
    <row r="466" spans="1:10" x14ac:dyDescent="0.3">
      <c r="A466" t="s">
        <v>356</v>
      </c>
      <c r="B466" s="4" t="s">
        <v>367</v>
      </c>
      <c r="C466" s="7">
        <v>45665</v>
      </c>
      <c r="D466" s="8">
        <v>4009</v>
      </c>
      <c r="E466" s="8"/>
      <c r="F466" s="122" t="s">
        <v>4110</v>
      </c>
      <c r="G466" s="44" t="s">
        <v>465</v>
      </c>
      <c r="H466" t="str">
        <f t="shared" si="25"/>
        <v>Jasfer Industry Co., Limited</v>
      </c>
      <c r="I466" s="112">
        <f t="shared" si="26"/>
        <v>45505</v>
      </c>
      <c r="J466" s="128">
        <f t="shared" si="27"/>
        <v>1566.67</v>
      </c>
    </row>
    <row r="467" spans="1:10" x14ac:dyDescent="0.3">
      <c r="A467" t="s">
        <v>356</v>
      </c>
      <c r="B467" s="4" t="s">
        <v>367</v>
      </c>
      <c r="C467" s="7">
        <v>45665</v>
      </c>
      <c r="D467" s="8">
        <v>4010</v>
      </c>
      <c r="E467" s="8"/>
      <c r="F467" s="122" t="s">
        <v>4110</v>
      </c>
      <c r="G467" s="44" t="s">
        <v>466</v>
      </c>
      <c r="H467" t="str">
        <f t="shared" si="25"/>
        <v>Jasfer Industry Co., Limited</v>
      </c>
      <c r="I467" s="112">
        <f t="shared" si="26"/>
        <v>45505</v>
      </c>
      <c r="J467" s="128">
        <f t="shared" si="27"/>
        <v>4683.83</v>
      </c>
    </row>
    <row r="468" spans="1:10" x14ac:dyDescent="0.3">
      <c r="A468" t="s">
        <v>356</v>
      </c>
      <c r="B468" s="4" t="s">
        <v>368</v>
      </c>
      <c r="C468" s="7">
        <v>45667</v>
      </c>
      <c r="D468" s="8">
        <v>34</v>
      </c>
      <c r="E468" s="8"/>
      <c r="F468" s="122" t="s">
        <v>4110</v>
      </c>
      <c r="G468" s="44" t="s">
        <v>467</v>
      </c>
      <c r="H468" t="str">
        <f t="shared" si="25"/>
        <v>Jasfer Industry Co., Limited</v>
      </c>
      <c r="I468" s="112">
        <f t="shared" si="26"/>
        <v>45505</v>
      </c>
      <c r="J468" s="128">
        <f t="shared" si="27"/>
        <v>27370.09</v>
      </c>
    </row>
    <row r="469" spans="1:10" x14ac:dyDescent="0.3">
      <c r="A469" t="s">
        <v>356</v>
      </c>
      <c r="B469" s="4" t="s">
        <v>368</v>
      </c>
      <c r="C469" s="7">
        <v>45667</v>
      </c>
      <c r="D469" s="8">
        <v>33</v>
      </c>
      <c r="E469" s="8"/>
      <c r="F469" s="122" t="s">
        <v>4110</v>
      </c>
      <c r="G469" s="44" t="s">
        <v>468</v>
      </c>
      <c r="H469" t="str">
        <f t="shared" si="25"/>
        <v>Jasfer Industry Co., Limited</v>
      </c>
      <c r="I469" s="112">
        <f t="shared" si="26"/>
        <v>45508</v>
      </c>
      <c r="J469" s="128">
        <f t="shared" si="27"/>
        <v>76480.72</v>
      </c>
    </row>
    <row r="470" spans="1:10" x14ac:dyDescent="0.3">
      <c r="A470" t="s">
        <v>356</v>
      </c>
      <c r="B470" s="4" t="s">
        <v>368</v>
      </c>
      <c r="C470" s="7">
        <v>45667</v>
      </c>
      <c r="D470" s="8">
        <v>33</v>
      </c>
      <c r="E470" s="8"/>
      <c r="F470" s="122" t="s">
        <v>4110</v>
      </c>
      <c r="G470" s="44" t="s">
        <v>469</v>
      </c>
      <c r="H470" t="str">
        <f t="shared" si="25"/>
        <v>Jasfer Industry Co., Limited</v>
      </c>
      <c r="I470" s="112">
        <f t="shared" si="26"/>
        <v>45512</v>
      </c>
      <c r="J470" s="128">
        <f t="shared" si="27"/>
        <v>590</v>
      </c>
    </row>
    <row r="471" spans="1:10" x14ac:dyDescent="0.3">
      <c r="A471" t="s">
        <v>356</v>
      </c>
      <c r="B471" s="4" t="s">
        <v>369</v>
      </c>
      <c r="C471" s="7">
        <v>45670</v>
      </c>
      <c r="D471" s="8">
        <v>3587</v>
      </c>
      <c r="E471" s="8"/>
      <c r="F471" s="122" t="s">
        <v>4110</v>
      </c>
      <c r="G471" s="44" t="s">
        <v>470</v>
      </c>
      <c r="H471" t="str">
        <f t="shared" si="25"/>
        <v>Jasfer Industry Co., Limited</v>
      </c>
      <c r="I471" s="112">
        <f t="shared" si="26"/>
        <v>45512</v>
      </c>
      <c r="J471" s="128">
        <f t="shared" si="27"/>
        <v>3776.83</v>
      </c>
    </row>
    <row r="472" spans="1:10" x14ac:dyDescent="0.3">
      <c r="A472" t="s">
        <v>356</v>
      </c>
      <c r="B472" s="4" t="s">
        <v>370</v>
      </c>
      <c r="C472" s="7">
        <v>45670</v>
      </c>
      <c r="D472" s="8">
        <v>1515</v>
      </c>
      <c r="E472" s="8"/>
      <c r="F472" s="122" t="s">
        <v>4110</v>
      </c>
      <c r="G472" s="44" t="s">
        <v>471</v>
      </c>
      <c r="H472" t="str">
        <f t="shared" si="25"/>
        <v>Jasfer Industry Co., Limited</v>
      </c>
      <c r="I472" s="112">
        <f t="shared" si="26"/>
        <v>45512</v>
      </c>
      <c r="J472" s="128">
        <f t="shared" si="27"/>
        <v>2605.83</v>
      </c>
    </row>
    <row r="473" spans="1:10" x14ac:dyDescent="0.3">
      <c r="A473" t="s">
        <v>356</v>
      </c>
      <c r="B473" s="4" t="s">
        <v>370</v>
      </c>
      <c r="C473" s="7">
        <v>45670</v>
      </c>
      <c r="D473" s="8">
        <v>1516</v>
      </c>
      <c r="E473" s="8"/>
      <c r="F473" s="122" t="s">
        <v>4110</v>
      </c>
      <c r="G473" s="44" t="s">
        <v>472</v>
      </c>
      <c r="H473" t="str">
        <f t="shared" si="25"/>
        <v>Jasfer Industry Co., Limited</v>
      </c>
      <c r="I473" s="112">
        <f t="shared" si="26"/>
        <v>45512</v>
      </c>
      <c r="J473" s="128">
        <f t="shared" si="27"/>
        <v>1975</v>
      </c>
    </row>
    <row r="474" spans="1:10" x14ac:dyDescent="0.3">
      <c r="A474" t="s">
        <v>356</v>
      </c>
      <c r="B474" s="4" t="s">
        <v>370</v>
      </c>
      <c r="C474" s="7">
        <v>45670</v>
      </c>
      <c r="D474" s="8">
        <v>1516</v>
      </c>
      <c r="E474" s="8"/>
      <c r="F474" s="122" t="s">
        <v>4110</v>
      </c>
      <c r="G474" s="44" t="s">
        <v>473</v>
      </c>
      <c r="H474" t="str">
        <f t="shared" si="25"/>
        <v>Jasfer Industry Co., Limited</v>
      </c>
      <c r="I474" s="112">
        <f t="shared" si="26"/>
        <v>45527</v>
      </c>
      <c r="J474" s="128">
        <f t="shared" si="27"/>
        <v>5349.68</v>
      </c>
    </row>
    <row r="475" spans="1:10" x14ac:dyDescent="0.3">
      <c r="A475" t="s">
        <v>356</v>
      </c>
      <c r="B475" s="4" t="s">
        <v>371</v>
      </c>
      <c r="C475" s="7">
        <v>45670</v>
      </c>
      <c r="D475" s="8">
        <v>12561</v>
      </c>
      <c r="E475" s="8"/>
      <c r="F475" s="122" t="s">
        <v>4110</v>
      </c>
      <c r="G475" s="44" t="s">
        <v>474</v>
      </c>
      <c r="H475" t="str">
        <f t="shared" si="25"/>
        <v>Jasfer Industry Co., Limited</v>
      </c>
      <c r="I475" s="112">
        <f t="shared" si="26"/>
        <v>45536</v>
      </c>
      <c r="J475" s="128">
        <f t="shared" si="27"/>
        <v>2341.4699999999998</v>
      </c>
    </row>
    <row r="476" spans="1:10" x14ac:dyDescent="0.3">
      <c r="A476" t="s">
        <v>356</v>
      </c>
      <c r="B476" s="4" t="s">
        <v>372</v>
      </c>
      <c r="C476" s="7">
        <v>45670</v>
      </c>
      <c r="D476" s="8">
        <v>12561</v>
      </c>
      <c r="E476" s="8"/>
      <c r="F476" s="122" t="s">
        <v>4110</v>
      </c>
      <c r="G476" s="44" t="s">
        <v>475</v>
      </c>
      <c r="H476" t="str">
        <f t="shared" si="25"/>
        <v>Jasfer Industry Co., Limited</v>
      </c>
      <c r="I476" s="112">
        <f t="shared" si="26"/>
        <v>45538</v>
      </c>
      <c r="J476" s="128">
        <f t="shared" si="27"/>
        <v>708</v>
      </c>
    </row>
    <row r="477" spans="1:10" x14ac:dyDescent="0.3">
      <c r="A477" t="s">
        <v>356</v>
      </c>
      <c r="B477" s="4" t="s">
        <v>373</v>
      </c>
      <c r="C477" s="7">
        <v>45674</v>
      </c>
      <c r="D477" s="8">
        <v>2556</v>
      </c>
      <c r="E477" s="8"/>
      <c r="F477" s="122" t="s">
        <v>4110</v>
      </c>
      <c r="G477" s="44" t="s">
        <v>476</v>
      </c>
      <c r="H477" t="str">
        <f t="shared" si="25"/>
        <v>Jasfer Industry Co., Limited</v>
      </c>
      <c r="I477" s="112">
        <f t="shared" si="26"/>
        <v>45550</v>
      </c>
      <c r="J477" s="128">
        <f t="shared" si="27"/>
        <v>2375.12</v>
      </c>
    </row>
    <row r="478" spans="1:10" x14ac:dyDescent="0.3">
      <c r="A478" t="s">
        <v>356</v>
      </c>
      <c r="B478" s="4" t="s">
        <v>373</v>
      </c>
      <c r="C478" s="7">
        <v>45674</v>
      </c>
      <c r="D478" s="8">
        <v>2556</v>
      </c>
      <c r="E478" s="8"/>
      <c r="F478" s="122" t="s">
        <v>4110</v>
      </c>
      <c r="G478" s="44" t="s">
        <v>477</v>
      </c>
      <c r="H478" t="str">
        <f t="shared" si="25"/>
        <v>Jasfer Industry Co., Limited</v>
      </c>
      <c r="I478" s="112">
        <f t="shared" si="26"/>
        <v>45554</v>
      </c>
      <c r="J478" s="128">
        <f t="shared" si="27"/>
        <v>485</v>
      </c>
    </row>
    <row r="479" spans="1:10" x14ac:dyDescent="0.3">
      <c r="A479" t="s">
        <v>356</v>
      </c>
      <c r="B479" s="4" t="s">
        <v>374</v>
      </c>
      <c r="C479" s="7">
        <v>45674</v>
      </c>
      <c r="D479" s="8">
        <v>34</v>
      </c>
      <c r="E479" s="8"/>
      <c r="F479" s="122" t="s">
        <v>4110</v>
      </c>
      <c r="G479" s="44" t="s">
        <v>478</v>
      </c>
      <c r="H479" t="str">
        <f t="shared" si="25"/>
        <v>Jasfer Industry Co., Limited</v>
      </c>
      <c r="I479" s="112">
        <f t="shared" si="26"/>
        <v>45554</v>
      </c>
      <c r="J479" s="128">
        <f t="shared" si="27"/>
        <v>2091.25</v>
      </c>
    </row>
    <row r="480" spans="1:10" x14ac:dyDescent="0.3">
      <c r="A480" t="s">
        <v>356</v>
      </c>
      <c r="B480" s="4" t="s">
        <v>374</v>
      </c>
      <c r="C480" s="7">
        <v>45674</v>
      </c>
      <c r="D480" s="8">
        <v>33</v>
      </c>
      <c r="E480" s="8"/>
      <c r="F480" s="122" t="s">
        <v>4110</v>
      </c>
      <c r="G480" s="44" t="s">
        <v>479</v>
      </c>
      <c r="H480" t="str">
        <f t="shared" si="25"/>
        <v>Jasfer Industry Co., Limited</v>
      </c>
      <c r="I480" s="112">
        <f t="shared" si="26"/>
        <v>45556</v>
      </c>
      <c r="J480" s="128">
        <f t="shared" si="27"/>
        <v>80</v>
      </c>
    </row>
    <row r="481" spans="1:10" x14ac:dyDescent="0.3">
      <c r="A481" t="s">
        <v>356</v>
      </c>
      <c r="B481" s="4" t="s">
        <v>374</v>
      </c>
      <c r="C481" s="7">
        <v>45674</v>
      </c>
      <c r="D481" s="8">
        <v>33</v>
      </c>
      <c r="E481" s="8"/>
      <c r="F481" s="122" t="s">
        <v>4110</v>
      </c>
      <c r="G481" s="44" t="s">
        <v>480</v>
      </c>
      <c r="H481" t="str">
        <f t="shared" si="25"/>
        <v>Jasfer Industry Co., Limited</v>
      </c>
      <c r="I481" s="112">
        <f t="shared" si="26"/>
        <v>45560</v>
      </c>
      <c r="J481" s="128">
        <f t="shared" si="27"/>
        <v>153.41</v>
      </c>
    </row>
    <row r="482" spans="1:10" x14ac:dyDescent="0.3">
      <c r="A482" t="s">
        <v>356</v>
      </c>
      <c r="B482" s="4" t="s">
        <v>375</v>
      </c>
      <c r="C482" s="7">
        <v>45679</v>
      </c>
      <c r="D482" s="8">
        <v>3937</v>
      </c>
      <c r="E482" s="8"/>
      <c r="F482" s="122" t="s">
        <v>4110</v>
      </c>
      <c r="G482" s="44" t="s">
        <v>481</v>
      </c>
      <c r="H482" t="str">
        <f t="shared" si="25"/>
        <v>Jasfer Industry Co., Limited</v>
      </c>
      <c r="I482" s="112">
        <f t="shared" si="26"/>
        <v>45563</v>
      </c>
      <c r="J482" s="128">
        <f t="shared" si="27"/>
        <v>6886.2</v>
      </c>
    </row>
    <row r="483" spans="1:10" x14ac:dyDescent="0.3">
      <c r="A483" t="s">
        <v>356</v>
      </c>
      <c r="B483" s="4" t="s">
        <v>376</v>
      </c>
      <c r="C483" s="7">
        <v>45679</v>
      </c>
      <c r="D483" s="8">
        <v>561</v>
      </c>
      <c r="E483" s="8"/>
      <c r="F483" s="122" t="s">
        <v>4110</v>
      </c>
      <c r="G483" s="44" t="s">
        <v>482</v>
      </c>
      <c r="H483" t="str">
        <f t="shared" si="25"/>
        <v>Jasfer Industry Co., Limited</v>
      </c>
      <c r="I483" s="112">
        <f t="shared" si="26"/>
        <v>45563</v>
      </c>
      <c r="J483" s="128">
        <f t="shared" si="27"/>
        <v>10405</v>
      </c>
    </row>
    <row r="484" spans="1:10" x14ac:dyDescent="0.3">
      <c r="A484" t="s">
        <v>356</v>
      </c>
      <c r="B484" s="4" t="s">
        <v>376</v>
      </c>
      <c r="C484" s="7">
        <v>45679</v>
      </c>
      <c r="D484" s="8">
        <v>561</v>
      </c>
      <c r="E484" s="8"/>
      <c r="F484" s="122" t="s">
        <v>4110</v>
      </c>
      <c r="G484" s="44" t="s">
        <v>483</v>
      </c>
      <c r="H484" t="str">
        <f t="shared" si="25"/>
        <v>Jasfer Industry Co., Limited</v>
      </c>
      <c r="I484" s="112">
        <f t="shared" si="26"/>
        <v>45563</v>
      </c>
      <c r="J484" s="128">
        <f t="shared" si="27"/>
        <v>10000</v>
      </c>
    </row>
    <row r="485" spans="1:10" x14ac:dyDescent="0.3">
      <c r="A485" t="s">
        <v>356</v>
      </c>
      <c r="B485" s="4" t="s">
        <v>376</v>
      </c>
      <c r="C485" s="7">
        <v>45679</v>
      </c>
      <c r="D485" s="8">
        <v>561</v>
      </c>
      <c r="E485" s="8"/>
      <c r="F485" s="122" t="s">
        <v>4110</v>
      </c>
      <c r="G485" s="44" t="s">
        <v>484</v>
      </c>
      <c r="H485" t="str">
        <f t="shared" si="25"/>
        <v>Jasfer Industry Co., Limited</v>
      </c>
      <c r="I485" s="112">
        <f t="shared" si="26"/>
        <v>45566</v>
      </c>
      <c r="J485" s="128">
        <f t="shared" si="27"/>
        <v>23880.22</v>
      </c>
    </row>
    <row r="486" spans="1:10" x14ac:dyDescent="0.3">
      <c r="A486" t="s">
        <v>356</v>
      </c>
      <c r="B486" s="4" t="s">
        <v>376</v>
      </c>
      <c r="C486" s="7">
        <v>45679</v>
      </c>
      <c r="D486" s="8">
        <v>562</v>
      </c>
      <c r="E486" s="8"/>
      <c r="F486" s="122" t="s">
        <v>4110</v>
      </c>
      <c r="G486" s="44" t="s">
        <v>485</v>
      </c>
      <c r="H486" t="str">
        <f t="shared" si="25"/>
        <v>Jasfer Industry Co., Limited</v>
      </c>
      <c r="I486" s="112">
        <f t="shared" si="26"/>
        <v>45566</v>
      </c>
      <c r="J486" s="128">
        <f t="shared" si="27"/>
        <v>14299.59</v>
      </c>
    </row>
    <row r="487" spans="1:10" x14ac:dyDescent="0.3">
      <c r="A487" t="s">
        <v>356</v>
      </c>
      <c r="B487" s="4" t="s">
        <v>376</v>
      </c>
      <c r="C487" s="7">
        <v>45679</v>
      </c>
      <c r="D487" s="8">
        <v>561</v>
      </c>
      <c r="E487" s="8"/>
      <c r="F487" s="122" t="s">
        <v>4110</v>
      </c>
      <c r="G487" s="44" t="s">
        <v>486</v>
      </c>
      <c r="H487" t="str">
        <f t="shared" si="25"/>
        <v>Jasfer Industry Co., Limited</v>
      </c>
      <c r="I487" s="112">
        <f t="shared" si="26"/>
        <v>45566</v>
      </c>
      <c r="J487" s="128">
        <f t="shared" si="27"/>
        <v>7229.3899999999994</v>
      </c>
    </row>
    <row r="488" spans="1:10" x14ac:dyDescent="0.3">
      <c r="A488" t="s">
        <v>356</v>
      </c>
      <c r="B488" s="4" t="s">
        <v>376</v>
      </c>
      <c r="C488" s="7">
        <v>45679</v>
      </c>
      <c r="D488" s="8">
        <v>561</v>
      </c>
      <c r="E488" s="8"/>
      <c r="F488" s="122" t="s">
        <v>4110</v>
      </c>
      <c r="G488" s="44" t="s">
        <v>487</v>
      </c>
      <c r="H488" t="str">
        <f t="shared" si="25"/>
        <v>Jasfer Industry Co., Limited</v>
      </c>
      <c r="I488" s="112">
        <f t="shared" si="26"/>
        <v>45566</v>
      </c>
      <c r="J488" s="128">
        <f t="shared" si="27"/>
        <v>18951.66</v>
      </c>
    </row>
    <row r="489" spans="1:10" x14ac:dyDescent="0.3">
      <c r="A489" t="s">
        <v>356</v>
      </c>
      <c r="B489" s="4" t="s">
        <v>377</v>
      </c>
      <c r="C489" s="7">
        <v>45680</v>
      </c>
      <c r="D489" s="8">
        <v>33</v>
      </c>
      <c r="E489" s="8"/>
      <c r="F489" s="122" t="s">
        <v>4110</v>
      </c>
      <c r="G489" s="44" t="s">
        <v>488</v>
      </c>
      <c r="H489" t="str">
        <f t="shared" si="25"/>
        <v>Jasfer Industry Co., Limited</v>
      </c>
      <c r="I489" s="112">
        <f t="shared" si="26"/>
        <v>45566</v>
      </c>
      <c r="J489" s="128">
        <f t="shared" si="27"/>
        <v>2197.9699999999998</v>
      </c>
    </row>
    <row r="490" spans="1:10" x14ac:dyDescent="0.3">
      <c r="A490" t="s">
        <v>356</v>
      </c>
      <c r="B490" s="4" t="s">
        <v>377</v>
      </c>
      <c r="C490" s="7">
        <v>45680</v>
      </c>
      <c r="D490" s="8">
        <v>33</v>
      </c>
      <c r="E490" s="8"/>
      <c r="F490" s="122" t="s">
        <v>4110</v>
      </c>
      <c r="G490" s="44" t="s">
        <v>489</v>
      </c>
      <c r="H490" t="str">
        <f t="shared" si="25"/>
        <v>Jasfer Industry Co., Limited</v>
      </c>
      <c r="I490" s="112">
        <f t="shared" si="26"/>
        <v>45566</v>
      </c>
      <c r="J490" s="128">
        <f t="shared" si="27"/>
        <v>12724.34</v>
      </c>
    </row>
    <row r="491" spans="1:10" x14ac:dyDescent="0.3">
      <c r="A491" t="s">
        <v>356</v>
      </c>
      <c r="B491" s="4" t="s">
        <v>377</v>
      </c>
      <c r="C491" s="7">
        <v>45680</v>
      </c>
      <c r="D491" s="8">
        <v>34</v>
      </c>
      <c r="E491" s="8"/>
      <c r="F491" s="122" t="s">
        <v>4110</v>
      </c>
      <c r="G491" s="44" t="s">
        <v>490</v>
      </c>
      <c r="H491" t="str">
        <f t="shared" si="25"/>
        <v>Jasfer Industry Co., Limited</v>
      </c>
      <c r="I491" s="112">
        <f t="shared" si="26"/>
        <v>45566</v>
      </c>
      <c r="J491" s="128">
        <f t="shared" si="27"/>
        <v>8069.66</v>
      </c>
    </row>
    <row r="492" spans="1:10" x14ac:dyDescent="0.3">
      <c r="A492" t="s">
        <v>356</v>
      </c>
      <c r="B492" s="4" t="s">
        <v>378</v>
      </c>
      <c r="C492" s="7">
        <v>45684</v>
      </c>
      <c r="D492" s="8">
        <v>34</v>
      </c>
      <c r="E492" s="8"/>
      <c r="F492" s="122" t="s">
        <v>4110</v>
      </c>
      <c r="G492" s="44" t="s">
        <v>491</v>
      </c>
      <c r="H492" t="str">
        <f t="shared" si="25"/>
        <v>Jasfer Industry Co., Limited</v>
      </c>
      <c r="I492" s="112">
        <f t="shared" si="26"/>
        <v>45566</v>
      </c>
      <c r="J492" s="128">
        <f t="shared" si="27"/>
        <v>750</v>
      </c>
    </row>
    <row r="493" spans="1:10" x14ac:dyDescent="0.3">
      <c r="A493" t="s">
        <v>356</v>
      </c>
      <c r="B493" s="4" t="s">
        <v>378</v>
      </c>
      <c r="C493" s="7">
        <v>45684</v>
      </c>
      <c r="D493" s="8">
        <v>33</v>
      </c>
      <c r="E493" s="8"/>
      <c r="F493" s="122" t="s">
        <v>4110</v>
      </c>
      <c r="G493" s="44" t="s">
        <v>492</v>
      </c>
      <c r="H493" t="str">
        <f t="shared" si="25"/>
        <v>Jasfer Industry Co., Limited</v>
      </c>
      <c r="I493" s="112">
        <f t="shared" si="26"/>
        <v>45567</v>
      </c>
      <c r="J493" s="128">
        <f t="shared" si="27"/>
        <v>305.83</v>
      </c>
    </row>
    <row r="494" spans="1:10" x14ac:dyDescent="0.3">
      <c r="A494" t="s">
        <v>356</v>
      </c>
      <c r="B494" s="4" t="s">
        <v>378</v>
      </c>
      <c r="C494" s="7">
        <v>45684</v>
      </c>
      <c r="D494" s="8">
        <v>33</v>
      </c>
      <c r="E494" s="8"/>
      <c r="F494" s="122" t="s">
        <v>4110</v>
      </c>
      <c r="G494" s="44">
        <v>777306040905</v>
      </c>
      <c r="H494" t="str">
        <f t="shared" si="25"/>
        <v>Jasfer Industry Co., Limited</v>
      </c>
      <c r="I494" s="112">
        <f t="shared" si="26"/>
        <v>45567</v>
      </c>
      <c r="J494" s="128">
        <f t="shared" si="27"/>
        <v>4332.32</v>
      </c>
    </row>
    <row r="495" spans="1:10" x14ac:dyDescent="0.3">
      <c r="A495" t="s">
        <v>356</v>
      </c>
      <c r="B495" s="4" t="s">
        <v>379</v>
      </c>
      <c r="C495" s="7">
        <v>45689</v>
      </c>
      <c r="D495" s="8">
        <v>2875</v>
      </c>
      <c r="E495" s="8"/>
      <c r="F495" s="122" t="s">
        <v>4110</v>
      </c>
      <c r="G495" s="44" t="s">
        <v>493</v>
      </c>
      <c r="H495" t="str">
        <f t="shared" si="25"/>
        <v>Jasfer Industry Co., Limited</v>
      </c>
      <c r="I495" s="112">
        <f t="shared" si="26"/>
        <v>45573</v>
      </c>
      <c r="J495" s="128">
        <f t="shared" si="27"/>
        <v>-1069.6199999999999</v>
      </c>
    </row>
    <row r="496" spans="1:10" x14ac:dyDescent="0.3">
      <c r="A496" t="s">
        <v>356</v>
      </c>
      <c r="B496" s="4" t="s">
        <v>380</v>
      </c>
      <c r="C496" s="7">
        <v>45691</v>
      </c>
      <c r="D496" s="8">
        <v>100</v>
      </c>
      <c r="E496" s="8"/>
      <c r="F496" s="122" t="s">
        <v>4110</v>
      </c>
      <c r="G496" s="44" t="s">
        <v>494</v>
      </c>
      <c r="H496" t="str">
        <f t="shared" si="25"/>
        <v>Jasfer Industry Co., Limited</v>
      </c>
      <c r="I496" s="112">
        <f t="shared" si="26"/>
        <v>45577</v>
      </c>
      <c r="J496" s="128">
        <f t="shared" si="27"/>
        <v>708.66</v>
      </c>
    </row>
    <row r="497" spans="1:10" x14ac:dyDescent="0.3">
      <c r="A497" t="s">
        <v>356</v>
      </c>
      <c r="B497" s="4" t="s">
        <v>381</v>
      </c>
      <c r="C497" s="7">
        <v>45691</v>
      </c>
      <c r="D497" s="8">
        <v>34</v>
      </c>
      <c r="E497" s="8"/>
      <c r="F497" s="122" t="s">
        <v>4110</v>
      </c>
      <c r="G497" s="44" t="s">
        <v>495</v>
      </c>
      <c r="H497" t="str">
        <f t="shared" si="25"/>
        <v>Jasfer Industry Co., Limited</v>
      </c>
      <c r="I497" s="112">
        <f t="shared" si="26"/>
        <v>45577</v>
      </c>
      <c r="J497" s="128">
        <f t="shared" si="27"/>
        <v>2763.18</v>
      </c>
    </row>
    <row r="498" spans="1:10" x14ac:dyDescent="0.3">
      <c r="A498" t="s">
        <v>356</v>
      </c>
      <c r="B498" s="4" t="s">
        <v>381</v>
      </c>
      <c r="C498" s="7">
        <v>45691</v>
      </c>
      <c r="D498" s="8">
        <v>33</v>
      </c>
      <c r="E498" s="8"/>
      <c r="F498" s="122" t="s">
        <v>4110</v>
      </c>
      <c r="G498" s="44" t="s">
        <v>496</v>
      </c>
      <c r="H498" t="str">
        <f t="shared" si="25"/>
        <v>Jasfer Industry Co., Limited</v>
      </c>
      <c r="I498" s="112">
        <f t="shared" si="26"/>
        <v>45577</v>
      </c>
      <c r="J498" s="128">
        <f t="shared" si="27"/>
        <v>3599.13</v>
      </c>
    </row>
    <row r="499" spans="1:10" x14ac:dyDescent="0.3">
      <c r="A499" t="s">
        <v>356</v>
      </c>
      <c r="B499" s="4" t="s">
        <v>381</v>
      </c>
      <c r="C499" s="7">
        <v>45691</v>
      </c>
      <c r="D499" s="8">
        <v>33</v>
      </c>
      <c r="E499" s="8"/>
      <c r="F499" s="122" t="s">
        <v>4110</v>
      </c>
      <c r="G499" s="44" t="s">
        <v>497</v>
      </c>
      <c r="H499" t="str">
        <f t="shared" si="25"/>
        <v>Jasfer Industry Co., Limited</v>
      </c>
      <c r="I499" s="112">
        <f t="shared" si="26"/>
        <v>45579</v>
      </c>
      <c r="J499" s="128">
        <f t="shared" si="27"/>
        <v>17021.64</v>
      </c>
    </row>
    <row r="500" spans="1:10" x14ac:dyDescent="0.3">
      <c r="A500" t="s">
        <v>356</v>
      </c>
      <c r="B500" s="4" t="s">
        <v>382</v>
      </c>
      <c r="C500" s="7">
        <v>45692</v>
      </c>
      <c r="D500" s="8">
        <v>100</v>
      </c>
      <c r="E500" s="8"/>
      <c r="F500" s="122" t="s">
        <v>4110</v>
      </c>
      <c r="G500" s="44" t="s">
        <v>498</v>
      </c>
      <c r="H500" t="str">
        <f t="shared" si="25"/>
        <v>Jasfer Industry Co., Limited</v>
      </c>
      <c r="I500" s="112">
        <f t="shared" si="26"/>
        <v>45583</v>
      </c>
      <c r="J500" s="128">
        <f t="shared" si="27"/>
        <v>267.27</v>
      </c>
    </row>
    <row r="501" spans="1:10" x14ac:dyDescent="0.3">
      <c r="A501" t="s">
        <v>356</v>
      </c>
      <c r="B501" s="4" t="s">
        <v>383</v>
      </c>
      <c r="C501" s="7">
        <v>45692</v>
      </c>
      <c r="D501" s="8">
        <v>100</v>
      </c>
      <c r="E501" s="8"/>
      <c r="F501" s="122" t="s">
        <v>4110</v>
      </c>
      <c r="G501" s="44" t="s">
        <v>499</v>
      </c>
      <c r="H501" t="str">
        <f t="shared" si="25"/>
        <v>Jasfer Industry Co., Limited</v>
      </c>
      <c r="I501" s="112">
        <f t="shared" si="26"/>
        <v>45583</v>
      </c>
      <c r="J501" s="128">
        <f t="shared" si="27"/>
        <v>30648.67</v>
      </c>
    </row>
    <row r="502" spans="1:10" x14ac:dyDescent="0.3">
      <c r="A502" t="s">
        <v>356</v>
      </c>
      <c r="B502" s="4" t="s">
        <v>384</v>
      </c>
      <c r="C502" s="7">
        <v>45695</v>
      </c>
      <c r="D502" s="8">
        <v>1016</v>
      </c>
      <c r="E502" s="8"/>
      <c r="F502" s="122" t="s">
        <v>4110</v>
      </c>
      <c r="G502" s="44" t="s">
        <v>500</v>
      </c>
      <c r="H502" t="str">
        <f t="shared" si="25"/>
        <v>Jasfer Industry Co., Limited</v>
      </c>
      <c r="I502" s="112">
        <f t="shared" si="26"/>
        <v>45590</v>
      </c>
      <c r="J502" s="128">
        <f t="shared" si="27"/>
        <v>135</v>
      </c>
    </row>
    <row r="503" spans="1:10" x14ac:dyDescent="0.3">
      <c r="A503" t="s">
        <v>356</v>
      </c>
      <c r="B503" s="4" t="s">
        <v>384</v>
      </c>
      <c r="C503" s="7">
        <v>45695</v>
      </c>
      <c r="D503" s="8">
        <v>1015</v>
      </c>
      <c r="E503" s="8"/>
      <c r="F503" s="122" t="s">
        <v>4110</v>
      </c>
      <c r="G503" s="44" t="s">
        <v>501</v>
      </c>
      <c r="H503" t="str">
        <f t="shared" si="25"/>
        <v>Jasfer Industry Co., Limited</v>
      </c>
      <c r="I503" s="112">
        <f t="shared" si="26"/>
        <v>45590</v>
      </c>
      <c r="J503" s="128">
        <f t="shared" si="27"/>
        <v>225</v>
      </c>
    </row>
    <row r="504" spans="1:10" x14ac:dyDescent="0.3">
      <c r="A504" t="s">
        <v>356</v>
      </c>
      <c r="B504" s="4" t="s">
        <v>384</v>
      </c>
      <c r="C504" s="7">
        <v>45695</v>
      </c>
      <c r="D504" s="8">
        <v>1016</v>
      </c>
      <c r="E504" s="8"/>
      <c r="F504" s="122" t="s">
        <v>4110</v>
      </c>
      <c r="G504" s="44" t="s">
        <v>502</v>
      </c>
      <c r="H504" t="str">
        <f t="shared" si="25"/>
        <v>Jasfer Industry Co., Limited</v>
      </c>
      <c r="I504" s="112">
        <f t="shared" si="26"/>
        <v>45595</v>
      </c>
      <c r="J504" s="128">
        <f t="shared" si="27"/>
        <v>7073.32</v>
      </c>
    </row>
    <row r="505" spans="1:10" x14ac:dyDescent="0.3">
      <c r="A505" t="s">
        <v>356</v>
      </c>
      <c r="B505" s="4" t="s">
        <v>384</v>
      </c>
      <c r="C505" s="7">
        <v>45695</v>
      </c>
      <c r="D505" s="8">
        <v>1015</v>
      </c>
      <c r="E505" s="8"/>
      <c r="F505" s="122" t="s">
        <v>4110</v>
      </c>
      <c r="G505" s="44" t="s">
        <v>503</v>
      </c>
      <c r="H505" t="str">
        <f t="shared" si="25"/>
        <v>Jasfer Industry Co., Limited</v>
      </c>
      <c r="I505" s="112">
        <f t="shared" si="26"/>
        <v>45595</v>
      </c>
      <c r="J505" s="128">
        <f t="shared" si="27"/>
        <v>215.01</v>
      </c>
    </row>
    <row r="506" spans="1:10" x14ac:dyDescent="0.3">
      <c r="A506" t="s">
        <v>356</v>
      </c>
      <c r="B506" s="4" t="s">
        <v>385</v>
      </c>
      <c r="C506" s="7">
        <v>45695</v>
      </c>
      <c r="D506" s="8">
        <v>1016</v>
      </c>
      <c r="E506" s="8"/>
      <c r="F506" s="122" t="s">
        <v>4110</v>
      </c>
      <c r="G506" s="44" t="s">
        <v>504</v>
      </c>
      <c r="H506" t="str">
        <f t="shared" si="25"/>
        <v>Jasfer Industry Co., Limited</v>
      </c>
      <c r="I506" s="112">
        <f t="shared" si="26"/>
        <v>45596</v>
      </c>
      <c r="J506" s="128">
        <f t="shared" si="27"/>
        <v>2214.0700000000002</v>
      </c>
    </row>
    <row r="507" spans="1:10" x14ac:dyDescent="0.3">
      <c r="A507" t="s">
        <v>356</v>
      </c>
      <c r="B507" s="4" t="s">
        <v>385</v>
      </c>
      <c r="C507" s="7">
        <v>45695</v>
      </c>
      <c r="D507" s="8">
        <v>1015</v>
      </c>
      <c r="E507" s="8"/>
      <c r="F507" s="122" t="s">
        <v>4110</v>
      </c>
      <c r="G507" s="44" t="s">
        <v>505</v>
      </c>
      <c r="H507" t="str">
        <f t="shared" si="25"/>
        <v>Jasfer Industry Co., Limited</v>
      </c>
      <c r="I507" s="112">
        <f t="shared" si="26"/>
        <v>45597</v>
      </c>
      <c r="J507" s="128">
        <f t="shared" si="27"/>
        <v>8021.62</v>
      </c>
    </row>
    <row r="508" spans="1:10" x14ac:dyDescent="0.3">
      <c r="A508" t="s">
        <v>356</v>
      </c>
      <c r="B508" s="4" t="s">
        <v>385</v>
      </c>
      <c r="C508" s="7">
        <v>45695</v>
      </c>
      <c r="D508" s="8">
        <v>1015</v>
      </c>
      <c r="E508" s="8"/>
      <c r="F508" s="122" t="s">
        <v>4110</v>
      </c>
      <c r="G508" s="44" t="s">
        <v>506</v>
      </c>
      <c r="H508" t="str">
        <f t="shared" si="25"/>
        <v>Jasfer Industry Co., Limited</v>
      </c>
      <c r="I508" s="112">
        <f t="shared" si="26"/>
        <v>45600</v>
      </c>
      <c r="J508" s="128">
        <f t="shared" si="27"/>
        <v>-4361.42</v>
      </c>
    </row>
    <row r="509" spans="1:10" x14ac:dyDescent="0.3">
      <c r="A509" t="s">
        <v>356</v>
      </c>
      <c r="B509" s="4" t="s">
        <v>385</v>
      </c>
      <c r="C509" s="7">
        <v>45695</v>
      </c>
      <c r="D509" s="8">
        <v>1016</v>
      </c>
      <c r="E509" s="8"/>
      <c r="F509" s="122" t="s">
        <v>4110</v>
      </c>
      <c r="G509" s="44" t="s">
        <v>507</v>
      </c>
      <c r="H509" t="str">
        <f t="shared" si="25"/>
        <v>Jasfer Industry Co., Limited</v>
      </c>
      <c r="I509" s="112">
        <f t="shared" si="26"/>
        <v>45604</v>
      </c>
      <c r="J509" s="128">
        <f t="shared" si="27"/>
        <v>2057.98</v>
      </c>
    </row>
    <row r="510" spans="1:10" x14ac:dyDescent="0.3">
      <c r="A510" t="s">
        <v>356</v>
      </c>
      <c r="B510" s="4" t="s">
        <v>386</v>
      </c>
      <c r="C510" s="7">
        <v>45695</v>
      </c>
      <c r="D510" s="8">
        <v>50</v>
      </c>
      <c r="E510" s="8"/>
      <c r="F510" s="122" t="s">
        <v>4110</v>
      </c>
      <c r="G510" s="44" t="s">
        <v>508</v>
      </c>
      <c r="H510" t="str">
        <f t="shared" si="25"/>
        <v>Jasfer Industry Co., Limited</v>
      </c>
      <c r="I510" s="112">
        <f t="shared" si="26"/>
        <v>45611</v>
      </c>
      <c r="J510" s="128">
        <f t="shared" si="27"/>
        <v>16123.92</v>
      </c>
    </row>
    <row r="511" spans="1:10" x14ac:dyDescent="0.3">
      <c r="A511" t="s">
        <v>356</v>
      </c>
      <c r="B511" s="4" t="s">
        <v>386</v>
      </c>
      <c r="C511" s="7">
        <v>45695</v>
      </c>
      <c r="D511" s="8">
        <v>50</v>
      </c>
      <c r="E511" s="8"/>
      <c r="F511" s="122" t="s">
        <v>4110</v>
      </c>
      <c r="G511" s="44" t="s">
        <v>509</v>
      </c>
      <c r="H511" t="str">
        <f t="shared" si="25"/>
        <v>Jasfer Industry Co., Limited</v>
      </c>
      <c r="I511" s="112">
        <f t="shared" si="26"/>
        <v>45614</v>
      </c>
      <c r="J511" s="128">
        <f t="shared" si="27"/>
        <v>789.97</v>
      </c>
    </row>
    <row r="512" spans="1:10" x14ac:dyDescent="0.3">
      <c r="A512" t="s">
        <v>356</v>
      </c>
      <c r="B512" s="4" t="s">
        <v>387</v>
      </c>
      <c r="C512" s="7">
        <v>45695</v>
      </c>
      <c r="D512" s="8">
        <v>100</v>
      </c>
      <c r="E512" s="8"/>
      <c r="F512" s="122" t="s">
        <v>4110</v>
      </c>
      <c r="G512" s="44">
        <v>20241120</v>
      </c>
      <c r="H512" t="str">
        <f t="shared" si="25"/>
        <v>Jasfer Industry Co., Limited</v>
      </c>
      <c r="I512" s="112">
        <f t="shared" si="26"/>
        <v>45616</v>
      </c>
      <c r="J512" s="128">
        <f t="shared" si="27"/>
        <v>2426.91</v>
      </c>
    </row>
    <row r="513" spans="1:10" x14ac:dyDescent="0.3">
      <c r="A513" t="s">
        <v>356</v>
      </c>
      <c r="B513" s="4" t="s">
        <v>388</v>
      </c>
      <c r="C513" s="7">
        <v>45700</v>
      </c>
      <c r="D513" s="8">
        <v>12861</v>
      </c>
      <c r="E513" s="8"/>
      <c r="F513" s="122" t="s">
        <v>4110</v>
      </c>
      <c r="G513" s="44" t="s">
        <v>510</v>
      </c>
      <c r="H513" t="str">
        <f t="shared" si="25"/>
        <v>Jasfer Industry Co., Limited</v>
      </c>
      <c r="I513" s="112">
        <f t="shared" si="26"/>
        <v>45616</v>
      </c>
      <c r="J513" s="128">
        <f t="shared" si="27"/>
        <v>32314.59</v>
      </c>
    </row>
    <row r="514" spans="1:10" x14ac:dyDescent="0.3">
      <c r="A514" t="s">
        <v>356</v>
      </c>
      <c r="B514" s="4" t="s">
        <v>389</v>
      </c>
      <c r="C514" s="7">
        <v>45700</v>
      </c>
      <c r="D514" s="8">
        <v>50</v>
      </c>
      <c r="E514" s="8"/>
      <c r="F514" s="122" t="s">
        <v>4110</v>
      </c>
      <c r="G514" s="44">
        <v>5642</v>
      </c>
      <c r="H514" t="str">
        <f t="shared" si="25"/>
        <v>Jasfer Industry Co., Limited</v>
      </c>
      <c r="I514" s="112">
        <f t="shared" si="26"/>
        <v>45617</v>
      </c>
      <c r="J514" s="128">
        <f t="shared" si="27"/>
        <v>-427.39</v>
      </c>
    </row>
    <row r="515" spans="1:10" x14ac:dyDescent="0.3">
      <c r="A515" t="s">
        <v>356</v>
      </c>
      <c r="B515" s="4" t="s">
        <v>389</v>
      </c>
      <c r="C515" s="7">
        <v>45700</v>
      </c>
      <c r="D515" s="8">
        <v>50</v>
      </c>
      <c r="E515" s="8"/>
      <c r="F515" s="122" t="s">
        <v>4110</v>
      </c>
      <c r="G515" s="44" t="s">
        <v>511</v>
      </c>
      <c r="H515" t="str">
        <f t="shared" si="25"/>
        <v>Jasfer Industry Co., Limited</v>
      </c>
      <c r="I515" s="112">
        <f t="shared" si="26"/>
        <v>45618</v>
      </c>
      <c r="J515" s="128">
        <f t="shared" si="27"/>
        <v>9068.65</v>
      </c>
    </row>
    <row r="516" spans="1:10" x14ac:dyDescent="0.3">
      <c r="A516" t="s">
        <v>356</v>
      </c>
      <c r="B516" s="4" t="s">
        <v>390</v>
      </c>
      <c r="C516" s="7">
        <v>45701</v>
      </c>
      <c r="D516" s="8">
        <v>100</v>
      </c>
      <c r="E516" s="8"/>
      <c r="F516" s="122" t="s">
        <v>4110</v>
      </c>
      <c r="G516" s="44" t="s">
        <v>512</v>
      </c>
      <c r="H516" t="str">
        <f t="shared" si="25"/>
        <v>Jasfer Industry Co., Limited</v>
      </c>
      <c r="I516" s="112">
        <f t="shared" si="26"/>
        <v>45618</v>
      </c>
      <c r="J516" s="128">
        <f t="shared" si="27"/>
        <v>686.94</v>
      </c>
    </row>
    <row r="517" spans="1:10" x14ac:dyDescent="0.3">
      <c r="A517" t="s">
        <v>356</v>
      </c>
      <c r="B517" s="4" t="s">
        <v>391</v>
      </c>
      <c r="C517" s="7">
        <v>45701</v>
      </c>
      <c r="D517" s="8">
        <v>100</v>
      </c>
      <c r="E517" s="8"/>
      <c r="F517" s="122" t="s">
        <v>4110</v>
      </c>
      <c r="G517" s="44" t="s">
        <v>513</v>
      </c>
      <c r="H517" t="str">
        <f t="shared" si="25"/>
        <v>Jasfer Industry Co., Limited</v>
      </c>
      <c r="I517" s="112">
        <f t="shared" si="26"/>
        <v>45619</v>
      </c>
      <c r="J517" s="128">
        <f t="shared" si="27"/>
        <v>7667.92</v>
      </c>
    </row>
    <row r="518" spans="1:10" x14ac:dyDescent="0.3">
      <c r="A518" t="s">
        <v>356</v>
      </c>
      <c r="B518" s="4" t="s">
        <v>392</v>
      </c>
      <c r="C518" s="7">
        <v>45712</v>
      </c>
      <c r="D518" s="8">
        <v>2765</v>
      </c>
      <c r="E518" s="8"/>
      <c r="F518" s="122" t="s">
        <v>4110</v>
      </c>
      <c r="G518" s="44" t="s">
        <v>514</v>
      </c>
      <c r="H518" t="str">
        <f t="shared" ref="H518:H581" si="28">_xlfn.XLOOKUP(G518,B:B,A:A,,)</f>
        <v>Jasfer Industry Co., Limited</v>
      </c>
      <c r="I518" s="112">
        <f t="shared" ref="I518:I581" si="29">_xlfn.XLOOKUP(G518,B:B,C:C,,)</f>
        <v>45624</v>
      </c>
      <c r="J518" s="128">
        <f t="shared" ref="J518:J581" si="30">SUMIF(B:B,G518,D:D)</f>
        <v>50</v>
      </c>
    </row>
    <row r="519" spans="1:10" x14ac:dyDescent="0.3">
      <c r="A519" t="s">
        <v>356</v>
      </c>
      <c r="B519" s="4" t="s">
        <v>393</v>
      </c>
      <c r="C519" s="7">
        <v>45714</v>
      </c>
      <c r="D519" s="8">
        <v>44</v>
      </c>
      <c r="E519" s="8"/>
      <c r="F519" s="122" t="s">
        <v>4110</v>
      </c>
      <c r="G519" s="44" t="s">
        <v>515</v>
      </c>
      <c r="H519" t="str">
        <f t="shared" si="28"/>
        <v>Jasfer Industry Co., Limited</v>
      </c>
      <c r="I519" s="112">
        <f t="shared" si="29"/>
        <v>45627</v>
      </c>
      <c r="J519" s="128">
        <f t="shared" si="30"/>
        <v>368.34</v>
      </c>
    </row>
    <row r="520" spans="1:10" x14ac:dyDescent="0.3">
      <c r="A520" t="s">
        <v>356</v>
      </c>
      <c r="B520" s="4" t="s">
        <v>393</v>
      </c>
      <c r="C520" s="7">
        <v>45714</v>
      </c>
      <c r="D520" s="8">
        <v>45</v>
      </c>
      <c r="E520" s="8"/>
      <c r="F520" s="122" t="s">
        <v>4110</v>
      </c>
      <c r="G520" s="44" t="s">
        <v>516</v>
      </c>
      <c r="H520" t="str">
        <f t="shared" si="28"/>
        <v>Jasfer Industry Co., Limited</v>
      </c>
      <c r="I520" s="112">
        <f t="shared" si="29"/>
        <v>45628</v>
      </c>
      <c r="J520" s="128">
        <f t="shared" si="30"/>
        <v>765.69</v>
      </c>
    </row>
    <row r="521" spans="1:10" x14ac:dyDescent="0.3">
      <c r="A521" t="s">
        <v>356</v>
      </c>
      <c r="B521" s="4" t="s">
        <v>393</v>
      </c>
      <c r="C521" s="7">
        <v>45714</v>
      </c>
      <c r="D521" s="8">
        <v>45</v>
      </c>
      <c r="E521" s="8"/>
      <c r="F521" s="122" t="s">
        <v>4110</v>
      </c>
      <c r="G521" s="44" t="s">
        <v>517</v>
      </c>
      <c r="H521" t="str">
        <f t="shared" si="28"/>
        <v>Jasfer Industry Co., Limited</v>
      </c>
      <c r="I521" s="112">
        <f t="shared" si="29"/>
        <v>45628</v>
      </c>
      <c r="J521" s="128">
        <f t="shared" si="30"/>
        <v>3.99</v>
      </c>
    </row>
    <row r="522" spans="1:10" x14ac:dyDescent="0.3">
      <c r="A522" t="s">
        <v>356</v>
      </c>
      <c r="B522" s="4" t="s">
        <v>393</v>
      </c>
      <c r="C522" s="7">
        <v>45714</v>
      </c>
      <c r="D522" s="8">
        <v>45</v>
      </c>
      <c r="E522" s="8"/>
      <c r="F522" s="122" t="s">
        <v>4110</v>
      </c>
      <c r="G522" s="44" t="s">
        <v>518</v>
      </c>
      <c r="H522" t="str">
        <f t="shared" si="28"/>
        <v>Jasfer Industry Co., Limited</v>
      </c>
      <c r="I522" s="112">
        <f t="shared" si="29"/>
        <v>45630</v>
      </c>
      <c r="J522" s="128">
        <f t="shared" si="30"/>
        <v>-1466.25</v>
      </c>
    </row>
    <row r="523" spans="1:10" x14ac:dyDescent="0.3">
      <c r="A523" t="s">
        <v>356</v>
      </c>
      <c r="B523" s="4" t="s">
        <v>393</v>
      </c>
      <c r="C523" s="7">
        <v>45714</v>
      </c>
      <c r="D523" s="8">
        <v>45</v>
      </c>
      <c r="E523" s="8"/>
      <c r="F523" s="122" t="s">
        <v>4110</v>
      </c>
      <c r="G523" s="44" t="s">
        <v>519</v>
      </c>
      <c r="H523" t="str">
        <f t="shared" si="28"/>
        <v>Jasfer Industry Co., Limited</v>
      </c>
      <c r="I523" s="112">
        <f t="shared" si="29"/>
        <v>45631</v>
      </c>
      <c r="J523" s="128">
        <f t="shared" si="30"/>
        <v>7500.9</v>
      </c>
    </row>
    <row r="524" spans="1:10" x14ac:dyDescent="0.3">
      <c r="A524" t="s">
        <v>356</v>
      </c>
      <c r="B524" s="4" t="s">
        <v>393</v>
      </c>
      <c r="C524" s="7">
        <v>45714</v>
      </c>
      <c r="D524" s="8">
        <v>44.61</v>
      </c>
      <c r="E524" s="8"/>
      <c r="F524" s="122" t="s">
        <v>4110</v>
      </c>
      <c r="G524" s="44" t="s">
        <v>520</v>
      </c>
      <c r="H524" t="str">
        <f t="shared" si="28"/>
        <v>Jasfer Industry Co., Limited</v>
      </c>
      <c r="I524" s="112">
        <f t="shared" si="29"/>
        <v>45642</v>
      </c>
      <c r="J524" s="128">
        <f t="shared" si="30"/>
        <v>10420.91</v>
      </c>
    </row>
    <row r="525" spans="1:10" x14ac:dyDescent="0.3">
      <c r="A525" t="s">
        <v>356</v>
      </c>
      <c r="B525" s="4" t="s">
        <v>394</v>
      </c>
      <c r="C525" s="7">
        <v>45714</v>
      </c>
      <c r="D525" s="8">
        <v>100</v>
      </c>
      <c r="E525" s="8"/>
      <c r="F525" s="122" t="s">
        <v>4110</v>
      </c>
      <c r="G525" s="44" t="s">
        <v>521</v>
      </c>
      <c r="H525" t="str">
        <f t="shared" si="28"/>
        <v>Jasfer Industry Co., Limited</v>
      </c>
      <c r="I525" s="112">
        <f t="shared" si="29"/>
        <v>45647</v>
      </c>
      <c r="J525" s="128">
        <f t="shared" si="30"/>
        <v>1571.59</v>
      </c>
    </row>
    <row r="526" spans="1:10" x14ac:dyDescent="0.3">
      <c r="A526" t="s">
        <v>356</v>
      </c>
      <c r="B526" s="4" t="s">
        <v>395</v>
      </c>
      <c r="C526" s="7">
        <v>45715</v>
      </c>
      <c r="D526" s="8">
        <v>25</v>
      </c>
      <c r="E526" s="8"/>
      <c r="F526" s="122" t="s">
        <v>4110</v>
      </c>
      <c r="G526" s="44" t="s">
        <v>522</v>
      </c>
      <c r="H526" t="str">
        <f t="shared" si="28"/>
        <v>Jasfer Industry Co., Limited</v>
      </c>
      <c r="I526" s="112">
        <f t="shared" si="29"/>
        <v>45651</v>
      </c>
      <c r="J526" s="128">
        <f t="shared" si="30"/>
        <v>4350.49</v>
      </c>
    </row>
    <row r="527" spans="1:10" x14ac:dyDescent="0.3">
      <c r="A527" t="s">
        <v>356</v>
      </c>
      <c r="B527" s="4" t="s">
        <v>395</v>
      </c>
      <c r="C527" s="7">
        <v>45715</v>
      </c>
      <c r="D527" s="8">
        <v>25</v>
      </c>
      <c r="E527" s="8"/>
      <c r="F527" s="122" t="s">
        <v>4110</v>
      </c>
      <c r="G527" s="44" t="s">
        <v>523</v>
      </c>
      <c r="H527" t="str">
        <f t="shared" si="28"/>
        <v>Jasfer Industry Co., Limited</v>
      </c>
      <c r="I527" s="112">
        <f t="shared" si="29"/>
        <v>45652</v>
      </c>
      <c r="J527" s="128">
        <f t="shared" si="30"/>
        <v>83.78</v>
      </c>
    </row>
    <row r="528" spans="1:10" x14ac:dyDescent="0.3">
      <c r="A528" t="s">
        <v>356</v>
      </c>
      <c r="B528" s="4" t="s">
        <v>395</v>
      </c>
      <c r="C528" s="7">
        <v>45715</v>
      </c>
      <c r="D528" s="8">
        <v>25</v>
      </c>
      <c r="E528" s="8"/>
      <c r="F528" s="122" t="s">
        <v>4110</v>
      </c>
      <c r="G528" s="44" t="s">
        <v>524</v>
      </c>
      <c r="H528" t="str">
        <f t="shared" si="28"/>
        <v>Jasfer Industry Co., Limited</v>
      </c>
      <c r="I528" s="112">
        <f t="shared" si="29"/>
        <v>45657</v>
      </c>
      <c r="J528" s="128">
        <f t="shared" si="30"/>
        <v>80</v>
      </c>
    </row>
    <row r="529" spans="1:10" x14ac:dyDescent="0.3">
      <c r="A529" t="s">
        <v>356</v>
      </c>
      <c r="B529" s="4" t="s">
        <v>395</v>
      </c>
      <c r="C529" s="7">
        <v>45715</v>
      </c>
      <c r="D529" s="8">
        <v>25</v>
      </c>
      <c r="E529" s="8"/>
      <c r="F529" s="122" t="s">
        <v>4110</v>
      </c>
      <c r="G529" s="44" t="s">
        <v>525</v>
      </c>
      <c r="H529" t="str">
        <f t="shared" si="28"/>
        <v>Jasfer Industry Co., Limited</v>
      </c>
      <c r="I529" s="112">
        <f t="shared" si="29"/>
        <v>45658</v>
      </c>
      <c r="J529" s="128">
        <f t="shared" si="30"/>
        <v>2121.4</v>
      </c>
    </row>
    <row r="530" spans="1:10" x14ac:dyDescent="0.3">
      <c r="A530" t="s">
        <v>356</v>
      </c>
      <c r="B530" s="4" t="s">
        <v>396</v>
      </c>
      <c r="C530" s="7">
        <v>45715</v>
      </c>
      <c r="D530" s="8">
        <v>25</v>
      </c>
      <c r="E530" s="8"/>
      <c r="F530" s="122" t="s">
        <v>4110</v>
      </c>
      <c r="G530" s="44" t="s">
        <v>526</v>
      </c>
      <c r="H530" t="str">
        <f t="shared" si="28"/>
        <v>Jasfer Industry Co., Limited</v>
      </c>
      <c r="I530" s="112">
        <f t="shared" si="29"/>
        <v>45658</v>
      </c>
      <c r="J530" s="128">
        <f t="shared" si="30"/>
        <v>4775.33</v>
      </c>
    </row>
    <row r="531" spans="1:10" x14ac:dyDescent="0.3">
      <c r="A531" t="s">
        <v>356</v>
      </c>
      <c r="B531" s="4" t="s">
        <v>396</v>
      </c>
      <c r="C531" s="7">
        <v>45715</v>
      </c>
      <c r="D531" s="8">
        <v>25</v>
      </c>
      <c r="E531" s="8"/>
      <c r="F531" s="122" t="s">
        <v>4110</v>
      </c>
      <c r="G531" s="44" t="s">
        <v>527</v>
      </c>
      <c r="H531" t="str">
        <f t="shared" si="28"/>
        <v>Jasfer Industry Co., Limited</v>
      </c>
      <c r="I531" s="112">
        <f t="shared" si="29"/>
        <v>45658</v>
      </c>
      <c r="J531" s="128">
        <f t="shared" si="30"/>
        <v>1672.93</v>
      </c>
    </row>
    <row r="532" spans="1:10" x14ac:dyDescent="0.3">
      <c r="A532" t="s">
        <v>356</v>
      </c>
      <c r="B532" s="4" t="s">
        <v>396</v>
      </c>
      <c r="C532" s="7">
        <v>45715</v>
      </c>
      <c r="D532" s="8">
        <v>25</v>
      </c>
      <c r="E532" s="8"/>
      <c r="F532" s="122" t="s">
        <v>4110</v>
      </c>
      <c r="G532" s="44" t="s">
        <v>528</v>
      </c>
      <c r="H532" t="str">
        <f t="shared" si="28"/>
        <v>Jasfer Industry Co., Limited</v>
      </c>
      <c r="I532" s="112">
        <f t="shared" si="29"/>
        <v>45660</v>
      </c>
      <c r="J532" s="128">
        <f t="shared" si="30"/>
        <v>-1061.27</v>
      </c>
    </row>
    <row r="533" spans="1:10" x14ac:dyDescent="0.3">
      <c r="A533" t="s">
        <v>356</v>
      </c>
      <c r="B533" s="4" t="s">
        <v>396</v>
      </c>
      <c r="C533" s="7">
        <v>45715</v>
      </c>
      <c r="D533" s="8">
        <v>25</v>
      </c>
      <c r="E533" s="8"/>
      <c r="F533" s="122" t="s">
        <v>4110</v>
      </c>
      <c r="G533" s="44" t="s">
        <v>529</v>
      </c>
      <c r="H533" t="str">
        <f t="shared" si="28"/>
        <v>Jasfer Industry Co., Limited</v>
      </c>
      <c r="I533" s="112">
        <f t="shared" si="29"/>
        <v>45663</v>
      </c>
      <c r="J533" s="128">
        <f t="shared" si="30"/>
        <v>839.54</v>
      </c>
    </row>
    <row r="534" spans="1:10" x14ac:dyDescent="0.3">
      <c r="A534" t="s">
        <v>356</v>
      </c>
      <c r="B534" s="4" t="s">
        <v>397</v>
      </c>
      <c r="C534" s="7">
        <v>45721</v>
      </c>
      <c r="D534" s="8">
        <v>8425</v>
      </c>
      <c r="E534" s="8"/>
      <c r="F534" s="122" t="s">
        <v>4110</v>
      </c>
      <c r="G534" s="44" t="s">
        <v>530</v>
      </c>
      <c r="H534" t="str">
        <f t="shared" si="28"/>
        <v>Jasfer Industry Co., Limited</v>
      </c>
      <c r="I534" s="112">
        <f t="shared" si="29"/>
        <v>45665</v>
      </c>
      <c r="J534" s="128">
        <f t="shared" si="30"/>
        <v>9755.4599999999991</v>
      </c>
    </row>
    <row r="535" spans="1:10" x14ac:dyDescent="0.3">
      <c r="A535" t="s">
        <v>356</v>
      </c>
      <c r="B535" s="4" t="s">
        <v>398</v>
      </c>
      <c r="C535" s="7">
        <v>45722</v>
      </c>
      <c r="D535" s="8">
        <v>2912</v>
      </c>
      <c r="E535" s="8"/>
      <c r="F535" s="122" t="s">
        <v>4110</v>
      </c>
      <c r="G535" s="44" t="s">
        <v>531</v>
      </c>
      <c r="H535" t="str">
        <f t="shared" si="28"/>
        <v>Jasfer Industry Co., Limited</v>
      </c>
      <c r="I535" s="112">
        <f t="shared" si="29"/>
        <v>45665</v>
      </c>
      <c r="J535" s="128">
        <f t="shared" si="30"/>
        <v>800.01</v>
      </c>
    </row>
    <row r="536" spans="1:10" x14ac:dyDescent="0.3">
      <c r="A536" t="s">
        <v>356</v>
      </c>
      <c r="B536" s="4" t="s">
        <v>399</v>
      </c>
      <c r="C536" s="7">
        <v>45723</v>
      </c>
      <c r="D536" s="8">
        <v>4785</v>
      </c>
      <c r="E536" s="8"/>
      <c r="F536" s="122" t="s">
        <v>4110</v>
      </c>
      <c r="G536" s="44" t="s">
        <v>532</v>
      </c>
      <c r="H536" t="str">
        <f t="shared" si="28"/>
        <v>Jasfer Industry Co., Limited</v>
      </c>
      <c r="I536" s="112">
        <f t="shared" si="29"/>
        <v>45666</v>
      </c>
      <c r="J536" s="128">
        <f t="shared" si="30"/>
        <v>-228.07</v>
      </c>
    </row>
    <row r="537" spans="1:10" x14ac:dyDescent="0.3">
      <c r="A537" t="s">
        <v>356</v>
      </c>
      <c r="B537" s="4" t="s">
        <v>400</v>
      </c>
      <c r="C537" s="7">
        <v>45723</v>
      </c>
      <c r="D537" s="8">
        <v>3825</v>
      </c>
      <c r="E537" s="8"/>
      <c r="F537" s="122" t="s">
        <v>4110</v>
      </c>
      <c r="G537" s="44" t="s">
        <v>533</v>
      </c>
      <c r="H537" t="str">
        <f t="shared" si="28"/>
        <v>Jasfer Industry Co., Limited</v>
      </c>
      <c r="I537" s="112">
        <f t="shared" si="29"/>
        <v>45670</v>
      </c>
      <c r="J537" s="128">
        <f t="shared" si="30"/>
        <v>23531.230000000003</v>
      </c>
    </row>
    <row r="538" spans="1:10" x14ac:dyDescent="0.3">
      <c r="A538" t="s">
        <v>356</v>
      </c>
      <c r="B538" s="4" t="s">
        <v>401</v>
      </c>
      <c r="C538" s="7">
        <v>45726</v>
      </c>
      <c r="D538" s="8">
        <v>1202.8399999999999</v>
      </c>
      <c r="E538" s="8"/>
      <c r="F538" s="122" t="s">
        <v>4110</v>
      </c>
      <c r="G538" s="44" t="s">
        <v>534</v>
      </c>
      <c r="H538" t="str">
        <f t="shared" si="28"/>
        <v>Jasfer Industry Co., Limited</v>
      </c>
      <c r="I538" s="112">
        <f t="shared" si="29"/>
        <v>45671</v>
      </c>
      <c r="J538" s="128">
        <f t="shared" si="30"/>
        <v>910.19</v>
      </c>
    </row>
    <row r="539" spans="1:10" x14ac:dyDescent="0.3">
      <c r="A539" t="s">
        <v>356</v>
      </c>
      <c r="B539" s="4" t="s">
        <v>402</v>
      </c>
      <c r="C539" s="7">
        <v>45726</v>
      </c>
      <c r="D539" s="8">
        <v>352.72</v>
      </c>
      <c r="E539" s="8"/>
      <c r="F539" s="122" t="s">
        <v>4110</v>
      </c>
      <c r="G539" s="44" t="s">
        <v>535</v>
      </c>
      <c r="H539" t="str">
        <f t="shared" si="28"/>
        <v>Jasfer Industry Co., Limited</v>
      </c>
      <c r="I539" s="112">
        <f t="shared" si="29"/>
        <v>45673</v>
      </c>
      <c r="J539" s="128">
        <f t="shared" si="30"/>
        <v>121</v>
      </c>
    </row>
    <row r="540" spans="1:10" x14ac:dyDescent="0.3">
      <c r="A540" t="s">
        <v>356</v>
      </c>
      <c r="B540" s="4" t="s">
        <v>403</v>
      </c>
      <c r="C540" s="7">
        <v>45727</v>
      </c>
      <c r="D540" s="8">
        <v>50</v>
      </c>
      <c r="E540" s="8"/>
      <c r="F540" s="122" t="s">
        <v>4110</v>
      </c>
      <c r="G540" s="44" t="s">
        <v>536</v>
      </c>
      <c r="H540" t="str">
        <f t="shared" si="28"/>
        <v>Jasfer Industry Co., Limited</v>
      </c>
      <c r="I540" s="112">
        <f t="shared" si="29"/>
        <v>45674</v>
      </c>
      <c r="J540" s="128">
        <f t="shared" si="30"/>
        <v>-8140.67</v>
      </c>
    </row>
    <row r="541" spans="1:10" x14ac:dyDescent="0.3">
      <c r="A541" t="s">
        <v>356</v>
      </c>
      <c r="B541" s="4" t="s">
        <v>403</v>
      </c>
      <c r="C541" s="7">
        <v>45727</v>
      </c>
      <c r="D541" s="8">
        <v>50</v>
      </c>
      <c r="E541" s="8"/>
      <c r="F541" s="122" t="s">
        <v>4110</v>
      </c>
      <c r="G541" s="44" t="s">
        <v>537</v>
      </c>
      <c r="H541" t="str">
        <f t="shared" si="28"/>
        <v>Jasfer Industry Co., Limited</v>
      </c>
      <c r="I541" s="112">
        <f t="shared" si="29"/>
        <v>45677</v>
      </c>
      <c r="J541" s="128">
        <f t="shared" si="30"/>
        <v>590.9</v>
      </c>
    </row>
    <row r="542" spans="1:10" x14ac:dyDescent="0.3">
      <c r="A542" t="s">
        <v>356</v>
      </c>
      <c r="B542" s="4" t="s">
        <v>404</v>
      </c>
      <c r="C542" s="7">
        <v>45741</v>
      </c>
      <c r="D542" s="8">
        <v>6525.71</v>
      </c>
      <c r="E542" s="8"/>
      <c r="F542" s="122" t="s">
        <v>4110</v>
      </c>
      <c r="G542" s="44" t="s">
        <v>538</v>
      </c>
      <c r="H542" t="str">
        <f t="shared" si="28"/>
        <v>Jasfer Industry Co., Limited</v>
      </c>
      <c r="I542" s="112">
        <f t="shared" si="29"/>
        <v>45677</v>
      </c>
      <c r="J542" s="128">
        <f t="shared" si="30"/>
        <v>330.6</v>
      </c>
    </row>
    <row r="543" spans="1:10" x14ac:dyDescent="0.3">
      <c r="A543" t="s">
        <v>356</v>
      </c>
      <c r="B543" s="4" t="s">
        <v>405</v>
      </c>
      <c r="C543" s="7">
        <v>45742</v>
      </c>
      <c r="D543" s="8">
        <v>4775</v>
      </c>
      <c r="E543" s="8"/>
      <c r="F543" s="122" t="s">
        <v>4110</v>
      </c>
      <c r="G543" s="44" t="s">
        <v>539</v>
      </c>
      <c r="H543" t="str">
        <f t="shared" si="28"/>
        <v>Jasfer Industry Co., Limited</v>
      </c>
      <c r="I543" s="112">
        <f t="shared" si="29"/>
        <v>45677</v>
      </c>
      <c r="J543" s="128">
        <f t="shared" si="30"/>
        <v>1619.71</v>
      </c>
    </row>
    <row r="544" spans="1:10" x14ac:dyDescent="0.3">
      <c r="A544" t="s">
        <v>356</v>
      </c>
      <c r="B544" s="4" t="s">
        <v>406</v>
      </c>
      <c r="C544" s="7">
        <v>45742</v>
      </c>
      <c r="D544" s="8">
        <v>5195</v>
      </c>
      <c r="E544" s="8"/>
      <c r="F544" s="122" t="s">
        <v>4110</v>
      </c>
      <c r="G544" s="44" t="s">
        <v>540</v>
      </c>
      <c r="H544" t="str">
        <f t="shared" si="28"/>
        <v>Jasfer Industry Co., Limited</v>
      </c>
      <c r="I544" s="112">
        <f t="shared" si="29"/>
        <v>45677</v>
      </c>
      <c r="J544" s="128">
        <f t="shared" si="30"/>
        <v>3208.66</v>
      </c>
    </row>
    <row r="545" spans="1:10" x14ac:dyDescent="0.3">
      <c r="A545" t="s">
        <v>356</v>
      </c>
      <c r="B545" s="4" t="s">
        <v>407</v>
      </c>
      <c r="C545" s="7">
        <v>45742</v>
      </c>
      <c r="D545" s="8">
        <v>4775</v>
      </c>
      <c r="E545" s="8"/>
      <c r="F545" s="122" t="s">
        <v>4110</v>
      </c>
      <c r="G545" s="44" t="s">
        <v>541</v>
      </c>
      <c r="H545" t="str">
        <f t="shared" si="28"/>
        <v>Jasfer Industry Co., Limited</v>
      </c>
      <c r="I545" s="112">
        <f t="shared" si="29"/>
        <v>45678</v>
      </c>
      <c r="J545" s="128">
        <f t="shared" si="30"/>
        <v>5310.16</v>
      </c>
    </row>
    <row r="546" spans="1:10" x14ac:dyDescent="0.3">
      <c r="A546" t="s">
        <v>356</v>
      </c>
      <c r="B546" s="4" t="s">
        <v>408</v>
      </c>
      <c r="C546" s="7">
        <v>45742</v>
      </c>
      <c r="D546" s="8">
        <v>5195.8</v>
      </c>
      <c r="E546" s="8"/>
      <c r="F546" s="122" t="s">
        <v>4110</v>
      </c>
      <c r="G546" s="44" t="s">
        <v>542</v>
      </c>
      <c r="H546" t="str">
        <f t="shared" si="28"/>
        <v>Jasfer Industry Co., Limited</v>
      </c>
      <c r="I546" s="112">
        <f t="shared" si="29"/>
        <v>45678</v>
      </c>
      <c r="J546" s="128">
        <f t="shared" si="30"/>
        <v>0.57999999999999996</v>
      </c>
    </row>
    <row r="547" spans="1:10" x14ac:dyDescent="0.3">
      <c r="A547" t="s">
        <v>356</v>
      </c>
      <c r="B547" s="4" t="s">
        <v>409</v>
      </c>
      <c r="C547" s="7">
        <v>45778</v>
      </c>
      <c r="D547" s="8">
        <v>2535</v>
      </c>
      <c r="E547" s="8"/>
      <c r="F547" s="122" t="s">
        <v>4110</v>
      </c>
      <c r="G547" s="44" t="s">
        <v>543</v>
      </c>
      <c r="H547" t="str">
        <f t="shared" si="28"/>
        <v>Jasfer Industry Co., Limited</v>
      </c>
      <c r="I547" s="112">
        <f t="shared" si="29"/>
        <v>45678</v>
      </c>
      <c r="J547" s="128">
        <f t="shared" si="30"/>
        <v>2913.27</v>
      </c>
    </row>
    <row r="548" spans="1:10" x14ac:dyDescent="0.3">
      <c r="A548" t="s">
        <v>356</v>
      </c>
      <c r="B548" s="4" t="s">
        <v>410</v>
      </c>
      <c r="C548" s="7">
        <v>45813</v>
      </c>
      <c r="D548" s="8">
        <v>125</v>
      </c>
      <c r="E548" s="8"/>
      <c r="F548" s="122" t="s">
        <v>4110</v>
      </c>
      <c r="G548" s="44" t="s">
        <v>544</v>
      </c>
      <c r="H548" t="str">
        <f t="shared" si="28"/>
        <v>Jasfer Industry Co., Limited</v>
      </c>
      <c r="I548" s="112">
        <f t="shared" si="29"/>
        <v>45678</v>
      </c>
      <c r="J548" s="128">
        <f t="shared" si="30"/>
        <v>205.9</v>
      </c>
    </row>
    <row r="549" spans="1:10" x14ac:dyDescent="0.3">
      <c r="A549" t="s">
        <v>356</v>
      </c>
      <c r="B549" s="4" t="s">
        <v>411</v>
      </c>
      <c r="C549" s="7">
        <v>45813</v>
      </c>
      <c r="D549" s="8">
        <v>623.91999999999996</v>
      </c>
      <c r="E549" s="8"/>
      <c r="F549" s="122" t="s">
        <v>4110</v>
      </c>
      <c r="G549" s="44" t="s">
        <v>545</v>
      </c>
      <c r="H549" t="str">
        <f t="shared" si="28"/>
        <v>Jasfer Industry Co., Limited</v>
      </c>
      <c r="I549" s="112">
        <f t="shared" si="29"/>
        <v>45678</v>
      </c>
      <c r="J549" s="128">
        <f t="shared" si="30"/>
        <v>104.69</v>
      </c>
    </row>
    <row r="550" spans="1:10" x14ac:dyDescent="0.3">
      <c r="A550" t="s">
        <v>356</v>
      </c>
      <c r="B550" s="4" t="s">
        <v>411</v>
      </c>
      <c r="C550" s="7">
        <v>45813</v>
      </c>
      <c r="D550" s="8">
        <v>624</v>
      </c>
      <c r="E550" s="8"/>
      <c r="F550" s="122" t="s">
        <v>4110</v>
      </c>
      <c r="G550" s="44" t="s">
        <v>546</v>
      </c>
      <c r="H550" t="str">
        <f t="shared" si="28"/>
        <v>Jasfer Industry Co., Limited</v>
      </c>
      <c r="I550" s="112">
        <f t="shared" si="29"/>
        <v>45680</v>
      </c>
      <c r="J550" s="128">
        <f t="shared" si="30"/>
        <v>14370.73</v>
      </c>
    </row>
    <row r="551" spans="1:10" x14ac:dyDescent="0.3">
      <c r="A551" t="s">
        <v>356</v>
      </c>
      <c r="B551" s="4" t="s">
        <v>411</v>
      </c>
      <c r="C551" s="7">
        <v>45813</v>
      </c>
      <c r="D551" s="8">
        <v>624</v>
      </c>
      <c r="E551" s="8"/>
      <c r="F551" s="122" t="s">
        <v>4110</v>
      </c>
      <c r="G551" s="44" t="s">
        <v>547</v>
      </c>
      <c r="H551" t="str">
        <f t="shared" si="28"/>
        <v>Jasfer Industry Co., Limited</v>
      </c>
      <c r="I551" s="112">
        <f t="shared" si="29"/>
        <v>45680</v>
      </c>
      <c r="J551" s="128">
        <f t="shared" si="30"/>
        <v>7</v>
      </c>
    </row>
    <row r="552" spans="1:10" x14ac:dyDescent="0.3">
      <c r="A552" t="s">
        <v>356</v>
      </c>
      <c r="B552" s="4" t="s">
        <v>411</v>
      </c>
      <c r="C552" s="7">
        <v>45813</v>
      </c>
      <c r="D552" s="8">
        <v>624</v>
      </c>
      <c r="E552" s="8"/>
      <c r="F552" s="122" t="s">
        <v>4110</v>
      </c>
      <c r="G552" s="44" t="s">
        <v>548</v>
      </c>
      <c r="H552" t="str">
        <f t="shared" si="28"/>
        <v>Jasfer Industry Co., Limited</v>
      </c>
      <c r="I552" s="112">
        <f t="shared" si="29"/>
        <v>45680</v>
      </c>
      <c r="J552" s="128">
        <f t="shared" si="30"/>
        <v>150.99</v>
      </c>
    </row>
    <row r="553" spans="1:10" x14ac:dyDescent="0.3">
      <c r="A553" t="s">
        <v>356</v>
      </c>
      <c r="B553" s="4" t="s">
        <v>411</v>
      </c>
      <c r="C553" s="7">
        <v>45813</v>
      </c>
      <c r="D553" s="8">
        <v>624</v>
      </c>
      <c r="E553" s="8"/>
      <c r="F553" s="122" t="s">
        <v>4110</v>
      </c>
      <c r="G553" s="44" t="s">
        <v>549</v>
      </c>
      <c r="H553" t="str">
        <f t="shared" si="28"/>
        <v>Jasfer Industry Co., Limited</v>
      </c>
      <c r="I553" s="112">
        <f t="shared" si="29"/>
        <v>45681</v>
      </c>
      <c r="J553" s="128">
        <f t="shared" si="30"/>
        <v>137.1</v>
      </c>
    </row>
    <row r="554" spans="1:10" x14ac:dyDescent="0.3">
      <c r="A554" t="s">
        <v>356</v>
      </c>
      <c r="B554" s="4" t="s">
        <v>411</v>
      </c>
      <c r="C554" s="7">
        <v>45813</v>
      </c>
      <c r="D554" s="8">
        <v>624</v>
      </c>
      <c r="E554" s="8"/>
      <c r="F554" s="122" t="s">
        <v>4110</v>
      </c>
      <c r="G554" s="44" t="s">
        <v>550</v>
      </c>
      <c r="H554" t="str">
        <f t="shared" si="28"/>
        <v>Jasfer Industry Co., Limited</v>
      </c>
      <c r="I554" s="112">
        <f t="shared" si="29"/>
        <v>45681</v>
      </c>
      <c r="J554" s="128">
        <f t="shared" si="30"/>
        <v>2155.6999999999998</v>
      </c>
    </row>
    <row r="555" spans="1:10" x14ac:dyDescent="0.3">
      <c r="A555" t="s">
        <v>356</v>
      </c>
      <c r="B555" s="4" t="s">
        <v>412</v>
      </c>
      <c r="C555" s="7">
        <v>45813</v>
      </c>
      <c r="D555" s="8">
        <v>3760</v>
      </c>
      <c r="E555" s="8"/>
      <c r="F555" s="122" t="s">
        <v>4110</v>
      </c>
      <c r="G555" s="44" t="s">
        <v>551</v>
      </c>
      <c r="H555" t="str">
        <f t="shared" si="28"/>
        <v>Jasfer Industry Co., Limited</v>
      </c>
      <c r="I555" s="112">
        <f t="shared" si="29"/>
        <v>45681</v>
      </c>
      <c r="J555" s="128">
        <f t="shared" si="30"/>
        <v>10</v>
      </c>
    </row>
    <row r="556" spans="1:10" x14ac:dyDescent="0.3">
      <c r="A556" t="s">
        <v>356</v>
      </c>
      <c r="B556" s="4" t="s">
        <v>413</v>
      </c>
      <c r="C556" s="7">
        <v>45813</v>
      </c>
      <c r="D556" s="8">
        <v>3760</v>
      </c>
      <c r="E556" s="8"/>
      <c r="F556" s="122" t="s">
        <v>4110</v>
      </c>
      <c r="G556" s="44" t="s">
        <v>552</v>
      </c>
      <c r="H556" t="str">
        <f t="shared" si="28"/>
        <v>Jasfer Industry Co., Limited</v>
      </c>
      <c r="I556" s="112">
        <f t="shared" si="29"/>
        <v>45681</v>
      </c>
      <c r="J556" s="128">
        <f t="shared" si="30"/>
        <v>-26290.3</v>
      </c>
    </row>
    <row r="557" spans="1:10" x14ac:dyDescent="0.3">
      <c r="A557" t="s">
        <v>356</v>
      </c>
      <c r="B557" s="4" t="s">
        <v>414</v>
      </c>
      <c r="C557" s="7">
        <v>45813</v>
      </c>
      <c r="D557" s="8">
        <v>42</v>
      </c>
      <c r="E557" s="8"/>
      <c r="F557" s="122" t="s">
        <v>4110</v>
      </c>
      <c r="G557" s="44" t="s">
        <v>553</v>
      </c>
      <c r="H557" t="str">
        <f t="shared" si="28"/>
        <v>Jasfer Industry Co., Limited</v>
      </c>
      <c r="I557" s="112">
        <f t="shared" si="29"/>
        <v>45701</v>
      </c>
      <c r="J557" s="128">
        <f t="shared" si="30"/>
        <v>527.59</v>
      </c>
    </row>
    <row r="558" spans="1:10" x14ac:dyDescent="0.3">
      <c r="A558" t="s">
        <v>356</v>
      </c>
      <c r="B558" s="4" t="s">
        <v>414</v>
      </c>
      <c r="C558" s="7">
        <v>45813</v>
      </c>
      <c r="D558" s="8">
        <v>42</v>
      </c>
      <c r="E558" s="8"/>
      <c r="F558" s="122" t="s">
        <v>4110</v>
      </c>
      <c r="G558" s="44" t="s">
        <v>554</v>
      </c>
      <c r="H558" t="str">
        <f t="shared" si="28"/>
        <v>Jasfer Industry Co., Limited</v>
      </c>
      <c r="I558" s="112">
        <f t="shared" si="29"/>
        <v>45712</v>
      </c>
      <c r="J558" s="128">
        <f t="shared" si="30"/>
        <v>30977.29</v>
      </c>
    </row>
    <row r="559" spans="1:10" x14ac:dyDescent="0.3">
      <c r="A559" t="s">
        <v>356</v>
      </c>
      <c r="B559" s="4" t="s">
        <v>414</v>
      </c>
      <c r="C559" s="7">
        <v>45813</v>
      </c>
      <c r="D559" s="8">
        <v>41</v>
      </c>
      <c r="E559" s="8"/>
      <c r="F559" s="122" t="s">
        <v>4110</v>
      </c>
      <c r="G559" s="44" t="s">
        <v>555</v>
      </c>
      <c r="H559" t="str">
        <f t="shared" si="28"/>
        <v>Jasfer Industry Co., Limited</v>
      </c>
      <c r="I559" s="112">
        <f t="shared" si="29"/>
        <v>45713</v>
      </c>
      <c r="J559" s="128">
        <f t="shared" si="30"/>
        <v>3995.42</v>
      </c>
    </row>
    <row r="560" spans="1:10" x14ac:dyDescent="0.3">
      <c r="A560" t="s">
        <v>356</v>
      </c>
      <c r="B560" s="4" t="s">
        <v>415</v>
      </c>
      <c r="C560" s="7">
        <v>45813</v>
      </c>
      <c r="D560" s="8">
        <v>42</v>
      </c>
      <c r="E560" s="8"/>
      <c r="F560" s="122" t="s">
        <v>4110</v>
      </c>
      <c r="G560" s="44" t="s">
        <v>556</v>
      </c>
      <c r="H560" t="str">
        <f t="shared" si="28"/>
        <v>Jasfer Industry Co., Limited</v>
      </c>
      <c r="I560" s="112">
        <f t="shared" si="29"/>
        <v>45720</v>
      </c>
      <c r="J560" s="128">
        <f t="shared" si="30"/>
        <v>1468.92</v>
      </c>
    </row>
    <row r="561" spans="1:10" x14ac:dyDescent="0.3">
      <c r="A561" t="s">
        <v>356</v>
      </c>
      <c r="B561" s="4" t="s">
        <v>415</v>
      </c>
      <c r="C561" s="7">
        <v>45813</v>
      </c>
      <c r="D561" s="8">
        <v>41</v>
      </c>
      <c r="E561" s="8"/>
      <c r="F561" s="122" t="s">
        <v>4110</v>
      </c>
      <c r="G561" s="44" t="s">
        <v>557</v>
      </c>
      <c r="H561" t="str">
        <f t="shared" si="28"/>
        <v>Jasfer Industry Co., Limited</v>
      </c>
      <c r="I561" s="112">
        <f t="shared" si="29"/>
        <v>45729</v>
      </c>
      <c r="J561" s="128">
        <f t="shared" si="30"/>
        <v>6798.95</v>
      </c>
    </row>
    <row r="562" spans="1:10" x14ac:dyDescent="0.3">
      <c r="A562" t="s">
        <v>356</v>
      </c>
      <c r="B562" s="4" t="s">
        <v>415</v>
      </c>
      <c r="C562" s="7">
        <v>45813</v>
      </c>
      <c r="D562" s="8">
        <v>42</v>
      </c>
      <c r="E562" s="8"/>
      <c r="F562" s="122" t="s">
        <v>4110</v>
      </c>
      <c r="G562" s="44" t="s">
        <v>558</v>
      </c>
      <c r="H562" t="str">
        <f t="shared" si="28"/>
        <v>Jasfer Industry Co., Limited</v>
      </c>
      <c r="I562" s="112">
        <f t="shared" si="29"/>
        <v>45729</v>
      </c>
      <c r="J562" s="128">
        <f t="shared" si="30"/>
        <v>150.15</v>
      </c>
    </row>
    <row r="563" spans="1:10" x14ac:dyDescent="0.3">
      <c r="A563" t="s">
        <v>356</v>
      </c>
      <c r="B563" s="4" t="s">
        <v>416</v>
      </c>
      <c r="C563" s="7">
        <v>45813</v>
      </c>
      <c r="D563" s="8">
        <v>147</v>
      </c>
      <c r="E563" s="8"/>
      <c r="F563" s="122" t="s">
        <v>4110</v>
      </c>
      <c r="G563" s="44" t="s">
        <v>559</v>
      </c>
      <c r="H563" t="str">
        <f t="shared" si="28"/>
        <v>Jasfer Industry Co., Limited</v>
      </c>
      <c r="I563" s="112">
        <f t="shared" si="29"/>
        <v>45740</v>
      </c>
      <c r="J563" s="128">
        <f t="shared" si="30"/>
        <v>6471.17</v>
      </c>
    </row>
    <row r="564" spans="1:10" x14ac:dyDescent="0.3">
      <c r="A564" t="s">
        <v>356</v>
      </c>
      <c r="B564" s="4" t="s">
        <v>416</v>
      </c>
      <c r="C564" s="7">
        <v>45813</v>
      </c>
      <c r="D564" s="8">
        <v>146.61000000000001</v>
      </c>
      <c r="E564" s="8"/>
      <c r="F564" s="122" t="s">
        <v>4110</v>
      </c>
      <c r="G564" s="44" t="s">
        <v>560</v>
      </c>
      <c r="H564" t="str">
        <f t="shared" si="28"/>
        <v>Jasfer Industry Co., Limited</v>
      </c>
      <c r="I564" s="112">
        <f t="shared" si="29"/>
        <v>45740</v>
      </c>
      <c r="J564" s="128">
        <f t="shared" si="30"/>
        <v>314.82</v>
      </c>
    </row>
    <row r="565" spans="1:10" x14ac:dyDescent="0.3">
      <c r="A565" t="s">
        <v>356</v>
      </c>
      <c r="B565" s="4" t="s">
        <v>417</v>
      </c>
      <c r="C565" s="7">
        <v>45813</v>
      </c>
      <c r="D565" s="8">
        <v>63</v>
      </c>
      <c r="E565" s="8"/>
      <c r="F565" s="122" t="s">
        <v>4110</v>
      </c>
      <c r="G565" s="44" t="s">
        <v>561</v>
      </c>
      <c r="H565" t="str">
        <f t="shared" si="28"/>
        <v>Jasfer Industry Co., Limited</v>
      </c>
      <c r="I565" s="112">
        <f t="shared" si="29"/>
        <v>45740</v>
      </c>
      <c r="J565" s="128">
        <f t="shared" si="30"/>
        <v>0.19</v>
      </c>
    </row>
    <row r="566" spans="1:10" x14ac:dyDescent="0.3">
      <c r="A566" t="s">
        <v>356</v>
      </c>
      <c r="B566" s="4" t="s">
        <v>417</v>
      </c>
      <c r="C566" s="7">
        <v>45813</v>
      </c>
      <c r="D566" s="8">
        <v>62</v>
      </c>
      <c r="E566" s="8"/>
      <c r="F566" s="122" t="s">
        <v>4110</v>
      </c>
      <c r="G566" s="44" t="s">
        <v>562</v>
      </c>
      <c r="H566" t="str">
        <f t="shared" si="28"/>
        <v>Jasfer Industry Co., Limited</v>
      </c>
      <c r="I566" s="112">
        <f t="shared" si="29"/>
        <v>45745</v>
      </c>
      <c r="J566" s="128">
        <f t="shared" si="30"/>
        <v>77.05</v>
      </c>
    </row>
    <row r="567" spans="1:10" x14ac:dyDescent="0.3">
      <c r="A567" t="s">
        <v>356</v>
      </c>
      <c r="B567" s="4" t="s">
        <v>418</v>
      </c>
      <c r="C567" s="7">
        <v>45818</v>
      </c>
      <c r="D567" s="8">
        <v>978</v>
      </c>
      <c r="E567" s="8"/>
      <c r="F567" s="122" t="s">
        <v>4110</v>
      </c>
      <c r="G567" s="44" t="s">
        <v>563</v>
      </c>
      <c r="H567" t="str">
        <f t="shared" si="28"/>
        <v>Jasfer Industry Co., Limited</v>
      </c>
      <c r="I567" s="112">
        <f t="shared" si="29"/>
        <v>45749</v>
      </c>
      <c r="J567" s="128">
        <f t="shared" si="30"/>
        <v>386.28</v>
      </c>
    </row>
    <row r="568" spans="1:10" x14ac:dyDescent="0.3">
      <c r="A568" t="s">
        <v>356</v>
      </c>
      <c r="B568" s="4" t="s">
        <v>418</v>
      </c>
      <c r="C568" s="7">
        <v>45818</v>
      </c>
      <c r="D568" s="8">
        <v>978</v>
      </c>
      <c r="E568" s="8"/>
      <c r="F568" s="122" t="s">
        <v>4110</v>
      </c>
      <c r="G568" s="44" t="s">
        <v>564</v>
      </c>
      <c r="H568" t="str">
        <f t="shared" si="28"/>
        <v>Jasfer Industry Co., Limited</v>
      </c>
      <c r="I568" s="112">
        <f t="shared" si="29"/>
        <v>45749</v>
      </c>
      <c r="J568" s="128">
        <f t="shared" si="30"/>
        <v>-8206.7799999999988</v>
      </c>
    </row>
    <row r="569" spans="1:10" x14ac:dyDescent="0.3">
      <c r="A569" t="s">
        <v>356</v>
      </c>
      <c r="B569" s="4" t="s">
        <v>418</v>
      </c>
      <c r="C569" s="7">
        <v>45818</v>
      </c>
      <c r="D569" s="8">
        <v>978</v>
      </c>
      <c r="E569" s="8"/>
      <c r="F569" s="122" t="s">
        <v>4110</v>
      </c>
      <c r="G569" s="44" t="s">
        <v>565</v>
      </c>
      <c r="H569" t="str">
        <f t="shared" si="28"/>
        <v>Jasfer Industry Co., Limited</v>
      </c>
      <c r="I569" s="112">
        <f t="shared" si="29"/>
        <v>45761</v>
      </c>
      <c r="J569" s="128">
        <f t="shared" si="30"/>
        <v>-4884</v>
      </c>
    </row>
    <row r="570" spans="1:10" x14ac:dyDescent="0.3">
      <c r="A570" t="s">
        <v>356</v>
      </c>
      <c r="B570" s="4" t="s">
        <v>418</v>
      </c>
      <c r="C570" s="7">
        <v>45818</v>
      </c>
      <c r="D570" s="8">
        <v>978</v>
      </c>
      <c r="E570" s="8"/>
      <c r="F570" s="122" t="s">
        <v>4110</v>
      </c>
      <c r="G570" s="44" t="s">
        <v>566</v>
      </c>
      <c r="H570" t="str">
        <f t="shared" si="28"/>
        <v>Jasfer Industry Co., Limited</v>
      </c>
      <c r="I570" s="112">
        <f t="shared" si="29"/>
        <v>45763</v>
      </c>
      <c r="J570" s="128">
        <f t="shared" si="30"/>
        <v>400</v>
      </c>
    </row>
    <row r="571" spans="1:10" x14ac:dyDescent="0.3">
      <c r="A571" t="s">
        <v>356</v>
      </c>
      <c r="B571" s="4" t="s">
        <v>418</v>
      </c>
      <c r="C571" s="7">
        <v>45818</v>
      </c>
      <c r="D571" s="8">
        <v>977.92</v>
      </c>
      <c r="E571" s="8"/>
      <c r="F571" s="122" t="s">
        <v>4110</v>
      </c>
      <c r="G571" s="44" t="s">
        <v>567</v>
      </c>
      <c r="H571" t="str">
        <f t="shared" si="28"/>
        <v>Jasfer Industry Co., Limited</v>
      </c>
      <c r="I571" s="112">
        <f t="shared" si="29"/>
        <v>45769</v>
      </c>
      <c r="J571" s="128">
        <f t="shared" si="30"/>
        <v>-81156.240000000005</v>
      </c>
    </row>
    <row r="572" spans="1:10" x14ac:dyDescent="0.3">
      <c r="A572" t="s">
        <v>356</v>
      </c>
      <c r="B572" s="4" t="s">
        <v>418</v>
      </c>
      <c r="C572" s="7">
        <v>45818</v>
      </c>
      <c r="D572" s="8">
        <v>977</v>
      </c>
      <c r="E572" s="8"/>
      <c r="F572" s="122" t="s">
        <v>4110</v>
      </c>
      <c r="G572" s="44" t="s">
        <v>568</v>
      </c>
      <c r="H572" t="str">
        <f t="shared" si="28"/>
        <v>Jasfer Industry Co., Limited</v>
      </c>
      <c r="I572" s="112">
        <f t="shared" si="29"/>
        <v>45770</v>
      </c>
      <c r="J572" s="128">
        <f t="shared" si="30"/>
        <v>2914.92</v>
      </c>
    </row>
    <row r="573" spans="1:10" x14ac:dyDescent="0.3">
      <c r="A573" t="s">
        <v>356</v>
      </c>
      <c r="B573" s="4" t="s">
        <v>419</v>
      </c>
      <c r="C573" s="7">
        <v>45825</v>
      </c>
      <c r="D573" s="8">
        <v>125</v>
      </c>
      <c r="E573" s="8"/>
      <c r="F573" s="122" t="s">
        <v>4110</v>
      </c>
      <c r="G573" s="44" t="s">
        <v>569</v>
      </c>
      <c r="H573" t="str">
        <f t="shared" si="28"/>
        <v>Jasfer Industry Co., Limited</v>
      </c>
      <c r="I573" s="112">
        <f t="shared" si="29"/>
        <v>45770</v>
      </c>
      <c r="J573" s="128">
        <f t="shared" si="30"/>
        <v>135.16999999999999</v>
      </c>
    </row>
    <row r="574" spans="1:10" x14ac:dyDescent="0.3">
      <c r="A574" t="s">
        <v>356</v>
      </c>
      <c r="B574" s="4" t="s">
        <v>420</v>
      </c>
      <c r="C574" s="7">
        <v>45832</v>
      </c>
      <c r="D574" s="8">
        <v>125</v>
      </c>
      <c r="E574" s="8"/>
      <c r="F574" s="122" t="s">
        <v>4110</v>
      </c>
      <c r="G574" s="44" t="s">
        <v>570</v>
      </c>
      <c r="H574" t="str">
        <f t="shared" si="28"/>
        <v>Jasfer Industry Co., Limited</v>
      </c>
      <c r="I574" s="112">
        <f t="shared" si="29"/>
        <v>45773</v>
      </c>
      <c r="J574" s="128">
        <f t="shared" si="30"/>
        <v>1910.45</v>
      </c>
    </row>
    <row r="575" spans="1:10" x14ac:dyDescent="0.3">
      <c r="A575" t="s">
        <v>421</v>
      </c>
      <c r="B575" s="4" t="s">
        <v>94</v>
      </c>
      <c r="C575" s="7">
        <v>45807</v>
      </c>
      <c r="D575" s="8">
        <v>-6395</v>
      </c>
      <c r="E575" s="8"/>
      <c r="F575" s="122" t="s">
        <v>4110</v>
      </c>
      <c r="G575" s="44" t="s">
        <v>571</v>
      </c>
      <c r="H575" t="str">
        <f t="shared" si="28"/>
        <v>Jasfer Industry Co., Limited</v>
      </c>
      <c r="I575" s="112">
        <f t="shared" si="29"/>
        <v>45783</v>
      </c>
      <c r="J575" s="128">
        <f t="shared" si="30"/>
        <v>-385253.2</v>
      </c>
    </row>
    <row r="576" spans="1:10" x14ac:dyDescent="0.3">
      <c r="A576" t="s">
        <v>422</v>
      </c>
      <c r="B576" s="4" t="s">
        <v>423</v>
      </c>
      <c r="C576" s="7">
        <v>44707</v>
      </c>
      <c r="D576" s="8">
        <v>1032.6500000000001</v>
      </c>
      <c r="E576" s="8"/>
      <c r="F576" s="122" t="s">
        <v>4110</v>
      </c>
      <c r="G576" s="44" t="s">
        <v>572</v>
      </c>
      <c r="H576" t="str">
        <f t="shared" si="28"/>
        <v>Jasfer Industry Co., Limited</v>
      </c>
      <c r="I576" s="112">
        <f t="shared" si="29"/>
        <v>45785</v>
      </c>
      <c r="J576" s="128">
        <f t="shared" si="30"/>
        <v>-536297.22</v>
      </c>
    </row>
    <row r="577" spans="1:10" x14ac:dyDescent="0.3">
      <c r="A577" t="s">
        <v>422</v>
      </c>
      <c r="B577" s="4" t="s">
        <v>424</v>
      </c>
      <c r="C577" s="7">
        <v>45231</v>
      </c>
      <c r="D577" s="8">
        <v>3464</v>
      </c>
      <c r="E577" s="8"/>
      <c r="F577" s="122" t="s">
        <v>4110</v>
      </c>
      <c r="G577" s="44" t="s">
        <v>573</v>
      </c>
      <c r="H577" t="str">
        <f t="shared" si="28"/>
        <v>Jasfer Industry Co., Limited</v>
      </c>
      <c r="I577" s="112">
        <f t="shared" si="29"/>
        <v>45788</v>
      </c>
      <c r="J577" s="128">
        <f t="shared" si="30"/>
        <v>4391.59</v>
      </c>
    </row>
    <row r="578" spans="1:10" x14ac:dyDescent="0.3">
      <c r="A578" t="s">
        <v>422</v>
      </c>
      <c r="B578" s="4" t="s">
        <v>425</v>
      </c>
      <c r="C578" s="7">
        <v>45271</v>
      </c>
      <c r="D578" s="8">
        <v>400</v>
      </c>
      <c r="E578" s="8"/>
      <c r="F578" s="122" t="s">
        <v>4110</v>
      </c>
      <c r="G578" s="44" t="s">
        <v>574</v>
      </c>
      <c r="H578" t="str">
        <f t="shared" si="28"/>
        <v>Jasfer Industry Co., Limited</v>
      </c>
      <c r="I578" s="112">
        <f t="shared" si="29"/>
        <v>45788</v>
      </c>
      <c r="J578" s="128">
        <f t="shared" si="30"/>
        <v>3365.87</v>
      </c>
    </row>
    <row r="579" spans="1:10" x14ac:dyDescent="0.3">
      <c r="A579" t="s">
        <v>422</v>
      </c>
      <c r="B579" s="4" t="s">
        <v>426</v>
      </c>
      <c r="C579" s="7">
        <v>45289</v>
      </c>
      <c r="D579" s="8">
        <v>176.55</v>
      </c>
      <c r="E579" s="8"/>
      <c r="F579" s="122" t="s">
        <v>4110</v>
      </c>
      <c r="G579" s="44" t="s">
        <v>575</v>
      </c>
      <c r="H579" t="str">
        <f t="shared" si="28"/>
        <v>Jasfer Industry Co., Limited</v>
      </c>
      <c r="I579" s="112">
        <f t="shared" si="29"/>
        <v>45788</v>
      </c>
      <c r="J579" s="128">
        <f t="shared" si="30"/>
        <v>8054.28</v>
      </c>
    </row>
    <row r="580" spans="1:10" x14ac:dyDescent="0.3">
      <c r="A580" t="s">
        <v>422</v>
      </c>
      <c r="B580" s="4" t="s">
        <v>427</v>
      </c>
      <c r="C580" s="7">
        <v>45292</v>
      </c>
      <c r="D580" s="8">
        <v>2845.09</v>
      </c>
      <c r="E580" s="8"/>
      <c r="F580" s="122" t="s">
        <v>4110</v>
      </c>
      <c r="G580" s="44" t="s">
        <v>576</v>
      </c>
      <c r="H580" t="str">
        <f t="shared" si="28"/>
        <v>Jasfer Industry Co., Limited</v>
      </c>
      <c r="I580" s="112">
        <f t="shared" si="29"/>
        <v>45788</v>
      </c>
      <c r="J580" s="128">
        <f t="shared" si="30"/>
        <v>10.7</v>
      </c>
    </row>
    <row r="581" spans="1:10" x14ac:dyDescent="0.3">
      <c r="A581" t="s">
        <v>422</v>
      </c>
      <c r="B581" s="4" t="s">
        <v>428</v>
      </c>
      <c r="C581" s="7">
        <v>45292</v>
      </c>
      <c r="D581" s="8">
        <v>224.28</v>
      </c>
      <c r="E581" s="8"/>
      <c r="F581" s="122" t="s">
        <v>4110</v>
      </c>
      <c r="G581" s="44" t="s">
        <v>577</v>
      </c>
      <c r="H581" t="str">
        <f t="shared" si="28"/>
        <v>Jasfer Industry Co., Limited</v>
      </c>
      <c r="I581" s="112">
        <f t="shared" si="29"/>
        <v>45788</v>
      </c>
      <c r="J581" s="128">
        <f t="shared" si="30"/>
        <v>243.7</v>
      </c>
    </row>
    <row r="582" spans="1:10" x14ac:dyDescent="0.3">
      <c r="A582" t="s">
        <v>422</v>
      </c>
      <c r="B582" s="4" t="s">
        <v>429</v>
      </c>
      <c r="C582" s="7">
        <v>45292</v>
      </c>
      <c r="D582" s="8">
        <v>3709.62</v>
      </c>
      <c r="E582" s="8"/>
      <c r="F582" s="122" t="s">
        <v>4110</v>
      </c>
      <c r="G582" s="44" t="s">
        <v>578</v>
      </c>
      <c r="H582" t="str">
        <f t="shared" ref="H582:H645" si="31">_xlfn.XLOOKUP(G582,B:B,A:A,,)</f>
        <v>Jasfer Industry Co., Limited</v>
      </c>
      <c r="I582" s="112">
        <f t="shared" ref="I582:I645" si="32">_xlfn.XLOOKUP(G582,B:B,C:C,,)</f>
        <v>45788</v>
      </c>
      <c r="J582" s="128">
        <f t="shared" ref="J582:J645" si="33">SUMIF(B:B,G582,D:D)</f>
        <v>1322</v>
      </c>
    </row>
    <row r="583" spans="1:10" x14ac:dyDescent="0.3">
      <c r="A583" t="s">
        <v>422</v>
      </c>
      <c r="B583" s="4" t="s">
        <v>430</v>
      </c>
      <c r="C583" s="7">
        <v>45292</v>
      </c>
      <c r="D583" s="8">
        <v>1350</v>
      </c>
      <c r="E583" s="8"/>
      <c r="F583" s="122" t="s">
        <v>4110</v>
      </c>
      <c r="G583" s="44" t="s">
        <v>579</v>
      </c>
      <c r="H583" t="str">
        <f t="shared" si="31"/>
        <v>Jasfer Industry Co., Limited</v>
      </c>
      <c r="I583" s="112">
        <f t="shared" si="32"/>
        <v>45789</v>
      </c>
      <c r="J583" s="128">
        <f t="shared" si="33"/>
        <v>5627.99</v>
      </c>
    </row>
    <row r="584" spans="1:10" x14ac:dyDescent="0.3">
      <c r="A584" t="s">
        <v>422</v>
      </c>
      <c r="B584" s="4" t="s">
        <v>431</v>
      </c>
      <c r="C584" s="7">
        <v>45292</v>
      </c>
      <c r="D584" s="8">
        <v>300</v>
      </c>
      <c r="E584" s="8"/>
      <c r="F584" s="122" t="s">
        <v>4110</v>
      </c>
      <c r="G584" s="44" t="s">
        <v>580</v>
      </c>
      <c r="H584" t="str">
        <f t="shared" si="31"/>
        <v>Jasfer Industry Co., Limited</v>
      </c>
      <c r="I584" s="112">
        <f t="shared" si="32"/>
        <v>45794</v>
      </c>
      <c r="J584" s="128">
        <f t="shared" si="33"/>
        <v>200.92</v>
      </c>
    </row>
    <row r="585" spans="1:10" x14ac:dyDescent="0.3">
      <c r="A585" t="s">
        <v>422</v>
      </c>
      <c r="B585" s="4" t="s">
        <v>432</v>
      </c>
      <c r="C585" s="7">
        <v>45296</v>
      </c>
      <c r="D585" s="8">
        <v>2000</v>
      </c>
      <c r="E585" s="8"/>
      <c r="F585" s="122" t="s">
        <v>4110</v>
      </c>
      <c r="G585" s="44" t="s">
        <v>581</v>
      </c>
      <c r="H585" t="str">
        <f t="shared" si="31"/>
        <v>Jasfer Industry Co., Limited</v>
      </c>
      <c r="I585" s="112">
        <f t="shared" si="32"/>
        <v>45796</v>
      </c>
      <c r="J585" s="128">
        <f t="shared" si="33"/>
        <v>302.88</v>
      </c>
    </row>
    <row r="586" spans="1:10" x14ac:dyDescent="0.3">
      <c r="A586" t="s">
        <v>422</v>
      </c>
      <c r="B586" s="4" t="s">
        <v>426</v>
      </c>
      <c r="C586" s="7">
        <v>45296</v>
      </c>
      <c r="D586" s="8">
        <v>2371.67</v>
      </c>
      <c r="E586" s="8"/>
      <c r="F586" s="122" t="s">
        <v>4110</v>
      </c>
      <c r="G586" s="44" t="s">
        <v>582</v>
      </c>
      <c r="H586" t="str">
        <f t="shared" si="31"/>
        <v>Jasfer Industry Co., Limited</v>
      </c>
      <c r="I586" s="112">
        <f t="shared" si="32"/>
        <v>45796</v>
      </c>
      <c r="J586" s="128">
        <f t="shared" si="33"/>
        <v>11024.300000000001</v>
      </c>
    </row>
    <row r="587" spans="1:10" x14ac:dyDescent="0.3">
      <c r="A587" t="s">
        <v>422</v>
      </c>
      <c r="B587" s="4" t="s">
        <v>433</v>
      </c>
      <c r="C587" s="7">
        <v>45299</v>
      </c>
      <c r="D587" s="8">
        <v>2359.04</v>
      </c>
      <c r="E587" s="8"/>
      <c r="F587" s="122" t="s">
        <v>4110</v>
      </c>
      <c r="G587" s="44" t="s">
        <v>583</v>
      </c>
      <c r="H587" t="str">
        <f t="shared" si="31"/>
        <v>Jasfer Industry Co., Limited</v>
      </c>
      <c r="I587" s="112">
        <f t="shared" si="32"/>
        <v>45796</v>
      </c>
      <c r="J587" s="128">
        <f t="shared" si="33"/>
        <v>2279.27</v>
      </c>
    </row>
    <row r="588" spans="1:10" x14ac:dyDescent="0.3">
      <c r="A588" t="s">
        <v>422</v>
      </c>
      <c r="B588">
        <v>36045</v>
      </c>
      <c r="C588" s="7">
        <v>45302</v>
      </c>
      <c r="D588" s="8">
        <v>8044.97</v>
      </c>
      <c r="E588" s="8"/>
      <c r="F588" s="122" t="s">
        <v>4110</v>
      </c>
      <c r="G588" s="44" t="s">
        <v>584</v>
      </c>
      <c r="H588" t="str">
        <f t="shared" si="31"/>
        <v>Jasfer Industry Co., Limited</v>
      </c>
      <c r="I588" s="112">
        <f t="shared" si="32"/>
        <v>45796</v>
      </c>
      <c r="J588" s="128">
        <f t="shared" si="33"/>
        <v>2810.15</v>
      </c>
    </row>
    <row r="589" spans="1:10" x14ac:dyDescent="0.3">
      <c r="A589" t="s">
        <v>422</v>
      </c>
      <c r="B589" s="4" t="s">
        <v>434</v>
      </c>
      <c r="C589" s="7">
        <v>45302</v>
      </c>
      <c r="D589" s="8">
        <v>809.99</v>
      </c>
      <c r="E589" s="8"/>
      <c r="F589" s="122" t="s">
        <v>4110</v>
      </c>
      <c r="G589" s="44" t="s">
        <v>585</v>
      </c>
      <c r="H589" t="str">
        <f t="shared" si="31"/>
        <v>Jasfer Industry Co., Limited</v>
      </c>
      <c r="I589" s="112">
        <f t="shared" si="32"/>
        <v>45796</v>
      </c>
      <c r="J589" s="128">
        <f t="shared" si="33"/>
        <v>28739.68</v>
      </c>
    </row>
    <row r="590" spans="1:10" x14ac:dyDescent="0.3">
      <c r="A590" t="s">
        <v>422</v>
      </c>
      <c r="B590" s="4" t="s">
        <v>435</v>
      </c>
      <c r="C590" s="7">
        <v>45323</v>
      </c>
      <c r="D590" s="8">
        <v>416.12</v>
      </c>
      <c r="E590" s="8"/>
      <c r="F590" s="122" t="s">
        <v>4110</v>
      </c>
      <c r="G590" s="44" t="s">
        <v>586</v>
      </c>
      <c r="H590" t="str">
        <f t="shared" si="31"/>
        <v>Jasfer Industry Co., Limited</v>
      </c>
      <c r="I590" s="112">
        <f t="shared" si="32"/>
        <v>45796</v>
      </c>
      <c r="J590" s="128">
        <f t="shared" si="33"/>
        <v>1716.13</v>
      </c>
    </row>
    <row r="591" spans="1:10" x14ac:dyDescent="0.3">
      <c r="A591" t="s">
        <v>422</v>
      </c>
      <c r="B591" s="4" t="s">
        <v>436</v>
      </c>
      <c r="C591" s="7">
        <v>45323</v>
      </c>
      <c r="D591" s="8">
        <v>340</v>
      </c>
      <c r="E591" s="8"/>
      <c r="F591" s="122" t="s">
        <v>4110</v>
      </c>
      <c r="G591" s="44" t="s">
        <v>587</v>
      </c>
      <c r="H591" t="str">
        <f t="shared" si="31"/>
        <v>Jasfer Industry Co., Limited</v>
      </c>
      <c r="I591" s="112">
        <f t="shared" si="32"/>
        <v>45796</v>
      </c>
      <c r="J591" s="128">
        <f t="shared" si="33"/>
        <v>1094.72</v>
      </c>
    </row>
    <row r="592" spans="1:10" x14ac:dyDescent="0.3">
      <c r="A592" t="s">
        <v>422</v>
      </c>
      <c r="B592" s="4" t="s">
        <v>437</v>
      </c>
      <c r="C592" s="7">
        <v>45325</v>
      </c>
      <c r="D592" s="8">
        <v>653.75</v>
      </c>
      <c r="E592" s="8"/>
      <c r="F592" s="122" t="s">
        <v>4110</v>
      </c>
      <c r="G592" s="44" t="s">
        <v>588</v>
      </c>
      <c r="H592" t="str">
        <f t="shared" si="31"/>
        <v>Jasfer Industry Co., Limited</v>
      </c>
      <c r="I592" s="112">
        <f t="shared" si="32"/>
        <v>45796</v>
      </c>
      <c r="J592" s="128">
        <f t="shared" si="33"/>
        <v>955.75</v>
      </c>
    </row>
    <row r="593" spans="1:10" x14ac:dyDescent="0.3">
      <c r="A593" t="s">
        <v>422</v>
      </c>
      <c r="B593" s="13" t="s">
        <v>438</v>
      </c>
      <c r="C593" s="7">
        <v>45358</v>
      </c>
      <c r="D593" s="8">
        <v>-8186</v>
      </c>
      <c r="E593" s="8"/>
      <c r="F593" s="122" t="s">
        <v>4110</v>
      </c>
      <c r="G593" s="44" t="s">
        <v>589</v>
      </c>
      <c r="H593" t="str">
        <f t="shared" si="31"/>
        <v>Jasfer Industry Co., Limited</v>
      </c>
      <c r="I593" s="112">
        <f t="shared" si="32"/>
        <v>45796</v>
      </c>
      <c r="J593" s="128">
        <f t="shared" si="33"/>
        <v>102.14</v>
      </c>
    </row>
    <row r="594" spans="1:10" x14ac:dyDescent="0.3">
      <c r="A594" t="s">
        <v>422</v>
      </c>
      <c r="B594" s="4" t="s">
        <v>439</v>
      </c>
      <c r="C594" s="7">
        <v>45358</v>
      </c>
      <c r="D594" s="8">
        <v>7367.4</v>
      </c>
      <c r="E594" s="8"/>
      <c r="F594" s="122" t="s">
        <v>4110</v>
      </c>
      <c r="G594" s="44" t="s">
        <v>590</v>
      </c>
      <c r="H594" t="str">
        <f t="shared" si="31"/>
        <v>Jasfer Industry Co., Limited</v>
      </c>
      <c r="I594" s="112">
        <f t="shared" si="32"/>
        <v>45796</v>
      </c>
      <c r="J594" s="128">
        <f t="shared" si="33"/>
        <v>324.5</v>
      </c>
    </row>
    <row r="595" spans="1:10" x14ac:dyDescent="0.3">
      <c r="A595" t="s">
        <v>422</v>
      </c>
      <c r="B595" s="4" t="s">
        <v>440</v>
      </c>
      <c r="C595" s="7">
        <v>45373</v>
      </c>
      <c r="D595" s="8">
        <v>1516.94</v>
      </c>
      <c r="E595" s="8"/>
      <c r="F595" s="122" t="s">
        <v>4110</v>
      </c>
      <c r="G595" s="44" t="s">
        <v>591</v>
      </c>
      <c r="H595" t="str">
        <f t="shared" si="31"/>
        <v>Jasfer Industry Co., Limited</v>
      </c>
      <c r="I595" s="112">
        <f t="shared" si="32"/>
        <v>45796</v>
      </c>
      <c r="J595" s="128">
        <f t="shared" si="33"/>
        <v>2103.64</v>
      </c>
    </row>
    <row r="596" spans="1:10" x14ac:dyDescent="0.3">
      <c r="A596" t="s">
        <v>422</v>
      </c>
      <c r="B596" s="4" t="s">
        <v>441</v>
      </c>
      <c r="C596" s="7">
        <v>45390</v>
      </c>
      <c r="D596" s="8">
        <v>200</v>
      </c>
      <c r="E596" s="8"/>
      <c r="F596" s="122" t="s">
        <v>4110</v>
      </c>
      <c r="G596" s="44" t="s">
        <v>592</v>
      </c>
      <c r="H596" t="str">
        <f t="shared" si="31"/>
        <v>Jasfer Industry Co., Limited</v>
      </c>
      <c r="I596" s="112">
        <f t="shared" si="32"/>
        <v>45796</v>
      </c>
      <c r="J596" s="128">
        <f t="shared" si="33"/>
        <v>2715.09</v>
      </c>
    </row>
    <row r="597" spans="1:10" x14ac:dyDescent="0.3">
      <c r="A597" t="s">
        <v>422</v>
      </c>
      <c r="B597" s="4" t="s">
        <v>442</v>
      </c>
      <c r="C597" s="7">
        <v>45392</v>
      </c>
      <c r="D597" s="8">
        <v>38.950000000000003</v>
      </c>
      <c r="E597" s="8"/>
      <c r="F597" s="122" t="s">
        <v>4110</v>
      </c>
      <c r="G597" s="44" t="s">
        <v>593</v>
      </c>
      <c r="H597" t="str">
        <f t="shared" si="31"/>
        <v>Jasfer Industry Co., Limited</v>
      </c>
      <c r="I597" s="112">
        <f t="shared" si="32"/>
        <v>45796</v>
      </c>
      <c r="J597" s="128">
        <f t="shared" si="33"/>
        <v>2016.44</v>
      </c>
    </row>
    <row r="598" spans="1:10" x14ac:dyDescent="0.3">
      <c r="A598" t="s">
        <v>422</v>
      </c>
      <c r="B598" s="4" t="s">
        <v>443</v>
      </c>
      <c r="C598" s="7">
        <v>45392</v>
      </c>
      <c r="D598" s="8">
        <v>565.5</v>
      </c>
      <c r="E598" s="8"/>
      <c r="F598" s="122" t="s">
        <v>4110</v>
      </c>
      <c r="G598" s="44" t="s">
        <v>594</v>
      </c>
      <c r="H598" t="str">
        <f t="shared" si="31"/>
        <v>Jasfer Industry Co., Limited</v>
      </c>
      <c r="I598" s="112">
        <f t="shared" si="32"/>
        <v>45796</v>
      </c>
      <c r="J598" s="128">
        <f t="shared" si="33"/>
        <v>922.62</v>
      </c>
    </row>
    <row r="599" spans="1:10" x14ac:dyDescent="0.3">
      <c r="A599" t="s">
        <v>422</v>
      </c>
      <c r="B599" s="4" t="s">
        <v>444</v>
      </c>
      <c r="C599" s="7">
        <v>45399</v>
      </c>
      <c r="D599" s="8">
        <v>1364.53</v>
      </c>
      <c r="E599" s="8"/>
      <c r="F599" s="122" t="s">
        <v>4110</v>
      </c>
      <c r="G599" s="44" t="s">
        <v>595</v>
      </c>
      <c r="H599" t="str">
        <f t="shared" si="31"/>
        <v>Jasfer Industry Co., Limited</v>
      </c>
      <c r="I599" s="112">
        <f t="shared" si="32"/>
        <v>45796</v>
      </c>
      <c r="J599" s="128">
        <f t="shared" si="33"/>
        <v>4619.84</v>
      </c>
    </row>
    <row r="600" spans="1:10" x14ac:dyDescent="0.3">
      <c r="A600" t="s">
        <v>422</v>
      </c>
      <c r="B600" s="4" t="s">
        <v>437</v>
      </c>
      <c r="C600" s="7">
        <v>45401</v>
      </c>
      <c r="D600" s="8">
        <v>394.9</v>
      </c>
      <c r="E600" s="8"/>
      <c r="F600" s="122" t="s">
        <v>4110</v>
      </c>
      <c r="G600" s="44" t="s">
        <v>596</v>
      </c>
      <c r="H600" t="str">
        <f t="shared" si="31"/>
        <v>Jasfer Industry Co., Limited</v>
      </c>
      <c r="I600" s="112">
        <f t="shared" si="32"/>
        <v>45796</v>
      </c>
      <c r="J600" s="128">
        <f t="shared" si="33"/>
        <v>26701.32</v>
      </c>
    </row>
    <row r="601" spans="1:10" x14ac:dyDescent="0.3">
      <c r="A601" t="s">
        <v>422</v>
      </c>
      <c r="B601" s="4" t="s">
        <v>445</v>
      </c>
      <c r="C601" s="7">
        <v>45401</v>
      </c>
      <c r="D601" s="8">
        <v>6330.48</v>
      </c>
      <c r="E601" s="8"/>
      <c r="F601" s="122" t="s">
        <v>4110</v>
      </c>
      <c r="G601" s="44" t="s">
        <v>597</v>
      </c>
      <c r="H601" t="str">
        <f t="shared" si="31"/>
        <v>Jasfer Industry Co., Limited</v>
      </c>
      <c r="I601" s="112">
        <f t="shared" si="32"/>
        <v>45796</v>
      </c>
      <c r="J601" s="128">
        <f t="shared" si="33"/>
        <v>6828.39</v>
      </c>
    </row>
    <row r="602" spans="1:10" x14ac:dyDescent="0.3">
      <c r="A602" t="s">
        <v>422</v>
      </c>
      <c r="B602" s="4" t="s">
        <v>446</v>
      </c>
      <c r="C602" s="7">
        <v>45411</v>
      </c>
      <c r="D602" s="8">
        <v>-157.16999999999999</v>
      </c>
      <c r="E602" s="8"/>
      <c r="F602" s="122" t="s">
        <v>4110</v>
      </c>
      <c r="G602" s="44" t="s">
        <v>598</v>
      </c>
      <c r="H602" t="str">
        <f t="shared" si="31"/>
        <v>Jasfer Industry Co., Limited</v>
      </c>
      <c r="I602" s="112">
        <f t="shared" si="32"/>
        <v>45796</v>
      </c>
      <c r="J602" s="128">
        <f t="shared" si="33"/>
        <v>1118.5999999999999</v>
      </c>
    </row>
    <row r="603" spans="1:10" x14ac:dyDescent="0.3">
      <c r="A603" t="s">
        <v>422</v>
      </c>
      <c r="B603" s="4" t="s">
        <v>447</v>
      </c>
      <c r="C603" s="7">
        <v>45418</v>
      </c>
      <c r="D603" s="8">
        <v>1217.5999999999999</v>
      </c>
      <c r="E603" s="8"/>
      <c r="F603" s="122" t="s">
        <v>4110</v>
      </c>
      <c r="G603" s="44" t="s">
        <v>599</v>
      </c>
      <c r="H603" t="str">
        <f t="shared" si="31"/>
        <v>Jasfer Industry Co., Limited</v>
      </c>
      <c r="I603" s="112">
        <f t="shared" si="32"/>
        <v>45796</v>
      </c>
      <c r="J603" s="128">
        <f t="shared" si="33"/>
        <v>6227.16</v>
      </c>
    </row>
    <row r="604" spans="1:10" x14ac:dyDescent="0.3">
      <c r="A604" t="s">
        <v>422</v>
      </c>
      <c r="B604" s="4" t="s">
        <v>448</v>
      </c>
      <c r="C604" s="7">
        <v>45418</v>
      </c>
      <c r="D604" s="8">
        <v>22837.5</v>
      </c>
      <c r="E604" s="8"/>
      <c r="F604" s="122" t="s">
        <v>4110</v>
      </c>
      <c r="G604" s="44" t="s">
        <v>600</v>
      </c>
      <c r="H604" t="str">
        <f t="shared" si="31"/>
        <v>Jasfer Industry Co., Limited</v>
      </c>
      <c r="I604" s="112">
        <f t="shared" si="32"/>
        <v>45796</v>
      </c>
      <c r="J604" s="128">
        <f t="shared" si="33"/>
        <v>3950.91</v>
      </c>
    </row>
    <row r="605" spans="1:10" x14ac:dyDescent="0.3">
      <c r="A605" t="s">
        <v>422</v>
      </c>
      <c r="B605" s="4" t="s">
        <v>449</v>
      </c>
      <c r="C605" s="7">
        <v>45418</v>
      </c>
      <c r="D605" s="8">
        <v>5887</v>
      </c>
      <c r="E605" s="8"/>
      <c r="F605" s="122" t="s">
        <v>4110</v>
      </c>
      <c r="G605" s="44" t="s">
        <v>601</v>
      </c>
      <c r="H605" t="str">
        <f t="shared" si="31"/>
        <v>Jasfer Industry Co., Limited</v>
      </c>
      <c r="I605" s="112">
        <f t="shared" si="32"/>
        <v>45796</v>
      </c>
      <c r="J605" s="128">
        <f t="shared" si="33"/>
        <v>187.75</v>
      </c>
    </row>
    <row r="606" spans="1:10" x14ac:dyDescent="0.3">
      <c r="A606" t="s">
        <v>422</v>
      </c>
      <c r="B606" s="4" t="s">
        <v>450</v>
      </c>
      <c r="C606" s="7">
        <v>45418</v>
      </c>
      <c r="D606" s="8">
        <v>1218</v>
      </c>
      <c r="E606" s="8"/>
      <c r="F606" s="122" t="s">
        <v>4110</v>
      </c>
      <c r="G606" s="44" t="s">
        <v>602</v>
      </c>
      <c r="H606" t="str">
        <f t="shared" si="31"/>
        <v>Jasfer Industry Co., Limited</v>
      </c>
      <c r="I606" s="112">
        <f t="shared" si="32"/>
        <v>45796</v>
      </c>
      <c r="J606" s="128">
        <f t="shared" si="33"/>
        <v>4021.34</v>
      </c>
    </row>
    <row r="607" spans="1:10" x14ac:dyDescent="0.3">
      <c r="A607" t="s">
        <v>422</v>
      </c>
      <c r="B607" s="4" t="s">
        <v>451</v>
      </c>
      <c r="C607" s="7">
        <v>45420</v>
      </c>
      <c r="D607" s="8">
        <v>13398</v>
      </c>
      <c r="E607" s="8"/>
      <c r="F607" s="122" t="s">
        <v>4110</v>
      </c>
      <c r="G607" s="44" t="s">
        <v>603</v>
      </c>
      <c r="H607" t="str">
        <f t="shared" si="31"/>
        <v>Jasfer Industry Co., Limited</v>
      </c>
      <c r="I607" s="112">
        <f t="shared" si="32"/>
        <v>45796</v>
      </c>
      <c r="J607" s="128">
        <f t="shared" si="33"/>
        <v>6176.73</v>
      </c>
    </row>
    <row r="608" spans="1:10" x14ac:dyDescent="0.3">
      <c r="A608" t="s">
        <v>422</v>
      </c>
      <c r="B608" s="4" t="s">
        <v>452</v>
      </c>
      <c r="C608" s="7">
        <v>45425</v>
      </c>
      <c r="D608" s="8">
        <v>222.31</v>
      </c>
      <c r="E608" s="8"/>
      <c r="F608" s="122" t="s">
        <v>4110</v>
      </c>
      <c r="G608" s="44" t="s">
        <v>604</v>
      </c>
      <c r="H608" t="str">
        <f t="shared" si="31"/>
        <v>Jasfer Industry Co., Limited</v>
      </c>
      <c r="I608" s="112">
        <f t="shared" si="32"/>
        <v>45796</v>
      </c>
      <c r="J608" s="128">
        <f t="shared" si="33"/>
        <v>793.09</v>
      </c>
    </row>
    <row r="609" spans="1:10" x14ac:dyDescent="0.3">
      <c r="A609" t="s">
        <v>422</v>
      </c>
      <c r="B609" s="4" t="s">
        <v>87</v>
      </c>
      <c r="C609" s="7">
        <v>45441</v>
      </c>
      <c r="D609" s="8">
        <v>-8690.33</v>
      </c>
      <c r="E609" s="8"/>
      <c r="F609" s="122" t="s">
        <v>4110</v>
      </c>
      <c r="G609" s="44" t="s">
        <v>605</v>
      </c>
      <c r="H609" t="str">
        <f t="shared" si="31"/>
        <v>Jasfer Industry Co., Limited</v>
      </c>
      <c r="I609" s="112">
        <f t="shared" si="32"/>
        <v>45796</v>
      </c>
      <c r="J609" s="128">
        <f t="shared" si="33"/>
        <v>2202</v>
      </c>
    </row>
    <row r="610" spans="1:10" x14ac:dyDescent="0.3">
      <c r="A610" t="s">
        <v>422</v>
      </c>
      <c r="B610" s="4" t="s">
        <v>453</v>
      </c>
      <c r="C610" s="7">
        <v>45442</v>
      </c>
      <c r="D610" s="8">
        <v>233</v>
      </c>
      <c r="E610" s="8"/>
      <c r="F610" s="122" t="s">
        <v>4110</v>
      </c>
      <c r="G610" s="44" t="s">
        <v>606</v>
      </c>
      <c r="H610" t="str">
        <f t="shared" si="31"/>
        <v>Jasfer Industry Co., Limited</v>
      </c>
      <c r="I610" s="112">
        <f t="shared" si="32"/>
        <v>45796</v>
      </c>
      <c r="J610" s="128">
        <f t="shared" si="33"/>
        <v>1590.55</v>
      </c>
    </row>
    <row r="611" spans="1:10" x14ac:dyDescent="0.3">
      <c r="A611" t="s">
        <v>422</v>
      </c>
      <c r="B611" s="4" t="s">
        <v>454</v>
      </c>
      <c r="C611" s="7">
        <v>45450</v>
      </c>
      <c r="D611" s="8">
        <v>2252.38</v>
      </c>
      <c r="E611" s="8"/>
      <c r="F611" s="122" t="s">
        <v>4110</v>
      </c>
      <c r="G611" s="44" t="s">
        <v>607</v>
      </c>
      <c r="H611" t="str">
        <f t="shared" si="31"/>
        <v>Jasfer Industry Co., Limited</v>
      </c>
      <c r="I611" s="112">
        <f t="shared" si="32"/>
        <v>45797</v>
      </c>
      <c r="J611" s="128">
        <f t="shared" si="33"/>
        <v>2297.41</v>
      </c>
    </row>
    <row r="612" spans="1:10" x14ac:dyDescent="0.3">
      <c r="A612" t="s">
        <v>422</v>
      </c>
      <c r="B612" s="4" t="s">
        <v>455</v>
      </c>
      <c r="C612" s="7">
        <v>45450</v>
      </c>
      <c r="D612" s="8">
        <v>1936.44</v>
      </c>
      <c r="E612" s="8"/>
      <c r="F612" s="122" t="s">
        <v>4110</v>
      </c>
      <c r="G612" s="44" t="s">
        <v>608</v>
      </c>
      <c r="H612" t="str">
        <f t="shared" si="31"/>
        <v>Jasfer Industry Co., Limited</v>
      </c>
      <c r="I612" s="112">
        <f t="shared" si="32"/>
        <v>45798</v>
      </c>
      <c r="J612" s="128">
        <f t="shared" si="33"/>
        <v>765.68000000000006</v>
      </c>
    </row>
    <row r="613" spans="1:10" x14ac:dyDescent="0.3">
      <c r="A613" t="s">
        <v>422</v>
      </c>
      <c r="B613" s="4" t="s">
        <v>456</v>
      </c>
      <c r="C613" s="7">
        <v>45461</v>
      </c>
      <c r="D613" s="8">
        <v>-12170.74</v>
      </c>
      <c r="E613" s="8"/>
      <c r="F613" s="122" t="s">
        <v>4110</v>
      </c>
      <c r="G613" s="44" t="s">
        <v>609</v>
      </c>
      <c r="H613" t="str">
        <f t="shared" si="31"/>
        <v>Jasfer Industry Co., Limited</v>
      </c>
      <c r="I613" s="112">
        <f t="shared" si="32"/>
        <v>45799</v>
      </c>
      <c r="J613" s="128">
        <f t="shared" si="33"/>
        <v>5482.2</v>
      </c>
    </row>
    <row r="614" spans="1:10" x14ac:dyDescent="0.3">
      <c r="A614" t="s">
        <v>422</v>
      </c>
      <c r="B614" s="4" t="s">
        <v>456</v>
      </c>
      <c r="C614" s="7">
        <v>45461</v>
      </c>
      <c r="D614" s="8">
        <v>-317.56</v>
      </c>
      <c r="E614" s="8"/>
      <c r="F614" s="122" t="s">
        <v>4110</v>
      </c>
      <c r="G614" s="44" t="s">
        <v>610</v>
      </c>
      <c r="H614" t="str">
        <f t="shared" si="31"/>
        <v>Jasfer Industry Co., Limited</v>
      </c>
      <c r="I614" s="112">
        <f t="shared" si="32"/>
        <v>45799</v>
      </c>
      <c r="J614" s="128">
        <f t="shared" si="33"/>
        <v>-600000</v>
      </c>
    </row>
    <row r="615" spans="1:10" x14ac:dyDescent="0.3">
      <c r="A615" t="s">
        <v>422</v>
      </c>
      <c r="B615" s="4" t="s">
        <v>456</v>
      </c>
      <c r="C615" s="7">
        <v>45461</v>
      </c>
      <c r="D615" s="8">
        <v>-211.45</v>
      </c>
      <c r="E615" s="8"/>
      <c r="F615" s="122" t="s">
        <v>4110</v>
      </c>
      <c r="G615" s="44" t="s">
        <v>611</v>
      </c>
      <c r="H615" t="str">
        <f t="shared" si="31"/>
        <v>Jasfer Industry Co., Limited</v>
      </c>
      <c r="I615" s="112">
        <f t="shared" si="32"/>
        <v>45801</v>
      </c>
      <c r="J615" s="128">
        <f t="shared" si="33"/>
        <v>469.2</v>
      </c>
    </row>
    <row r="616" spans="1:10" x14ac:dyDescent="0.3">
      <c r="A616" t="s">
        <v>422</v>
      </c>
      <c r="B616" s="4" t="s">
        <v>456</v>
      </c>
      <c r="C616" s="7">
        <v>45461</v>
      </c>
      <c r="D616" s="8">
        <v>-181.59</v>
      </c>
      <c r="E616" s="8"/>
      <c r="F616" s="122" t="s">
        <v>4110</v>
      </c>
      <c r="G616" s="44" t="s">
        <v>612</v>
      </c>
      <c r="H616" t="str">
        <f t="shared" si="31"/>
        <v>Jasfer Industry Co., Limited</v>
      </c>
      <c r="I616" s="112">
        <f t="shared" si="32"/>
        <v>45801</v>
      </c>
      <c r="J616" s="128">
        <f t="shared" si="33"/>
        <v>620.58000000000004</v>
      </c>
    </row>
    <row r="617" spans="1:10" x14ac:dyDescent="0.3">
      <c r="A617" t="s">
        <v>422</v>
      </c>
      <c r="B617" s="4" t="s">
        <v>456</v>
      </c>
      <c r="C617" s="7">
        <v>45461</v>
      </c>
      <c r="D617" s="8">
        <v>-159.59</v>
      </c>
      <c r="E617" s="8"/>
      <c r="F617" s="122" t="s">
        <v>4110</v>
      </c>
      <c r="G617" s="44" t="s">
        <v>613</v>
      </c>
      <c r="H617" t="str">
        <f t="shared" si="31"/>
        <v>Jasfer Industry Co., Limited</v>
      </c>
      <c r="I617" s="112">
        <f t="shared" si="32"/>
        <v>45806</v>
      </c>
      <c r="J617" s="128">
        <f t="shared" si="33"/>
        <v>18646.899999999998</v>
      </c>
    </row>
    <row r="618" spans="1:10" x14ac:dyDescent="0.3">
      <c r="A618" t="s">
        <v>422</v>
      </c>
      <c r="B618" s="4" t="s">
        <v>456</v>
      </c>
      <c r="C618" s="7">
        <v>45461</v>
      </c>
      <c r="D618" s="8">
        <v>-108.4</v>
      </c>
      <c r="E618" s="8"/>
      <c r="F618" s="122" t="s">
        <v>4110</v>
      </c>
      <c r="G618" s="44" t="s">
        <v>614</v>
      </c>
      <c r="H618" t="str">
        <f t="shared" si="31"/>
        <v>Jasfer Industry Co., Limited</v>
      </c>
      <c r="I618" s="112">
        <f t="shared" si="32"/>
        <v>45806</v>
      </c>
      <c r="J618" s="128">
        <f t="shared" si="33"/>
        <v>836.8</v>
      </c>
    </row>
    <row r="619" spans="1:10" x14ac:dyDescent="0.3">
      <c r="A619" t="s">
        <v>422</v>
      </c>
      <c r="B619" s="4" t="s">
        <v>457</v>
      </c>
      <c r="C619" s="7">
        <v>45462</v>
      </c>
      <c r="D619" s="8">
        <v>973.74</v>
      </c>
      <c r="E619" s="8"/>
      <c r="F619" s="122" t="s">
        <v>4110</v>
      </c>
      <c r="G619" s="44" t="s">
        <v>615</v>
      </c>
      <c r="H619" t="str">
        <f t="shared" si="31"/>
        <v>Jasfer Industry Co., Limited</v>
      </c>
      <c r="I619" s="112">
        <f t="shared" si="32"/>
        <v>45806</v>
      </c>
      <c r="J619" s="128">
        <f t="shared" si="33"/>
        <v>2966.73</v>
      </c>
    </row>
    <row r="620" spans="1:10" x14ac:dyDescent="0.3">
      <c r="A620" t="s">
        <v>422</v>
      </c>
      <c r="B620" s="4" t="s">
        <v>458</v>
      </c>
      <c r="C620" s="7">
        <v>45469</v>
      </c>
      <c r="D620" s="8">
        <v>-3160</v>
      </c>
      <c r="E620" s="8"/>
      <c r="F620" s="122" t="s">
        <v>4110</v>
      </c>
      <c r="G620" s="44" t="s">
        <v>616</v>
      </c>
      <c r="H620" t="str">
        <f t="shared" si="31"/>
        <v>Jasfer Industry Co., Limited</v>
      </c>
      <c r="I620" s="112">
        <f t="shared" si="32"/>
        <v>45806</v>
      </c>
      <c r="J620" s="128">
        <f t="shared" si="33"/>
        <v>41.25</v>
      </c>
    </row>
    <row r="621" spans="1:10" x14ac:dyDescent="0.3">
      <c r="A621" t="s">
        <v>422</v>
      </c>
      <c r="B621" s="13" t="s">
        <v>459</v>
      </c>
      <c r="C621" s="7">
        <v>45473</v>
      </c>
      <c r="D621" s="8">
        <v>-799.2</v>
      </c>
      <c r="E621" s="8"/>
      <c r="F621" s="122" t="s">
        <v>4110</v>
      </c>
      <c r="G621" s="44" t="s">
        <v>617</v>
      </c>
      <c r="H621" t="str">
        <f t="shared" si="31"/>
        <v>Jasfer Industry Co., Limited</v>
      </c>
      <c r="I621" s="112">
        <f t="shared" si="32"/>
        <v>45806</v>
      </c>
      <c r="J621" s="128">
        <f t="shared" si="33"/>
        <v>1134.46</v>
      </c>
    </row>
    <row r="622" spans="1:10" x14ac:dyDescent="0.3">
      <c r="A622" t="s">
        <v>422</v>
      </c>
      <c r="B622" s="13" t="s">
        <v>460</v>
      </c>
      <c r="C622" s="7">
        <v>45474</v>
      </c>
      <c r="D622" s="8">
        <v>10590.91</v>
      </c>
      <c r="E622" s="8"/>
      <c r="F622" s="122" t="s">
        <v>4110</v>
      </c>
      <c r="G622" s="44" t="s">
        <v>618</v>
      </c>
      <c r="H622" t="str">
        <f t="shared" si="31"/>
        <v>Jasfer Industry Co., Limited</v>
      </c>
      <c r="I622" s="112">
        <f t="shared" si="32"/>
        <v>45806</v>
      </c>
      <c r="J622" s="128">
        <f t="shared" si="33"/>
        <v>6390.15</v>
      </c>
    </row>
    <row r="623" spans="1:10" x14ac:dyDescent="0.3">
      <c r="A623" t="s">
        <v>422</v>
      </c>
      <c r="B623" s="9" t="s">
        <v>461</v>
      </c>
      <c r="C623" s="7">
        <v>45475</v>
      </c>
      <c r="D623" s="8">
        <v>-13009.33</v>
      </c>
      <c r="E623" s="8"/>
      <c r="F623" s="122" t="s">
        <v>4110</v>
      </c>
      <c r="G623" s="44" t="s">
        <v>619</v>
      </c>
      <c r="H623" t="str">
        <f t="shared" si="31"/>
        <v>Jasfer Industry Co., Limited</v>
      </c>
      <c r="I623" s="112">
        <f t="shared" si="32"/>
        <v>45806</v>
      </c>
      <c r="J623" s="128">
        <f t="shared" si="33"/>
        <v>16364.07</v>
      </c>
    </row>
    <row r="624" spans="1:10" x14ac:dyDescent="0.3">
      <c r="A624" t="s">
        <v>422</v>
      </c>
      <c r="B624" s="4" t="s">
        <v>462</v>
      </c>
      <c r="C624" s="7">
        <v>45475</v>
      </c>
      <c r="D624" s="8">
        <v>1200.03</v>
      </c>
      <c r="E624" s="8"/>
      <c r="F624" s="122" t="s">
        <v>4110</v>
      </c>
      <c r="G624" s="44" t="s">
        <v>620</v>
      </c>
      <c r="H624" t="str">
        <f t="shared" si="31"/>
        <v>Jasfer Industry Co., Limited</v>
      </c>
      <c r="I624" s="112">
        <f t="shared" si="32"/>
        <v>45806</v>
      </c>
      <c r="J624" s="128">
        <f t="shared" si="33"/>
        <v>814.76</v>
      </c>
    </row>
    <row r="625" spans="1:10" x14ac:dyDescent="0.3">
      <c r="A625" t="s">
        <v>422</v>
      </c>
      <c r="B625" s="13" t="s">
        <v>438</v>
      </c>
      <c r="C625" s="7">
        <v>45490</v>
      </c>
      <c r="D625" s="8">
        <v>-687.01</v>
      </c>
      <c r="E625" s="8"/>
      <c r="F625" s="122" t="s">
        <v>4110</v>
      </c>
      <c r="G625" s="44" t="s">
        <v>621</v>
      </c>
      <c r="H625" t="str">
        <f t="shared" si="31"/>
        <v>Jasfer Industry Co., Limited</v>
      </c>
      <c r="I625" s="112">
        <f t="shared" si="32"/>
        <v>45806</v>
      </c>
      <c r="J625" s="128">
        <f t="shared" si="33"/>
        <v>2516.59</v>
      </c>
    </row>
    <row r="626" spans="1:10" x14ac:dyDescent="0.3">
      <c r="A626" t="s">
        <v>422</v>
      </c>
      <c r="B626" s="4" t="s">
        <v>463</v>
      </c>
      <c r="C626" s="7">
        <v>45503</v>
      </c>
      <c r="D626" s="8">
        <v>748.17</v>
      </c>
      <c r="E626" s="8"/>
      <c r="F626" s="122" t="s">
        <v>4110</v>
      </c>
      <c r="G626" s="44" t="s">
        <v>622</v>
      </c>
      <c r="H626" t="str">
        <f t="shared" si="31"/>
        <v>Jasfer Industry Co., Limited</v>
      </c>
      <c r="I626" s="112">
        <f t="shared" si="32"/>
        <v>45806</v>
      </c>
      <c r="J626" s="128">
        <f t="shared" si="33"/>
        <v>12489.43</v>
      </c>
    </row>
    <row r="627" spans="1:10" x14ac:dyDescent="0.3">
      <c r="A627" t="s">
        <v>422</v>
      </c>
      <c r="B627">
        <v>20240801</v>
      </c>
      <c r="C627" s="7">
        <v>45505</v>
      </c>
      <c r="D627" s="8">
        <v>704</v>
      </c>
      <c r="E627" s="8"/>
      <c r="F627" s="122" t="s">
        <v>4110</v>
      </c>
      <c r="G627" s="44" t="s">
        <v>623</v>
      </c>
      <c r="H627" t="str">
        <f t="shared" si="31"/>
        <v>Jasfer Industry Co., Limited</v>
      </c>
      <c r="I627" s="112">
        <f t="shared" si="32"/>
        <v>45806</v>
      </c>
      <c r="J627" s="128">
        <f t="shared" si="33"/>
        <v>67336.53</v>
      </c>
    </row>
    <row r="628" spans="1:10" x14ac:dyDescent="0.3">
      <c r="A628" t="s">
        <v>422</v>
      </c>
      <c r="B628" s="4" t="s">
        <v>464</v>
      </c>
      <c r="C628" s="7">
        <v>45505</v>
      </c>
      <c r="D628" s="8">
        <v>4000</v>
      </c>
      <c r="E628" s="8"/>
      <c r="F628" s="122" t="s">
        <v>4110</v>
      </c>
      <c r="G628" s="44" t="s">
        <v>624</v>
      </c>
      <c r="H628" t="str">
        <f t="shared" si="31"/>
        <v>Jasfer Industry Co., Limited</v>
      </c>
      <c r="I628" s="112">
        <f t="shared" si="32"/>
        <v>45806</v>
      </c>
      <c r="J628" s="128">
        <f t="shared" si="33"/>
        <v>9624.4900000000016</v>
      </c>
    </row>
    <row r="629" spans="1:10" x14ac:dyDescent="0.3">
      <c r="A629" t="s">
        <v>422</v>
      </c>
      <c r="B629" s="4" t="s">
        <v>465</v>
      </c>
      <c r="C629" s="7">
        <v>45505</v>
      </c>
      <c r="D629" s="8">
        <v>566.66999999999996</v>
      </c>
      <c r="E629" s="8"/>
      <c r="F629" s="122" t="s">
        <v>4110</v>
      </c>
      <c r="G629" s="44" t="s">
        <v>625</v>
      </c>
      <c r="H629" t="str">
        <f t="shared" si="31"/>
        <v>Jasfer Industry Co., Limited</v>
      </c>
      <c r="I629" s="112">
        <f t="shared" si="32"/>
        <v>45806</v>
      </c>
      <c r="J629" s="128">
        <f t="shared" si="33"/>
        <v>56645.36</v>
      </c>
    </row>
    <row r="630" spans="1:10" x14ac:dyDescent="0.3">
      <c r="A630" t="s">
        <v>422</v>
      </c>
      <c r="B630" s="4" t="s">
        <v>466</v>
      </c>
      <c r="C630" s="7">
        <v>45505</v>
      </c>
      <c r="D630" s="8">
        <v>2600</v>
      </c>
      <c r="E630" s="8"/>
      <c r="F630" s="122" t="s">
        <v>4110</v>
      </c>
      <c r="G630" s="44" t="s">
        <v>626</v>
      </c>
      <c r="H630" t="str">
        <f t="shared" si="31"/>
        <v>Jasfer Industry Co., Limited</v>
      </c>
      <c r="I630" s="112">
        <f t="shared" si="32"/>
        <v>45806</v>
      </c>
      <c r="J630" s="128">
        <f t="shared" si="33"/>
        <v>540.48</v>
      </c>
    </row>
    <row r="631" spans="1:10" x14ac:dyDescent="0.3">
      <c r="A631" t="s">
        <v>422</v>
      </c>
      <c r="B631" s="4" t="s">
        <v>462</v>
      </c>
      <c r="C631" s="7">
        <v>45505</v>
      </c>
      <c r="D631" s="8">
        <v>90</v>
      </c>
      <c r="E631" s="8"/>
      <c r="F631" s="122" t="s">
        <v>4110</v>
      </c>
      <c r="G631" s="44" t="s">
        <v>627</v>
      </c>
      <c r="H631" t="str">
        <f t="shared" si="31"/>
        <v>Jasfer Industry Co., Limited</v>
      </c>
      <c r="I631" s="112">
        <f t="shared" si="32"/>
        <v>45806</v>
      </c>
      <c r="J631" s="128">
        <f t="shared" si="33"/>
        <v>352.83</v>
      </c>
    </row>
    <row r="632" spans="1:10" x14ac:dyDescent="0.3">
      <c r="A632" t="s">
        <v>422</v>
      </c>
      <c r="B632" s="4" t="s">
        <v>467</v>
      </c>
      <c r="C632" s="7">
        <v>45505</v>
      </c>
      <c r="D632" s="8">
        <v>1642.09</v>
      </c>
      <c r="E632" s="8"/>
      <c r="F632" s="122" t="s">
        <v>4110</v>
      </c>
      <c r="G632" s="44" t="s">
        <v>628</v>
      </c>
      <c r="H632" t="str">
        <f t="shared" si="31"/>
        <v>Jasfer Industry Co., Limited</v>
      </c>
      <c r="I632" s="112">
        <f t="shared" si="32"/>
        <v>45806</v>
      </c>
      <c r="J632" s="128">
        <f t="shared" si="33"/>
        <v>5751.69</v>
      </c>
    </row>
    <row r="633" spans="1:10" x14ac:dyDescent="0.3">
      <c r="A633" t="s">
        <v>422</v>
      </c>
      <c r="B633" s="4" t="s">
        <v>468</v>
      </c>
      <c r="C633" s="7">
        <v>45508</v>
      </c>
      <c r="D633" s="8">
        <v>76480.72</v>
      </c>
      <c r="E633" s="8"/>
      <c r="F633" s="122" t="s">
        <v>4110</v>
      </c>
      <c r="G633" s="44" t="s">
        <v>629</v>
      </c>
      <c r="H633" t="str">
        <f t="shared" si="31"/>
        <v>Jasfer Industry Co., Limited</v>
      </c>
      <c r="I633" s="112">
        <f t="shared" si="32"/>
        <v>45806</v>
      </c>
      <c r="J633" s="128">
        <f t="shared" si="33"/>
        <v>43.49</v>
      </c>
    </row>
    <row r="634" spans="1:10" x14ac:dyDescent="0.3">
      <c r="A634" t="s">
        <v>422</v>
      </c>
      <c r="B634" s="4" t="s">
        <v>462</v>
      </c>
      <c r="C634" s="7">
        <v>45510</v>
      </c>
      <c r="D634" s="8">
        <v>14121.04</v>
      </c>
      <c r="E634" s="8"/>
      <c r="F634" s="122" t="s">
        <v>4110</v>
      </c>
      <c r="G634" s="44" t="s">
        <v>630</v>
      </c>
      <c r="H634" t="str">
        <f t="shared" si="31"/>
        <v>Jasfer Industry Co., Limited</v>
      </c>
      <c r="I634" s="112">
        <f t="shared" si="32"/>
        <v>45806</v>
      </c>
      <c r="J634" s="128">
        <f t="shared" si="33"/>
        <v>2886.62</v>
      </c>
    </row>
    <row r="635" spans="1:10" x14ac:dyDescent="0.3">
      <c r="A635" t="s">
        <v>422</v>
      </c>
      <c r="B635" s="4" t="s">
        <v>469</v>
      </c>
      <c r="C635" s="7">
        <v>45512</v>
      </c>
      <c r="D635" s="8">
        <v>590</v>
      </c>
      <c r="E635" s="8"/>
      <c r="F635" s="122" t="s">
        <v>4110</v>
      </c>
      <c r="G635" s="44" t="s">
        <v>631</v>
      </c>
      <c r="H635" t="str">
        <f t="shared" si="31"/>
        <v>Jasfer Industry Co., Limited</v>
      </c>
      <c r="I635" s="112">
        <f t="shared" si="32"/>
        <v>45807</v>
      </c>
      <c r="J635" s="128">
        <f t="shared" si="33"/>
        <v>9436</v>
      </c>
    </row>
    <row r="636" spans="1:10" x14ac:dyDescent="0.3">
      <c r="A636" t="s">
        <v>422</v>
      </c>
      <c r="B636" s="4" t="s">
        <v>470</v>
      </c>
      <c r="C636" s="7">
        <v>45512</v>
      </c>
      <c r="D636" s="8">
        <v>3776.83</v>
      </c>
      <c r="E636" s="8"/>
      <c r="F636" s="122" t="s">
        <v>4110</v>
      </c>
      <c r="G636" s="44" t="s">
        <v>632</v>
      </c>
      <c r="H636" t="str">
        <f t="shared" si="31"/>
        <v>Jasfer Industry Co., Limited</v>
      </c>
      <c r="I636" s="112">
        <f t="shared" si="32"/>
        <v>45807</v>
      </c>
      <c r="J636" s="128">
        <f t="shared" si="33"/>
        <v>68.67</v>
      </c>
    </row>
    <row r="637" spans="1:10" x14ac:dyDescent="0.3">
      <c r="A637" t="s">
        <v>422</v>
      </c>
      <c r="B637" s="4" t="s">
        <v>471</v>
      </c>
      <c r="C637" s="7">
        <v>45512</v>
      </c>
      <c r="D637" s="8">
        <v>2605.83</v>
      </c>
      <c r="E637" s="8"/>
      <c r="F637" s="122" t="s">
        <v>4110</v>
      </c>
      <c r="G637" s="44" t="s">
        <v>633</v>
      </c>
      <c r="H637" t="str">
        <f t="shared" si="31"/>
        <v>Jasfer Industry Co., Limited</v>
      </c>
      <c r="I637" s="112">
        <f t="shared" si="32"/>
        <v>45807</v>
      </c>
      <c r="J637" s="128">
        <f t="shared" si="33"/>
        <v>342.51</v>
      </c>
    </row>
    <row r="638" spans="1:10" x14ac:dyDescent="0.3">
      <c r="A638" t="s">
        <v>422</v>
      </c>
      <c r="B638" s="4" t="s">
        <v>472</v>
      </c>
      <c r="C638" s="7">
        <v>45512</v>
      </c>
      <c r="D638" s="8">
        <v>1975</v>
      </c>
      <c r="E638" s="8"/>
      <c r="F638" s="122" t="s">
        <v>4110</v>
      </c>
      <c r="G638" s="44" t="s">
        <v>634</v>
      </c>
      <c r="H638" t="str">
        <f t="shared" si="31"/>
        <v>Jasfer Industry Co., Limited</v>
      </c>
      <c r="I638" s="112">
        <f t="shared" si="32"/>
        <v>45807</v>
      </c>
      <c r="J638" s="128">
        <f t="shared" si="33"/>
        <v>6123.3099999999995</v>
      </c>
    </row>
    <row r="639" spans="1:10" x14ac:dyDescent="0.3">
      <c r="A639" t="s">
        <v>422</v>
      </c>
      <c r="B639" s="4" t="s">
        <v>462</v>
      </c>
      <c r="C639" s="7">
        <v>45514</v>
      </c>
      <c r="D639" s="8">
        <v>6391.83</v>
      </c>
      <c r="E639" s="8"/>
      <c r="F639" s="122" t="s">
        <v>4110</v>
      </c>
      <c r="G639" s="44" t="s">
        <v>635</v>
      </c>
      <c r="H639" t="str">
        <f t="shared" si="31"/>
        <v>Jasfer Industry Co., Limited</v>
      </c>
      <c r="I639" s="112">
        <f t="shared" si="32"/>
        <v>45807</v>
      </c>
      <c r="J639" s="128">
        <f t="shared" si="33"/>
        <v>5654.82</v>
      </c>
    </row>
    <row r="640" spans="1:10" x14ac:dyDescent="0.3">
      <c r="A640" t="s">
        <v>422</v>
      </c>
      <c r="B640" s="4" t="s">
        <v>304</v>
      </c>
      <c r="C640" s="7">
        <v>45514</v>
      </c>
      <c r="D640" s="8">
        <v>1480</v>
      </c>
      <c r="E640" s="8"/>
      <c r="F640" s="122" t="s">
        <v>4110</v>
      </c>
      <c r="G640" s="44" t="s">
        <v>636</v>
      </c>
      <c r="H640" t="str">
        <f t="shared" si="31"/>
        <v>Jasfer Industry Co., Limited</v>
      </c>
      <c r="I640" s="112">
        <f t="shared" si="32"/>
        <v>45807</v>
      </c>
      <c r="J640" s="128">
        <f t="shared" si="33"/>
        <v>213.51</v>
      </c>
    </row>
    <row r="641" spans="1:10" x14ac:dyDescent="0.3">
      <c r="A641" t="s">
        <v>422</v>
      </c>
      <c r="B641" s="4" t="s">
        <v>473</v>
      </c>
      <c r="C641" s="7">
        <v>45527</v>
      </c>
      <c r="D641" s="8">
        <v>5349.68</v>
      </c>
      <c r="E641" s="8"/>
      <c r="F641" s="122" t="s">
        <v>4110</v>
      </c>
      <c r="G641" s="44" t="s">
        <v>637</v>
      </c>
      <c r="H641" t="str">
        <f t="shared" si="31"/>
        <v>Jasfer Industry Co., Limited</v>
      </c>
      <c r="I641" s="112">
        <f t="shared" si="32"/>
        <v>45807</v>
      </c>
      <c r="J641" s="128">
        <f t="shared" si="33"/>
        <v>1012.7</v>
      </c>
    </row>
    <row r="642" spans="1:10" x14ac:dyDescent="0.3">
      <c r="A642" t="s">
        <v>422</v>
      </c>
      <c r="B642" s="4" t="s">
        <v>474</v>
      </c>
      <c r="C642" s="7">
        <v>45536</v>
      </c>
      <c r="D642" s="8">
        <v>2341.4699999999998</v>
      </c>
      <c r="E642" s="8"/>
      <c r="F642" s="122" t="s">
        <v>4110</v>
      </c>
      <c r="G642" s="44" t="s">
        <v>638</v>
      </c>
      <c r="H642" t="str">
        <f t="shared" si="31"/>
        <v>Jasfer Industry Co., Limited</v>
      </c>
      <c r="I642" s="112">
        <f t="shared" si="32"/>
        <v>45807</v>
      </c>
      <c r="J642" s="128">
        <f t="shared" si="33"/>
        <v>61908.55</v>
      </c>
    </row>
    <row r="643" spans="1:10" x14ac:dyDescent="0.3">
      <c r="A643" t="s">
        <v>422</v>
      </c>
      <c r="B643" s="4" t="s">
        <v>475</v>
      </c>
      <c r="C643" s="7">
        <v>45538</v>
      </c>
      <c r="D643" s="8">
        <v>708</v>
      </c>
      <c r="E643" s="8"/>
      <c r="F643" s="122" t="s">
        <v>4110</v>
      </c>
      <c r="G643" s="44" t="s">
        <v>639</v>
      </c>
      <c r="H643" t="str">
        <f t="shared" si="31"/>
        <v>Jasfer Industry Co., Limited</v>
      </c>
      <c r="I643" s="112">
        <f t="shared" si="32"/>
        <v>45807</v>
      </c>
      <c r="J643" s="128">
        <f t="shared" si="33"/>
        <v>1085</v>
      </c>
    </row>
    <row r="644" spans="1:10" x14ac:dyDescent="0.3">
      <c r="A644" t="s">
        <v>422</v>
      </c>
      <c r="B644" s="4" t="s">
        <v>476</v>
      </c>
      <c r="C644" s="7">
        <v>45550</v>
      </c>
      <c r="D644" s="8">
        <v>2375.12</v>
      </c>
      <c r="E644" s="8"/>
      <c r="F644" s="122" t="s">
        <v>4110</v>
      </c>
      <c r="G644" s="44" t="s">
        <v>640</v>
      </c>
      <c r="H644" t="str">
        <f t="shared" si="31"/>
        <v>Jasfer Industry Co., Limited</v>
      </c>
      <c r="I644" s="112">
        <f t="shared" si="32"/>
        <v>45807</v>
      </c>
      <c r="J644" s="128">
        <f t="shared" si="33"/>
        <v>1125.75</v>
      </c>
    </row>
    <row r="645" spans="1:10" x14ac:dyDescent="0.3">
      <c r="A645" t="s">
        <v>422</v>
      </c>
      <c r="B645" s="4" t="s">
        <v>477</v>
      </c>
      <c r="C645" s="7">
        <v>45554</v>
      </c>
      <c r="D645" s="8">
        <v>485</v>
      </c>
      <c r="E645" s="8"/>
      <c r="F645" s="122" t="s">
        <v>4110</v>
      </c>
      <c r="G645" s="44" t="s">
        <v>641</v>
      </c>
      <c r="H645" t="str">
        <f t="shared" si="31"/>
        <v>Jasfer Industry Co., Limited</v>
      </c>
      <c r="I645" s="112">
        <f t="shared" si="32"/>
        <v>45807</v>
      </c>
      <c r="J645" s="128">
        <f t="shared" si="33"/>
        <v>2522.86</v>
      </c>
    </row>
    <row r="646" spans="1:10" x14ac:dyDescent="0.3">
      <c r="A646" t="s">
        <v>422</v>
      </c>
      <c r="B646" s="4" t="s">
        <v>478</v>
      </c>
      <c r="C646" s="7">
        <v>45554</v>
      </c>
      <c r="D646" s="8">
        <v>2091.25</v>
      </c>
      <c r="E646" s="8"/>
      <c r="F646" s="122" t="s">
        <v>4110</v>
      </c>
      <c r="G646" s="44" t="s">
        <v>642</v>
      </c>
      <c r="H646" t="str">
        <f t="shared" ref="H646:H709" si="34">_xlfn.XLOOKUP(G646,B:B,A:A,,)</f>
        <v>Jasfer Industry Co., Limited</v>
      </c>
      <c r="I646" s="112">
        <f t="shared" ref="I646:I709" si="35">_xlfn.XLOOKUP(G646,B:B,C:C,,)</f>
        <v>45807</v>
      </c>
      <c r="J646" s="128">
        <f t="shared" ref="J646:J709" si="36">SUMIF(B:B,G646,D:D)</f>
        <v>3493.5</v>
      </c>
    </row>
    <row r="647" spans="1:10" x14ac:dyDescent="0.3">
      <c r="A647" t="s">
        <v>422</v>
      </c>
      <c r="B647" s="4" t="s">
        <v>479</v>
      </c>
      <c r="C647" s="7">
        <v>45556</v>
      </c>
      <c r="D647" s="8">
        <v>80</v>
      </c>
      <c r="E647" s="8"/>
      <c r="F647" s="122" t="s">
        <v>4110</v>
      </c>
      <c r="G647" s="44" t="s">
        <v>643</v>
      </c>
      <c r="H647" t="str">
        <f t="shared" si="34"/>
        <v>Jasfer Industry Co., Limited</v>
      </c>
      <c r="I647" s="112">
        <f t="shared" si="35"/>
        <v>45807</v>
      </c>
      <c r="J647" s="128">
        <f t="shared" si="36"/>
        <v>7827.2</v>
      </c>
    </row>
    <row r="648" spans="1:10" x14ac:dyDescent="0.3">
      <c r="A648" t="s">
        <v>422</v>
      </c>
      <c r="B648" s="4" t="s">
        <v>480</v>
      </c>
      <c r="C648" s="7">
        <v>45560</v>
      </c>
      <c r="D648" s="8">
        <v>153.41</v>
      </c>
      <c r="E648" s="8"/>
      <c r="F648" s="122" t="s">
        <v>4110</v>
      </c>
      <c r="G648" s="44" t="s">
        <v>644</v>
      </c>
      <c r="H648" t="str">
        <f t="shared" si="34"/>
        <v>Jasfer Industry Co., Limited</v>
      </c>
      <c r="I648" s="112">
        <f t="shared" si="35"/>
        <v>45809</v>
      </c>
      <c r="J648" s="128">
        <f t="shared" si="36"/>
        <v>2245.46</v>
      </c>
    </row>
    <row r="649" spans="1:10" x14ac:dyDescent="0.3">
      <c r="A649" t="s">
        <v>422</v>
      </c>
      <c r="B649" s="4" t="s">
        <v>481</v>
      </c>
      <c r="C649" s="7">
        <v>45563</v>
      </c>
      <c r="D649" s="8">
        <v>6886.2</v>
      </c>
      <c r="E649" s="8"/>
      <c r="F649" s="122" t="s">
        <v>4110</v>
      </c>
      <c r="G649" s="44" t="s">
        <v>645</v>
      </c>
      <c r="H649" t="str">
        <f t="shared" si="34"/>
        <v>Jasfer Industry Co., Limited</v>
      </c>
      <c r="I649" s="112">
        <f t="shared" si="35"/>
        <v>45814</v>
      </c>
      <c r="J649" s="128">
        <f t="shared" si="36"/>
        <v>7564.47</v>
      </c>
    </row>
    <row r="650" spans="1:10" x14ac:dyDescent="0.3">
      <c r="A650" t="s">
        <v>422</v>
      </c>
      <c r="B650" s="4" t="s">
        <v>482</v>
      </c>
      <c r="C650" s="7">
        <v>45563</v>
      </c>
      <c r="D650" s="8">
        <v>10405</v>
      </c>
      <c r="E650" s="8"/>
      <c r="F650" s="122" t="s">
        <v>4110</v>
      </c>
      <c r="G650" s="44" t="s">
        <v>646</v>
      </c>
      <c r="H650" t="str">
        <f t="shared" si="34"/>
        <v>Jasfer Industry Co., Limited</v>
      </c>
      <c r="I650" s="112">
        <f t="shared" si="35"/>
        <v>45816</v>
      </c>
      <c r="J650" s="128">
        <f t="shared" si="36"/>
        <v>34035.94</v>
      </c>
    </row>
    <row r="651" spans="1:10" x14ac:dyDescent="0.3">
      <c r="A651" t="s">
        <v>422</v>
      </c>
      <c r="B651" s="4" t="s">
        <v>483</v>
      </c>
      <c r="C651" s="7">
        <v>45563</v>
      </c>
      <c r="D651" s="8">
        <v>10000</v>
      </c>
      <c r="E651" s="8"/>
      <c r="F651" s="122" t="s">
        <v>4110</v>
      </c>
      <c r="G651" s="44" t="s">
        <v>647</v>
      </c>
      <c r="H651" t="str">
        <f t="shared" si="34"/>
        <v>Jasfer Industry Co., Limited</v>
      </c>
      <c r="I651" s="112">
        <f t="shared" si="35"/>
        <v>45816</v>
      </c>
      <c r="J651" s="128">
        <f t="shared" si="36"/>
        <v>63221.689999999995</v>
      </c>
    </row>
    <row r="652" spans="1:10" x14ac:dyDescent="0.3">
      <c r="A652" t="s">
        <v>422</v>
      </c>
      <c r="B652" s="4" t="s">
        <v>484</v>
      </c>
      <c r="C652" s="7">
        <v>45566</v>
      </c>
      <c r="D652" s="8">
        <v>23680.22</v>
      </c>
      <c r="E652" s="8"/>
      <c r="F652" s="122" t="s">
        <v>4110</v>
      </c>
      <c r="G652" s="44" t="s">
        <v>648</v>
      </c>
      <c r="H652" t="str">
        <f t="shared" si="34"/>
        <v>Jasfer Industry Co., Limited</v>
      </c>
      <c r="I652" s="112">
        <f t="shared" si="35"/>
        <v>45816</v>
      </c>
      <c r="J652" s="128">
        <f t="shared" si="36"/>
        <v>13777.01</v>
      </c>
    </row>
    <row r="653" spans="1:10" x14ac:dyDescent="0.3">
      <c r="A653" t="s">
        <v>422</v>
      </c>
      <c r="B653" s="4" t="s">
        <v>485</v>
      </c>
      <c r="C653" s="7">
        <v>45566</v>
      </c>
      <c r="D653" s="8">
        <v>14299.59</v>
      </c>
      <c r="E653" s="8"/>
      <c r="F653" s="122" t="s">
        <v>4110</v>
      </c>
      <c r="G653" s="44" t="s">
        <v>649</v>
      </c>
      <c r="H653" t="str">
        <f t="shared" si="34"/>
        <v>Jasfer Industry Co., Limited</v>
      </c>
      <c r="I653" s="112">
        <f t="shared" si="35"/>
        <v>45816</v>
      </c>
      <c r="J653" s="128">
        <f t="shared" si="36"/>
        <v>12822.52</v>
      </c>
    </row>
    <row r="654" spans="1:10" x14ac:dyDescent="0.3">
      <c r="A654" t="s">
        <v>422</v>
      </c>
      <c r="B654" s="4" t="s">
        <v>486</v>
      </c>
      <c r="C654" s="7">
        <v>45566</v>
      </c>
      <c r="D654" s="8">
        <v>3798.45</v>
      </c>
      <c r="E654" s="8"/>
      <c r="F654" s="122" t="s">
        <v>4110</v>
      </c>
      <c r="G654" s="44" t="s">
        <v>650</v>
      </c>
      <c r="H654" t="str">
        <f t="shared" si="34"/>
        <v>Jasfer Industry Co., Limited</v>
      </c>
      <c r="I654" s="112">
        <f t="shared" si="35"/>
        <v>45816</v>
      </c>
      <c r="J654" s="128">
        <f t="shared" si="36"/>
        <v>1083.6600000000001</v>
      </c>
    </row>
    <row r="655" spans="1:10" x14ac:dyDescent="0.3">
      <c r="A655" t="s">
        <v>422</v>
      </c>
      <c r="B655" s="4" t="s">
        <v>487</v>
      </c>
      <c r="C655" s="7">
        <v>45566</v>
      </c>
      <c r="D655" s="8">
        <v>18951.66</v>
      </c>
      <c r="E655" s="8"/>
      <c r="F655" s="122" t="s">
        <v>4110</v>
      </c>
      <c r="G655" s="44" t="s">
        <v>651</v>
      </c>
      <c r="H655" t="str">
        <f t="shared" si="34"/>
        <v>Jasfer Industry Co., Limited</v>
      </c>
      <c r="I655" s="112">
        <f t="shared" si="35"/>
        <v>45816</v>
      </c>
      <c r="J655" s="128">
        <f t="shared" si="36"/>
        <v>2468.36</v>
      </c>
    </row>
    <row r="656" spans="1:10" x14ac:dyDescent="0.3">
      <c r="A656" t="s">
        <v>422</v>
      </c>
      <c r="B656" s="4" t="s">
        <v>488</v>
      </c>
      <c r="C656" s="7">
        <v>45566</v>
      </c>
      <c r="D656" s="8">
        <v>2197.9699999999998</v>
      </c>
      <c r="E656" s="8"/>
      <c r="F656" s="122" t="s">
        <v>4110</v>
      </c>
      <c r="G656" s="44" t="s">
        <v>652</v>
      </c>
      <c r="H656" t="str">
        <f t="shared" si="34"/>
        <v>Jasfer Industry Co., Limited</v>
      </c>
      <c r="I656" s="112">
        <f t="shared" si="35"/>
        <v>45817</v>
      </c>
      <c r="J656" s="128">
        <f t="shared" si="36"/>
        <v>0.01</v>
      </c>
    </row>
    <row r="657" spans="1:10" x14ac:dyDescent="0.3">
      <c r="A657" t="s">
        <v>422</v>
      </c>
      <c r="B657" s="4" t="s">
        <v>489</v>
      </c>
      <c r="C657" s="7">
        <v>45566</v>
      </c>
      <c r="D657" s="8">
        <v>12724.34</v>
      </c>
      <c r="E657" s="8"/>
      <c r="F657" s="122" t="s">
        <v>4110</v>
      </c>
      <c r="G657" s="44" t="s">
        <v>653</v>
      </c>
      <c r="H657" t="str">
        <f t="shared" si="34"/>
        <v>Jasfer Industry Co., Limited</v>
      </c>
      <c r="I657" s="112">
        <f t="shared" si="35"/>
        <v>45818</v>
      </c>
      <c r="J657" s="128">
        <f t="shared" si="36"/>
        <v>499.36</v>
      </c>
    </row>
    <row r="658" spans="1:10" x14ac:dyDescent="0.3">
      <c r="A658" t="s">
        <v>422</v>
      </c>
      <c r="B658" s="4" t="s">
        <v>490</v>
      </c>
      <c r="C658" s="7">
        <v>45566</v>
      </c>
      <c r="D658" s="8">
        <v>8069.66</v>
      </c>
      <c r="E658" s="8"/>
      <c r="F658" s="122" t="s">
        <v>4110</v>
      </c>
      <c r="G658" s="44" t="s">
        <v>654</v>
      </c>
      <c r="H658" t="str">
        <f t="shared" si="34"/>
        <v>Jasfer Industry Co., Limited</v>
      </c>
      <c r="I658" s="112">
        <f t="shared" si="35"/>
        <v>45818</v>
      </c>
      <c r="J658" s="128">
        <f t="shared" si="36"/>
        <v>-19228.350000000002</v>
      </c>
    </row>
    <row r="659" spans="1:10" x14ac:dyDescent="0.3">
      <c r="A659" t="s">
        <v>422</v>
      </c>
      <c r="B659" s="4" t="s">
        <v>491</v>
      </c>
      <c r="C659" s="7">
        <v>45566</v>
      </c>
      <c r="D659" s="8">
        <v>750</v>
      </c>
      <c r="E659" s="8"/>
      <c r="F659" s="122" t="s">
        <v>4110</v>
      </c>
      <c r="G659" s="44" t="s">
        <v>655</v>
      </c>
      <c r="H659" t="str">
        <f t="shared" si="34"/>
        <v>Jasfer Industry Co., Limited</v>
      </c>
      <c r="I659" s="112">
        <f t="shared" si="35"/>
        <v>45835</v>
      </c>
      <c r="J659" s="128">
        <f t="shared" si="36"/>
        <v>10816.52</v>
      </c>
    </row>
    <row r="660" spans="1:10" x14ac:dyDescent="0.3">
      <c r="A660" t="s">
        <v>422</v>
      </c>
      <c r="B660" s="4" t="s">
        <v>492</v>
      </c>
      <c r="C660" s="7">
        <v>45567</v>
      </c>
      <c r="D660" s="8">
        <v>305.83</v>
      </c>
      <c r="E660" s="8"/>
      <c r="F660" s="122" t="s">
        <v>4110</v>
      </c>
      <c r="G660" s="44" t="s">
        <v>656</v>
      </c>
      <c r="H660" t="str">
        <f t="shared" si="34"/>
        <v>Jasfer Industry Co., Limited</v>
      </c>
      <c r="I660" s="112">
        <f t="shared" si="35"/>
        <v>45836</v>
      </c>
      <c r="J660" s="128">
        <f t="shared" si="36"/>
        <v>9278.5499999999993</v>
      </c>
    </row>
    <row r="661" spans="1:10" x14ac:dyDescent="0.3">
      <c r="A661" t="s">
        <v>422</v>
      </c>
      <c r="B661">
        <v>777306040905</v>
      </c>
      <c r="C661" s="7">
        <v>45567</v>
      </c>
      <c r="D661" s="8">
        <v>4332.32</v>
      </c>
      <c r="E661" s="8"/>
      <c r="F661" s="122" t="s">
        <v>4110</v>
      </c>
      <c r="G661" s="44" t="s">
        <v>657</v>
      </c>
      <c r="H661" t="str">
        <f t="shared" si="34"/>
        <v>Jasfer Industry Co., Limited</v>
      </c>
      <c r="I661" s="112">
        <f t="shared" si="35"/>
        <v>45836</v>
      </c>
      <c r="J661" s="128">
        <f t="shared" si="36"/>
        <v>6052.22</v>
      </c>
    </row>
    <row r="662" spans="1:10" x14ac:dyDescent="0.3">
      <c r="A662" t="s">
        <v>422</v>
      </c>
      <c r="B662" s="4" t="s">
        <v>493</v>
      </c>
      <c r="C662" s="7">
        <v>45573</v>
      </c>
      <c r="D662" s="8">
        <v>-1024.5</v>
      </c>
      <c r="E662" s="8"/>
      <c r="F662" s="122" t="s">
        <v>4110</v>
      </c>
      <c r="G662" s="44" t="s">
        <v>658</v>
      </c>
      <c r="H662" t="str">
        <f t="shared" si="34"/>
        <v>Jasfer Industry Co., Limited</v>
      </c>
      <c r="I662" s="112">
        <f t="shared" si="35"/>
        <v>45836</v>
      </c>
      <c r="J662" s="128">
        <f t="shared" si="36"/>
        <v>143.03</v>
      </c>
    </row>
    <row r="663" spans="1:10" x14ac:dyDescent="0.3">
      <c r="A663" t="s">
        <v>422</v>
      </c>
      <c r="B663" s="4" t="s">
        <v>493</v>
      </c>
      <c r="C663" s="7">
        <v>45573</v>
      </c>
      <c r="D663" s="8">
        <v>-45.12</v>
      </c>
      <c r="E663" s="8"/>
      <c r="F663" s="122" t="s">
        <v>4110</v>
      </c>
      <c r="G663" s="44" t="s">
        <v>659</v>
      </c>
      <c r="H663" t="str">
        <f t="shared" si="34"/>
        <v>Jasfer Industry Co., Limited</v>
      </c>
      <c r="I663" s="112">
        <f t="shared" si="35"/>
        <v>45836</v>
      </c>
      <c r="J663" s="128">
        <f t="shared" si="36"/>
        <v>22156.83</v>
      </c>
    </row>
    <row r="664" spans="1:10" x14ac:dyDescent="0.3">
      <c r="A664" t="s">
        <v>422</v>
      </c>
      <c r="B664" s="4" t="s">
        <v>427</v>
      </c>
      <c r="C664" s="7">
        <v>45577</v>
      </c>
      <c r="D664" s="8">
        <v>995</v>
      </c>
      <c r="E664" s="8"/>
      <c r="F664" s="122" t="s">
        <v>4110</v>
      </c>
      <c r="G664" s="44" t="s">
        <v>660</v>
      </c>
      <c r="H664" t="str">
        <f t="shared" si="34"/>
        <v>Jasfer Industry Co., Limited</v>
      </c>
      <c r="I664" s="112">
        <f t="shared" si="35"/>
        <v>45836</v>
      </c>
      <c r="J664" s="128">
        <f t="shared" si="36"/>
        <v>717.83</v>
      </c>
    </row>
    <row r="665" spans="1:10" x14ac:dyDescent="0.3">
      <c r="A665" t="s">
        <v>422</v>
      </c>
      <c r="B665" s="4" t="s">
        <v>465</v>
      </c>
      <c r="C665" s="7">
        <v>45577</v>
      </c>
      <c r="D665" s="8">
        <v>1000</v>
      </c>
      <c r="E665" s="8"/>
      <c r="F665" s="122" t="s">
        <v>4110</v>
      </c>
      <c r="G665" s="44" t="s">
        <v>661</v>
      </c>
      <c r="H665" t="str">
        <f t="shared" si="34"/>
        <v>Jasfer Industry Co., Limited</v>
      </c>
      <c r="I665" s="112">
        <f t="shared" si="35"/>
        <v>45836</v>
      </c>
      <c r="J665" s="128">
        <f t="shared" si="36"/>
        <v>4226.09</v>
      </c>
    </row>
    <row r="666" spans="1:10" x14ac:dyDescent="0.3">
      <c r="A666" t="s">
        <v>422</v>
      </c>
      <c r="B666" s="4" t="s">
        <v>494</v>
      </c>
      <c r="C666" s="7">
        <v>45577</v>
      </c>
      <c r="D666" s="8">
        <v>708.66</v>
      </c>
      <c r="E666" s="8"/>
      <c r="F666" s="122" t="s">
        <v>4110</v>
      </c>
      <c r="G666" s="44" t="s">
        <v>662</v>
      </c>
      <c r="H666" t="str">
        <f t="shared" si="34"/>
        <v>Jasfer Industry Co., Limited</v>
      </c>
      <c r="I666" s="112">
        <f t="shared" si="35"/>
        <v>45836</v>
      </c>
      <c r="J666" s="128">
        <f t="shared" si="36"/>
        <v>1168.19</v>
      </c>
    </row>
    <row r="667" spans="1:10" x14ac:dyDescent="0.3">
      <c r="A667" t="s">
        <v>422</v>
      </c>
      <c r="B667" s="4" t="s">
        <v>495</v>
      </c>
      <c r="C667" s="7">
        <v>45577</v>
      </c>
      <c r="D667" s="8">
        <v>2763.18</v>
      </c>
      <c r="E667" s="8"/>
      <c r="F667" s="122" t="s">
        <v>4110</v>
      </c>
      <c r="G667" s="44" t="s">
        <v>663</v>
      </c>
      <c r="H667" t="str">
        <f t="shared" si="34"/>
        <v>Jasfer Industry Co., Limited</v>
      </c>
      <c r="I667" s="112">
        <f t="shared" si="35"/>
        <v>45836</v>
      </c>
      <c r="J667" s="128">
        <f t="shared" si="36"/>
        <v>1340.7</v>
      </c>
    </row>
    <row r="668" spans="1:10" x14ac:dyDescent="0.3">
      <c r="A668" t="s">
        <v>422</v>
      </c>
      <c r="B668" s="4" t="s">
        <v>496</v>
      </c>
      <c r="C668" s="7">
        <v>45577</v>
      </c>
      <c r="D668" s="8">
        <v>3499.13</v>
      </c>
      <c r="E668" s="8"/>
      <c r="F668" s="122" t="s">
        <v>4110</v>
      </c>
      <c r="G668" s="44" t="s">
        <v>664</v>
      </c>
      <c r="H668" t="str">
        <f t="shared" si="34"/>
        <v>Jasfer Industry Co., Limited</v>
      </c>
      <c r="I668" s="112">
        <f t="shared" si="35"/>
        <v>45836</v>
      </c>
      <c r="J668" s="128">
        <f t="shared" si="36"/>
        <v>39.31</v>
      </c>
    </row>
    <row r="669" spans="1:10" x14ac:dyDescent="0.3">
      <c r="A669" t="s">
        <v>422</v>
      </c>
      <c r="B669" s="4" t="s">
        <v>497</v>
      </c>
      <c r="C669" s="7">
        <v>45579</v>
      </c>
      <c r="D669" s="8">
        <v>17021.64</v>
      </c>
      <c r="E669" s="8"/>
      <c r="F669" s="122" t="s">
        <v>4110</v>
      </c>
      <c r="G669" s="44" t="s">
        <v>665</v>
      </c>
      <c r="H669" t="str">
        <f t="shared" si="34"/>
        <v>Jasfer Industry Co., Limited</v>
      </c>
      <c r="I669" s="112">
        <f t="shared" si="35"/>
        <v>45836</v>
      </c>
      <c r="J669" s="128">
        <f t="shared" si="36"/>
        <v>288.5</v>
      </c>
    </row>
    <row r="670" spans="1:10" x14ac:dyDescent="0.3">
      <c r="A670" t="s">
        <v>422</v>
      </c>
      <c r="B670" s="4" t="s">
        <v>498</v>
      </c>
      <c r="C670" s="7">
        <v>45583</v>
      </c>
      <c r="D670" s="8">
        <v>267.27</v>
      </c>
      <c r="E670" s="8"/>
      <c r="F670" s="122" t="s">
        <v>4110</v>
      </c>
      <c r="G670" s="44" t="s">
        <v>666</v>
      </c>
      <c r="H670" t="str">
        <f t="shared" si="34"/>
        <v>Jasfer Industry Co., Limited</v>
      </c>
      <c r="I670" s="112">
        <f t="shared" si="35"/>
        <v>45836</v>
      </c>
      <c r="J670" s="128">
        <f t="shared" si="36"/>
        <v>1183.3499999999999</v>
      </c>
    </row>
    <row r="671" spans="1:10" x14ac:dyDescent="0.3">
      <c r="A671" t="s">
        <v>422</v>
      </c>
      <c r="B671" s="4" t="s">
        <v>499</v>
      </c>
      <c r="C671" s="7">
        <v>45583</v>
      </c>
      <c r="D671" s="8">
        <v>1807.03</v>
      </c>
      <c r="E671" s="8"/>
      <c r="F671" s="122" t="s">
        <v>4110</v>
      </c>
      <c r="G671" s="44" t="s">
        <v>667</v>
      </c>
      <c r="H671" t="str">
        <f t="shared" si="34"/>
        <v>Jasfer Industry Co., Limited</v>
      </c>
      <c r="I671" s="112">
        <f t="shared" si="35"/>
        <v>45836</v>
      </c>
      <c r="J671" s="128">
        <f t="shared" si="36"/>
        <v>1859.93</v>
      </c>
    </row>
    <row r="672" spans="1:10" x14ac:dyDescent="0.3">
      <c r="A672" t="s">
        <v>422</v>
      </c>
      <c r="B672" s="4" t="s">
        <v>499</v>
      </c>
      <c r="C672" s="7">
        <v>45583</v>
      </c>
      <c r="D672" s="8">
        <v>28841.64</v>
      </c>
      <c r="E672" s="8"/>
      <c r="F672" s="122" t="s">
        <v>4110</v>
      </c>
      <c r="G672" s="44" t="s">
        <v>668</v>
      </c>
      <c r="H672" t="str">
        <f t="shared" si="34"/>
        <v>Jasfer Industry Co., Limited</v>
      </c>
      <c r="I672" s="112">
        <f t="shared" si="35"/>
        <v>45838</v>
      </c>
      <c r="J672" s="128">
        <f t="shared" si="36"/>
        <v>440</v>
      </c>
    </row>
    <row r="673" spans="1:11" x14ac:dyDescent="0.3">
      <c r="A673" t="s">
        <v>422</v>
      </c>
      <c r="B673" s="4" t="s">
        <v>455</v>
      </c>
      <c r="C673" s="7">
        <v>45590</v>
      </c>
      <c r="D673" s="8">
        <v>500</v>
      </c>
      <c r="E673" s="8"/>
      <c r="F673" s="122" t="s">
        <v>4110</v>
      </c>
      <c r="G673" s="44" t="s">
        <v>669</v>
      </c>
      <c r="H673" t="str">
        <f t="shared" si="34"/>
        <v>Jasfer Industry Co., Limited</v>
      </c>
      <c r="I673" s="112">
        <f t="shared" si="35"/>
        <v>45838</v>
      </c>
      <c r="J673" s="128">
        <f t="shared" si="36"/>
        <v>3265.82</v>
      </c>
    </row>
    <row r="674" spans="1:11" x14ac:dyDescent="0.3">
      <c r="A674" t="s">
        <v>422</v>
      </c>
      <c r="B674" s="4" t="s">
        <v>500</v>
      </c>
      <c r="C674" s="7">
        <v>45590</v>
      </c>
      <c r="D674" s="8">
        <v>135</v>
      </c>
      <c r="E674" s="8"/>
      <c r="F674" s="122" t="s">
        <v>4110</v>
      </c>
      <c r="G674" s="44" t="s">
        <v>670</v>
      </c>
      <c r="H674" t="str">
        <f t="shared" si="34"/>
        <v>Jasfer Industry Co., Limited</v>
      </c>
      <c r="I674" s="112">
        <f t="shared" si="35"/>
        <v>45838</v>
      </c>
      <c r="J674" s="128">
        <f t="shared" si="36"/>
        <v>1446.55</v>
      </c>
    </row>
    <row r="675" spans="1:11" x14ac:dyDescent="0.3">
      <c r="A675" t="s">
        <v>422</v>
      </c>
      <c r="B675" s="4" t="s">
        <v>501</v>
      </c>
      <c r="C675" s="7">
        <v>45590</v>
      </c>
      <c r="D675" s="8">
        <v>225</v>
      </c>
      <c r="E675" s="8"/>
      <c r="F675" s="122" t="s">
        <v>4110</v>
      </c>
      <c r="G675" s="44" t="s">
        <v>671</v>
      </c>
      <c r="H675" t="str">
        <f t="shared" si="34"/>
        <v>Jasfer Industry Co., Limited</v>
      </c>
      <c r="I675" s="112">
        <f t="shared" si="35"/>
        <v>45838</v>
      </c>
      <c r="J675" s="128">
        <f t="shared" si="36"/>
        <v>6517.91</v>
      </c>
    </row>
    <row r="676" spans="1:11" x14ac:dyDescent="0.3">
      <c r="A676" t="s">
        <v>422</v>
      </c>
      <c r="B676" s="4" t="s">
        <v>502</v>
      </c>
      <c r="C676" s="7">
        <v>45595</v>
      </c>
      <c r="D676" s="8">
        <v>7073.32</v>
      </c>
      <c r="E676" s="8"/>
      <c r="F676" s="122" t="s">
        <v>4110</v>
      </c>
      <c r="G676" s="44" t="s">
        <v>672</v>
      </c>
      <c r="H676" t="str">
        <f t="shared" si="34"/>
        <v>Jasfer Industry Co., Limited</v>
      </c>
      <c r="I676" s="112">
        <f t="shared" si="35"/>
        <v>45838</v>
      </c>
      <c r="J676" s="128">
        <f t="shared" si="36"/>
        <v>3276.67</v>
      </c>
    </row>
    <row r="677" spans="1:11" x14ac:dyDescent="0.3">
      <c r="A677" t="s">
        <v>422</v>
      </c>
      <c r="B677" s="4" t="s">
        <v>503</v>
      </c>
      <c r="C677" s="7">
        <v>45595</v>
      </c>
      <c r="D677" s="8">
        <v>215.01</v>
      </c>
      <c r="E677" s="8"/>
      <c r="F677" s="122" t="s">
        <v>4110</v>
      </c>
      <c r="G677" s="44" t="s">
        <v>673</v>
      </c>
      <c r="H677" t="str">
        <f t="shared" si="34"/>
        <v>Jasfer Industry Co., Limited</v>
      </c>
      <c r="I677" s="112">
        <f t="shared" si="35"/>
        <v>45838</v>
      </c>
      <c r="J677" s="128">
        <f t="shared" si="36"/>
        <v>50645.94</v>
      </c>
    </row>
    <row r="678" spans="1:11" x14ac:dyDescent="0.3">
      <c r="A678" t="s">
        <v>422</v>
      </c>
      <c r="B678" s="4" t="s">
        <v>504</v>
      </c>
      <c r="C678" s="7">
        <v>45596</v>
      </c>
      <c r="D678" s="8">
        <v>2214.0700000000002</v>
      </c>
      <c r="E678" s="8"/>
      <c r="F678" s="122" t="s">
        <v>4110</v>
      </c>
      <c r="G678" s="44" t="s">
        <v>674</v>
      </c>
      <c r="H678" t="str">
        <f t="shared" si="34"/>
        <v>Jasfer Industry Co., Limited</v>
      </c>
      <c r="I678" s="112">
        <f t="shared" si="35"/>
        <v>45838</v>
      </c>
      <c r="J678" s="128">
        <f t="shared" si="36"/>
        <v>13950</v>
      </c>
    </row>
    <row r="679" spans="1:11" x14ac:dyDescent="0.3">
      <c r="A679" t="s">
        <v>422</v>
      </c>
      <c r="B679" s="4" t="s">
        <v>484</v>
      </c>
      <c r="C679" s="7">
        <v>45597</v>
      </c>
      <c r="D679" s="8">
        <v>200</v>
      </c>
      <c r="E679" s="8"/>
      <c r="F679" s="122" t="s">
        <v>4110</v>
      </c>
      <c r="G679" s="44" t="s">
        <v>675</v>
      </c>
      <c r="H679" t="str">
        <f t="shared" si="34"/>
        <v>Jasfer Industry Co., Limited</v>
      </c>
      <c r="I679" s="112">
        <f t="shared" si="35"/>
        <v>45838</v>
      </c>
      <c r="J679" s="128">
        <f t="shared" si="36"/>
        <v>3131.91</v>
      </c>
    </row>
    <row r="680" spans="1:11" x14ac:dyDescent="0.3">
      <c r="A680" t="s">
        <v>422</v>
      </c>
      <c r="B680" s="4" t="s">
        <v>444</v>
      </c>
      <c r="C680" s="7">
        <v>45597</v>
      </c>
      <c r="D680" s="8">
        <v>2642.29</v>
      </c>
      <c r="E680" s="8"/>
      <c r="F680" s="122" t="s">
        <v>4110</v>
      </c>
      <c r="G680" s="44">
        <v>779533277483</v>
      </c>
      <c r="H680" t="str">
        <f t="shared" si="34"/>
        <v>Jasfer Industry Co., Limited</v>
      </c>
      <c r="I680" s="112">
        <f t="shared" si="35"/>
        <v>45838</v>
      </c>
      <c r="J680" s="128">
        <f t="shared" si="36"/>
        <v>868.82</v>
      </c>
    </row>
    <row r="681" spans="1:11" x14ac:dyDescent="0.3">
      <c r="A681" t="s">
        <v>422</v>
      </c>
      <c r="B681" s="4" t="s">
        <v>444</v>
      </c>
      <c r="C681" s="7">
        <v>45597</v>
      </c>
      <c r="D681" s="8">
        <v>3300</v>
      </c>
      <c r="E681" s="8"/>
      <c r="F681" s="122" t="s">
        <v>4110</v>
      </c>
      <c r="G681" s="44" t="s">
        <v>677</v>
      </c>
      <c r="H681" t="str">
        <f t="shared" si="34"/>
        <v>Juniper Design Group</v>
      </c>
      <c r="I681" s="112">
        <f t="shared" si="35"/>
        <v>45762</v>
      </c>
      <c r="J681" s="128">
        <f t="shared" si="36"/>
        <v>-6489.69</v>
      </c>
    </row>
    <row r="682" spans="1:11" x14ac:dyDescent="0.3">
      <c r="A682" t="s">
        <v>422</v>
      </c>
      <c r="B682" s="4" t="s">
        <v>444</v>
      </c>
      <c r="C682" s="7">
        <v>45597</v>
      </c>
      <c r="D682" s="8">
        <v>8877.4500000000007</v>
      </c>
      <c r="E682" s="8"/>
      <c r="F682" s="123" t="s">
        <v>4109</v>
      </c>
      <c r="G682" s="44" t="s">
        <v>679</v>
      </c>
      <c r="H682" t="str">
        <f t="shared" si="34"/>
        <v>Koby Singletary</v>
      </c>
      <c r="I682" s="112">
        <f t="shared" si="35"/>
        <v>45712</v>
      </c>
      <c r="J682" s="128">
        <f t="shared" si="36"/>
        <v>325.08000000000004</v>
      </c>
      <c r="K682" s="102"/>
    </row>
    <row r="683" spans="1:11" x14ac:dyDescent="0.3">
      <c r="A683" t="s">
        <v>422</v>
      </c>
      <c r="B683" s="4" t="s">
        <v>505</v>
      </c>
      <c r="C683" s="7">
        <v>45597</v>
      </c>
      <c r="D683" s="8">
        <v>8021.62</v>
      </c>
      <c r="E683" s="8"/>
      <c r="F683" s="123" t="s">
        <v>4109</v>
      </c>
      <c r="G683" s="44" t="s">
        <v>680</v>
      </c>
      <c r="H683" t="str">
        <f t="shared" si="34"/>
        <v>Koby Singletary</v>
      </c>
      <c r="I683" s="112">
        <f t="shared" si="35"/>
        <v>45712</v>
      </c>
      <c r="J683" s="128">
        <f t="shared" si="36"/>
        <v>325.08</v>
      </c>
    </row>
    <row r="684" spans="1:11" x14ac:dyDescent="0.3">
      <c r="A684" t="s">
        <v>422</v>
      </c>
      <c r="B684" s="4" t="s">
        <v>506</v>
      </c>
      <c r="C684" s="7">
        <v>45600</v>
      </c>
      <c r="D684" s="8">
        <v>-4306.34</v>
      </c>
      <c r="E684" s="8"/>
      <c r="F684" s="123" t="s">
        <v>4109</v>
      </c>
      <c r="G684" s="44" t="s">
        <v>681</v>
      </c>
      <c r="H684" t="str">
        <f t="shared" si="34"/>
        <v>Koby Singletary</v>
      </c>
      <c r="I684" s="112">
        <f t="shared" si="35"/>
        <v>45712</v>
      </c>
      <c r="J684" s="128">
        <f t="shared" si="36"/>
        <v>49.44</v>
      </c>
    </row>
    <row r="685" spans="1:11" x14ac:dyDescent="0.3">
      <c r="A685" t="s">
        <v>422</v>
      </c>
      <c r="B685" s="4" t="s">
        <v>506</v>
      </c>
      <c r="C685" s="7">
        <v>45600</v>
      </c>
      <c r="D685" s="8">
        <v>-55.08</v>
      </c>
      <c r="E685" s="8"/>
      <c r="F685" s="123" t="s">
        <v>4109</v>
      </c>
      <c r="G685" s="44" t="s">
        <v>682</v>
      </c>
      <c r="H685" t="str">
        <f t="shared" si="34"/>
        <v>Koby Singletary</v>
      </c>
      <c r="I685" s="112">
        <f t="shared" si="35"/>
        <v>45712</v>
      </c>
      <c r="J685" s="128">
        <f t="shared" si="36"/>
        <v>92.88</v>
      </c>
    </row>
    <row r="686" spans="1:11" x14ac:dyDescent="0.3">
      <c r="A686" t="s">
        <v>422</v>
      </c>
      <c r="B686" s="4" t="s">
        <v>507</v>
      </c>
      <c r="C686" s="7">
        <v>45604</v>
      </c>
      <c r="D686" s="8">
        <v>2057.98</v>
      </c>
      <c r="E686" s="8"/>
      <c r="F686" s="123" t="s">
        <v>4109</v>
      </c>
      <c r="G686" s="44" t="s">
        <v>683</v>
      </c>
      <c r="H686" t="str">
        <f t="shared" si="34"/>
        <v>Koby Singletary</v>
      </c>
      <c r="I686" s="112">
        <f t="shared" si="35"/>
        <v>45712</v>
      </c>
      <c r="J686" s="128">
        <f t="shared" si="36"/>
        <v>325.08</v>
      </c>
    </row>
    <row r="687" spans="1:11" x14ac:dyDescent="0.3">
      <c r="A687" t="s">
        <v>422</v>
      </c>
      <c r="B687" s="4" t="s">
        <v>426</v>
      </c>
      <c r="C687" s="7">
        <v>45608</v>
      </c>
      <c r="D687" s="8">
        <v>100</v>
      </c>
      <c r="E687" s="8"/>
      <c r="F687" s="123" t="s">
        <v>4109</v>
      </c>
      <c r="G687" s="44" t="s">
        <v>684</v>
      </c>
      <c r="H687" t="str">
        <f t="shared" si="34"/>
        <v>Koby Singletary</v>
      </c>
      <c r="I687" s="112">
        <f t="shared" si="35"/>
        <v>45713</v>
      </c>
      <c r="J687" s="128">
        <f t="shared" si="36"/>
        <v>282</v>
      </c>
    </row>
    <row r="688" spans="1:11" x14ac:dyDescent="0.3">
      <c r="A688" t="s">
        <v>422</v>
      </c>
      <c r="B688" s="4" t="s">
        <v>18</v>
      </c>
      <c r="C688" s="7">
        <v>45609</v>
      </c>
      <c r="D688" s="8">
        <v>-6027.84</v>
      </c>
      <c r="E688" s="8"/>
      <c r="F688" s="123" t="s">
        <v>4109</v>
      </c>
      <c r="G688" s="44" t="s">
        <v>685</v>
      </c>
      <c r="H688" t="str">
        <f t="shared" si="34"/>
        <v>Koby Singletary</v>
      </c>
      <c r="I688" s="112">
        <f t="shared" si="35"/>
        <v>45775</v>
      </c>
      <c r="J688" s="128">
        <f t="shared" si="36"/>
        <v>1560.64</v>
      </c>
    </row>
    <row r="689" spans="1:11" x14ac:dyDescent="0.3">
      <c r="A689" t="s">
        <v>422</v>
      </c>
      <c r="B689" s="4" t="s">
        <v>18</v>
      </c>
      <c r="C689" s="7">
        <v>45609</v>
      </c>
      <c r="D689" s="8">
        <v>-3338.31</v>
      </c>
      <c r="E689" s="8"/>
      <c r="F689" s="122" t="s">
        <v>4110</v>
      </c>
      <c r="G689" s="44" t="s">
        <v>687</v>
      </c>
      <c r="H689" t="str">
        <f t="shared" si="34"/>
        <v>KRONOS CERAMICHE</v>
      </c>
      <c r="I689" s="112">
        <f t="shared" si="35"/>
        <v>45833</v>
      </c>
      <c r="J689" s="128">
        <f t="shared" si="36"/>
        <v>-18135</v>
      </c>
    </row>
    <row r="690" spans="1:11" x14ac:dyDescent="0.3">
      <c r="A690" t="s">
        <v>422</v>
      </c>
      <c r="B690" s="4" t="s">
        <v>467</v>
      </c>
      <c r="C690" s="7">
        <v>45610</v>
      </c>
      <c r="D690" s="8">
        <v>4203.1099999999997</v>
      </c>
      <c r="E690" s="8"/>
      <c r="F690" s="122" t="s">
        <v>4110</v>
      </c>
      <c r="G690" s="44" t="s">
        <v>689</v>
      </c>
      <c r="H690" t="str">
        <f t="shared" si="34"/>
        <v>Kuartz Surfaces &amp; Kitchens</v>
      </c>
      <c r="I690" s="112">
        <f t="shared" si="35"/>
        <v>45460</v>
      </c>
      <c r="J690" s="128">
        <f t="shared" si="36"/>
        <v>1824.25</v>
      </c>
    </row>
    <row r="691" spans="1:11" x14ac:dyDescent="0.3">
      <c r="A691" t="s">
        <v>422</v>
      </c>
      <c r="B691" s="4" t="s">
        <v>467</v>
      </c>
      <c r="C691" s="7">
        <v>45610</v>
      </c>
      <c r="D691" s="8">
        <v>21524.89</v>
      </c>
      <c r="E691" s="8"/>
      <c r="F691" s="122" t="s">
        <v>4110</v>
      </c>
      <c r="G691" s="44" t="s">
        <v>690</v>
      </c>
      <c r="H691" t="str">
        <f t="shared" si="34"/>
        <v>Kuartz Surfaces &amp; Kitchens</v>
      </c>
      <c r="I691" s="112">
        <f t="shared" si="35"/>
        <v>45532</v>
      </c>
      <c r="J691" s="128">
        <f t="shared" si="36"/>
        <v>4080.27</v>
      </c>
    </row>
    <row r="692" spans="1:11" x14ac:dyDescent="0.3">
      <c r="A692" t="s">
        <v>422</v>
      </c>
      <c r="B692" s="4" t="s">
        <v>508</v>
      </c>
      <c r="C692" s="7">
        <v>45611</v>
      </c>
      <c r="D692" s="8">
        <v>16123.92</v>
      </c>
      <c r="E692" s="8"/>
      <c r="F692" s="122" t="s">
        <v>4110</v>
      </c>
      <c r="G692" s="44">
        <v>22325</v>
      </c>
      <c r="H692" t="str">
        <f t="shared" si="34"/>
        <v>Lift Service Now</v>
      </c>
      <c r="I692" s="112">
        <f t="shared" si="35"/>
        <v>45546</v>
      </c>
      <c r="J692" s="128">
        <f t="shared" si="36"/>
        <v>4974</v>
      </c>
    </row>
    <row r="693" spans="1:11" x14ac:dyDescent="0.3">
      <c r="A693" t="s">
        <v>422</v>
      </c>
      <c r="B693" s="4" t="s">
        <v>509</v>
      </c>
      <c r="C693" s="7">
        <v>45614</v>
      </c>
      <c r="D693" s="8">
        <v>789.97</v>
      </c>
      <c r="E693" s="8"/>
      <c r="F693" s="122" t="s">
        <v>4110</v>
      </c>
      <c r="G693" s="44">
        <v>22326</v>
      </c>
      <c r="H693" t="str">
        <f t="shared" si="34"/>
        <v>Lift Service Now</v>
      </c>
      <c r="I693" s="112">
        <f t="shared" si="35"/>
        <v>45546</v>
      </c>
      <c r="J693" s="128">
        <f t="shared" si="36"/>
        <v>4816.1099999999997</v>
      </c>
    </row>
    <row r="694" spans="1:11" x14ac:dyDescent="0.3">
      <c r="A694" t="s">
        <v>422</v>
      </c>
      <c r="B694">
        <v>20241120</v>
      </c>
      <c r="C694" s="7">
        <v>45616</v>
      </c>
      <c r="D694" s="8">
        <v>2426.91</v>
      </c>
      <c r="E694" s="8"/>
      <c r="F694" s="122" t="s">
        <v>4110</v>
      </c>
      <c r="G694" s="44">
        <v>3.7746107336073302E+37</v>
      </c>
      <c r="H694" t="str">
        <f t="shared" si="34"/>
        <v>Luis Hernandez</v>
      </c>
      <c r="I694" s="112">
        <f t="shared" si="35"/>
        <v>45806</v>
      </c>
      <c r="J694" s="128">
        <f t="shared" si="36"/>
        <v>3465</v>
      </c>
    </row>
    <row r="695" spans="1:11" x14ac:dyDescent="0.3">
      <c r="A695" t="s">
        <v>422</v>
      </c>
      <c r="B695" s="4" t="s">
        <v>510</v>
      </c>
      <c r="C695" s="7">
        <v>45616</v>
      </c>
      <c r="D695" s="8">
        <v>32314.59</v>
      </c>
      <c r="E695" s="8"/>
      <c r="F695" s="123" t="s">
        <v>4109</v>
      </c>
      <c r="G695" s="44" t="s">
        <v>694</v>
      </c>
      <c r="H695" t="str">
        <f t="shared" si="34"/>
        <v>MAERSK LINE</v>
      </c>
      <c r="I695" s="112">
        <f t="shared" si="35"/>
        <v>45730</v>
      </c>
      <c r="J695" s="128">
        <f t="shared" si="36"/>
        <v>-1050</v>
      </c>
      <c r="K695" s="102"/>
    </row>
    <row r="696" spans="1:11" x14ac:dyDescent="0.3">
      <c r="A696" t="s">
        <v>422</v>
      </c>
      <c r="B696">
        <v>5642</v>
      </c>
      <c r="C696" s="7">
        <v>45617</v>
      </c>
      <c r="D696" s="8">
        <v>-427.39</v>
      </c>
      <c r="E696" s="8"/>
      <c r="F696" s="122" t="s">
        <v>4110</v>
      </c>
      <c r="G696" s="44">
        <v>25760001</v>
      </c>
      <c r="H696" t="str">
        <f t="shared" si="34"/>
        <v>Marmite Sp. z o.o - Poland</v>
      </c>
      <c r="I696" s="112">
        <f t="shared" si="35"/>
        <v>45615</v>
      </c>
      <c r="J696" s="128">
        <f t="shared" si="36"/>
        <v>285.8</v>
      </c>
    </row>
    <row r="697" spans="1:11" x14ac:dyDescent="0.3">
      <c r="A697" t="s">
        <v>422</v>
      </c>
      <c r="B697" s="4" t="s">
        <v>511</v>
      </c>
      <c r="C697" s="7">
        <v>45618</v>
      </c>
      <c r="D697" s="8">
        <v>9068.65</v>
      </c>
      <c r="E697" s="8"/>
      <c r="F697" s="122" t="s">
        <v>4110</v>
      </c>
      <c r="G697" s="44">
        <v>25760438</v>
      </c>
      <c r="H697" t="str">
        <f t="shared" si="34"/>
        <v>Marmite Sp. z o.o - Poland</v>
      </c>
      <c r="I697" s="112">
        <f t="shared" si="35"/>
        <v>45789</v>
      </c>
      <c r="J697" s="128">
        <f t="shared" si="36"/>
        <v>2349.15</v>
      </c>
    </row>
    <row r="698" spans="1:11" x14ac:dyDescent="0.3">
      <c r="A698" t="s">
        <v>422</v>
      </c>
      <c r="B698" s="4" t="s">
        <v>512</v>
      </c>
      <c r="C698" s="7">
        <v>45618</v>
      </c>
      <c r="D698" s="8">
        <v>686.94</v>
      </c>
      <c r="E698" s="8"/>
      <c r="F698" s="122" t="s">
        <v>4110</v>
      </c>
      <c r="G698" s="44" t="s">
        <v>697</v>
      </c>
      <c r="H698" t="str">
        <f t="shared" si="34"/>
        <v>Marvelous Surfaces</v>
      </c>
      <c r="I698" s="112">
        <f t="shared" si="35"/>
        <v>45649</v>
      </c>
      <c r="J698" s="128">
        <f t="shared" si="36"/>
        <v>19029.32</v>
      </c>
    </row>
    <row r="699" spans="1:11" x14ac:dyDescent="0.3">
      <c r="A699" t="s">
        <v>422</v>
      </c>
      <c r="B699" s="4" t="s">
        <v>513</v>
      </c>
      <c r="C699" s="7">
        <v>45619</v>
      </c>
      <c r="D699" s="8">
        <v>224.97</v>
      </c>
      <c r="E699" s="8"/>
      <c r="F699" s="122" t="s">
        <v>4110</v>
      </c>
      <c r="G699" s="44">
        <v>20240217</v>
      </c>
      <c r="H699" t="str">
        <f t="shared" si="34"/>
        <v>MASOMEX GLOBAL</v>
      </c>
      <c r="I699" s="112">
        <f t="shared" si="35"/>
        <v>45339</v>
      </c>
      <c r="J699" s="128">
        <f t="shared" si="36"/>
        <v>713.9</v>
      </c>
    </row>
    <row r="700" spans="1:11" x14ac:dyDescent="0.3">
      <c r="A700" t="s">
        <v>422</v>
      </c>
      <c r="B700" s="4" t="s">
        <v>514</v>
      </c>
      <c r="C700" s="7">
        <v>45624</v>
      </c>
      <c r="D700" s="8">
        <v>50</v>
      </c>
      <c r="E700" s="8"/>
      <c r="F700" s="122" t="s">
        <v>4110</v>
      </c>
      <c r="G700" s="44" t="s">
        <v>699</v>
      </c>
      <c r="H700" t="str">
        <f t="shared" si="34"/>
        <v>MASOMEX GLOBAL</v>
      </c>
      <c r="I700" s="112">
        <f t="shared" si="35"/>
        <v>45658</v>
      </c>
      <c r="J700" s="128">
        <f t="shared" si="36"/>
        <v>140.60000000000002</v>
      </c>
    </row>
    <row r="701" spans="1:11" x14ac:dyDescent="0.3">
      <c r="A701" t="s">
        <v>422</v>
      </c>
      <c r="B701" s="4" t="s">
        <v>515</v>
      </c>
      <c r="C701" s="7">
        <v>45627</v>
      </c>
      <c r="D701" s="8">
        <v>368.34</v>
      </c>
      <c r="E701" s="8"/>
      <c r="F701" s="122" t="s">
        <v>4110</v>
      </c>
      <c r="G701" s="44" t="s">
        <v>700</v>
      </c>
      <c r="H701" t="str">
        <f t="shared" si="34"/>
        <v>MASOMEX GLOBAL</v>
      </c>
      <c r="I701" s="112">
        <f t="shared" si="35"/>
        <v>45708</v>
      </c>
      <c r="J701" s="128">
        <f t="shared" si="36"/>
        <v>-1951.83</v>
      </c>
    </row>
    <row r="702" spans="1:11" x14ac:dyDescent="0.3">
      <c r="A702" t="s">
        <v>422</v>
      </c>
      <c r="B702" s="4" t="s">
        <v>516</v>
      </c>
      <c r="C702" s="7">
        <v>45628</v>
      </c>
      <c r="D702" s="8">
        <v>765.69</v>
      </c>
      <c r="E702" s="8"/>
      <c r="F702" s="122" t="s">
        <v>4110</v>
      </c>
      <c r="G702" s="44" t="s">
        <v>701</v>
      </c>
      <c r="H702" t="str">
        <f t="shared" si="34"/>
        <v>MASOMEX GLOBAL</v>
      </c>
      <c r="I702" s="112">
        <f t="shared" si="35"/>
        <v>45838</v>
      </c>
      <c r="J702" s="128">
        <f t="shared" si="36"/>
        <v>66.349999999999994</v>
      </c>
    </row>
    <row r="703" spans="1:11" x14ac:dyDescent="0.3">
      <c r="A703" t="s">
        <v>422</v>
      </c>
      <c r="B703" s="4" t="s">
        <v>517</v>
      </c>
      <c r="C703" s="7">
        <v>45628</v>
      </c>
      <c r="D703" s="8">
        <v>3.99</v>
      </c>
      <c r="E703" s="8"/>
      <c r="F703" s="122" t="s">
        <v>4110</v>
      </c>
      <c r="G703" s="44">
        <v>41186415</v>
      </c>
      <c r="H703" t="str">
        <f t="shared" si="34"/>
        <v>MDC Wallcovering</v>
      </c>
      <c r="I703" s="112">
        <f t="shared" si="35"/>
        <v>45757</v>
      </c>
      <c r="J703" s="128">
        <f t="shared" si="36"/>
        <v>2019.56</v>
      </c>
    </row>
    <row r="704" spans="1:11" x14ac:dyDescent="0.3">
      <c r="A704" t="s">
        <v>422</v>
      </c>
      <c r="B704" s="4" t="s">
        <v>518</v>
      </c>
      <c r="C704" s="7">
        <v>45630</v>
      </c>
      <c r="D704" s="8">
        <v>-1466.25</v>
      </c>
      <c r="E704" s="8"/>
      <c r="F704" s="122" t="s">
        <v>4110</v>
      </c>
      <c r="G704" s="44">
        <v>41188101</v>
      </c>
      <c r="H704" t="str">
        <f t="shared" si="34"/>
        <v>MDC Wallcovering</v>
      </c>
      <c r="I704" s="112">
        <f t="shared" si="35"/>
        <v>45830</v>
      </c>
      <c r="J704" s="128">
        <f t="shared" si="36"/>
        <v>-1748.55</v>
      </c>
    </row>
    <row r="705" spans="1:11" x14ac:dyDescent="0.3">
      <c r="A705" t="s">
        <v>422</v>
      </c>
      <c r="B705" s="4" t="s">
        <v>519</v>
      </c>
      <c r="C705" s="7">
        <v>45631</v>
      </c>
      <c r="D705" s="8">
        <v>7500.9</v>
      </c>
      <c r="E705" s="8"/>
      <c r="F705" s="122" t="s">
        <v>4110</v>
      </c>
      <c r="G705" s="44" t="s">
        <v>704</v>
      </c>
      <c r="H705" t="str">
        <f t="shared" si="34"/>
        <v>Mediterranean Shipping Company MSC</v>
      </c>
      <c r="I705" s="112">
        <f t="shared" si="35"/>
        <v>45719</v>
      </c>
      <c r="J705" s="128">
        <f t="shared" si="36"/>
        <v>-1247.44</v>
      </c>
    </row>
    <row r="706" spans="1:11" x14ac:dyDescent="0.3">
      <c r="A706" t="s">
        <v>422</v>
      </c>
      <c r="B706" s="4" t="s">
        <v>520</v>
      </c>
      <c r="C706" s="7">
        <v>45642</v>
      </c>
      <c r="D706" s="8">
        <v>10420.91</v>
      </c>
      <c r="E706" s="8"/>
      <c r="F706" s="122" t="s">
        <v>4110</v>
      </c>
      <c r="G706" s="44" t="s">
        <v>706</v>
      </c>
      <c r="H706" t="str">
        <f t="shared" si="34"/>
        <v>MELLOWLAND FURNISHING INC</v>
      </c>
      <c r="I706" s="112">
        <f t="shared" si="35"/>
        <v>45149</v>
      </c>
      <c r="J706" s="128">
        <f t="shared" si="36"/>
        <v>-90.03</v>
      </c>
    </row>
    <row r="707" spans="1:11" x14ac:dyDescent="0.3">
      <c r="A707" t="s">
        <v>422</v>
      </c>
      <c r="B707" s="4" t="s">
        <v>486</v>
      </c>
      <c r="C707" s="7">
        <v>45642</v>
      </c>
      <c r="D707" s="8">
        <v>3430.94</v>
      </c>
      <c r="E707" s="8"/>
      <c r="F707" s="122" t="s">
        <v>4110</v>
      </c>
      <c r="G707" s="44" t="s">
        <v>707</v>
      </c>
      <c r="H707" t="str">
        <f t="shared" si="34"/>
        <v>MELLOWLAND FURNISHING INC</v>
      </c>
      <c r="I707" s="112">
        <f t="shared" si="35"/>
        <v>45155</v>
      </c>
      <c r="J707" s="128">
        <f t="shared" si="36"/>
        <v>-513.70000000000005</v>
      </c>
    </row>
    <row r="708" spans="1:11" x14ac:dyDescent="0.3">
      <c r="A708" t="s">
        <v>422</v>
      </c>
      <c r="B708" s="4" t="s">
        <v>20</v>
      </c>
      <c r="C708" s="7">
        <v>45643</v>
      </c>
      <c r="D708" s="8">
        <v>-1336.89</v>
      </c>
      <c r="E708" s="8"/>
      <c r="F708" s="122" t="s">
        <v>4110</v>
      </c>
      <c r="G708" s="44" t="s">
        <v>708</v>
      </c>
      <c r="H708" t="str">
        <f t="shared" si="34"/>
        <v>MELLOWLAND FURNISHING INC</v>
      </c>
      <c r="I708" s="112">
        <f t="shared" si="35"/>
        <v>45307</v>
      </c>
      <c r="J708" s="128">
        <f t="shared" si="36"/>
        <v>-102.74</v>
      </c>
    </row>
    <row r="709" spans="1:11" x14ac:dyDescent="0.3">
      <c r="A709" t="s">
        <v>422</v>
      </c>
      <c r="B709" s="4" t="s">
        <v>521</v>
      </c>
      <c r="C709" s="7">
        <v>45647</v>
      </c>
      <c r="D709" s="8">
        <v>1571.59</v>
      </c>
      <c r="E709" s="8"/>
      <c r="F709" s="122" t="s">
        <v>4110</v>
      </c>
      <c r="G709" s="44" t="s">
        <v>709</v>
      </c>
      <c r="H709" t="str">
        <f t="shared" si="34"/>
        <v>MELLOWLAND FURNISHING INC</v>
      </c>
      <c r="I709" s="112">
        <f t="shared" si="35"/>
        <v>45838</v>
      </c>
      <c r="J709" s="128">
        <f t="shared" si="36"/>
        <v>2752.5</v>
      </c>
    </row>
    <row r="710" spans="1:11" x14ac:dyDescent="0.3">
      <c r="A710" t="s">
        <v>422</v>
      </c>
      <c r="B710" s="4" t="s">
        <v>21</v>
      </c>
      <c r="C710" s="7">
        <v>45650</v>
      </c>
      <c r="D710" s="8">
        <v>-163599.07</v>
      </c>
      <c r="E710" s="8"/>
      <c r="F710" s="122" t="s">
        <v>4110</v>
      </c>
      <c r="G710" s="44" t="s">
        <v>710</v>
      </c>
      <c r="H710" t="str">
        <f t="shared" ref="H710:H773" si="37">_xlfn.XLOOKUP(G710,B:B,A:A,,)</f>
        <v>MELLOWLAND FURNISHING INC</v>
      </c>
      <c r="I710" s="112">
        <f t="shared" ref="I710:I773" si="38">_xlfn.XLOOKUP(G710,B:B,C:C,,)</f>
        <v>45838</v>
      </c>
      <c r="J710" s="128">
        <f t="shared" ref="J710:J773" si="39">SUMIF(B:B,G710,D:D)</f>
        <v>3283.03</v>
      </c>
    </row>
    <row r="711" spans="1:11" x14ac:dyDescent="0.3">
      <c r="A711" t="s">
        <v>422</v>
      </c>
      <c r="B711" s="4" t="s">
        <v>21</v>
      </c>
      <c r="C711" s="7">
        <v>45650</v>
      </c>
      <c r="D711" s="8">
        <v>-63945.84</v>
      </c>
      <c r="E711" s="8"/>
      <c r="F711" s="123" t="s">
        <v>4109</v>
      </c>
      <c r="G711" s="44">
        <v>20230515015</v>
      </c>
      <c r="H711" t="str">
        <f t="shared" si="37"/>
        <v>Midstream &amp; Terminal</v>
      </c>
      <c r="I711" s="112">
        <f t="shared" si="38"/>
        <v>45061</v>
      </c>
      <c r="J711" s="128">
        <f t="shared" si="39"/>
        <v>33750</v>
      </c>
      <c r="K711" s="102"/>
    </row>
    <row r="712" spans="1:11" x14ac:dyDescent="0.3">
      <c r="A712" t="s">
        <v>422</v>
      </c>
      <c r="B712" s="4" t="s">
        <v>21</v>
      </c>
      <c r="C712" s="7">
        <v>45650</v>
      </c>
      <c r="D712" s="8">
        <v>-45155.4</v>
      </c>
      <c r="E712" s="8"/>
      <c r="F712" s="122" t="s">
        <v>4110</v>
      </c>
      <c r="G712" s="44">
        <v>680047</v>
      </c>
      <c r="H712" t="str">
        <f t="shared" si="37"/>
        <v>MileStone Florim USA, Inc.</v>
      </c>
      <c r="I712" s="112">
        <f t="shared" si="38"/>
        <v>45672</v>
      </c>
      <c r="J712" s="128">
        <f t="shared" si="39"/>
        <v>2064</v>
      </c>
    </row>
    <row r="713" spans="1:11" x14ac:dyDescent="0.3">
      <c r="A713" t="s">
        <v>422</v>
      </c>
      <c r="B713" s="4" t="s">
        <v>21</v>
      </c>
      <c r="C713" s="7">
        <v>45650</v>
      </c>
      <c r="D713" s="8">
        <v>-13814.17</v>
      </c>
      <c r="E713" s="8"/>
      <c r="F713" s="122" t="s">
        <v>4110</v>
      </c>
      <c r="G713" s="44" t="s">
        <v>713</v>
      </c>
      <c r="H713" t="str">
        <f t="shared" si="37"/>
        <v>MileStone Florim USA, Inc.</v>
      </c>
      <c r="I713" s="112">
        <f t="shared" si="38"/>
        <v>45838</v>
      </c>
      <c r="J713" s="128">
        <f t="shared" si="39"/>
        <v>23819.040000000001</v>
      </c>
    </row>
    <row r="714" spans="1:11" x14ac:dyDescent="0.3">
      <c r="A714" t="s">
        <v>422</v>
      </c>
      <c r="B714" s="4" t="s">
        <v>522</v>
      </c>
      <c r="C714" s="7">
        <v>45651</v>
      </c>
      <c r="D714" s="8">
        <v>4350.49</v>
      </c>
      <c r="E714" s="8"/>
      <c r="F714" s="122" t="s">
        <v>4110</v>
      </c>
      <c r="G714" s="44">
        <v>14594728</v>
      </c>
      <c r="H714" t="str">
        <f t="shared" si="37"/>
        <v>Milliken</v>
      </c>
      <c r="I714" s="112">
        <f t="shared" si="38"/>
        <v>45279</v>
      </c>
      <c r="J714" s="128">
        <f t="shared" si="39"/>
        <v>7569.67</v>
      </c>
    </row>
    <row r="715" spans="1:11" x14ac:dyDescent="0.3">
      <c r="A715" t="s">
        <v>422</v>
      </c>
      <c r="B715" s="4" t="s">
        <v>523</v>
      </c>
      <c r="C715" s="7">
        <v>45652</v>
      </c>
      <c r="D715" s="8">
        <v>83.78</v>
      </c>
      <c r="E715" s="8"/>
      <c r="F715" s="122" t="s">
        <v>4110</v>
      </c>
      <c r="G715" s="44" t="s">
        <v>715</v>
      </c>
      <c r="H715" t="str">
        <f t="shared" si="37"/>
        <v>Milliken</v>
      </c>
      <c r="I715" s="112">
        <f t="shared" si="38"/>
        <v>45821</v>
      </c>
      <c r="J715" s="128">
        <f t="shared" si="39"/>
        <v>-1026.1400000000001</v>
      </c>
    </row>
    <row r="716" spans="1:11" x14ac:dyDescent="0.3">
      <c r="A716" t="s">
        <v>422</v>
      </c>
      <c r="B716" s="4" t="s">
        <v>524</v>
      </c>
      <c r="C716" s="7">
        <v>45657</v>
      </c>
      <c r="D716" s="8">
        <v>80</v>
      </c>
      <c r="E716" s="8"/>
      <c r="F716" s="122" t="s">
        <v>4110</v>
      </c>
      <c r="G716" s="44" t="s">
        <v>717</v>
      </c>
      <c r="H716" t="str">
        <f t="shared" si="37"/>
        <v>Mirage Granito Ceramico S.p.A.</v>
      </c>
      <c r="I716" s="112">
        <f t="shared" si="38"/>
        <v>45505</v>
      </c>
      <c r="J716" s="128">
        <f t="shared" si="39"/>
        <v>2790.1899999999996</v>
      </c>
    </row>
    <row r="717" spans="1:11" x14ac:dyDescent="0.3">
      <c r="A717" t="s">
        <v>422</v>
      </c>
      <c r="B717" s="4" t="s">
        <v>496</v>
      </c>
      <c r="C717" s="7">
        <v>45657</v>
      </c>
      <c r="D717" s="8">
        <v>100</v>
      </c>
      <c r="E717" s="8"/>
      <c r="F717" s="122" t="s">
        <v>4110</v>
      </c>
      <c r="G717" s="44" t="s">
        <v>718</v>
      </c>
      <c r="H717" t="str">
        <f t="shared" si="37"/>
        <v>Mirage Granito Ceramico S.p.A.</v>
      </c>
      <c r="I717" s="112">
        <f t="shared" si="38"/>
        <v>45566</v>
      </c>
      <c r="J717" s="128">
        <f t="shared" si="39"/>
        <v>0.14000000000000001</v>
      </c>
    </row>
    <row r="718" spans="1:11" x14ac:dyDescent="0.3">
      <c r="A718" t="s">
        <v>422</v>
      </c>
      <c r="B718" s="4" t="s">
        <v>525</v>
      </c>
      <c r="C718" s="7">
        <v>45658</v>
      </c>
      <c r="D718" s="8">
        <v>2121.4</v>
      </c>
      <c r="E718" s="8"/>
      <c r="F718" s="122" t="s">
        <v>4110</v>
      </c>
      <c r="G718" s="44" t="s">
        <v>719</v>
      </c>
      <c r="H718" t="str">
        <f t="shared" si="37"/>
        <v>Mirage Granito Ceramico S.p.A.</v>
      </c>
      <c r="I718" s="112">
        <f t="shared" si="38"/>
        <v>45608</v>
      </c>
      <c r="J718" s="128">
        <f t="shared" si="39"/>
        <v>924.6</v>
      </c>
    </row>
    <row r="719" spans="1:11" x14ac:dyDescent="0.3">
      <c r="A719" t="s">
        <v>422</v>
      </c>
      <c r="B719" s="4" t="s">
        <v>513</v>
      </c>
      <c r="C719" s="7">
        <v>45658</v>
      </c>
      <c r="D719" s="8">
        <v>7442.95</v>
      </c>
      <c r="E719" s="8"/>
      <c r="F719" s="122" t="s">
        <v>4110</v>
      </c>
      <c r="G719" s="44" t="s">
        <v>720</v>
      </c>
      <c r="H719" t="str">
        <f t="shared" si="37"/>
        <v>Mirage Granito Ceramico S.p.A.</v>
      </c>
      <c r="I719" s="112">
        <f t="shared" si="38"/>
        <v>45630</v>
      </c>
      <c r="J719" s="128">
        <f t="shared" si="39"/>
        <v>10276.700000000001</v>
      </c>
    </row>
    <row r="720" spans="1:11" x14ac:dyDescent="0.3">
      <c r="A720" t="s">
        <v>422</v>
      </c>
      <c r="B720" s="4" t="s">
        <v>526</v>
      </c>
      <c r="C720" s="7">
        <v>45658</v>
      </c>
      <c r="D720" s="8">
        <v>1490.92</v>
      </c>
      <c r="E720" s="8"/>
      <c r="F720" s="122" t="s">
        <v>4110</v>
      </c>
      <c r="G720" s="44" t="s">
        <v>721</v>
      </c>
      <c r="H720" t="str">
        <f t="shared" si="37"/>
        <v>Mirage Granito Ceramico S.p.A.</v>
      </c>
      <c r="I720" s="112">
        <f t="shared" si="38"/>
        <v>45665</v>
      </c>
      <c r="J720" s="128">
        <f t="shared" si="39"/>
        <v>13717.169999999998</v>
      </c>
    </row>
    <row r="721" spans="1:10" x14ac:dyDescent="0.3">
      <c r="A721" t="s">
        <v>422</v>
      </c>
      <c r="B721" s="4" t="s">
        <v>526</v>
      </c>
      <c r="C721" s="7">
        <v>45658</v>
      </c>
      <c r="D721" s="8">
        <v>3284.41</v>
      </c>
      <c r="E721" s="8"/>
      <c r="F721" s="122" t="s">
        <v>4110</v>
      </c>
      <c r="G721" s="44" t="s">
        <v>722</v>
      </c>
      <c r="H721" t="str">
        <f t="shared" si="37"/>
        <v>Mirage Granito Ceramico S.p.A.</v>
      </c>
      <c r="I721" s="112">
        <f t="shared" si="38"/>
        <v>45671</v>
      </c>
      <c r="J721" s="128">
        <f t="shared" si="39"/>
        <v>19523.400000000001</v>
      </c>
    </row>
    <row r="722" spans="1:10" x14ac:dyDescent="0.3">
      <c r="A722" t="s">
        <v>422</v>
      </c>
      <c r="B722" s="4" t="s">
        <v>527</v>
      </c>
      <c r="C722" s="7">
        <v>45658</v>
      </c>
      <c r="D722" s="8">
        <v>1672.93</v>
      </c>
      <c r="E722" s="8"/>
      <c r="F722" s="122" t="s">
        <v>4110</v>
      </c>
      <c r="G722" s="44" t="s">
        <v>723</v>
      </c>
      <c r="H722" t="str">
        <f t="shared" si="37"/>
        <v>Mirage Granito Ceramico S.p.A.</v>
      </c>
      <c r="I722" s="112">
        <f t="shared" si="38"/>
        <v>45706</v>
      </c>
      <c r="J722" s="128">
        <f t="shared" si="39"/>
        <v>924.49</v>
      </c>
    </row>
    <row r="723" spans="1:10" x14ac:dyDescent="0.3">
      <c r="A723" t="s">
        <v>422</v>
      </c>
      <c r="B723" s="4" t="s">
        <v>528</v>
      </c>
      <c r="C723" s="7">
        <v>45660</v>
      </c>
      <c r="D723" s="8">
        <v>-1061.27</v>
      </c>
      <c r="E723" s="8"/>
      <c r="F723" s="122" t="s">
        <v>4110</v>
      </c>
      <c r="G723" s="44" t="s">
        <v>724</v>
      </c>
      <c r="H723" t="str">
        <f t="shared" si="37"/>
        <v>Mirage Granito Ceramico S.p.A.</v>
      </c>
      <c r="I723" s="112">
        <f t="shared" si="38"/>
        <v>45709</v>
      </c>
      <c r="J723" s="128">
        <f t="shared" si="39"/>
        <v>17010</v>
      </c>
    </row>
    <row r="724" spans="1:10" x14ac:dyDescent="0.3">
      <c r="A724" t="s">
        <v>422</v>
      </c>
      <c r="B724" s="4" t="s">
        <v>529</v>
      </c>
      <c r="C724" s="7">
        <v>45663</v>
      </c>
      <c r="D724" s="8">
        <v>839.54</v>
      </c>
      <c r="E724" s="8"/>
      <c r="F724" s="122" t="s">
        <v>4110</v>
      </c>
      <c r="G724" s="44" t="s">
        <v>725</v>
      </c>
      <c r="H724" t="str">
        <f t="shared" si="37"/>
        <v>Mirage Granito Ceramico S.p.A.</v>
      </c>
      <c r="I724" s="112">
        <f t="shared" si="38"/>
        <v>45712</v>
      </c>
      <c r="J724" s="128">
        <f t="shared" si="39"/>
        <v>7572.03</v>
      </c>
    </row>
    <row r="725" spans="1:10" x14ac:dyDescent="0.3">
      <c r="A725" t="s">
        <v>422</v>
      </c>
      <c r="B725" s="4" t="s">
        <v>530</v>
      </c>
      <c r="C725" s="7">
        <v>45665</v>
      </c>
      <c r="D725" s="8">
        <v>5200</v>
      </c>
      <c r="E725" s="8"/>
      <c r="F725" s="122" t="s">
        <v>4110</v>
      </c>
      <c r="G725" s="44" t="s">
        <v>726</v>
      </c>
      <c r="H725" t="str">
        <f t="shared" si="37"/>
        <v>Mirage Granito Ceramico S.p.A.</v>
      </c>
      <c r="I725" s="112">
        <f t="shared" si="38"/>
        <v>45712</v>
      </c>
      <c r="J725" s="128">
        <f t="shared" si="39"/>
        <v>12700.8</v>
      </c>
    </row>
    <row r="726" spans="1:10" x14ac:dyDescent="0.3">
      <c r="A726" t="s">
        <v>422</v>
      </c>
      <c r="B726" s="4" t="s">
        <v>531</v>
      </c>
      <c r="C726" s="7">
        <v>45665</v>
      </c>
      <c r="D726" s="8">
        <v>800.01</v>
      </c>
      <c r="E726" s="8"/>
      <c r="F726" s="122" t="s">
        <v>4110</v>
      </c>
      <c r="G726" s="44" t="s">
        <v>727</v>
      </c>
      <c r="H726" t="str">
        <f t="shared" si="37"/>
        <v>Mirage Granito Ceramico S.p.A.</v>
      </c>
      <c r="I726" s="112">
        <f t="shared" si="38"/>
        <v>45721</v>
      </c>
      <c r="J726" s="128">
        <f t="shared" si="39"/>
        <v>106.92</v>
      </c>
    </row>
    <row r="727" spans="1:10" x14ac:dyDescent="0.3">
      <c r="A727" t="s">
        <v>422</v>
      </c>
      <c r="B727" s="4" t="s">
        <v>532</v>
      </c>
      <c r="C727" s="7">
        <v>45666</v>
      </c>
      <c r="D727" s="8">
        <v>-228.07</v>
      </c>
      <c r="E727" s="8"/>
      <c r="F727" s="122" t="s">
        <v>4110</v>
      </c>
      <c r="G727" s="44" t="s">
        <v>728</v>
      </c>
      <c r="H727" t="str">
        <f t="shared" si="37"/>
        <v>Mirage Granito Ceramico S.p.A.</v>
      </c>
      <c r="I727" s="112">
        <f t="shared" si="38"/>
        <v>45728</v>
      </c>
      <c r="J727" s="128">
        <f t="shared" si="39"/>
        <v>2482.3200000000002</v>
      </c>
    </row>
    <row r="728" spans="1:10" x14ac:dyDescent="0.3">
      <c r="A728" t="s">
        <v>422</v>
      </c>
      <c r="B728" s="4" t="s">
        <v>533</v>
      </c>
      <c r="C728" s="7">
        <v>45670</v>
      </c>
      <c r="D728" s="8">
        <v>1157.93</v>
      </c>
      <c r="E728" s="8"/>
      <c r="F728" s="122" t="s">
        <v>4110</v>
      </c>
      <c r="G728" s="44" t="s">
        <v>729</v>
      </c>
      <c r="H728" t="str">
        <f t="shared" si="37"/>
        <v>Mirage Granito Ceramico S.p.A.</v>
      </c>
      <c r="I728" s="112">
        <f t="shared" si="38"/>
        <v>45757</v>
      </c>
      <c r="J728" s="128">
        <f t="shared" si="39"/>
        <v>13337.65</v>
      </c>
    </row>
    <row r="729" spans="1:10" x14ac:dyDescent="0.3">
      <c r="A729" t="s">
        <v>422</v>
      </c>
      <c r="B729" s="4" t="s">
        <v>533</v>
      </c>
      <c r="C729" s="7">
        <v>45670</v>
      </c>
      <c r="D729" s="8">
        <v>2150.2199999999998</v>
      </c>
      <c r="E729" s="8"/>
      <c r="F729" s="122" t="s">
        <v>4110</v>
      </c>
      <c r="G729" s="44" t="s">
        <v>730</v>
      </c>
      <c r="H729" t="str">
        <f t="shared" si="37"/>
        <v>Mirage Granito Ceramico S.p.A.</v>
      </c>
      <c r="I729" s="112">
        <f t="shared" si="38"/>
        <v>45757</v>
      </c>
      <c r="J729" s="128">
        <f t="shared" si="39"/>
        <v>12171.6</v>
      </c>
    </row>
    <row r="730" spans="1:10" x14ac:dyDescent="0.3">
      <c r="A730" t="s">
        <v>422</v>
      </c>
      <c r="B730" s="4" t="s">
        <v>533</v>
      </c>
      <c r="C730" s="7">
        <v>45670</v>
      </c>
      <c r="D730" s="8">
        <v>20223.080000000002</v>
      </c>
      <c r="E730" s="8"/>
      <c r="F730" s="122" t="s">
        <v>4110</v>
      </c>
      <c r="G730" s="44" t="s">
        <v>731</v>
      </c>
      <c r="H730" t="str">
        <f t="shared" si="37"/>
        <v>Mirage Granito Ceramico S.p.A.</v>
      </c>
      <c r="I730" s="112">
        <f t="shared" si="38"/>
        <v>45785</v>
      </c>
      <c r="J730" s="128">
        <f t="shared" si="39"/>
        <v>2116.8000000000002</v>
      </c>
    </row>
    <row r="731" spans="1:10" x14ac:dyDescent="0.3">
      <c r="A731" t="s">
        <v>422</v>
      </c>
      <c r="B731" s="4" t="s">
        <v>534</v>
      </c>
      <c r="C731" s="7">
        <v>45671</v>
      </c>
      <c r="D731" s="8">
        <v>910.19</v>
      </c>
      <c r="E731" s="8"/>
      <c r="F731" s="122" t="s">
        <v>4110</v>
      </c>
      <c r="G731" s="44" t="s">
        <v>732</v>
      </c>
      <c r="H731" t="str">
        <f t="shared" si="37"/>
        <v>Mirage Granito Ceramico S.p.A.</v>
      </c>
      <c r="I731" s="112">
        <f t="shared" si="38"/>
        <v>45796</v>
      </c>
      <c r="J731" s="128">
        <f t="shared" si="39"/>
        <v>6526.8</v>
      </c>
    </row>
    <row r="732" spans="1:10" x14ac:dyDescent="0.3">
      <c r="A732" t="s">
        <v>422</v>
      </c>
      <c r="B732" s="4" t="s">
        <v>535</v>
      </c>
      <c r="C732" s="7">
        <v>45673</v>
      </c>
      <c r="D732" s="8">
        <v>121</v>
      </c>
      <c r="E732" s="8"/>
      <c r="F732" s="122" t="s">
        <v>4110</v>
      </c>
      <c r="G732" s="44" t="s">
        <v>733</v>
      </c>
      <c r="H732" t="str">
        <f t="shared" si="37"/>
        <v>Mirage Granito Ceramico S.p.A.</v>
      </c>
      <c r="I732" s="112">
        <f t="shared" si="38"/>
        <v>45813</v>
      </c>
      <c r="J732" s="128">
        <f t="shared" si="39"/>
        <v>13230</v>
      </c>
    </row>
    <row r="733" spans="1:10" x14ac:dyDescent="0.3">
      <c r="A733" t="s">
        <v>422</v>
      </c>
      <c r="B733" s="4" t="s">
        <v>536</v>
      </c>
      <c r="C733" s="7">
        <v>45674</v>
      </c>
      <c r="D733" s="8">
        <v>-8140.67</v>
      </c>
      <c r="E733" s="8"/>
      <c r="F733" s="122" t="s">
        <v>4110</v>
      </c>
      <c r="G733" s="44" t="s">
        <v>734</v>
      </c>
      <c r="H733" t="str">
        <f t="shared" si="37"/>
        <v>Mirage Granito Ceramico S.p.A.</v>
      </c>
      <c r="I733" s="112">
        <f t="shared" si="38"/>
        <v>45813</v>
      </c>
      <c r="J733" s="128">
        <f t="shared" si="39"/>
        <v>13230</v>
      </c>
    </row>
    <row r="734" spans="1:10" x14ac:dyDescent="0.3">
      <c r="A734" t="s">
        <v>422</v>
      </c>
      <c r="B734" s="4" t="s">
        <v>537</v>
      </c>
      <c r="C734" s="7">
        <v>45677</v>
      </c>
      <c r="D734" s="8">
        <v>590.9</v>
      </c>
      <c r="E734" s="8"/>
      <c r="F734" s="122" t="s">
        <v>4110</v>
      </c>
      <c r="G734" s="44" t="s">
        <v>735</v>
      </c>
      <c r="H734" t="str">
        <f t="shared" si="37"/>
        <v>Mirage Granito Ceramico S.p.A.</v>
      </c>
      <c r="I734" s="112">
        <f t="shared" si="38"/>
        <v>45813</v>
      </c>
      <c r="J734" s="128">
        <f t="shared" si="39"/>
        <v>8467.2000000000007</v>
      </c>
    </row>
    <row r="735" spans="1:10" x14ac:dyDescent="0.3">
      <c r="A735" t="s">
        <v>422</v>
      </c>
      <c r="B735" s="4" t="s">
        <v>538</v>
      </c>
      <c r="C735" s="7">
        <v>45677</v>
      </c>
      <c r="D735" s="8">
        <v>330.6</v>
      </c>
      <c r="E735" s="8"/>
      <c r="F735" s="122" t="s">
        <v>4110</v>
      </c>
      <c r="G735" s="44" t="s">
        <v>737</v>
      </c>
      <c r="H735" t="str">
        <f t="shared" si="37"/>
        <v>Modular Shower Walls</v>
      </c>
      <c r="I735" s="112">
        <f t="shared" si="38"/>
        <v>45658</v>
      </c>
      <c r="J735" s="128">
        <f t="shared" si="39"/>
        <v>3729.94</v>
      </c>
    </row>
    <row r="736" spans="1:10" x14ac:dyDescent="0.3">
      <c r="A736" t="s">
        <v>422</v>
      </c>
      <c r="B736" s="4" t="s">
        <v>539</v>
      </c>
      <c r="C736" s="7">
        <v>45677</v>
      </c>
      <c r="D736" s="8">
        <v>1619.71</v>
      </c>
      <c r="E736" s="8"/>
      <c r="F736" s="122" t="s">
        <v>4110</v>
      </c>
      <c r="G736" s="44" t="s">
        <v>738</v>
      </c>
      <c r="H736" t="str">
        <f t="shared" si="37"/>
        <v>Modular Shower Walls</v>
      </c>
      <c r="I736" s="112">
        <f t="shared" si="38"/>
        <v>45658</v>
      </c>
      <c r="J736" s="128">
        <f t="shared" si="39"/>
        <v>7.0000000000000007E-2</v>
      </c>
    </row>
    <row r="737" spans="1:10" x14ac:dyDescent="0.3">
      <c r="A737" t="s">
        <v>422</v>
      </c>
      <c r="B737" s="4" t="s">
        <v>540</v>
      </c>
      <c r="C737" s="7">
        <v>45677</v>
      </c>
      <c r="D737" s="8">
        <v>3208.66</v>
      </c>
      <c r="E737" s="8"/>
      <c r="F737" s="122" t="s">
        <v>4110</v>
      </c>
      <c r="G737" s="44" t="s">
        <v>739</v>
      </c>
      <c r="H737" t="str">
        <f t="shared" si="37"/>
        <v>Modular Shower Walls</v>
      </c>
      <c r="I737" s="112">
        <f t="shared" si="38"/>
        <v>45672</v>
      </c>
      <c r="J737" s="128">
        <f t="shared" si="39"/>
        <v>0.19</v>
      </c>
    </row>
    <row r="738" spans="1:10" x14ac:dyDescent="0.3">
      <c r="A738" t="s">
        <v>422</v>
      </c>
      <c r="B738" s="4" t="s">
        <v>541</v>
      </c>
      <c r="C738" s="7">
        <v>45678</v>
      </c>
      <c r="D738" s="8">
        <v>2273.83</v>
      </c>
      <c r="E738" s="8"/>
      <c r="F738" s="122" t="s">
        <v>4110</v>
      </c>
      <c r="G738" s="44" t="s">
        <v>740</v>
      </c>
      <c r="H738" t="str">
        <f t="shared" si="37"/>
        <v>Modular Shower Walls</v>
      </c>
      <c r="I738" s="112">
        <f t="shared" si="38"/>
        <v>45689</v>
      </c>
      <c r="J738" s="128">
        <f t="shared" si="39"/>
        <v>3933.93</v>
      </c>
    </row>
    <row r="739" spans="1:10" x14ac:dyDescent="0.3">
      <c r="A739" t="s">
        <v>422</v>
      </c>
      <c r="B739" s="4" t="s">
        <v>541</v>
      </c>
      <c r="C739" s="7">
        <v>45678</v>
      </c>
      <c r="D739" s="8">
        <v>3036.33</v>
      </c>
      <c r="E739" s="8"/>
      <c r="F739" s="122" t="s">
        <v>4110</v>
      </c>
      <c r="G739" s="44" t="s">
        <v>741</v>
      </c>
      <c r="H739" t="str">
        <f t="shared" si="37"/>
        <v>Modular Shower Walls</v>
      </c>
      <c r="I739" s="112">
        <f t="shared" si="38"/>
        <v>45744</v>
      </c>
      <c r="J739" s="128">
        <f t="shared" si="39"/>
        <v>19580.88</v>
      </c>
    </row>
    <row r="740" spans="1:10" x14ac:dyDescent="0.3">
      <c r="A740" t="s">
        <v>422</v>
      </c>
      <c r="B740" s="4" t="s">
        <v>542</v>
      </c>
      <c r="C740" s="7">
        <v>45678</v>
      </c>
      <c r="D740" s="8">
        <v>0.57999999999999996</v>
      </c>
      <c r="E740" s="8"/>
      <c r="F740" s="122" t="s">
        <v>4110</v>
      </c>
      <c r="G740" s="44" t="s">
        <v>742</v>
      </c>
      <c r="H740" t="str">
        <f t="shared" si="37"/>
        <v>Modular Shower Walls</v>
      </c>
      <c r="I740" s="112">
        <f t="shared" si="38"/>
        <v>45744</v>
      </c>
      <c r="J740" s="128">
        <f t="shared" si="39"/>
        <v>22480.3</v>
      </c>
    </row>
    <row r="741" spans="1:10" x14ac:dyDescent="0.3">
      <c r="A741" t="s">
        <v>422</v>
      </c>
      <c r="B741" s="4" t="s">
        <v>543</v>
      </c>
      <c r="C741" s="7">
        <v>45678</v>
      </c>
      <c r="D741" s="8">
        <v>776</v>
      </c>
      <c r="E741" s="8"/>
      <c r="F741" s="122" t="s">
        <v>4110</v>
      </c>
      <c r="G741" s="44" t="s">
        <v>743</v>
      </c>
      <c r="H741" t="str">
        <f t="shared" si="37"/>
        <v>Modular Shower Walls</v>
      </c>
      <c r="I741" s="112">
        <f t="shared" si="38"/>
        <v>45744</v>
      </c>
      <c r="J741" s="128">
        <f t="shared" si="39"/>
        <v>14412.83</v>
      </c>
    </row>
    <row r="742" spans="1:10" x14ac:dyDescent="0.3">
      <c r="A742" t="s">
        <v>422</v>
      </c>
      <c r="B742" s="4" t="s">
        <v>543</v>
      </c>
      <c r="C742" s="7">
        <v>45678</v>
      </c>
      <c r="D742" s="8">
        <v>2137.27</v>
      </c>
      <c r="E742" s="8"/>
      <c r="F742" s="122" t="s">
        <v>4110</v>
      </c>
      <c r="G742" s="44" t="s">
        <v>744</v>
      </c>
      <c r="H742" t="str">
        <f t="shared" si="37"/>
        <v>Modular Shower Walls</v>
      </c>
      <c r="I742" s="112">
        <f t="shared" si="38"/>
        <v>45744</v>
      </c>
      <c r="J742" s="128">
        <f t="shared" si="39"/>
        <v>534.82000000000005</v>
      </c>
    </row>
    <row r="743" spans="1:10" x14ac:dyDescent="0.3">
      <c r="A743" t="s">
        <v>422</v>
      </c>
      <c r="B743" s="4" t="s">
        <v>544</v>
      </c>
      <c r="C743" s="7">
        <v>45678</v>
      </c>
      <c r="D743" s="8">
        <v>205.9</v>
      </c>
      <c r="E743" s="8"/>
      <c r="F743" s="122" t="s">
        <v>4110</v>
      </c>
      <c r="G743" s="44" t="s">
        <v>745</v>
      </c>
      <c r="H743" t="str">
        <f t="shared" si="37"/>
        <v>Modular Shower Walls</v>
      </c>
      <c r="I743" s="112">
        <f t="shared" si="38"/>
        <v>45744</v>
      </c>
      <c r="J743" s="128">
        <f t="shared" si="39"/>
        <v>1324.81</v>
      </c>
    </row>
    <row r="744" spans="1:10" x14ac:dyDescent="0.3">
      <c r="A744" t="s">
        <v>422</v>
      </c>
      <c r="B744" s="4" t="s">
        <v>545</v>
      </c>
      <c r="C744" s="7">
        <v>45678</v>
      </c>
      <c r="D744" s="8">
        <v>104.69</v>
      </c>
      <c r="E744" s="8"/>
      <c r="F744" s="122" t="s">
        <v>4110</v>
      </c>
      <c r="G744" s="44" t="s">
        <v>746</v>
      </c>
      <c r="H744" t="str">
        <f t="shared" si="37"/>
        <v>Modular Shower Walls</v>
      </c>
      <c r="I744" s="112">
        <f t="shared" si="38"/>
        <v>45754</v>
      </c>
      <c r="J744" s="128">
        <f t="shared" si="39"/>
        <v>627.03</v>
      </c>
    </row>
    <row r="745" spans="1:10" x14ac:dyDescent="0.3">
      <c r="A745" t="s">
        <v>422</v>
      </c>
      <c r="B745" s="4" t="s">
        <v>546</v>
      </c>
      <c r="C745" s="7">
        <v>45680</v>
      </c>
      <c r="D745" s="8">
        <v>14370.73</v>
      </c>
      <c r="E745" s="8"/>
      <c r="F745" s="122" t="s">
        <v>4110</v>
      </c>
      <c r="G745" s="44" t="s">
        <v>747</v>
      </c>
      <c r="H745" t="str">
        <f t="shared" si="37"/>
        <v>Modular Shower Walls</v>
      </c>
      <c r="I745" s="112">
        <f t="shared" si="38"/>
        <v>45757</v>
      </c>
      <c r="J745" s="128">
        <f t="shared" si="39"/>
        <v>9332.4</v>
      </c>
    </row>
    <row r="746" spans="1:10" x14ac:dyDescent="0.3">
      <c r="A746" t="s">
        <v>422</v>
      </c>
      <c r="B746" s="4" t="s">
        <v>547</v>
      </c>
      <c r="C746" s="7">
        <v>45680</v>
      </c>
      <c r="D746" s="8">
        <v>7</v>
      </c>
      <c r="E746" s="8"/>
      <c r="F746" s="122" t="s">
        <v>4110</v>
      </c>
      <c r="G746" s="44" t="s">
        <v>748</v>
      </c>
      <c r="H746" t="str">
        <f t="shared" si="37"/>
        <v>Modular Shower Walls</v>
      </c>
      <c r="I746" s="112">
        <f t="shared" si="38"/>
        <v>45757</v>
      </c>
      <c r="J746" s="128">
        <f t="shared" si="39"/>
        <v>1054.05</v>
      </c>
    </row>
    <row r="747" spans="1:10" x14ac:dyDescent="0.3">
      <c r="A747" t="s">
        <v>422</v>
      </c>
      <c r="B747" s="4" t="s">
        <v>548</v>
      </c>
      <c r="C747" s="7">
        <v>45680</v>
      </c>
      <c r="D747" s="8">
        <v>150.99</v>
      </c>
      <c r="E747" s="8"/>
      <c r="F747" s="122" t="s">
        <v>4110</v>
      </c>
      <c r="G747" s="44" t="s">
        <v>749</v>
      </c>
      <c r="H747" t="str">
        <f t="shared" si="37"/>
        <v>Modular Shower Walls</v>
      </c>
      <c r="I747" s="112">
        <f t="shared" si="38"/>
        <v>45762</v>
      </c>
      <c r="J747" s="128">
        <f t="shared" si="39"/>
        <v>6585.59</v>
      </c>
    </row>
    <row r="748" spans="1:10" x14ac:dyDescent="0.3">
      <c r="A748" t="s">
        <v>422</v>
      </c>
      <c r="B748" s="4" t="s">
        <v>549</v>
      </c>
      <c r="C748" s="7">
        <v>45681</v>
      </c>
      <c r="D748" s="8">
        <v>137.1</v>
      </c>
      <c r="E748" s="8"/>
      <c r="F748" s="122" t="s">
        <v>4110</v>
      </c>
      <c r="G748" s="44" t="s">
        <v>750</v>
      </c>
      <c r="H748" t="str">
        <f t="shared" si="37"/>
        <v>Modular Shower Walls</v>
      </c>
      <c r="I748" s="112">
        <f t="shared" si="38"/>
        <v>45772</v>
      </c>
      <c r="J748" s="128">
        <f t="shared" si="39"/>
        <v>1572.59</v>
      </c>
    </row>
    <row r="749" spans="1:10" x14ac:dyDescent="0.3">
      <c r="A749" t="s">
        <v>422</v>
      </c>
      <c r="B749" s="4" t="s">
        <v>550</v>
      </c>
      <c r="C749" s="7">
        <v>45681</v>
      </c>
      <c r="D749" s="8">
        <v>2155.6999999999998</v>
      </c>
      <c r="E749" s="8"/>
      <c r="F749" s="122" t="s">
        <v>4110</v>
      </c>
      <c r="G749" s="44" t="s">
        <v>751</v>
      </c>
      <c r="H749" t="str">
        <f t="shared" si="37"/>
        <v>Modular Shower Walls</v>
      </c>
      <c r="I749" s="112">
        <f t="shared" si="38"/>
        <v>45776</v>
      </c>
      <c r="J749" s="128">
        <f t="shared" si="39"/>
        <v>28904.400000000001</v>
      </c>
    </row>
    <row r="750" spans="1:10" x14ac:dyDescent="0.3">
      <c r="A750" t="s">
        <v>422</v>
      </c>
      <c r="B750" s="4" t="s">
        <v>551</v>
      </c>
      <c r="C750" s="7">
        <v>45681</v>
      </c>
      <c r="D750" s="8">
        <v>10</v>
      </c>
      <c r="E750" s="8"/>
      <c r="F750" s="122" t="s">
        <v>4110</v>
      </c>
      <c r="G750" s="44" t="s">
        <v>752</v>
      </c>
      <c r="H750" t="str">
        <f t="shared" si="37"/>
        <v>Modular Shower Walls</v>
      </c>
      <c r="I750" s="112">
        <f t="shared" si="38"/>
        <v>45776</v>
      </c>
      <c r="J750" s="128">
        <f t="shared" si="39"/>
        <v>4390.92</v>
      </c>
    </row>
    <row r="751" spans="1:10" x14ac:dyDescent="0.3">
      <c r="A751" t="s">
        <v>422</v>
      </c>
      <c r="B751" s="4" t="s">
        <v>552</v>
      </c>
      <c r="C751" s="7">
        <v>45681</v>
      </c>
      <c r="D751" s="8">
        <v>-26290.3</v>
      </c>
      <c r="E751" s="8"/>
      <c r="F751" s="122" t="s">
        <v>4110</v>
      </c>
      <c r="G751" s="44" t="s">
        <v>753</v>
      </c>
      <c r="H751" t="str">
        <f t="shared" si="37"/>
        <v>Modular Shower Walls</v>
      </c>
      <c r="I751" s="112">
        <f t="shared" si="38"/>
        <v>45777</v>
      </c>
      <c r="J751" s="128">
        <f t="shared" si="39"/>
        <v>3914</v>
      </c>
    </row>
    <row r="752" spans="1:10" x14ac:dyDescent="0.3">
      <c r="A752" t="s">
        <v>422</v>
      </c>
      <c r="B752" s="4" t="s">
        <v>553</v>
      </c>
      <c r="C752" s="7">
        <v>45701</v>
      </c>
      <c r="D752" s="8">
        <v>527.59</v>
      </c>
      <c r="E752" s="8"/>
      <c r="F752" s="122" t="s">
        <v>4110</v>
      </c>
      <c r="G752" s="44" t="s">
        <v>754</v>
      </c>
      <c r="H752" t="str">
        <f t="shared" si="37"/>
        <v>Modular Shower Walls</v>
      </c>
      <c r="I752" s="112">
        <f t="shared" si="38"/>
        <v>45777</v>
      </c>
      <c r="J752" s="128">
        <f t="shared" si="39"/>
        <v>1777.6</v>
      </c>
    </row>
    <row r="753" spans="1:10" x14ac:dyDescent="0.3">
      <c r="A753" t="s">
        <v>422</v>
      </c>
      <c r="B753" s="4" t="s">
        <v>466</v>
      </c>
      <c r="C753" s="7">
        <v>45703</v>
      </c>
      <c r="D753" s="8">
        <v>1753.53</v>
      </c>
      <c r="E753" s="8"/>
      <c r="F753" s="122" t="s">
        <v>4110</v>
      </c>
      <c r="G753" s="44" t="s">
        <v>755</v>
      </c>
      <c r="H753" t="str">
        <f t="shared" si="37"/>
        <v>Modular Shower Walls</v>
      </c>
      <c r="I753" s="112">
        <f t="shared" si="38"/>
        <v>45784</v>
      </c>
      <c r="J753" s="128">
        <f t="shared" si="39"/>
        <v>322.01</v>
      </c>
    </row>
    <row r="754" spans="1:10" x14ac:dyDescent="0.3">
      <c r="A754" t="s">
        <v>422</v>
      </c>
      <c r="B754" s="4" t="s">
        <v>466</v>
      </c>
      <c r="C754" s="7">
        <v>45707</v>
      </c>
      <c r="D754" s="8">
        <v>330.3</v>
      </c>
      <c r="E754" s="8"/>
      <c r="F754" s="122" t="s">
        <v>4110</v>
      </c>
      <c r="G754" s="44" t="s">
        <v>756</v>
      </c>
      <c r="H754" t="str">
        <f t="shared" si="37"/>
        <v>Modular Shower Walls</v>
      </c>
      <c r="I754" s="112">
        <f t="shared" si="38"/>
        <v>45793</v>
      </c>
      <c r="J754" s="128">
        <f t="shared" si="39"/>
        <v>566.02</v>
      </c>
    </row>
    <row r="755" spans="1:10" x14ac:dyDescent="0.3">
      <c r="A755" t="s">
        <v>422</v>
      </c>
      <c r="B755" s="4" t="s">
        <v>554</v>
      </c>
      <c r="C755" s="7">
        <v>45712</v>
      </c>
      <c r="D755" s="8">
        <v>30977.29</v>
      </c>
      <c r="E755" s="8"/>
      <c r="F755" s="122" t="s">
        <v>4110</v>
      </c>
      <c r="G755" s="44" t="s">
        <v>757</v>
      </c>
      <c r="H755" t="str">
        <f t="shared" si="37"/>
        <v>Modular Shower Walls</v>
      </c>
      <c r="I755" s="112">
        <f t="shared" si="38"/>
        <v>45793</v>
      </c>
      <c r="J755" s="128">
        <f t="shared" si="39"/>
        <v>2542.5500000000002</v>
      </c>
    </row>
    <row r="756" spans="1:10" x14ac:dyDescent="0.3">
      <c r="A756" t="s">
        <v>422</v>
      </c>
      <c r="B756" s="4" t="s">
        <v>555</v>
      </c>
      <c r="C756" s="7">
        <v>45713</v>
      </c>
      <c r="D756" s="8">
        <v>3995.42</v>
      </c>
      <c r="E756" s="8"/>
      <c r="F756" s="122" t="s">
        <v>4110</v>
      </c>
      <c r="G756" s="44" t="s">
        <v>758</v>
      </c>
      <c r="H756" t="str">
        <f t="shared" si="37"/>
        <v>Modular Shower Walls</v>
      </c>
      <c r="I756" s="112">
        <f t="shared" si="38"/>
        <v>45798</v>
      </c>
      <c r="J756" s="128">
        <f t="shared" si="39"/>
        <v>28</v>
      </c>
    </row>
    <row r="757" spans="1:10" x14ac:dyDescent="0.3">
      <c r="A757" t="s">
        <v>422</v>
      </c>
      <c r="B757" s="4" t="s">
        <v>556</v>
      </c>
      <c r="C757" s="7">
        <v>45720</v>
      </c>
      <c r="D757" s="8">
        <v>1468.92</v>
      </c>
      <c r="E757" s="8"/>
      <c r="F757" s="122" t="s">
        <v>4110</v>
      </c>
      <c r="G757" s="44" t="s">
        <v>759</v>
      </c>
      <c r="H757" t="str">
        <f t="shared" si="37"/>
        <v>Modular Shower Walls</v>
      </c>
      <c r="I757" s="112">
        <f t="shared" si="38"/>
        <v>45800</v>
      </c>
      <c r="J757" s="128">
        <f t="shared" si="39"/>
        <v>161.44</v>
      </c>
    </row>
    <row r="758" spans="1:10" x14ac:dyDescent="0.3">
      <c r="A758" t="s">
        <v>422</v>
      </c>
      <c r="B758" s="4" t="s">
        <v>557</v>
      </c>
      <c r="C758" s="7">
        <v>45729</v>
      </c>
      <c r="D758" s="8">
        <v>6798.95</v>
      </c>
      <c r="E758" s="8"/>
      <c r="F758" s="122" t="s">
        <v>4110</v>
      </c>
      <c r="G758" s="44" t="s">
        <v>760</v>
      </c>
      <c r="H758" t="str">
        <f t="shared" si="37"/>
        <v>Modular Shower Walls</v>
      </c>
      <c r="I758" s="112">
        <f t="shared" si="38"/>
        <v>45835</v>
      </c>
      <c r="J758" s="128">
        <f t="shared" si="39"/>
        <v>22737.33</v>
      </c>
    </row>
    <row r="759" spans="1:10" x14ac:dyDescent="0.3">
      <c r="A759" t="s">
        <v>422</v>
      </c>
      <c r="B759" s="4" t="s">
        <v>558</v>
      </c>
      <c r="C759" s="7">
        <v>45729</v>
      </c>
      <c r="D759" s="8">
        <v>150.15</v>
      </c>
      <c r="E759" s="8"/>
      <c r="F759" s="122" t="s">
        <v>4110</v>
      </c>
      <c r="G759" s="44" t="s">
        <v>761</v>
      </c>
      <c r="H759" t="str">
        <f t="shared" si="37"/>
        <v>Modular Shower Walls</v>
      </c>
      <c r="I759" s="112">
        <f t="shared" si="38"/>
        <v>45835</v>
      </c>
      <c r="J759" s="128">
        <f t="shared" si="39"/>
        <v>15360.6</v>
      </c>
    </row>
    <row r="760" spans="1:10" x14ac:dyDescent="0.3">
      <c r="A760" t="s">
        <v>422</v>
      </c>
      <c r="B760" s="4" t="s">
        <v>559</v>
      </c>
      <c r="C760" s="7">
        <v>45740</v>
      </c>
      <c r="D760" s="8">
        <v>118.01</v>
      </c>
      <c r="E760" s="8"/>
      <c r="F760" s="122" t="s">
        <v>4110</v>
      </c>
      <c r="G760" s="44" t="s">
        <v>762</v>
      </c>
      <c r="H760" t="str">
        <f t="shared" si="37"/>
        <v>Modular Shower Walls</v>
      </c>
      <c r="I760" s="112">
        <f t="shared" si="38"/>
        <v>45838</v>
      </c>
      <c r="J760" s="128">
        <f t="shared" si="39"/>
        <v>6066.7</v>
      </c>
    </row>
    <row r="761" spans="1:10" x14ac:dyDescent="0.3">
      <c r="A761" t="s">
        <v>422</v>
      </c>
      <c r="B761" s="4" t="s">
        <v>560</v>
      </c>
      <c r="C761" s="7">
        <v>45740</v>
      </c>
      <c r="D761" s="8">
        <v>314.82</v>
      </c>
      <c r="E761" s="8"/>
      <c r="F761" s="122" t="s">
        <v>4110</v>
      </c>
      <c r="G761" s="44" t="s">
        <v>763</v>
      </c>
      <c r="H761" t="str">
        <f t="shared" si="37"/>
        <v>Modular Shower Walls</v>
      </c>
      <c r="I761" s="112">
        <f t="shared" si="38"/>
        <v>45838</v>
      </c>
      <c r="J761" s="128">
        <f t="shared" si="39"/>
        <v>19511.21</v>
      </c>
    </row>
    <row r="762" spans="1:10" x14ac:dyDescent="0.3">
      <c r="A762" t="s">
        <v>422</v>
      </c>
      <c r="B762" s="4" t="s">
        <v>561</v>
      </c>
      <c r="C762" s="7">
        <v>45740</v>
      </c>
      <c r="D762" s="8">
        <v>0.19</v>
      </c>
      <c r="E762" s="8"/>
      <c r="F762" s="122" t="s">
        <v>4110</v>
      </c>
      <c r="G762" s="44">
        <v>6282024</v>
      </c>
      <c r="H762" t="str">
        <f t="shared" si="37"/>
        <v>Modular Vanity tops &amp; Bases</v>
      </c>
      <c r="I762" s="112">
        <f t="shared" si="38"/>
        <v>45471</v>
      </c>
      <c r="J762" s="128">
        <f t="shared" si="39"/>
        <v>353.66</v>
      </c>
    </row>
    <row r="763" spans="1:10" x14ac:dyDescent="0.3">
      <c r="A763" t="s">
        <v>422</v>
      </c>
      <c r="B763" s="4" t="s">
        <v>562</v>
      </c>
      <c r="C763" s="7">
        <v>45745</v>
      </c>
      <c r="D763" s="8">
        <v>77.05</v>
      </c>
      <c r="E763" s="8"/>
      <c r="F763" s="122" t="s">
        <v>4110</v>
      </c>
      <c r="G763" s="44" t="s">
        <v>766</v>
      </c>
      <c r="H763" t="str">
        <f t="shared" si="37"/>
        <v>Momentum Group</v>
      </c>
      <c r="I763" s="112">
        <f t="shared" si="38"/>
        <v>45602</v>
      </c>
      <c r="J763" s="128">
        <f t="shared" si="39"/>
        <v>-44.04</v>
      </c>
    </row>
    <row r="764" spans="1:10" x14ac:dyDescent="0.3">
      <c r="A764" t="s">
        <v>422</v>
      </c>
      <c r="B764" s="4" t="s">
        <v>563</v>
      </c>
      <c r="C764" s="7">
        <v>45749</v>
      </c>
      <c r="D764" s="8">
        <v>386.28</v>
      </c>
      <c r="E764" s="8"/>
      <c r="F764" s="122" t="s">
        <v>4110</v>
      </c>
      <c r="G764" s="44" t="s">
        <v>767</v>
      </c>
      <c r="H764" t="str">
        <f t="shared" si="37"/>
        <v>Momentum Group</v>
      </c>
      <c r="I764" s="112">
        <f t="shared" si="38"/>
        <v>45750</v>
      </c>
      <c r="J764" s="128">
        <f t="shared" si="39"/>
        <v>-16583.29</v>
      </c>
    </row>
    <row r="765" spans="1:10" x14ac:dyDescent="0.3">
      <c r="A765" t="s">
        <v>422</v>
      </c>
      <c r="B765" s="4" t="s">
        <v>564</v>
      </c>
      <c r="C765" s="7">
        <v>45749</v>
      </c>
      <c r="D765" s="8">
        <v>-3380.02</v>
      </c>
      <c r="E765" s="8"/>
      <c r="F765" s="122" t="s">
        <v>4110</v>
      </c>
      <c r="G765" s="44" t="s">
        <v>768</v>
      </c>
      <c r="H765" t="str">
        <f t="shared" si="37"/>
        <v>Momentum Group</v>
      </c>
      <c r="I765" s="112">
        <f t="shared" si="38"/>
        <v>45756</v>
      </c>
      <c r="J765" s="128">
        <f t="shared" si="39"/>
        <v>-1146.53</v>
      </c>
    </row>
    <row r="766" spans="1:10" x14ac:dyDescent="0.3">
      <c r="A766" t="s">
        <v>422</v>
      </c>
      <c r="B766" s="4" t="s">
        <v>564</v>
      </c>
      <c r="C766" s="7">
        <v>45749</v>
      </c>
      <c r="D766" s="8">
        <v>-2019.55</v>
      </c>
      <c r="E766" s="8"/>
      <c r="F766" s="122" t="s">
        <v>4110</v>
      </c>
      <c r="G766" s="44" t="s">
        <v>769</v>
      </c>
      <c r="H766" t="str">
        <f t="shared" si="37"/>
        <v>Momentum Group</v>
      </c>
      <c r="I766" s="112">
        <f t="shared" si="38"/>
        <v>45790</v>
      </c>
      <c r="J766" s="128">
        <f t="shared" si="39"/>
        <v>-532.70000000000005</v>
      </c>
    </row>
    <row r="767" spans="1:10" x14ac:dyDescent="0.3">
      <c r="A767" t="s">
        <v>422</v>
      </c>
      <c r="B767" s="4" t="s">
        <v>564</v>
      </c>
      <c r="C767" s="7">
        <v>45749</v>
      </c>
      <c r="D767" s="8">
        <v>-1462.96</v>
      </c>
      <c r="E767" s="8"/>
      <c r="F767" s="122" t="s">
        <v>4110</v>
      </c>
      <c r="G767" s="44" t="s">
        <v>770</v>
      </c>
      <c r="H767" t="str">
        <f t="shared" si="37"/>
        <v>Momentum Group</v>
      </c>
      <c r="I767" s="112">
        <f t="shared" si="38"/>
        <v>45812</v>
      </c>
      <c r="J767" s="128">
        <f t="shared" si="39"/>
        <v>-578.51</v>
      </c>
    </row>
    <row r="768" spans="1:10" x14ac:dyDescent="0.3">
      <c r="A768" t="s">
        <v>422</v>
      </c>
      <c r="B768" s="4" t="s">
        <v>60</v>
      </c>
      <c r="C768" s="7">
        <v>45756</v>
      </c>
      <c r="D768" s="8">
        <v>-20102.099999999999</v>
      </c>
      <c r="E768" s="8"/>
      <c r="F768" s="122" t="s">
        <v>4110</v>
      </c>
      <c r="G768" s="44" t="s">
        <v>771</v>
      </c>
      <c r="H768" t="str">
        <f t="shared" si="37"/>
        <v>Momentum Group</v>
      </c>
      <c r="I768" s="112">
        <f t="shared" si="38"/>
        <v>45817</v>
      </c>
      <c r="J768" s="128">
        <f t="shared" si="39"/>
        <v>-533.44000000000005</v>
      </c>
    </row>
    <row r="769" spans="1:11" x14ac:dyDescent="0.3">
      <c r="A769" t="s">
        <v>422</v>
      </c>
      <c r="B769" s="4" t="s">
        <v>60</v>
      </c>
      <c r="C769" s="7">
        <v>45756</v>
      </c>
      <c r="D769" s="8">
        <v>-7812.45</v>
      </c>
      <c r="E769" s="8"/>
      <c r="F769" s="122" t="s">
        <v>4110</v>
      </c>
      <c r="G769" s="44" t="s">
        <v>773</v>
      </c>
      <c r="H769" t="str">
        <f t="shared" si="37"/>
        <v>Monster displays</v>
      </c>
      <c r="I769" s="112">
        <f t="shared" si="38"/>
        <v>45769</v>
      </c>
      <c r="J769" s="128">
        <f t="shared" si="39"/>
        <v>-2668.07</v>
      </c>
    </row>
    <row r="770" spans="1:11" x14ac:dyDescent="0.3">
      <c r="A770" t="s">
        <v>422</v>
      </c>
      <c r="B770" s="4" t="s">
        <v>60</v>
      </c>
      <c r="C770" s="7">
        <v>45756</v>
      </c>
      <c r="D770" s="8">
        <v>-145.1</v>
      </c>
      <c r="E770" s="8"/>
      <c r="F770" s="122" t="s">
        <v>4110</v>
      </c>
      <c r="G770" s="44" t="s">
        <v>774</v>
      </c>
      <c r="H770" t="str">
        <f t="shared" si="37"/>
        <v>Monster displays</v>
      </c>
      <c r="I770" s="112">
        <f t="shared" si="38"/>
        <v>45788</v>
      </c>
      <c r="J770" s="128">
        <f t="shared" si="39"/>
        <v>-1104.19</v>
      </c>
    </row>
    <row r="771" spans="1:11" x14ac:dyDescent="0.3">
      <c r="A771" t="s">
        <v>422</v>
      </c>
      <c r="B771" s="4" t="s">
        <v>60</v>
      </c>
      <c r="C771" s="7">
        <v>45756</v>
      </c>
      <c r="D771" s="8">
        <v>-2.86</v>
      </c>
      <c r="E771" s="8"/>
      <c r="F771" s="122" t="s">
        <v>4110</v>
      </c>
      <c r="G771" s="44" t="s">
        <v>776</v>
      </c>
      <c r="H771" t="str">
        <f t="shared" si="37"/>
        <v>MS International, Inc.</v>
      </c>
      <c r="I771" s="112">
        <f t="shared" si="38"/>
        <v>45828</v>
      </c>
      <c r="J771" s="128">
        <f t="shared" si="39"/>
        <v>689</v>
      </c>
    </row>
    <row r="772" spans="1:11" x14ac:dyDescent="0.3">
      <c r="A772" t="s">
        <v>422</v>
      </c>
      <c r="B772" s="4" t="s">
        <v>565</v>
      </c>
      <c r="C772" s="7">
        <v>45761</v>
      </c>
      <c r="D772" s="8">
        <v>-2442</v>
      </c>
      <c r="E772" s="8"/>
      <c r="F772" s="122" t="s">
        <v>4110</v>
      </c>
      <c r="G772" s="44" t="s">
        <v>778</v>
      </c>
      <c r="H772" t="str">
        <f t="shared" si="37"/>
        <v>Muraspec Decorative Solutions Limited/Barclays</v>
      </c>
      <c r="I772" s="112">
        <f t="shared" si="38"/>
        <v>45622</v>
      </c>
      <c r="J772" s="128">
        <f t="shared" si="39"/>
        <v>-8993.4599999999991</v>
      </c>
    </row>
    <row r="773" spans="1:11" x14ac:dyDescent="0.3">
      <c r="A773" t="s">
        <v>422</v>
      </c>
      <c r="B773" s="4" t="s">
        <v>565</v>
      </c>
      <c r="C773" s="7">
        <v>45761</v>
      </c>
      <c r="D773" s="8">
        <v>-2442</v>
      </c>
      <c r="E773" s="8"/>
      <c r="F773" s="123" t="s">
        <v>4109</v>
      </c>
      <c r="G773" s="44">
        <v>110514</v>
      </c>
      <c r="H773" t="str">
        <f t="shared" si="37"/>
        <v>MW Logistics, LLC</v>
      </c>
      <c r="I773" s="112">
        <f t="shared" si="38"/>
        <v>45733</v>
      </c>
      <c r="J773" s="128">
        <f t="shared" si="39"/>
        <v>250</v>
      </c>
      <c r="K773" s="102"/>
    </row>
    <row r="774" spans="1:11" x14ac:dyDescent="0.3">
      <c r="A774" t="s">
        <v>422</v>
      </c>
      <c r="B774" s="4" t="s">
        <v>566</v>
      </c>
      <c r="C774" s="7">
        <v>45763</v>
      </c>
      <c r="D774" s="8">
        <v>400</v>
      </c>
      <c r="E774" s="8"/>
      <c r="F774" s="122" t="s">
        <v>4110</v>
      </c>
      <c r="G774" s="44" t="s">
        <v>781</v>
      </c>
      <c r="H774" t="str">
        <f t="shared" ref="H774:H837" si="40">_xlfn.XLOOKUP(G774,B:B,A:A,,)</f>
        <v>National Wallcovering</v>
      </c>
      <c r="I774" s="112">
        <f t="shared" ref="I774:I837" si="41">_xlfn.XLOOKUP(G774,B:B,C:C,,)</f>
        <v>45401</v>
      </c>
      <c r="J774" s="128">
        <f t="shared" ref="J774:J837" si="42">SUMIF(B:B,G774,D:D)</f>
        <v>-3986.78</v>
      </c>
    </row>
    <row r="775" spans="1:11" x14ac:dyDescent="0.3">
      <c r="A775" t="s">
        <v>422</v>
      </c>
      <c r="B775" s="4" t="s">
        <v>567</v>
      </c>
      <c r="C775" s="7">
        <v>45769</v>
      </c>
      <c r="D775" s="8">
        <v>-23549.4</v>
      </c>
      <c r="E775" s="8"/>
      <c r="F775" s="122" t="s">
        <v>4110</v>
      </c>
      <c r="G775" s="44" t="s">
        <v>783</v>
      </c>
      <c r="H775" t="str">
        <f t="shared" si="40"/>
        <v>Natucer Ceramica</v>
      </c>
      <c r="I775" s="112">
        <f t="shared" si="41"/>
        <v>45420</v>
      </c>
      <c r="J775" s="128">
        <f t="shared" si="42"/>
        <v>0.1</v>
      </c>
    </row>
    <row r="776" spans="1:11" x14ac:dyDescent="0.3">
      <c r="A776" t="s">
        <v>422</v>
      </c>
      <c r="B776" s="4" t="s">
        <v>567</v>
      </c>
      <c r="C776" s="7">
        <v>45769</v>
      </c>
      <c r="D776" s="8">
        <v>-10751.59</v>
      </c>
      <c r="E776" s="8"/>
      <c r="F776" s="122" t="s">
        <v>4110</v>
      </c>
      <c r="G776" s="44" t="s">
        <v>784</v>
      </c>
      <c r="H776" t="str">
        <f t="shared" si="40"/>
        <v>Natucer Ceramica</v>
      </c>
      <c r="I776" s="112">
        <f t="shared" si="41"/>
        <v>45603</v>
      </c>
      <c r="J776" s="128">
        <f t="shared" si="42"/>
        <v>-0.1</v>
      </c>
    </row>
    <row r="777" spans="1:11" x14ac:dyDescent="0.3">
      <c r="A777" t="s">
        <v>422</v>
      </c>
      <c r="B777" s="4" t="s">
        <v>567</v>
      </c>
      <c r="C777" s="7">
        <v>45769</v>
      </c>
      <c r="D777" s="8">
        <v>-3900</v>
      </c>
      <c r="E777" s="8"/>
      <c r="F777" s="122" t="s">
        <v>4110</v>
      </c>
      <c r="G777" s="44" t="s">
        <v>785</v>
      </c>
      <c r="H777" t="str">
        <f t="shared" si="40"/>
        <v>Natucer Ceramica</v>
      </c>
      <c r="I777" s="112">
        <f t="shared" si="41"/>
        <v>45740</v>
      </c>
      <c r="J777" s="128">
        <f t="shared" si="42"/>
        <v>2397.6</v>
      </c>
    </row>
    <row r="778" spans="1:11" x14ac:dyDescent="0.3">
      <c r="A778" t="s">
        <v>422</v>
      </c>
      <c r="B778" s="4" t="s">
        <v>567</v>
      </c>
      <c r="C778" s="7">
        <v>45769</v>
      </c>
      <c r="D778" s="8">
        <v>-2699.53</v>
      </c>
      <c r="E778" s="8"/>
      <c r="F778" s="123" t="s">
        <v>4109</v>
      </c>
      <c r="G778" s="44" t="s">
        <v>787</v>
      </c>
      <c r="H778" t="str">
        <f t="shared" si="40"/>
        <v>OCEAN NETWORK EXPRESS</v>
      </c>
      <c r="I778" s="112">
        <f t="shared" si="41"/>
        <v>45632</v>
      </c>
      <c r="J778" s="128">
        <f t="shared" si="42"/>
        <v>330</v>
      </c>
      <c r="K778" s="102"/>
    </row>
    <row r="779" spans="1:11" x14ac:dyDescent="0.3">
      <c r="A779" t="s">
        <v>422</v>
      </c>
      <c r="B779" s="4" t="s">
        <v>567</v>
      </c>
      <c r="C779" s="7">
        <v>45769</v>
      </c>
      <c r="D779" s="8">
        <v>-1725.83</v>
      </c>
      <c r="E779" s="8"/>
      <c r="F779" s="123" t="s">
        <v>4109</v>
      </c>
      <c r="G779" s="44" t="s">
        <v>789</v>
      </c>
      <c r="H779" t="str">
        <f t="shared" si="40"/>
        <v>Orient Overseas Container line LTD / OOCL (USA) INC.</v>
      </c>
      <c r="I779" s="112">
        <f t="shared" si="41"/>
        <v>45644</v>
      </c>
      <c r="J779" s="128">
        <f t="shared" si="42"/>
        <v>-210</v>
      </c>
      <c r="K779" s="102"/>
    </row>
    <row r="780" spans="1:11" x14ac:dyDescent="0.3">
      <c r="A780" t="s">
        <v>422</v>
      </c>
      <c r="B780" s="4" t="s">
        <v>567</v>
      </c>
      <c r="C780" s="7">
        <v>45769</v>
      </c>
      <c r="D780" s="8">
        <v>-1197.18</v>
      </c>
      <c r="E780" s="8"/>
      <c r="F780" s="122" t="s">
        <v>4110</v>
      </c>
      <c r="G780" s="44" t="s">
        <v>792</v>
      </c>
      <c r="H780" t="str">
        <f t="shared" si="40"/>
        <v>PADRON FLOORING &amp; DESIGN CENTER</v>
      </c>
      <c r="I780" s="112">
        <f t="shared" si="41"/>
        <v>45814</v>
      </c>
      <c r="J780" s="128">
        <f t="shared" si="42"/>
        <v>-3410</v>
      </c>
      <c r="K780" s="102"/>
    </row>
    <row r="781" spans="1:11" x14ac:dyDescent="0.3">
      <c r="A781" t="s">
        <v>422</v>
      </c>
      <c r="B781" s="4" t="s">
        <v>567</v>
      </c>
      <c r="C781" s="7">
        <v>45769</v>
      </c>
      <c r="D781" s="8">
        <v>-800</v>
      </c>
      <c r="E781" s="8"/>
      <c r="F781" s="122" t="s">
        <v>4110</v>
      </c>
      <c r="G781" s="44">
        <v>4</v>
      </c>
      <c r="H781" t="str">
        <f t="shared" si="40"/>
        <v>Pantarei</v>
      </c>
      <c r="I781" s="112">
        <f t="shared" si="41"/>
        <v>45314</v>
      </c>
      <c r="J781" s="128">
        <f t="shared" si="42"/>
        <v>2023.67</v>
      </c>
    </row>
    <row r="782" spans="1:11" x14ac:dyDescent="0.3">
      <c r="A782" t="s">
        <v>422</v>
      </c>
      <c r="B782" s="4" t="s">
        <v>567</v>
      </c>
      <c r="C782" s="7">
        <v>45769</v>
      </c>
      <c r="D782" s="8">
        <v>-590.9</v>
      </c>
      <c r="E782" s="8"/>
      <c r="F782" s="122" t="s">
        <v>4110</v>
      </c>
      <c r="G782" s="44">
        <v>6</v>
      </c>
      <c r="H782" t="str">
        <f t="shared" si="40"/>
        <v>Pantarei</v>
      </c>
      <c r="I782" s="112">
        <f t="shared" si="41"/>
        <v>45329</v>
      </c>
      <c r="J782" s="128">
        <f t="shared" si="42"/>
        <v>4339.51</v>
      </c>
    </row>
    <row r="783" spans="1:11" x14ac:dyDescent="0.3">
      <c r="A783" t="s">
        <v>422</v>
      </c>
      <c r="B783" s="4" t="s">
        <v>567</v>
      </c>
      <c r="C783" s="7">
        <v>45769</v>
      </c>
      <c r="D783" s="8">
        <v>-318.7</v>
      </c>
      <c r="E783" s="8"/>
      <c r="F783" s="122" t="s">
        <v>4110</v>
      </c>
      <c r="G783" s="44" t="s">
        <v>794</v>
      </c>
      <c r="H783" t="str">
        <f t="shared" si="40"/>
        <v>Pantarei</v>
      </c>
      <c r="I783" s="112">
        <f t="shared" si="41"/>
        <v>45329</v>
      </c>
      <c r="J783" s="128">
        <f t="shared" si="42"/>
        <v>-52670.48</v>
      </c>
    </row>
    <row r="784" spans="1:11" x14ac:dyDescent="0.3">
      <c r="A784" t="s">
        <v>422</v>
      </c>
      <c r="B784" s="4" t="s">
        <v>567</v>
      </c>
      <c r="C784" s="7">
        <v>45769</v>
      </c>
      <c r="D784" s="8">
        <v>-293.63</v>
      </c>
      <c r="E784" s="8"/>
      <c r="F784" s="122" t="s">
        <v>4110</v>
      </c>
      <c r="G784" s="44" t="s">
        <v>795</v>
      </c>
      <c r="H784" t="str">
        <f t="shared" si="40"/>
        <v>Pantarei</v>
      </c>
      <c r="I784" s="112">
        <f t="shared" si="41"/>
        <v>45337</v>
      </c>
      <c r="J784" s="128">
        <f t="shared" si="42"/>
        <v>-6000</v>
      </c>
    </row>
    <row r="785" spans="1:10" x14ac:dyDescent="0.3">
      <c r="A785" t="s">
        <v>422</v>
      </c>
      <c r="B785" s="4" t="s">
        <v>567</v>
      </c>
      <c r="C785" s="7">
        <v>45769</v>
      </c>
      <c r="D785" s="8">
        <v>-263.67</v>
      </c>
      <c r="E785" s="8"/>
      <c r="F785" s="122" t="s">
        <v>4110</v>
      </c>
      <c r="G785" s="44">
        <v>10</v>
      </c>
      <c r="H785" t="str">
        <f t="shared" si="40"/>
        <v>Pantarei</v>
      </c>
      <c r="I785" s="112">
        <f t="shared" si="41"/>
        <v>45338</v>
      </c>
      <c r="J785" s="128">
        <f t="shared" si="42"/>
        <v>552.85</v>
      </c>
    </row>
    <row r="786" spans="1:10" x14ac:dyDescent="0.3">
      <c r="A786" t="s">
        <v>422</v>
      </c>
      <c r="B786" s="4" t="s">
        <v>567</v>
      </c>
      <c r="C786" s="7">
        <v>45769</v>
      </c>
      <c r="D786" s="8">
        <v>-110.23</v>
      </c>
      <c r="E786" s="8"/>
      <c r="F786" s="122" t="s">
        <v>4110</v>
      </c>
      <c r="G786" s="44">
        <v>19</v>
      </c>
      <c r="H786" t="str">
        <f t="shared" si="40"/>
        <v>Pantarei</v>
      </c>
      <c r="I786" s="112">
        <f t="shared" si="41"/>
        <v>45386</v>
      </c>
      <c r="J786" s="128">
        <f t="shared" si="42"/>
        <v>996.61</v>
      </c>
    </row>
    <row r="787" spans="1:10" x14ac:dyDescent="0.3">
      <c r="A787" t="s">
        <v>422</v>
      </c>
      <c r="B787" s="4" t="s">
        <v>567</v>
      </c>
      <c r="C787" s="7">
        <v>45769</v>
      </c>
      <c r="D787" s="8">
        <v>-0.01</v>
      </c>
      <c r="E787" s="8"/>
      <c r="F787" s="122" t="s">
        <v>4110</v>
      </c>
      <c r="G787" s="44">
        <v>30</v>
      </c>
      <c r="H787" t="str">
        <f t="shared" si="40"/>
        <v>Pantarei</v>
      </c>
      <c r="I787" s="112">
        <f t="shared" si="41"/>
        <v>45440</v>
      </c>
      <c r="J787" s="128">
        <f t="shared" si="42"/>
        <v>1154.98</v>
      </c>
    </row>
    <row r="788" spans="1:10" x14ac:dyDescent="0.3">
      <c r="A788" t="s">
        <v>422</v>
      </c>
      <c r="B788" s="4" t="s">
        <v>568</v>
      </c>
      <c r="C788" s="7">
        <v>45770</v>
      </c>
      <c r="D788" s="8">
        <v>2914.92</v>
      </c>
      <c r="E788" s="8"/>
      <c r="F788" s="122" t="s">
        <v>4110</v>
      </c>
      <c r="G788" s="44">
        <v>26</v>
      </c>
      <c r="H788" t="str">
        <f t="shared" si="40"/>
        <v>Pantarei</v>
      </c>
      <c r="I788" s="112">
        <f t="shared" si="41"/>
        <v>45442</v>
      </c>
      <c r="J788" s="128">
        <f t="shared" si="42"/>
        <v>859.1</v>
      </c>
    </row>
    <row r="789" spans="1:10" x14ac:dyDescent="0.3">
      <c r="A789" t="s">
        <v>422</v>
      </c>
      <c r="B789" s="4" t="s">
        <v>569</v>
      </c>
      <c r="C789" s="7">
        <v>45770</v>
      </c>
      <c r="D789" s="8">
        <v>135.16999999999999</v>
      </c>
      <c r="E789" s="8"/>
      <c r="F789" s="122" t="s">
        <v>4110</v>
      </c>
      <c r="G789" s="44">
        <v>27</v>
      </c>
      <c r="H789" t="str">
        <f t="shared" si="40"/>
        <v>Pantarei</v>
      </c>
      <c r="I789" s="112">
        <f t="shared" si="41"/>
        <v>45443</v>
      </c>
      <c r="J789" s="128">
        <f t="shared" si="42"/>
        <v>1139.03</v>
      </c>
    </row>
    <row r="790" spans="1:10" x14ac:dyDescent="0.3">
      <c r="A790" t="s">
        <v>422</v>
      </c>
      <c r="B790" s="4" t="s">
        <v>570</v>
      </c>
      <c r="C790" s="7">
        <v>45773</v>
      </c>
      <c r="D790" s="8">
        <v>1910.45</v>
      </c>
      <c r="E790" s="8"/>
      <c r="F790" s="122" t="s">
        <v>4110</v>
      </c>
      <c r="G790" s="44">
        <v>28</v>
      </c>
      <c r="H790" t="str">
        <f t="shared" si="40"/>
        <v>Pantarei</v>
      </c>
      <c r="I790" s="112">
        <f t="shared" si="41"/>
        <v>45447</v>
      </c>
      <c r="J790" s="128">
        <f t="shared" si="42"/>
        <v>859.1</v>
      </c>
    </row>
    <row r="791" spans="1:10" x14ac:dyDescent="0.3">
      <c r="A791" t="s">
        <v>422</v>
      </c>
      <c r="B791" s="4" t="s">
        <v>571</v>
      </c>
      <c r="C791" s="7">
        <v>45783</v>
      </c>
      <c r="D791" s="8">
        <v>-200000</v>
      </c>
      <c r="E791" s="8"/>
      <c r="F791" s="122" t="s">
        <v>4110</v>
      </c>
      <c r="G791" s="44" t="s">
        <v>796</v>
      </c>
      <c r="H791" t="str">
        <f t="shared" si="40"/>
        <v>Pantarei</v>
      </c>
      <c r="I791" s="112">
        <f t="shared" si="41"/>
        <v>45457</v>
      </c>
      <c r="J791" s="128">
        <f t="shared" si="42"/>
        <v>-12654.21</v>
      </c>
    </row>
    <row r="792" spans="1:10" x14ac:dyDescent="0.3">
      <c r="A792" t="s">
        <v>422</v>
      </c>
      <c r="B792" s="4" t="s">
        <v>571</v>
      </c>
      <c r="C792" s="7">
        <v>45783</v>
      </c>
      <c r="D792" s="8">
        <v>-2027.27</v>
      </c>
      <c r="E792" s="8"/>
      <c r="F792" s="122" t="s">
        <v>4110</v>
      </c>
      <c r="G792" s="44">
        <v>63</v>
      </c>
      <c r="H792" t="str">
        <f t="shared" si="40"/>
        <v>Pantarei</v>
      </c>
      <c r="I792" s="112">
        <f t="shared" si="41"/>
        <v>45463</v>
      </c>
      <c r="J792" s="128">
        <f t="shared" si="42"/>
        <v>3732.34</v>
      </c>
    </row>
    <row r="793" spans="1:10" x14ac:dyDescent="0.3">
      <c r="A793" t="s">
        <v>422</v>
      </c>
      <c r="B793" s="4" t="s">
        <v>572</v>
      </c>
      <c r="C793" s="7">
        <v>45785</v>
      </c>
      <c r="D793" s="8">
        <v>-192555.65</v>
      </c>
      <c r="E793" s="8"/>
      <c r="F793" s="122" t="s">
        <v>4110</v>
      </c>
      <c r="G793" s="44" t="s">
        <v>797</v>
      </c>
      <c r="H793" t="str">
        <f t="shared" si="40"/>
        <v>Pantarei</v>
      </c>
      <c r="I793" s="112">
        <f t="shared" si="41"/>
        <v>45483</v>
      </c>
      <c r="J793" s="128">
        <f t="shared" si="42"/>
        <v>-79567.09</v>
      </c>
    </row>
    <row r="794" spans="1:10" x14ac:dyDescent="0.3">
      <c r="A794" t="s">
        <v>422</v>
      </c>
      <c r="B794" s="4" t="s">
        <v>572</v>
      </c>
      <c r="C794" s="7">
        <v>45785</v>
      </c>
      <c r="D794" s="8">
        <v>-110766.6</v>
      </c>
      <c r="E794" s="8"/>
      <c r="F794" s="122" t="s">
        <v>4110</v>
      </c>
      <c r="G794" s="44" t="s">
        <v>798</v>
      </c>
      <c r="H794" t="str">
        <f t="shared" si="40"/>
        <v>Pantarei</v>
      </c>
      <c r="I794" s="112">
        <f t="shared" si="41"/>
        <v>45492</v>
      </c>
      <c r="J794" s="128">
        <f t="shared" si="42"/>
        <v>-125121.71</v>
      </c>
    </row>
    <row r="795" spans="1:10" x14ac:dyDescent="0.3">
      <c r="A795" t="s">
        <v>422</v>
      </c>
      <c r="B795" s="4" t="s">
        <v>572</v>
      </c>
      <c r="C795" s="7">
        <v>45785</v>
      </c>
      <c r="D795" s="8">
        <v>-107972.49</v>
      </c>
      <c r="E795" s="8"/>
      <c r="F795" s="122" t="s">
        <v>4110</v>
      </c>
      <c r="G795" s="44" t="s">
        <v>799</v>
      </c>
      <c r="H795" t="str">
        <f t="shared" si="40"/>
        <v>Pantarei</v>
      </c>
      <c r="I795" s="112">
        <f t="shared" si="41"/>
        <v>45505</v>
      </c>
      <c r="J795" s="128">
        <f t="shared" si="42"/>
        <v>-33.19</v>
      </c>
    </row>
    <row r="796" spans="1:10" x14ac:dyDescent="0.3">
      <c r="A796" t="s">
        <v>422</v>
      </c>
      <c r="B796" s="4" t="s">
        <v>572</v>
      </c>
      <c r="C796" s="7">
        <v>45785</v>
      </c>
      <c r="D796" s="8">
        <v>-53312.26</v>
      </c>
      <c r="E796" s="8"/>
      <c r="F796" s="122" t="s">
        <v>4110</v>
      </c>
      <c r="G796" s="44" t="s">
        <v>800</v>
      </c>
      <c r="H796" t="str">
        <f t="shared" si="40"/>
        <v>Pantarei</v>
      </c>
      <c r="I796" s="112">
        <f t="shared" si="41"/>
        <v>45555</v>
      </c>
      <c r="J796" s="128">
        <f t="shared" si="42"/>
        <v>-10537.96</v>
      </c>
    </row>
    <row r="797" spans="1:10" x14ac:dyDescent="0.3">
      <c r="A797" t="s">
        <v>422</v>
      </c>
      <c r="B797" s="4" t="s">
        <v>572</v>
      </c>
      <c r="C797" s="7">
        <v>45785</v>
      </c>
      <c r="D797" s="8">
        <v>-23786.52</v>
      </c>
      <c r="E797" s="8"/>
      <c r="F797" s="122" t="s">
        <v>4110</v>
      </c>
      <c r="G797" s="44">
        <v>48</v>
      </c>
      <c r="H797" t="str">
        <f t="shared" si="40"/>
        <v>Pantarei</v>
      </c>
      <c r="I797" s="112">
        <f t="shared" si="41"/>
        <v>45560</v>
      </c>
      <c r="J797" s="128">
        <f t="shared" si="42"/>
        <v>3561.6</v>
      </c>
    </row>
    <row r="798" spans="1:10" x14ac:dyDescent="0.3">
      <c r="A798" t="s">
        <v>422</v>
      </c>
      <c r="B798" s="4" t="s">
        <v>572</v>
      </c>
      <c r="C798" s="7">
        <v>45785</v>
      </c>
      <c r="D798" s="8">
        <v>-23756.54</v>
      </c>
      <c r="E798" s="8"/>
      <c r="F798" s="122" t="s">
        <v>4110</v>
      </c>
      <c r="G798" s="44">
        <v>68</v>
      </c>
      <c r="H798" t="str">
        <f t="shared" si="40"/>
        <v>Pantarei</v>
      </c>
      <c r="I798" s="112">
        <f t="shared" si="41"/>
        <v>45601</v>
      </c>
      <c r="J798" s="128">
        <f t="shared" si="42"/>
        <v>7500</v>
      </c>
    </row>
    <row r="799" spans="1:10" x14ac:dyDescent="0.3">
      <c r="A799" t="s">
        <v>422</v>
      </c>
      <c r="B799" s="4" t="s">
        <v>572</v>
      </c>
      <c r="C799" s="7">
        <v>45785</v>
      </c>
      <c r="D799" s="8">
        <v>-18303.16</v>
      </c>
      <c r="E799" s="8"/>
      <c r="F799" s="122" t="s">
        <v>4110</v>
      </c>
      <c r="G799" s="44">
        <v>73</v>
      </c>
      <c r="H799" t="str">
        <f t="shared" si="40"/>
        <v>Pantarei</v>
      </c>
      <c r="I799" s="112">
        <f t="shared" si="41"/>
        <v>45618</v>
      </c>
      <c r="J799" s="128">
        <f t="shared" si="42"/>
        <v>2811</v>
      </c>
    </row>
    <row r="800" spans="1:10" x14ac:dyDescent="0.3">
      <c r="A800" t="s">
        <v>422</v>
      </c>
      <c r="B800" s="4" t="s">
        <v>573</v>
      </c>
      <c r="C800" s="7">
        <v>45788</v>
      </c>
      <c r="D800" s="8">
        <v>4391.59</v>
      </c>
      <c r="E800" s="8"/>
      <c r="F800" s="122" t="s">
        <v>4110</v>
      </c>
      <c r="G800" s="44">
        <v>81</v>
      </c>
      <c r="H800" t="str">
        <f t="shared" si="40"/>
        <v>Pantarei</v>
      </c>
      <c r="I800" s="112">
        <f t="shared" si="41"/>
        <v>45645</v>
      </c>
      <c r="J800" s="128">
        <f t="shared" si="42"/>
        <v>1558.38</v>
      </c>
    </row>
    <row r="801" spans="1:11" x14ac:dyDescent="0.3">
      <c r="A801" t="s">
        <v>422</v>
      </c>
      <c r="B801" s="4" t="s">
        <v>530</v>
      </c>
      <c r="C801" s="7">
        <v>45788</v>
      </c>
      <c r="D801" s="8">
        <v>4555.46</v>
      </c>
      <c r="E801" s="8"/>
      <c r="F801" s="122" t="s">
        <v>4110</v>
      </c>
      <c r="G801" s="44">
        <v>7</v>
      </c>
      <c r="H801" t="str">
        <f t="shared" si="40"/>
        <v>Pantarei</v>
      </c>
      <c r="I801" s="112">
        <f t="shared" si="41"/>
        <v>45729</v>
      </c>
      <c r="J801" s="128">
        <f t="shared" si="42"/>
        <v>3304.43</v>
      </c>
    </row>
    <row r="802" spans="1:11" x14ac:dyDescent="0.3">
      <c r="A802" t="s">
        <v>422</v>
      </c>
      <c r="B802" s="4" t="s">
        <v>574</v>
      </c>
      <c r="C802" s="7">
        <v>45788</v>
      </c>
      <c r="D802" s="8">
        <v>420.22</v>
      </c>
      <c r="E802" s="8"/>
      <c r="F802" s="122" t="s">
        <v>4110</v>
      </c>
      <c r="G802" s="44">
        <v>9</v>
      </c>
      <c r="H802" t="str">
        <f t="shared" si="40"/>
        <v>Pantarei</v>
      </c>
      <c r="I802" s="112">
        <f t="shared" si="41"/>
        <v>45730</v>
      </c>
      <c r="J802" s="128">
        <f t="shared" si="42"/>
        <v>800</v>
      </c>
    </row>
    <row r="803" spans="1:11" x14ac:dyDescent="0.3">
      <c r="A803" t="s">
        <v>422</v>
      </c>
      <c r="B803" s="4" t="s">
        <v>575</v>
      </c>
      <c r="C803" s="7">
        <v>45788</v>
      </c>
      <c r="D803" s="8">
        <v>8054.28</v>
      </c>
      <c r="E803" s="8"/>
      <c r="F803" s="122" t="s">
        <v>4110</v>
      </c>
      <c r="G803" s="44" t="s">
        <v>801</v>
      </c>
      <c r="H803" t="str">
        <f t="shared" si="40"/>
        <v>Pantarei</v>
      </c>
      <c r="I803" s="112">
        <f t="shared" si="41"/>
        <v>45838</v>
      </c>
      <c r="J803" s="128">
        <f t="shared" si="42"/>
        <v>554.29</v>
      </c>
    </row>
    <row r="804" spans="1:11" x14ac:dyDescent="0.3">
      <c r="A804" t="s">
        <v>422</v>
      </c>
      <c r="B804" s="4" t="s">
        <v>576</v>
      </c>
      <c r="C804" s="7">
        <v>45788</v>
      </c>
      <c r="D804" s="8">
        <v>10.7</v>
      </c>
      <c r="E804" s="8"/>
      <c r="F804" s="122" t="s">
        <v>4110</v>
      </c>
      <c r="G804" s="44" t="s">
        <v>802</v>
      </c>
      <c r="H804" t="str">
        <f t="shared" si="40"/>
        <v>Pantarei</v>
      </c>
      <c r="I804" s="112">
        <f t="shared" si="41"/>
        <v>45838</v>
      </c>
      <c r="J804" s="128">
        <f t="shared" si="42"/>
        <v>373.7</v>
      </c>
    </row>
    <row r="805" spans="1:11" x14ac:dyDescent="0.3">
      <c r="A805" t="s">
        <v>422</v>
      </c>
      <c r="B805" s="4" t="s">
        <v>577</v>
      </c>
      <c r="C805" s="7">
        <v>45788</v>
      </c>
      <c r="D805" s="8">
        <v>243.7</v>
      </c>
      <c r="E805" s="8"/>
      <c r="F805" s="122" t="s">
        <v>4110</v>
      </c>
      <c r="G805" s="44" t="s">
        <v>804</v>
      </c>
      <c r="H805" t="str">
        <f t="shared" si="40"/>
        <v>Papatya</v>
      </c>
      <c r="I805" s="112">
        <f t="shared" si="41"/>
        <v>45450</v>
      </c>
      <c r="J805" s="128">
        <f t="shared" si="42"/>
        <v>-25.9</v>
      </c>
    </row>
    <row r="806" spans="1:11" x14ac:dyDescent="0.3">
      <c r="A806" t="s">
        <v>422</v>
      </c>
      <c r="B806" s="4" t="s">
        <v>578</v>
      </c>
      <c r="C806" s="7">
        <v>45788</v>
      </c>
      <c r="D806" s="8">
        <v>1322</v>
      </c>
      <c r="E806" s="8"/>
      <c r="F806" s="122" t="s">
        <v>4110</v>
      </c>
      <c r="G806" s="44" t="s">
        <v>805</v>
      </c>
      <c r="H806" t="str">
        <f t="shared" si="40"/>
        <v>Papatya</v>
      </c>
      <c r="I806" s="112">
        <f t="shared" si="41"/>
        <v>45455</v>
      </c>
      <c r="J806" s="128">
        <f t="shared" si="42"/>
        <v>-55.7</v>
      </c>
    </row>
    <row r="807" spans="1:11" x14ac:dyDescent="0.3">
      <c r="A807" t="s">
        <v>422</v>
      </c>
      <c r="B807" s="4" t="s">
        <v>579</v>
      </c>
      <c r="C807" s="7">
        <v>45789</v>
      </c>
      <c r="D807" s="8">
        <v>5543.21</v>
      </c>
      <c r="E807" s="8"/>
      <c r="F807" s="123" t="s">
        <v>4109</v>
      </c>
      <c r="G807" s="44">
        <v>25040097</v>
      </c>
      <c r="H807" t="str">
        <f t="shared" si="40"/>
        <v>Paycargo</v>
      </c>
      <c r="I807" s="112">
        <f t="shared" si="41"/>
        <v>45810</v>
      </c>
      <c r="J807" s="128">
        <f t="shared" si="42"/>
        <v>51.5</v>
      </c>
      <c r="K807" s="102"/>
    </row>
    <row r="808" spans="1:11" x14ac:dyDescent="0.3">
      <c r="A808" t="s">
        <v>422</v>
      </c>
      <c r="B808" s="4" t="s">
        <v>580</v>
      </c>
      <c r="C808" s="7">
        <v>45794</v>
      </c>
      <c r="D808" s="8">
        <v>0.25</v>
      </c>
      <c r="E808" s="8"/>
      <c r="F808" s="122" t="s">
        <v>4110</v>
      </c>
      <c r="G808" s="44" t="s">
        <v>808</v>
      </c>
      <c r="H808" t="str">
        <f t="shared" si="40"/>
        <v>PIERMARIA NEW FORM SRL</v>
      </c>
      <c r="I808" s="112">
        <f t="shared" si="41"/>
        <v>45700</v>
      </c>
      <c r="J808" s="128">
        <f t="shared" si="42"/>
        <v>-3110.12</v>
      </c>
    </row>
    <row r="809" spans="1:11" x14ac:dyDescent="0.3">
      <c r="A809" t="s">
        <v>422</v>
      </c>
      <c r="B809" s="4" t="s">
        <v>581</v>
      </c>
      <c r="C809" s="7">
        <v>45796</v>
      </c>
      <c r="D809" s="8">
        <v>302.88</v>
      </c>
      <c r="E809" s="8"/>
      <c r="F809" s="122" t="s">
        <v>4110</v>
      </c>
      <c r="G809" s="44">
        <v>23</v>
      </c>
      <c r="H809" t="str">
        <f t="shared" si="40"/>
        <v>PIERMARIA NEW FORM SRL</v>
      </c>
      <c r="I809" s="112">
        <f t="shared" si="41"/>
        <v>45800</v>
      </c>
      <c r="J809" s="128">
        <f t="shared" si="42"/>
        <v>-3650.96</v>
      </c>
    </row>
    <row r="810" spans="1:11" x14ac:dyDescent="0.3">
      <c r="A810" t="s">
        <v>422</v>
      </c>
      <c r="B810" s="4" t="s">
        <v>582</v>
      </c>
      <c r="C810" s="7">
        <v>45796</v>
      </c>
      <c r="D810" s="8">
        <v>8860.27</v>
      </c>
      <c r="E810" s="8"/>
      <c r="F810" s="122" t="s">
        <v>4110</v>
      </c>
      <c r="G810" s="44" t="s">
        <v>810</v>
      </c>
      <c r="H810" t="str">
        <f t="shared" si="40"/>
        <v>Quartz America</v>
      </c>
      <c r="I810" s="112">
        <f t="shared" si="41"/>
        <v>45792</v>
      </c>
      <c r="J810" s="128">
        <f t="shared" si="42"/>
        <v>-3949.02</v>
      </c>
    </row>
    <row r="811" spans="1:11" x14ac:dyDescent="0.3">
      <c r="A811" t="s">
        <v>422</v>
      </c>
      <c r="B811" s="4" t="s">
        <v>583</v>
      </c>
      <c r="C811" s="7">
        <v>45796</v>
      </c>
      <c r="D811" s="8">
        <v>2279.27</v>
      </c>
      <c r="E811" s="8"/>
      <c r="F811" s="122" t="s">
        <v>4110</v>
      </c>
      <c r="G811" s="44">
        <v>664</v>
      </c>
      <c r="H811" t="str">
        <f t="shared" si="40"/>
        <v>Quartz America</v>
      </c>
      <c r="I811" s="112">
        <f t="shared" si="41"/>
        <v>45834</v>
      </c>
      <c r="J811" s="128">
        <f t="shared" si="42"/>
        <v>-37735.629999999997</v>
      </c>
    </row>
    <row r="812" spans="1:11" x14ac:dyDescent="0.3">
      <c r="A812" t="s">
        <v>422</v>
      </c>
      <c r="B812" s="4" t="s">
        <v>584</v>
      </c>
      <c r="C812" s="7">
        <v>45796</v>
      </c>
      <c r="D812" s="8">
        <v>2810.15</v>
      </c>
      <c r="E812" s="8"/>
      <c r="F812" s="122" t="s">
        <v>4110</v>
      </c>
      <c r="G812" s="44">
        <v>210</v>
      </c>
      <c r="H812" t="str">
        <f t="shared" si="40"/>
        <v>Ramon Garcia Mexico</v>
      </c>
      <c r="I812" s="112">
        <f t="shared" si="41"/>
        <v>45057</v>
      </c>
      <c r="J812" s="128">
        <f t="shared" si="42"/>
        <v>21041</v>
      </c>
    </row>
    <row r="813" spans="1:11" x14ac:dyDescent="0.3">
      <c r="A813" t="s">
        <v>422</v>
      </c>
      <c r="B813" s="4" t="s">
        <v>582</v>
      </c>
      <c r="C813" s="7">
        <v>45796</v>
      </c>
      <c r="D813" s="8">
        <v>2164.0300000000002</v>
      </c>
      <c r="E813" s="8"/>
      <c r="F813" s="122" t="s">
        <v>4110</v>
      </c>
      <c r="G813" s="44" t="s">
        <v>812</v>
      </c>
      <c r="H813" t="str">
        <f t="shared" si="40"/>
        <v>Ramon Garcia Mexico</v>
      </c>
      <c r="I813" s="112">
        <f t="shared" si="41"/>
        <v>45084</v>
      </c>
      <c r="J813" s="128">
        <f t="shared" si="42"/>
        <v>45164</v>
      </c>
    </row>
    <row r="814" spans="1:11" x14ac:dyDescent="0.3">
      <c r="A814" t="s">
        <v>422</v>
      </c>
      <c r="B814" s="4" t="s">
        <v>585</v>
      </c>
      <c r="C814" s="7">
        <v>45796</v>
      </c>
      <c r="D814" s="8">
        <v>25989.86</v>
      </c>
      <c r="E814" s="8"/>
      <c r="F814" s="122" t="s">
        <v>4110</v>
      </c>
      <c r="G814" s="44" t="s">
        <v>813</v>
      </c>
      <c r="H814" t="str">
        <f t="shared" si="40"/>
        <v>Ramon Garcia Mexico</v>
      </c>
      <c r="I814" s="112">
        <f t="shared" si="41"/>
        <v>45292</v>
      </c>
      <c r="J814" s="128">
        <f t="shared" si="42"/>
        <v>844.75</v>
      </c>
    </row>
    <row r="815" spans="1:11" x14ac:dyDescent="0.3">
      <c r="A815" t="s">
        <v>422</v>
      </c>
      <c r="B815" s="4" t="s">
        <v>586</v>
      </c>
      <c r="C815" s="7">
        <v>45796</v>
      </c>
      <c r="D815" s="8">
        <v>1716.13</v>
      </c>
      <c r="E815" s="8"/>
      <c r="F815" s="122" t="s">
        <v>4110</v>
      </c>
      <c r="G815" s="44">
        <v>20240106</v>
      </c>
      <c r="H815" t="str">
        <f t="shared" si="40"/>
        <v>Ramon Garcia Mexico</v>
      </c>
      <c r="I815" s="112">
        <f t="shared" si="41"/>
        <v>45296</v>
      </c>
      <c r="J815" s="128">
        <f t="shared" si="42"/>
        <v>658.35</v>
      </c>
    </row>
    <row r="816" spans="1:11" x14ac:dyDescent="0.3">
      <c r="A816" t="s">
        <v>422</v>
      </c>
      <c r="B816" s="4" t="s">
        <v>585</v>
      </c>
      <c r="C816" s="7">
        <v>45796</v>
      </c>
      <c r="D816" s="8">
        <v>2749.82</v>
      </c>
      <c r="E816" s="8"/>
      <c r="F816" s="122" t="s">
        <v>4110</v>
      </c>
      <c r="G816" s="44" t="s">
        <v>815</v>
      </c>
      <c r="H816" t="str">
        <f t="shared" si="40"/>
        <v>RAYTOP INDUSTRY CO.,LTD</v>
      </c>
      <c r="I816" s="112">
        <f t="shared" si="41"/>
        <v>44636</v>
      </c>
      <c r="J816" s="128">
        <f t="shared" si="42"/>
        <v>-1548.63</v>
      </c>
    </row>
    <row r="817" spans="1:10" x14ac:dyDescent="0.3">
      <c r="A817" t="s">
        <v>422</v>
      </c>
      <c r="B817" s="4" t="s">
        <v>587</v>
      </c>
      <c r="C817" s="7">
        <v>45796</v>
      </c>
      <c r="D817" s="8">
        <v>1094.72</v>
      </c>
      <c r="E817" s="8"/>
      <c r="F817" s="122" t="s">
        <v>4110</v>
      </c>
      <c r="G817" s="44" t="s">
        <v>816</v>
      </c>
      <c r="H817" t="str">
        <f t="shared" si="40"/>
        <v>RAYTOP INDUSTRY CO.,LTD</v>
      </c>
      <c r="I817" s="112">
        <f t="shared" si="41"/>
        <v>44659</v>
      </c>
      <c r="J817" s="128">
        <f t="shared" si="42"/>
        <v>-5992.38</v>
      </c>
    </row>
    <row r="818" spans="1:10" x14ac:dyDescent="0.3">
      <c r="A818" t="s">
        <v>422</v>
      </c>
      <c r="B818" s="4" t="s">
        <v>588</v>
      </c>
      <c r="C818" s="7">
        <v>45796</v>
      </c>
      <c r="D818" s="8">
        <v>412.3</v>
      </c>
      <c r="E818" s="8"/>
      <c r="F818" s="122" t="s">
        <v>4110</v>
      </c>
      <c r="G818" s="44" t="s">
        <v>817</v>
      </c>
      <c r="H818" t="str">
        <f t="shared" si="40"/>
        <v>RAYTOP INDUSTRY CO.,LTD</v>
      </c>
      <c r="I818" s="112">
        <f t="shared" si="41"/>
        <v>44797</v>
      </c>
      <c r="J818" s="128">
        <f t="shared" si="42"/>
        <v>-10500</v>
      </c>
    </row>
    <row r="819" spans="1:10" x14ac:dyDescent="0.3">
      <c r="A819" t="s">
        <v>422</v>
      </c>
      <c r="B819" s="4" t="s">
        <v>589</v>
      </c>
      <c r="C819" s="7">
        <v>45796</v>
      </c>
      <c r="D819" s="8">
        <v>102.14</v>
      </c>
      <c r="E819" s="8"/>
      <c r="F819" s="122" t="s">
        <v>4110</v>
      </c>
      <c r="G819" s="44" t="s">
        <v>818</v>
      </c>
      <c r="H819" t="str">
        <f t="shared" si="40"/>
        <v>RAYTOP INDUSTRY CO.,LTD</v>
      </c>
      <c r="I819" s="112">
        <f t="shared" si="41"/>
        <v>45351</v>
      </c>
      <c r="J819" s="128">
        <f t="shared" si="42"/>
        <v>-4113.66</v>
      </c>
    </row>
    <row r="820" spans="1:10" x14ac:dyDescent="0.3">
      <c r="A820" t="s">
        <v>422</v>
      </c>
      <c r="B820" s="4" t="s">
        <v>590</v>
      </c>
      <c r="C820" s="7">
        <v>45796</v>
      </c>
      <c r="D820" s="8">
        <v>324.5</v>
      </c>
      <c r="E820" s="8"/>
      <c r="F820" s="122" t="s">
        <v>4110</v>
      </c>
      <c r="G820" s="44" t="s">
        <v>820</v>
      </c>
      <c r="H820" t="str">
        <f t="shared" si="40"/>
        <v>RICHWOOD HOSPITALITY CO LTD</v>
      </c>
      <c r="I820" s="112">
        <f t="shared" si="41"/>
        <v>45443</v>
      </c>
      <c r="J820" s="128">
        <f t="shared" si="42"/>
        <v>7685.4</v>
      </c>
    </row>
    <row r="821" spans="1:10" x14ac:dyDescent="0.3">
      <c r="A821" t="s">
        <v>422</v>
      </c>
      <c r="B821" s="4" t="s">
        <v>591</v>
      </c>
      <c r="C821" s="7">
        <v>45796</v>
      </c>
      <c r="D821" s="8">
        <v>2103.64</v>
      </c>
      <c r="E821" s="8"/>
      <c r="F821" s="122" t="s">
        <v>4110</v>
      </c>
      <c r="G821" s="44" t="s">
        <v>821</v>
      </c>
      <c r="H821" t="str">
        <f t="shared" si="40"/>
        <v>RICHWOOD HOSPITALITY CO LTD</v>
      </c>
      <c r="I821" s="112">
        <f t="shared" si="41"/>
        <v>45483</v>
      </c>
      <c r="J821" s="128">
        <f t="shared" si="42"/>
        <v>-6064.03</v>
      </c>
    </row>
    <row r="822" spans="1:10" x14ac:dyDescent="0.3">
      <c r="A822" t="s">
        <v>422</v>
      </c>
      <c r="B822" s="4" t="s">
        <v>592</v>
      </c>
      <c r="C822" s="7">
        <v>45796</v>
      </c>
      <c r="D822" s="8">
        <v>2715.09</v>
      </c>
      <c r="E822" s="8"/>
      <c r="F822" s="122" t="s">
        <v>4110</v>
      </c>
      <c r="G822" s="44" t="s">
        <v>822</v>
      </c>
      <c r="H822" t="str">
        <f t="shared" si="40"/>
        <v>RICHWOOD HOSPITALITY CO LTD</v>
      </c>
      <c r="I822" s="112">
        <f t="shared" si="41"/>
        <v>45578</v>
      </c>
      <c r="J822" s="128">
        <f t="shared" si="42"/>
        <v>5724.48</v>
      </c>
    </row>
    <row r="823" spans="1:10" x14ac:dyDescent="0.3">
      <c r="A823" t="s">
        <v>422</v>
      </c>
      <c r="B823" s="4" t="s">
        <v>593</v>
      </c>
      <c r="C823" s="7">
        <v>45796</v>
      </c>
      <c r="D823" s="8">
        <v>1059.45</v>
      </c>
      <c r="E823" s="8"/>
      <c r="F823" s="122" t="s">
        <v>4110</v>
      </c>
      <c r="G823" s="44" t="s">
        <v>823</v>
      </c>
      <c r="H823" t="str">
        <f t="shared" si="40"/>
        <v>RICHWOOD HOSPITALITY CO LTD</v>
      </c>
      <c r="I823" s="112">
        <f t="shared" si="41"/>
        <v>45589</v>
      </c>
      <c r="J823" s="128">
        <f t="shared" si="42"/>
        <v>-822.86</v>
      </c>
    </row>
    <row r="824" spans="1:10" x14ac:dyDescent="0.3">
      <c r="A824" t="s">
        <v>422</v>
      </c>
      <c r="B824" s="4" t="s">
        <v>594</v>
      </c>
      <c r="C824" s="7">
        <v>45796</v>
      </c>
      <c r="D824" s="8">
        <v>922.62</v>
      </c>
      <c r="E824" s="8"/>
      <c r="F824" s="122" t="s">
        <v>4110</v>
      </c>
      <c r="G824" s="44" t="s">
        <v>824</v>
      </c>
      <c r="H824" t="str">
        <f t="shared" si="40"/>
        <v>RICHWOOD HOSPITALITY CO LTD</v>
      </c>
      <c r="I824" s="112">
        <f t="shared" si="41"/>
        <v>45595</v>
      </c>
      <c r="J824" s="128">
        <f t="shared" si="42"/>
        <v>-6209.82</v>
      </c>
    </row>
    <row r="825" spans="1:10" x14ac:dyDescent="0.3">
      <c r="A825" t="s">
        <v>422</v>
      </c>
      <c r="B825" s="4" t="s">
        <v>595</v>
      </c>
      <c r="C825" s="7">
        <v>45796</v>
      </c>
      <c r="D825" s="8">
        <v>4619.84</v>
      </c>
      <c r="E825" s="8"/>
      <c r="F825" s="122" t="s">
        <v>4110</v>
      </c>
      <c r="G825" s="44" t="s">
        <v>825</v>
      </c>
      <c r="H825" t="str">
        <f t="shared" si="40"/>
        <v>RICHWOOD HOSPITALITY CO LTD</v>
      </c>
      <c r="I825" s="112">
        <f t="shared" si="41"/>
        <v>45604</v>
      </c>
      <c r="J825" s="128">
        <f t="shared" si="42"/>
        <v>-15649.85</v>
      </c>
    </row>
    <row r="826" spans="1:10" x14ac:dyDescent="0.3">
      <c r="A826" t="s">
        <v>422</v>
      </c>
      <c r="B826" s="4" t="s">
        <v>596</v>
      </c>
      <c r="C826" s="7">
        <v>45796</v>
      </c>
      <c r="D826" s="8">
        <v>12165.2</v>
      </c>
      <c r="E826" s="8"/>
      <c r="F826" s="122" t="s">
        <v>4110</v>
      </c>
      <c r="G826" s="44" t="s">
        <v>826</v>
      </c>
      <c r="H826" t="str">
        <f t="shared" si="40"/>
        <v>RICHWOOD HOSPITALITY CO LTD</v>
      </c>
      <c r="I826" s="112">
        <f t="shared" si="41"/>
        <v>45614</v>
      </c>
      <c r="J826" s="128">
        <f t="shared" si="42"/>
        <v>-13308.420000000002</v>
      </c>
    </row>
    <row r="827" spans="1:10" x14ac:dyDescent="0.3">
      <c r="A827" t="s">
        <v>422</v>
      </c>
      <c r="B827" s="4" t="s">
        <v>579</v>
      </c>
      <c r="C827" s="7">
        <v>45796</v>
      </c>
      <c r="D827" s="8">
        <v>84.78</v>
      </c>
      <c r="E827" s="8"/>
      <c r="F827" s="122" t="s">
        <v>4110</v>
      </c>
      <c r="G827" s="44">
        <v>41403</v>
      </c>
      <c r="H827" t="str">
        <f t="shared" si="40"/>
        <v>RICHWOOD HOSPITALITY CO LTD</v>
      </c>
      <c r="I827" s="112">
        <f t="shared" si="41"/>
        <v>45642</v>
      </c>
      <c r="J827" s="128">
        <f t="shared" si="42"/>
        <v>-10885.61</v>
      </c>
    </row>
    <row r="828" spans="1:10" x14ac:dyDescent="0.3">
      <c r="A828" t="s">
        <v>422</v>
      </c>
      <c r="B828" s="4" t="s">
        <v>597</v>
      </c>
      <c r="C828" s="7">
        <v>45796</v>
      </c>
      <c r="D828" s="8">
        <v>6828.39</v>
      </c>
      <c r="E828" s="8"/>
      <c r="F828" s="122" t="s">
        <v>4110</v>
      </c>
      <c r="G828" s="44" t="s">
        <v>827</v>
      </c>
      <c r="H828" t="str">
        <f t="shared" si="40"/>
        <v>RICHWOOD HOSPITALITY CO LTD</v>
      </c>
      <c r="I828" s="112">
        <f t="shared" si="41"/>
        <v>45645</v>
      </c>
      <c r="J828" s="128">
        <f t="shared" si="42"/>
        <v>-534</v>
      </c>
    </row>
    <row r="829" spans="1:10" x14ac:dyDescent="0.3">
      <c r="A829" t="s">
        <v>422</v>
      </c>
      <c r="B829" s="4" t="s">
        <v>574</v>
      </c>
      <c r="C829" s="7">
        <v>45796</v>
      </c>
      <c r="D829" s="8">
        <v>2945.65</v>
      </c>
      <c r="E829" s="8"/>
      <c r="F829" s="122" t="s">
        <v>4110</v>
      </c>
      <c r="G829" s="44" t="s">
        <v>828</v>
      </c>
      <c r="H829" t="str">
        <f t="shared" si="40"/>
        <v>RICHWOOD HOSPITALITY CO LTD</v>
      </c>
      <c r="I829" s="112">
        <f t="shared" si="41"/>
        <v>45657</v>
      </c>
      <c r="J829" s="128">
        <f t="shared" si="42"/>
        <v>-3289.33</v>
      </c>
    </row>
    <row r="830" spans="1:10" x14ac:dyDescent="0.3">
      <c r="A830" t="s">
        <v>422</v>
      </c>
      <c r="B830" s="4" t="s">
        <v>598</v>
      </c>
      <c r="C830" s="7">
        <v>45796</v>
      </c>
      <c r="D830" s="8">
        <v>1031.74</v>
      </c>
      <c r="E830" s="8"/>
      <c r="F830" s="122" t="s">
        <v>4110</v>
      </c>
      <c r="G830" s="44" t="s">
        <v>829</v>
      </c>
      <c r="H830" t="str">
        <f t="shared" si="40"/>
        <v>RICHWOOD HOSPITALITY CO LTD</v>
      </c>
      <c r="I830" s="112">
        <f t="shared" si="41"/>
        <v>45665</v>
      </c>
      <c r="J830" s="128">
        <f t="shared" si="42"/>
        <v>-24479.56</v>
      </c>
    </row>
    <row r="831" spans="1:10" x14ac:dyDescent="0.3">
      <c r="A831" t="s">
        <v>422</v>
      </c>
      <c r="B831" s="4" t="s">
        <v>599</v>
      </c>
      <c r="C831" s="7">
        <v>45796</v>
      </c>
      <c r="D831" s="8">
        <v>6227.16</v>
      </c>
      <c r="E831" s="8"/>
      <c r="F831" s="122" t="s">
        <v>4110</v>
      </c>
      <c r="G831" s="44" t="s">
        <v>830</v>
      </c>
      <c r="H831" t="str">
        <f t="shared" si="40"/>
        <v>RICHWOOD HOSPITALITY CO LTD</v>
      </c>
      <c r="I831" s="112">
        <f t="shared" si="41"/>
        <v>45670</v>
      </c>
      <c r="J831" s="128">
        <f t="shared" si="42"/>
        <v>-7767.49</v>
      </c>
    </row>
    <row r="832" spans="1:10" x14ac:dyDescent="0.3">
      <c r="A832" t="s">
        <v>422</v>
      </c>
      <c r="B832" s="4" t="s">
        <v>600</v>
      </c>
      <c r="C832" s="7">
        <v>45796</v>
      </c>
      <c r="D832" s="8">
        <v>3950.91</v>
      </c>
      <c r="E832" s="8"/>
      <c r="F832" s="122" t="s">
        <v>4110</v>
      </c>
      <c r="G832" s="44" t="s">
        <v>831</v>
      </c>
      <c r="H832" t="str">
        <f t="shared" si="40"/>
        <v>RICHWOOD HOSPITALITY CO LTD</v>
      </c>
      <c r="I832" s="112">
        <f t="shared" si="41"/>
        <v>45676</v>
      </c>
      <c r="J832" s="128">
        <f t="shared" si="42"/>
        <v>280</v>
      </c>
    </row>
    <row r="833" spans="1:10" x14ac:dyDescent="0.3">
      <c r="A833" t="s">
        <v>422</v>
      </c>
      <c r="B833" s="4" t="s">
        <v>593</v>
      </c>
      <c r="C833" s="7">
        <v>45796</v>
      </c>
      <c r="D833" s="8">
        <v>956.99</v>
      </c>
      <c r="E833" s="8"/>
      <c r="F833" s="122" t="s">
        <v>4110</v>
      </c>
      <c r="G833" s="44" t="s">
        <v>832</v>
      </c>
      <c r="H833" t="str">
        <f t="shared" si="40"/>
        <v>RICHWOOD HOSPITALITY CO LTD</v>
      </c>
      <c r="I833" s="112">
        <f t="shared" si="41"/>
        <v>45679</v>
      </c>
      <c r="J833" s="128">
        <f t="shared" si="42"/>
        <v>77.039999999999992</v>
      </c>
    </row>
    <row r="834" spans="1:10" x14ac:dyDescent="0.3">
      <c r="A834" t="s">
        <v>422</v>
      </c>
      <c r="B834" s="4" t="s">
        <v>601</v>
      </c>
      <c r="C834" s="7">
        <v>45796</v>
      </c>
      <c r="D834" s="8">
        <v>187.75</v>
      </c>
      <c r="E834" s="8"/>
      <c r="F834" s="122" t="s">
        <v>4110</v>
      </c>
      <c r="G834" s="44" t="s">
        <v>833</v>
      </c>
      <c r="H834" t="str">
        <f t="shared" si="40"/>
        <v>RICHWOOD HOSPITALITY CO LTD</v>
      </c>
      <c r="I834" s="112">
        <f t="shared" si="41"/>
        <v>45679</v>
      </c>
      <c r="J834" s="128">
        <f t="shared" si="42"/>
        <v>5074.37</v>
      </c>
    </row>
    <row r="835" spans="1:10" x14ac:dyDescent="0.3">
      <c r="A835" t="s">
        <v>422</v>
      </c>
      <c r="B835" s="4" t="s">
        <v>602</v>
      </c>
      <c r="C835" s="7">
        <v>45796</v>
      </c>
      <c r="D835" s="8">
        <v>4021.34</v>
      </c>
      <c r="E835" s="8"/>
      <c r="F835" s="122" t="s">
        <v>4110</v>
      </c>
      <c r="G835" s="44" t="s">
        <v>834</v>
      </c>
      <c r="H835" t="str">
        <f t="shared" si="40"/>
        <v>RICHWOOD HOSPITALITY CO LTD</v>
      </c>
      <c r="I835" s="112">
        <f t="shared" si="41"/>
        <v>45693</v>
      </c>
      <c r="J835" s="128">
        <f t="shared" si="42"/>
        <v>-6334.41</v>
      </c>
    </row>
    <row r="836" spans="1:10" x14ac:dyDescent="0.3">
      <c r="A836" t="s">
        <v>422</v>
      </c>
      <c r="B836" s="4" t="s">
        <v>603</v>
      </c>
      <c r="C836" s="7">
        <v>45796</v>
      </c>
      <c r="D836" s="8">
        <v>4389.6099999999997</v>
      </c>
      <c r="E836" s="8"/>
      <c r="F836" s="122" t="s">
        <v>4110</v>
      </c>
      <c r="G836" s="44" t="s">
        <v>835</v>
      </c>
      <c r="H836" t="str">
        <f t="shared" si="40"/>
        <v>RICHWOOD HOSPITALITY CO LTD</v>
      </c>
      <c r="I836" s="112">
        <f t="shared" si="41"/>
        <v>45710</v>
      </c>
      <c r="J836" s="128">
        <f t="shared" si="42"/>
        <v>441.6</v>
      </c>
    </row>
    <row r="837" spans="1:10" x14ac:dyDescent="0.3">
      <c r="A837" t="s">
        <v>422</v>
      </c>
      <c r="B837" s="4" t="s">
        <v>604</v>
      </c>
      <c r="C837" s="7">
        <v>45796</v>
      </c>
      <c r="D837" s="8">
        <v>793.09</v>
      </c>
      <c r="E837" s="8"/>
      <c r="F837" s="122" t="s">
        <v>4110</v>
      </c>
      <c r="G837" s="44" t="s">
        <v>836</v>
      </c>
      <c r="H837" t="str">
        <f t="shared" si="40"/>
        <v>RICHWOOD HOSPITALITY CO LTD</v>
      </c>
      <c r="I837" s="112">
        <f t="shared" si="41"/>
        <v>45723</v>
      </c>
      <c r="J837" s="128">
        <f t="shared" si="42"/>
        <v>-202669.7</v>
      </c>
    </row>
    <row r="838" spans="1:10" x14ac:dyDescent="0.3">
      <c r="A838" t="s">
        <v>422</v>
      </c>
      <c r="B838" s="4" t="s">
        <v>605</v>
      </c>
      <c r="C838" s="7">
        <v>45796</v>
      </c>
      <c r="D838" s="8">
        <v>2202</v>
      </c>
      <c r="E838" s="8"/>
      <c r="F838" s="122" t="s">
        <v>4110</v>
      </c>
      <c r="G838" s="44" t="s">
        <v>837</v>
      </c>
      <c r="H838" t="str">
        <f t="shared" ref="H838:H901" si="43">_xlfn.XLOOKUP(G838,B:B,A:A,,)</f>
        <v>RICHWOOD HOSPITALITY CO LTD</v>
      </c>
      <c r="I838" s="112">
        <f t="shared" ref="I838:I901" si="44">_xlfn.XLOOKUP(G838,B:B,C:C,,)</f>
        <v>45734</v>
      </c>
      <c r="J838" s="128">
        <f t="shared" ref="J838:J901" si="45">SUMIF(B:B,G838,D:D)</f>
        <v>-21158.720000000001</v>
      </c>
    </row>
    <row r="839" spans="1:10" x14ac:dyDescent="0.3">
      <c r="A839" t="s">
        <v>422</v>
      </c>
      <c r="B839" s="4" t="s">
        <v>606</v>
      </c>
      <c r="C839" s="7">
        <v>45796</v>
      </c>
      <c r="D839" s="8">
        <v>1590.55</v>
      </c>
      <c r="E839" s="8"/>
      <c r="F839" s="122" t="s">
        <v>4110</v>
      </c>
      <c r="G839" s="44" t="s">
        <v>838</v>
      </c>
      <c r="H839" t="str">
        <f t="shared" si="43"/>
        <v>RICHWOOD HOSPITALITY CO LTD</v>
      </c>
      <c r="I839" s="112">
        <f t="shared" si="44"/>
        <v>45736</v>
      </c>
      <c r="J839" s="128">
        <f t="shared" si="45"/>
        <v>-56281.490000000005</v>
      </c>
    </row>
    <row r="840" spans="1:10" x14ac:dyDescent="0.3">
      <c r="A840" t="s">
        <v>422</v>
      </c>
      <c r="B840" s="4" t="s">
        <v>607</v>
      </c>
      <c r="C840" s="7">
        <v>45797</v>
      </c>
      <c r="D840" s="8">
        <v>2297.41</v>
      </c>
      <c r="E840" s="8"/>
      <c r="F840" s="122" t="s">
        <v>4110</v>
      </c>
      <c r="G840" s="44" t="s">
        <v>839</v>
      </c>
      <c r="H840" t="str">
        <f t="shared" si="43"/>
        <v>RICHWOOD HOSPITALITY CO LTD</v>
      </c>
      <c r="I840" s="112">
        <f t="shared" si="44"/>
        <v>45742</v>
      </c>
      <c r="J840" s="128">
        <f t="shared" si="45"/>
        <v>730</v>
      </c>
    </row>
    <row r="841" spans="1:10" x14ac:dyDescent="0.3">
      <c r="A841" t="s">
        <v>422</v>
      </c>
      <c r="B841" s="4" t="s">
        <v>608</v>
      </c>
      <c r="C841" s="7">
        <v>45798</v>
      </c>
      <c r="D841" s="8">
        <v>114.23</v>
      </c>
      <c r="E841" s="8"/>
      <c r="F841" s="122" t="s">
        <v>4110</v>
      </c>
      <c r="G841" s="44" t="s">
        <v>840</v>
      </c>
      <c r="H841" t="str">
        <f t="shared" si="43"/>
        <v>RICHWOOD HOSPITALITY CO LTD</v>
      </c>
      <c r="I841" s="112">
        <f t="shared" si="44"/>
        <v>45743</v>
      </c>
      <c r="J841" s="128">
        <f t="shared" si="45"/>
        <v>4000</v>
      </c>
    </row>
    <row r="842" spans="1:10" x14ac:dyDescent="0.3">
      <c r="A842" t="s">
        <v>422</v>
      </c>
      <c r="B842" s="4" t="s">
        <v>608</v>
      </c>
      <c r="C842" s="7">
        <v>45798</v>
      </c>
      <c r="D842" s="8">
        <v>651.45000000000005</v>
      </c>
      <c r="E842" s="8"/>
      <c r="F842" s="122" t="s">
        <v>4110</v>
      </c>
      <c r="G842" s="44" t="s">
        <v>841</v>
      </c>
      <c r="H842" t="str">
        <f t="shared" si="43"/>
        <v>RICHWOOD HOSPITALITY CO LTD</v>
      </c>
      <c r="I842" s="112">
        <f t="shared" si="44"/>
        <v>45754</v>
      </c>
      <c r="J842" s="128">
        <f t="shared" si="45"/>
        <v>-12376.54</v>
      </c>
    </row>
    <row r="843" spans="1:10" x14ac:dyDescent="0.3">
      <c r="A843" t="s">
        <v>422</v>
      </c>
      <c r="B843" s="4" t="s">
        <v>609</v>
      </c>
      <c r="C843" s="7">
        <v>45799</v>
      </c>
      <c r="D843" s="8">
        <v>5482.2</v>
      </c>
      <c r="E843" s="8"/>
      <c r="F843" s="122" t="s">
        <v>4110</v>
      </c>
      <c r="G843" s="44" t="s">
        <v>842</v>
      </c>
      <c r="H843" t="str">
        <f t="shared" si="43"/>
        <v>RICHWOOD HOSPITALITY CO LTD</v>
      </c>
      <c r="I843" s="112">
        <f t="shared" si="44"/>
        <v>45756</v>
      </c>
      <c r="J843" s="128">
        <f t="shared" si="45"/>
        <v>689</v>
      </c>
    </row>
    <row r="844" spans="1:10" x14ac:dyDescent="0.3">
      <c r="A844" t="s">
        <v>422</v>
      </c>
      <c r="B844" s="4" t="s">
        <v>610</v>
      </c>
      <c r="C844" s="7">
        <v>45799</v>
      </c>
      <c r="D844" s="8">
        <v>-200000</v>
      </c>
      <c r="E844" s="8"/>
      <c r="F844" s="122" t="s">
        <v>4110</v>
      </c>
      <c r="G844" s="44" t="s">
        <v>843</v>
      </c>
      <c r="H844" t="str">
        <f t="shared" si="43"/>
        <v>RICHWOOD HOSPITALITY CO LTD</v>
      </c>
      <c r="I844" s="112">
        <f t="shared" si="44"/>
        <v>45784</v>
      </c>
      <c r="J844" s="128">
        <f t="shared" si="45"/>
        <v>446.52</v>
      </c>
    </row>
    <row r="845" spans="1:10" x14ac:dyDescent="0.3">
      <c r="A845" t="s">
        <v>422</v>
      </c>
      <c r="B845" s="4" t="s">
        <v>611</v>
      </c>
      <c r="C845" s="7">
        <v>45801</v>
      </c>
      <c r="D845" s="8">
        <v>469.2</v>
      </c>
      <c r="E845" s="8"/>
      <c r="F845" s="122" t="s">
        <v>4110</v>
      </c>
      <c r="G845" s="44" t="s">
        <v>844</v>
      </c>
      <c r="H845" t="str">
        <f t="shared" si="43"/>
        <v>RICHWOOD HOSPITALITY CO LTD</v>
      </c>
      <c r="I845" s="112">
        <f t="shared" si="44"/>
        <v>45787</v>
      </c>
      <c r="J845" s="128">
        <f t="shared" si="45"/>
        <v>2600</v>
      </c>
    </row>
    <row r="846" spans="1:10" x14ac:dyDescent="0.3">
      <c r="A846" t="s">
        <v>422</v>
      </c>
      <c r="B846" s="4" t="s">
        <v>612</v>
      </c>
      <c r="C846" s="7">
        <v>45801</v>
      </c>
      <c r="D846" s="8">
        <v>620.58000000000004</v>
      </c>
      <c r="E846" s="8"/>
      <c r="F846" s="122" t="s">
        <v>4110</v>
      </c>
      <c r="G846" s="44" t="s">
        <v>845</v>
      </c>
      <c r="H846" t="str">
        <f t="shared" si="43"/>
        <v>RICHWOOD HOSPITALITY CO LTD</v>
      </c>
      <c r="I846" s="112">
        <f t="shared" si="44"/>
        <v>45789</v>
      </c>
      <c r="J846" s="128">
        <f t="shared" si="45"/>
        <v>10500</v>
      </c>
    </row>
    <row r="847" spans="1:10" x14ac:dyDescent="0.3">
      <c r="A847" t="s">
        <v>422</v>
      </c>
      <c r="B847" s="4" t="s">
        <v>610</v>
      </c>
      <c r="C847" s="7">
        <v>45804</v>
      </c>
      <c r="D847" s="8">
        <v>-400000</v>
      </c>
      <c r="E847" s="8"/>
      <c r="F847" s="122" t="s">
        <v>4110</v>
      </c>
      <c r="G847" s="44" t="s">
        <v>846</v>
      </c>
      <c r="H847" t="str">
        <f t="shared" si="43"/>
        <v>RICHWOOD HOSPITALITY CO LTD</v>
      </c>
      <c r="I847" s="112">
        <f t="shared" si="44"/>
        <v>45791</v>
      </c>
      <c r="J847" s="128">
        <f t="shared" si="45"/>
        <v>-31608.030000000002</v>
      </c>
    </row>
    <row r="848" spans="1:10" x14ac:dyDescent="0.3">
      <c r="A848" t="s">
        <v>422</v>
      </c>
      <c r="B848" s="4" t="s">
        <v>24</v>
      </c>
      <c r="C848" s="7">
        <v>45804</v>
      </c>
      <c r="D848" s="8">
        <v>-4396</v>
      </c>
      <c r="E848" s="8"/>
      <c r="F848" s="122" t="s">
        <v>4110</v>
      </c>
      <c r="G848" s="44" t="s">
        <v>847</v>
      </c>
      <c r="H848" t="str">
        <f t="shared" si="43"/>
        <v>RICHWOOD HOSPITALITY CO LTD</v>
      </c>
      <c r="I848" s="112">
        <f t="shared" si="44"/>
        <v>45795</v>
      </c>
      <c r="J848" s="128">
        <f t="shared" si="45"/>
        <v>10400</v>
      </c>
    </row>
    <row r="849" spans="1:10" x14ac:dyDescent="0.3">
      <c r="A849" t="s">
        <v>422</v>
      </c>
      <c r="B849" s="4" t="s">
        <v>613</v>
      </c>
      <c r="C849" s="7">
        <v>45806</v>
      </c>
      <c r="D849" s="8">
        <v>14743.72</v>
      </c>
      <c r="E849" s="8"/>
      <c r="F849" s="122" t="s">
        <v>4110</v>
      </c>
      <c r="G849" s="44" t="s">
        <v>848</v>
      </c>
      <c r="H849" t="str">
        <f t="shared" si="43"/>
        <v>RICHWOOD HOSPITALITY CO LTD</v>
      </c>
      <c r="I849" s="112">
        <f t="shared" si="44"/>
        <v>45795</v>
      </c>
      <c r="J849" s="128">
        <f t="shared" si="45"/>
        <v>3360.14</v>
      </c>
    </row>
    <row r="850" spans="1:10" x14ac:dyDescent="0.3">
      <c r="A850" t="s">
        <v>422</v>
      </c>
      <c r="B850" s="4" t="s">
        <v>614</v>
      </c>
      <c r="C850" s="7">
        <v>45806</v>
      </c>
      <c r="D850" s="8">
        <v>836.8</v>
      </c>
      <c r="E850" s="8"/>
      <c r="F850" s="122" t="s">
        <v>4110</v>
      </c>
      <c r="G850" s="44" t="s">
        <v>849</v>
      </c>
      <c r="H850" t="str">
        <f t="shared" si="43"/>
        <v>RICHWOOD HOSPITALITY CO LTD</v>
      </c>
      <c r="I850" s="112">
        <f t="shared" si="44"/>
        <v>45800</v>
      </c>
      <c r="J850" s="128">
        <f t="shared" si="45"/>
        <v>64.08</v>
      </c>
    </row>
    <row r="851" spans="1:10" x14ac:dyDescent="0.3">
      <c r="A851" t="s">
        <v>422</v>
      </c>
      <c r="B851" s="4" t="s">
        <v>615</v>
      </c>
      <c r="C851" s="7">
        <v>45806</v>
      </c>
      <c r="D851" s="8">
        <v>2966.73</v>
      </c>
      <c r="E851" s="8"/>
      <c r="F851" s="122" t="s">
        <v>4110</v>
      </c>
      <c r="G851" s="44" t="s">
        <v>850</v>
      </c>
      <c r="H851" t="str">
        <f t="shared" si="43"/>
        <v>RICHWOOD HOSPITALITY CO LTD</v>
      </c>
      <c r="I851" s="112">
        <f t="shared" si="44"/>
        <v>45800</v>
      </c>
      <c r="J851" s="128">
        <f t="shared" si="45"/>
        <v>924.86</v>
      </c>
    </row>
    <row r="852" spans="1:10" x14ac:dyDescent="0.3">
      <c r="A852" t="s">
        <v>422</v>
      </c>
      <c r="B852" s="4" t="s">
        <v>616</v>
      </c>
      <c r="C852" s="7">
        <v>45806</v>
      </c>
      <c r="D852" s="8">
        <v>41.25</v>
      </c>
      <c r="E852" s="8"/>
      <c r="F852" s="122" t="s">
        <v>4110</v>
      </c>
      <c r="G852" s="44" t="s">
        <v>851</v>
      </c>
      <c r="H852" t="str">
        <f t="shared" si="43"/>
        <v>RICHWOOD HOSPITALITY CO LTD</v>
      </c>
      <c r="I852" s="112">
        <f t="shared" si="44"/>
        <v>45800</v>
      </c>
      <c r="J852" s="128">
        <f t="shared" si="45"/>
        <v>-72560.62</v>
      </c>
    </row>
    <row r="853" spans="1:10" x14ac:dyDescent="0.3">
      <c r="A853" t="s">
        <v>422</v>
      </c>
      <c r="B853" s="4" t="s">
        <v>617</v>
      </c>
      <c r="C853" s="7">
        <v>45806</v>
      </c>
      <c r="D853" s="8">
        <v>1134.46</v>
      </c>
      <c r="E853" s="8"/>
      <c r="F853" s="122" t="s">
        <v>4110</v>
      </c>
      <c r="G853" s="44" t="s">
        <v>852</v>
      </c>
      <c r="H853" t="str">
        <f t="shared" si="43"/>
        <v>RICHWOOD HOSPITALITY CO LTD</v>
      </c>
      <c r="I853" s="112">
        <f t="shared" si="44"/>
        <v>45805</v>
      </c>
      <c r="J853" s="128">
        <f t="shared" si="45"/>
        <v>26507.29</v>
      </c>
    </row>
    <row r="854" spans="1:10" x14ac:dyDescent="0.3">
      <c r="A854" t="s">
        <v>422</v>
      </c>
      <c r="B854" s="4" t="s">
        <v>588</v>
      </c>
      <c r="C854" s="7">
        <v>45806</v>
      </c>
      <c r="D854" s="8">
        <v>543.45000000000005</v>
      </c>
      <c r="E854" s="8"/>
      <c r="F854" s="122" t="s">
        <v>4110</v>
      </c>
      <c r="G854" s="44" t="s">
        <v>853</v>
      </c>
      <c r="H854" t="str">
        <f t="shared" si="43"/>
        <v>RICHWOOD HOSPITALITY CO LTD</v>
      </c>
      <c r="I854" s="112">
        <f t="shared" si="44"/>
        <v>45810</v>
      </c>
      <c r="J854" s="128">
        <f t="shared" si="45"/>
        <v>-2315</v>
      </c>
    </row>
    <row r="855" spans="1:10" x14ac:dyDescent="0.3">
      <c r="A855" t="s">
        <v>422</v>
      </c>
      <c r="B855" s="4" t="s">
        <v>618</v>
      </c>
      <c r="C855" s="7">
        <v>45806</v>
      </c>
      <c r="D855" s="8">
        <v>6390.15</v>
      </c>
      <c r="E855" s="8"/>
      <c r="F855" s="122" t="s">
        <v>4110</v>
      </c>
      <c r="G855" s="44" t="s">
        <v>854</v>
      </c>
      <c r="H855" t="str">
        <f t="shared" si="43"/>
        <v>RICHWOOD HOSPITALITY CO LTD</v>
      </c>
      <c r="I855" s="112">
        <f t="shared" si="44"/>
        <v>45826</v>
      </c>
      <c r="J855" s="128">
        <f t="shared" si="45"/>
        <v>-83018.27</v>
      </c>
    </row>
    <row r="856" spans="1:10" x14ac:dyDescent="0.3">
      <c r="A856" t="s">
        <v>422</v>
      </c>
      <c r="B856" s="4" t="s">
        <v>619</v>
      </c>
      <c r="C856" s="7">
        <v>45806</v>
      </c>
      <c r="D856" s="8">
        <v>16364.07</v>
      </c>
      <c r="E856" s="8"/>
      <c r="F856" s="122" t="s">
        <v>4110</v>
      </c>
      <c r="G856" s="44" t="s">
        <v>855</v>
      </c>
      <c r="H856" t="str">
        <f t="shared" si="43"/>
        <v>RICHWOOD HOSPITALITY CO LTD</v>
      </c>
      <c r="I856" s="112">
        <f t="shared" si="44"/>
        <v>45838</v>
      </c>
      <c r="J856" s="128">
        <f t="shared" si="45"/>
        <v>5386.05</v>
      </c>
    </row>
    <row r="857" spans="1:10" x14ac:dyDescent="0.3">
      <c r="A857" t="s">
        <v>422</v>
      </c>
      <c r="B857" s="4" t="s">
        <v>620</v>
      </c>
      <c r="C857" s="7">
        <v>45806</v>
      </c>
      <c r="D857" s="8">
        <v>814.76</v>
      </c>
      <c r="E857" s="8"/>
      <c r="F857" s="122" t="s">
        <v>4110</v>
      </c>
      <c r="G857" s="44" t="s">
        <v>856</v>
      </c>
      <c r="H857" t="str">
        <f t="shared" si="43"/>
        <v>RICHWOOD HOSPITALITY CO LTD</v>
      </c>
      <c r="I857" s="112">
        <f t="shared" si="44"/>
        <v>45838</v>
      </c>
      <c r="J857" s="128">
        <f t="shared" si="45"/>
        <v>919.1</v>
      </c>
    </row>
    <row r="858" spans="1:10" x14ac:dyDescent="0.3">
      <c r="A858" t="s">
        <v>422</v>
      </c>
      <c r="B858" s="4" t="s">
        <v>621</v>
      </c>
      <c r="C858" s="7">
        <v>45806</v>
      </c>
      <c r="D858" s="8">
        <v>2516.59</v>
      </c>
      <c r="E858" s="8"/>
      <c r="F858" s="122" t="s">
        <v>4110</v>
      </c>
      <c r="G858" s="44" t="s">
        <v>857</v>
      </c>
      <c r="H858" t="str">
        <f t="shared" si="43"/>
        <v>RICHWOOD HOSPITALITY CO LTD</v>
      </c>
      <c r="I858" s="112">
        <f t="shared" si="44"/>
        <v>45838</v>
      </c>
      <c r="J858" s="128">
        <f t="shared" si="45"/>
        <v>1323</v>
      </c>
    </row>
    <row r="859" spans="1:10" x14ac:dyDescent="0.3">
      <c r="A859" t="s">
        <v>422</v>
      </c>
      <c r="B859" s="4" t="s">
        <v>622</v>
      </c>
      <c r="C859" s="7">
        <v>45806</v>
      </c>
      <c r="D859" s="8">
        <v>1228.3499999999999</v>
      </c>
      <c r="E859" s="8"/>
      <c r="F859" s="122" t="s">
        <v>4110</v>
      </c>
      <c r="G859" s="44" t="s">
        <v>858</v>
      </c>
      <c r="H859" t="str">
        <f t="shared" si="43"/>
        <v>RICHWOOD HOSPITALITY CO LTD</v>
      </c>
      <c r="I859" s="112">
        <f t="shared" si="44"/>
        <v>45838</v>
      </c>
      <c r="J859" s="128">
        <f t="shared" si="45"/>
        <v>90</v>
      </c>
    </row>
    <row r="860" spans="1:10" x14ac:dyDescent="0.3">
      <c r="A860" t="s">
        <v>422</v>
      </c>
      <c r="B860" s="4" t="s">
        <v>623</v>
      </c>
      <c r="C860" s="7">
        <v>45806</v>
      </c>
      <c r="D860" s="8">
        <v>5230.71</v>
      </c>
      <c r="E860" s="8"/>
      <c r="F860" s="122" t="s">
        <v>4110</v>
      </c>
      <c r="G860" s="44">
        <v>999184577</v>
      </c>
      <c r="H860" t="str">
        <f t="shared" si="43"/>
        <v>Shaw Industries Inc.  Patcraft</v>
      </c>
      <c r="I860" s="112">
        <f t="shared" si="44"/>
        <v>45776</v>
      </c>
      <c r="J860" s="128">
        <f t="shared" si="45"/>
        <v>42908.51</v>
      </c>
    </row>
    <row r="861" spans="1:10" x14ac:dyDescent="0.3">
      <c r="A861" t="s">
        <v>422</v>
      </c>
      <c r="B861" s="4" t="s">
        <v>623</v>
      </c>
      <c r="C861" s="7">
        <v>45806</v>
      </c>
      <c r="D861" s="8">
        <v>40325.300000000003</v>
      </c>
      <c r="E861" s="8"/>
      <c r="F861" s="122" t="s">
        <v>4110</v>
      </c>
      <c r="G861" s="44">
        <v>999184610</v>
      </c>
      <c r="H861" t="str">
        <f t="shared" si="43"/>
        <v>Shaw Industries Inc.  Patcraft</v>
      </c>
      <c r="I861" s="112">
        <f t="shared" si="44"/>
        <v>45777</v>
      </c>
      <c r="J861" s="128">
        <f t="shared" si="45"/>
        <v>36626.660000000003</v>
      </c>
    </row>
    <row r="862" spans="1:10" x14ac:dyDescent="0.3">
      <c r="A862" t="s">
        <v>422</v>
      </c>
      <c r="B862" s="4" t="s">
        <v>624</v>
      </c>
      <c r="C862" s="7">
        <v>45806</v>
      </c>
      <c r="D862" s="8">
        <v>4807.8500000000004</v>
      </c>
      <c r="E862" s="8"/>
      <c r="F862" s="122" t="s">
        <v>4110</v>
      </c>
      <c r="G862" s="44">
        <v>999185188</v>
      </c>
      <c r="H862" t="str">
        <f t="shared" si="43"/>
        <v>Shaw Industries Inc.  Patcraft</v>
      </c>
      <c r="I862" s="112">
        <f t="shared" si="44"/>
        <v>45791</v>
      </c>
      <c r="J862" s="128">
        <f t="shared" si="45"/>
        <v>20833.87</v>
      </c>
    </row>
    <row r="863" spans="1:10" x14ac:dyDescent="0.3">
      <c r="A863" t="s">
        <v>422</v>
      </c>
      <c r="B863" s="4" t="s">
        <v>622</v>
      </c>
      <c r="C863" s="7">
        <v>45806</v>
      </c>
      <c r="D863" s="8">
        <v>11261.08</v>
      </c>
      <c r="E863" s="8"/>
      <c r="F863" s="122" t="s">
        <v>4110</v>
      </c>
      <c r="G863" s="44" t="s">
        <v>861</v>
      </c>
      <c r="H863" t="str">
        <f t="shared" si="43"/>
        <v>Shaw Industries Inc.  Patcraft</v>
      </c>
      <c r="I863" s="112">
        <f t="shared" si="44"/>
        <v>45829</v>
      </c>
      <c r="J863" s="128">
        <f t="shared" si="45"/>
        <v>-25755.06</v>
      </c>
    </row>
    <row r="864" spans="1:10" x14ac:dyDescent="0.3">
      <c r="A864" t="s">
        <v>422</v>
      </c>
      <c r="B864" s="4" t="s">
        <v>625</v>
      </c>
      <c r="C864" s="7">
        <v>45806</v>
      </c>
      <c r="D864" s="8">
        <v>56645.36</v>
      </c>
      <c r="E864" s="8"/>
      <c r="F864" s="122" t="s">
        <v>4110</v>
      </c>
      <c r="G864" s="44">
        <v>999186726</v>
      </c>
      <c r="H864" t="str">
        <f t="shared" si="43"/>
        <v>Shaw Industries Inc.  Patcraft</v>
      </c>
      <c r="I864" s="112">
        <f t="shared" si="44"/>
        <v>45834</v>
      </c>
      <c r="J864" s="128">
        <f t="shared" si="45"/>
        <v>39437.82</v>
      </c>
    </row>
    <row r="865" spans="1:11" x14ac:dyDescent="0.3">
      <c r="A865" t="s">
        <v>422</v>
      </c>
      <c r="B865" s="4" t="s">
        <v>623</v>
      </c>
      <c r="C865" s="7">
        <v>45806</v>
      </c>
      <c r="D865" s="8">
        <v>21780.52</v>
      </c>
      <c r="E865" s="8"/>
      <c r="F865" s="122" t="s">
        <v>4110</v>
      </c>
      <c r="G865" s="44">
        <v>999151243</v>
      </c>
      <c r="H865" t="str">
        <f t="shared" si="43"/>
        <v>Shaw Integrated Solutions</v>
      </c>
      <c r="I865" s="112">
        <f t="shared" si="44"/>
        <v>45183</v>
      </c>
      <c r="J865" s="128">
        <f t="shared" si="45"/>
        <v>5203.87</v>
      </c>
    </row>
    <row r="866" spans="1:11" x14ac:dyDescent="0.3">
      <c r="A866" t="s">
        <v>422</v>
      </c>
      <c r="B866" s="4" t="s">
        <v>603</v>
      </c>
      <c r="C866" s="7">
        <v>45806</v>
      </c>
      <c r="D866" s="8">
        <v>1787.12</v>
      </c>
      <c r="E866" s="8"/>
      <c r="F866" s="122" t="s">
        <v>4110</v>
      </c>
      <c r="G866" s="44">
        <v>999184573</v>
      </c>
      <c r="H866" t="str">
        <f t="shared" si="43"/>
        <v>Shaw Integrated Solutions</v>
      </c>
      <c r="I866" s="112">
        <f t="shared" si="44"/>
        <v>45776</v>
      </c>
      <c r="J866" s="128">
        <f t="shared" si="45"/>
        <v>23854.799999999999</v>
      </c>
    </row>
    <row r="867" spans="1:11" x14ac:dyDescent="0.3">
      <c r="A867" t="s">
        <v>422</v>
      </c>
      <c r="B867" s="4" t="s">
        <v>626</v>
      </c>
      <c r="C867" s="7">
        <v>45806</v>
      </c>
      <c r="D867" s="8">
        <v>540.48</v>
      </c>
      <c r="E867" s="8"/>
      <c r="F867" s="122" t="s">
        <v>4110</v>
      </c>
      <c r="G867" s="44">
        <v>999184575</v>
      </c>
      <c r="H867" t="str">
        <f t="shared" si="43"/>
        <v>Shaw Integrated Solutions</v>
      </c>
      <c r="I867" s="112">
        <f t="shared" si="44"/>
        <v>45776</v>
      </c>
      <c r="J867" s="128">
        <f t="shared" si="45"/>
        <v>7005.3</v>
      </c>
    </row>
    <row r="868" spans="1:11" x14ac:dyDescent="0.3">
      <c r="A868" t="s">
        <v>422</v>
      </c>
      <c r="B868" s="4" t="s">
        <v>627</v>
      </c>
      <c r="C868" s="7">
        <v>45806</v>
      </c>
      <c r="D868" s="8">
        <v>352.83</v>
      </c>
      <c r="E868" s="8"/>
      <c r="F868" s="122" t="s">
        <v>4110</v>
      </c>
      <c r="G868" s="44">
        <v>999185190</v>
      </c>
      <c r="H868" t="str">
        <f t="shared" si="43"/>
        <v>Shaw Integrated Solutions</v>
      </c>
      <c r="I868" s="112">
        <f t="shared" si="44"/>
        <v>45791</v>
      </c>
      <c r="J868" s="128">
        <f t="shared" si="45"/>
        <v>21384.86</v>
      </c>
    </row>
    <row r="869" spans="1:11" x14ac:dyDescent="0.3">
      <c r="A869" t="s">
        <v>422</v>
      </c>
      <c r="B869" s="4" t="s">
        <v>628</v>
      </c>
      <c r="C869" s="7">
        <v>45806</v>
      </c>
      <c r="D869" s="8">
        <v>5751.69</v>
      </c>
      <c r="E869" s="8"/>
      <c r="F869" s="122" t="s">
        <v>4110</v>
      </c>
      <c r="G869" s="44" t="s">
        <v>864</v>
      </c>
      <c r="H869" t="str">
        <f t="shared" si="43"/>
        <v>Shenzhen Double Building Materials Co., Ltd.</v>
      </c>
      <c r="I869" s="112">
        <f t="shared" si="44"/>
        <v>45622</v>
      </c>
      <c r="J869" s="128">
        <f t="shared" si="45"/>
        <v>-8454</v>
      </c>
    </row>
    <row r="870" spans="1:11" x14ac:dyDescent="0.3">
      <c r="A870" t="s">
        <v>422</v>
      </c>
      <c r="B870" s="4" t="s">
        <v>629</v>
      </c>
      <c r="C870" s="7">
        <v>45806</v>
      </c>
      <c r="D870" s="8">
        <v>43.49</v>
      </c>
      <c r="E870" s="8"/>
      <c r="F870" s="122" t="s">
        <v>4110</v>
      </c>
      <c r="G870" s="44" t="s">
        <v>866</v>
      </c>
      <c r="H870" t="str">
        <f t="shared" si="43"/>
        <v>SICIS THE ART FACTORY</v>
      </c>
      <c r="I870" s="112">
        <f t="shared" si="44"/>
        <v>45792</v>
      </c>
      <c r="J870" s="128">
        <f t="shared" si="45"/>
        <v>4783.1099999999997</v>
      </c>
    </row>
    <row r="871" spans="1:11" x14ac:dyDescent="0.3">
      <c r="A871" t="s">
        <v>422</v>
      </c>
      <c r="B871" s="4" t="s">
        <v>630</v>
      </c>
      <c r="C871" s="7">
        <v>45806</v>
      </c>
      <c r="D871" s="8">
        <v>2886.62</v>
      </c>
      <c r="E871" s="8"/>
      <c r="F871" s="122" t="s">
        <v>4110</v>
      </c>
      <c r="G871" s="44" t="s">
        <v>868</v>
      </c>
      <c r="H871" t="str">
        <f t="shared" si="43"/>
        <v>Signature Flooring</v>
      </c>
      <c r="I871" s="112">
        <f t="shared" si="44"/>
        <v>45838</v>
      </c>
      <c r="J871" s="128">
        <f t="shared" si="45"/>
        <v>2020.39</v>
      </c>
    </row>
    <row r="872" spans="1:11" x14ac:dyDescent="0.3">
      <c r="A872" t="s">
        <v>422</v>
      </c>
      <c r="B872" s="4" t="s">
        <v>580</v>
      </c>
      <c r="C872" s="7">
        <v>45806</v>
      </c>
      <c r="D872" s="8">
        <v>200.67</v>
      </c>
      <c r="E872" s="8"/>
      <c r="F872" s="122" t="s">
        <v>4110</v>
      </c>
      <c r="G872" s="44" t="s">
        <v>870</v>
      </c>
      <c r="H872" t="str">
        <f t="shared" si="43"/>
        <v>Sponge Cushion Inc.</v>
      </c>
      <c r="I872" s="112">
        <f t="shared" si="44"/>
        <v>45108</v>
      </c>
      <c r="J872" s="128">
        <f t="shared" si="45"/>
        <v>502.31</v>
      </c>
    </row>
    <row r="873" spans="1:11" x14ac:dyDescent="0.3">
      <c r="A873" t="s">
        <v>422</v>
      </c>
      <c r="B873" s="4" t="s">
        <v>631</v>
      </c>
      <c r="C873" s="7">
        <v>45807</v>
      </c>
      <c r="D873" s="8">
        <v>9436</v>
      </c>
      <c r="E873" s="8"/>
      <c r="F873" s="122" t="s">
        <v>4110</v>
      </c>
      <c r="G873" s="44" t="s">
        <v>872</v>
      </c>
      <c r="H873" t="str">
        <f t="shared" si="43"/>
        <v>Sponge Cushion/L &amp; p Financial Serv</v>
      </c>
      <c r="I873" s="112">
        <f t="shared" si="44"/>
        <v>45754</v>
      </c>
      <c r="J873" s="128">
        <f t="shared" si="45"/>
        <v>-862.7</v>
      </c>
    </row>
    <row r="874" spans="1:11" x14ac:dyDescent="0.3">
      <c r="A874" t="s">
        <v>422</v>
      </c>
      <c r="B874" s="4" t="s">
        <v>559</v>
      </c>
      <c r="C874" s="7">
        <v>45807</v>
      </c>
      <c r="D874" s="8">
        <v>6353.16</v>
      </c>
      <c r="E874" s="8"/>
      <c r="F874" s="122" t="s">
        <v>4110</v>
      </c>
      <c r="G874" s="44">
        <v>1101363409</v>
      </c>
      <c r="H874" t="str">
        <f t="shared" si="43"/>
        <v>STG Logistics</v>
      </c>
      <c r="I874" s="112">
        <f t="shared" si="44"/>
        <v>45597</v>
      </c>
      <c r="J874" s="128">
        <f t="shared" si="45"/>
        <v>100</v>
      </c>
    </row>
    <row r="875" spans="1:11" x14ac:dyDescent="0.3">
      <c r="A875" t="s">
        <v>422</v>
      </c>
      <c r="B875" s="4" t="s">
        <v>632</v>
      </c>
      <c r="C875" s="7">
        <v>45807</v>
      </c>
      <c r="D875" s="8">
        <v>68.67</v>
      </c>
      <c r="E875" s="8"/>
      <c r="F875" s="122" t="s">
        <v>4110</v>
      </c>
      <c r="G875" s="44">
        <v>23012784</v>
      </c>
      <c r="H875" t="str">
        <f t="shared" si="43"/>
        <v>StonePeak Ceramics Inc-30593</v>
      </c>
      <c r="I875" s="112">
        <f t="shared" si="44"/>
        <v>45373</v>
      </c>
      <c r="J875" s="128">
        <f t="shared" si="45"/>
        <v>941.94</v>
      </c>
    </row>
    <row r="876" spans="1:11" x14ac:dyDescent="0.3">
      <c r="A876" t="s">
        <v>422</v>
      </c>
      <c r="B876" s="4" t="s">
        <v>633</v>
      </c>
      <c r="C876" s="7">
        <v>45807</v>
      </c>
      <c r="D876" s="8">
        <v>342.51</v>
      </c>
      <c r="E876" s="8"/>
      <c r="F876" s="122" t="s">
        <v>4110</v>
      </c>
      <c r="G876" s="44" t="s">
        <v>875</v>
      </c>
      <c r="H876" t="str">
        <f t="shared" si="43"/>
        <v>StonePeak Ceramics Inc-30593</v>
      </c>
      <c r="I876" s="112">
        <f t="shared" si="44"/>
        <v>45824</v>
      </c>
      <c r="J876" s="128">
        <f t="shared" si="45"/>
        <v>-8548.6299999999992</v>
      </c>
    </row>
    <row r="877" spans="1:11" x14ac:dyDescent="0.3">
      <c r="A877" t="s">
        <v>422</v>
      </c>
      <c r="B877" s="4" t="s">
        <v>634</v>
      </c>
      <c r="C877" s="7">
        <v>45807</v>
      </c>
      <c r="D877" s="8">
        <v>2156.42</v>
      </c>
      <c r="E877" s="8"/>
      <c r="F877" s="123" t="s">
        <v>4109</v>
      </c>
      <c r="G877" s="44">
        <v>14298381</v>
      </c>
      <c r="H877" t="str">
        <f t="shared" si="43"/>
        <v>SUNTECK TRANSPORT</v>
      </c>
      <c r="I877" s="112">
        <f t="shared" si="44"/>
        <v>45671</v>
      </c>
      <c r="J877" s="128">
        <f t="shared" si="45"/>
        <v>5150</v>
      </c>
      <c r="K877" s="102"/>
    </row>
    <row r="878" spans="1:11" x14ac:dyDescent="0.3">
      <c r="A878" t="s">
        <v>422</v>
      </c>
      <c r="B878" s="4" t="s">
        <v>635</v>
      </c>
      <c r="C878" s="7">
        <v>45807</v>
      </c>
      <c r="D878" s="8">
        <v>5654.82</v>
      </c>
      <c r="E878" s="8"/>
      <c r="F878" s="123" t="s">
        <v>4109</v>
      </c>
      <c r="G878" s="44" t="s">
        <v>877</v>
      </c>
      <c r="H878" t="str">
        <f t="shared" si="43"/>
        <v>SUNTECK TRANSPORT</v>
      </c>
      <c r="I878" s="112">
        <f t="shared" si="44"/>
        <v>45688</v>
      </c>
      <c r="J878" s="128">
        <f t="shared" si="45"/>
        <v>68</v>
      </c>
    </row>
    <row r="879" spans="1:11" x14ac:dyDescent="0.3">
      <c r="A879" t="s">
        <v>422</v>
      </c>
      <c r="B879" s="4" t="s">
        <v>636</v>
      </c>
      <c r="C879" s="7">
        <v>45807</v>
      </c>
      <c r="D879" s="8">
        <v>213.51</v>
      </c>
      <c r="E879" s="8"/>
      <c r="F879" s="123" t="s">
        <v>4109</v>
      </c>
      <c r="G879" s="44">
        <v>14518920</v>
      </c>
      <c r="H879" t="str">
        <f t="shared" si="43"/>
        <v>SUNTECK TRANSPORT</v>
      </c>
      <c r="I879" s="112">
        <f t="shared" si="44"/>
        <v>45735</v>
      </c>
      <c r="J879" s="128">
        <f t="shared" si="45"/>
        <v>0.1</v>
      </c>
    </row>
    <row r="880" spans="1:11" x14ac:dyDescent="0.3">
      <c r="A880" t="s">
        <v>422</v>
      </c>
      <c r="B880" s="4" t="s">
        <v>637</v>
      </c>
      <c r="C880" s="7">
        <v>45807</v>
      </c>
      <c r="D880" s="8">
        <v>1012.7</v>
      </c>
      <c r="E880" s="8"/>
      <c r="F880" s="123" t="s">
        <v>4109</v>
      </c>
      <c r="G880" s="44" t="s">
        <v>878</v>
      </c>
      <c r="H880" t="str">
        <f t="shared" si="43"/>
        <v>SUNTECK TRANSPORT</v>
      </c>
      <c r="I880" s="112">
        <f t="shared" si="44"/>
        <v>45751</v>
      </c>
      <c r="J880" s="128">
        <f t="shared" si="45"/>
        <v>668.5</v>
      </c>
    </row>
    <row r="881" spans="1:11" x14ac:dyDescent="0.3">
      <c r="A881" t="s">
        <v>422</v>
      </c>
      <c r="B881" s="4" t="s">
        <v>638</v>
      </c>
      <c r="C881" s="7">
        <v>45807</v>
      </c>
      <c r="D881" s="8">
        <v>61908.55</v>
      </c>
      <c r="E881" s="8"/>
      <c r="F881" s="122" t="s">
        <v>4110</v>
      </c>
      <c r="G881" s="44" t="s">
        <v>880</v>
      </c>
      <c r="H881" t="str">
        <f t="shared" si="43"/>
        <v>Tarkett</v>
      </c>
      <c r="I881" s="112">
        <f t="shared" si="44"/>
        <v>45750</v>
      </c>
      <c r="J881" s="128">
        <f t="shared" si="45"/>
        <v>-1366.16</v>
      </c>
    </row>
    <row r="882" spans="1:11" x14ac:dyDescent="0.3">
      <c r="A882" t="s">
        <v>422</v>
      </c>
      <c r="B882" s="4" t="s">
        <v>639</v>
      </c>
      <c r="C882" s="7">
        <v>45807</v>
      </c>
      <c r="D882" s="8">
        <v>1085</v>
      </c>
      <c r="E882" s="8"/>
      <c r="F882" s="122" t="s">
        <v>4110</v>
      </c>
      <c r="G882" s="44" t="s">
        <v>881</v>
      </c>
      <c r="H882" t="str">
        <f t="shared" si="43"/>
        <v>Tarkett</v>
      </c>
      <c r="I882" s="112">
        <f t="shared" si="44"/>
        <v>45770</v>
      </c>
      <c r="J882" s="128">
        <f t="shared" si="45"/>
        <v>-325.91000000000003</v>
      </c>
    </row>
    <row r="883" spans="1:11" x14ac:dyDescent="0.3">
      <c r="A883" t="s">
        <v>422</v>
      </c>
      <c r="B883" s="4" t="s">
        <v>640</v>
      </c>
      <c r="C883" s="7">
        <v>45807</v>
      </c>
      <c r="D883" s="8">
        <v>1125.75</v>
      </c>
      <c r="E883" s="8"/>
      <c r="F883" s="122" t="s">
        <v>4110</v>
      </c>
      <c r="G883" s="44">
        <v>27375</v>
      </c>
      <c r="H883" t="str">
        <f t="shared" si="43"/>
        <v>TM Leader Contract</v>
      </c>
      <c r="I883" s="112">
        <f t="shared" si="44"/>
        <v>45490</v>
      </c>
      <c r="J883" s="128">
        <f t="shared" si="45"/>
        <v>-676.2</v>
      </c>
    </row>
    <row r="884" spans="1:11" x14ac:dyDescent="0.3">
      <c r="A884" t="s">
        <v>422</v>
      </c>
      <c r="B884" s="4" t="s">
        <v>641</v>
      </c>
      <c r="C884" s="7">
        <v>45807</v>
      </c>
      <c r="D884" s="8">
        <v>2522.86</v>
      </c>
      <c r="E884" s="8"/>
      <c r="F884" s="122" t="s">
        <v>4110</v>
      </c>
      <c r="G884" s="44" t="s">
        <v>883</v>
      </c>
      <c r="H884" t="str">
        <f t="shared" si="43"/>
        <v>TM Leader Contract</v>
      </c>
      <c r="I884" s="112">
        <f t="shared" si="44"/>
        <v>45667</v>
      </c>
      <c r="J884" s="128">
        <f t="shared" si="45"/>
        <v>-3083.08</v>
      </c>
    </row>
    <row r="885" spans="1:11" x14ac:dyDescent="0.3">
      <c r="A885" t="s">
        <v>422</v>
      </c>
      <c r="B885" s="4" t="s">
        <v>642</v>
      </c>
      <c r="C885" s="7">
        <v>45807</v>
      </c>
      <c r="D885" s="8">
        <v>3493.5</v>
      </c>
      <c r="E885" s="8"/>
      <c r="F885" s="122" t="s">
        <v>4110</v>
      </c>
      <c r="G885" s="44" t="s">
        <v>886</v>
      </c>
      <c r="H885" t="str">
        <f t="shared" si="43"/>
        <v>Truist Card Services</v>
      </c>
      <c r="I885" s="112">
        <f t="shared" si="44"/>
        <v>45709</v>
      </c>
      <c r="J885" s="128">
        <f t="shared" si="45"/>
        <v>1008.51</v>
      </c>
    </row>
    <row r="886" spans="1:11" x14ac:dyDescent="0.3">
      <c r="A886" t="s">
        <v>422</v>
      </c>
      <c r="B886" s="4" t="s">
        <v>643</v>
      </c>
      <c r="C886" s="7">
        <v>45807</v>
      </c>
      <c r="D886" s="8">
        <v>7827.2</v>
      </c>
      <c r="E886" s="8"/>
      <c r="F886" s="123" t="s">
        <v>4109</v>
      </c>
      <c r="G886" s="44" t="s">
        <v>888</v>
      </c>
      <c r="H886" t="str">
        <f t="shared" si="43"/>
        <v>U.S. CUSTOMS AND BORDER PROTECTION</v>
      </c>
      <c r="I886" s="112">
        <f t="shared" si="44"/>
        <v>45691</v>
      </c>
      <c r="J886" s="128">
        <f t="shared" si="45"/>
        <v>217.3</v>
      </c>
      <c r="K886" s="102"/>
    </row>
    <row r="887" spans="1:11" x14ac:dyDescent="0.3">
      <c r="A887" t="s">
        <v>422</v>
      </c>
      <c r="B887" s="4" t="s">
        <v>644</v>
      </c>
      <c r="C887" s="7">
        <v>45809</v>
      </c>
      <c r="D887" s="8">
        <v>2245.46</v>
      </c>
      <c r="E887" s="8"/>
      <c r="F887" s="123" t="s">
        <v>4109</v>
      </c>
      <c r="G887" s="44" t="s">
        <v>889</v>
      </c>
      <c r="H887" t="str">
        <f t="shared" si="43"/>
        <v>U.S. CUSTOMS AND BORDER PROTECTION</v>
      </c>
      <c r="I887" s="112">
        <f t="shared" si="44"/>
        <v>45698</v>
      </c>
      <c r="J887" s="128">
        <f t="shared" si="45"/>
        <v>2051.66</v>
      </c>
    </row>
    <row r="888" spans="1:11" x14ac:dyDescent="0.3">
      <c r="A888" t="s">
        <v>422</v>
      </c>
      <c r="B888" s="4" t="s">
        <v>645</v>
      </c>
      <c r="C888" s="7">
        <v>45814</v>
      </c>
      <c r="D888" s="8">
        <v>7564.47</v>
      </c>
      <c r="E888" s="8"/>
      <c r="F888" s="123" t="s">
        <v>4109</v>
      </c>
      <c r="G888" s="44" t="s">
        <v>890</v>
      </c>
      <c r="H888" t="str">
        <f t="shared" si="43"/>
        <v>U.S. CUSTOMS AND BORDER PROTECTION</v>
      </c>
      <c r="I888" s="112">
        <f t="shared" si="44"/>
        <v>45701</v>
      </c>
      <c r="J888" s="128">
        <f t="shared" si="45"/>
        <v>363.08</v>
      </c>
    </row>
    <row r="889" spans="1:11" x14ac:dyDescent="0.3">
      <c r="A889" t="s">
        <v>422</v>
      </c>
      <c r="B889" s="4" t="s">
        <v>646</v>
      </c>
      <c r="C889" s="7">
        <v>45816</v>
      </c>
      <c r="D889" s="8">
        <v>18247.45</v>
      </c>
      <c r="E889" s="8"/>
      <c r="F889" s="123" t="s">
        <v>4109</v>
      </c>
      <c r="G889" s="44" t="s">
        <v>891</v>
      </c>
      <c r="H889" t="str">
        <f t="shared" si="43"/>
        <v>U.S. CUSTOMS AND BORDER PROTECTION</v>
      </c>
      <c r="I889" s="112">
        <f t="shared" si="44"/>
        <v>45702</v>
      </c>
      <c r="J889" s="128">
        <f t="shared" si="45"/>
        <v>0.27</v>
      </c>
    </row>
    <row r="890" spans="1:11" x14ac:dyDescent="0.3">
      <c r="A890" t="s">
        <v>422</v>
      </c>
      <c r="B890" s="4" t="s">
        <v>647</v>
      </c>
      <c r="C890" s="7">
        <v>45816</v>
      </c>
      <c r="D890" s="8">
        <v>5904.13</v>
      </c>
      <c r="E890" s="8"/>
      <c r="F890" s="123" t="s">
        <v>4109</v>
      </c>
      <c r="G890" s="44" t="s">
        <v>892</v>
      </c>
      <c r="H890" t="str">
        <f t="shared" si="43"/>
        <v>U.S. CUSTOMS AND BORDER PROTECTION</v>
      </c>
      <c r="I890" s="112">
        <f t="shared" si="44"/>
        <v>45713</v>
      </c>
      <c r="J890" s="128">
        <f t="shared" si="45"/>
        <v>130.94999999999999</v>
      </c>
    </row>
    <row r="891" spans="1:11" x14ac:dyDescent="0.3">
      <c r="A891" t="s">
        <v>422</v>
      </c>
      <c r="B891" s="4" t="s">
        <v>648</v>
      </c>
      <c r="C891" s="7">
        <v>45816</v>
      </c>
      <c r="D891" s="8">
        <v>13777.01</v>
      </c>
      <c r="E891" s="8"/>
      <c r="F891" s="123" t="s">
        <v>4109</v>
      </c>
      <c r="G891" s="44" t="s">
        <v>893</v>
      </c>
      <c r="H891" t="str">
        <f t="shared" si="43"/>
        <v>U.S. CUSTOMS AND BORDER PROTECTION</v>
      </c>
      <c r="I891" s="112">
        <f t="shared" si="44"/>
        <v>45716</v>
      </c>
      <c r="J891" s="128">
        <f t="shared" si="45"/>
        <v>135.34</v>
      </c>
    </row>
    <row r="892" spans="1:11" x14ac:dyDescent="0.3">
      <c r="A892" t="s">
        <v>422</v>
      </c>
      <c r="B892" s="4" t="s">
        <v>647</v>
      </c>
      <c r="C892" s="7">
        <v>45816</v>
      </c>
      <c r="D892" s="8">
        <v>57317.56</v>
      </c>
      <c r="E892" s="8"/>
      <c r="F892" s="123" t="s">
        <v>4109</v>
      </c>
      <c r="G892" s="44" t="s">
        <v>894</v>
      </c>
      <c r="H892" t="str">
        <f t="shared" si="43"/>
        <v>U.S. CUSTOMS AND BORDER PROTECTION</v>
      </c>
      <c r="I892" s="112">
        <f t="shared" si="44"/>
        <v>45716</v>
      </c>
      <c r="J892" s="128">
        <f t="shared" si="45"/>
        <v>279.7</v>
      </c>
    </row>
    <row r="893" spans="1:11" x14ac:dyDescent="0.3">
      <c r="A893" t="s">
        <v>422</v>
      </c>
      <c r="B893" s="4" t="s">
        <v>649</v>
      </c>
      <c r="C893" s="7">
        <v>45816</v>
      </c>
      <c r="D893" s="8">
        <v>12822.52</v>
      </c>
      <c r="E893" s="8"/>
      <c r="F893" s="123" t="s">
        <v>4109</v>
      </c>
      <c r="G893" s="44" t="s">
        <v>895</v>
      </c>
      <c r="H893" t="str">
        <f t="shared" si="43"/>
        <v>U.S. CUSTOMS AND BORDER PROTECTION</v>
      </c>
      <c r="I893" s="112">
        <f t="shared" si="44"/>
        <v>45723</v>
      </c>
      <c r="J893" s="128">
        <f t="shared" si="45"/>
        <v>78.08</v>
      </c>
    </row>
    <row r="894" spans="1:11" x14ac:dyDescent="0.3">
      <c r="A894" t="s">
        <v>422</v>
      </c>
      <c r="B894" s="4" t="s">
        <v>650</v>
      </c>
      <c r="C894" s="7">
        <v>45816</v>
      </c>
      <c r="D894" s="8">
        <v>1083.6600000000001</v>
      </c>
      <c r="E894" s="8"/>
      <c r="F894" s="123" t="s">
        <v>4109</v>
      </c>
      <c r="G894" s="44" t="s">
        <v>896</v>
      </c>
      <c r="H894" t="str">
        <f t="shared" si="43"/>
        <v>U.S. CUSTOMS AND BORDER PROTECTION</v>
      </c>
      <c r="I894" s="112">
        <f t="shared" si="44"/>
        <v>45727</v>
      </c>
      <c r="J894" s="128">
        <f t="shared" si="45"/>
        <v>3260.63</v>
      </c>
    </row>
    <row r="895" spans="1:11" x14ac:dyDescent="0.3">
      <c r="A895" t="s">
        <v>422</v>
      </c>
      <c r="B895" s="4" t="s">
        <v>651</v>
      </c>
      <c r="C895" s="7">
        <v>45816</v>
      </c>
      <c r="D895" s="8">
        <v>420.87</v>
      </c>
      <c r="E895" s="8"/>
      <c r="F895" s="123" t="s">
        <v>4109</v>
      </c>
      <c r="G895" s="44" t="s">
        <v>897</v>
      </c>
      <c r="H895" t="str">
        <f t="shared" si="43"/>
        <v>U.S. CUSTOMS AND BORDER PROTECTION</v>
      </c>
      <c r="I895" s="112">
        <f t="shared" si="44"/>
        <v>45740</v>
      </c>
      <c r="J895" s="128">
        <f t="shared" si="45"/>
        <v>-5411.46</v>
      </c>
    </row>
    <row r="896" spans="1:11" x14ac:dyDescent="0.3">
      <c r="A896" t="s">
        <v>422</v>
      </c>
      <c r="B896" s="4" t="s">
        <v>613</v>
      </c>
      <c r="C896" s="7">
        <v>45817</v>
      </c>
      <c r="D896" s="8">
        <v>3903.18</v>
      </c>
      <c r="E896" s="8"/>
      <c r="F896" s="123" t="s">
        <v>4109</v>
      </c>
      <c r="G896" s="44" t="s">
        <v>898</v>
      </c>
      <c r="H896" t="str">
        <f t="shared" si="43"/>
        <v>U.S. CUSTOMS AND BORDER PROTECTION</v>
      </c>
      <c r="I896" s="112">
        <f t="shared" si="44"/>
        <v>45740</v>
      </c>
      <c r="J896" s="128">
        <f t="shared" si="45"/>
        <v>-415.04</v>
      </c>
    </row>
    <row r="897" spans="1:10" x14ac:dyDescent="0.3">
      <c r="A897" t="s">
        <v>422</v>
      </c>
      <c r="B897" s="4" t="s">
        <v>652</v>
      </c>
      <c r="C897" s="7">
        <v>45817</v>
      </c>
      <c r="D897" s="8">
        <v>0.01</v>
      </c>
      <c r="E897" s="8"/>
      <c r="F897" s="123" t="s">
        <v>4109</v>
      </c>
      <c r="G897" s="44" t="s">
        <v>899</v>
      </c>
      <c r="H897" t="str">
        <f t="shared" si="43"/>
        <v>U.S. CUSTOMS AND BORDER PROTECTION</v>
      </c>
      <c r="I897" s="112">
        <f t="shared" si="44"/>
        <v>45740</v>
      </c>
      <c r="J897" s="128">
        <f t="shared" si="45"/>
        <v>-32.71</v>
      </c>
    </row>
    <row r="898" spans="1:10" x14ac:dyDescent="0.3">
      <c r="A898" t="s">
        <v>422</v>
      </c>
      <c r="B898" s="4" t="s">
        <v>653</v>
      </c>
      <c r="C898" s="7">
        <v>45818</v>
      </c>
      <c r="D898" s="8">
        <v>499.36</v>
      </c>
      <c r="E898" s="8"/>
      <c r="F898" s="123" t="s">
        <v>4109</v>
      </c>
      <c r="G898" s="44" t="s">
        <v>900</v>
      </c>
      <c r="H898" t="str">
        <f t="shared" si="43"/>
        <v>U.S. CUSTOMS AND BORDER PROTECTION</v>
      </c>
      <c r="I898" s="112">
        <f t="shared" si="44"/>
        <v>45740</v>
      </c>
      <c r="J898" s="128">
        <f t="shared" si="45"/>
        <v>-32.71</v>
      </c>
    </row>
    <row r="899" spans="1:10" x14ac:dyDescent="0.3">
      <c r="A899" t="s">
        <v>422</v>
      </c>
      <c r="B899" s="4" t="s">
        <v>654</v>
      </c>
      <c r="C899" s="7">
        <v>45818</v>
      </c>
      <c r="D899" s="8">
        <v>-894.2</v>
      </c>
      <c r="E899" s="8"/>
      <c r="F899" s="123" t="s">
        <v>4109</v>
      </c>
      <c r="G899" s="44" t="s">
        <v>901</v>
      </c>
      <c r="H899" t="str">
        <f t="shared" si="43"/>
        <v>U.S. CUSTOMS AND BORDER PROTECTION</v>
      </c>
      <c r="I899" s="112">
        <f t="shared" si="44"/>
        <v>45740</v>
      </c>
      <c r="J899" s="128">
        <f t="shared" si="45"/>
        <v>-209.03</v>
      </c>
    </row>
    <row r="900" spans="1:10" x14ac:dyDescent="0.3">
      <c r="A900" t="s">
        <v>422</v>
      </c>
      <c r="B900" s="4" t="s">
        <v>598</v>
      </c>
      <c r="C900" s="7">
        <v>45820</v>
      </c>
      <c r="D900" s="8">
        <v>86.86</v>
      </c>
      <c r="E900" s="8"/>
      <c r="F900" s="123" t="s">
        <v>4109</v>
      </c>
      <c r="G900" s="44" t="s">
        <v>902</v>
      </c>
      <c r="H900" t="str">
        <f t="shared" si="43"/>
        <v>U.S. CUSTOMS AND BORDER PROTECTION</v>
      </c>
      <c r="I900" s="112">
        <f t="shared" si="44"/>
        <v>45777</v>
      </c>
      <c r="J900" s="128">
        <f t="shared" si="45"/>
        <v>2599.9499999999998</v>
      </c>
    </row>
    <row r="901" spans="1:10" x14ac:dyDescent="0.3">
      <c r="A901" t="s">
        <v>422</v>
      </c>
      <c r="B901" s="4" t="s">
        <v>596</v>
      </c>
      <c r="C901" s="7">
        <v>45820</v>
      </c>
      <c r="D901" s="8">
        <v>14536.12</v>
      </c>
      <c r="E901" s="8"/>
      <c r="F901" s="123" t="s">
        <v>4109</v>
      </c>
      <c r="G901" s="44" t="s">
        <v>903</v>
      </c>
      <c r="H901" t="str">
        <f t="shared" si="43"/>
        <v>U.S. CUSTOMS AND BORDER PROTECTION</v>
      </c>
      <c r="I901" s="112">
        <f t="shared" si="44"/>
        <v>45824</v>
      </c>
      <c r="J901" s="128">
        <f t="shared" si="45"/>
        <v>9057.02</v>
      </c>
    </row>
    <row r="902" spans="1:10" x14ac:dyDescent="0.3">
      <c r="A902" t="s">
        <v>422</v>
      </c>
      <c r="B902" s="4" t="s">
        <v>16</v>
      </c>
      <c r="C902" s="7">
        <v>45824</v>
      </c>
      <c r="D902" s="8">
        <v>-109264.55</v>
      </c>
      <c r="E902" s="8"/>
      <c r="F902" s="123" t="s">
        <v>4109</v>
      </c>
      <c r="G902" s="44" t="s">
        <v>904</v>
      </c>
      <c r="H902" t="str">
        <f t="shared" ref="H902:H946" si="46">_xlfn.XLOOKUP(G902,B:B,A:A,,)</f>
        <v>U.S. CUSTOMS AND BORDER PROTECTION</v>
      </c>
      <c r="I902" s="112">
        <f t="shared" ref="I902:I946" si="47">_xlfn.XLOOKUP(G902,B:B,C:C,,)</f>
        <v>45832</v>
      </c>
      <c r="J902" s="128">
        <f t="shared" ref="J902:J946" si="48">SUMIF(B:B,G902,D:D)</f>
        <v>-48626.44</v>
      </c>
    </row>
    <row r="903" spans="1:10" x14ac:dyDescent="0.3">
      <c r="A903" t="s">
        <v>422</v>
      </c>
      <c r="B903" s="4" t="s">
        <v>16</v>
      </c>
      <c r="C903" s="7">
        <v>45824</v>
      </c>
      <c r="D903" s="8">
        <v>-20767.419999999998</v>
      </c>
      <c r="E903" s="8"/>
      <c r="F903" s="122" t="s">
        <v>4110</v>
      </c>
      <c r="G903" s="44" t="s">
        <v>906</v>
      </c>
      <c r="H903" t="str">
        <f t="shared" si="46"/>
        <v>U.S. Vinyl</v>
      </c>
      <c r="I903" s="112">
        <f t="shared" si="47"/>
        <v>45505</v>
      </c>
      <c r="J903" s="128">
        <f t="shared" si="48"/>
        <v>720.82</v>
      </c>
    </row>
    <row r="904" spans="1:10" x14ac:dyDescent="0.3">
      <c r="A904" t="s">
        <v>422</v>
      </c>
      <c r="B904" s="4" t="s">
        <v>16</v>
      </c>
      <c r="C904" s="7">
        <v>45824</v>
      </c>
      <c r="D904" s="8">
        <v>-16322.14</v>
      </c>
      <c r="E904" s="8"/>
      <c r="F904" s="122" t="s">
        <v>4110</v>
      </c>
      <c r="G904" s="44" t="s">
        <v>908</v>
      </c>
      <c r="H904" t="str">
        <f t="shared" si="46"/>
        <v>U.S. Vinyl Manufacturing</v>
      </c>
      <c r="I904" s="112">
        <f t="shared" si="47"/>
        <v>45771</v>
      </c>
      <c r="J904" s="128">
        <f t="shared" si="48"/>
        <v>-10595.3</v>
      </c>
    </row>
    <row r="905" spans="1:10" x14ac:dyDescent="0.3">
      <c r="A905" t="s">
        <v>422</v>
      </c>
      <c r="B905" s="4" t="s">
        <v>16</v>
      </c>
      <c r="C905" s="7">
        <v>45824</v>
      </c>
      <c r="D905" s="8">
        <v>-9299.7000000000007</v>
      </c>
      <c r="E905" s="8"/>
      <c r="F905" s="122" t="s">
        <v>4110</v>
      </c>
      <c r="G905" s="44" t="s">
        <v>909</v>
      </c>
      <c r="H905" t="str">
        <f t="shared" si="46"/>
        <v>U.S. Vinyl Manufacturing</v>
      </c>
      <c r="I905" s="112">
        <f t="shared" si="47"/>
        <v>45826</v>
      </c>
      <c r="J905" s="128">
        <f t="shared" si="48"/>
        <v>-10595.3</v>
      </c>
    </row>
    <row r="906" spans="1:10" x14ac:dyDescent="0.3">
      <c r="A906" t="s">
        <v>422</v>
      </c>
      <c r="B906" s="4" t="s">
        <v>16</v>
      </c>
      <c r="C906" s="7">
        <v>45824</v>
      </c>
      <c r="D906" s="8">
        <v>-8988.2999999999993</v>
      </c>
      <c r="E906" s="8"/>
      <c r="F906" s="122" t="s">
        <v>4110</v>
      </c>
      <c r="G906" s="44" t="s">
        <v>910</v>
      </c>
      <c r="H906" t="str">
        <f t="shared" si="46"/>
        <v>U.S. Vinyl Manufacturing</v>
      </c>
      <c r="I906" s="112">
        <f t="shared" si="47"/>
        <v>45833</v>
      </c>
      <c r="J906" s="128">
        <f t="shared" si="48"/>
        <v>-4881.37</v>
      </c>
    </row>
    <row r="907" spans="1:10" x14ac:dyDescent="0.3">
      <c r="A907" t="s">
        <v>422</v>
      </c>
      <c r="B907" s="4" t="s">
        <v>16</v>
      </c>
      <c r="C907" s="7">
        <v>45824</v>
      </c>
      <c r="D907" s="8">
        <v>-7983.06</v>
      </c>
      <c r="E907" s="8"/>
      <c r="F907" s="122" t="s">
        <v>4110</v>
      </c>
      <c r="G907" s="44">
        <v>188009241</v>
      </c>
      <c r="H907" t="str">
        <f t="shared" si="46"/>
        <v>Uline</v>
      </c>
      <c r="I907" s="112">
        <f t="shared" si="47"/>
        <v>45673</v>
      </c>
      <c r="J907" s="128">
        <f t="shared" si="48"/>
        <v>827.38</v>
      </c>
    </row>
    <row r="908" spans="1:10" x14ac:dyDescent="0.3">
      <c r="A908" t="s">
        <v>422</v>
      </c>
      <c r="B908" s="4" t="s">
        <v>16</v>
      </c>
      <c r="C908" s="7">
        <v>45824</v>
      </c>
      <c r="D908" s="8">
        <v>-7800</v>
      </c>
      <c r="E908" s="8"/>
      <c r="F908" s="122" t="s">
        <v>4110</v>
      </c>
      <c r="G908" s="44">
        <v>188009476</v>
      </c>
      <c r="H908" t="str">
        <f t="shared" si="46"/>
        <v>Uline</v>
      </c>
      <c r="I908" s="112">
        <f t="shared" si="47"/>
        <v>45673</v>
      </c>
      <c r="J908" s="128">
        <f t="shared" si="48"/>
        <v>767.5</v>
      </c>
    </row>
    <row r="909" spans="1:10" x14ac:dyDescent="0.3">
      <c r="A909" t="s">
        <v>422</v>
      </c>
      <c r="B909" s="4" t="s">
        <v>16</v>
      </c>
      <c r="C909" s="7">
        <v>45824</v>
      </c>
      <c r="D909" s="8">
        <v>-7757.08</v>
      </c>
      <c r="E909" s="8"/>
      <c r="F909" s="122" t="s">
        <v>4110</v>
      </c>
      <c r="G909" s="44">
        <v>188169574</v>
      </c>
      <c r="H909" t="str">
        <f t="shared" si="46"/>
        <v>Uline</v>
      </c>
      <c r="I909" s="112">
        <f t="shared" si="47"/>
        <v>45678</v>
      </c>
      <c r="J909" s="128">
        <f t="shared" si="48"/>
        <v>620.59</v>
      </c>
    </row>
    <row r="910" spans="1:10" x14ac:dyDescent="0.3">
      <c r="A910" t="s">
        <v>422</v>
      </c>
      <c r="B910" s="4" t="s">
        <v>16</v>
      </c>
      <c r="C910" s="7">
        <v>45824</v>
      </c>
      <c r="D910" s="8">
        <v>-7602.03</v>
      </c>
      <c r="E910" s="8"/>
      <c r="F910" s="122" t="s">
        <v>4110</v>
      </c>
      <c r="G910" s="44">
        <v>188248104</v>
      </c>
      <c r="H910" t="str">
        <f t="shared" si="46"/>
        <v>Uline</v>
      </c>
      <c r="I910" s="112">
        <f t="shared" si="47"/>
        <v>45679</v>
      </c>
      <c r="J910" s="128">
        <f t="shared" si="48"/>
        <v>767.5</v>
      </c>
    </row>
    <row r="911" spans="1:10" x14ac:dyDescent="0.3">
      <c r="A911" t="s">
        <v>422</v>
      </c>
      <c r="B911" s="4" t="s">
        <v>16</v>
      </c>
      <c r="C911" s="7">
        <v>45824</v>
      </c>
      <c r="D911" s="8">
        <v>-7448.6</v>
      </c>
      <c r="E911" s="8"/>
      <c r="F911" s="122" t="s">
        <v>4110</v>
      </c>
      <c r="G911" s="44">
        <v>194719434</v>
      </c>
      <c r="H911" t="str">
        <f t="shared" si="46"/>
        <v>Uline</v>
      </c>
      <c r="I911" s="112">
        <f t="shared" si="47"/>
        <v>45835</v>
      </c>
      <c r="J911" s="128">
        <f t="shared" si="48"/>
        <v>226.8</v>
      </c>
    </row>
    <row r="912" spans="1:10" x14ac:dyDescent="0.3">
      <c r="A912" t="s">
        <v>422</v>
      </c>
      <c r="B912" s="4" t="s">
        <v>16</v>
      </c>
      <c r="C912" s="7">
        <v>45824</v>
      </c>
      <c r="D912" s="8">
        <v>-7313.33</v>
      </c>
      <c r="E912" s="8"/>
      <c r="F912" s="122" t="s">
        <v>4110</v>
      </c>
      <c r="G912" s="44">
        <v>1343718</v>
      </c>
      <c r="H912" t="str">
        <f t="shared" si="46"/>
        <v>Uniik Design Solutions</v>
      </c>
      <c r="I912" s="112">
        <f t="shared" si="47"/>
        <v>45733</v>
      </c>
      <c r="J912" s="128">
        <f t="shared" si="48"/>
        <v>4309</v>
      </c>
    </row>
    <row r="913" spans="1:11" x14ac:dyDescent="0.3">
      <c r="A913" t="s">
        <v>422</v>
      </c>
      <c r="B913" s="4" t="s">
        <v>16</v>
      </c>
      <c r="C913" s="7">
        <v>45824</v>
      </c>
      <c r="D913" s="8">
        <v>-7094.04</v>
      </c>
      <c r="E913" s="8"/>
      <c r="F913" s="122" t="s">
        <v>4110</v>
      </c>
      <c r="G913" s="44">
        <v>1253518</v>
      </c>
      <c r="H913" t="str">
        <f t="shared" si="46"/>
        <v>Uniik Design Solutions</v>
      </c>
      <c r="I913" s="112">
        <f t="shared" si="47"/>
        <v>45827</v>
      </c>
      <c r="J913" s="128">
        <f t="shared" si="48"/>
        <v>5340</v>
      </c>
    </row>
    <row r="914" spans="1:11" x14ac:dyDescent="0.3">
      <c r="A914" t="s">
        <v>422</v>
      </c>
      <c r="B914" s="4" t="s">
        <v>16</v>
      </c>
      <c r="C914" s="7">
        <v>45824</v>
      </c>
      <c r="D914" s="8">
        <v>-5241.8599999999997</v>
      </c>
      <c r="E914" s="8"/>
      <c r="F914" s="122" t="s">
        <v>4110</v>
      </c>
      <c r="G914" s="44">
        <v>33048</v>
      </c>
      <c r="H914" t="str">
        <f t="shared" si="46"/>
        <v>Unite Oak International,Inc.</v>
      </c>
      <c r="I914" s="112">
        <f t="shared" si="47"/>
        <v>45838</v>
      </c>
      <c r="J914" s="128">
        <f t="shared" si="48"/>
        <v>3220</v>
      </c>
    </row>
    <row r="915" spans="1:11" x14ac:dyDescent="0.3">
      <c r="A915" t="s">
        <v>422</v>
      </c>
      <c r="B915" s="4" t="s">
        <v>16</v>
      </c>
      <c r="C915" s="7">
        <v>45824</v>
      </c>
      <c r="D915" s="8">
        <v>-4754.05</v>
      </c>
      <c r="E915" s="8"/>
      <c r="F915" s="123" t="s">
        <v>4109</v>
      </c>
      <c r="G915" s="44">
        <v>142055</v>
      </c>
      <c r="H915" t="str">
        <f t="shared" si="46"/>
        <v>UNITED CARGO EXPRESS</v>
      </c>
      <c r="I915" s="112">
        <f t="shared" si="47"/>
        <v>45658</v>
      </c>
      <c r="J915" s="128">
        <f t="shared" si="48"/>
        <v>149.04</v>
      </c>
    </row>
    <row r="916" spans="1:11" x14ac:dyDescent="0.3">
      <c r="A916" t="s">
        <v>422</v>
      </c>
      <c r="B916" s="4" t="s">
        <v>16</v>
      </c>
      <c r="C916" s="7">
        <v>45824</v>
      </c>
      <c r="D916" s="8">
        <v>-4190.76</v>
      </c>
      <c r="E916" s="8"/>
      <c r="F916" s="123" t="s">
        <v>4109</v>
      </c>
      <c r="G916" s="44">
        <v>142361</v>
      </c>
      <c r="H916" t="str">
        <f t="shared" si="46"/>
        <v>UNITED CARGO EXPRESS</v>
      </c>
      <c r="I916" s="112">
        <f t="shared" si="47"/>
        <v>45716</v>
      </c>
      <c r="J916" s="128">
        <f t="shared" si="48"/>
        <v>1783.09</v>
      </c>
      <c r="K916" s="102"/>
    </row>
    <row r="917" spans="1:11" x14ac:dyDescent="0.3">
      <c r="A917" t="s">
        <v>422</v>
      </c>
      <c r="B917" s="4" t="s">
        <v>16</v>
      </c>
      <c r="C917" s="7">
        <v>45824</v>
      </c>
      <c r="D917" s="8">
        <v>-3799.52</v>
      </c>
      <c r="E917" s="8"/>
      <c r="F917" s="123" t="s">
        <v>4109</v>
      </c>
      <c r="G917" s="44">
        <v>142500</v>
      </c>
      <c r="H917" t="str">
        <f t="shared" si="46"/>
        <v>UNITED CARGO EXPRESS</v>
      </c>
      <c r="I917" s="112">
        <f t="shared" si="47"/>
        <v>45747</v>
      </c>
      <c r="J917" s="128">
        <f t="shared" si="48"/>
        <v>858.52</v>
      </c>
    </row>
    <row r="918" spans="1:11" x14ac:dyDescent="0.3">
      <c r="A918" t="s">
        <v>422</v>
      </c>
      <c r="B918" s="4" t="s">
        <v>16</v>
      </c>
      <c r="C918" s="7">
        <v>45824</v>
      </c>
      <c r="D918" s="8">
        <v>-3695.64</v>
      </c>
      <c r="E918" s="8"/>
      <c r="F918" s="123" t="s">
        <v>4109</v>
      </c>
      <c r="G918" s="44">
        <v>142654</v>
      </c>
      <c r="H918" t="str">
        <f t="shared" si="46"/>
        <v>UNITED CARGO EXPRESS</v>
      </c>
      <c r="I918" s="112">
        <f t="shared" si="47"/>
        <v>45777</v>
      </c>
      <c r="J918" s="128">
        <f t="shared" si="48"/>
        <v>190.4</v>
      </c>
    </row>
    <row r="919" spans="1:11" x14ac:dyDescent="0.3">
      <c r="A919" t="s">
        <v>422</v>
      </c>
      <c r="B919" s="4" t="s">
        <v>16</v>
      </c>
      <c r="C919" s="7">
        <v>45824</v>
      </c>
      <c r="D919" s="8">
        <v>-3480.38</v>
      </c>
      <c r="E919" s="8"/>
      <c r="F919" s="123" t="s">
        <v>4109</v>
      </c>
      <c r="G919" s="44">
        <v>142812</v>
      </c>
      <c r="H919" t="str">
        <f t="shared" si="46"/>
        <v>UNITED CARGO EXPRESS</v>
      </c>
      <c r="I919" s="112">
        <f t="shared" si="47"/>
        <v>45808</v>
      </c>
      <c r="J919" s="128">
        <f t="shared" si="48"/>
        <v>106.56</v>
      </c>
    </row>
    <row r="920" spans="1:11" x14ac:dyDescent="0.3">
      <c r="A920" t="s">
        <v>422</v>
      </c>
      <c r="B920" s="4" t="s">
        <v>16</v>
      </c>
      <c r="C920" s="7">
        <v>45824</v>
      </c>
      <c r="D920" s="8">
        <v>-3360.69</v>
      </c>
      <c r="E920" s="8"/>
      <c r="F920" s="123" t="s">
        <v>4109</v>
      </c>
      <c r="G920" s="44">
        <v>142963</v>
      </c>
      <c r="H920" t="str">
        <f t="shared" si="46"/>
        <v>UNITED CARGO EXPRESS</v>
      </c>
      <c r="I920" s="112">
        <f t="shared" si="47"/>
        <v>45838</v>
      </c>
      <c r="J920" s="128">
        <f t="shared" si="48"/>
        <v>227.03</v>
      </c>
    </row>
    <row r="921" spans="1:11" x14ac:dyDescent="0.3">
      <c r="A921" t="s">
        <v>422</v>
      </c>
      <c r="B921" s="4" t="s">
        <v>16</v>
      </c>
      <c r="C921" s="7">
        <v>45824</v>
      </c>
      <c r="D921" s="8">
        <v>-3247.78</v>
      </c>
      <c r="E921" s="8"/>
      <c r="F921" s="122" t="s">
        <v>4110</v>
      </c>
      <c r="G921" s="44">
        <v>247514092</v>
      </c>
      <c r="H921" t="str">
        <f t="shared" si="46"/>
        <v>United Rentals</v>
      </c>
      <c r="I921" s="112">
        <f t="shared" si="47"/>
        <v>45779</v>
      </c>
      <c r="J921" s="128">
        <f t="shared" si="48"/>
        <v>927.45</v>
      </c>
    </row>
    <row r="922" spans="1:11" x14ac:dyDescent="0.3">
      <c r="A922" t="s">
        <v>422</v>
      </c>
      <c r="B922" s="4" t="s">
        <v>16</v>
      </c>
      <c r="C922" s="7">
        <v>45824</v>
      </c>
      <c r="D922" s="8">
        <v>-3117.09</v>
      </c>
      <c r="E922" s="8"/>
      <c r="F922" s="122" t="s">
        <v>4110</v>
      </c>
      <c r="G922" s="44" t="s">
        <v>917</v>
      </c>
      <c r="H922" t="str">
        <f t="shared" si="46"/>
        <v>VEI MAY WOODEN APPLIANCES COMPANY LIMITED</v>
      </c>
      <c r="I922" s="112">
        <f t="shared" si="47"/>
        <v>45502</v>
      </c>
      <c r="J922" s="128">
        <f t="shared" si="48"/>
        <v>6064</v>
      </c>
    </row>
    <row r="923" spans="1:11" x14ac:dyDescent="0.3">
      <c r="A923" t="s">
        <v>422</v>
      </c>
      <c r="B923" s="4" t="s">
        <v>16</v>
      </c>
      <c r="C923" s="7">
        <v>45824</v>
      </c>
      <c r="D923" s="8">
        <v>-1915.81</v>
      </c>
      <c r="E923" s="8"/>
      <c r="F923" s="122" t="s">
        <v>4110</v>
      </c>
      <c r="G923" s="44" t="s">
        <v>920</v>
      </c>
      <c r="H923" t="str">
        <f t="shared" si="46"/>
        <v>Wells Fargo Equipment Finance Manufacturer Services Group</v>
      </c>
      <c r="I923" s="112">
        <f t="shared" si="47"/>
        <v>45814</v>
      </c>
      <c r="J923" s="128">
        <f t="shared" si="48"/>
        <v>622.85</v>
      </c>
    </row>
    <row r="924" spans="1:11" x14ac:dyDescent="0.3">
      <c r="A924" t="s">
        <v>422</v>
      </c>
      <c r="B924" s="4" t="s">
        <v>16</v>
      </c>
      <c r="C924" s="7">
        <v>45824</v>
      </c>
      <c r="D924" s="8">
        <v>-1750.7</v>
      </c>
      <c r="E924" s="8"/>
      <c r="F924" s="122" t="s">
        <v>4110</v>
      </c>
      <c r="G924" s="44" t="s">
        <v>922</v>
      </c>
      <c r="H924" t="str">
        <f t="shared" si="46"/>
        <v>WILSONART LLC</v>
      </c>
      <c r="I924" s="112">
        <f t="shared" si="47"/>
        <v>45833</v>
      </c>
      <c r="J924" s="128">
        <f t="shared" si="48"/>
        <v>-1508.22</v>
      </c>
    </row>
    <row r="925" spans="1:11" x14ac:dyDescent="0.3">
      <c r="A925" t="s">
        <v>422</v>
      </c>
      <c r="B925" s="4" t="s">
        <v>16</v>
      </c>
      <c r="C925" s="7">
        <v>45824</v>
      </c>
      <c r="D925" s="8">
        <v>-1738.69</v>
      </c>
      <c r="E925" s="8"/>
      <c r="F925" s="122" t="s">
        <v>4110</v>
      </c>
      <c r="G925" s="44">
        <v>41279</v>
      </c>
      <c r="H925" t="str">
        <f t="shared" si="46"/>
        <v>WOW USA, Inc.</v>
      </c>
      <c r="I925" s="112">
        <f t="shared" si="47"/>
        <v>45740</v>
      </c>
      <c r="J925" s="128">
        <f t="shared" si="48"/>
        <v>3171.3</v>
      </c>
    </row>
    <row r="926" spans="1:11" x14ac:dyDescent="0.3">
      <c r="A926" t="s">
        <v>422</v>
      </c>
      <c r="B926" s="4" t="s">
        <v>16</v>
      </c>
      <c r="C926" s="7">
        <v>45824</v>
      </c>
      <c r="D926" s="8">
        <v>-1682.13</v>
      </c>
      <c r="E926" s="8"/>
      <c r="F926" s="122" t="s">
        <v>4110</v>
      </c>
      <c r="G926" s="44" t="s">
        <v>924</v>
      </c>
      <c r="H926" t="str">
        <f t="shared" si="46"/>
        <v>WOW USA, Inc.</v>
      </c>
      <c r="I926" s="112">
        <f t="shared" si="47"/>
        <v>45805</v>
      </c>
      <c r="J926" s="128">
        <f t="shared" si="48"/>
        <v>-846.5</v>
      </c>
    </row>
    <row r="927" spans="1:11" x14ac:dyDescent="0.3">
      <c r="A927" t="s">
        <v>422</v>
      </c>
      <c r="B927" s="4" t="s">
        <v>16</v>
      </c>
      <c r="C927" s="7">
        <v>45824</v>
      </c>
      <c r="D927" s="8">
        <v>-1587.02</v>
      </c>
      <c r="E927" s="8"/>
      <c r="F927" s="122" t="s">
        <v>4110</v>
      </c>
      <c r="G927" s="44">
        <v>2062025</v>
      </c>
      <c r="H927" t="str">
        <f t="shared" si="46"/>
        <v>WRIGHT EXPRESS FINANCIAL SERVICES CORPORATION/Exxon</v>
      </c>
      <c r="I927" s="112">
        <f t="shared" si="47"/>
        <v>45694</v>
      </c>
      <c r="J927" s="128">
        <f t="shared" si="48"/>
        <v>243.34</v>
      </c>
    </row>
    <row r="928" spans="1:11" x14ac:dyDescent="0.3">
      <c r="A928" t="s">
        <v>422</v>
      </c>
      <c r="B928" s="4" t="s">
        <v>16</v>
      </c>
      <c r="C928" s="7">
        <v>45824</v>
      </c>
      <c r="D928" s="8">
        <v>-1541.04</v>
      </c>
      <c r="E928" s="8"/>
      <c r="F928" s="122" t="s">
        <v>4110</v>
      </c>
      <c r="G928" s="44">
        <v>33229323</v>
      </c>
      <c r="H928" t="str">
        <f t="shared" si="46"/>
        <v>WYNDHAM HOTELS &amp; RESORTS INC</v>
      </c>
      <c r="I928" s="112">
        <f t="shared" si="47"/>
        <v>45596</v>
      </c>
      <c r="J928" s="128">
        <f t="shared" si="48"/>
        <v>5000</v>
      </c>
    </row>
    <row r="929" spans="1:10" x14ac:dyDescent="0.3">
      <c r="A929" t="s">
        <v>422</v>
      </c>
      <c r="B929" s="4" t="s">
        <v>16</v>
      </c>
      <c r="C929" s="7">
        <v>45824</v>
      </c>
      <c r="D929" s="8">
        <v>-1505.92</v>
      </c>
      <c r="E929" s="8"/>
      <c r="F929" s="122" t="s">
        <v>4110</v>
      </c>
      <c r="G929" s="44" t="s">
        <v>928</v>
      </c>
      <c r="H929" t="str">
        <f t="shared" si="46"/>
        <v>XIAMEN DEYUAN PANMIN TRADING CO., LTD.</v>
      </c>
      <c r="I929" s="112">
        <f t="shared" si="47"/>
        <v>45646</v>
      </c>
      <c r="J929" s="128">
        <f t="shared" si="48"/>
        <v>0.45</v>
      </c>
    </row>
    <row r="930" spans="1:10" x14ac:dyDescent="0.3">
      <c r="A930" t="s">
        <v>422</v>
      </c>
      <c r="B930" s="4" t="s">
        <v>16</v>
      </c>
      <c r="C930" s="7">
        <v>45824</v>
      </c>
      <c r="D930" s="8">
        <v>-1485.68</v>
      </c>
      <c r="E930" s="8"/>
      <c r="F930" s="122" t="s">
        <v>4110</v>
      </c>
      <c r="G930" s="44" t="s">
        <v>929</v>
      </c>
      <c r="H930" t="str">
        <f t="shared" si="46"/>
        <v>XIAMEN DEYUAN PANMIN TRADING CO., LTD.</v>
      </c>
      <c r="I930" s="112">
        <f t="shared" si="47"/>
        <v>45764</v>
      </c>
      <c r="J930" s="128">
        <f t="shared" si="48"/>
        <v>925.76</v>
      </c>
    </row>
    <row r="931" spans="1:10" x14ac:dyDescent="0.3">
      <c r="A931" t="s">
        <v>422</v>
      </c>
      <c r="B931" s="4" t="s">
        <v>16</v>
      </c>
      <c r="C931" s="7">
        <v>45824</v>
      </c>
      <c r="D931" s="8">
        <v>-1400.08</v>
      </c>
      <c r="E931" s="8"/>
      <c r="F931" s="122" t="s">
        <v>4110</v>
      </c>
      <c r="G931" s="44" t="s">
        <v>930</v>
      </c>
      <c r="H931" t="str">
        <f t="shared" si="46"/>
        <v>XIAMEN DEYUAN PANMIN TRADING CO., LTD.</v>
      </c>
      <c r="I931" s="112">
        <f t="shared" si="47"/>
        <v>45779</v>
      </c>
      <c r="J931" s="128">
        <f t="shared" si="48"/>
        <v>-18732.54</v>
      </c>
    </row>
    <row r="932" spans="1:10" x14ac:dyDescent="0.3">
      <c r="A932" t="s">
        <v>422</v>
      </c>
      <c r="B932" s="4" t="s">
        <v>16</v>
      </c>
      <c r="C932" s="7">
        <v>45824</v>
      </c>
      <c r="D932" s="8">
        <v>-1323.79</v>
      </c>
      <c r="E932" s="8"/>
      <c r="F932" s="122" t="s">
        <v>4110</v>
      </c>
      <c r="G932" s="44" t="s">
        <v>932</v>
      </c>
      <c r="H932" t="str">
        <f t="shared" si="46"/>
        <v>YESENYE FURNITURE</v>
      </c>
      <c r="I932" s="112">
        <f t="shared" si="47"/>
        <v>45601</v>
      </c>
      <c r="J932" s="128">
        <f t="shared" si="48"/>
        <v>-3983</v>
      </c>
    </row>
    <row r="933" spans="1:10" x14ac:dyDescent="0.3">
      <c r="A933" t="s">
        <v>422</v>
      </c>
      <c r="B933" s="4" t="s">
        <v>16</v>
      </c>
      <c r="C933" s="7">
        <v>45824</v>
      </c>
      <c r="D933" s="8">
        <v>-1278.8699999999999</v>
      </c>
      <c r="E933" s="8"/>
      <c r="F933" s="122" t="s">
        <v>4110</v>
      </c>
      <c r="G933" s="44" t="s">
        <v>934</v>
      </c>
      <c r="H933" t="str">
        <f t="shared" si="46"/>
        <v>ZBOM Cabinets Crop.</v>
      </c>
      <c r="I933" s="112">
        <f t="shared" si="47"/>
        <v>45383</v>
      </c>
      <c r="J933" s="128">
        <f t="shared" si="48"/>
        <v>7592.08</v>
      </c>
    </row>
    <row r="934" spans="1:10" x14ac:dyDescent="0.3">
      <c r="A934" t="s">
        <v>422</v>
      </c>
      <c r="B934" s="4" t="s">
        <v>16</v>
      </c>
      <c r="C934" s="7">
        <v>45824</v>
      </c>
      <c r="D934" s="8">
        <v>-1270.97</v>
      </c>
      <c r="E934" s="8"/>
      <c r="F934" s="122" t="s">
        <v>4110</v>
      </c>
      <c r="G934" s="44" t="s">
        <v>935</v>
      </c>
      <c r="H934" t="str">
        <f t="shared" si="46"/>
        <v>ZBOM Cabinets Crop.</v>
      </c>
      <c r="I934" s="112">
        <f t="shared" si="47"/>
        <v>45392</v>
      </c>
      <c r="J934" s="128">
        <f t="shared" si="48"/>
        <v>4224.9799999999996</v>
      </c>
    </row>
    <row r="935" spans="1:10" x14ac:dyDescent="0.3">
      <c r="A935" t="s">
        <v>422</v>
      </c>
      <c r="B935" s="4" t="s">
        <v>16</v>
      </c>
      <c r="C935" s="7">
        <v>45824</v>
      </c>
      <c r="D935" s="8">
        <v>-1197.97</v>
      </c>
      <c r="E935" s="8"/>
      <c r="F935" s="122" t="s">
        <v>4110</v>
      </c>
      <c r="G935" s="44" t="s">
        <v>936</v>
      </c>
      <c r="H935" t="str">
        <f t="shared" si="46"/>
        <v>ZBOM Cabinets Crop.</v>
      </c>
      <c r="I935" s="112">
        <f t="shared" si="47"/>
        <v>45530</v>
      </c>
      <c r="J935" s="128">
        <f t="shared" si="48"/>
        <v>2255.1999999999998</v>
      </c>
    </row>
    <row r="936" spans="1:10" x14ac:dyDescent="0.3">
      <c r="A936" t="s">
        <v>422</v>
      </c>
      <c r="B936" s="4" t="s">
        <v>16</v>
      </c>
      <c r="C936" s="7">
        <v>45824</v>
      </c>
      <c r="D936" s="8">
        <v>-1133.2</v>
      </c>
      <c r="E936" s="8"/>
      <c r="F936" s="122" t="s">
        <v>4110</v>
      </c>
      <c r="G936" s="44" t="s">
        <v>937</v>
      </c>
      <c r="H936" t="str">
        <f t="shared" si="46"/>
        <v>ZBOM Cabinets Crop.</v>
      </c>
      <c r="I936" s="112">
        <f t="shared" si="47"/>
        <v>45566</v>
      </c>
      <c r="J936" s="128">
        <f t="shared" si="48"/>
        <v>2518.16</v>
      </c>
    </row>
    <row r="937" spans="1:10" x14ac:dyDescent="0.3">
      <c r="A937" t="s">
        <v>422</v>
      </c>
      <c r="B937" s="4" t="s">
        <v>16</v>
      </c>
      <c r="C937" s="7">
        <v>45824</v>
      </c>
      <c r="D937" s="8">
        <v>-1122.18</v>
      </c>
      <c r="E937" s="8"/>
      <c r="F937" s="122" t="s">
        <v>4110</v>
      </c>
      <c r="G937" s="44">
        <v>36106</v>
      </c>
      <c r="H937" t="str">
        <f t="shared" si="46"/>
        <v>ZBOM Cabinets Crop.</v>
      </c>
      <c r="I937" s="112">
        <f t="shared" si="47"/>
        <v>45645</v>
      </c>
      <c r="J937" s="128">
        <f t="shared" si="48"/>
        <v>-18000</v>
      </c>
    </row>
    <row r="938" spans="1:10" x14ac:dyDescent="0.3">
      <c r="A938" t="s">
        <v>422</v>
      </c>
      <c r="B938" s="4" t="s">
        <v>16</v>
      </c>
      <c r="C938" s="7">
        <v>45824</v>
      </c>
      <c r="D938" s="8">
        <v>-1089.51</v>
      </c>
      <c r="E938" s="8"/>
      <c r="F938" s="122" t="s">
        <v>4110</v>
      </c>
      <c r="G938" s="44" t="s">
        <v>938</v>
      </c>
      <c r="H938" t="str">
        <f t="shared" si="46"/>
        <v>ZBOM Cabinets Crop.</v>
      </c>
      <c r="I938" s="112">
        <f t="shared" si="47"/>
        <v>45658</v>
      </c>
      <c r="J938" s="128">
        <f t="shared" si="48"/>
        <v>8650.52</v>
      </c>
    </row>
    <row r="939" spans="1:10" x14ac:dyDescent="0.3">
      <c r="A939" t="s">
        <v>422</v>
      </c>
      <c r="B939" s="4" t="s">
        <v>16</v>
      </c>
      <c r="C939" s="7">
        <v>45824</v>
      </c>
      <c r="D939" s="8">
        <v>-995.89</v>
      </c>
      <c r="E939" s="8"/>
      <c r="F939" s="122" t="s">
        <v>4110</v>
      </c>
      <c r="G939" s="44" t="s">
        <v>939</v>
      </c>
      <c r="H939" t="str">
        <f t="shared" si="46"/>
        <v>ZBOM Cabinets Crop.</v>
      </c>
      <c r="I939" s="112">
        <f t="shared" si="47"/>
        <v>45726</v>
      </c>
      <c r="J939" s="128">
        <f t="shared" si="48"/>
        <v>-6266.98</v>
      </c>
    </row>
    <row r="940" spans="1:10" x14ac:dyDescent="0.3">
      <c r="A940" t="s">
        <v>422</v>
      </c>
      <c r="B940" s="4" t="s">
        <v>16</v>
      </c>
      <c r="C940" s="7">
        <v>45824</v>
      </c>
      <c r="D940" s="8">
        <v>-864.4</v>
      </c>
      <c r="E940" s="8"/>
      <c r="F940" s="122" t="s">
        <v>4110</v>
      </c>
      <c r="G940" s="44" t="s">
        <v>940</v>
      </c>
      <c r="H940" t="str">
        <f t="shared" si="46"/>
        <v>ZBOM Cabinets Crop.</v>
      </c>
      <c r="I940" s="112">
        <f t="shared" si="47"/>
        <v>45730</v>
      </c>
      <c r="J940" s="128">
        <f t="shared" si="48"/>
        <v>3635</v>
      </c>
    </row>
    <row r="941" spans="1:10" x14ac:dyDescent="0.3">
      <c r="A941" t="s">
        <v>422</v>
      </c>
      <c r="B941" s="4" t="s">
        <v>16</v>
      </c>
      <c r="C941" s="7">
        <v>45824</v>
      </c>
      <c r="D941" s="8">
        <v>-822.33</v>
      </c>
      <c r="E941" s="8"/>
      <c r="F941" s="122" t="s">
        <v>4110</v>
      </c>
      <c r="G941" s="44" t="s">
        <v>941</v>
      </c>
      <c r="H941" t="str">
        <f t="shared" si="46"/>
        <v>ZBOM Cabinets Crop.</v>
      </c>
      <c r="I941" s="112">
        <f t="shared" si="47"/>
        <v>45797</v>
      </c>
      <c r="J941" s="128">
        <f t="shared" si="48"/>
        <v>-2232.3000000000002</v>
      </c>
    </row>
    <row r="942" spans="1:10" x14ac:dyDescent="0.3">
      <c r="A942" t="s">
        <v>422</v>
      </c>
      <c r="B942" s="4" t="s">
        <v>16</v>
      </c>
      <c r="C942" s="7">
        <v>45824</v>
      </c>
      <c r="D942" s="8">
        <v>-815.5</v>
      </c>
      <c r="E942" s="8"/>
      <c r="F942" s="122" t="s">
        <v>4110</v>
      </c>
      <c r="G942" s="44" t="s">
        <v>942</v>
      </c>
      <c r="H942" t="str">
        <f t="shared" si="46"/>
        <v>ZBOM Cabinets Crop.</v>
      </c>
      <c r="I942" s="112">
        <f t="shared" si="47"/>
        <v>45811</v>
      </c>
      <c r="J942" s="128">
        <f t="shared" si="48"/>
        <v>6368.57</v>
      </c>
    </row>
    <row r="943" spans="1:10" x14ac:dyDescent="0.3">
      <c r="A943" t="s">
        <v>422</v>
      </c>
      <c r="B943" s="4" t="s">
        <v>16</v>
      </c>
      <c r="C943" s="7">
        <v>45824</v>
      </c>
      <c r="D943" s="8">
        <v>-799.09</v>
      </c>
      <c r="E943" s="8"/>
      <c r="F943" s="122" t="s">
        <v>4110</v>
      </c>
      <c r="G943" s="44" t="s">
        <v>943</v>
      </c>
      <c r="H943" t="str">
        <f t="shared" si="46"/>
        <v>ZBOM Cabinets Crop.</v>
      </c>
      <c r="I943" s="112">
        <f t="shared" si="47"/>
        <v>45813</v>
      </c>
      <c r="J943" s="128">
        <f t="shared" si="48"/>
        <v>-3747.42</v>
      </c>
    </row>
    <row r="944" spans="1:10" x14ac:dyDescent="0.3">
      <c r="A944" t="s">
        <v>422</v>
      </c>
      <c r="B944" s="4" t="s">
        <v>16</v>
      </c>
      <c r="C944" s="7">
        <v>45824</v>
      </c>
      <c r="D944" s="8">
        <v>-789.52</v>
      </c>
      <c r="E944" s="8"/>
      <c r="F944" s="122" t="s">
        <v>4110</v>
      </c>
      <c r="G944" s="44" t="s">
        <v>944</v>
      </c>
      <c r="H944" t="str">
        <f t="shared" si="46"/>
        <v>ZBOM Cabinets Crop.</v>
      </c>
      <c r="I944" s="112">
        <f t="shared" si="47"/>
        <v>45835</v>
      </c>
      <c r="J944" s="128">
        <f t="shared" si="48"/>
        <v>-53156.57</v>
      </c>
    </row>
    <row r="945" spans="1:10" x14ac:dyDescent="0.3">
      <c r="A945" t="s">
        <v>422</v>
      </c>
      <c r="B945" s="4" t="s">
        <v>16</v>
      </c>
      <c r="C945" s="7">
        <v>45824</v>
      </c>
      <c r="D945" s="8">
        <v>-768.72</v>
      </c>
      <c r="E945" s="8"/>
      <c r="F945" s="122" t="s">
        <v>4110</v>
      </c>
      <c r="G945" s="44" t="s">
        <v>945</v>
      </c>
      <c r="H945" t="str">
        <f t="shared" si="46"/>
        <v>ZBOM Cabinets Crop.</v>
      </c>
      <c r="I945" s="112">
        <f t="shared" si="47"/>
        <v>45838</v>
      </c>
      <c r="J945" s="128">
        <f t="shared" si="48"/>
        <v>94586.14</v>
      </c>
    </row>
    <row r="946" spans="1:10" x14ac:dyDescent="0.3">
      <c r="A946" t="s">
        <v>422</v>
      </c>
      <c r="B946" s="4" t="s">
        <v>16</v>
      </c>
      <c r="C946" s="7">
        <v>45824</v>
      </c>
      <c r="D946" s="8">
        <v>-742.16</v>
      </c>
      <c r="E946" s="8"/>
      <c r="F946" s="122" t="s">
        <v>4110</v>
      </c>
      <c r="G946" s="44" t="s">
        <v>946</v>
      </c>
      <c r="H946" t="str">
        <f t="shared" si="46"/>
        <v>ZBOM Cabinets Crop.</v>
      </c>
      <c r="I946" s="112">
        <f t="shared" si="47"/>
        <v>45838</v>
      </c>
      <c r="J946" s="128">
        <f t="shared" si="48"/>
        <v>25748.92</v>
      </c>
    </row>
    <row r="947" spans="1:10" x14ac:dyDescent="0.3">
      <c r="A947" t="s">
        <v>422</v>
      </c>
      <c r="B947" s="4" t="s">
        <v>16</v>
      </c>
      <c r="C947" s="7">
        <v>45824</v>
      </c>
      <c r="D947" s="8">
        <v>-736.62</v>
      </c>
      <c r="E947" s="8"/>
      <c r="F947" s="8"/>
    </row>
    <row r="948" spans="1:10" x14ac:dyDescent="0.3">
      <c r="A948" t="s">
        <v>422</v>
      </c>
      <c r="B948" s="4" t="s">
        <v>16</v>
      </c>
      <c r="C948" s="7">
        <v>45824</v>
      </c>
      <c r="D948" s="8">
        <v>-731.76</v>
      </c>
      <c r="E948" s="8"/>
      <c r="F948" s="8"/>
    </row>
    <row r="949" spans="1:10" x14ac:dyDescent="0.3">
      <c r="A949" t="s">
        <v>422</v>
      </c>
      <c r="B949" s="4" t="s">
        <v>16</v>
      </c>
      <c r="C949" s="7">
        <v>45824</v>
      </c>
      <c r="D949" s="8">
        <v>-718.77</v>
      </c>
      <c r="E949" s="8"/>
      <c r="F949" s="8"/>
    </row>
    <row r="950" spans="1:10" x14ac:dyDescent="0.3">
      <c r="A950" t="s">
        <v>422</v>
      </c>
      <c r="B950" s="4" t="s">
        <v>16</v>
      </c>
      <c r="C950" s="7">
        <v>45824</v>
      </c>
      <c r="D950" s="8">
        <v>-660.12</v>
      </c>
      <c r="E950" s="8"/>
      <c r="F950" s="8"/>
    </row>
    <row r="951" spans="1:10" x14ac:dyDescent="0.3">
      <c r="A951" t="s">
        <v>422</v>
      </c>
      <c r="B951" s="4" t="s">
        <v>16</v>
      </c>
      <c r="C951" s="7">
        <v>45824</v>
      </c>
      <c r="D951" s="8">
        <v>-647.12</v>
      </c>
      <c r="E951" s="8"/>
      <c r="F951" s="8"/>
    </row>
    <row r="952" spans="1:10" x14ac:dyDescent="0.3">
      <c r="A952" t="s">
        <v>422</v>
      </c>
      <c r="B952" s="4" t="s">
        <v>16</v>
      </c>
      <c r="C952" s="7">
        <v>45824</v>
      </c>
      <c r="D952" s="8">
        <v>-629.19000000000005</v>
      </c>
      <c r="E952" s="8"/>
      <c r="F952" s="8"/>
    </row>
    <row r="953" spans="1:10" x14ac:dyDescent="0.3">
      <c r="A953" t="s">
        <v>422</v>
      </c>
      <c r="B953" s="4" t="s">
        <v>16</v>
      </c>
      <c r="C953" s="7">
        <v>45824</v>
      </c>
      <c r="D953" s="8">
        <v>-559.23</v>
      </c>
      <c r="E953" s="8"/>
      <c r="F953" s="8"/>
    </row>
    <row r="954" spans="1:10" x14ac:dyDescent="0.3">
      <c r="A954" t="s">
        <v>422</v>
      </c>
      <c r="B954" s="4" t="s">
        <v>16</v>
      </c>
      <c r="C954" s="7">
        <v>45824</v>
      </c>
      <c r="D954" s="8">
        <v>-500.73</v>
      </c>
      <c r="E954" s="8"/>
      <c r="F954" s="8"/>
    </row>
    <row r="955" spans="1:10" x14ac:dyDescent="0.3">
      <c r="A955" t="s">
        <v>422</v>
      </c>
      <c r="B955" s="4" t="s">
        <v>16</v>
      </c>
      <c r="C955" s="7">
        <v>45824</v>
      </c>
      <c r="D955" s="8">
        <v>-473.69</v>
      </c>
      <c r="E955" s="8"/>
      <c r="F955" s="8"/>
    </row>
    <row r="956" spans="1:10" x14ac:dyDescent="0.3">
      <c r="A956" t="s">
        <v>422</v>
      </c>
      <c r="B956" s="4" t="s">
        <v>16</v>
      </c>
      <c r="C956" s="7">
        <v>45824</v>
      </c>
      <c r="D956" s="8">
        <v>-450.83</v>
      </c>
      <c r="E956" s="8"/>
      <c r="F956" s="8"/>
    </row>
    <row r="957" spans="1:10" x14ac:dyDescent="0.3">
      <c r="A957" t="s">
        <v>422</v>
      </c>
      <c r="B957" s="4" t="s">
        <v>16</v>
      </c>
      <c r="C957" s="7">
        <v>45824</v>
      </c>
      <c r="D957" s="8">
        <v>-440</v>
      </c>
      <c r="E957" s="8"/>
      <c r="F957" s="8"/>
    </row>
    <row r="958" spans="1:10" x14ac:dyDescent="0.3">
      <c r="A958" t="s">
        <v>422</v>
      </c>
      <c r="B958" s="4" t="s">
        <v>16</v>
      </c>
      <c r="C958" s="7">
        <v>45824</v>
      </c>
      <c r="D958" s="8">
        <v>-435.98</v>
      </c>
      <c r="E958" s="8"/>
      <c r="F958" s="8"/>
    </row>
    <row r="959" spans="1:10" x14ac:dyDescent="0.3">
      <c r="A959" t="s">
        <v>422</v>
      </c>
      <c r="B959" s="4" t="s">
        <v>16</v>
      </c>
      <c r="C959" s="7">
        <v>45824</v>
      </c>
      <c r="D959" s="8">
        <v>-424.31</v>
      </c>
      <c r="E959" s="8"/>
      <c r="F959" s="8"/>
    </row>
    <row r="960" spans="1:10" x14ac:dyDescent="0.3">
      <c r="A960" t="s">
        <v>422</v>
      </c>
      <c r="B960" s="4" t="s">
        <v>16</v>
      </c>
      <c r="C960" s="7">
        <v>45824</v>
      </c>
      <c r="D960" s="8">
        <v>-420.31</v>
      </c>
      <c r="E960" s="8"/>
      <c r="F960" s="8"/>
    </row>
    <row r="961" spans="1:6" x14ac:dyDescent="0.3">
      <c r="A961" t="s">
        <v>422</v>
      </c>
      <c r="B961" s="4" t="s">
        <v>16</v>
      </c>
      <c r="C961" s="7">
        <v>45824</v>
      </c>
      <c r="D961" s="8">
        <v>-400</v>
      </c>
      <c r="E961" s="8"/>
      <c r="F961" s="8"/>
    </row>
    <row r="962" spans="1:6" x14ac:dyDescent="0.3">
      <c r="A962" t="s">
        <v>422</v>
      </c>
      <c r="B962" s="4" t="s">
        <v>16</v>
      </c>
      <c r="C962" s="7">
        <v>45824</v>
      </c>
      <c r="D962" s="8">
        <v>-381.1</v>
      </c>
      <c r="E962" s="8"/>
      <c r="F962" s="8"/>
    </row>
    <row r="963" spans="1:6" x14ac:dyDescent="0.3">
      <c r="A963" t="s">
        <v>422</v>
      </c>
      <c r="B963" s="4" t="s">
        <v>16</v>
      </c>
      <c r="C963" s="7">
        <v>45824</v>
      </c>
      <c r="D963" s="8">
        <v>-371.84</v>
      </c>
      <c r="E963" s="8"/>
      <c r="F963" s="8"/>
    </row>
    <row r="964" spans="1:6" x14ac:dyDescent="0.3">
      <c r="A964" t="s">
        <v>422</v>
      </c>
      <c r="B964" s="4" t="s">
        <v>16</v>
      </c>
      <c r="C964" s="7">
        <v>45824</v>
      </c>
      <c r="D964" s="8">
        <v>-357.91</v>
      </c>
      <c r="E964" s="8"/>
      <c r="F964" s="8"/>
    </row>
    <row r="965" spans="1:6" x14ac:dyDescent="0.3">
      <c r="A965" t="s">
        <v>422</v>
      </c>
      <c r="B965" s="4" t="s">
        <v>16</v>
      </c>
      <c r="C965" s="7">
        <v>45824</v>
      </c>
      <c r="D965" s="8">
        <v>-292.37</v>
      </c>
      <c r="E965" s="8"/>
      <c r="F965" s="8"/>
    </row>
    <row r="966" spans="1:6" x14ac:dyDescent="0.3">
      <c r="A966" t="s">
        <v>422</v>
      </c>
      <c r="B966" s="4" t="s">
        <v>16</v>
      </c>
      <c r="C966" s="7">
        <v>45824</v>
      </c>
      <c r="D966" s="8">
        <v>-274.92</v>
      </c>
      <c r="E966" s="8"/>
      <c r="F966" s="8"/>
    </row>
    <row r="967" spans="1:6" x14ac:dyDescent="0.3">
      <c r="A967" t="s">
        <v>422</v>
      </c>
      <c r="B967" s="4" t="s">
        <v>16</v>
      </c>
      <c r="C967" s="7">
        <v>45824</v>
      </c>
      <c r="D967" s="8">
        <v>-269.67</v>
      </c>
      <c r="E967" s="8"/>
      <c r="F967" s="8"/>
    </row>
    <row r="968" spans="1:6" x14ac:dyDescent="0.3">
      <c r="A968" t="s">
        <v>422</v>
      </c>
      <c r="B968" s="4" t="s">
        <v>16</v>
      </c>
      <c r="C968" s="7">
        <v>45824</v>
      </c>
      <c r="D968" s="8">
        <v>-245.23</v>
      </c>
      <c r="E968" s="8"/>
      <c r="F968" s="8"/>
    </row>
    <row r="969" spans="1:6" x14ac:dyDescent="0.3">
      <c r="A969" t="s">
        <v>422</v>
      </c>
      <c r="B969" s="4" t="s">
        <v>16</v>
      </c>
      <c r="C969" s="7">
        <v>45824</v>
      </c>
      <c r="D969" s="8">
        <v>-227.55</v>
      </c>
      <c r="E969" s="8"/>
      <c r="F969" s="8"/>
    </row>
    <row r="970" spans="1:6" x14ac:dyDescent="0.3">
      <c r="A970" t="s">
        <v>422</v>
      </c>
      <c r="B970" s="4" t="s">
        <v>16</v>
      </c>
      <c r="C970" s="7">
        <v>45824</v>
      </c>
      <c r="D970" s="8">
        <v>-180.46</v>
      </c>
      <c r="E970" s="8"/>
      <c r="F970" s="8"/>
    </row>
    <row r="971" spans="1:6" x14ac:dyDescent="0.3">
      <c r="A971" t="s">
        <v>422</v>
      </c>
      <c r="B971" s="4" t="s">
        <v>16</v>
      </c>
      <c r="C971" s="7">
        <v>45824</v>
      </c>
      <c r="D971" s="8">
        <v>-147.32</v>
      </c>
      <c r="E971" s="8"/>
      <c r="F971" s="8"/>
    </row>
    <row r="972" spans="1:6" x14ac:dyDescent="0.3">
      <c r="A972" t="s">
        <v>422</v>
      </c>
      <c r="B972" s="4" t="s">
        <v>16</v>
      </c>
      <c r="C972" s="7">
        <v>45824</v>
      </c>
      <c r="D972" s="8">
        <v>-129.86000000000001</v>
      </c>
      <c r="E972" s="8"/>
      <c r="F972" s="8"/>
    </row>
    <row r="973" spans="1:6" x14ac:dyDescent="0.3">
      <c r="A973" t="s">
        <v>422</v>
      </c>
      <c r="B973" s="4" t="s">
        <v>16</v>
      </c>
      <c r="C973" s="7">
        <v>45824</v>
      </c>
      <c r="D973" s="8">
        <v>-76.41</v>
      </c>
      <c r="E973" s="8"/>
      <c r="F973" s="8"/>
    </row>
    <row r="974" spans="1:6" x14ac:dyDescent="0.3">
      <c r="A974" t="s">
        <v>422</v>
      </c>
      <c r="B974" s="4" t="s">
        <v>16</v>
      </c>
      <c r="C974" s="7">
        <v>45824</v>
      </c>
      <c r="D974" s="8">
        <v>-55.15</v>
      </c>
      <c r="E974" s="8"/>
      <c r="F974" s="8"/>
    </row>
    <row r="975" spans="1:6" x14ac:dyDescent="0.3">
      <c r="A975" t="s">
        <v>422</v>
      </c>
      <c r="B975" s="4" t="s">
        <v>646</v>
      </c>
      <c r="C975" s="7">
        <v>45835</v>
      </c>
      <c r="D975" s="8">
        <v>15788.49</v>
      </c>
      <c r="E975" s="8"/>
      <c r="F975" s="8"/>
    </row>
    <row r="976" spans="1:6" x14ac:dyDescent="0.3">
      <c r="A976" t="s">
        <v>422</v>
      </c>
      <c r="B976" s="4" t="s">
        <v>655</v>
      </c>
      <c r="C976" s="7">
        <v>45835</v>
      </c>
      <c r="D976" s="8">
        <v>10816.52</v>
      </c>
      <c r="E976" s="8"/>
      <c r="F976" s="8"/>
    </row>
    <row r="977" spans="1:6" x14ac:dyDescent="0.3">
      <c r="A977" t="s">
        <v>422</v>
      </c>
      <c r="B977" s="4" t="s">
        <v>656</v>
      </c>
      <c r="C977" s="7">
        <v>45836</v>
      </c>
      <c r="D977" s="8">
        <v>9278.5499999999993</v>
      </c>
      <c r="E977" s="8"/>
      <c r="F977" s="8"/>
    </row>
    <row r="978" spans="1:6" x14ac:dyDescent="0.3">
      <c r="A978" t="s">
        <v>422</v>
      </c>
      <c r="B978" s="4" t="s">
        <v>657</v>
      </c>
      <c r="C978" s="7">
        <v>45836</v>
      </c>
      <c r="D978" s="8">
        <v>6052.22</v>
      </c>
      <c r="E978" s="8"/>
      <c r="F978" s="8"/>
    </row>
    <row r="979" spans="1:6" x14ac:dyDescent="0.3">
      <c r="A979" t="s">
        <v>422</v>
      </c>
      <c r="B979" s="4" t="s">
        <v>658</v>
      </c>
      <c r="C979" s="7">
        <v>45836</v>
      </c>
      <c r="D979" s="8">
        <v>143.03</v>
      </c>
      <c r="E979" s="8"/>
      <c r="F979" s="8"/>
    </row>
    <row r="980" spans="1:6" x14ac:dyDescent="0.3">
      <c r="A980" t="s">
        <v>422</v>
      </c>
      <c r="B980" s="4" t="s">
        <v>659</v>
      </c>
      <c r="C980" s="7">
        <v>45836</v>
      </c>
      <c r="D980" s="8">
        <v>22156.83</v>
      </c>
      <c r="E980" s="8"/>
      <c r="F980" s="8"/>
    </row>
    <row r="981" spans="1:6" x14ac:dyDescent="0.3">
      <c r="A981" t="s">
        <v>422</v>
      </c>
      <c r="B981" s="4" t="s">
        <v>660</v>
      </c>
      <c r="C981" s="7">
        <v>45836</v>
      </c>
      <c r="D981" s="8">
        <v>717.83</v>
      </c>
      <c r="E981" s="8"/>
      <c r="F981" s="8"/>
    </row>
    <row r="982" spans="1:6" x14ac:dyDescent="0.3">
      <c r="A982" t="s">
        <v>422</v>
      </c>
      <c r="B982" s="4" t="s">
        <v>661</v>
      </c>
      <c r="C982" s="7">
        <v>45836</v>
      </c>
      <c r="D982" s="8">
        <v>4226.09</v>
      </c>
      <c r="E982" s="8"/>
      <c r="F982" s="8"/>
    </row>
    <row r="983" spans="1:6" x14ac:dyDescent="0.3">
      <c r="A983" t="s">
        <v>422</v>
      </c>
      <c r="B983" s="4" t="s">
        <v>662</v>
      </c>
      <c r="C983" s="7">
        <v>45836</v>
      </c>
      <c r="D983" s="8">
        <v>1168.19</v>
      </c>
      <c r="E983" s="8"/>
      <c r="F983" s="8"/>
    </row>
    <row r="984" spans="1:6" x14ac:dyDescent="0.3">
      <c r="A984" t="s">
        <v>422</v>
      </c>
      <c r="B984" s="4" t="s">
        <v>663</v>
      </c>
      <c r="C984" s="7">
        <v>45836</v>
      </c>
      <c r="D984" s="8">
        <v>1340.7</v>
      </c>
      <c r="E984" s="8"/>
      <c r="F984" s="8"/>
    </row>
    <row r="985" spans="1:6" x14ac:dyDescent="0.3">
      <c r="A985" t="s">
        <v>422</v>
      </c>
      <c r="B985" s="4" t="s">
        <v>634</v>
      </c>
      <c r="C985" s="7">
        <v>45836</v>
      </c>
      <c r="D985" s="8">
        <v>3966.89</v>
      </c>
      <c r="E985" s="8"/>
      <c r="F985" s="8"/>
    </row>
    <row r="986" spans="1:6" x14ac:dyDescent="0.3">
      <c r="A986" t="s">
        <v>422</v>
      </c>
      <c r="B986" s="4" t="s">
        <v>664</v>
      </c>
      <c r="C986" s="7">
        <v>45836</v>
      </c>
      <c r="D986" s="8">
        <v>39.31</v>
      </c>
      <c r="E986" s="8"/>
      <c r="F986" s="8"/>
    </row>
    <row r="987" spans="1:6" x14ac:dyDescent="0.3">
      <c r="A987" t="s">
        <v>422</v>
      </c>
      <c r="B987" s="4" t="s">
        <v>665</v>
      </c>
      <c r="C987" s="7">
        <v>45836</v>
      </c>
      <c r="D987" s="8">
        <v>288.5</v>
      </c>
      <c r="E987" s="8"/>
      <c r="F987" s="8"/>
    </row>
    <row r="988" spans="1:6" x14ac:dyDescent="0.3">
      <c r="A988" t="s">
        <v>422</v>
      </c>
      <c r="B988" s="4" t="s">
        <v>666</v>
      </c>
      <c r="C988" s="7">
        <v>45836</v>
      </c>
      <c r="D988" s="8">
        <v>1183.3499999999999</v>
      </c>
      <c r="E988" s="8"/>
      <c r="F988" s="8"/>
    </row>
    <row r="989" spans="1:6" x14ac:dyDescent="0.3">
      <c r="A989" t="s">
        <v>422</v>
      </c>
      <c r="B989" s="4" t="s">
        <v>651</v>
      </c>
      <c r="C989" s="7">
        <v>45836</v>
      </c>
      <c r="D989" s="8">
        <v>2047.49</v>
      </c>
      <c r="E989" s="8"/>
      <c r="F989" s="8"/>
    </row>
    <row r="990" spans="1:6" x14ac:dyDescent="0.3">
      <c r="A990" t="s">
        <v>422</v>
      </c>
      <c r="B990" s="4" t="s">
        <v>667</v>
      </c>
      <c r="C990" s="7">
        <v>45836</v>
      </c>
      <c r="D990" s="8">
        <v>1859.93</v>
      </c>
      <c r="E990" s="8"/>
      <c r="F990" s="8"/>
    </row>
    <row r="991" spans="1:6" x14ac:dyDescent="0.3">
      <c r="A991" t="s">
        <v>422</v>
      </c>
      <c r="B991" s="4" t="s">
        <v>624</v>
      </c>
      <c r="C991" s="7">
        <v>45838</v>
      </c>
      <c r="D991" s="8">
        <v>4816.6400000000003</v>
      </c>
      <c r="E991" s="8"/>
      <c r="F991" s="8"/>
    </row>
    <row r="992" spans="1:6" x14ac:dyDescent="0.3">
      <c r="A992" t="s">
        <v>422</v>
      </c>
      <c r="B992" s="4" t="s">
        <v>668</v>
      </c>
      <c r="C992" s="7">
        <v>45838</v>
      </c>
      <c r="D992" s="8">
        <v>440</v>
      </c>
      <c r="E992" s="8"/>
      <c r="F992" s="8"/>
    </row>
    <row r="993" spans="1:6" x14ac:dyDescent="0.3">
      <c r="A993" t="s">
        <v>422</v>
      </c>
      <c r="B993" s="4" t="s">
        <v>669</v>
      </c>
      <c r="C993" s="7">
        <v>45838</v>
      </c>
      <c r="D993" s="8">
        <v>3265.82</v>
      </c>
      <c r="E993" s="8"/>
      <c r="F993" s="8"/>
    </row>
    <row r="994" spans="1:6" x14ac:dyDescent="0.3">
      <c r="A994" t="s">
        <v>422</v>
      </c>
      <c r="B994">
        <v>20250630</v>
      </c>
      <c r="C994" s="7">
        <v>45838</v>
      </c>
      <c r="D994" s="8">
        <v>90</v>
      </c>
      <c r="E994" s="8"/>
      <c r="F994" s="8"/>
    </row>
    <row r="995" spans="1:6" x14ac:dyDescent="0.3">
      <c r="A995" t="s">
        <v>422</v>
      </c>
      <c r="B995" s="4" t="s">
        <v>670</v>
      </c>
      <c r="C995" s="7">
        <v>45838</v>
      </c>
      <c r="D995" s="8">
        <v>1446.55</v>
      </c>
      <c r="E995" s="8"/>
      <c r="F995" s="8"/>
    </row>
    <row r="996" spans="1:6" x14ac:dyDescent="0.3">
      <c r="A996" t="s">
        <v>422</v>
      </c>
      <c r="B996" s="4" t="s">
        <v>671</v>
      </c>
      <c r="C996" s="7">
        <v>45838</v>
      </c>
      <c r="D996" s="8">
        <v>6517.91</v>
      </c>
      <c r="E996" s="8"/>
      <c r="F996" s="8"/>
    </row>
    <row r="997" spans="1:6" x14ac:dyDescent="0.3">
      <c r="A997" t="s">
        <v>422</v>
      </c>
      <c r="B997" s="4" t="s">
        <v>672</v>
      </c>
      <c r="C997" s="7">
        <v>45838</v>
      </c>
      <c r="D997" s="8">
        <v>3276.67</v>
      </c>
      <c r="E997" s="8"/>
      <c r="F997" s="8"/>
    </row>
    <row r="998" spans="1:6" x14ac:dyDescent="0.3">
      <c r="A998" t="s">
        <v>422</v>
      </c>
      <c r="B998">
        <v>20250630</v>
      </c>
      <c r="C998" s="7">
        <v>45838</v>
      </c>
      <c r="D998" s="8">
        <v>-17851.55</v>
      </c>
      <c r="E998" s="8"/>
      <c r="F998" s="8"/>
    </row>
    <row r="999" spans="1:6" x14ac:dyDescent="0.3">
      <c r="A999" t="s">
        <v>422</v>
      </c>
      <c r="B999">
        <v>20250630</v>
      </c>
      <c r="C999" s="7">
        <v>45838</v>
      </c>
      <c r="D999" s="8">
        <v>110</v>
      </c>
      <c r="E999" s="8"/>
      <c r="F999" s="8"/>
    </row>
    <row r="1000" spans="1:6" x14ac:dyDescent="0.3">
      <c r="A1000" t="s">
        <v>422</v>
      </c>
      <c r="B1000">
        <v>20250630</v>
      </c>
      <c r="C1000" s="7">
        <v>45838</v>
      </c>
      <c r="D1000" s="8">
        <v>383</v>
      </c>
      <c r="E1000" s="8"/>
      <c r="F1000" s="8"/>
    </row>
    <row r="1001" spans="1:6" x14ac:dyDescent="0.3">
      <c r="A1001" t="s">
        <v>422</v>
      </c>
      <c r="B1001">
        <v>20250630</v>
      </c>
      <c r="C1001" s="7">
        <v>45838</v>
      </c>
      <c r="D1001" s="8">
        <v>440.98</v>
      </c>
      <c r="E1001" s="8"/>
      <c r="F1001" s="8"/>
    </row>
    <row r="1002" spans="1:6" x14ac:dyDescent="0.3">
      <c r="A1002" t="s">
        <v>422</v>
      </c>
      <c r="B1002">
        <v>20250630</v>
      </c>
      <c r="C1002" s="7">
        <v>45838</v>
      </c>
      <c r="D1002" s="8">
        <v>1033.94</v>
      </c>
      <c r="E1002" s="8"/>
      <c r="F1002" s="8"/>
    </row>
    <row r="1003" spans="1:6" x14ac:dyDescent="0.3">
      <c r="A1003" t="s">
        <v>422</v>
      </c>
      <c r="B1003">
        <v>20250630</v>
      </c>
      <c r="C1003" s="7">
        <v>45838</v>
      </c>
      <c r="D1003" s="8">
        <v>1084.53</v>
      </c>
      <c r="E1003" s="8"/>
      <c r="F1003" s="8"/>
    </row>
    <row r="1004" spans="1:6" x14ac:dyDescent="0.3">
      <c r="A1004" t="s">
        <v>422</v>
      </c>
      <c r="B1004">
        <v>20250630</v>
      </c>
      <c r="C1004" s="7">
        <v>45838</v>
      </c>
      <c r="D1004" s="8">
        <v>1321.47</v>
      </c>
      <c r="E1004" s="8"/>
      <c r="F1004" s="8"/>
    </row>
    <row r="1005" spans="1:6" x14ac:dyDescent="0.3">
      <c r="A1005" t="s">
        <v>422</v>
      </c>
      <c r="B1005">
        <v>20250630</v>
      </c>
      <c r="C1005" s="7">
        <v>45838</v>
      </c>
      <c r="D1005" s="8">
        <v>1535.77</v>
      </c>
      <c r="E1005" s="8"/>
      <c r="F1005" s="8"/>
    </row>
    <row r="1006" spans="1:6" x14ac:dyDescent="0.3">
      <c r="A1006" t="s">
        <v>422</v>
      </c>
      <c r="B1006">
        <v>20250630</v>
      </c>
      <c r="C1006" s="7">
        <v>45838</v>
      </c>
      <c r="D1006" s="8">
        <v>1705.83</v>
      </c>
      <c r="E1006" s="8"/>
      <c r="F1006" s="8"/>
    </row>
    <row r="1007" spans="1:6" x14ac:dyDescent="0.3">
      <c r="A1007" t="s">
        <v>422</v>
      </c>
      <c r="B1007">
        <v>20250630</v>
      </c>
      <c r="C1007" s="7">
        <v>45838</v>
      </c>
      <c r="D1007" s="8">
        <v>2408.5300000000002</v>
      </c>
      <c r="E1007" s="8"/>
      <c r="F1007" s="8"/>
    </row>
    <row r="1008" spans="1:6" x14ac:dyDescent="0.3">
      <c r="A1008" t="s">
        <v>422</v>
      </c>
      <c r="B1008">
        <v>20250630</v>
      </c>
      <c r="C1008" s="7">
        <v>45838</v>
      </c>
      <c r="D1008" s="8">
        <v>2664</v>
      </c>
      <c r="E1008" s="8"/>
      <c r="F1008" s="8"/>
    </row>
    <row r="1009" spans="1:6" x14ac:dyDescent="0.3">
      <c r="A1009" t="s">
        <v>422</v>
      </c>
      <c r="B1009">
        <v>20250630</v>
      </c>
      <c r="C1009" s="7">
        <v>45838</v>
      </c>
      <c r="D1009" s="8">
        <v>4824.38</v>
      </c>
      <c r="E1009" s="8"/>
      <c r="F1009" s="8"/>
    </row>
    <row r="1010" spans="1:6" x14ac:dyDescent="0.3">
      <c r="A1010" t="s">
        <v>422</v>
      </c>
      <c r="B1010">
        <v>20250630</v>
      </c>
      <c r="C1010" s="7">
        <v>45838</v>
      </c>
      <c r="D1010" s="8">
        <v>6821.66</v>
      </c>
      <c r="E1010" s="8"/>
      <c r="F1010" s="8"/>
    </row>
    <row r="1011" spans="1:6" x14ac:dyDescent="0.3">
      <c r="A1011" t="s">
        <v>422</v>
      </c>
      <c r="B1011" s="4" t="s">
        <v>673</v>
      </c>
      <c r="C1011" s="7">
        <v>45838</v>
      </c>
      <c r="D1011" s="8">
        <v>50645.94</v>
      </c>
      <c r="E1011" s="8"/>
      <c r="F1011" s="8"/>
    </row>
    <row r="1012" spans="1:6" x14ac:dyDescent="0.3">
      <c r="A1012" t="s">
        <v>422</v>
      </c>
      <c r="B1012" s="4" t="s">
        <v>674</v>
      </c>
      <c r="C1012" s="7">
        <v>45838</v>
      </c>
      <c r="D1012" s="8">
        <v>13950</v>
      </c>
      <c r="E1012" s="8"/>
      <c r="F1012" s="8"/>
    </row>
    <row r="1013" spans="1:6" x14ac:dyDescent="0.3">
      <c r="A1013" t="s">
        <v>422</v>
      </c>
      <c r="B1013" s="4" t="s">
        <v>675</v>
      </c>
      <c r="C1013" s="7">
        <v>45838</v>
      </c>
      <c r="D1013" s="8">
        <v>3131.91</v>
      </c>
      <c r="E1013" s="8"/>
      <c r="F1013" s="8"/>
    </row>
    <row r="1014" spans="1:6" x14ac:dyDescent="0.3">
      <c r="A1014" t="s">
        <v>422</v>
      </c>
      <c r="B1014">
        <v>779533277483</v>
      </c>
      <c r="C1014" s="7">
        <v>45838</v>
      </c>
      <c r="D1014" s="8">
        <v>868.82</v>
      </c>
      <c r="E1014" s="8"/>
      <c r="F1014" s="8"/>
    </row>
    <row r="1015" spans="1:6" x14ac:dyDescent="0.3">
      <c r="A1015" t="s">
        <v>676</v>
      </c>
      <c r="B1015" s="4" t="s">
        <v>677</v>
      </c>
      <c r="C1015" s="7">
        <v>45762</v>
      </c>
      <c r="D1015" s="8">
        <v>-4842.6099999999997</v>
      </c>
      <c r="E1015" s="8"/>
      <c r="F1015" s="8"/>
    </row>
    <row r="1016" spans="1:6" x14ac:dyDescent="0.3">
      <c r="A1016" t="s">
        <v>678</v>
      </c>
      <c r="B1016" s="4" t="s">
        <v>679</v>
      </c>
      <c r="C1016" s="7">
        <v>45712</v>
      </c>
      <c r="D1016" s="8">
        <v>12</v>
      </c>
      <c r="E1016" s="8"/>
      <c r="F1016" s="8"/>
    </row>
    <row r="1017" spans="1:6" x14ac:dyDescent="0.3">
      <c r="A1017" t="s">
        <v>678</v>
      </c>
      <c r="B1017" s="4" t="s">
        <v>679</v>
      </c>
      <c r="C1017" s="7">
        <v>45712</v>
      </c>
      <c r="D1017" s="8">
        <v>12</v>
      </c>
      <c r="E1017" s="8"/>
      <c r="F1017" s="8"/>
    </row>
    <row r="1018" spans="1:6" x14ac:dyDescent="0.3">
      <c r="A1018" t="s">
        <v>678</v>
      </c>
      <c r="B1018" s="4" t="s">
        <v>679</v>
      </c>
      <c r="C1018" s="7">
        <v>45712</v>
      </c>
      <c r="D1018" s="8">
        <v>12</v>
      </c>
      <c r="E1018" s="8"/>
      <c r="F1018" s="8"/>
    </row>
    <row r="1019" spans="1:6" x14ac:dyDescent="0.3">
      <c r="A1019" t="s">
        <v>678</v>
      </c>
      <c r="B1019" s="4" t="s">
        <v>679</v>
      </c>
      <c r="C1019" s="7">
        <v>45712</v>
      </c>
      <c r="D1019" s="8">
        <v>12</v>
      </c>
      <c r="E1019" s="8"/>
      <c r="F1019" s="8"/>
    </row>
    <row r="1020" spans="1:6" x14ac:dyDescent="0.3">
      <c r="A1020" t="s">
        <v>678</v>
      </c>
      <c r="B1020" s="4" t="s">
        <v>679</v>
      </c>
      <c r="C1020" s="7">
        <v>45712</v>
      </c>
      <c r="D1020" s="8">
        <v>12</v>
      </c>
      <c r="E1020" s="8"/>
      <c r="F1020" s="8"/>
    </row>
    <row r="1021" spans="1:6" x14ac:dyDescent="0.3">
      <c r="A1021" t="s">
        <v>678</v>
      </c>
      <c r="B1021" s="4" t="s">
        <v>679</v>
      </c>
      <c r="C1021" s="7">
        <v>45712</v>
      </c>
      <c r="D1021" s="8">
        <v>12</v>
      </c>
      <c r="E1021" s="8"/>
      <c r="F1021" s="8"/>
    </row>
    <row r="1022" spans="1:6" x14ac:dyDescent="0.3">
      <c r="A1022" t="s">
        <v>678</v>
      </c>
      <c r="B1022" s="4" t="s">
        <v>679</v>
      </c>
      <c r="C1022" s="7">
        <v>45712</v>
      </c>
      <c r="D1022" s="8">
        <v>12</v>
      </c>
      <c r="E1022" s="8"/>
      <c r="F1022" s="8"/>
    </row>
    <row r="1023" spans="1:6" x14ac:dyDescent="0.3">
      <c r="A1023" t="s">
        <v>678</v>
      </c>
      <c r="B1023" s="4" t="s">
        <v>679</v>
      </c>
      <c r="C1023" s="7">
        <v>45712</v>
      </c>
      <c r="D1023" s="8">
        <v>12</v>
      </c>
      <c r="E1023" s="8"/>
      <c r="F1023" s="8"/>
    </row>
    <row r="1024" spans="1:6" x14ac:dyDescent="0.3">
      <c r="A1024" t="s">
        <v>678</v>
      </c>
      <c r="B1024" s="4" t="s">
        <v>679</v>
      </c>
      <c r="C1024" s="7">
        <v>45712</v>
      </c>
      <c r="D1024" s="8">
        <v>12</v>
      </c>
      <c r="E1024" s="8"/>
      <c r="F1024" s="8"/>
    </row>
    <row r="1025" spans="1:6" x14ac:dyDescent="0.3">
      <c r="A1025" t="s">
        <v>678</v>
      </c>
      <c r="B1025" s="4" t="s">
        <v>679</v>
      </c>
      <c r="C1025" s="7">
        <v>45712</v>
      </c>
      <c r="D1025" s="8">
        <v>12</v>
      </c>
      <c r="E1025" s="8"/>
      <c r="F1025" s="8"/>
    </row>
    <row r="1026" spans="1:6" x14ac:dyDescent="0.3">
      <c r="A1026" t="s">
        <v>678</v>
      </c>
      <c r="B1026" s="4" t="s">
        <v>679</v>
      </c>
      <c r="C1026" s="7">
        <v>45712</v>
      </c>
      <c r="D1026" s="8">
        <v>12</v>
      </c>
      <c r="E1026" s="8"/>
      <c r="F1026" s="8"/>
    </row>
    <row r="1027" spans="1:6" x14ac:dyDescent="0.3">
      <c r="A1027" t="s">
        <v>678</v>
      </c>
      <c r="B1027" s="4" t="s">
        <v>679</v>
      </c>
      <c r="C1027" s="7">
        <v>45712</v>
      </c>
      <c r="D1027" s="8">
        <v>13.08</v>
      </c>
      <c r="E1027" s="8"/>
      <c r="F1027" s="8"/>
    </row>
    <row r="1028" spans="1:6" x14ac:dyDescent="0.3">
      <c r="A1028" t="s">
        <v>678</v>
      </c>
      <c r="B1028" s="4" t="s">
        <v>679</v>
      </c>
      <c r="C1028" s="7">
        <v>45712</v>
      </c>
      <c r="D1028" s="8">
        <v>12</v>
      </c>
      <c r="E1028" s="8"/>
      <c r="F1028" s="8"/>
    </row>
    <row r="1029" spans="1:6" x14ac:dyDescent="0.3">
      <c r="A1029" t="s">
        <v>678</v>
      </c>
      <c r="B1029" s="4" t="s">
        <v>679</v>
      </c>
      <c r="C1029" s="7">
        <v>45712</v>
      </c>
      <c r="D1029" s="8">
        <v>12</v>
      </c>
      <c r="E1029" s="8"/>
      <c r="F1029" s="8"/>
    </row>
    <row r="1030" spans="1:6" x14ac:dyDescent="0.3">
      <c r="A1030" t="s">
        <v>678</v>
      </c>
      <c r="B1030" s="4" t="s">
        <v>679</v>
      </c>
      <c r="C1030" s="7">
        <v>45712</v>
      </c>
      <c r="D1030" s="8">
        <v>12</v>
      </c>
      <c r="E1030" s="8"/>
      <c r="F1030" s="8"/>
    </row>
    <row r="1031" spans="1:6" x14ac:dyDescent="0.3">
      <c r="A1031" t="s">
        <v>678</v>
      </c>
      <c r="B1031" s="4" t="s">
        <v>679</v>
      </c>
      <c r="C1031" s="7">
        <v>45712</v>
      </c>
      <c r="D1031" s="8">
        <v>12</v>
      </c>
      <c r="E1031" s="8"/>
      <c r="F1031" s="8"/>
    </row>
    <row r="1032" spans="1:6" x14ac:dyDescent="0.3">
      <c r="A1032" t="s">
        <v>678</v>
      </c>
      <c r="B1032" s="4" t="s">
        <v>679</v>
      </c>
      <c r="C1032" s="7">
        <v>45712</v>
      </c>
      <c r="D1032" s="8">
        <v>12</v>
      </c>
      <c r="E1032" s="8"/>
      <c r="F1032" s="8"/>
    </row>
    <row r="1033" spans="1:6" x14ac:dyDescent="0.3">
      <c r="A1033" t="s">
        <v>678</v>
      </c>
      <c r="B1033" s="4" t="s">
        <v>679</v>
      </c>
      <c r="C1033" s="7">
        <v>45712</v>
      </c>
      <c r="D1033" s="8">
        <v>12</v>
      </c>
      <c r="E1033" s="8"/>
      <c r="F1033" s="8"/>
    </row>
    <row r="1034" spans="1:6" x14ac:dyDescent="0.3">
      <c r="A1034" t="s">
        <v>678</v>
      </c>
      <c r="B1034" s="4" t="s">
        <v>679</v>
      </c>
      <c r="C1034" s="7">
        <v>45712</v>
      </c>
      <c r="D1034" s="8">
        <v>12</v>
      </c>
      <c r="E1034" s="8"/>
      <c r="F1034" s="8"/>
    </row>
    <row r="1035" spans="1:6" x14ac:dyDescent="0.3">
      <c r="A1035" t="s">
        <v>678</v>
      </c>
      <c r="B1035" s="4" t="s">
        <v>679</v>
      </c>
      <c r="C1035" s="7">
        <v>45712</v>
      </c>
      <c r="D1035" s="8">
        <v>12</v>
      </c>
      <c r="E1035" s="8"/>
      <c r="F1035" s="8"/>
    </row>
    <row r="1036" spans="1:6" x14ac:dyDescent="0.3">
      <c r="A1036" t="s">
        <v>678</v>
      </c>
      <c r="B1036" s="4" t="s">
        <v>679</v>
      </c>
      <c r="C1036" s="7">
        <v>45712</v>
      </c>
      <c r="D1036" s="8">
        <v>12</v>
      </c>
      <c r="E1036" s="8"/>
      <c r="F1036" s="8"/>
    </row>
    <row r="1037" spans="1:6" x14ac:dyDescent="0.3">
      <c r="A1037" t="s">
        <v>678</v>
      </c>
      <c r="B1037" s="4" t="s">
        <v>679</v>
      </c>
      <c r="C1037" s="7">
        <v>45712</v>
      </c>
      <c r="D1037" s="8">
        <v>12</v>
      </c>
      <c r="E1037" s="8"/>
      <c r="F1037" s="8"/>
    </row>
    <row r="1038" spans="1:6" x14ac:dyDescent="0.3">
      <c r="A1038" t="s">
        <v>678</v>
      </c>
      <c r="B1038" s="4" t="s">
        <v>679</v>
      </c>
      <c r="C1038" s="7">
        <v>45712</v>
      </c>
      <c r="D1038" s="8">
        <v>12</v>
      </c>
      <c r="E1038" s="8"/>
      <c r="F1038" s="8"/>
    </row>
    <row r="1039" spans="1:6" x14ac:dyDescent="0.3">
      <c r="A1039" t="s">
        <v>678</v>
      </c>
      <c r="B1039" s="4" t="s">
        <v>679</v>
      </c>
      <c r="C1039" s="7">
        <v>45712</v>
      </c>
      <c r="D1039" s="8">
        <v>12</v>
      </c>
      <c r="E1039" s="8"/>
      <c r="F1039" s="8"/>
    </row>
    <row r="1040" spans="1:6" x14ac:dyDescent="0.3">
      <c r="A1040" t="s">
        <v>678</v>
      </c>
      <c r="B1040" s="4" t="s">
        <v>679</v>
      </c>
      <c r="C1040" s="7">
        <v>45712</v>
      </c>
      <c r="D1040" s="8">
        <v>12</v>
      </c>
      <c r="E1040" s="8"/>
      <c r="F1040" s="8"/>
    </row>
    <row r="1041" spans="1:6" x14ac:dyDescent="0.3">
      <c r="A1041" t="s">
        <v>678</v>
      </c>
      <c r="B1041" s="4" t="s">
        <v>679</v>
      </c>
      <c r="C1041" s="7">
        <v>45712</v>
      </c>
      <c r="D1041" s="8">
        <v>12</v>
      </c>
      <c r="E1041" s="8"/>
      <c r="F1041" s="8"/>
    </row>
    <row r="1042" spans="1:6" x14ac:dyDescent="0.3">
      <c r="A1042" t="s">
        <v>678</v>
      </c>
      <c r="B1042" s="4" t="s">
        <v>679</v>
      </c>
      <c r="C1042" s="7">
        <v>45712</v>
      </c>
      <c r="D1042" s="8">
        <v>12</v>
      </c>
      <c r="E1042" s="8"/>
      <c r="F1042" s="8"/>
    </row>
    <row r="1043" spans="1:6" x14ac:dyDescent="0.3">
      <c r="A1043" t="s">
        <v>678</v>
      </c>
      <c r="B1043" s="4" t="s">
        <v>680</v>
      </c>
      <c r="C1043" s="7">
        <v>45712</v>
      </c>
      <c r="D1043" s="8">
        <v>17.079999999999998</v>
      </c>
      <c r="E1043" s="8"/>
      <c r="F1043" s="8"/>
    </row>
    <row r="1044" spans="1:6" x14ac:dyDescent="0.3">
      <c r="A1044" t="s">
        <v>678</v>
      </c>
      <c r="B1044" s="4" t="s">
        <v>680</v>
      </c>
      <c r="C1044" s="7">
        <v>45712</v>
      </c>
      <c r="D1044" s="8">
        <v>22</v>
      </c>
      <c r="E1044" s="8"/>
      <c r="F1044" s="8"/>
    </row>
    <row r="1045" spans="1:6" x14ac:dyDescent="0.3">
      <c r="A1045" t="s">
        <v>678</v>
      </c>
      <c r="B1045" s="4" t="s">
        <v>680</v>
      </c>
      <c r="C1045" s="7">
        <v>45712</v>
      </c>
      <c r="D1045" s="8">
        <v>22</v>
      </c>
      <c r="E1045" s="8"/>
      <c r="F1045" s="8"/>
    </row>
    <row r="1046" spans="1:6" x14ac:dyDescent="0.3">
      <c r="A1046" t="s">
        <v>678</v>
      </c>
      <c r="B1046" s="4" t="s">
        <v>680</v>
      </c>
      <c r="C1046" s="7">
        <v>45712</v>
      </c>
      <c r="D1046" s="8">
        <v>22</v>
      </c>
      <c r="E1046" s="8"/>
      <c r="F1046" s="8"/>
    </row>
    <row r="1047" spans="1:6" x14ac:dyDescent="0.3">
      <c r="A1047" t="s">
        <v>678</v>
      </c>
      <c r="B1047" s="4" t="s">
        <v>680</v>
      </c>
      <c r="C1047" s="7">
        <v>45712</v>
      </c>
      <c r="D1047" s="8">
        <v>22</v>
      </c>
      <c r="E1047" s="8"/>
      <c r="F1047" s="8"/>
    </row>
    <row r="1048" spans="1:6" x14ac:dyDescent="0.3">
      <c r="A1048" t="s">
        <v>678</v>
      </c>
      <c r="B1048" s="4" t="s">
        <v>680</v>
      </c>
      <c r="C1048" s="7">
        <v>45712</v>
      </c>
      <c r="D1048" s="8">
        <v>22</v>
      </c>
      <c r="E1048" s="8"/>
      <c r="F1048" s="8"/>
    </row>
    <row r="1049" spans="1:6" x14ac:dyDescent="0.3">
      <c r="A1049" t="s">
        <v>678</v>
      </c>
      <c r="B1049" s="4" t="s">
        <v>680</v>
      </c>
      <c r="C1049" s="7">
        <v>45712</v>
      </c>
      <c r="D1049" s="8">
        <v>22</v>
      </c>
      <c r="E1049" s="8"/>
      <c r="F1049" s="8"/>
    </row>
    <row r="1050" spans="1:6" x14ac:dyDescent="0.3">
      <c r="A1050" t="s">
        <v>678</v>
      </c>
      <c r="B1050" s="4" t="s">
        <v>680</v>
      </c>
      <c r="C1050" s="7">
        <v>45712</v>
      </c>
      <c r="D1050" s="8">
        <v>22</v>
      </c>
      <c r="E1050" s="8"/>
      <c r="F1050" s="8"/>
    </row>
    <row r="1051" spans="1:6" x14ac:dyDescent="0.3">
      <c r="A1051" t="s">
        <v>678</v>
      </c>
      <c r="B1051" s="4" t="s">
        <v>680</v>
      </c>
      <c r="C1051" s="7">
        <v>45712</v>
      </c>
      <c r="D1051" s="8">
        <v>22</v>
      </c>
      <c r="E1051" s="8"/>
      <c r="F1051" s="8"/>
    </row>
    <row r="1052" spans="1:6" x14ac:dyDescent="0.3">
      <c r="A1052" t="s">
        <v>678</v>
      </c>
      <c r="B1052" s="4" t="s">
        <v>680</v>
      </c>
      <c r="C1052" s="7">
        <v>45712</v>
      </c>
      <c r="D1052" s="8">
        <v>22</v>
      </c>
      <c r="E1052" s="8"/>
      <c r="F1052" s="8"/>
    </row>
    <row r="1053" spans="1:6" x14ac:dyDescent="0.3">
      <c r="A1053" t="s">
        <v>678</v>
      </c>
      <c r="B1053" s="4" t="s">
        <v>680</v>
      </c>
      <c r="C1053" s="7">
        <v>45712</v>
      </c>
      <c r="D1053" s="8">
        <v>22</v>
      </c>
      <c r="E1053" s="8"/>
      <c r="F1053" s="8"/>
    </row>
    <row r="1054" spans="1:6" x14ac:dyDescent="0.3">
      <c r="A1054" t="s">
        <v>678</v>
      </c>
      <c r="B1054" s="4" t="s">
        <v>680</v>
      </c>
      <c r="C1054" s="7">
        <v>45712</v>
      </c>
      <c r="D1054" s="8">
        <v>22</v>
      </c>
      <c r="E1054" s="8"/>
      <c r="F1054" s="8"/>
    </row>
    <row r="1055" spans="1:6" x14ac:dyDescent="0.3">
      <c r="A1055" t="s">
        <v>678</v>
      </c>
      <c r="B1055" s="4" t="s">
        <v>680</v>
      </c>
      <c r="C1055" s="7">
        <v>45712</v>
      </c>
      <c r="D1055" s="8">
        <v>22</v>
      </c>
      <c r="E1055" s="8"/>
      <c r="F1055" s="8"/>
    </row>
    <row r="1056" spans="1:6" x14ac:dyDescent="0.3">
      <c r="A1056" t="s">
        <v>678</v>
      </c>
      <c r="B1056" s="4" t="s">
        <v>680</v>
      </c>
      <c r="C1056" s="7">
        <v>45712</v>
      </c>
      <c r="D1056" s="8">
        <v>22</v>
      </c>
      <c r="E1056" s="8"/>
      <c r="F1056" s="8"/>
    </row>
    <row r="1057" spans="1:6" x14ac:dyDescent="0.3">
      <c r="A1057" t="s">
        <v>678</v>
      </c>
      <c r="B1057" s="4" t="s">
        <v>680</v>
      </c>
      <c r="C1057" s="7">
        <v>45712</v>
      </c>
      <c r="D1057" s="8">
        <v>22</v>
      </c>
      <c r="E1057" s="8"/>
      <c r="F1057" s="8"/>
    </row>
    <row r="1058" spans="1:6" x14ac:dyDescent="0.3">
      <c r="A1058" t="s">
        <v>678</v>
      </c>
      <c r="B1058" s="4" t="s">
        <v>681</v>
      </c>
      <c r="C1058" s="7">
        <v>45712</v>
      </c>
      <c r="D1058" s="8">
        <v>3</v>
      </c>
      <c r="E1058" s="8"/>
      <c r="F1058" s="8"/>
    </row>
    <row r="1059" spans="1:6" x14ac:dyDescent="0.3">
      <c r="A1059" t="s">
        <v>678</v>
      </c>
      <c r="B1059" s="4" t="s">
        <v>681</v>
      </c>
      <c r="C1059" s="7">
        <v>45712</v>
      </c>
      <c r="D1059" s="8">
        <v>3</v>
      </c>
      <c r="E1059" s="8"/>
      <c r="F1059" s="8"/>
    </row>
    <row r="1060" spans="1:6" x14ac:dyDescent="0.3">
      <c r="A1060" t="s">
        <v>678</v>
      </c>
      <c r="B1060" s="4" t="s">
        <v>681</v>
      </c>
      <c r="C1060" s="7">
        <v>45712</v>
      </c>
      <c r="D1060" s="8">
        <v>5.44</v>
      </c>
      <c r="E1060" s="8"/>
      <c r="F1060" s="8"/>
    </row>
    <row r="1061" spans="1:6" x14ac:dyDescent="0.3">
      <c r="A1061" t="s">
        <v>678</v>
      </c>
      <c r="B1061" s="4" t="s">
        <v>681</v>
      </c>
      <c r="C1061" s="7">
        <v>45712</v>
      </c>
      <c r="D1061" s="8">
        <v>5</v>
      </c>
      <c r="E1061" s="8"/>
      <c r="F1061" s="8"/>
    </row>
    <row r="1062" spans="1:6" x14ac:dyDescent="0.3">
      <c r="A1062" t="s">
        <v>678</v>
      </c>
      <c r="B1062" s="4" t="s">
        <v>681</v>
      </c>
      <c r="C1062" s="7">
        <v>45712</v>
      </c>
      <c r="D1062" s="8">
        <v>3</v>
      </c>
      <c r="E1062" s="8"/>
      <c r="F1062" s="8"/>
    </row>
    <row r="1063" spans="1:6" x14ac:dyDescent="0.3">
      <c r="A1063" t="s">
        <v>678</v>
      </c>
      <c r="B1063" s="4" t="s">
        <v>681</v>
      </c>
      <c r="C1063" s="7">
        <v>45712</v>
      </c>
      <c r="D1063" s="8">
        <v>4</v>
      </c>
      <c r="E1063" s="8"/>
      <c r="F1063" s="8"/>
    </row>
    <row r="1064" spans="1:6" x14ac:dyDescent="0.3">
      <c r="A1064" t="s">
        <v>678</v>
      </c>
      <c r="B1064" s="4" t="s">
        <v>681</v>
      </c>
      <c r="C1064" s="7">
        <v>45712</v>
      </c>
      <c r="D1064" s="8">
        <v>3</v>
      </c>
      <c r="E1064" s="8"/>
      <c r="F1064" s="8"/>
    </row>
    <row r="1065" spans="1:6" x14ac:dyDescent="0.3">
      <c r="A1065" t="s">
        <v>678</v>
      </c>
      <c r="B1065" s="4" t="s">
        <v>681</v>
      </c>
      <c r="C1065" s="7">
        <v>45712</v>
      </c>
      <c r="D1065" s="8">
        <v>3</v>
      </c>
      <c r="E1065" s="8"/>
      <c r="F1065" s="8"/>
    </row>
    <row r="1066" spans="1:6" x14ac:dyDescent="0.3">
      <c r="A1066" t="s">
        <v>678</v>
      </c>
      <c r="B1066" s="4" t="s">
        <v>681</v>
      </c>
      <c r="C1066" s="7">
        <v>45712</v>
      </c>
      <c r="D1066" s="8">
        <v>5</v>
      </c>
      <c r="E1066" s="8"/>
      <c r="F1066" s="8"/>
    </row>
    <row r="1067" spans="1:6" x14ac:dyDescent="0.3">
      <c r="A1067" t="s">
        <v>678</v>
      </c>
      <c r="B1067" s="4" t="s">
        <v>681</v>
      </c>
      <c r="C1067" s="7">
        <v>45712</v>
      </c>
      <c r="D1067" s="8">
        <v>4</v>
      </c>
      <c r="E1067" s="8"/>
      <c r="F1067" s="8"/>
    </row>
    <row r="1068" spans="1:6" x14ac:dyDescent="0.3">
      <c r="A1068" t="s">
        <v>678</v>
      </c>
      <c r="B1068" s="4" t="s">
        <v>681</v>
      </c>
      <c r="C1068" s="7">
        <v>45712</v>
      </c>
      <c r="D1068" s="8">
        <v>3</v>
      </c>
      <c r="E1068" s="8"/>
      <c r="F1068" s="8"/>
    </row>
    <row r="1069" spans="1:6" x14ac:dyDescent="0.3">
      <c r="A1069" t="s">
        <v>678</v>
      </c>
      <c r="B1069" s="4" t="s">
        <v>681</v>
      </c>
      <c r="C1069" s="7">
        <v>45712</v>
      </c>
      <c r="D1069" s="8">
        <v>5</v>
      </c>
      <c r="E1069" s="8"/>
      <c r="F1069" s="8"/>
    </row>
    <row r="1070" spans="1:6" x14ac:dyDescent="0.3">
      <c r="A1070" t="s">
        <v>678</v>
      </c>
      <c r="B1070" s="4" t="s">
        <v>681</v>
      </c>
      <c r="C1070" s="7">
        <v>45712</v>
      </c>
      <c r="D1070" s="8">
        <v>3</v>
      </c>
      <c r="E1070" s="8"/>
      <c r="F1070" s="8"/>
    </row>
    <row r="1071" spans="1:6" x14ac:dyDescent="0.3">
      <c r="A1071" t="s">
        <v>678</v>
      </c>
      <c r="B1071" s="4" t="s">
        <v>682</v>
      </c>
      <c r="C1071" s="7">
        <v>45712</v>
      </c>
      <c r="D1071" s="8">
        <v>6</v>
      </c>
      <c r="E1071" s="8"/>
      <c r="F1071" s="8"/>
    </row>
    <row r="1072" spans="1:6" x14ac:dyDescent="0.3">
      <c r="A1072" t="s">
        <v>678</v>
      </c>
      <c r="B1072" s="4" t="s">
        <v>682</v>
      </c>
      <c r="C1072" s="7">
        <v>45712</v>
      </c>
      <c r="D1072" s="8">
        <v>6</v>
      </c>
      <c r="E1072" s="8"/>
      <c r="F1072" s="8"/>
    </row>
    <row r="1073" spans="1:6" x14ac:dyDescent="0.3">
      <c r="A1073" t="s">
        <v>678</v>
      </c>
      <c r="B1073" s="4" t="s">
        <v>682</v>
      </c>
      <c r="C1073" s="7">
        <v>45712</v>
      </c>
      <c r="D1073" s="8">
        <v>8.8800000000000008</v>
      </c>
      <c r="E1073" s="8"/>
      <c r="F1073" s="8"/>
    </row>
    <row r="1074" spans="1:6" x14ac:dyDescent="0.3">
      <c r="A1074" t="s">
        <v>678</v>
      </c>
      <c r="B1074" s="4" t="s">
        <v>682</v>
      </c>
      <c r="C1074" s="7">
        <v>45712</v>
      </c>
      <c r="D1074" s="8">
        <v>6</v>
      </c>
      <c r="E1074" s="8"/>
      <c r="F1074" s="8"/>
    </row>
    <row r="1075" spans="1:6" x14ac:dyDescent="0.3">
      <c r="A1075" t="s">
        <v>678</v>
      </c>
      <c r="B1075" s="4" t="s">
        <v>682</v>
      </c>
      <c r="C1075" s="7">
        <v>45712</v>
      </c>
      <c r="D1075" s="8">
        <v>6</v>
      </c>
      <c r="E1075" s="8"/>
      <c r="F1075" s="8"/>
    </row>
    <row r="1076" spans="1:6" x14ac:dyDescent="0.3">
      <c r="A1076" t="s">
        <v>678</v>
      </c>
      <c r="B1076" s="4" t="s">
        <v>682</v>
      </c>
      <c r="C1076" s="7">
        <v>45712</v>
      </c>
      <c r="D1076" s="8">
        <v>6</v>
      </c>
      <c r="E1076" s="8"/>
      <c r="F1076" s="8"/>
    </row>
    <row r="1077" spans="1:6" x14ac:dyDescent="0.3">
      <c r="A1077" t="s">
        <v>678</v>
      </c>
      <c r="B1077" s="4" t="s">
        <v>682</v>
      </c>
      <c r="C1077" s="7">
        <v>45712</v>
      </c>
      <c r="D1077" s="8">
        <v>6</v>
      </c>
      <c r="E1077" s="8"/>
      <c r="F1077" s="8"/>
    </row>
    <row r="1078" spans="1:6" x14ac:dyDescent="0.3">
      <c r="A1078" t="s">
        <v>678</v>
      </c>
      <c r="B1078" s="4" t="s">
        <v>682</v>
      </c>
      <c r="C1078" s="7">
        <v>45712</v>
      </c>
      <c r="D1078" s="8">
        <v>6</v>
      </c>
      <c r="E1078" s="8"/>
      <c r="F1078" s="8"/>
    </row>
    <row r="1079" spans="1:6" x14ac:dyDescent="0.3">
      <c r="A1079" t="s">
        <v>678</v>
      </c>
      <c r="B1079" s="4" t="s">
        <v>682</v>
      </c>
      <c r="C1079" s="7">
        <v>45712</v>
      </c>
      <c r="D1079" s="8">
        <v>6</v>
      </c>
      <c r="E1079" s="8"/>
      <c r="F1079" s="8"/>
    </row>
    <row r="1080" spans="1:6" x14ac:dyDescent="0.3">
      <c r="A1080" t="s">
        <v>678</v>
      </c>
      <c r="B1080" s="4" t="s">
        <v>682</v>
      </c>
      <c r="C1080" s="7">
        <v>45712</v>
      </c>
      <c r="D1080" s="8">
        <v>6</v>
      </c>
      <c r="E1080" s="8"/>
      <c r="F1080" s="8"/>
    </row>
    <row r="1081" spans="1:6" x14ac:dyDescent="0.3">
      <c r="A1081" t="s">
        <v>678</v>
      </c>
      <c r="B1081" s="4" t="s">
        <v>682</v>
      </c>
      <c r="C1081" s="7">
        <v>45712</v>
      </c>
      <c r="D1081" s="8">
        <v>6</v>
      </c>
      <c r="E1081" s="8"/>
      <c r="F1081" s="8"/>
    </row>
    <row r="1082" spans="1:6" x14ac:dyDescent="0.3">
      <c r="A1082" t="s">
        <v>678</v>
      </c>
      <c r="B1082" s="4" t="s">
        <v>682</v>
      </c>
      <c r="C1082" s="7">
        <v>45712</v>
      </c>
      <c r="D1082" s="8">
        <v>6</v>
      </c>
      <c r="E1082" s="8"/>
      <c r="F1082" s="8"/>
    </row>
    <row r="1083" spans="1:6" x14ac:dyDescent="0.3">
      <c r="A1083" t="s">
        <v>678</v>
      </c>
      <c r="B1083" s="4" t="s">
        <v>682</v>
      </c>
      <c r="C1083" s="7">
        <v>45712</v>
      </c>
      <c r="D1083" s="8">
        <v>6</v>
      </c>
      <c r="E1083" s="8"/>
      <c r="F1083" s="8"/>
    </row>
    <row r="1084" spans="1:6" x14ac:dyDescent="0.3">
      <c r="A1084" t="s">
        <v>678</v>
      </c>
      <c r="B1084" s="4" t="s">
        <v>682</v>
      </c>
      <c r="C1084" s="7">
        <v>45712</v>
      </c>
      <c r="D1084" s="8">
        <v>6</v>
      </c>
      <c r="E1084" s="8"/>
      <c r="F1084" s="8"/>
    </row>
    <row r="1085" spans="1:6" x14ac:dyDescent="0.3">
      <c r="A1085" t="s">
        <v>678</v>
      </c>
      <c r="B1085" s="4" t="s">
        <v>682</v>
      </c>
      <c r="C1085" s="7">
        <v>45712</v>
      </c>
      <c r="D1085" s="8">
        <v>6</v>
      </c>
      <c r="E1085" s="8"/>
      <c r="F1085" s="8"/>
    </row>
    <row r="1086" spans="1:6" x14ac:dyDescent="0.3">
      <c r="A1086" t="s">
        <v>678</v>
      </c>
      <c r="B1086" s="4" t="s">
        <v>683</v>
      </c>
      <c r="C1086" s="7">
        <v>45712</v>
      </c>
      <c r="D1086" s="8">
        <v>25</v>
      </c>
      <c r="E1086" s="8"/>
      <c r="F1086" s="8"/>
    </row>
    <row r="1087" spans="1:6" x14ac:dyDescent="0.3">
      <c r="A1087" t="s">
        <v>678</v>
      </c>
      <c r="B1087" s="4" t="s">
        <v>683</v>
      </c>
      <c r="C1087" s="7">
        <v>45712</v>
      </c>
      <c r="D1087" s="8">
        <v>25</v>
      </c>
      <c r="E1087" s="8"/>
      <c r="F1087" s="8"/>
    </row>
    <row r="1088" spans="1:6" x14ac:dyDescent="0.3">
      <c r="A1088" t="s">
        <v>678</v>
      </c>
      <c r="B1088" s="4" t="s">
        <v>683</v>
      </c>
      <c r="C1088" s="7">
        <v>45712</v>
      </c>
      <c r="D1088" s="8">
        <v>25</v>
      </c>
      <c r="E1088" s="8"/>
      <c r="F1088" s="8"/>
    </row>
    <row r="1089" spans="1:6" x14ac:dyDescent="0.3">
      <c r="A1089" t="s">
        <v>678</v>
      </c>
      <c r="B1089" s="4" t="s">
        <v>683</v>
      </c>
      <c r="C1089" s="7">
        <v>45712</v>
      </c>
      <c r="D1089" s="8">
        <v>25</v>
      </c>
      <c r="E1089" s="8"/>
      <c r="F1089" s="8"/>
    </row>
    <row r="1090" spans="1:6" x14ac:dyDescent="0.3">
      <c r="A1090" t="s">
        <v>678</v>
      </c>
      <c r="B1090" s="4" t="s">
        <v>683</v>
      </c>
      <c r="C1090" s="7">
        <v>45712</v>
      </c>
      <c r="D1090" s="8">
        <v>25</v>
      </c>
      <c r="E1090" s="8"/>
      <c r="F1090" s="8"/>
    </row>
    <row r="1091" spans="1:6" x14ac:dyDescent="0.3">
      <c r="A1091" t="s">
        <v>678</v>
      </c>
      <c r="B1091" s="4" t="s">
        <v>683</v>
      </c>
      <c r="C1091" s="7">
        <v>45712</v>
      </c>
      <c r="D1091" s="8">
        <v>25</v>
      </c>
      <c r="E1091" s="8"/>
      <c r="F1091" s="8"/>
    </row>
    <row r="1092" spans="1:6" x14ac:dyDescent="0.3">
      <c r="A1092" t="s">
        <v>678</v>
      </c>
      <c r="B1092" s="4" t="s">
        <v>683</v>
      </c>
      <c r="C1092" s="7">
        <v>45712</v>
      </c>
      <c r="D1092" s="8">
        <v>25</v>
      </c>
      <c r="E1092" s="8"/>
      <c r="F1092" s="8"/>
    </row>
    <row r="1093" spans="1:6" x14ac:dyDescent="0.3">
      <c r="A1093" t="s">
        <v>678</v>
      </c>
      <c r="B1093" s="4" t="s">
        <v>683</v>
      </c>
      <c r="C1093" s="7">
        <v>45712</v>
      </c>
      <c r="D1093" s="8">
        <v>25</v>
      </c>
      <c r="E1093" s="8"/>
      <c r="F1093" s="8"/>
    </row>
    <row r="1094" spans="1:6" x14ac:dyDescent="0.3">
      <c r="A1094" t="s">
        <v>678</v>
      </c>
      <c r="B1094" s="4" t="s">
        <v>683</v>
      </c>
      <c r="C1094" s="7">
        <v>45712</v>
      </c>
      <c r="D1094" s="8">
        <v>25</v>
      </c>
      <c r="E1094" s="8"/>
      <c r="F1094" s="8"/>
    </row>
    <row r="1095" spans="1:6" x14ac:dyDescent="0.3">
      <c r="A1095" t="s">
        <v>678</v>
      </c>
      <c r="B1095" s="4" t="s">
        <v>683</v>
      </c>
      <c r="C1095" s="7">
        <v>45712</v>
      </c>
      <c r="D1095" s="8">
        <v>25</v>
      </c>
      <c r="E1095" s="8"/>
      <c r="F1095" s="8"/>
    </row>
    <row r="1096" spans="1:6" x14ac:dyDescent="0.3">
      <c r="A1096" t="s">
        <v>678</v>
      </c>
      <c r="B1096" s="4" t="s">
        <v>683</v>
      </c>
      <c r="C1096" s="7">
        <v>45712</v>
      </c>
      <c r="D1096" s="8">
        <v>25.08</v>
      </c>
      <c r="E1096" s="8"/>
      <c r="F1096" s="8"/>
    </row>
    <row r="1097" spans="1:6" x14ac:dyDescent="0.3">
      <c r="A1097" t="s">
        <v>678</v>
      </c>
      <c r="B1097" s="4" t="s">
        <v>683</v>
      </c>
      <c r="C1097" s="7">
        <v>45712</v>
      </c>
      <c r="D1097" s="8">
        <v>25</v>
      </c>
      <c r="E1097" s="8"/>
      <c r="F1097" s="8"/>
    </row>
    <row r="1098" spans="1:6" x14ac:dyDescent="0.3">
      <c r="A1098" t="s">
        <v>678</v>
      </c>
      <c r="B1098" s="4" t="s">
        <v>683</v>
      </c>
      <c r="C1098" s="7">
        <v>45712</v>
      </c>
      <c r="D1098" s="8">
        <v>25</v>
      </c>
      <c r="E1098" s="8"/>
      <c r="F1098" s="8"/>
    </row>
    <row r="1099" spans="1:6" x14ac:dyDescent="0.3">
      <c r="A1099" t="s">
        <v>678</v>
      </c>
      <c r="B1099" s="4" t="s">
        <v>684</v>
      </c>
      <c r="C1099" s="7">
        <v>45713</v>
      </c>
      <c r="D1099" s="8">
        <v>282</v>
      </c>
      <c r="E1099" s="8"/>
      <c r="F1099" s="8"/>
    </row>
    <row r="1100" spans="1:6" x14ac:dyDescent="0.3">
      <c r="A1100" t="s">
        <v>678</v>
      </c>
      <c r="B1100" s="4" t="s">
        <v>685</v>
      </c>
      <c r="C1100" s="7">
        <v>45775</v>
      </c>
      <c r="D1100" s="8">
        <v>1560.64</v>
      </c>
      <c r="E1100" s="8"/>
      <c r="F1100" s="8"/>
    </row>
    <row r="1101" spans="1:6" x14ac:dyDescent="0.3">
      <c r="A1101" t="s">
        <v>686</v>
      </c>
      <c r="B1101" s="4" t="s">
        <v>687</v>
      </c>
      <c r="C1101" s="7">
        <v>45833</v>
      </c>
      <c r="D1101" s="8">
        <v>-18135</v>
      </c>
      <c r="E1101" s="8"/>
      <c r="F1101" s="8"/>
    </row>
    <row r="1102" spans="1:6" x14ac:dyDescent="0.3">
      <c r="A1102" t="s">
        <v>688</v>
      </c>
      <c r="B1102" s="4" t="s">
        <v>689</v>
      </c>
      <c r="C1102" s="7">
        <v>45460</v>
      </c>
      <c r="D1102" s="8">
        <v>1824.25</v>
      </c>
      <c r="E1102" s="8"/>
      <c r="F1102" s="8"/>
    </row>
    <row r="1103" spans="1:6" x14ac:dyDescent="0.3">
      <c r="A1103" t="s">
        <v>688</v>
      </c>
      <c r="B1103" s="4" t="s">
        <v>690</v>
      </c>
      <c r="C1103" s="7">
        <v>45532</v>
      </c>
      <c r="D1103" s="8">
        <v>4080.27</v>
      </c>
      <c r="E1103" s="8"/>
      <c r="F1103" s="8"/>
    </row>
    <row r="1104" spans="1:6" x14ac:dyDescent="0.3">
      <c r="A1104" t="s">
        <v>691</v>
      </c>
      <c r="B1104">
        <v>22325</v>
      </c>
      <c r="C1104" s="7">
        <v>45546</v>
      </c>
      <c r="D1104" s="8">
        <v>4974</v>
      </c>
      <c r="E1104" s="8"/>
      <c r="F1104" s="8"/>
    </row>
    <row r="1105" spans="1:6" x14ac:dyDescent="0.3">
      <c r="A1105" t="s">
        <v>691</v>
      </c>
      <c r="B1105">
        <v>22326</v>
      </c>
      <c r="C1105" s="7">
        <v>45546</v>
      </c>
      <c r="D1105" s="8">
        <v>4816.1099999999997</v>
      </c>
      <c r="E1105" s="8"/>
      <c r="F1105" s="8"/>
    </row>
    <row r="1106" spans="1:6" x14ac:dyDescent="0.3">
      <c r="A1106" t="s">
        <v>692</v>
      </c>
      <c r="B1106" s="10">
        <v>3.7746107336073302E+37</v>
      </c>
      <c r="C1106" s="7">
        <v>45806</v>
      </c>
      <c r="D1106" s="8">
        <v>3365</v>
      </c>
      <c r="E1106" s="8"/>
      <c r="F1106" s="8"/>
    </row>
    <row r="1107" spans="1:6" x14ac:dyDescent="0.3">
      <c r="A1107" t="s">
        <v>692</v>
      </c>
      <c r="B1107" s="10">
        <v>3.7746107336073302E+37</v>
      </c>
      <c r="C1107" s="7">
        <v>45806</v>
      </c>
      <c r="D1107" s="8">
        <v>100</v>
      </c>
      <c r="E1107" s="8"/>
      <c r="F1107" s="8"/>
    </row>
    <row r="1108" spans="1:6" x14ac:dyDescent="0.3">
      <c r="A1108" t="s">
        <v>693</v>
      </c>
      <c r="B1108" s="9" t="s">
        <v>694</v>
      </c>
      <c r="C1108" s="7">
        <v>45730</v>
      </c>
      <c r="D1108" s="8">
        <v>-1050</v>
      </c>
      <c r="E1108" s="8"/>
      <c r="F1108" s="8"/>
    </row>
    <row r="1109" spans="1:6" x14ac:dyDescent="0.3">
      <c r="A1109" t="s">
        <v>695</v>
      </c>
      <c r="B1109">
        <v>25760001</v>
      </c>
      <c r="C1109" s="7">
        <v>45615</v>
      </c>
      <c r="D1109" s="8">
        <v>285.8</v>
      </c>
      <c r="E1109" s="8"/>
      <c r="F1109" s="8"/>
    </row>
    <row r="1110" spans="1:6" x14ac:dyDescent="0.3">
      <c r="A1110" t="s">
        <v>695</v>
      </c>
      <c r="B1110">
        <v>25760438</v>
      </c>
      <c r="C1110" s="7">
        <v>45789</v>
      </c>
      <c r="D1110" s="8">
        <v>2349.15</v>
      </c>
      <c r="E1110" s="8"/>
      <c r="F1110" s="8"/>
    </row>
    <row r="1111" spans="1:6" x14ac:dyDescent="0.3">
      <c r="A1111" t="s">
        <v>696</v>
      </c>
      <c r="B1111" s="4" t="s">
        <v>697</v>
      </c>
      <c r="C1111" s="7">
        <v>45649</v>
      </c>
      <c r="D1111" s="8">
        <v>178</v>
      </c>
      <c r="E1111" s="8"/>
      <c r="F1111" s="8"/>
    </row>
    <row r="1112" spans="1:6" x14ac:dyDescent="0.3">
      <c r="A1112" t="s">
        <v>696</v>
      </c>
      <c r="B1112" s="4" t="s">
        <v>697</v>
      </c>
      <c r="C1112" s="7">
        <v>45649</v>
      </c>
      <c r="D1112" s="8">
        <v>6808</v>
      </c>
      <c r="E1112" s="8"/>
      <c r="F1112" s="8"/>
    </row>
    <row r="1113" spans="1:6" x14ac:dyDescent="0.3">
      <c r="A1113" t="s">
        <v>696</v>
      </c>
      <c r="B1113" s="4" t="s">
        <v>697</v>
      </c>
      <c r="C1113" s="7">
        <v>45649</v>
      </c>
      <c r="D1113" s="8">
        <v>178</v>
      </c>
      <c r="E1113" s="8"/>
      <c r="F1113" s="8"/>
    </row>
    <row r="1114" spans="1:6" x14ac:dyDescent="0.3">
      <c r="A1114" t="s">
        <v>696</v>
      </c>
      <c r="B1114" s="4" t="s">
        <v>697</v>
      </c>
      <c r="C1114" s="7">
        <v>45649</v>
      </c>
      <c r="D1114" s="8">
        <v>395.5</v>
      </c>
      <c r="E1114" s="8"/>
      <c r="F1114" s="8"/>
    </row>
    <row r="1115" spans="1:6" x14ac:dyDescent="0.3">
      <c r="A1115" t="s">
        <v>696</v>
      </c>
      <c r="B1115" s="4" t="s">
        <v>697</v>
      </c>
      <c r="C1115" s="7">
        <v>45649</v>
      </c>
      <c r="D1115" s="8">
        <v>1550.25</v>
      </c>
      <c r="E1115" s="8"/>
      <c r="F1115" s="8"/>
    </row>
    <row r="1116" spans="1:6" x14ac:dyDescent="0.3">
      <c r="A1116" t="s">
        <v>696</v>
      </c>
      <c r="B1116" s="4" t="s">
        <v>697</v>
      </c>
      <c r="C1116" s="7">
        <v>45649</v>
      </c>
      <c r="D1116" s="8">
        <v>232.5</v>
      </c>
      <c r="E1116" s="8"/>
      <c r="F1116" s="8"/>
    </row>
    <row r="1117" spans="1:6" x14ac:dyDescent="0.3">
      <c r="A1117" t="s">
        <v>696</v>
      </c>
      <c r="B1117" s="4" t="s">
        <v>697</v>
      </c>
      <c r="C1117" s="7">
        <v>45649</v>
      </c>
      <c r="D1117" s="8">
        <v>155</v>
      </c>
      <c r="E1117" s="8"/>
      <c r="F1117" s="8"/>
    </row>
    <row r="1118" spans="1:6" x14ac:dyDescent="0.3">
      <c r="A1118" t="s">
        <v>696</v>
      </c>
      <c r="B1118" s="4" t="s">
        <v>697</v>
      </c>
      <c r="C1118" s="7">
        <v>45649</v>
      </c>
      <c r="D1118" s="8">
        <v>155</v>
      </c>
      <c r="E1118" s="8"/>
      <c r="F1118" s="8"/>
    </row>
    <row r="1119" spans="1:6" x14ac:dyDescent="0.3">
      <c r="A1119" t="s">
        <v>696</v>
      </c>
      <c r="B1119" s="4" t="s">
        <v>697</v>
      </c>
      <c r="C1119" s="7">
        <v>45649</v>
      </c>
      <c r="D1119" s="8">
        <v>1642.07</v>
      </c>
      <c r="E1119" s="8"/>
      <c r="F1119" s="8"/>
    </row>
    <row r="1120" spans="1:6" x14ac:dyDescent="0.3">
      <c r="A1120" t="s">
        <v>696</v>
      </c>
      <c r="B1120" s="4" t="s">
        <v>697</v>
      </c>
      <c r="C1120" s="7">
        <v>45649</v>
      </c>
      <c r="D1120" s="8">
        <v>232.5</v>
      </c>
      <c r="E1120" s="8"/>
      <c r="F1120" s="8"/>
    </row>
    <row r="1121" spans="1:6" x14ac:dyDescent="0.3">
      <c r="A1121" t="s">
        <v>696</v>
      </c>
      <c r="B1121" s="4" t="s">
        <v>697</v>
      </c>
      <c r="C1121" s="7">
        <v>45649</v>
      </c>
      <c r="D1121" s="8">
        <v>124</v>
      </c>
      <c r="E1121" s="8"/>
      <c r="F1121" s="8"/>
    </row>
    <row r="1122" spans="1:6" x14ac:dyDescent="0.3">
      <c r="A1122" t="s">
        <v>696</v>
      </c>
      <c r="B1122" s="4" t="s">
        <v>697</v>
      </c>
      <c r="C1122" s="7">
        <v>45649</v>
      </c>
      <c r="D1122" s="8">
        <v>7030</v>
      </c>
      <c r="E1122" s="8"/>
      <c r="F1122" s="8"/>
    </row>
    <row r="1123" spans="1:6" x14ac:dyDescent="0.3">
      <c r="A1123" t="s">
        <v>696</v>
      </c>
      <c r="B1123" s="4" t="s">
        <v>697</v>
      </c>
      <c r="C1123" s="7">
        <v>45649</v>
      </c>
      <c r="D1123" s="8">
        <v>186</v>
      </c>
      <c r="E1123" s="8"/>
      <c r="F1123" s="8"/>
    </row>
    <row r="1124" spans="1:6" x14ac:dyDescent="0.3">
      <c r="A1124" t="s">
        <v>696</v>
      </c>
      <c r="B1124" s="4" t="s">
        <v>697</v>
      </c>
      <c r="C1124" s="7">
        <v>45649</v>
      </c>
      <c r="D1124" s="8">
        <v>162.5</v>
      </c>
      <c r="E1124" s="8"/>
      <c r="F1124" s="8"/>
    </row>
    <row r="1125" spans="1:6" x14ac:dyDescent="0.3">
      <c r="A1125" t="s">
        <v>698</v>
      </c>
      <c r="B1125">
        <v>20240217</v>
      </c>
      <c r="C1125" s="7">
        <v>45339</v>
      </c>
      <c r="D1125" s="8">
        <v>602</v>
      </c>
      <c r="E1125" s="8"/>
      <c r="F1125" s="8"/>
    </row>
    <row r="1126" spans="1:6" x14ac:dyDescent="0.3">
      <c r="A1126" t="s">
        <v>698</v>
      </c>
      <c r="B1126">
        <v>20240217</v>
      </c>
      <c r="C1126" s="7">
        <v>45339</v>
      </c>
      <c r="D1126" s="8">
        <v>111.9</v>
      </c>
      <c r="E1126" s="8"/>
      <c r="F1126" s="8"/>
    </row>
    <row r="1127" spans="1:6" x14ac:dyDescent="0.3">
      <c r="A1127" t="s">
        <v>698</v>
      </c>
      <c r="B1127" s="4" t="s">
        <v>699</v>
      </c>
      <c r="C1127" s="7">
        <v>45658</v>
      </c>
      <c r="D1127" s="8">
        <v>36</v>
      </c>
      <c r="E1127" s="8"/>
      <c r="F1127" s="8"/>
    </row>
    <row r="1128" spans="1:6" x14ac:dyDescent="0.3">
      <c r="A1128" t="s">
        <v>698</v>
      </c>
      <c r="B1128" s="4" t="s">
        <v>699</v>
      </c>
      <c r="C1128" s="7">
        <v>45658</v>
      </c>
      <c r="D1128" s="8">
        <v>48.15</v>
      </c>
      <c r="E1128" s="8"/>
      <c r="F1128" s="8"/>
    </row>
    <row r="1129" spans="1:6" x14ac:dyDescent="0.3">
      <c r="A1129" t="s">
        <v>698</v>
      </c>
      <c r="B1129" s="4" t="s">
        <v>699</v>
      </c>
      <c r="C1129" s="7">
        <v>45658</v>
      </c>
      <c r="D1129" s="8">
        <v>56.45</v>
      </c>
      <c r="E1129" s="8"/>
      <c r="F1129" s="8"/>
    </row>
    <row r="1130" spans="1:6" x14ac:dyDescent="0.3">
      <c r="A1130" t="s">
        <v>698</v>
      </c>
      <c r="B1130" s="4" t="s">
        <v>700</v>
      </c>
      <c r="C1130" s="7">
        <v>45708</v>
      </c>
      <c r="D1130" s="8">
        <v>-1951.83</v>
      </c>
      <c r="E1130" s="8"/>
      <c r="F1130" s="8"/>
    </row>
    <row r="1131" spans="1:6" x14ac:dyDescent="0.3">
      <c r="A1131" t="s">
        <v>698</v>
      </c>
      <c r="B1131" s="4" t="s">
        <v>701</v>
      </c>
      <c r="C1131" s="7">
        <v>45838</v>
      </c>
      <c r="D1131" s="8">
        <v>66.349999999999994</v>
      </c>
      <c r="E1131" s="8"/>
      <c r="F1131" s="8"/>
    </row>
    <row r="1132" spans="1:6" x14ac:dyDescent="0.3">
      <c r="A1132" t="s">
        <v>702</v>
      </c>
      <c r="B1132">
        <v>41186415</v>
      </c>
      <c r="C1132" s="7">
        <v>45757</v>
      </c>
      <c r="D1132" s="8">
        <v>2019.56</v>
      </c>
      <c r="E1132" s="8"/>
      <c r="F1132" s="8"/>
    </row>
    <row r="1133" spans="1:6" x14ac:dyDescent="0.3">
      <c r="A1133" t="s">
        <v>702</v>
      </c>
      <c r="B1133" s="14">
        <v>41188101</v>
      </c>
      <c r="C1133" s="7">
        <v>45830</v>
      </c>
      <c r="D1133" s="8">
        <v>-1748.55</v>
      </c>
      <c r="E1133" s="8"/>
      <c r="F1133" s="8"/>
    </row>
    <row r="1134" spans="1:6" x14ac:dyDescent="0.3">
      <c r="A1134" t="s">
        <v>703</v>
      </c>
      <c r="B1134" s="9" t="s">
        <v>704</v>
      </c>
      <c r="C1134" s="7">
        <v>45719</v>
      </c>
      <c r="D1134" s="8">
        <v>-1247.44</v>
      </c>
      <c r="E1134" s="8"/>
      <c r="F1134" s="8"/>
    </row>
    <row r="1135" spans="1:6" x14ac:dyDescent="0.3">
      <c r="A1135" t="s">
        <v>705</v>
      </c>
      <c r="B1135" s="4" t="s">
        <v>706</v>
      </c>
      <c r="C1135" s="7">
        <v>45149</v>
      </c>
      <c r="D1135" s="8">
        <v>-90.03</v>
      </c>
      <c r="E1135" s="8"/>
      <c r="F1135" s="8"/>
    </row>
    <row r="1136" spans="1:6" x14ac:dyDescent="0.3">
      <c r="A1136" t="s">
        <v>705</v>
      </c>
      <c r="B1136" s="4" t="s">
        <v>707</v>
      </c>
      <c r="C1136" s="7">
        <v>45155</v>
      </c>
      <c r="D1136" s="8">
        <v>-513.70000000000005</v>
      </c>
      <c r="E1136" s="8"/>
      <c r="F1136" s="8"/>
    </row>
    <row r="1137" spans="1:6" x14ac:dyDescent="0.3">
      <c r="A1137" t="s">
        <v>705</v>
      </c>
      <c r="B1137" s="4" t="s">
        <v>708</v>
      </c>
      <c r="C1137" s="7">
        <v>45307</v>
      </c>
      <c r="D1137" s="8">
        <v>-102.74</v>
      </c>
      <c r="E1137" s="8"/>
      <c r="F1137" s="8"/>
    </row>
    <row r="1138" spans="1:6" x14ac:dyDescent="0.3">
      <c r="A1138" t="s">
        <v>705</v>
      </c>
      <c r="B1138" s="4" t="s">
        <v>709</v>
      </c>
      <c r="C1138" s="7">
        <v>45838</v>
      </c>
      <c r="D1138" s="8">
        <v>2752.5</v>
      </c>
      <c r="E1138" s="8"/>
      <c r="F1138" s="8"/>
    </row>
    <row r="1139" spans="1:6" x14ac:dyDescent="0.3">
      <c r="A1139" t="s">
        <v>705</v>
      </c>
      <c r="B1139" s="4" t="s">
        <v>710</v>
      </c>
      <c r="C1139" s="7">
        <v>45838</v>
      </c>
      <c r="D1139" s="8">
        <v>3283.03</v>
      </c>
      <c r="E1139" s="8"/>
      <c r="F1139" s="8"/>
    </row>
    <row r="1140" spans="1:6" x14ac:dyDescent="0.3">
      <c r="A1140" t="s">
        <v>711</v>
      </c>
      <c r="B1140">
        <v>20230515015</v>
      </c>
      <c r="C1140" s="7">
        <v>45061</v>
      </c>
      <c r="D1140" s="8">
        <v>33750</v>
      </c>
      <c r="E1140" s="8"/>
      <c r="F1140" s="8"/>
    </row>
    <row r="1141" spans="1:6" x14ac:dyDescent="0.3">
      <c r="A1141" t="s">
        <v>712</v>
      </c>
      <c r="B1141">
        <v>680047</v>
      </c>
      <c r="C1141" s="7">
        <v>45672</v>
      </c>
      <c r="D1141" s="8">
        <v>2064</v>
      </c>
      <c r="E1141" s="8"/>
      <c r="F1141" s="8"/>
    </row>
    <row r="1142" spans="1:6" x14ac:dyDescent="0.3">
      <c r="A1142" t="s">
        <v>712</v>
      </c>
      <c r="B1142" s="4" t="s">
        <v>87</v>
      </c>
      <c r="C1142" s="7">
        <v>45806</v>
      </c>
      <c r="D1142" s="8">
        <v>-6350.4</v>
      </c>
      <c r="E1142" s="8"/>
      <c r="F1142" s="8"/>
    </row>
    <row r="1143" spans="1:6" x14ac:dyDescent="0.3">
      <c r="A1143" t="s">
        <v>712</v>
      </c>
      <c r="B1143" s="4" t="s">
        <v>87</v>
      </c>
      <c r="C1143" s="7">
        <v>45806</v>
      </c>
      <c r="D1143" s="8">
        <v>-2440.8000000000002</v>
      </c>
      <c r="E1143" s="8"/>
      <c r="F1143" s="8"/>
    </row>
    <row r="1144" spans="1:6" x14ac:dyDescent="0.3">
      <c r="A1144" t="s">
        <v>712</v>
      </c>
      <c r="B1144">
        <v>20250630</v>
      </c>
      <c r="C1144" s="7">
        <v>45838</v>
      </c>
      <c r="D1144" s="8">
        <v>3008.32</v>
      </c>
      <c r="E1144" s="8"/>
      <c r="F1144" s="8"/>
    </row>
    <row r="1145" spans="1:6" x14ac:dyDescent="0.3">
      <c r="A1145" t="s">
        <v>712</v>
      </c>
      <c r="B1145" s="4" t="s">
        <v>713</v>
      </c>
      <c r="C1145" s="7">
        <v>45838</v>
      </c>
      <c r="D1145" s="8">
        <v>23819.040000000001</v>
      </c>
      <c r="E1145" s="8"/>
      <c r="F1145" s="8"/>
    </row>
    <row r="1146" spans="1:6" x14ac:dyDescent="0.3">
      <c r="A1146" t="s">
        <v>714</v>
      </c>
      <c r="B1146">
        <v>14594728</v>
      </c>
      <c r="C1146" s="7">
        <v>45279</v>
      </c>
      <c r="D1146" s="8">
        <v>7569.67</v>
      </c>
      <c r="E1146" s="8"/>
      <c r="F1146" s="8"/>
    </row>
    <row r="1147" spans="1:6" x14ac:dyDescent="0.3">
      <c r="A1147" t="s">
        <v>714</v>
      </c>
      <c r="B1147" s="13" t="s">
        <v>715</v>
      </c>
      <c r="C1147" s="7">
        <v>45821</v>
      </c>
      <c r="D1147" s="8">
        <v>-1026.1400000000001</v>
      </c>
      <c r="E1147" s="8"/>
      <c r="F1147" s="8"/>
    </row>
    <row r="1148" spans="1:6" x14ac:dyDescent="0.3">
      <c r="A1148" t="s">
        <v>716</v>
      </c>
      <c r="B1148" s="4" t="s">
        <v>717</v>
      </c>
      <c r="C1148" s="7">
        <v>45505</v>
      </c>
      <c r="D1148" s="8">
        <v>1092.6099999999999</v>
      </c>
      <c r="E1148" s="8"/>
      <c r="F1148" s="8"/>
    </row>
    <row r="1149" spans="1:6" x14ac:dyDescent="0.3">
      <c r="A1149" t="s">
        <v>716</v>
      </c>
      <c r="B1149" s="4" t="s">
        <v>717</v>
      </c>
      <c r="C1149" s="7">
        <v>45505</v>
      </c>
      <c r="D1149" s="8">
        <v>1697.58</v>
      </c>
      <c r="E1149" s="8"/>
      <c r="F1149" s="8"/>
    </row>
    <row r="1150" spans="1:6" x14ac:dyDescent="0.3">
      <c r="A1150" t="s">
        <v>716</v>
      </c>
      <c r="B1150" s="4" t="s">
        <v>718</v>
      </c>
      <c r="C1150" s="7">
        <v>45566</v>
      </c>
      <c r="D1150" s="8">
        <v>0.14000000000000001</v>
      </c>
      <c r="E1150" s="8"/>
      <c r="F1150" s="8"/>
    </row>
    <row r="1151" spans="1:6" x14ac:dyDescent="0.3">
      <c r="A1151" t="s">
        <v>716</v>
      </c>
      <c r="B1151" s="4" t="s">
        <v>719</v>
      </c>
      <c r="C1151" s="7">
        <v>45608</v>
      </c>
      <c r="D1151" s="8">
        <v>924.6</v>
      </c>
      <c r="E1151" s="8"/>
      <c r="F1151" s="8"/>
    </row>
    <row r="1152" spans="1:6" x14ac:dyDescent="0.3">
      <c r="A1152" t="s">
        <v>716</v>
      </c>
      <c r="B1152" s="4" t="s">
        <v>720</v>
      </c>
      <c r="C1152" s="7">
        <v>45630</v>
      </c>
      <c r="D1152" s="8">
        <v>1174.08</v>
      </c>
      <c r="E1152" s="8"/>
      <c r="F1152" s="8"/>
    </row>
    <row r="1153" spans="1:6" x14ac:dyDescent="0.3">
      <c r="A1153" t="s">
        <v>716</v>
      </c>
      <c r="B1153" s="4" t="s">
        <v>720</v>
      </c>
      <c r="C1153" s="7">
        <v>45630</v>
      </c>
      <c r="D1153" s="8">
        <v>3769.29</v>
      </c>
      <c r="E1153" s="8"/>
      <c r="F1153" s="8"/>
    </row>
    <row r="1154" spans="1:6" x14ac:dyDescent="0.3">
      <c r="A1154" t="s">
        <v>716</v>
      </c>
      <c r="B1154" s="4" t="s">
        <v>720</v>
      </c>
      <c r="C1154" s="7">
        <v>45630</v>
      </c>
      <c r="D1154" s="8">
        <v>5333.33</v>
      </c>
      <c r="E1154" s="8"/>
      <c r="F1154" s="8"/>
    </row>
    <row r="1155" spans="1:6" x14ac:dyDescent="0.3">
      <c r="A1155" t="s">
        <v>716</v>
      </c>
      <c r="B1155" s="4" t="s">
        <v>721</v>
      </c>
      <c r="C1155" s="7">
        <v>45665</v>
      </c>
      <c r="D1155" s="8">
        <v>346.32</v>
      </c>
      <c r="E1155" s="8"/>
      <c r="F1155" s="8"/>
    </row>
    <row r="1156" spans="1:6" x14ac:dyDescent="0.3">
      <c r="A1156" t="s">
        <v>716</v>
      </c>
      <c r="B1156" s="4" t="s">
        <v>721</v>
      </c>
      <c r="C1156" s="7">
        <v>45665</v>
      </c>
      <c r="D1156" s="8">
        <v>6350.4</v>
      </c>
      <c r="E1156" s="8"/>
      <c r="F1156" s="8"/>
    </row>
    <row r="1157" spans="1:6" x14ac:dyDescent="0.3">
      <c r="A1157" t="s">
        <v>716</v>
      </c>
      <c r="B1157" s="4" t="s">
        <v>721</v>
      </c>
      <c r="C1157" s="7">
        <v>45665</v>
      </c>
      <c r="D1157" s="8">
        <v>371.07</v>
      </c>
      <c r="E1157" s="8"/>
      <c r="F1157" s="8"/>
    </row>
    <row r="1158" spans="1:6" x14ac:dyDescent="0.3">
      <c r="A1158" t="s">
        <v>716</v>
      </c>
      <c r="B1158" s="4" t="s">
        <v>721</v>
      </c>
      <c r="C1158" s="7">
        <v>45665</v>
      </c>
      <c r="D1158" s="8">
        <v>6649.38</v>
      </c>
      <c r="E1158" s="8"/>
      <c r="F1158" s="8"/>
    </row>
    <row r="1159" spans="1:6" x14ac:dyDescent="0.3">
      <c r="A1159" t="s">
        <v>716</v>
      </c>
      <c r="B1159" s="4" t="s">
        <v>722</v>
      </c>
      <c r="C1159" s="7">
        <v>45671</v>
      </c>
      <c r="D1159" s="8">
        <v>2627.34</v>
      </c>
      <c r="E1159" s="8"/>
      <c r="F1159" s="8"/>
    </row>
    <row r="1160" spans="1:6" x14ac:dyDescent="0.3">
      <c r="A1160" t="s">
        <v>716</v>
      </c>
      <c r="B1160" s="4" t="s">
        <v>722</v>
      </c>
      <c r="C1160" s="7">
        <v>45671</v>
      </c>
      <c r="D1160" s="8">
        <v>9132.48</v>
      </c>
      <c r="E1160" s="8"/>
      <c r="F1160" s="8"/>
    </row>
    <row r="1161" spans="1:6" x14ac:dyDescent="0.3">
      <c r="A1161" t="s">
        <v>716</v>
      </c>
      <c r="B1161" s="4" t="s">
        <v>722</v>
      </c>
      <c r="C1161" s="7">
        <v>45671</v>
      </c>
      <c r="D1161" s="8">
        <v>3529.98</v>
      </c>
      <c r="E1161" s="8"/>
      <c r="F1161" s="8"/>
    </row>
    <row r="1162" spans="1:6" x14ac:dyDescent="0.3">
      <c r="A1162" t="s">
        <v>716</v>
      </c>
      <c r="B1162" s="4" t="s">
        <v>722</v>
      </c>
      <c r="C1162" s="7">
        <v>45671</v>
      </c>
      <c r="D1162" s="8">
        <v>4233.6000000000004</v>
      </c>
      <c r="E1162" s="8"/>
      <c r="F1162" s="8"/>
    </row>
    <row r="1163" spans="1:6" x14ac:dyDescent="0.3">
      <c r="A1163" t="s">
        <v>716</v>
      </c>
      <c r="B1163" s="4" t="s">
        <v>723</v>
      </c>
      <c r="C1163" s="7">
        <v>45706</v>
      </c>
      <c r="D1163" s="8">
        <v>924.49</v>
      </c>
      <c r="E1163" s="8"/>
      <c r="F1163" s="8"/>
    </row>
    <row r="1164" spans="1:6" x14ac:dyDescent="0.3">
      <c r="A1164" t="s">
        <v>716</v>
      </c>
      <c r="B1164" s="4" t="s">
        <v>724</v>
      </c>
      <c r="C1164" s="7">
        <v>45709</v>
      </c>
      <c r="D1164" s="8">
        <v>15762.6</v>
      </c>
      <c r="E1164" s="8"/>
      <c r="F1164" s="8"/>
    </row>
    <row r="1165" spans="1:6" x14ac:dyDescent="0.3">
      <c r="A1165" t="s">
        <v>716</v>
      </c>
      <c r="B1165" s="4" t="s">
        <v>724</v>
      </c>
      <c r="C1165" s="7">
        <v>45709</v>
      </c>
      <c r="D1165" s="8">
        <v>1247.4000000000001</v>
      </c>
      <c r="E1165" s="8"/>
      <c r="F1165" s="8"/>
    </row>
    <row r="1166" spans="1:6" x14ac:dyDescent="0.3">
      <c r="A1166" t="s">
        <v>716</v>
      </c>
      <c r="B1166" s="4" t="s">
        <v>725</v>
      </c>
      <c r="C1166" s="7">
        <v>45712</v>
      </c>
      <c r="D1166" s="8">
        <v>1091.3800000000001</v>
      </c>
      <c r="E1166" s="8"/>
      <c r="F1166" s="8"/>
    </row>
    <row r="1167" spans="1:6" x14ac:dyDescent="0.3">
      <c r="A1167" t="s">
        <v>716</v>
      </c>
      <c r="B1167" s="4" t="s">
        <v>725</v>
      </c>
      <c r="C1167" s="7">
        <v>45712</v>
      </c>
      <c r="D1167" s="8">
        <v>985.03</v>
      </c>
      <c r="E1167" s="8"/>
      <c r="F1167" s="8"/>
    </row>
    <row r="1168" spans="1:6" x14ac:dyDescent="0.3">
      <c r="A1168" t="s">
        <v>716</v>
      </c>
      <c r="B1168" s="4" t="s">
        <v>725</v>
      </c>
      <c r="C1168" s="7">
        <v>45712</v>
      </c>
      <c r="D1168" s="8">
        <v>5495.62</v>
      </c>
      <c r="E1168" s="8"/>
      <c r="F1168" s="8"/>
    </row>
    <row r="1169" spans="1:6" x14ac:dyDescent="0.3">
      <c r="A1169" t="s">
        <v>716</v>
      </c>
      <c r="B1169" s="4" t="s">
        <v>726</v>
      </c>
      <c r="C1169" s="7">
        <v>45712</v>
      </c>
      <c r="D1169" s="8">
        <v>12700.8</v>
      </c>
      <c r="E1169" s="8"/>
      <c r="F1169" s="8"/>
    </row>
    <row r="1170" spans="1:6" x14ac:dyDescent="0.3">
      <c r="A1170" t="s">
        <v>716</v>
      </c>
      <c r="B1170" s="4" t="s">
        <v>727</v>
      </c>
      <c r="C1170" s="7">
        <v>45721</v>
      </c>
      <c r="D1170" s="8">
        <v>106.92</v>
      </c>
      <c r="E1170" s="8"/>
      <c r="F1170" s="8"/>
    </row>
    <row r="1171" spans="1:6" x14ac:dyDescent="0.3">
      <c r="A1171" t="s">
        <v>716</v>
      </c>
      <c r="B1171" s="4" t="s">
        <v>728</v>
      </c>
      <c r="C1171" s="7">
        <v>45728</v>
      </c>
      <c r="D1171" s="8">
        <v>2482.3200000000002</v>
      </c>
      <c r="E1171" s="8"/>
      <c r="F1171" s="8"/>
    </row>
    <row r="1172" spans="1:6" x14ac:dyDescent="0.3">
      <c r="A1172" t="s">
        <v>716</v>
      </c>
      <c r="B1172" s="4" t="s">
        <v>729</v>
      </c>
      <c r="C1172" s="7">
        <v>45757</v>
      </c>
      <c r="D1172" s="8">
        <v>3175.2</v>
      </c>
      <c r="E1172" s="8"/>
      <c r="F1172" s="8"/>
    </row>
    <row r="1173" spans="1:6" x14ac:dyDescent="0.3">
      <c r="A1173" t="s">
        <v>716</v>
      </c>
      <c r="B1173" s="4" t="s">
        <v>729</v>
      </c>
      <c r="C1173" s="7">
        <v>45757</v>
      </c>
      <c r="D1173" s="8">
        <v>9525.6</v>
      </c>
      <c r="E1173" s="8"/>
      <c r="F1173" s="8"/>
    </row>
    <row r="1174" spans="1:6" x14ac:dyDescent="0.3">
      <c r="A1174" t="s">
        <v>716</v>
      </c>
      <c r="B1174" s="4" t="s">
        <v>729</v>
      </c>
      <c r="C1174" s="7">
        <v>45757</v>
      </c>
      <c r="D1174" s="8">
        <v>636.85</v>
      </c>
      <c r="E1174" s="8"/>
      <c r="F1174" s="8"/>
    </row>
    <row r="1175" spans="1:6" x14ac:dyDescent="0.3">
      <c r="A1175" t="s">
        <v>716</v>
      </c>
      <c r="B1175" s="4" t="s">
        <v>730</v>
      </c>
      <c r="C1175" s="7">
        <v>45757</v>
      </c>
      <c r="D1175" s="8">
        <v>12171.6</v>
      </c>
      <c r="E1175" s="8"/>
      <c r="F1175" s="8"/>
    </row>
    <row r="1176" spans="1:6" x14ac:dyDescent="0.3">
      <c r="A1176" t="s">
        <v>716</v>
      </c>
      <c r="B1176" s="4" t="s">
        <v>731</v>
      </c>
      <c r="C1176" s="7">
        <v>45785</v>
      </c>
      <c r="D1176" s="8">
        <v>2116.8000000000002</v>
      </c>
      <c r="E1176" s="8"/>
      <c r="F1176" s="8"/>
    </row>
    <row r="1177" spans="1:6" x14ac:dyDescent="0.3">
      <c r="A1177" t="s">
        <v>716</v>
      </c>
      <c r="B1177" s="4" t="s">
        <v>732</v>
      </c>
      <c r="C1177" s="7">
        <v>45796</v>
      </c>
      <c r="D1177" s="8">
        <v>3880.8</v>
      </c>
      <c r="E1177" s="8"/>
      <c r="F1177" s="8"/>
    </row>
    <row r="1178" spans="1:6" x14ac:dyDescent="0.3">
      <c r="A1178" t="s">
        <v>716</v>
      </c>
      <c r="B1178" s="4" t="s">
        <v>732</v>
      </c>
      <c r="C1178" s="7">
        <v>45796</v>
      </c>
      <c r="D1178" s="8">
        <v>2646</v>
      </c>
      <c r="E1178" s="8"/>
      <c r="F1178" s="8"/>
    </row>
    <row r="1179" spans="1:6" x14ac:dyDescent="0.3">
      <c r="A1179" t="s">
        <v>716</v>
      </c>
      <c r="B1179" s="4" t="s">
        <v>733</v>
      </c>
      <c r="C1179" s="7">
        <v>45813</v>
      </c>
      <c r="D1179" s="8">
        <v>13230</v>
      </c>
      <c r="E1179" s="8"/>
      <c r="F1179" s="8"/>
    </row>
    <row r="1180" spans="1:6" x14ac:dyDescent="0.3">
      <c r="A1180" t="s">
        <v>716</v>
      </c>
      <c r="B1180" s="4" t="s">
        <v>734</v>
      </c>
      <c r="C1180" s="7">
        <v>45813</v>
      </c>
      <c r="D1180" s="8">
        <v>13230</v>
      </c>
      <c r="E1180" s="8"/>
      <c r="F1180" s="8"/>
    </row>
    <row r="1181" spans="1:6" x14ac:dyDescent="0.3">
      <c r="A1181" t="s">
        <v>716</v>
      </c>
      <c r="B1181" s="4" t="s">
        <v>735</v>
      </c>
      <c r="C1181" s="7">
        <v>45813</v>
      </c>
      <c r="D1181" s="8">
        <v>8467.2000000000007</v>
      </c>
      <c r="E1181" s="8"/>
      <c r="F1181" s="8"/>
    </row>
    <row r="1182" spans="1:6" x14ac:dyDescent="0.3">
      <c r="A1182" t="s">
        <v>716</v>
      </c>
      <c r="B1182">
        <v>20250630</v>
      </c>
      <c r="C1182" s="7">
        <v>45838</v>
      </c>
      <c r="D1182" s="8">
        <v>456.5</v>
      </c>
      <c r="E1182" s="8"/>
      <c r="F1182" s="8"/>
    </row>
    <row r="1183" spans="1:6" x14ac:dyDescent="0.3">
      <c r="A1183" t="s">
        <v>736</v>
      </c>
      <c r="B1183" s="4" t="s">
        <v>737</v>
      </c>
      <c r="C1183" s="7">
        <v>45658</v>
      </c>
      <c r="D1183" s="8">
        <v>3729.94</v>
      </c>
      <c r="E1183" s="8"/>
      <c r="F1183" s="8"/>
    </row>
    <row r="1184" spans="1:6" x14ac:dyDescent="0.3">
      <c r="A1184" t="s">
        <v>736</v>
      </c>
      <c r="B1184" s="4" t="s">
        <v>738</v>
      </c>
      <c r="C1184" s="7">
        <v>45658</v>
      </c>
      <c r="D1184" s="8">
        <v>7.0000000000000007E-2</v>
      </c>
      <c r="E1184" s="8"/>
      <c r="F1184" s="8"/>
    </row>
    <row r="1185" spans="1:6" x14ac:dyDescent="0.3">
      <c r="A1185" t="s">
        <v>736</v>
      </c>
      <c r="B1185" s="4" t="s">
        <v>739</v>
      </c>
      <c r="C1185" s="7">
        <v>45672</v>
      </c>
      <c r="D1185" s="8">
        <v>0.19</v>
      </c>
      <c r="E1185" s="8"/>
      <c r="F1185" s="8"/>
    </row>
    <row r="1186" spans="1:6" x14ac:dyDescent="0.3">
      <c r="A1186" t="s">
        <v>736</v>
      </c>
      <c r="B1186" s="4" t="s">
        <v>740</v>
      </c>
      <c r="C1186" s="7">
        <v>45689</v>
      </c>
      <c r="D1186" s="8">
        <v>3933.93</v>
      </c>
      <c r="E1186" s="8"/>
      <c r="F1186" s="8"/>
    </row>
    <row r="1187" spans="1:6" x14ac:dyDescent="0.3">
      <c r="A1187" t="s">
        <v>736</v>
      </c>
      <c r="B1187" s="4" t="s">
        <v>741</v>
      </c>
      <c r="C1187" s="7">
        <v>45744</v>
      </c>
      <c r="D1187" s="8">
        <v>19580.88</v>
      </c>
      <c r="E1187" s="8"/>
      <c r="F1187" s="8"/>
    </row>
    <row r="1188" spans="1:6" x14ac:dyDescent="0.3">
      <c r="A1188" t="s">
        <v>736</v>
      </c>
      <c r="B1188" s="4" t="s">
        <v>742</v>
      </c>
      <c r="C1188" s="7">
        <v>45744</v>
      </c>
      <c r="D1188" s="8">
        <v>22480.3</v>
      </c>
      <c r="E1188" s="8"/>
      <c r="F1188" s="8"/>
    </row>
    <row r="1189" spans="1:6" x14ac:dyDescent="0.3">
      <c r="A1189" t="s">
        <v>736</v>
      </c>
      <c r="B1189" s="4" t="s">
        <v>743</v>
      </c>
      <c r="C1189" s="7">
        <v>45744</v>
      </c>
      <c r="D1189" s="8">
        <v>14412.83</v>
      </c>
      <c r="E1189" s="8"/>
      <c r="F1189" s="8"/>
    </row>
    <row r="1190" spans="1:6" x14ac:dyDescent="0.3">
      <c r="A1190" t="s">
        <v>736</v>
      </c>
      <c r="B1190" s="4" t="s">
        <v>744</v>
      </c>
      <c r="C1190" s="7">
        <v>45744</v>
      </c>
      <c r="D1190" s="8">
        <v>534.82000000000005</v>
      </c>
      <c r="E1190" s="8"/>
      <c r="F1190" s="8"/>
    </row>
    <row r="1191" spans="1:6" x14ac:dyDescent="0.3">
      <c r="A1191" t="s">
        <v>736</v>
      </c>
      <c r="B1191" s="4" t="s">
        <v>745</v>
      </c>
      <c r="C1191" s="7">
        <v>45744</v>
      </c>
      <c r="D1191" s="8">
        <v>1324.81</v>
      </c>
      <c r="E1191" s="8"/>
      <c r="F1191" s="8"/>
    </row>
    <row r="1192" spans="1:6" x14ac:dyDescent="0.3">
      <c r="A1192" t="s">
        <v>736</v>
      </c>
      <c r="B1192" s="4" t="s">
        <v>746</v>
      </c>
      <c r="C1192" s="7">
        <v>45754</v>
      </c>
      <c r="D1192" s="8">
        <v>627.03</v>
      </c>
      <c r="E1192" s="8"/>
      <c r="F1192" s="8"/>
    </row>
    <row r="1193" spans="1:6" x14ac:dyDescent="0.3">
      <c r="A1193" t="s">
        <v>736</v>
      </c>
      <c r="B1193" s="4" t="s">
        <v>747</v>
      </c>
      <c r="C1193" s="7">
        <v>45757</v>
      </c>
      <c r="D1193" s="8">
        <v>9332.4</v>
      </c>
      <c r="E1193" s="8"/>
      <c r="F1193" s="8"/>
    </row>
    <row r="1194" spans="1:6" x14ac:dyDescent="0.3">
      <c r="A1194" t="s">
        <v>736</v>
      </c>
      <c r="B1194" s="4" t="s">
        <v>748</v>
      </c>
      <c r="C1194" s="7">
        <v>45757</v>
      </c>
      <c r="D1194" s="8">
        <v>1054.05</v>
      </c>
      <c r="E1194" s="8"/>
      <c r="F1194" s="8"/>
    </row>
    <row r="1195" spans="1:6" x14ac:dyDescent="0.3">
      <c r="A1195" t="s">
        <v>736</v>
      </c>
      <c r="B1195" s="4" t="s">
        <v>749</v>
      </c>
      <c r="C1195" s="7">
        <v>45762</v>
      </c>
      <c r="D1195" s="8">
        <v>6585.59</v>
      </c>
      <c r="E1195" s="8"/>
      <c r="F1195" s="8"/>
    </row>
    <row r="1196" spans="1:6" x14ac:dyDescent="0.3">
      <c r="A1196" t="s">
        <v>736</v>
      </c>
      <c r="B1196" s="4" t="s">
        <v>750</v>
      </c>
      <c r="C1196" s="7">
        <v>45772</v>
      </c>
      <c r="D1196" s="8">
        <v>1572.59</v>
      </c>
      <c r="E1196" s="8"/>
      <c r="F1196" s="8"/>
    </row>
    <row r="1197" spans="1:6" x14ac:dyDescent="0.3">
      <c r="A1197" t="s">
        <v>736</v>
      </c>
      <c r="B1197" s="4" t="s">
        <v>751</v>
      </c>
      <c r="C1197" s="7">
        <v>45776</v>
      </c>
      <c r="D1197" s="8">
        <v>28904.400000000001</v>
      </c>
      <c r="E1197" s="8"/>
      <c r="F1197" s="8"/>
    </row>
    <row r="1198" spans="1:6" x14ac:dyDescent="0.3">
      <c r="A1198" t="s">
        <v>736</v>
      </c>
      <c r="B1198" s="4" t="s">
        <v>752</v>
      </c>
      <c r="C1198" s="7">
        <v>45776</v>
      </c>
      <c r="D1198" s="8">
        <v>4390.92</v>
      </c>
      <c r="E1198" s="8"/>
      <c r="F1198" s="8"/>
    </row>
    <row r="1199" spans="1:6" x14ac:dyDescent="0.3">
      <c r="A1199" t="s">
        <v>736</v>
      </c>
      <c r="B1199" s="4" t="s">
        <v>753</v>
      </c>
      <c r="C1199" s="7">
        <v>45777</v>
      </c>
      <c r="D1199" s="8">
        <v>3914</v>
      </c>
      <c r="E1199" s="8"/>
      <c r="F1199" s="8"/>
    </row>
    <row r="1200" spans="1:6" x14ac:dyDescent="0.3">
      <c r="A1200" t="s">
        <v>736</v>
      </c>
      <c r="B1200" s="4" t="s">
        <v>754</v>
      </c>
      <c r="C1200" s="7">
        <v>45777</v>
      </c>
      <c r="D1200" s="8">
        <v>1777.6</v>
      </c>
      <c r="E1200" s="8"/>
      <c r="F1200" s="8"/>
    </row>
    <row r="1201" spans="1:6" x14ac:dyDescent="0.3">
      <c r="A1201" t="s">
        <v>736</v>
      </c>
      <c r="B1201" s="4" t="s">
        <v>755</v>
      </c>
      <c r="C1201" s="7">
        <v>45784</v>
      </c>
      <c r="D1201" s="8">
        <v>322.01</v>
      </c>
      <c r="E1201" s="8"/>
      <c r="F1201" s="8"/>
    </row>
    <row r="1202" spans="1:6" x14ac:dyDescent="0.3">
      <c r="A1202" t="s">
        <v>736</v>
      </c>
      <c r="B1202" s="4" t="s">
        <v>756</v>
      </c>
      <c r="C1202" s="7">
        <v>45793</v>
      </c>
      <c r="D1202" s="8">
        <v>566.02</v>
      </c>
      <c r="E1202" s="8"/>
      <c r="F1202" s="8"/>
    </row>
    <row r="1203" spans="1:6" x14ac:dyDescent="0.3">
      <c r="A1203" t="s">
        <v>736</v>
      </c>
      <c r="B1203" s="4" t="s">
        <v>757</v>
      </c>
      <c r="C1203" s="7">
        <v>45793</v>
      </c>
      <c r="D1203" s="8">
        <v>2542.5500000000002</v>
      </c>
      <c r="E1203" s="8"/>
      <c r="F1203" s="8"/>
    </row>
    <row r="1204" spans="1:6" x14ac:dyDescent="0.3">
      <c r="A1204" t="s">
        <v>736</v>
      </c>
      <c r="B1204" s="4" t="s">
        <v>758</v>
      </c>
      <c r="C1204" s="7">
        <v>45798</v>
      </c>
      <c r="D1204" s="8">
        <v>28</v>
      </c>
      <c r="E1204" s="8"/>
      <c r="F1204" s="8"/>
    </row>
    <row r="1205" spans="1:6" x14ac:dyDescent="0.3">
      <c r="A1205" t="s">
        <v>736</v>
      </c>
      <c r="B1205" s="4" t="s">
        <v>759</v>
      </c>
      <c r="C1205" s="7">
        <v>45800</v>
      </c>
      <c r="D1205" s="8">
        <v>161.44</v>
      </c>
      <c r="E1205" s="8"/>
      <c r="F1205" s="8"/>
    </row>
    <row r="1206" spans="1:6" x14ac:dyDescent="0.3">
      <c r="A1206" t="s">
        <v>736</v>
      </c>
      <c r="B1206" s="4" t="s">
        <v>336</v>
      </c>
      <c r="C1206" s="7">
        <v>45831</v>
      </c>
      <c r="D1206" s="8">
        <v>-88</v>
      </c>
      <c r="E1206" s="8"/>
      <c r="F1206" s="8"/>
    </row>
    <row r="1207" spans="1:6" x14ac:dyDescent="0.3">
      <c r="A1207" t="s">
        <v>736</v>
      </c>
      <c r="B1207" s="4" t="s">
        <v>760</v>
      </c>
      <c r="C1207" s="7">
        <v>45835</v>
      </c>
      <c r="D1207" s="8">
        <v>22737.33</v>
      </c>
      <c r="E1207" s="8"/>
      <c r="F1207" s="8"/>
    </row>
    <row r="1208" spans="1:6" x14ac:dyDescent="0.3">
      <c r="A1208" t="s">
        <v>736</v>
      </c>
      <c r="B1208" s="4" t="s">
        <v>761</v>
      </c>
      <c r="C1208" s="7">
        <v>45835</v>
      </c>
      <c r="D1208" s="8">
        <v>15360.6</v>
      </c>
      <c r="E1208" s="8"/>
      <c r="F1208" s="8"/>
    </row>
    <row r="1209" spans="1:6" x14ac:dyDescent="0.3">
      <c r="A1209" t="s">
        <v>736</v>
      </c>
      <c r="B1209" s="4" t="s">
        <v>762</v>
      </c>
      <c r="C1209" s="7">
        <v>45838</v>
      </c>
      <c r="D1209" s="8">
        <v>6066.7</v>
      </c>
      <c r="E1209" s="8"/>
      <c r="F1209" s="8"/>
    </row>
    <row r="1210" spans="1:6" x14ac:dyDescent="0.3">
      <c r="A1210" t="s">
        <v>736</v>
      </c>
      <c r="B1210" s="4" t="s">
        <v>763</v>
      </c>
      <c r="C1210" s="7">
        <v>45838</v>
      </c>
      <c r="D1210" s="8">
        <v>19511.21</v>
      </c>
      <c r="E1210" s="8"/>
      <c r="F1210" s="8"/>
    </row>
    <row r="1211" spans="1:6" x14ac:dyDescent="0.3">
      <c r="A1211" t="s">
        <v>764</v>
      </c>
      <c r="B1211">
        <v>6282024</v>
      </c>
      <c r="C1211" s="7">
        <v>45471</v>
      </c>
      <c r="D1211" s="8">
        <v>353.66</v>
      </c>
      <c r="E1211" s="8"/>
      <c r="F1211" s="8"/>
    </row>
    <row r="1212" spans="1:6" x14ac:dyDescent="0.3">
      <c r="A1212" t="s">
        <v>765</v>
      </c>
      <c r="B1212" s="4" t="s">
        <v>766</v>
      </c>
      <c r="C1212" s="7">
        <v>45602</v>
      </c>
      <c r="D1212" s="8">
        <v>-44.04</v>
      </c>
      <c r="E1212" s="8"/>
      <c r="F1212" s="8"/>
    </row>
    <row r="1213" spans="1:6" x14ac:dyDescent="0.3">
      <c r="A1213" t="s">
        <v>765</v>
      </c>
      <c r="B1213" s="4" t="s">
        <v>767</v>
      </c>
      <c r="C1213" s="7">
        <v>45750</v>
      </c>
      <c r="D1213" s="8">
        <v>-1220.47</v>
      </c>
      <c r="E1213" s="8"/>
      <c r="F1213" s="8"/>
    </row>
    <row r="1214" spans="1:6" x14ac:dyDescent="0.3">
      <c r="A1214" t="s">
        <v>765</v>
      </c>
      <c r="B1214" s="13" t="s">
        <v>768</v>
      </c>
      <c r="C1214" s="7">
        <v>45756</v>
      </c>
      <c r="D1214" s="8">
        <v>-1146.53</v>
      </c>
      <c r="E1214" s="8"/>
      <c r="F1214" s="8"/>
    </row>
    <row r="1215" spans="1:6" x14ac:dyDescent="0.3">
      <c r="A1215" t="s">
        <v>765</v>
      </c>
      <c r="B1215" s="4" t="s">
        <v>769</v>
      </c>
      <c r="C1215" s="7">
        <v>45790</v>
      </c>
      <c r="D1215" s="8">
        <v>-532.70000000000005</v>
      </c>
      <c r="E1215" s="8"/>
      <c r="F1215" s="8"/>
    </row>
    <row r="1216" spans="1:6" x14ac:dyDescent="0.3">
      <c r="A1216" t="s">
        <v>765</v>
      </c>
      <c r="B1216" s="4" t="s">
        <v>770</v>
      </c>
      <c r="C1216" s="7">
        <v>45812</v>
      </c>
      <c r="D1216" s="8">
        <v>-578.51</v>
      </c>
      <c r="E1216" s="8"/>
      <c r="F1216" s="8"/>
    </row>
    <row r="1217" spans="1:6" x14ac:dyDescent="0.3">
      <c r="A1217" t="s">
        <v>765</v>
      </c>
      <c r="B1217" s="4" t="s">
        <v>771</v>
      </c>
      <c r="C1217" s="7">
        <v>45817</v>
      </c>
      <c r="D1217" s="8">
        <v>-533.44000000000005</v>
      </c>
      <c r="E1217" s="8"/>
      <c r="F1217" s="8"/>
    </row>
    <row r="1218" spans="1:6" x14ac:dyDescent="0.3">
      <c r="A1218" t="s">
        <v>772</v>
      </c>
      <c r="B1218" s="13" t="s">
        <v>773</v>
      </c>
      <c r="C1218" s="7">
        <v>45769</v>
      </c>
      <c r="D1218" s="8">
        <v>-2668.07</v>
      </c>
      <c r="E1218" s="8"/>
      <c r="F1218" s="8"/>
    </row>
    <row r="1219" spans="1:6" x14ac:dyDescent="0.3">
      <c r="A1219" t="s">
        <v>772</v>
      </c>
      <c r="B1219" s="13" t="s">
        <v>774</v>
      </c>
      <c r="C1219" s="7">
        <v>45788</v>
      </c>
      <c r="D1219" s="8">
        <v>-1104.19</v>
      </c>
      <c r="E1219" s="8"/>
      <c r="F1219" s="8"/>
    </row>
    <row r="1220" spans="1:6" x14ac:dyDescent="0.3">
      <c r="A1220" t="s">
        <v>775</v>
      </c>
      <c r="B1220" s="4" t="s">
        <v>776</v>
      </c>
      <c r="C1220" s="7">
        <v>45828</v>
      </c>
      <c r="D1220" s="8">
        <v>689</v>
      </c>
      <c r="E1220" s="8"/>
      <c r="F1220" s="8"/>
    </row>
    <row r="1221" spans="1:6" x14ac:dyDescent="0.3">
      <c r="A1221" t="s">
        <v>777</v>
      </c>
      <c r="B1221" s="4" t="s">
        <v>778</v>
      </c>
      <c r="C1221" s="7">
        <v>45622</v>
      </c>
      <c r="D1221" s="8">
        <v>-8993.4599999999991</v>
      </c>
      <c r="E1221" s="8"/>
      <c r="F1221" s="8"/>
    </row>
    <row r="1222" spans="1:6" x14ac:dyDescent="0.3">
      <c r="A1222" t="s">
        <v>779</v>
      </c>
      <c r="B1222">
        <v>110514</v>
      </c>
      <c r="C1222" s="7">
        <v>45733</v>
      </c>
      <c r="D1222" s="8">
        <v>250</v>
      </c>
      <c r="E1222" s="8"/>
      <c r="F1222" s="8"/>
    </row>
    <row r="1223" spans="1:6" x14ac:dyDescent="0.3">
      <c r="A1223" t="s">
        <v>780</v>
      </c>
      <c r="B1223" s="13" t="s">
        <v>781</v>
      </c>
      <c r="C1223" s="7">
        <v>45401</v>
      </c>
      <c r="D1223" s="8">
        <v>-3986.78</v>
      </c>
      <c r="E1223" s="8"/>
      <c r="F1223" s="8"/>
    </row>
    <row r="1224" spans="1:6" x14ac:dyDescent="0.3">
      <c r="A1224" t="s">
        <v>782</v>
      </c>
      <c r="B1224" s="4" t="s">
        <v>783</v>
      </c>
      <c r="C1224" s="7">
        <v>45420</v>
      </c>
      <c r="D1224" s="8">
        <v>0.1</v>
      </c>
      <c r="E1224" s="8"/>
      <c r="F1224" s="8"/>
    </row>
    <row r="1225" spans="1:6" x14ac:dyDescent="0.3">
      <c r="A1225" t="s">
        <v>782</v>
      </c>
      <c r="B1225" s="15" t="s">
        <v>784</v>
      </c>
      <c r="C1225" s="7">
        <v>45603</v>
      </c>
      <c r="D1225" s="8">
        <v>-0.1</v>
      </c>
      <c r="E1225" s="8"/>
      <c r="F1225" s="8"/>
    </row>
    <row r="1226" spans="1:6" x14ac:dyDescent="0.3">
      <c r="A1226" t="s">
        <v>782</v>
      </c>
      <c r="B1226" s="4" t="s">
        <v>785</v>
      </c>
      <c r="C1226" s="7">
        <v>45740</v>
      </c>
      <c r="D1226" s="8">
        <v>2397.6</v>
      </c>
      <c r="E1226" s="8"/>
      <c r="F1226" s="8"/>
    </row>
    <row r="1227" spans="1:6" x14ac:dyDescent="0.3">
      <c r="A1227" t="s">
        <v>786</v>
      </c>
      <c r="B1227" s="4" t="s">
        <v>787</v>
      </c>
      <c r="C1227" s="7">
        <v>45632</v>
      </c>
      <c r="D1227" s="8">
        <v>330</v>
      </c>
      <c r="E1227" s="8"/>
      <c r="F1227" s="8"/>
    </row>
    <row r="1228" spans="1:6" x14ac:dyDescent="0.3">
      <c r="A1228" t="s">
        <v>788</v>
      </c>
      <c r="B1228" s="4" t="s">
        <v>789</v>
      </c>
      <c r="C1228" s="7">
        <v>45644</v>
      </c>
      <c r="D1228" s="8">
        <v>-210</v>
      </c>
      <c r="E1228" s="8"/>
      <c r="F1228" s="8"/>
    </row>
    <row r="1229" spans="1:6" x14ac:dyDescent="0.3">
      <c r="A1229" t="s">
        <v>790</v>
      </c>
      <c r="B1229" s="4" t="s">
        <v>654</v>
      </c>
      <c r="C1229" s="7">
        <v>45818</v>
      </c>
      <c r="D1229" s="8">
        <v>-18334.150000000001</v>
      </c>
      <c r="E1229" s="8"/>
      <c r="F1229" s="8"/>
    </row>
    <row r="1230" spans="1:6" x14ac:dyDescent="0.3">
      <c r="A1230" t="s">
        <v>791</v>
      </c>
      <c r="B1230" s="4" t="s">
        <v>792</v>
      </c>
      <c r="C1230" s="7">
        <v>45814</v>
      </c>
      <c r="D1230" s="8">
        <v>-3410</v>
      </c>
      <c r="E1230" s="8"/>
      <c r="F1230" s="8"/>
    </row>
    <row r="1231" spans="1:6" x14ac:dyDescent="0.3">
      <c r="A1231" t="s">
        <v>793</v>
      </c>
      <c r="B1231">
        <v>4</v>
      </c>
      <c r="C1231" s="7">
        <v>45314</v>
      </c>
      <c r="D1231" s="8">
        <v>893.72</v>
      </c>
      <c r="E1231" s="8"/>
      <c r="F1231" s="8"/>
    </row>
    <row r="1232" spans="1:6" x14ac:dyDescent="0.3">
      <c r="A1232" t="s">
        <v>793</v>
      </c>
      <c r="B1232">
        <v>4</v>
      </c>
      <c r="C1232" s="7">
        <v>45314</v>
      </c>
      <c r="D1232" s="8">
        <v>1129.95</v>
      </c>
      <c r="E1232" s="8"/>
      <c r="F1232" s="8"/>
    </row>
    <row r="1233" spans="1:6" x14ac:dyDescent="0.3">
      <c r="A1233" t="s">
        <v>793</v>
      </c>
      <c r="B1233">
        <v>6</v>
      </c>
      <c r="C1233" s="7">
        <v>45329</v>
      </c>
      <c r="D1233" s="8">
        <v>4339.51</v>
      </c>
      <c r="E1233" s="8"/>
      <c r="F1233" s="8"/>
    </row>
    <row r="1234" spans="1:6" x14ac:dyDescent="0.3">
      <c r="A1234" t="s">
        <v>793</v>
      </c>
      <c r="B1234" s="4" t="s">
        <v>794</v>
      </c>
      <c r="C1234" s="7">
        <v>45329</v>
      </c>
      <c r="D1234" s="8">
        <v>-52670.48</v>
      </c>
      <c r="E1234" s="8"/>
      <c r="F1234" s="8"/>
    </row>
    <row r="1235" spans="1:6" x14ac:dyDescent="0.3">
      <c r="A1235" t="s">
        <v>793</v>
      </c>
      <c r="B1235" s="4" t="s">
        <v>795</v>
      </c>
      <c r="C1235" s="7">
        <v>45337</v>
      </c>
      <c r="D1235" s="8">
        <v>-6000</v>
      </c>
      <c r="E1235" s="8"/>
      <c r="F1235" s="8"/>
    </row>
    <row r="1236" spans="1:6" x14ac:dyDescent="0.3">
      <c r="A1236" t="s">
        <v>793</v>
      </c>
      <c r="B1236">
        <v>10</v>
      </c>
      <c r="C1236" s="7">
        <v>45338</v>
      </c>
      <c r="D1236" s="8">
        <v>552.85</v>
      </c>
      <c r="E1236" s="8"/>
      <c r="F1236" s="8"/>
    </row>
    <row r="1237" spans="1:6" x14ac:dyDescent="0.3">
      <c r="A1237" t="s">
        <v>793</v>
      </c>
      <c r="B1237">
        <v>19</v>
      </c>
      <c r="C1237" s="7">
        <v>45386</v>
      </c>
      <c r="D1237" s="8">
        <v>996.61</v>
      </c>
      <c r="E1237" s="8"/>
      <c r="F1237" s="8"/>
    </row>
    <row r="1238" spans="1:6" x14ac:dyDescent="0.3">
      <c r="A1238" t="s">
        <v>793</v>
      </c>
      <c r="B1238">
        <v>30</v>
      </c>
      <c r="C1238" s="7">
        <v>45440</v>
      </c>
      <c r="D1238" s="8">
        <v>1154.98</v>
      </c>
      <c r="E1238" s="8"/>
      <c r="F1238" s="8"/>
    </row>
    <row r="1239" spans="1:6" x14ac:dyDescent="0.3">
      <c r="A1239" t="s">
        <v>793</v>
      </c>
      <c r="B1239">
        <v>26</v>
      </c>
      <c r="C1239" s="7">
        <v>45442</v>
      </c>
      <c r="D1239" s="8">
        <v>859.1</v>
      </c>
      <c r="E1239" s="8"/>
      <c r="F1239" s="8"/>
    </row>
    <row r="1240" spans="1:6" x14ac:dyDescent="0.3">
      <c r="A1240" t="s">
        <v>793</v>
      </c>
      <c r="B1240">
        <v>27</v>
      </c>
      <c r="C1240" s="7">
        <v>45443</v>
      </c>
      <c r="D1240" s="8">
        <v>1139.03</v>
      </c>
      <c r="E1240" s="8"/>
      <c r="F1240" s="8"/>
    </row>
    <row r="1241" spans="1:6" x14ac:dyDescent="0.3">
      <c r="A1241" t="s">
        <v>793</v>
      </c>
      <c r="B1241">
        <v>28</v>
      </c>
      <c r="C1241" s="7">
        <v>45447</v>
      </c>
      <c r="D1241" s="8">
        <v>859.1</v>
      </c>
      <c r="E1241" s="8"/>
      <c r="F1241" s="8"/>
    </row>
    <row r="1242" spans="1:6" x14ac:dyDescent="0.3">
      <c r="A1242" t="s">
        <v>793</v>
      </c>
      <c r="B1242" s="4" t="s">
        <v>796</v>
      </c>
      <c r="C1242" s="7">
        <v>45457</v>
      </c>
      <c r="D1242" s="8">
        <v>-12654.21</v>
      </c>
      <c r="E1242" s="8"/>
      <c r="F1242" s="8"/>
    </row>
    <row r="1243" spans="1:6" x14ac:dyDescent="0.3">
      <c r="A1243" t="s">
        <v>793</v>
      </c>
      <c r="B1243">
        <v>63</v>
      </c>
      <c r="C1243" s="7">
        <v>45463</v>
      </c>
      <c r="D1243" s="8">
        <v>3732.34</v>
      </c>
      <c r="E1243" s="8"/>
      <c r="F1243" s="8"/>
    </row>
    <row r="1244" spans="1:6" x14ac:dyDescent="0.3">
      <c r="A1244" t="s">
        <v>793</v>
      </c>
      <c r="B1244" s="4" t="s">
        <v>797</v>
      </c>
      <c r="C1244" s="7">
        <v>45483</v>
      </c>
      <c r="D1244" s="8">
        <v>-13403</v>
      </c>
      <c r="E1244" s="8"/>
      <c r="F1244" s="8"/>
    </row>
    <row r="1245" spans="1:6" x14ac:dyDescent="0.3">
      <c r="A1245" t="s">
        <v>793</v>
      </c>
      <c r="B1245" s="4" t="s">
        <v>797</v>
      </c>
      <c r="C1245" s="7">
        <v>45483</v>
      </c>
      <c r="D1245" s="8">
        <v>-45313</v>
      </c>
      <c r="E1245" s="8"/>
      <c r="F1245" s="8"/>
    </row>
    <row r="1246" spans="1:6" x14ac:dyDescent="0.3">
      <c r="A1246" t="s">
        <v>793</v>
      </c>
      <c r="B1246" s="4" t="s">
        <v>797</v>
      </c>
      <c r="C1246" s="7">
        <v>45483</v>
      </c>
      <c r="D1246" s="8">
        <v>-20851.09</v>
      </c>
      <c r="E1246" s="8"/>
      <c r="F1246" s="8"/>
    </row>
    <row r="1247" spans="1:6" x14ac:dyDescent="0.3">
      <c r="A1247" t="s">
        <v>793</v>
      </c>
      <c r="B1247" s="4" t="s">
        <v>798</v>
      </c>
      <c r="C1247" s="7">
        <v>45492</v>
      </c>
      <c r="D1247" s="8">
        <v>-81745.990000000005</v>
      </c>
      <c r="E1247" s="8"/>
      <c r="F1247" s="8"/>
    </row>
    <row r="1248" spans="1:6" x14ac:dyDescent="0.3">
      <c r="A1248" t="s">
        <v>793</v>
      </c>
      <c r="B1248" s="4" t="s">
        <v>798</v>
      </c>
      <c r="C1248" s="7">
        <v>45492</v>
      </c>
      <c r="D1248" s="8">
        <v>-26402.52</v>
      </c>
      <c r="E1248" s="8"/>
      <c r="F1248" s="8"/>
    </row>
    <row r="1249" spans="1:6" x14ac:dyDescent="0.3">
      <c r="A1249" t="s">
        <v>793</v>
      </c>
      <c r="B1249" s="4" t="s">
        <v>798</v>
      </c>
      <c r="C1249" s="7">
        <v>45492</v>
      </c>
      <c r="D1249" s="8">
        <v>-16973.2</v>
      </c>
      <c r="E1249" s="8"/>
      <c r="F1249" s="8"/>
    </row>
    <row r="1250" spans="1:6" x14ac:dyDescent="0.3">
      <c r="A1250" t="s">
        <v>793</v>
      </c>
      <c r="B1250" s="13" t="s">
        <v>799</v>
      </c>
      <c r="C1250" s="7">
        <v>45505</v>
      </c>
      <c r="D1250" s="8">
        <v>-33.19</v>
      </c>
      <c r="E1250" s="8"/>
      <c r="F1250" s="8"/>
    </row>
    <row r="1251" spans="1:6" x14ac:dyDescent="0.3">
      <c r="A1251" t="s">
        <v>793</v>
      </c>
      <c r="B1251" s="4" t="s">
        <v>800</v>
      </c>
      <c r="C1251" s="7">
        <v>45555</v>
      </c>
      <c r="D1251" s="8">
        <v>-10537.96</v>
      </c>
      <c r="E1251" s="8"/>
      <c r="F1251" s="8"/>
    </row>
    <row r="1252" spans="1:6" x14ac:dyDescent="0.3">
      <c r="A1252" t="s">
        <v>793</v>
      </c>
      <c r="B1252">
        <v>48</v>
      </c>
      <c r="C1252" s="7">
        <v>45560</v>
      </c>
      <c r="D1252" s="8">
        <v>3561.6</v>
      </c>
      <c r="E1252" s="8"/>
      <c r="F1252" s="8"/>
    </row>
    <row r="1253" spans="1:6" x14ac:dyDescent="0.3">
      <c r="A1253" t="s">
        <v>793</v>
      </c>
      <c r="B1253">
        <v>68</v>
      </c>
      <c r="C1253" s="7">
        <v>45601</v>
      </c>
      <c r="D1253" s="8">
        <v>7500</v>
      </c>
      <c r="E1253" s="8"/>
      <c r="F1253" s="8"/>
    </row>
    <row r="1254" spans="1:6" x14ac:dyDescent="0.3">
      <c r="A1254" t="s">
        <v>793</v>
      </c>
      <c r="B1254">
        <v>73</v>
      </c>
      <c r="C1254" s="7">
        <v>45618</v>
      </c>
      <c r="D1254" s="8">
        <v>2811</v>
      </c>
      <c r="E1254" s="8"/>
      <c r="F1254" s="8"/>
    </row>
    <row r="1255" spans="1:6" x14ac:dyDescent="0.3">
      <c r="A1255" t="s">
        <v>793</v>
      </c>
      <c r="B1255">
        <v>81</v>
      </c>
      <c r="C1255" s="7">
        <v>45645</v>
      </c>
      <c r="D1255" s="8">
        <v>1558.38</v>
      </c>
      <c r="E1255" s="8"/>
      <c r="F1255" s="8"/>
    </row>
    <row r="1256" spans="1:6" x14ac:dyDescent="0.3">
      <c r="A1256" t="s">
        <v>793</v>
      </c>
      <c r="B1256">
        <v>7</v>
      </c>
      <c r="C1256" s="7">
        <v>45729</v>
      </c>
      <c r="D1256" s="8">
        <v>3304.43</v>
      </c>
      <c r="E1256" s="8"/>
      <c r="F1256" s="8"/>
    </row>
    <row r="1257" spans="1:6" x14ac:dyDescent="0.3">
      <c r="A1257" t="s">
        <v>793</v>
      </c>
      <c r="B1257">
        <v>9</v>
      </c>
      <c r="C1257" s="7">
        <v>45730</v>
      </c>
      <c r="D1257" s="8">
        <v>800</v>
      </c>
      <c r="E1257" s="8"/>
      <c r="F1257" s="8"/>
    </row>
    <row r="1258" spans="1:6" x14ac:dyDescent="0.3">
      <c r="A1258" t="s">
        <v>793</v>
      </c>
      <c r="B1258" s="4" t="s">
        <v>801</v>
      </c>
      <c r="C1258" s="7">
        <v>45838</v>
      </c>
      <c r="D1258" s="8">
        <v>554.29</v>
      </c>
      <c r="E1258" s="8"/>
      <c r="F1258" s="8"/>
    </row>
    <row r="1259" spans="1:6" x14ac:dyDescent="0.3">
      <c r="A1259" t="s">
        <v>793</v>
      </c>
      <c r="B1259" s="4" t="s">
        <v>802</v>
      </c>
      <c r="C1259" s="7">
        <v>45838</v>
      </c>
      <c r="D1259" s="8">
        <v>373.7</v>
      </c>
      <c r="E1259" s="8"/>
      <c r="F1259" s="8"/>
    </row>
    <row r="1260" spans="1:6" x14ac:dyDescent="0.3">
      <c r="A1260" t="s">
        <v>803</v>
      </c>
      <c r="B1260" s="4" t="s">
        <v>804</v>
      </c>
      <c r="C1260" s="7">
        <v>45450</v>
      </c>
      <c r="D1260" s="8">
        <v>-25.9</v>
      </c>
      <c r="E1260" s="8"/>
      <c r="F1260" s="8"/>
    </row>
    <row r="1261" spans="1:6" x14ac:dyDescent="0.3">
      <c r="A1261" t="s">
        <v>803</v>
      </c>
      <c r="B1261" s="4" t="s">
        <v>805</v>
      </c>
      <c r="C1261" s="7">
        <v>45455</v>
      </c>
      <c r="D1261" s="8">
        <v>-55.7</v>
      </c>
      <c r="E1261" s="8"/>
      <c r="F1261" s="8"/>
    </row>
    <row r="1262" spans="1:6" x14ac:dyDescent="0.3">
      <c r="A1262" t="s">
        <v>806</v>
      </c>
      <c r="B1262">
        <v>25040097</v>
      </c>
      <c r="C1262" s="7">
        <v>45810</v>
      </c>
      <c r="D1262" s="8">
        <v>51.5</v>
      </c>
      <c r="E1262" s="8"/>
      <c r="F1262" s="8"/>
    </row>
    <row r="1263" spans="1:6" x14ac:dyDescent="0.3">
      <c r="A1263" t="s">
        <v>807</v>
      </c>
      <c r="B1263" s="4" t="s">
        <v>18</v>
      </c>
      <c r="C1263" s="7">
        <v>45609</v>
      </c>
      <c r="D1263" s="8">
        <v>-3221.76</v>
      </c>
      <c r="E1263" s="8"/>
      <c r="F1263" s="8"/>
    </row>
    <row r="1264" spans="1:6" x14ac:dyDescent="0.3">
      <c r="A1264" t="s">
        <v>807</v>
      </c>
      <c r="B1264" s="4" t="s">
        <v>808</v>
      </c>
      <c r="C1264" s="7">
        <v>45700</v>
      </c>
      <c r="D1264" s="8">
        <v>-3110.12</v>
      </c>
      <c r="E1264" s="8"/>
      <c r="F1264" s="8"/>
    </row>
    <row r="1265" spans="1:6" x14ac:dyDescent="0.3">
      <c r="A1265" t="s">
        <v>807</v>
      </c>
      <c r="B1265">
        <v>23</v>
      </c>
      <c r="C1265" s="7">
        <v>45800</v>
      </c>
      <c r="D1265" s="8">
        <v>-3650.96</v>
      </c>
      <c r="E1265" s="8"/>
      <c r="F1265" s="8"/>
    </row>
    <row r="1266" spans="1:6" x14ac:dyDescent="0.3">
      <c r="A1266" t="s">
        <v>809</v>
      </c>
      <c r="B1266" s="13" t="s">
        <v>810</v>
      </c>
      <c r="C1266" s="7">
        <v>45792</v>
      </c>
      <c r="D1266" s="8">
        <v>-3949.02</v>
      </c>
      <c r="E1266" s="8"/>
      <c r="F1266" s="8"/>
    </row>
    <row r="1267" spans="1:6" x14ac:dyDescent="0.3">
      <c r="A1267" t="s">
        <v>809</v>
      </c>
      <c r="B1267">
        <v>664</v>
      </c>
      <c r="C1267" s="7">
        <v>45834</v>
      </c>
      <c r="D1267" s="8">
        <v>-858.8</v>
      </c>
      <c r="E1267" s="8"/>
      <c r="F1267" s="8"/>
    </row>
    <row r="1268" spans="1:6" x14ac:dyDescent="0.3">
      <c r="A1268" t="s">
        <v>811</v>
      </c>
      <c r="B1268">
        <v>210</v>
      </c>
      <c r="C1268" s="7">
        <v>45057</v>
      </c>
      <c r="D1268" s="8">
        <v>21041</v>
      </c>
      <c r="E1268" s="8"/>
      <c r="F1268" s="8"/>
    </row>
    <row r="1269" spans="1:6" x14ac:dyDescent="0.3">
      <c r="A1269" t="s">
        <v>811</v>
      </c>
      <c r="B1269" s="4" t="s">
        <v>812</v>
      </c>
      <c r="C1269" s="7">
        <v>45084</v>
      </c>
      <c r="D1269" s="8">
        <v>45164</v>
      </c>
      <c r="E1269" s="8"/>
      <c r="F1269" s="8"/>
    </row>
    <row r="1270" spans="1:6" x14ac:dyDescent="0.3">
      <c r="A1270" t="s">
        <v>811</v>
      </c>
      <c r="B1270" s="4" t="s">
        <v>813</v>
      </c>
      <c r="C1270" s="7">
        <v>45292</v>
      </c>
      <c r="D1270" s="8">
        <v>844.75</v>
      </c>
      <c r="E1270" s="8"/>
      <c r="F1270" s="8"/>
    </row>
    <row r="1271" spans="1:6" x14ac:dyDescent="0.3">
      <c r="A1271" t="s">
        <v>811</v>
      </c>
      <c r="B1271">
        <v>20240106</v>
      </c>
      <c r="C1271" s="7">
        <v>45296</v>
      </c>
      <c r="D1271" s="8">
        <v>658.35</v>
      </c>
      <c r="E1271" s="8"/>
      <c r="F1271" s="8"/>
    </row>
    <row r="1272" spans="1:6" x14ac:dyDescent="0.3">
      <c r="A1272" t="s">
        <v>814</v>
      </c>
      <c r="B1272" s="4" t="s">
        <v>815</v>
      </c>
      <c r="C1272" s="7">
        <v>44636</v>
      </c>
      <c r="D1272" s="8">
        <v>-177.5</v>
      </c>
      <c r="E1272" s="8"/>
      <c r="F1272" s="8"/>
    </row>
    <row r="1273" spans="1:6" x14ac:dyDescent="0.3">
      <c r="A1273" t="s">
        <v>814</v>
      </c>
      <c r="B1273" s="4" t="s">
        <v>816</v>
      </c>
      <c r="C1273" s="7">
        <v>44659</v>
      </c>
      <c r="D1273" s="8">
        <v>-5992.38</v>
      </c>
      <c r="E1273" s="8"/>
      <c r="F1273" s="8"/>
    </row>
    <row r="1274" spans="1:6" x14ac:dyDescent="0.3">
      <c r="A1274" t="s">
        <v>814</v>
      </c>
      <c r="B1274" s="4" t="s">
        <v>817</v>
      </c>
      <c r="C1274" s="7">
        <v>44797</v>
      </c>
      <c r="D1274" s="8">
        <v>-10500</v>
      </c>
      <c r="E1274" s="8"/>
      <c r="F1274" s="8"/>
    </row>
    <row r="1275" spans="1:6" x14ac:dyDescent="0.3">
      <c r="A1275" t="s">
        <v>814</v>
      </c>
      <c r="B1275" s="4" t="s">
        <v>818</v>
      </c>
      <c r="C1275" s="7">
        <v>45351</v>
      </c>
      <c r="D1275" s="8">
        <v>-4113.66</v>
      </c>
      <c r="E1275" s="8"/>
      <c r="F1275" s="8"/>
    </row>
    <row r="1276" spans="1:6" x14ac:dyDescent="0.3">
      <c r="A1276" t="s">
        <v>819</v>
      </c>
      <c r="B1276" s="4" t="s">
        <v>87</v>
      </c>
      <c r="C1276" s="7">
        <v>45441</v>
      </c>
      <c r="D1276" s="8">
        <v>-9.16</v>
      </c>
      <c r="E1276" s="8"/>
      <c r="F1276" s="8"/>
    </row>
    <row r="1277" spans="1:6" x14ac:dyDescent="0.3">
      <c r="A1277" t="s">
        <v>819</v>
      </c>
      <c r="B1277" s="4" t="s">
        <v>820</v>
      </c>
      <c r="C1277" s="7">
        <v>45443</v>
      </c>
      <c r="D1277" s="8">
        <v>7685.4</v>
      </c>
      <c r="E1277" s="8"/>
      <c r="F1277" s="8"/>
    </row>
    <row r="1278" spans="1:6" x14ac:dyDescent="0.3">
      <c r="A1278" t="s">
        <v>819</v>
      </c>
      <c r="B1278" s="4" t="s">
        <v>821</v>
      </c>
      <c r="C1278" s="7">
        <v>45483</v>
      </c>
      <c r="D1278" s="8">
        <v>-6064.03</v>
      </c>
      <c r="E1278" s="8"/>
      <c r="F1278" s="8"/>
    </row>
    <row r="1279" spans="1:6" x14ac:dyDescent="0.3">
      <c r="A1279" t="s">
        <v>819</v>
      </c>
      <c r="B1279" s="4" t="s">
        <v>822</v>
      </c>
      <c r="C1279" s="7">
        <v>45578</v>
      </c>
      <c r="D1279" s="8">
        <v>5724.48</v>
      </c>
      <c r="E1279" s="8"/>
      <c r="F1279" s="8"/>
    </row>
    <row r="1280" spans="1:6" x14ac:dyDescent="0.3">
      <c r="A1280" t="s">
        <v>819</v>
      </c>
      <c r="B1280" s="13" t="s">
        <v>823</v>
      </c>
      <c r="C1280" s="7">
        <v>45589</v>
      </c>
      <c r="D1280" s="8">
        <v>-822.86</v>
      </c>
      <c r="E1280" s="8"/>
      <c r="F1280" s="8"/>
    </row>
    <row r="1281" spans="1:6" x14ac:dyDescent="0.3">
      <c r="A1281" t="s">
        <v>819</v>
      </c>
      <c r="B1281" s="4" t="s">
        <v>824</v>
      </c>
      <c r="C1281" s="7">
        <v>45595</v>
      </c>
      <c r="D1281" s="8">
        <v>-4659.12</v>
      </c>
      <c r="E1281" s="8"/>
      <c r="F1281" s="8"/>
    </row>
    <row r="1282" spans="1:6" x14ac:dyDescent="0.3">
      <c r="A1282" t="s">
        <v>819</v>
      </c>
      <c r="B1282" s="4" t="s">
        <v>824</v>
      </c>
      <c r="C1282" s="7">
        <v>45595</v>
      </c>
      <c r="D1282" s="8">
        <v>-1550.7</v>
      </c>
      <c r="E1282" s="8"/>
      <c r="F1282" s="8"/>
    </row>
    <row r="1283" spans="1:6" x14ac:dyDescent="0.3">
      <c r="A1283" t="s">
        <v>819</v>
      </c>
      <c r="B1283" s="4" t="s">
        <v>825</v>
      </c>
      <c r="C1283" s="7">
        <v>45604</v>
      </c>
      <c r="D1283" s="8">
        <v>-8281</v>
      </c>
      <c r="E1283" s="8"/>
      <c r="F1283" s="8"/>
    </row>
    <row r="1284" spans="1:6" x14ac:dyDescent="0.3">
      <c r="A1284" t="s">
        <v>819</v>
      </c>
      <c r="B1284" s="4" t="s">
        <v>825</v>
      </c>
      <c r="C1284" s="7">
        <v>45604</v>
      </c>
      <c r="D1284" s="8">
        <v>-5806.45</v>
      </c>
      <c r="E1284" s="8"/>
      <c r="F1284" s="8"/>
    </row>
    <row r="1285" spans="1:6" x14ac:dyDescent="0.3">
      <c r="A1285" t="s">
        <v>819</v>
      </c>
      <c r="B1285" s="4" t="s">
        <v>825</v>
      </c>
      <c r="C1285" s="7">
        <v>45604</v>
      </c>
      <c r="D1285" s="8">
        <v>-1562.4</v>
      </c>
      <c r="E1285" s="8"/>
      <c r="F1285" s="8"/>
    </row>
    <row r="1286" spans="1:6" x14ac:dyDescent="0.3">
      <c r="A1286" t="s">
        <v>819</v>
      </c>
      <c r="B1286" s="4" t="s">
        <v>18</v>
      </c>
      <c r="C1286" s="7">
        <v>45609</v>
      </c>
      <c r="D1286" s="8">
        <v>-16925.3</v>
      </c>
      <c r="E1286" s="8"/>
      <c r="F1286" s="8"/>
    </row>
    <row r="1287" spans="1:6" x14ac:dyDescent="0.3">
      <c r="A1287" t="s">
        <v>819</v>
      </c>
      <c r="B1287" s="4" t="s">
        <v>18</v>
      </c>
      <c r="C1287" s="7">
        <v>45609</v>
      </c>
      <c r="D1287" s="8">
        <v>-4594.8500000000004</v>
      </c>
      <c r="E1287" s="8"/>
      <c r="F1287" s="8"/>
    </row>
    <row r="1288" spans="1:6" x14ac:dyDescent="0.3">
      <c r="A1288" t="s">
        <v>819</v>
      </c>
      <c r="B1288" s="4" t="s">
        <v>826</v>
      </c>
      <c r="C1288" s="7">
        <v>45614</v>
      </c>
      <c r="D1288" s="8">
        <v>-5938.02</v>
      </c>
      <c r="E1288" s="8"/>
      <c r="F1288" s="8"/>
    </row>
    <row r="1289" spans="1:6" x14ac:dyDescent="0.3">
      <c r="A1289" t="s">
        <v>819</v>
      </c>
      <c r="B1289" s="4" t="s">
        <v>826</v>
      </c>
      <c r="C1289" s="7">
        <v>45614</v>
      </c>
      <c r="D1289" s="8">
        <v>-6230.7</v>
      </c>
      <c r="E1289" s="8"/>
      <c r="F1289" s="8"/>
    </row>
    <row r="1290" spans="1:6" x14ac:dyDescent="0.3">
      <c r="A1290" t="s">
        <v>819</v>
      </c>
      <c r="B1290" s="4" t="s">
        <v>826</v>
      </c>
      <c r="C1290" s="7">
        <v>45614</v>
      </c>
      <c r="D1290" s="8">
        <v>-1139.7</v>
      </c>
      <c r="E1290" s="8"/>
      <c r="F1290" s="8"/>
    </row>
    <row r="1291" spans="1:6" x14ac:dyDescent="0.3">
      <c r="A1291" t="s">
        <v>819</v>
      </c>
      <c r="B1291">
        <v>41403</v>
      </c>
      <c r="C1291" s="7">
        <v>45642</v>
      </c>
      <c r="D1291" s="8">
        <v>-10885.61</v>
      </c>
      <c r="E1291" s="8"/>
      <c r="F1291" s="8"/>
    </row>
    <row r="1292" spans="1:6" x14ac:dyDescent="0.3">
      <c r="A1292" t="s">
        <v>819</v>
      </c>
      <c r="B1292" s="4" t="s">
        <v>827</v>
      </c>
      <c r="C1292" s="7">
        <v>45645</v>
      </c>
      <c r="D1292" s="8">
        <v>-534</v>
      </c>
      <c r="E1292" s="8"/>
      <c r="F1292" s="8"/>
    </row>
    <row r="1293" spans="1:6" x14ac:dyDescent="0.3">
      <c r="A1293" t="s">
        <v>819</v>
      </c>
      <c r="B1293" s="13" t="s">
        <v>828</v>
      </c>
      <c r="C1293" s="7">
        <v>45657</v>
      </c>
      <c r="D1293" s="8">
        <v>-3289.33</v>
      </c>
      <c r="E1293" s="8"/>
      <c r="F1293" s="8"/>
    </row>
    <row r="1294" spans="1:6" x14ac:dyDescent="0.3">
      <c r="A1294" t="s">
        <v>819</v>
      </c>
      <c r="B1294" s="4" t="s">
        <v>829</v>
      </c>
      <c r="C1294" s="7">
        <v>45665</v>
      </c>
      <c r="D1294" s="8">
        <v>-24479.56</v>
      </c>
      <c r="E1294" s="8"/>
      <c r="F1294" s="8"/>
    </row>
    <row r="1295" spans="1:6" x14ac:dyDescent="0.3">
      <c r="A1295" t="s">
        <v>819</v>
      </c>
      <c r="B1295" s="4" t="s">
        <v>830</v>
      </c>
      <c r="C1295" s="7">
        <v>45670</v>
      </c>
      <c r="D1295" s="8">
        <v>-7601.53</v>
      </c>
      <c r="E1295" s="8"/>
      <c r="F1295" s="8"/>
    </row>
    <row r="1296" spans="1:6" x14ac:dyDescent="0.3">
      <c r="A1296" t="s">
        <v>819</v>
      </c>
      <c r="B1296" s="4" t="s">
        <v>830</v>
      </c>
      <c r="C1296" s="7">
        <v>45670</v>
      </c>
      <c r="D1296" s="8">
        <v>-165.96</v>
      </c>
      <c r="E1296" s="8"/>
      <c r="F1296" s="8"/>
    </row>
    <row r="1297" spans="1:6" x14ac:dyDescent="0.3">
      <c r="A1297" t="s">
        <v>819</v>
      </c>
      <c r="B1297" s="4" t="s">
        <v>831</v>
      </c>
      <c r="C1297" s="7">
        <v>45676</v>
      </c>
      <c r="D1297" s="8">
        <v>280</v>
      </c>
      <c r="E1297" s="8"/>
      <c r="F1297" s="8"/>
    </row>
    <row r="1298" spans="1:6" x14ac:dyDescent="0.3">
      <c r="A1298" t="s">
        <v>819</v>
      </c>
      <c r="B1298" s="4" t="s">
        <v>832</v>
      </c>
      <c r="C1298" s="7">
        <v>45679</v>
      </c>
      <c r="D1298" s="8">
        <v>17.04</v>
      </c>
      <c r="E1298" s="8"/>
      <c r="F1298" s="8"/>
    </row>
    <row r="1299" spans="1:6" x14ac:dyDescent="0.3">
      <c r="A1299" t="s">
        <v>819</v>
      </c>
      <c r="B1299" s="4" t="s">
        <v>832</v>
      </c>
      <c r="C1299" s="7">
        <v>45679</v>
      </c>
      <c r="D1299" s="8">
        <v>60</v>
      </c>
      <c r="E1299" s="8"/>
      <c r="F1299" s="8"/>
    </row>
    <row r="1300" spans="1:6" x14ac:dyDescent="0.3">
      <c r="A1300" t="s">
        <v>819</v>
      </c>
      <c r="B1300" s="4" t="s">
        <v>833</v>
      </c>
      <c r="C1300" s="7">
        <v>45679</v>
      </c>
      <c r="D1300" s="8">
        <v>4348.37</v>
      </c>
      <c r="E1300" s="8"/>
      <c r="F1300" s="8"/>
    </row>
    <row r="1301" spans="1:6" x14ac:dyDescent="0.3">
      <c r="A1301" t="s">
        <v>819</v>
      </c>
      <c r="B1301" s="4" t="s">
        <v>833</v>
      </c>
      <c r="C1301" s="7">
        <v>45679</v>
      </c>
      <c r="D1301" s="8">
        <v>726</v>
      </c>
      <c r="E1301" s="8"/>
      <c r="F1301" s="8"/>
    </row>
    <row r="1302" spans="1:6" x14ac:dyDescent="0.3">
      <c r="A1302" t="s">
        <v>819</v>
      </c>
      <c r="B1302" s="4" t="s">
        <v>834</v>
      </c>
      <c r="C1302" s="7">
        <v>45693</v>
      </c>
      <c r="D1302" s="8">
        <v>-1562.48</v>
      </c>
      <c r="E1302" s="8"/>
      <c r="F1302" s="8"/>
    </row>
    <row r="1303" spans="1:6" x14ac:dyDescent="0.3">
      <c r="A1303" t="s">
        <v>819</v>
      </c>
      <c r="B1303" s="4" t="s">
        <v>834</v>
      </c>
      <c r="C1303" s="7">
        <v>45693</v>
      </c>
      <c r="D1303" s="8">
        <v>-1773.67</v>
      </c>
      <c r="E1303" s="8"/>
      <c r="F1303" s="8"/>
    </row>
    <row r="1304" spans="1:6" x14ac:dyDescent="0.3">
      <c r="A1304" t="s">
        <v>819</v>
      </c>
      <c r="B1304" s="4" t="s">
        <v>834</v>
      </c>
      <c r="C1304" s="7">
        <v>45693</v>
      </c>
      <c r="D1304" s="8">
        <v>-2998.26</v>
      </c>
      <c r="E1304" s="8"/>
      <c r="F1304" s="8"/>
    </row>
    <row r="1305" spans="1:6" x14ac:dyDescent="0.3">
      <c r="A1305" t="s">
        <v>819</v>
      </c>
      <c r="B1305" s="4" t="s">
        <v>835</v>
      </c>
      <c r="C1305" s="7">
        <v>45710</v>
      </c>
      <c r="D1305" s="8">
        <v>441.6</v>
      </c>
      <c r="E1305" s="8"/>
      <c r="F1305" s="8"/>
    </row>
    <row r="1306" spans="1:6" x14ac:dyDescent="0.3">
      <c r="A1306" t="s">
        <v>819</v>
      </c>
      <c r="B1306" s="4" t="s">
        <v>836</v>
      </c>
      <c r="C1306" s="7">
        <v>45723</v>
      </c>
      <c r="D1306" s="8">
        <v>-176268.73</v>
      </c>
      <c r="E1306" s="8"/>
      <c r="F1306" s="8"/>
    </row>
    <row r="1307" spans="1:6" x14ac:dyDescent="0.3">
      <c r="A1307" t="s">
        <v>819</v>
      </c>
      <c r="B1307" s="4" t="s">
        <v>836</v>
      </c>
      <c r="C1307" s="7">
        <v>45723</v>
      </c>
      <c r="D1307" s="8">
        <v>-26400.97</v>
      </c>
      <c r="E1307" s="8"/>
      <c r="F1307" s="8"/>
    </row>
    <row r="1308" spans="1:6" x14ac:dyDescent="0.3">
      <c r="A1308" t="s">
        <v>819</v>
      </c>
      <c r="B1308" s="4" t="s">
        <v>837</v>
      </c>
      <c r="C1308" s="7">
        <v>45734</v>
      </c>
      <c r="D1308" s="8">
        <v>-1954.08</v>
      </c>
      <c r="E1308" s="8"/>
      <c r="F1308" s="8"/>
    </row>
    <row r="1309" spans="1:6" x14ac:dyDescent="0.3">
      <c r="A1309" t="s">
        <v>819</v>
      </c>
      <c r="B1309" s="4" t="s">
        <v>837</v>
      </c>
      <c r="C1309" s="7">
        <v>45734</v>
      </c>
      <c r="D1309" s="8">
        <v>-2563.65</v>
      </c>
      <c r="E1309" s="8"/>
      <c r="F1309" s="8"/>
    </row>
    <row r="1310" spans="1:6" x14ac:dyDescent="0.3">
      <c r="A1310" t="s">
        <v>819</v>
      </c>
      <c r="B1310" s="4" t="s">
        <v>837</v>
      </c>
      <c r="C1310" s="7">
        <v>45734</v>
      </c>
      <c r="D1310" s="8">
        <v>-1561.5</v>
      </c>
      <c r="E1310" s="8"/>
      <c r="F1310" s="8"/>
    </row>
    <row r="1311" spans="1:6" x14ac:dyDescent="0.3">
      <c r="A1311" t="s">
        <v>819</v>
      </c>
      <c r="B1311" s="4" t="s">
        <v>837</v>
      </c>
      <c r="C1311" s="7">
        <v>45734</v>
      </c>
      <c r="D1311" s="8">
        <v>-12664.37</v>
      </c>
      <c r="E1311" s="8"/>
      <c r="F1311" s="8"/>
    </row>
    <row r="1312" spans="1:6" x14ac:dyDescent="0.3">
      <c r="A1312" t="s">
        <v>819</v>
      </c>
      <c r="B1312" s="4" t="s">
        <v>837</v>
      </c>
      <c r="C1312" s="7">
        <v>45734</v>
      </c>
      <c r="D1312" s="8">
        <v>-190.2</v>
      </c>
      <c r="E1312" s="8"/>
      <c r="F1312" s="8"/>
    </row>
    <row r="1313" spans="1:6" x14ac:dyDescent="0.3">
      <c r="A1313" t="s">
        <v>819</v>
      </c>
      <c r="B1313" s="4" t="s">
        <v>837</v>
      </c>
      <c r="C1313" s="7">
        <v>45734</v>
      </c>
      <c r="D1313" s="8">
        <v>-1606.92</v>
      </c>
      <c r="E1313" s="8"/>
      <c r="F1313" s="8"/>
    </row>
    <row r="1314" spans="1:6" x14ac:dyDescent="0.3">
      <c r="A1314" t="s">
        <v>819</v>
      </c>
      <c r="B1314" s="4" t="s">
        <v>837</v>
      </c>
      <c r="C1314" s="7">
        <v>45734</v>
      </c>
      <c r="D1314" s="8">
        <v>-618</v>
      </c>
      <c r="E1314" s="8"/>
      <c r="F1314" s="8"/>
    </row>
    <row r="1315" spans="1:6" x14ac:dyDescent="0.3">
      <c r="A1315" t="s">
        <v>819</v>
      </c>
      <c r="B1315" s="4" t="s">
        <v>838</v>
      </c>
      <c r="C1315" s="7">
        <v>45736</v>
      </c>
      <c r="D1315" s="8">
        <v>-17569.79</v>
      </c>
      <c r="E1315" s="8"/>
      <c r="F1315" s="8"/>
    </row>
    <row r="1316" spans="1:6" x14ac:dyDescent="0.3">
      <c r="A1316" t="s">
        <v>819</v>
      </c>
      <c r="B1316" s="4" t="s">
        <v>838</v>
      </c>
      <c r="C1316" s="7">
        <v>45736</v>
      </c>
      <c r="D1316" s="8">
        <v>-20063.7</v>
      </c>
      <c r="E1316" s="8"/>
      <c r="F1316" s="8"/>
    </row>
    <row r="1317" spans="1:6" x14ac:dyDescent="0.3">
      <c r="A1317" t="s">
        <v>819</v>
      </c>
      <c r="B1317" s="4" t="s">
        <v>838</v>
      </c>
      <c r="C1317" s="7">
        <v>45736</v>
      </c>
      <c r="D1317" s="8">
        <v>-18648</v>
      </c>
      <c r="E1317" s="8"/>
      <c r="F1317" s="8"/>
    </row>
    <row r="1318" spans="1:6" x14ac:dyDescent="0.3">
      <c r="A1318" t="s">
        <v>819</v>
      </c>
      <c r="B1318" s="4" t="s">
        <v>839</v>
      </c>
      <c r="C1318" s="7">
        <v>45742</v>
      </c>
      <c r="D1318" s="8">
        <v>730</v>
      </c>
      <c r="E1318" s="8"/>
      <c r="F1318" s="8"/>
    </row>
    <row r="1319" spans="1:6" x14ac:dyDescent="0.3">
      <c r="A1319" t="s">
        <v>819</v>
      </c>
      <c r="B1319" s="4" t="s">
        <v>840</v>
      </c>
      <c r="C1319" s="7">
        <v>45743</v>
      </c>
      <c r="D1319" s="8">
        <v>4000</v>
      </c>
      <c r="E1319" s="8"/>
      <c r="F1319" s="8"/>
    </row>
    <row r="1320" spans="1:6" x14ac:dyDescent="0.3">
      <c r="A1320" t="s">
        <v>819</v>
      </c>
      <c r="B1320" s="4" t="s">
        <v>564</v>
      </c>
      <c r="C1320" s="7">
        <v>45749</v>
      </c>
      <c r="D1320" s="8">
        <v>-1170</v>
      </c>
      <c r="E1320" s="8"/>
      <c r="F1320" s="8"/>
    </row>
    <row r="1321" spans="1:6" x14ac:dyDescent="0.3">
      <c r="A1321" t="s">
        <v>819</v>
      </c>
      <c r="B1321" s="4" t="s">
        <v>767</v>
      </c>
      <c r="C1321" s="7">
        <v>45750</v>
      </c>
      <c r="D1321" s="8">
        <v>-5781.58</v>
      </c>
      <c r="E1321" s="8"/>
      <c r="F1321" s="8"/>
    </row>
    <row r="1322" spans="1:6" x14ac:dyDescent="0.3">
      <c r="A1322" t="s">
        <v>819</v>
      </c>
      <c r="B1322" s="4" t="s">
        <v>767</v>
      </c>
      <c r="C1322" s="7">
        <v>45750</v>
      </c>
      <c r="D1322" s="8">
        <v>-3038.35</v>
      </c>
      <c r="E1322" s="8"/>
      <c r="F1322" s="8"/>
    </row>
    <row r="1323" spans="1:6" x14ac:dyDescent="0.3">
      <c r="A1323" t="s">
        <v>819</v>
      </c>
      <c r="B1323" s="4" t="s">
        <v>767</v>
      </c>
      <c r="C1323" s="7">
        <v>45750</v>
      </c>
      <c r="D1323" s="8">
        <v>-143.22</v>
      </c>
      <c r="E1323" s="8"/>
      <c r="F1323" s="8"/>
    </row>
    <row r="1324" spans="1:6" x14ac:dyDescent="0.3">
      <c r="A1324" t="s">
        <v>819</v>
      </c>
      <c r="B1324" s="4" t="s">
        <v>767</v>
      </c>
      <c r="C1324" s="7">
        <v>45750</v>
      </c>
      <c r="D1324" s="8">
        <v>-4559.5200000000004</v>
      </c>
      <c r="E1324" s="8"/>
      <c r="F1324" s="8"/>
    </row>
    <row r="1325" spans="1:6" x14ac:dyDescent="0.3">
      <c r="A1325" t="s">
        <v>819</v>
      </c>
      <c r="B1325" s="4" t="s">
        <v>767</v>
      </c>
      <c r="C1325" s="7">
        <v>45750</v>
      </c>
      <c r="D1325" s="8">
        <v>-1840.15</v>
      </c>
      <c r="E1325" s="8"/>
      <c r="F1325" s="8"/>
    </row>
    <row r="1326" spans="1:6" x14ac:dyDescent="0.3">
      <c r="A1326" t="s">
        <v>819</v>
      </c>
      <c r="B1326" s="4" t="s">
        <v>841</v>
      </c>
      <c r="C1326" s="7">
        <v>45754</v>
      </c>
      <c r="D1326" s="8">
        <v>-12376.54</v>
      </c>
      <c r="E1326" s="8"/>
      <c r="F1326" s="8"/>
    </row>
    <row r="1327" spans="1:6" x14ac:dyDescent="0.3">
      <c r="A1327" t="s">
        <v>819</v>
      </c>
      <c r="B1327" s="4" t="s">
        <v>842</v>
      </c>
      <c r="C1327" s="7">
        <v>45756</v>
      </c>
      <c r="D1327" s="8">
        <v>689</v>
      </c>
      <c r="E1327" s="8"/>
      <c r="F1327" s="8"/>
    </row>
    <row r="1328" spans="1:6" x14ac:dyDescent="0.3">
      <c r="A1328" t="s">
        <v>819</v>
      </c>
      <c r="B1328" s="4" t="s">
        <v>677</v>
      </c>
      <c r="C1328" s="7">
        <v>45762</v>
      </c>
      <c r="D1328" s="8">
        <v>-1647.08</v>
      </c>
      <c r="E1328" s="8"/>
      <c r="F1328" s="8"/>
    </row>
    <row r="1329" spans="1:6" x14ac:dyDescent="0.3">
      <c r="A1329" t="s">
        <v>819</v>
      </c>
      <c r="B1329" s="4" t="s">
        <v>567</v>
      </c>
      <c r="C1329" s="7">
        <v>45769</v>
      </c>
      <c r="D1329" s="8">
        <v>-2873.03</v>
      </c>
      <c r="E1329" s="8"/>
      <c r="F1329" s="8"/>
    </row>
    <row r="1330" spans="1:6" x14ac:dyDescent="0.3">
      <c r="A1330" t="s">
        <v>819</v>
      </c>
      <c r="B1330" s="4" t="s">
        <v>567</v>
      </c>
      <c r="C1330" s="7">
        <v>45769</v>
      </c>
      <c r="D1330" s="8">
        <v>-2610.5</v>
      </c>
      <c r="E1330" s="8"/>
      <c r="F1330" s="8"/>
    </row>
    <row r="1331" spans="1:6" x14ac:dyDescent="0.3">
      <c r="A1331" t="s">
        <v>819</v>
      </c>
      <c r="B1331" s="4" t="s">
        <v>567</v>
      </c>
      <c r="C1331" s="7">
        <v>45769</v>
      </c>
      <c r="D1331" s="8">
        <v>-1903</v>
      </c>
      <c r="E1331" s="8"/>
      <c r="F1331" s="8"/>
    </row>
    <row r="1332" spans="1:6" x14ac:dyDescent="0.3">
      <c r="A1332" t="s">
        <v>819</v>
      </c>
      <c r="B1332" s="4" t="s">
        <v>567</v>
      </c>
      <c r="C1332" s="7">
        <v>45769</v>
      </c>
      <c r="D1332" s="8">
        <v>-3337.04</v>
      </c>
      <c r="E1332" s="8"/>
      <c r="F1332" s="8"/>
    </row>
    <row r="1333" spans="1:6" x14ac:dyDescent="0.3">
      <c r="A1333" t="s">
        <v>819</v>
      </c>
      <c r="B1333" s="4" t="s">
        <v>567</v>
      </c>
      <c r="C1333" s="7">
        <v>45769</v>
      </c>
      <c r="D1333" s="8">
        <v>-24232</v>
      </c>
      <c r="E1333" s="8"/>
      <c r="F1333" s="8"/>
    </row>
    <row r="1334" spans="1:6" x14ac:dyDescent="0.3">
      <c r="A1334" t="s">
        <v>819</v>
      </c>
      <c r="B1334" s="4" t="s">
        <v>571</v>
      </c>
      <c r="C1334" s="7">
        <v>45783</v>
      </c>
      <c r="D1334" s="8">
        <v>-12513</v>
      </c>
      <c r="E1334" s="8"/>
      <c r="F1334" s="8"/>
    </row>
    <row r="1335" spans="1:6" x14ac:dyDescent="0.3">
      <c r="A1335" t="s">
        <v>819</v>
      </c>
      <c r="B1335" s="4" t="s">
        <v>571</v>
      </c>
      <c r="C1335" s="7">
        <v>45783</v>
      </c>
      <c r="D1335" s="8">
        <v>-452.15</v>
      </c>
      <c r="E1335" s="8"/>
      <c r="F1335" s="8"/>
    </row>
    <row r="1336" spans="1:6" x14ac:dyDescent="0.3">
      <c r="A1336" t="s">
        <v>819</v>
      </c>
      <c r="B1336" s="4" t="s">
        <v>571</v>
      </c>
      <c r="C1336" s="7">
        <v>45783</v>
      </c>
      <c r="D1336" s="8">
        <v>-751.3</v>
      </c>
      <c r="E1336" s="8"/>
      <c r="F1336" s="8"/>
    </row>
    <row r="1337" spans="1:6" x14ac:dyDescent="0.3">
      <c r="A1337" t="s">
        <v>819</v>
      </c>
      <c r="B1337" s="4" t="s">
        <v>571</v>
      </c>
      <c r="C1337" s="7">
        <v>45783</v>
      </c>
      <c r="D1337" s="8">
        <v>-13919.63</v>
      </c>
      <c r="E1337" s="8"/>
      <c r="F1337" s="8"/>
    </row>
    <row r="1338" spans="1:6" x14ac:dyDescent="0.3">
      <c r="A1338" t="s">
        <v>819</v>
      </c>
      <c r="B1338" s="4" t="s">
        <v>571</v>
      </c>
      <c r="C1338" s="7">
        <v>45783</v>
      </c>
      <c r="D1338" s="8">
        <v>-1333.31</v>
      </c>
      <c r="E1338" s="8"/>
      <c r="F1338" s="8"/>
    </row>
    <row r="1339" spans="1:6" x14ac:dyDescent="0.3">
      <c r="A1339" t="s">
        <v>819</v>
      </c>
      <c r="B1339" s="4" t="s">
        <v>571</v>
      </c>
      <c r="C1339" s="7">
        <v>45783</v>
      </c>
      <c r="D1339" s="8">
        <v>-378.54</v>
      </c>
      <c r="E1339" s="8"/>
      <c r="F1339" s="8"/>
    </row>
    <row r="1340" spans="1:6" x14ac:dyDescent="0.3">
      <c r="A1340" t="s">
        <v>819</v>
      </c>
      <c r="B1340" s="4" t="s">
        <v>571</v>
      </c>
      <c r="C1340" s="7">
        <v>45783</v>
      </c>
      <c r="D1340" s="8">
        <v>-25208.7</v>
      </c>
      <c r="E1340" s="8"/>
      <c r="F1340" s="8"/>
    </row>
    <row r="1341" spans="1:6" x14ac:dyDescent="0.3">
      <c r="A1341" t="s">
        <v>819</v>
      </c>
      <c r="B1341" s="4" t="s">
        <v>571</v>
      </c>
      <c r="C1341" s="7">
        <v>45783</v>
      </c>
      <c r="D1341" s="8">
        <v>-3381.86</v>
      </c>
      <c r="E1341" s="8"/>
      <c r="F1341" s="8"/>
    </row>
    <row r="1342" spans="1:6" x14ac:dyDescent="0.3">
      <c r="A1342" t="s">
        <v>819</v>
      </c>
      <c r="B1342" s="4" t="s">
        <v>571</v>
      </c>
      <c r="C1342" s="7">
        <v>45783</v>
      </c>
      <c r="D1342" s="8">
        <v>-3038.1</v>
      </c>
      <c r="E1342" s="8"/>
      <c r="F1342" s="8"/>
    </row>
    <row r="1343" spans="1:6" x14ac:dyDescent="0.3">
      <c r="A1343" t="s">
        <v>819</v>
      </c>
      <c r="B1343" s="4" t="s">
        <v>571</v>
      </c>
      <c r="C1343" s="7">
        <v>45783</v>
      </c>
      <c r="D1343" s="8">
        <v>-21574</v>
      </c>
      <c r="E1343" s="8"/>
      <c r="F1343" s="8"/>
    </row>
    <row r="1344" spans="1:6" x14ac:dyDescent="0.3">
      <c r="A1344" t="s">
        <v>819</v>
      </c>
      <c r="B1344" s="4" t="s">
        <v>571</v>
      </c>
      <c r="C1344" s="7">
        <v>45783</v>
      </c>
      <c r="D1344" s="8">
        <v>-914.61</v>
      </c>
      <c r="E1344" s="8"/>
      <c r="F1344" s="8"/>
    </row>
    <row r="1345" spans="1:6" x14ac:dyDescent="0.3">
      <c r="A1345" t="s">
        <v>819</v>
      </c>
      <c r="B1345" s="4" t="s">
        <v>571</v>
      </c>
      <c r="C1345" s="7">
        <v>45783</v>
      </c>
      <c r="D1345" s="8">
        <v>-926.4</v>
      </c>
      <c r="E1345" s="8"/>
      <c r="F1345" s="8"/>
    </row>
    <row r="1346" spans="1:6" x14ac:dyDescent="0.3">
      <c r="A1346" t="s">
        <v>819</v>
      </c>
      <c r="B1346" s="4" t="s">
        <v>571</v>
      </c>
      <c r="C1346" s="7">
        <v>45783</v>
      </c>
      <c r="D1346" s="8">
        <v>-2610.7600000000002</v>
      </c>
      <c r="E1346" s="8"/>
      <c r="F1346" s="8"/>
    </row>
    <row r="1347" spans="1:6" x14ac:dyDescent="0.3">
      <c r="A1347" t="s">
        <v>819</v>
      </c>
      <c r="B1347" s="4" t="s">
        <v>571</v>
      </c>
      <c r="C1347" s="7">
        <v>45783</v>
      </c>
      <c r="D1347" s="8">
        <v>-36666.31</v>
      </c>
      <c r="E1347" s="8"/>
      <c r="F1347" s="8"/>
    </row>
    <row r="1348" spans="1:6" x14ac:dyDescent="0.3">
      <c r="A1348" t="s">
        <v>819</v>
      </c>
      <c r="B1348" s="4" t="s">
        <v>571</v>
      </c>
      <c r="C1348" s="7">
        <v>45783</v>
      </c>
      <c r="D1348" s="8">
        <v>-10096.26</v>
      </c>
      <c r="E1348" s="8"/>
      <c r="F1348" s="8"/>
    </row>
    <row r="1349" spans="1:6" x14ac:dyDescent="0.3">
      <c r="A1349" t="s">
        <v>819</v>
      </c>
      <c r="B1349" s="4" t="s">
        <v>571</v>
      </c>
      <c r="C1349" s="7">
        <v>45783</v>
      </c>
      <c r="D1349" s="8">
        <v>-3862.8</v>
      </c>
      <c r="E1349" s="8"/>
      <c r="F1349" s="8"/>
    </row>
    <row r="1350" spans="1:6" x14ac:dyDescent="0.3">
      <c r="A1350" t="s">
        <v>819</v>
      </c>
      <c r="B1350" s="4" t="s">
        <v>571</v>
      </c>
      <c r="C1350" s="7">
        <v>45783</v>
      </c>
      <c r="D1350" s="8">
        <v>-41.2</v>
      </c>
      <c r="E1350" s="8"/>
      <c r="F1350" s="8"/>
    </row>
    <row r="1351" spans="1:6" x14ac:dyDescent="0.3">
      <c r="A1351" t="s">
        <v>819</v>
      </c>
      <c r="B1351" s="4" t="s">
        <v>571</v>
      </c>
      <c r="C1351" s="7">
        <v>45783</v>
      </c>
      <c r="D1351" s="8">
        <v>-1264.5</v>
      </c>
      <c r="E1351" s="8"/>
      <c r="F1351" s="8"/>
    </row>
    <row r="1352" spans="1:6" x14ac:dyDescent="0.3">
      <c r="A1352" t="s">
        <v>819</v>
      </c>
      <c r="B1352" s="4" t="s">
        <v>571</v>
      </c>
      <c r="C1352" s="7">
        <v>45783</v>
      </c>
      <c r="D1352" s="8">
        <v>-10806</v>
      </c>
      <c r="E1352" s="8"/>
      <c r="F1352" s="8"/>
    </row>
    <row r="1353" spans="1:6" x14ac:dyDescent="0.3">
      <c r="A1353" t="s">
        <v>819</v>
      </c>
      <c r="B1353" s="4" t="s">
        <v>571</v>
      </c>
      <c r="C1353" s="7">
        <v>45783</v>
      </c>
      <c r="D1353" s="8">
        <v>-8708.58</v>
      </c>
      <c r="E1353" s="8"/>
      <c r="F1353" s="8"/>
    </row>
    <row r="1354" spans="1:6" x14ac:dyDescent="0.3">
      <c r="A1354" t="s">
        <v>819</v>
      </c>
      <c r="B1354" s="4" t="s">
        <v>571</v>
      </c>
      <c r="C1354" s="7">
        <v>45783</v>
      </c>
      <c r="D1354" s="8">
        <v>-1140</v>
      </c>
      <c r="E1354" s="8"/>
      <c r="F1354" s="8"/>
    </row>
    <row r="1355" spans="1:6" x14ac:dyDescent="0.3">
      <c r="A1355" t="s">
        <v>819</v>
      </c>
      <c r="B1355" s="4" t="s">
        <v>571</v>
      </c>
      <c r="C1355" s="7">
        <v>45783</v>
      </c>
      <c r="D1355" s="8">
        <v>-1216.27</v>
      </c>
      <c r="E1355" s="8"/>
      <c r="F1355" s="8"/>
    </row>
    <row r="1356" spans="1:6" x14ac:dyDescent="0.3">
      <c r="A1356" t="s">
        <v>819</v>
      </c>
      <c r="B1356" s="4" t="s">
        <v>571</v>
      </c>
      <c r="C1356" s="7">
        <v>45783</v>
      </c>
      <c r="D1356" s="8">
        <v>-3854.1</v>
      </c>
      <c r="E1356" s="8"/>
      <c r="F1356" s="8"/>
    </row>
    <row r="1357" spans="1:6" x14ac:dyDescent="0.3">
      <c r="A1357" t="s">
        <v>819</v>
      </c>
      <c r="B1357" s="4" t="s">
        <v>571</v>
      </c>
      <c r="C1357" s="7">
        <v>45783</v>
      </c>
      <c r="D1357" s="8">
        <v>-726.4</v>
      </c>
      <c r="E1357" s="8"/>
      <c r="F1357" s="8"/>
    </row>
    <row r="1358" spans="1:6" x14ac:dyDescent="0.3">
      <c r="A1358" t="s">
        <v>819</v>
      </c>
      <c r="B1358" s="4" t="s">
        <v>571</v>
      </c>
      <c r="C1358" s="7">
        <v>45783</v>
      </c>
      <c r="D1358" s="8">
        <v>-716</v>
      </c>
      <c r="E1358" s="8"/>
      <c r="F1358" s="8"/>
    </row>
    <row r="1359" spans="1:6" x14ac:dyDescent="0.3">
      <c r="A1359" t="s">
        <v>819</v>
      </c>
      <c r="B1359" s="4" t="s">
        <v>571</v>
      </c>
      <c r="C1359" s="7">
        <v>45783</v>
      </c>
      <c r="D1359" s="8">
        <v>-7248.98</v>
      </c>
      <c r="E1359" s="8"/>
      <c r="F1359" s="8"/>
    </row>
    <row r="1360" spans="1:6" x14ac:dyDescent="0.3">
      <c r="A1360" t="s">
        <v>819</v>
      </c>
      <c r="B1360" s="4" t="s">
        <v>571</v>
      </c>
      <c r="C1360" s="7">
        <v>45783</v>
      </c>
      <c r="D1360" s="8">
        <v>-156</v>
      </c>
      <c r="E1360" s="8"/>
      <c r="F1360" s="8"/>
    </row>
    <row r="1361" spans="1:6" x14ac:dyDescent="0.3">
      <c r="A1361" t="s">
        <v>819</v>
      </c>
      <c r="B1361" s="4" t="s">
        <v>571</v>
      </c>
      <c r="C1361" s="7">
        <v>45783</v>
      </c>
      <c r="D1361" s="8">
        <v>-9720.17</v>
      </c>
      <c r="E1361" s="8"/>
      <c r="F1361" s="8"/>
    </row>
    <row r="1362" spans="1:6" x14ac:dyDescent="0.3">
      <c r="A1362" t="s">
        <v>819</v>
      </c>
      <c r="B1362" s="4" t="s">
        <v>843</v>
      </c>
      <c r="C1362" s="7">
        <v>45784</v>
      </c>
      <c r="D1362" s="8">
        <v>446.52</v>
      </c>
      <c r="E1362" s="8"/>
      <c r="F1362" s="8"/>
    </row>
    <row r="1363" spans="1:6" x14ac:dyDescent="0.3">
      <c r="A1363" t="s">
        <v>819</v>
      </c>
      <c r="B1363" s="4" t="s">
        <v>572</v>
      </c>
      <c r="C1363" s="7">
        <v>45785</v>
      </c>
      <c r="D1363" s="8">
        <v>-5844</v>
      </c>
      <c r="E1363" s="8"/>
      <c r="F1363" s="8"/>
    </row>
    <row r="1364" spans="1:6" x14ac:dyDescent="0.3">
      <c r="A1364" t="s">
        <v>819</v>
      </c>
      <c r="B1364" s="4" t="s">
        <v>299</v>
      </c>
      <c r="C1364" s="7">
        <v>45786</v>
      </c>
      <c r="D1364" s="8">
        <v>-10</v>
      </c>
      <c r="E1364" s="8"/>
      <c r="F1364" s="8"/>
    </row>
    <row r="1365" spans="1:6" x14ac:dyDescent="0.3">
      <c r="A1365" t="s">
        <v>819</v>
      </c>
      <c r="B1365" s="4" t="s">
        <v>299</v>
      </c>
      <c r="C1365" s="7">
        <v>45786</v>
      </c>
      <c r="D1365" s="8">
        <v>-16781.490000000002</v>
      </c>
      <c r="E1365" s="8"/>
      <c r="F1365" s="8"/>
    </row>
    <row r="1366" spans="1:6" x14ac:dyDescent="0.3">
      <c r="A1366" t="s">
        <v>819</v>
      </c>
      <c r="B1366" s="4" t="s">
        <v>299</v>
      </c>
      <c r="C1366" s="7">
        <v>45786</v>
      </c>
      <c r="D1366" s="8">
        <v>-898</v>
      </c>
      <c r="E1366" s="8"/>
      <c r="F1366" s="8"/>
    </row>
    <row r="1367" spans="1:6" x14ac:dyDescent="0.3">
      <c r="A1367" t="s">
        <v>819</v>
      </c>
      <c r="B1367" s="4" t="s">
        <v>299</v>
      </c>
      <c r="C1367" s="7">
        <v>45786</v>
      </c>
      <c r="D1367" s="8">
        <v>-2338.71</v>
      </c>
      <c r="E1367" s="8"/>
      <c r="F1367" s="8"/>
    </row>
    <row r="1368" spans="1:6" x14ac:dyDescent="0.3">
      <c r="A1368" t="s">
        <v>819</v>
      </c>
      <c r="B1368" s="4" t="s">
        <v>299</v>
      </c>
      <c r="C1368" s="7">
        <v>45786</v>
      </c>
      <c r="D1368" s="8">
        <v>-45646.11</v>
      </c>
      <c r="E1368" s="8"/>
      <c r="F1368" s="8"/>
    </row>
    <row r="1369" spans="1:6" x14ac:dyDescent="0.3">
      <c r="A1369" t="s">
        <v>819</v>
      </c>
      <c r="B1369" s="4" t="s">
        <v>299</v>
      </c>
      <c r="C1369" s="7">
        <v>45786</v>
      </c>
      <c r="D1369" s="8">
        <v>-2392.65</v>
      </c>
      <c r="E1369" s="8"/>
      <c r="F1369" s="8"/>
    </row>
    <row r="1370" spans="1:6" x14ac:dyDescent="0.3">
      <c r="A1370" t="s">
        <v>819</v>
      </c>
      <c r="B1370" s="4" t="s">
        <v>299</v>
      </c>
      <c r="C1370" s="7">
        <v>45786</v>
      </c>
      <c r="D1370" s="8">
        <v>-2200</v>
      </c>
      <c r="E1370" s="8"/>
      <c r="F1370" s="8"/>
    </row>
    <row r="1371" spans="1:6" x14ac:dyDescent="0.3">
      <c r="A1371" t="s">
        <v>819</v>
      </c>
      <c r="B1371" s="4" t="s">
        <v>299</v>
      </c>
      <c r="C1371" s="7">
        <v>45786</v>
      </c>
      <c r="D1371" s="8">
        <v>-673.08</v>
      </c>
      <c r="E1371" s="8"/>
      <c r="F1371" s="8"/>
    </row>
    <row r="1372" spans="1:6" x14ac:dyDescent="0.3">
      <c r="A1372" t="s">
        <v>819</v>
      </c>
      <c r="B1372" s="4" t="s">
        <v>299</v>
      </c>
      <c r="C1372" s="7">
        <v>45786</v>
      </c>
      <c r="D1372" s="8">
        <v>-9851.01</v>
      </c>
      <c r="E1372" s="8"/>
      <c r="F1372" s="8"/>
    </row>
    <row r="1373" spans="1:6" x14ac:dyDescent="0.3">
      <c r="A1373" t="s">
        <v>819</v>
      </c>
      <c r="B1373" s="4" t="s">
        <v>299</v>
      </c>
      <c r="C1373" s="7">
        <v>45786</v>
      </c>
      <c r="D1373" s="8">
        <v>-3959.16</v>
      </c>
      <c r="E1373" s="8"/>
      <c r="F1373" s="8"/>
    </row>
    <row r="1374" spans="1:6" x14ac:dyDescent="0.3">
      <c r="A1374" t="s">
        <v>819</v>
      </c>
      <c r="B1374" s="4" t="s">
        <v>299</v>
      </c>
      <c r="C1374" s="7">
        <v>45786</v>
      </c>
      <c r="D1374" s="8">
        <v>-33513</v>
      </c>
      <c r="E1374" s="8"/>
      <c r="F1374" s="8"/>
    </row>
    <row r="1375" spans="1:6" x14ac:dyDescent="0.3">
      <c r="A1375" t="s">
        <v>819</v>
      </c>
      <c r="B1375" s="4" t="s">
        <v>299</v>
      </c>
      <c r="C1375" s="7">
        <v>45786</v>
      </c>
      <c r="D1375" s="8">
        <v>-9443.2199999999993</v>
      </c>
      <c r="E1375" s="8"/>
      <c r="F1375" s="8"/>
    </row>
    <row r="1376" spans="1:6" x14ac:dyDescent="0.3">
      <c r="A1376" t="s">
        <v>819</v>
      </c>
      <c r="B1376" s="4" t="s">
        <v>299</v>
      </c>
      <c r="C1376" s="7">
        <v>45786</v>
      </c>
      <c r="D1376" s="8">
        <v>-685.07</v>
      </c>
      <c r="E1376" s="8"/>
      <c r="F1376" s="8"/>
    </row>
    <row r="1377" spans="1:6" x14ac:dyDescent="0.3">
      <c r="A1377" t="s">
        <v>819</v>
      </c>
      <c r="B1377" s="4" t="s">
        <v>299</v>
      </c>
      <c r="C1377" s="7">
        <v>45786</v>
      </c>
      <c r="D1377" s="8">
        <v>-221.63</v>
      </c>
      <c r="E1377" s="8"/>
      <c r="F1377" s="8"/>
    </row>
    <row r="1378" spans="1:6" x14ac:dyDescent="0.3">
      <c r="A1378" t="s">
        <v>819</v>
      </c>
      <c r="B1378" s="4" t="s">
        <v>299</v>
      </c>
      <c r="C1378" s="7">
        <v>45786</v>
      </c>
      <c r="D1378" s="8">
        <v>-10972.41</v>
      </c>
      <c r="E1378" s="8"/>
      <c r="F1378" s="8"/>
    </row>
    <row r="1379" spans="1:6" x14ac:dyDescent="0.3">
      <c r="A1379" t="s">
        <v>819</v>
      </c>
      <c r="B1379" s="4" t="s">
        <v>844</v>
      </c>
      <c r="C1379" s="7">
        <v>45787</v>
      </c>
      <c r="D1379" s="8">
        <v>2600</v>
      </c>
      <c r="E1379" s="8"/>
      <c r="F1379" s="8"/>
    </row>
    <row r="1380" spans="1:6" x14ac:dyDescent="0.3">
      <c r="A1380" t="s">
        <v>819</v>
      </c>
      <c r="B1380" s="4" t="s">
        <v>845</v>
      </c>
      <c r="C1380" s="7">
        <v>45789</v>
      </c>
      <c r="D1380" s="8">
        <v>1554</v>
      </c>
      <c r="E1380" s="8"/>
      <c r="F1380" s="8"/>
    </row>
    <row r="1381" spans="1:6" x14ac:dyDescent="0.3">
      <c r="A1381" t="s">
        <v>819</v>
      </c>
      <c r="B1381" s="4" t="s">
        <v>845</v>
      </c>
      <c r="C1381" s="7">
        <v>45789</v>
      </c>
      <c r="D1381" s="8">
        <v>965</v>
      </c>
      <c r="E1381" s="8"/>
      <c r="F1381" s="8"/>
    </row>
    <row r="1382" spans="1:6" x14ac:dyDescent="0.3">
      <c r="A1382" t="s">
        <v>819</v>
      </c>
      <c r="B1382" s="4" t="s">
        <v>845</v>
      </c>
      <c r="C1382" s="7">
        <v>45789</v>
      </c>
      <c r="D1382" s="8">
        <v>1794</v>
      </c>
      <c r="E1382" s="8"/>
      <c r="F1382" s="8"/>
    </row>
    <row r="1383" spans="1:6" x14ac:dyDescent="0.3">
      <c r="A1383" t="s">
        <v>819</v>
      </c>
      <c r="B1383" s="4" t="s">
        <v>845</v>
      </c>
      <c r="C1383" s="7">
        <v>45789</v>
      </c>
      <c r="D1383" s="8">
        <v>6187</v>
      </c>
      <c r="E1383" s="8"/>
      <c r="F1383" s="8"/>
    </row>
    <row r="1384" spans="1:6" x14ac:dyDescent="0.3">
      <c r="A1384" t="s">
        <v>819</v>
      </c>
      <c r="B1384" s="4" t="s">
        <v>846</v>
      </c>
      <c r="C1384" s="7">
        <v>45791</v>
      </c>
      <c r="D1384" s="8">
        <v>-9250</v>
      </c>
      <c r="E1384" s="8"/>
      <c r="F1384" s="8"/>
    </row>
    <row r="1385" spans="1:6" x14ac:dyDescent="0.3">
      <c r="A1385" t="s">
        <v>819</v>
      </c>
      <c r="B1385" s="4" t="s">
        <v>846</v>
      </c>
      <c r="C1385" s="7">
        <v>45791</v>
      </c>
      <c r="D1385" s="8">
        <v>-14389.01</v>
      </c>
      <c r="E1385" s="8"/>
      <c r="F1385" s="8"/>
    </row>
    <row r="1386" spans="1:6" x14ac:dyDescent="0.3">
      <c r="A1386" t="s">
        <v>819</v>
      </c>
      <c r="B1386" s="4" t="s">
        <v>846</v>
      </c>
      <c r="C1386" s="7">
        <v>45791</v>
      </c>
      <c r="D1386" s="8">
        <v>-1270</v>
      </c>
      <c r="E1386" s="8"/>
      <c r="F1386" s="8"/>
    </row>
    <row r="1387" spans="1:6" x14ac:dyDescent="0.3">
      <c r="A1387" t="s">
        <v>819</v>
      </c>
      <c r="B1387" s="4" t="s">
        <v>846</v>
      </c>
      <c r="C1387" s="7">
        <v>45791</v>
      </c>
      <c r="D1387" s="8">
        <v>-6699.02</v>
      </c>
      <c r="E1387" s="8"/>
      <c r="F1387" s="8"/>
    </row>
    <row r="1388" spans="1:6" x14ac:dyDescent="0.3">
      <c r="A1388" t="s">
        <v>819</v>
      </c>
      <c r="B1388" s="4" t="s">
        <v>847</v>
      </c>
      <c r="C1388" s="7">
        <v>45795</v>
      </c>
      <c r="D1388" s="8">
        <v>2600</v>
      </c>
      <c r="E1388" s="8"/>
      <c r="F1388" s="8"/>
    </row>
    <row r="1389" spans="1:6" x14ac:dyDescent="0.3">
      <c r="A1389" t="s">
        <v>819</v>
      </c>
      <c r="B1389" s="4" t="s">
        <v>847</v>
      </c>
      <c r="C1389" s="7">
        <v>45795</v>
      </c>
      <c r="D1389" s="8">
        <v>2600</v>
      </c>
      <c r="E1389" s="8"/>
      <c r="F1389" s="8"/>
    </row>
    <row r="1390" spans="1:6" x14ac:dyDescent="0.3">
      <c r="A1390" t="s">
        <v>819</v>
      </c>
      <c r="B1390" s="4" t="s">
        <v>847</v>
      </c>
      <c r="C1390" s="7">
        <v>45795</v>
      </c>
      <c r="D1390" s="8">
        <v>2600</v>
      </c>
      <c r="E1390" s="8"/>
      <c r="F1390" s="8"/>
    </row>
    <row r="1391" spans="1:6" x14ac:dyDescent="0.3">
      <c r="A1391" t="s">
        <v>819</v>
      </c>
      <c r="B1391" s="4" t="s">
        <v>847</v>
      </c>
      <c r="C1391" s="7">
        <v>45795</v>
      </c>
      <c r="D1391" s="8">
        <v>2600</v>
      </c>
      <c r="E1391" s="8"/>
      <c r="F1391" s="8"/>
    </row>
    <row r="1392" spans="1:6" x14ac:dyDescent="0.3">
      <c r="A1392" t="s">
        <v>819</v>
      </c>
      <c r="B1392" s="4" t="s">
        <v>848</v>
      </c>
      <c r="C1392" s="7">
        <v>45795</v>
      </c>
      <c r="D1392" s="8">
        <v>3360.14</v>
      </c>
      <c r="E1392" s="8"/>
      <c r="F1392" s="8"/>
    </row>
    <row r="1393" spans="1:6" x14ac:dyDescent="0.3">
      <c r="A1393" t="s">
        <v>819</v>
      </c>
      <c r="B1393" s="4" t="s">
        <v>849</v>
      </c>
      <c r="C1393" s="7">
        <v>45800</v>
      </c>
      <c r="D1393" s="8">
        <v>64.08</v>
      </c>
      <c r="E1393" s="8"/>
      <c r="F1393" s="8"/>
    </row>
    <row r="1394" spans="1:6" x14ac:dyDescent="0.3">
      <c r="A1394" t="s">
        <v>819</v>
      </c>
      <c r="B1394" s="4" t="s">
        <v>850</v>
      </c>
      <c r="C1394" s="7">
        <v>45800</v>
      </c>
      <c r="D1394" s="8">
        <v>924.86</v>
      </c>
      <c r="E1394" s="8"/>
      <c r="F1394" s="8"/>
    </row>
    <row r="1395" spans="1:6" x14ac:dyDescent="0.3">
      <c r="A1395" t="s">
        <v>819</v>
      </c>
      <c r="B1395" s="4" t="s">
        <v>851</v>
      </c>
      <c r="C1395" s="7">
        <v>45800</v>
      </c>
      <c r="D1395" s="8">
        <v>-16477.939999999999</v>
      </c>
      <c r="E1395" s="8"/>
      <c r="F1395" s="8"/>
    </row>
    <row r="1396" spans="1:6" x14ac:dyDescent="0.3">
      <c r="A1396" t="s">
        <v>819</v>
      </c>
      <c r="B1396" s="4" t="s">
        <v>851</v>
      </c>
      <c r="C1396" s="7">
        <v>45800</v>
      </c>
      <c r="D1396" s="8">
        <v>-13648.48</v>
      </c>
      <c r="E1396" s="8"/>
      <c r="F1396" s="8"/>
    </row>
    <row r="1397" spans="1:6" x14ac:dyDescent="0.3">
      <c r="A1397" t="s">
        <v>819</v>
      </c>
      <c r="B1397" s="4" t="s">
        <v>851</v>
      </c>
      <c r="C1397" s="7">
        <v>45800</v>
      </c>
      <c r="D1397" s="8">
        <v>-666.06</v>
      </c>
      <c r="E1397" s="8"/>
      <c r="F1397" s="8"/>
    </row>
    <row r="1398" spans="1:6" x14ac:dyDescent="0.3">
      <c r="A1398" t="s">
        <v>819</v>
      </c>
      <c r="B1398" s="4" t="s">
        <v>851</v>
      </c>
      <c r="C1398" s="7">
        <v>45800</v>
      </c>
      <c r="D1398" s="8">
        <v>-4761.87</v>
      </c>
      <c r="E1398" s="8"/>
      <c r="F1398" s="8"/>
    </row>
    <row r="1399" spans="1:6" x14ac:dyDescent="0.3">
      <c r="A1399" t="s">
        <v>819</v>
      </c>
      <c r="B1399" s="4" t="s">
        <v>851</v>
      </c>
      <c r="C1399" s="7">
        <v>45800</v>
      </c>
      <c r="D1399" s="8">
        <v>-17744.22</v>
      </c>
      <c r="E1399" s="8"/>
      <c r="F1399" s="8"/>
    </row>
    <row r="1400" spans="1:6" x14ac:dyDescent="0.3">
      <c r="A1400" t="s">
        <v>819</v>
      </c>
      <c r="B1400" s="4" t="s">
        <v>851</v>
      </c>
      <c r="C1400" s="7">
        <v>45800</v>
      </c>
      <c r="D1400" s="8">
        <v>-19262.05</v>
      </c>
      <c r="E1400" s="8"/>
      <c r="F1400" s="8"/>
    </row>
    <row r="1401" spans="1:6" x14ac:dyDescent="0.3">
      <c r="A1401" t="s">
        <v>819</v>
      </c>
      <c r="B1401" s="4" t="s">
        <v>24</v>
      </c>
      <c r="C1401" s="7">
        <v>45804</v>
      </c>
      <c r="D1401" s="8">
        <v>-20128</v>
      </c>
      <c r="E1401" s="8"/>
      <c r="F1401" s="8"/>
    </row>
    <row r="1402" spans="1:6" x14ac:dyDescent="0.3">
      <c r="A1402" t="s">
        <v>819</v>
      </c>
      <c r="B1402" s="4" t="s">
        <v>852</v>
      </c>
      <c r="C1402" s="7">
        <v>45805</v>
      </c>
      <c r="D1402" s="8">
        <v>5334.22</v>
      </c>
      <c r="E1402" s="8"/>
      <c r="F1402" s="8"/>
    </row>
    <row r="1403" spans="1:6" x14ac:dyDescent="0.3">
      <c r="A1403" t="s">
        <v>819</v>
      </c>
      <c r="B1403" s="4" t="s">
        <v>326</v>
      </c>
      <c r="C1403" s="7">
        <v>45806</v>
      </c>
      <c r="D1403" s="8">
        <v>39392.93</v>
      </c>
      <c r="E1403" s="8"/>
      <c r="F1403" s="8"/>
    </row>
    <row r="1404" spans="1:6" x14ac:dyDescent="0.3">
      <c r="A1404" t="s">
        <v>819</v>
      </c>
      <c r="B1404" s="4" t="s">
        <v>852</v>
      </c>
      <c r="C1404" s="7">
        <v>45807</v>
      </c>
      <c r="D1404" s="8">
        <v>7201.53</v>
      </c>
      <c r="E1404" s="8"/>
      <c r="F1404" s="8"/>
    </row>
    <row r="1405" spans="1:6" x14ac:dyDescent="0.3">
      <c r="A1405" t="s">
        <v>819</v>
      </c>
      <c r="B1405" s="4" t="s">
        <v>852</v>
      </c>
      <c r="C1405" s="7">
        <v>45807</v>
      </c>
      <c r="D1405" s="8">
        <v>13971.54</v>
      </c>
      <c r="E1405" s="8"/>
      <c r="F1405" s="8"/>
    </row>
    <row r="1406" spans="1:6" x14ac:dyDescent="0.3">
      <c r="A1406" t="s">
        <v>819</v>
      </c>
      <c r="B1406" s="4" t="s">
        <v>94</v>
      </c>
      <c r="C1406" s="7">
        <v>45807</v>
      </c>
      <c r="D1406" s="8">
        <v>-2835.65</v>
      </c>
      <c r="E1406" s="8"/>
      <c r="F1406" s="8"/>
    </row>
    <row r="1407" spans="1:6" x14ac:dyDescent="0.3">
      <c r="A1407" t="s">
        <v>819</v>
      </c>
      <c r="B1407" s="4" t="s">
        <v>853</v>
      </c>
      <c r="C1407" s="7">
        <v>45810</v>
      </c>
      <c r="D1407" s="8">
        <v>-2315</v>
      </c>
      <c r="E1407" s="8"/>
      <c r="F1407" s="8"/>
    </row>
    <row r="1408" spans="1:6" x14ac:dyDescent="0.3">
      <c r="A1408" t="s">
        <v>819</v>
      </c>
      <c r="B1408" s="4" t="s">
        <v>16</v>
      </c>
      <c r="C1408" s="7">
        <v>45824</v>
      </c>
      <c r="D1408" s="8">
        <v>-22521.01</v>
      </c>
      <c r="E1408" s="8"/>
      <c r="F1408" s="8"/>
    </row>
    <row r="1409" spans="1:6" x14ac:dyDescent="0.3">
      <c r="A1409" t="s">
        <v>819</v>
      </c>
      <c r="B1409" s="4" t="s">
        <v>16</v>
      </c>
      <c r="C1409" s="7">
        <v>45824</v>
      </c>
      <c r="D1409" s="8">
        <v>-38448.519999999997</v>
      </c>
      <c r="E1409" s="8"/>
      <c r="F1409" s="8"/>
    </row>
    <row r="1410" spans="1:6" x14ac:dyDescent="0.3">
      <c r="A1410" t="s">
        <v>819</v>
      </c>
      <c r="B1410" s="4" t="s">
        <v>16</v>
      </c>
      <c r="C1410" s="7">
        <v>45824</v>
      </c>
      <c r="D1410" s="8">
        <v>-2222.44</v>
      </c>
      <c r="E1410" s="8"/>
      <c r="F1410" s="8"/>
    </row>
    <row r="1411" spans="1:6" x14ac:dyDescent="0.3">
      <c r="A1411" t="s">
        <v>819</v>
      </c>
      <c r="B1411" s="4" t="s">
        <v>16</v>
      </c>
      <c r="C1411" s="7">
        <v>45824</v>
      </c>
      <c r="D1411" s="8">
        <v>-31846.45</v>
      </c>
      <c r="E1411" s="8"/>
      <c r="F1411" s="8"/>
    </row>
    <row r="1412" spans="1:6" x14ac:dyDescent="0.3">
      <c r="A1412" t="s">
        <v>819</v>
      </c>
      <c r="B1412" s="4" t="s">
        <v>16</v>
      </c>
      <c r="C1412" s="7">
        <v>45824</v>
      </c>
      <c r="D1412" s="8">
        <v>-11023</v>
      </c>
      <c r="E1412" s="8"/>
      <c r="F1412" s="8"/>
    </row>
    <row r="1413" spans="1:6" x14ac:dyDescent="0.3">
      <c r="A1413" t="s">
        <v>819</v>
      </c>
      <c r="B1413" s="4" t="s">
        <v>16</v>
      </c>
      <c r="C1413" s="7">
        <v>45824</v>
      </c>
      <c r="D1413" s="8">
        <v>-5137.88</v>
      </c>
      <c r="E1413" s="8"/>
      <c r="F1413" s="8"/>
    </row>
    <row r="1414" spans="1:6" x14ac:dyDescent="0.3">
      <c r="A1414" t="s">
        <v>819</v>
      </c>
      <c r="B1414" s="4" t="s">
        <v>16</v>
      </c>
      <c r="C1414" s="7">
        <v>45824</v>
      </c>
      <c r="D1414" s="8">
        <v>-5080.2</v>
      </c>
      <c r="E1414" s="8"/>
      <c r="F1414" s="8"/>
    </row>
    <row r="1415" spans="1:6" x14ac:dyDescent="0.3">
      <c r="A1415" t="s">
        <v>819</v>
      </c>
      <c r="B1415" s="4" t="s">
        <v>16</v>
      </c>
      <c r="C1415" s="7">
        <v>45824</v>
      </c>
      <c r="D1415" s="8">
        <v>-10367.06</v>
      </c>
      <c r="E1415" s="8"/>
      <c r="F1415" s="8"/>
    </row>
    <row r="1416" spans="1:6" x14ac:dyDescent="0.3">
      <c r="A1416" t="s">
        <v>819</v>
      </c>
      <c r="B1416" s="4" t="s">
        <v>16</v>
      </c>
      <c r="C1416" s="7">
        <v>45824</v>
      </c>
      <c r="D1416" s="8">
        <v>-2477.66</v>
      </c>
      <c r="E1416" s="8"/>
      <c r="F1416" s="8"/>
    </row>
    <row r="1417" spans="1:6" x14ac:dyDescent="0.3">
      <c r="A1417" t="s">
        <v>819</v>
      </c>
      <c r="B1417" s="4" t="s">
        <v>16</v>
      </c>
      <c r="C1417" s="7">
        <v>45824</v>
      </c>
      <c r="D1417" s="8">
        <v>-5781.19</v>
      </c>
      <c r="E1417" s="8"/>
      <c r="F1417" s="8"/>
    </row>
    <row r="1418" spans="1:6" x14ac:dyDescent="0.3">
      <c r="A1418" t="s">
        <v>819</v>
      </c>
      <c r="B1418" s="4" t="s">
        <v>854</v>
      </c>
      <c r="C1418" s="7">
        <v>45826</v>
      </c>
      <c r="D1418" s="8">
        <v>-32394.27</v>
      </c>
      <c r="E1418" s="8"/>
      <c r="F1418" s="8"/>
    </row>
    <row r="1419" spans="1:6" x14ac:dyDescent="0.3">
      <c r="A1419" t="s">
        <v>819</v>
      </c>
      <c r="B1419">
        <v>20250630</v>
      </c>
      <c r="C1419" s="7">
        <v>45838</v>
      </c>
      <c r="D1419" s="8">
        <v>6669</v>
      </c>
      <c r="E1419" s="8"/>
      <c r="F1419" s="8"/>
    </row>
    <row r="1420" spans="1:6" x14ac:dyDescent="0.3">
      <c r="A1420" t="s">
        <v>819</v>
      </c>
      <c r="B1420" s="4" t="s">
        <v>855</v>
      </c>
      <c r="C1420" s="7">
        <v>45838</v>
      </c>
      <c r="D1420" s="8">
        <v>5386.05</v>
      </c>
      <c r="E1420" s="8"/>
      <c r="F1420" s="8"/>
    </row>
    <row r="1421" spans="1:6" x14ac:dyDescent="0.3">
      <c r="A1421" t="s">
        <v>819</v>
      </c>
      <c r="B1421" s="4" t="s">
        <v>856</v>
      </c>
      <c r="C1421" s="7">
        <v>45838</v>
      </c>
      <c r="D1421" s="8">
        <v>919.1</v>
      </c>
      <c r="E1421" s="8"/>
      <c r="F1421" s="8"/>
    </row>
    <row r="1422" spans="1:6" x14ac:dyDescent="0.3">
      <c r="A1422" t="s">
        <v>819</v>
      </c>
      <c r="B1422" s="4" t="s">
        <v>857</v>
      </c>
      <c r="C1422" s="7">
        <v>45838</v>
      </c>
      <c r="D1422" s="8">
        <v>1323</v>
      </c>
      <c r="E1422" s="8"/>
      <c r="F1422" s="8"/>
    </row>
    <row r="1423" spans="1:6" x14ac:dyDescent="0.3">
      <c r="A1423" t="s">
        <v>819</v>
      </c>
      <c r="B1423" s="4" t="s">
        <v>858</v>
      </c>
      <c r="C1423" s="7">
        <v>45838</v>
      </c>
      <c r="D1423" s="8">
        <v>90</v>
      </c>
      <c r="E1423" s="8"/>
      <c r="F1423" s="8"/>
    </row>
    <row r="1424" spans="1:6" x14ac:dyDescent="0.3">
      <c r="A1424" t="s">
        <v>859</v>
      </c>
      <c r="B1424" s="4" t="s">
        <v>87</v>
      </c>
      <c r="C1424" s="7">
        <v>45806</v>
      </c>
      <c r="D1424" s="8">
        <v>-248.51</v>
      </c>
      <c r="E1424" s="8"/>
      <c r="F1424" s="8"/>
    </row>
    <row r="1425" spans="1:6" x14ac:dyDescent="0.3">
      <c r="A1425" t="s">
        <v>860</v>
      </c>
      <c r="B1425">
        <v>999184577</v>
      </c>
      <c r="C1425" s="7">
        <v>45776</v>
      </c>
      <c r="D1425" s="8">
        <v>42908.51</v>
      </c>
      <c r="E1425" s="8"/>
      <c r="F1425" s="8"/>
    </row>
    <row r="1426" spans="1:6" x14ac:dyDescent="0.3">
      <c r="A1426" t="s">
        <v>860</v>
      </c>
      <c r="B1426">
        <v>999184610</v>
      </c>
      <c r="C1426" s="7">
        <v>45777</v>
      </c>
      <c r="D1426" s="8">
        <v>36626.660000000003</v>
      </c>
      <c r="E1426" s="8"/>
      <c r="F1426" s="8"/>
    </row>
    <row r="1427" spans="1:6" x14ac:dyDescent="0.3">
      <c r="A1427" t="s">
        <v>860</v>
      </c>
      <c r="B1427">
        <v>999185188</v>
      </c>
      <c r="C1427" s="7">
        <v>45791</v>
      </c>
      <c r="D1427" s="8">
        <v>20833.87</v>
      </c>
      <c r="E1427" s="8"/>
      <c r="F1427" s="8"/>
    </row>
    <row r="1428" spans="1:6" x14ac:dyDescent="0.3">
      <c r="A1428" t="s">
        <v>860</v>
      </c>
      <c r="B1428" s="4" t="s">
        <v>25</v>
      </c>
      <c r="C1428" s="7">
        <v>45810</v>
      </c>
      <c r="D1428" s="8">
        <v>-737.86</v>
      </c>
      <c r="E1428" s="8"/>
      <c r="F1428" s="8"/>
    </row>
    <row r="1429" spans="1:6" x14ac:dyDescent="0.3">
      <c r="A1429" t="s">
        <v>860</v>
      </c>
      <c r="B1429" s="4" t="s">
        <v>861</v>
      </c>
      <c r="C1429" s="7">
        <v>45829</v>
      </c>
      <c r="D1429" s="8">
        <v>-25755.06</v>
      </c>
      <c r="E1429" s="8"/>
      <c r="F1429" s="8"/>
    </row>
    <row r="1430" spans="1:6" x14ac:dyDescent="0.3">
      <c r="A1430" t="s">
        <v>860</v>
      </c>
      <c r="B1430">
        <v>999186726</v>
      </c>
      <c r="C1430" s="7">
        <v>45834</v>
      </c>
      <c r="D1430" s="8">
        <v>39437.82</v>
      </c>
      <c r="E1430" s="8"/>
      <c r="F1430" s="8"/>
    </row>
    <row r="1431" spans="1:6" x14ac:dyDescent="0.3">
      <c r="A1431" t="s">
        <v>862</v>
      </c>
      <c r="B1431">
        <v>999151243</v>
      </c>
      <c r="C1431" s="7">
        <v>45183</v>
      </c>
      <c r="D1431" s="8">
        <v>5203.87</v>
      </c>
      <c r="E1431" s="8"/>
      <c r="F1431" s="8"/>
    </row>
    <row r="1432" spans="1:6" x14ac:dyDescent="0.3">
      <c r="A1432" t="s">
        <v>862</v>
      </c>
      <c r="B1432">
        <v>999184573</v>
      </c>
      <c r="C1432" s="7">
        <v>45776</v>
      </c>
      <c r="D1432" s="8">
        <v>23854.799999999999</v>
      </c>
      <c r="E1432" s="8"/>
      <c r="F1432" s="8"/>
    </row>
    <row r="1433" spans="1:6" x14ac:dyDescent="0.3">
      <c r="A1433" t="s">
        <v>862</v>
      </c>
      <c r="B1433">
        <v>999184575</v>
      </c>
      <c r="C1433" s="7">
        <v>45776</v>
      </c>
      <c r="D1433" s="8">
        <v>7005.3</v>
      </c>
      <c r="E1433" s="8"/>
      <c r="F1433" s="8"/>
    </row>
    <row r="1434" spans="1:6" x14ac:dyDescent="0.3">
      <c r="A1434" t="s">
        <v>862</v>
      </c>
      <c r="B1434">
        <v>999185190</v>
      </c>
      <c r="C1434" s="7">
        <v>45791</v>
      </c>
      <c r="D1434" s="8">
        <v>21384.86</v>
      </c>
      <c r="E1434" s="8"/>
      <c r="F1434" s="8"/>
    </row>
    <row r="1435" spans="1:6" x14ac:dyDescent="0.3">
      <c r="A1435" t="s">
        <v>863</v>
      </c>
      <c r="B1435" s="4" t="s">
        <v>864</v>
      </c>
      <c r="C1435" s="7">
        <v>45622</v>
      </c>
      <c r="D1435" s="8">
        <v>-260</v>
      </c>
      <c r="E1435" s="8"/>
      <c r="F1435" s="8"/>
    </row>
    <row r="1436" spans="1:6" x14ac:dyDescent="0.3">
      <c r="A1436" t="s">
        <v>863</v>
      </c>
      <c r="B1436" s="4" t="s">
        <v>864</v>
      </c>
      <c r="C1436" s="7">
        <v>45622</v>
      </c>
      <c r="D1436" s="8">
        <v>-8194</v>
      </c>
      <c r="E1436" s="8"/>
      <c r="F1436" s="8"/>
    </row>
    <row r="1437" spans="1:6" x14ac:dyDescent="0.3">
      <c r="A1437" t="s">
        <v>865</v>
      </c>
      <c r="B1437" s="4" t="s">
        <v>866</v>
      </c>
      <c r="C1437" s="7">
        <v>45792</v>
      </c>
      <c r="D1437" s="8">
        <v>4783.1099999999997</v>
      </c>
      <c r="E1437" s="8"/>
      <c r="F1437" s="8"/>
    </row>
    <row r="1438" spans="1:6" x14ac:dyDescent="0.3">
      <c r="A1438" t="s">
        <v>867</v>
      </c>
      <c r="B1438" s="4" t="s">
        <v>868</v>
      </c>
      <c r="C1438" s="7">
        <v>45838</v>
      </c>
      <c r="D1438" s="8">
        <v>2020.39</v>
      </c>
      <c r="E1438" s="8"/>
      <c r="F1438" s="8"/>
    </row>
    <row r="1439" spans="1:6" x14ac:dyDescent="0.3">
      <c r="A1439" t="s">
        <v>869</v>
      </c>
      <c r="B1439" s="4" t="s">
        <v>870</v>
      </c>
      <c r="C1439" s="7">
        <v>45108</v>
      </c>
      <c r="D1439" s="8">
        <v>502.31</v>
      </c>
      <c r="E1439" s="8"/>
      <c r="F1439" s="8"/>
    </row>
    <row r="1440" spans="1:6" x14ac:dyDescent="0.3">
      <c r="A1440" t="s">
        <v>869</v>
      </c>
      <c r="B1440">
        <v>20250630</v>
      </c>
      <c r="C1440" s="7">
        <v>45838</v>
      </c>
      <c r="D1440" s="8">
        <v>1497.6</v>
      </c>
      <c r="E1440" s="8"/>
      <c r="F1440" s="8"/>
    </row>
    <row r="1441" spans="1:6" x14ac:dyDescent="0.3">
      <c r="A1441" t="s">
        <v>871</v>
      </c>
      <c r="B1441" s="13" t="s">
        <v>872</v>
      </c>
      <c r="C1441" s="7">
        <v>45754</v>
      </c>
      <c r="D1441" s="8">
        <v>-862.7</v>
      </c>
      <c r="E1441" s="8"/>
      <c r="F1441" s="8"/>
    </row>
    <row r="1442" spans="1:6" x14ac:dyDescent="0.3">
      <c r="A1442" t="s">
        <v>873</v>
      </c>
      <c r="B1442">
        <v>1101363409</v>
      </c>
      <c r="C1442" s="7">
        <v>45597</v>
      </c>
      <c r="D1442" s="8">
        <v>50</v>
      </c>
      <c r="E1442" s="8"/>
      <c r="F1442" s="8"/>
    </row>
    <row r="1443" spans="1:6" x14ac:dyDescent="0.3">
      <c r="A1443" t="s">
        <v>873</v>
      </c>
      <c r="B1443">
        <v>1101363409</v>
      </c>
      <c r="C1443" s="7">
        <v>45597</v>
      </c>
      <c r="D1443" s="8">
        <v>50</v>
      </c>
      <c r="E1443" s="8"/>
      <c r="F1443" s="8"/>
    </row>
    <row r="1444" spans="1:6" x14ac:dyDescent="0.3">
      <c r="A1444" t="s">
        <v>874</v>
      </c>
      <c r="B1444">
        <v>23012784</v>
      </c>
      <c r="C1444" s="7">
        <v>45373</v>
      </c>
      <c r="D1444" s="8">
        <v>941.94</v>
      </c>
      <c r="E1444" s="8"/>
      <c r="F1444" s="8"/>
    </row>
    <row r="1445" spans="1:6" x14ac:dyDescent="0.3">
      <c r="A1445" t="s">
        <v>874</v>
      </c>
      <c r="B1445" s="4" t="s">
        <v>24</v>
      </c>
      <c r="C1445" s="7">
        <v>45804</v>
      </c>
      <c r="D1445" s="8">
        <v>-120.97</v>
      </c>
      <c r="E1445" s="8"/>
      <c r="F1445" s="8"/>
    </row>
    <row r="1446" spans="1:6" x14ac:dyDescent="0.3">
      <c r="A1446" t="s">
        <v>874</v>
      </c>
      <c r="B1446" s="4" t="s">
        <v>24</v>
      </c>
      <c r="C1446" s="7">
        <v>45804</v>
      </c>
      <c r="D1446" s="8">
        <v>-55.37</v>
      </c>
      <c r="E1446" s="8"/>
      <c r="F1446" s="8"/>
    </row>
    <row r="1447" spans="1:6" x14ac:dyDescent="0.3">
      <c r="A1447" t="s">
        <v>874</v>
      </c>
      <c r="B1447" s="4" t="s">
        <v>24</v>
      </c>
      <c r="C1447" s="7">
        <v>45804</v>
      </c>
      <c r="D1447" s="8">
        <v>-3756.61</v>
      </c>
      <c r="E1447" s="8"/>
      <c r="F1447" s="8"/>
    </row>
    <row r="1448" spans="1:6" x14ac:dyDescent="0.3">
      <c r="A1448" t="s">
        <v>874</v>
      </c>
      <c r="B1448" s="13" t="s">
        <v>875</v>
      </c>
      <c r="C1448" s="7">
        <v>45824</v>
      </c>
      <c r="D1448" s="8">
        <v>-8548.6299999999992</v>
      </c>
      <c r="E1448" s="8"/>
      <c r="F1448" s="8"/>
    </row>
    <row r="1449" spans="1:6" x14ac:dyDescent="0.3">
      <c r="A1449" t="s">
        <v>874</v>
      </c>
      <c r="B1449" s="4" t="s">
        <v>16</v>
      </c>
      <c r="C1449" s="7">
        <v>45824</v>
      </c>
      <c r="D1449" s="8">
        <v>-2110.9499999999998</v>
      </c>
      <c r="E1449" s="8"/>
      <c r="F1449" s="8"/>
    </row>
    <row r="1450" spans="1:6" x14ac:dyDescent="0.3">
      <c r="A1450" t="s">
        <v>874</v>
      </c>
      <c r="B1450" s="4" t="s">
        <v>16</v>
      </c>
      <c r="C1450" s="7">
        <v>45824</v>
      </c>
      <c r="D1450" s="8">
        <v>-10286.98</v>
      </c>
      <c r="E1450" s="8"/>
      <c r="F1450" s="8"/>
    </row>
    <row r="1451" spans="1:6" x14ac:dyDescent="0.3">
      <c r="A1451" t="s">
        <v>874</v>
      </c>
      <c r="B1451" s="4" t="s">
        <v>16</v>
      </c>
      <c r="C1451" s="7">
        <v>45824</v>
      </c>
      <c r="D1451" s="8">
        <v>-4255.96</v>
      </c>
      <c r="E1451" s="8"/>
      <c r="F1451" s="8"/>
    </row>
    <row r="1452" spans="1:6" x14ac:dyDescent="0.3">
      <c r="A1452" t="s">
        <v>876</v>
      </c>
      <c r="B1452">
        <v>14298381</v>
      </c>
      <c r="C1452" s="7">
        <v>45671</v>
      </c>
      <c r="D1452" s="8">
        <v>2575</v>
      </c>
      <c r="E1452" s="8"/>
      <c r="F1452" s="8"/>
    </row>
    <row r="1453" spans="1:6" x14ac:dyDescent="0.3">
      <c r="A1453" t="s">
        <v>876</v>
      </c>
      <c r="B1453">
        <v>14298381</v>
      </c>
      <c r="C1453" s="7">
        <v>45671</v>
      </c>
      <c r="D1453" s="8">
        <v>2575</v>
      </c>
      <c r="E1453" s="8"/>
      <c r="F1453" s="8"/>
    </row>
    <row r="1454" spans="1:6" x14ac:dyDescent="0.3">
      <c r="A1454" t="s">
        <v>876</v>
      </c>
      <c r="B1454" s="4" t="s">
        <v>877</v>
      </c>
      <c r="C1454" s="7">
        <v>45688</v>
      </c>
      <c r="D1454" s="8">
        <v>68</v>
      </c>
      <c r="E1454" s="8"/>
      <c r="F1454" s="8"/>
    </row>
    <row r="1455" spans="1:6" x14ac:dyDescent="0.3">
      <c r="A1455" t="s">
        <v>876</v>
      </c>
      <c r="B1455">
        <v>14518920</v>
      </c>
      <c r="C1455" s="7">
        <v>45735</v>
      </c>
      <c r="D1455" s="8">
        <v>0.1</v>
      </c>
      <c r="E1455" s="8"/>
      <c r="F1455" s="8"/>
    </row>
    <row r="1456" spans="1:6" x14ac:dyDescent="0.3">
      <c r="A1456" t="s">
        <v>876</v>
      </c>
      <c r="B1456" s="4" t="s">
        <v>878</v>
      </c>
      <c r="C1456" s="7">
        <v>45751</v>
      </c>
      <c r="D1456" s="8">
        <v>668.5</v>
      </c>
      <c r="E1456" s="8"/>
      <c r="F1456" s="8"/>
    </row>
    <row r="1457" spans="1:9" x14ac:dyDescent="0.3">
      <c r="A1457" t="s">
        <v>879</v>
      </c>
      <c r="B1457" s="4" t="s">
        <v>564</v>
      </c>
      <c r="C1457" s="7">
        <v>45749</v>
      </c>
      <c r="D1457" s="8">
        <v>-174.25</v>
      </c>
      <c r="E1457" s="8"/>
      <c r="F1457" s="8"/>
    </row>
    <row r="1458" spans="1:9" x14ac:dyDescent="0.3">
      <c r="A1458" t="s">
        <v>879</v>
      </c>
      <c r="B1458" s="13" t="s">
        <v>880</v>
      </c>
      <c r="C1458" s="7">
        <v>45750</v>
      </c>
      <c r="D1458" s="8">
        <v>-1366.16</v>
      </c>
      <c r="E1458" s="8"/>
      <c r="F1458" s="8"/>
    </row>
    <row r="1459" spans="1:9" x14ac:dyDescent="0.3">
      <c r="A1459" t="s">
        <v>879</v>
      </c>
      <c r="B1459">
        <v>664</v>
      </c>
      <c r="C1459" s="7">
        <v>45757</v>
      </c>
      <c r="D1459" s="8">
        <v>-18269.599999999999</v>
      </c>
      <c r="E1459" s="8"/>
      <c r="F1459" s="8"/>
    </row>
    <row r="1460" spans="1:9" x14ac:dyDescent="0.3">
      <c r="A1460" t="s">
        <v>879</v>
      </c>
      <c r="B1460" s="4" t="s">
        <v>881</v>
      </c>
      <c r="C1460" s="7">
        <v>45770</v>
      </c>
      <c r="D1460" s="8">
        <v>-325.91000000000003</v>
      </c>
      <c r="E1460" s="8"/>
      <c r="F1460" s="8"/>
    </row>
    <row r="1461" spans="1:9" x14ac:dyDescent="0.3">
      <c r="A1461" t="s">
        <v>882</v>
      </c>
      <c r="B1461">
        <v>27375</v>
      </c>
      <c r="C1461" s="7">
        <v>45490</v>
      </c>
      <c r="D1461" s="8">
        <v>-676.2</v>
      </c>
      <c r="E1461" s="8"/>
      <c r="F1461" s="8"/>
    </row>
    <row r="1462" spans="1:9" x14ac:dyDescent="0.3">
      <c r="A1462" t="s">
        <v>882</v>
      </c>
      <c r="B1462" s="13" t="s">
        <v>883</v>
      </c>
      <c r="C1462" s="7">
        <v>45667</v>
      </c>
      <c r="D1462" s="8">
        <v>-2115</v>
      </c>
      <c r="E1462" s="8"/>
      <c r="F1462" s="8"/>
    </row>
    <row r="1463" spans="1:9" x14ac:dyDescent="0.3">
      <c r="A1463" t="s">
        <v>884</v>
      </c>
      <c r="B1463">
        <v>20250630</v>
      </c>
      <c r="C1463" s="7">
        <v>45838</v>
      </c>
      <c r="D1463" s="8">
        <v>3756.61</v>
      </c>
      <c r="E1463" s="8"/>
      <c r="F1463" s="8"/>
    </row>
    <row r="1464" spans="1:9" x14ac:dyDescent="0.3">
      <c r="A1464" t="s">
        <v>885</v>
      </c>
      <c r="B1464" s="4" t="s">
        <v>886</v>
      </c>
      <c r="C1464" s="7">
        <v>45709</v>
      </c>
      <c r="D1464" s="8">
        <v>1008.51</v>
      </c>
      <c r="E1464" s="8"/>
      <c r="F1464" s="8"/>
    </row>
    <row r="1465" spans="1:9" x14ac:dyDescent="0.3">
      <c r="A1465" t="s">
        <v>887</v>
      </c>
      <c r="B1465" s="4" t="s">
        <v>888</v>
      </c>
      <c r="C1465" s="7">
        <v>45691</v>
      </c>
      <c r="D1465" s="8">
        <v>217.3</v>
      </c>
      <c r="E1465" s="8"/>
      <c r="F1465" s="8"/>
    </row>
    <row r="1466" spans="1:9" x14ac:dyDescent="0.3">
      <c r="A1466" t="s">
        <v>887</v>
      </c>
      <c r="B1466" s="4" t="s">
        <v>889</v>
      </c>
      <c r="C1466" s="7">
        <v>45698</v>
      </c>
      <c r="D1466" s="8">
        <v>513</v>
      </c>
      <c r="E1466" s="8"/>
      <c r="F1466" s="8"/>
    </row>
    <row r="1467" spans="1:9" x14ac:dyDescent="0.3">
      <c r="A1467" t="s">
        <v>887</v>
      </c>
      <c r="B1467" s="4" t="s">
        <v>890</v>
      </c>
      <c r="C1467" s="7">
        <v>45701</v>
      </c>
      <c r="D1467" s="8">
        <v>363.08</v>
      </c>
      <c r="E1467" s="8"/>
      <c r="F1467" s="8"/>
    </row>
    <row r="1468" spans="1:9" x14ac:dyDescent="0.3">
      <c r="A1468" t="s">
        <v>887</v>
      </c>
      <c r="B1468" s="4" t="s">
        <v>891</v>
      </c>
      <c r="C1468" s="7">
        <v>45702</v>
      </c>
      <c r="D1468" s="8">
        <v>0.27</v>
      </c>
      <c r="E1468" s="8"/>
      <c r="F1468" s="8"/>
    </row>
    <row r="1469" spans="1:9" x14ac:dyDescent="0.3">
      <c r="A1469" t="s">
        <v>887</v>
      </c>
      <c r="B1469" s="4" t="s">
        <v>892</v>
      </c>
      <c r="C1469" s="7">
        <v>45713</v>
      </c>
      <c r="D1469" s="8">
        <v>130.94999999999999</v>
      </c>
      <c r="E1469" s="8"/>
      <c r="F1469" s="8"/>
      <c r="G1469" s="109"/>
      <c r="H1469" s="11"/>
      <c r="I1469" s="42"/>
    </row>
    <row r="1470" spans="1:9" x14ac:dyDescent="0.3">
      <c r="A1470" t="s">
        <v>887</v>
      </c>
      <c r="B1470" s="4" t="s">
        <v>893</v>
      </c>
      <c r="C1470" s="7">
        <v>45716</v>
      </c>
      <c r="D1470" s="8">
        <v>135.34</v>
      </c>
      <c r="E1470" s="8"/>
      <c r="F1470" s="8"/>
    </row>
    <row r="1471" spans="1:9" x14ac:dyDescent="0.3">
      <c r="A1471" t="s">
        <v>887</v>
      </c>
      <c r="B1471" s="4" t="s">
        <v>894</v>
      </c>
      <c r="C1471" s="7">
        <v>45716</v>
      </c>
      <c r="D1471" s="8">
        <v>139.69999999999999</v>
      </c>
      <c r="E1471" s="8"/>
      <c r="F1471" s="8"/>
    </row>
    <row r="1472" spans="1:9" x14ac:dyDescent="0.3">
      <c r="A1472" t="s">
        <v>887</v>
      </c>
      <c r="B1472" s="4" t="s">
        <v>894</v>
      </c>
      <c r="C1472" s="7">
        <v>45716</v>
      </c>
      <c r="D1472" s="8">
        <v>140</v>
      </c>
      <c r="E1472" s="8"/>
      <c r="F1472" s="8"/>
    </row>
    <row r="1473" spans="1:9" x14ac:dyDescent="0.3">
      <c r="A1473" t="s">
        <v>887</v>
      </c>
      <c r="B1473" s="4" t="s">
        <v>895</v>
      </c>
      <c r="C1473" s="7">
        <v>45723</v>
      </c>
      <c r="D1473" s="8">
        <v>78.08</v>
      </c>
      <c r="E1473" s="8"/>
      <c r="F1473" s="8"/>
      <c r="G1473" s="109"/>
      <c r="H1473" s="11"/>
      <c r="I1473" s="42"/>
    </row>
    <row r="1474" spans="1:9" x14ac:dyDescent="0.3">
      <c r="A1474" t="s">
        <v>887</v>
      </c>
      <c r="B1474" s="4" t="s">
        <v>889</v>
      </c>
      <c r="C1474" s="7">
        <v>45726</v>
      </c>
      <c r="D1474" s="8">
        <v>513</v>
      </c>
      <c r="E1474" s="8"/>
      <c r="F1474" s="8"/>
    </row>
    <row r="1475" spans="1:9" x14ac:dyDescent="0.3">
      <c r="A1475" t="s">
        <v>887</v>
      </c>
      <c r="B1475" s="4" t="s">
        <v>889</v>
      </c>
      <c r="C1475" s="7">
        <v>45726</v>
      </c>
      <c r="D1475" s="8">
        <v>513</v>
      </c>
      <c r="E1475" s="8"/>
      <c r="F1475" s="8"/>
    </row>
    <row r="1476" spans="1:9" x14ac:dyDescent="0.3">
      <c r="A1476" t="s">
        <v>887</v>
      </c>
      <c r="B1476" s="4" t="s">
        <v>889</v>
      </c>
      <c r="C1476" s="7">
        <v>45726</v>
      </c>
      <c r="D1476" s="8">
        <v>512.66</v>
      </c>
      <c r="E1476" s="8"/>
      <c r="F1476" s="8"/>
    </row>
    <row r="1477" spans="1:9" x14ac:dyDescent="0.3">
      <c r="A1477" t="s">
        <v>887</v>
      </c>
      <c r="B1477" s="4" t="s">
        <v>896</v>
      </c>
      <c r="C1477" s="7">
        <v>45727</v>
      </c>
      <c r="D1477" s="8">
        <v>815</v>
      </c>
      <c r="E1477" s="8"/>
      <c r="F1477" s="8"/>
    </row>
    <row r="1478" spans="1:9" x14ac:dyDescent="0.3">
      <c r="A1478" t="s">
        <v>887</v>
      </c>
      <c r="B1478" s="4" t="s">
        <v>896</v>
      </c>
      <c r="C1478" s="7">
        <v>45727</v>
      </c>
      <c r="D1478" s="8">
        <v>815</v>
      </c>
      <c r="E1478" s="8"/>
      <c r="F1478" s="8"/>
    </row>
    <row r="1479" spans="1:9" x14ac:dyDescent="0.3">
      <c r="A1479" t="s">
        <v>887</v>
      </c>
      <c r="B1479" s="4" t="s">
        <v>896</v>
      </c>
      <c r="C1479" s="7">
        <v>45727</v>
      </c>
      <c r="D1479" s="8">
        <v>815</v>
      </c>
      <c r="E1479" s="8"/>
      <c r="F1479" s="8"/>
    </row>
    <row r="1480" spans="1:9" x14ac:dyDescent="0.3">
      <c r="A1480" t="s">
        <v>887</v>
      </c>
      <c r="B1480" s="4" t="s">
        <v>896</v>
      </c>
      <c r="C1480" s="7">
        <v>45727</v>
      </c>
      <c r="D1480" s="8">
        <v>815.63</v>
      </c>
      <c r="E1480" s="8"/>
      <c r="F1480" s="8"/>
    </row>
    <row r="1481" spans="1:9" x14ac:dyDescent="0.3">
      <c r="A1481" t="s">
        <v>887</v>
      </c>
      <c r="B1481" s="4" t="s">
        <v>897</v>
      </c>
      <c r="C1481" s="7">
        <v>45740</v>
      </c>
      <c r="D1481" s="8">
        <v>-40.64</v>
      </c>
      <c r="E1481" s="8"/>
      <c r="F1481" s="8"/>
    </row>
    <row r="1482" spans="1:9" x14ac:dyDescent="0.3">
      <c r="A1482" t="s">
        <v>887</v>
      </c>
      <c r="B1482" s="4" t="s">
        <v>897</v>
      </c>
      <c r="C1482" s="7">
        <v>45740</v>
      </c>
      <c r="D1482" s="8">
        <v>-2.62</v>
      </c>
      <c r="E1482" s="8"/>
      <c r="F1482" s="8"/>
    </row>
    <row r="1483" spans="1:9" x14ac:dyDescent="0.3">
      <c r="A1483" t="s">
        <v>887</v>
      </c>
      <c r="B1483" s="4" t="s">
        <v>897</v>
      </c>
      <c r="C1483" s="7">
        <v>45740</v>
      </c>
      <c r="D1483" s="8">
        <v>-0.57999999999999996</v>
      </c>
      <c r="E1483" s="8"/>
      <c r="F1483" s="8"/>
    </row>
    <row r="1484" spans="1:9" x14ac:dyDescent="0.3">
      <c r="A1484" t="s">
        <v>887</v>
      </c>
      <c r="B1484" s="4" t="s">
        <v>897</v>
      </c>
      <c r="C1484" s="7">
        <v>45740</v>
      </c>
      <c r="D1484" s="8">
        <v>-55.33</v>
      </c>
      <c r="E1484" s="8"/>
      <c r="F1484" s="8"/>
    </row>
    <row r="1485" spans="1:9" x14ac:dyDescent="0.3">
      <c r="A1485" t="s">
        <v>887</v>
      </c>
      <c r="B1485" s="4" t="s">
        <v>897</v>
      </c>
      <c r="C1485" s="7">
        <v>45740</v>
      </c>
      <c r="D1485" s="8">
        <v>-5312.29</v>
      </c>
      <c r="E1485" s="8"/>
      <c r="F1485" s="8"/>
    </row>
    <row r="1486" spans="1:9" x14ac:dyDescent="0.3">
      <c r="A1486" t="s">
        <v>887</v>
      </c>
      <c r="B1486" s="9" t="s">
        <v>898</v>
      </c>
      <c r="C1486" s="7">
        <v>45740</v>
      </c>
      <c r="D1486" s="8">
        <v>-415.04</v>
      </c>
      <c r="E1486" s="8"/>
      <c r="F1486" s="8"/>
    </row>
    <row r="1487" spans="1:9" x14ac:dyDescent="0.3">
      <c r="A1487" t="s">
        <v>887</v>
      </c>
      <c r="B1487" s="9" t="s">
        <v>899</v>
      </c>
      <c r="C1487" s="7">
        <v>45740</v>
      </c>
      <c r="D1487" s="8">
        <v>-32.71</v>
      </c>
      <c r="E1487" s="8"/>
      <c r="F1487" s="8"/>
    </row>
    <row r="1488" spans="1:9" x14ac:dyDescent="0.3">
      <c r="A1488" t="s">
        <v>887</v>
      </c>
      <c r="B1488" s="9" t="s">
        <v>900</v>
      </c>
      <c r="C1488" s="7">
        <v>45740</v>
      </c>
      <c r="D1488" s="8">
        <v>-32.71</v>
      </c>
      <c r="E1488" s="8"/>
      <c r="F1488" s="8"/>
    </row>
    <row r="1489" spans="1:6" x14ac:dyDescent="0.3">
      <c r="A1489" t="s">
        <v>887</v>
      </c>
      <c r="B1489" s="9" t="s">
        <v>901</v>
      </c>
      <c r="C1489" s="7">
        <v>45740</v>
      </c>
      <c r="D1489" s="8">
        <v>-209.03</v>
      </c>
      <c r="E1489" s="8"/>
      <c r="F1489" s="8"/>
    </row>
    <row r="1490" spans="1:6" x14ac:dyDescent="0.3">
      <c r="A1490" t="s">
        <v>887</v>
      </c>
      <c r="B1490" s="4" t="s">
        <v>902</v>
      </c>
      <c r="C1490" s="7">
        <v>45777</v>
      </c>
      <c r="D1490" s="8">
        <v>2599.9499999999998</v>
      </c>
      <c r="E1490" s="8"/>
      <c r="F1490" s="8"/>
    </row>
    <row r="1491" spans="1:6" x14ac:dyDescent="0.3">
      <c r="A1491" t="s">
        <v>887</v>
      </c>
      <c r="B1491" s="4" t="s">
        <v>903</v>
      </c>
      <c r="C1491" s="7">
        <v>45824</v>
      </c>
      <c r="D1491" s="8">
        <v>4529</v>
      </c>
      <c r="E1491" s="8"/>
      <c r="F1491" s="8"/>
    </row>
    <row r="1492" spans="1:6" x14ac:dyDescent="0.3">
      <c r="A1492" t="s">
        <v>887</v>
      </c>
      <c r="B1492" s="4" t="s">
        <v>903</v>
      </c>
      <c r="C1492" s="7">
        <v>45824</v>
      </c>
      <c r="D1492" s="8">
        <v>4528.0200000000004</v>
      </c>
      <c r="E1492" s="8"/>
      <c r="F1492" s="8"/>
    </row>
    <row r="1493" spans="1:6" x14ac:dyDescent="0.3">
      <c r="A1493" t="s">
        <v>887</v>
      </c>
      <c r="B1493" s="4" t="s">
        <v>904</v>
      </c>
      <c r="C1493" s="7">
        <v>45832</v>
      </c>
      <c r="D1493" s="8">
        <v>-48626.44</v>
      </c>
      <c r="E1493" s="8"/>
      <c r="F1493" s="8"/>
    </row>
    <row r="1494" spans="1:6" x14ac:dyDescent="0.3">
      <c r="A1494" t="s">
        <v>905</v>
      </c>
      <c r="B1494" s="4" t="s">
        <v>906</v>
      </c>
      <c r="C1494" s="7">
        <v>45505</v>
      </c>
      <c r="D1494" s="8">
        <v>720.82</v>
      </c>
      <c r="E1494" s="8"/>
      <c r="F1494" s="8"/>
    </row>
    <row r="1495" spans="1:6" x14ac:dyDescent="0.3">
      <c r="A1495" t="s">
        <v>907</v>
      </c>
      <c r="B1495" s="13" t="s">
        <v>908</v>
      </c>
      <c r="C1495" s="7">
        <v>45771</v>
      </c>
      <c r="D1495" s="8">
        <v>-10595.3</v>
      </c>
      <c r="E1495" s="8"/>
      <c r="F1495" s="8"/>
    </row>
    <row r="1496" spans="1:6" x14ac:dyDescent="0.3">
      <c r="A1496" t="s">
        <v>907</v>
      </c>
      <c r="B1496" s="4" t="s">
        <v>446</v>
      </c>
      <c r="C1496" s="7">
        <v>45776</v>
      </c>
      <c r="D1496" s="8">
        <v>-932.31</v>
      </c>
      <c r="E1496" s="8"/>
      <c r="F1496" s="8"/>
    </row>
    <row r="1497" spans="1:6" x14ac:dyDescent="0.3">
      <c r="A1497" t="s">
        <v>907</v>
      </c>
      <c r="B1497" s="4" t="s">
        <v>94</v>
      </c>
      <c r="C1497" s="7">
        <v>45809</v>
      </c>
      <c r="D1497" s="8">
        <v>-75.760000000000005</v>
      </c>
      <c r="E1497" s="8"/>
      <c r="F1497" s="8"/>
    </row>
    <row r="1498" spans="1:6" x14ac:dyDescent="0.3">
      <c r="A1498" t="s">
        <v>907</v>
      </c>
      <c r="B1498" s="4" t="s">
        <v>94</v>
      </c>
      <c r="C1498" s="7">
        <v>45809</v>
      </c>
      <c r="D1498" s="8">
        <v>-1441.27</v>
      </c>
      <c r="E1498" s="8"/>
      <c r="F1498" s="8"/>
    </row>
    <row r="1499" spans="1:6" x14ac:dyDescent="0.3">
      <c r="A1499" t="s">
        <v>907</v>
      </c>
      <c r="B1499" s="13" t="s">
        <v>883</v>
      </c>
      <c r="C1499" s="7">
        <v>45824</v>
      </c>
      <c r="D1499" s="8">
        <v>-968.08</v>
      </c>
      <c r="E1499" s="8"/>
      <c r="F1499" s="8"/>
    </row>
    <row r="1500" spans="1:6" x14ac:dyDescent="0.3">
      <c r="A1500" t="s">
        <v>907</v>
      </c>
      <c r="B1500" s="13" t="s">
        <v>909</v>
      </c>
      <c r="C1500" s="7">
        <v>45826</v>
      </c>
      <c r="D1500" s="8">
        <v>-10595.3</v>
      </c>
      <c r="E1500" s="8"/>
      <c r="F1500" s="8"/>
    </row>
    <row r="1501" spans="1:6" x14ac:dyDescent="0.3">
      <c r="A1501" t="s">
        <v>907</v>
      </c>
      <c r="B1501" s="13" t="s">
        <v>910</v>
      </c>
      <c r="C1501" s="7">
        <v>45833</v>
      </c>
      <c r="D1501" s="8">
        <v>-4881.37</v>
      </c>
      <c r="E1501" s="8"/>
      <c r="F1501" s="8"/>
    </row>
    <row r="1502" spans="1:6" x14ac:dyDescent="0.3">
      <c r="A1502" t="s">
        <v>911</v>
      </c>
      <c r="B1502">
        <v>188009241</v>
      </c>
      <c r="C1502" s="7">
        <v>45673</v>
      </c>
      <c r="D1502" s="8">
        <v>827.38</v>
      </c>
      <c r="E1502" s="8"/>
      <c r="F1502" s="8"/>
    </row>
    <row r="1503" spans="1:6" x14ac:dyDescent="0.3">
      <c r="A1503" t="s">
        <v>911</v>
      </c>
      <c r="B1503">
        <v>188009476</v>
      </c>
      <c r="C1503" s="7">
        <v>45673</v>
      </c>
      <c r="D1503" s="8">
        <v>767.5</v>
      </c>
      <c r="E1503" s="8"/>
      <c r="F1503" s="8"/>
    </row>
    <row r="1504" spans="1:6" x14ac:dyDescent="0.3">
      <c r="A1504" t="s">
        <v>911</v>
      </c>
      <c r="B1504">
        <v>188169574</v>
      </c>
      <c r="C1504" s="7">
        <v>45678</v>
      </c>
      <c r="D1504" s="8">
        <v>620.59</v>
      </c>
      <c r="E1504" s="8"/>
      <c r="F1504" s="8"/>
    </row>
    <row r="1505" spans="1:6" x14ac:dyDescent="0.3">
      <c r="A1505" t="s">
        <v>911</v>
      </c>
      <c r="B1505">
        <v>188248104</v>
      </c>
      <c r="C1505" s="7">
        <v>45679</v>
      </c>
      <c r="D1505" s="8">
        <v>767.5</v>
      </c>
      <c r="E1505" s="8"/>
      <c r="F1505" s="8"/>
    </row>
    <row r="1506" spans="1:6" x14ac:dyDescent="0.3">
      <c r="A1506" t="s">
        <v>911</v>
      </c>
      <c r="B1506">
        <v>194719434</v>
      </c>
      <c r="C1506" s="7">
        <v>45835</v>
      </c>
      <c r="D1506" s="8">
        <v>226.8</v>
      </c>
      <c r="E1506" s="8"/>
      <c r="F1506" s="8"/>
    </row>
    <row r="1507" spans="1:6" x14ac:dyDescent="0.3">
      <c r="A1507" t="s">
        <v>912</v>
      </c>
      <c r="B1507">
        <v>1343718</v>
      </c>
      <c r="C1507" s="7">
        <v>45733</v>
      </c>
      <c r="D1507" s="8">
        <v>4309</v>
      </c>
      <c r="E1507" s="8"/>
      <c r="F1507" s="8"/>
    </row>
    <row r="1508" spans="1:6" x14ac:dyDescent="0.3">
      <c r="A1508" t="s">
        <v>912</v>
      </c>
      <c r="B1508">
        <v>1253518</v>
      </c>
      <c r="C1508" s="7">
        <v>45827</v>
      </c>
      <c r="D1508" s="8">
        <v>5340</v>
      </c>
      <c r="E1508" s="8"/>
      <c r="F1508" s="8"/>
    </row>
    <row r="1509" spans="1:6" x14ac:dyDescent="0.3">
      <c r="A1509" t="s">
        <v>913</v>
      </c>
      <c r="B1509">
        <v>33048</v>
      </c>
      <c r="C1509" s="7">
        <v>45838</v>
      </c>
      <c r="D1509" s="8">
        <v>3220</v>
      </c>
      <c r="E1509" s="8"/>
      <c r="F1509" s="8"/>
    </row>
    <row r="1510" spans="1:6" x14ac:dyDescent="0.3">
      <c r="A1510" t="s">
        <v>914</v>
      </c>
      <c r="B1510">
        <v>142055</v>
      </c>
      <c r="C1510" s="7">
        <v>45658</v>
      </c>
      <c r="D1510" s="8">
        <v>149.04</v>
      </c>
      <c r="E1510" s="8"/>
      <c r="F1510" s="8"/>
    </row>
    <row r="1511" spans="1:6" x14ac:dyDescent="0.3">
      <c r="A1511" t="s">
        <v>914</v>
      </c>
      <c r="B1511">
        <v>142361</v>
      </c>
      <c r="C1511" s="7">
        <v>45716</v>
      </c>
      <c r="D1511" s="8">
        <v>1783.09</v>
      </c>
      <c r="E1511" s="8"/>
      <c r="F1511" s="8"/>
    </row>
    <row r="1512" spans="1:6" x14ac:dyDescent="0.3">
      <c r="A1512" t="s">
        <v>914</v>
      </c>
      <c r="B1512">
        <v>142500</v>
      </c>
      <c r="C1512" s="7">
        <v>45747</v>
      </c>
      <c r="D1512" s="8">
        <v>858.52</v>
      </c>
      <c r="E1512" s="8"/>
      <c r="F1512" s="8"/>
    </row>
    <row r="1513" spans="1:6" x14ac:dyDescent="0.3">
      <c r="A1513" t="s">
        <v>914</v>
      </c>
      <c r="B1513">
        <v>142654</v>
      </c>
      <c r="C1513" s="7">
        <v>45777</v>
      </c>
      <c r="D1513" s="8">
        <v>190.4</v>
      </c>
      <c r="E1513" s="8"/>
      <c r="F1513" s="8"/>
    </row>
    <row r="1514" spans="1:6" x14ac:dyDescent="0.3">
      <c r="A1514" t="s">
        <v>914</v>
      </c>
      <c r="B1514">
        <v>142812</v>
      </c>
      <c r="C1514" s="7">
        <v>45808</v>
      </c>
      <c r="D1514" s="8">
        <v>106.56</v>
      </c>
      <c r="E1514" s="8"/>
      <c r="F1514" s="8"/>
    </row>
    <row r="1515" spans="1:6" x14ac:dyDescent="0.3">
      <c r="A1515" t="s">
        <v>914</v>
      </c>
      <c r="B1515">
        <v>142963</v>
      </c>
      <c r="C1515" s="7">
        <v>45838</v>
      </c>
      <c r="D1515" s="8">
        <v>227.03</v>
      </c>
      <c r="E1515" s="8"/>
      <c r="F1515" s="8"/>
    </row>
    <row r="1516" spans="1:6" x14ac:dyDescent="0.3">
      <c r="A1516" t="s">
        <v>915</v>
      </c>
      <c r="B1516">
        <v>247514092</v>
      </c>
      <c r="C1516" s="7">
        <v>45779</v>
      </c>
      <c r="D1516" s="8">
        <v>927.45</v>
      </c>
      <c r="E1516" s="8"/>
      <c r="F1516" s="8"/>
    </row>
    <row r="1517" spans="1:6" x14ac:dyDescent="0.3">
      <c r="A1517" t="s">
        <v>916</v>
      </c>
      <c r="B1517" s="4" t="s">
        <v>917</v>
      </c>
      <c r="C1517" s="7">
        <v>45502</v>
      </c>
      <c r="D1517" s="8">
        <v>6064</v>
      </c>
      <c r="E1517" s="8"/>
      <c r="F1517" s="8"/>
    </row>
    <row r="1518" spans="1:6" x14ac:dyDescent="0.3">
      <c r="A1518" t="s">
        <v>918</v>
      </c>
      <c r="B1518">
        <v>20250630</v>
      </c>
      <c r="C1518" s="7">
        <v>45838</v>
      </c>
      <c r="D1518" s="8">
        <v>2505.11</v>
      </c>
      <c r="E1518" s="8"/>
      <c r="F1518" s="8"/>
    </row>
    <row r="1519" spans="1:6" x14ac:dyDescent="0.3">
      <c r="A1519" t="s">
        <v>919</v>
      </c>
      <c r="B1519" s="4" t="s">
        <v>920</v>
      </c>
      <c r="C1519" s="7">
        <v>45814</v>
      </c>
      <c r="D1519" s="8">
        <v>622.85</v>
      </c>
      <c r="E1519" s="8"/>
      <c r="F1519" s="8"/>
    </row>
    <row r="1520" spans="1:6" x14ac:dyDescent="0.3">
      <c r="A1520" t="s">
        <v>921</v>
      </c>
      <c r="B1520" s="13" t="s">
        <v>922</v>
      </c>
      <c r="C1520" s="7">
        <v>45833</v>
      </c>
      <c r="D1520" s="8">
        <v>-1508.22</v>
      </c>
      <c r="E1520" s="8"/>
      <c r="F1520" s="8"/>
    </row>
    <row r="1521" spans="1:6" x14ac:dyDescent="0.3">
      <c r="A1521" t="s">
        <v>923</v>
      </c>
      <c r="B1521">
        <v>41279</v>
      </c>
      <c r="C1521" s="7">
        <v>45740</v>
      </c>
      <c r="D1521" s="8">
        <v>3171.3</v>
      </c>
      <c r="E1521" s="8"/>
      <c r="F1521" s="8"/>
    </row>
    <row r="1522" spans="1:6" x14ac:dyDescent="0.3">
      <c r="A1522" t="s">
        <v>923</v>
      </c>
      <c r="B1522" s="4" t="s">
        <v>924</v>
      </c>
      <c r="C1522" s="7">
        <v>45805</v>
      </c>
      <c r="D1522" s="8">
        <v>-846.5</v>
      </c>
      <c r="E1522" s="8"/>
      <c r="F1522" s="8"/>
    </row>
    <row r="1523" spans="1:6" x14ac:dyDescent="0.3">
      <c r="A1523" t="s">
        <v>923</v>
      </c>
      <c r="B1523" s="4" t="s">
        <v>333</v>
      </c>
      <c r="C1523" s="7">
        <v>45825</v>
      </c>
      <c r="D1523" s="8">
        <v>-2223.9499999999998</v>
      </c>
      <c r="E1523" s="8"/>
      <c r="F1523" s="8"/>
    </row>
    <row r="1524" spans="1:6" x14ac:dyDescent="0.3">
      <c r="A1524" t="s">
        <v>925</v>
      </c>
      <c r="B1524">
        <v>2062025</v>
      </c>
      <c r="C1524" s="7">
        <v>45694</v>
      </c>
      <c r="D1524" s="8">
        <v>243.34</v>
      </c>
      <c r="E1524" s="8"/>
      <c r="F1524" s="8"/>
    </row>
    <row r="1525" spans="1:6" x14ac:dyDescent="0.3">
      <c r="A1525" t="s">
        <v>926</v>
      </c>
      <c r="B1525">
        <v>33229323</v>
      </c>
      <c r="C1525" s="7">
        <v>45596</v>
      </c>
      <c r="D1525" s="8">
        <v>5000</v>
      </c>
      <c r="E1525" s="8"/>
      <c r="F1525" s="8"/>
    </row>
    <row r="1526" spans="1:6" x14ac:dyDescent="0.3">
      <c r="A1526" t="s">
        <v>927</v>
      </c>
      <c r="B1526" s="4" t="s">
        <v>20</v>
      </c>
      <c r="C1526" s="7">
        <v>45643</v>
      </c>
      <c r="D1526" s="8">
        <v>-100000</v>
      </c>
      <c r="E1526" s="8"/>
      <c r="F1526" s="8"/>
    </row>
    <row r="1527" spans="1:6" x14ac:dyDescent="0.3">
      <c r="A1527" t="s">
        <v>927</v>
      </c>
      <c r="B1527" s="4" t="s">
        <v>928</v>
      </c>
      <c r="C1527" s="7">
        <v>45646</v>
      </c>
      <c r="D1527" s="8">
        <v>0.45</v>
      </c>
      <c r="E1527" s="8"/>
      <c r="F1527" s="8"/>
    </row>
    <row r="1528" spans="1:6" x14ac:dyDescent="0.3">
      <c r="A1528" t="s">
        <v>927</v>
      </c>
      <c r="B1528" s="4" t="s">
        <v>929</v>
      </c>
      <c r="C1528" s="7">
        <v>45764</v>
      </c>
      <c r="D1528" s="8">
        <v>925.76</v>
      </c>
      <c r="E1528" s="8"/>
      <c r="F1528" s="8"/>
    </row>
    <row r="1529" spans="1:6" ht="13.25" customHeight="1" x14ac:dyDescent="0.3">
      <c r="A1529" t="s">
        <v>927</v>
      </c>
      <c r="B1529" s="15" t="s">
        <v>930</v>
      </c>
      <c r="C1529" s="7">
        <v>45779</v>
      </c>
      <c r="D1529" s="8">
        <v>-18732.54</v>
      </c>
      <c r="E1529" s="8"/>
      <c r="F1529" s="8"/>
    </row>
    <row r="1530" spans="1:6" x14ac:dyDescent="0.3">
      <c r="A1530" t="s">
        <v>931</v>
      </c>
      <c r="B1530" s="4" t="s">
        <v>932</v>
      </c>
      <c r="C1530" s="7">
        <v>45601</v>
      </c>
      <c r="D1530" s="8">
        <v>-3983</v>
      </c>
      <c r="E1530" s="8"/>
      <c r="F1530" s="8"/>
    </row>
    <row r="1531" spans="1:6" x14ac:dyDescent="0.3">
      <c r="A1531" t="s">
        <v>933</v>
      </c>
      <c r="B1531" s="4" t="s">
        <v>934</v>
      </c>
      <c r="C1531" s="7">
        <v>45383</v>
      </c>
      <c r="D1531" s="8">
        <v>7592.08</v>
      </c>
      <c r="E1531" s="8"/>
      <c r="F1531" s="8"/>
    </row>
    <row r="1532" spans="1:6" x14ac:dyDescent="0.3">
      <c r="A1532" t="s">
        <v>933</v>
      </c>
      <c r="B1532" s="4" t="s">
        <v>935</v>
      </c>
      <c r="C1532" s="7">
        <v>45392</v>
      </c>
      <c r="D1532" s="8">
        <v>4224.9799999999996</v>
      </c>
      <c r="E1532" s="8"/>
      <c r="F1532" s="8"/>
    </row>
    <row r="1533" spans="1:6" x14ac:dyDescent="0.3">
      <c r="A1533" t="s">
        <v>933</v>
      </c>
      <c r="B1533" s="4" t="s">
        <v>936</v>
      </c>
      <c r="C1533" s="7">
        <v>45530</v>
      </c>
      <c r="D1533" s="8">
        <v>2255.1999999999998</v>
      </c>
      <c r="E1533" s="8"/>
      <c r="F1533" s="8"/>
    </row>
    <row r="1534" spans="1:6" x14ac:dyDescent="0.3">
      <c r="A1534" t="s">
        <v>933</v>
      </c>
      <c r="B1534" s="4" t="s">
        <v>937</v>
      </c>
      <c r="C1534" s="7">
        <v>45566</v>
      </c>
      <c r="D1534" s="8">
        <v>2518.16</v>
      </c>
      <c r="E1534" s="8"/>
      <c r="F1534" s="8"/>
    </row>
    <row r="1535" spans="1:6" x14ac:dyDescent="0.3">
      <c r="A1535" t="s">
        <v>933</v>
      </c>
      <c r="B1535">
        <v>36106</v>
      </c>
      <c r="C1535" s="7">
        <v>45645</v>
      </c>
      <c r="D1535" s="8">
        <v>-18000</v>
      </c>
      <c r="E1535" s="8"/>
      <c r="F1535" s="8"/>
    </row>
    <row r="1536" spans="1:6" x14ac:dyDescent="0.3">
      <c r="A1536" t="s">
        <v>933</v>
      </c>
      <c r="B1536" s="4" t="s">
        <v>938</v>
      </c>
      <c r="C1536" s="7">
        <v>45658</v>
      </c>
      <c r="D1536" s="8">
        <v>8650.52</v>
      </c>
      <c r="E1536" s="8"/>
      <c r="F1536" s="8"/>
    </row>
    <row r="1537" spans="1:9" x14ac:dyDescent="0.3">
      <c r="A1537" t="s">
        <v>933</v>
      </c>
      <c r="B1537">
        <v>664</v>
      </c>
      <c r="C1537" s="7">
        <v>45681</v>
      </c>
      <c r="D1537" s="8">
        <v>-4361.46</v>
      </c>
      <c r="E1537" s="8"/>
      <c r="F1537" s="8"/>
    </row>
    <row r="1538" spans="1:9" x14ac:dyDescent="0.3">
      <c r="A1538" t="s">
        <v>933</v>
      </c>
      <c r="B1538" s="4" t="s">
        <v>939</v>
      </c>
      <c r="C1538" s="7">
        <v>45726</v>
      </c>
      <c r="D1538" s="8">
        <v>-6266.98</v>
      </c>
      <c r="E1538" s="8"/>
      <c r="F1538" s="8"/>
    </row>
    <row r="1539" spans="1:9" x14ac:dyDescent="0.3">
      <c r="A1539" t="s">
        <v>933</v>
      </c>
      <c r="B1539" s="4" t="s">
        <v>940</v>
      </c>
      <c r="C1539" s="7">
        <v>45730</v>
      </c>
      <c r="D1539" s="8">
        <v>3635</v>
      </c>
      <c r="E1539" s="8"/>
      <c r="F1539" s="8"/>
    </row>
    <row r="1540" spans="1:9" x14ac:dyDescent="0.3">
      <c r="A1540" t="s">
        <v>933</v>
      </c>
      <c r="B1540" s="4" t="s">
        <v>815</v>
      </c>
      <c r="C1540" s="7">
        <v>45732</v>
      </c>
      <c r="D1540" s="8">
        <v>-1371.13</v>
      </c>
      <c r="E1540" s="8"/>
      <c r="F1540" s="8"/>
    </row>
    <row r="1541" spans="1:9" x14ac:dyDescent="0.3">
      <c r="A1541" t="s">
        <v>933</v>
      </c>
      <c r="B1541">
        <v>664</v>
      </c>
      <c r="C1541" s="7">
        <v>45760</v>
      </c>
      <c r="D1541" s="8">
        <v>-8146.36</v>
      </c>
      <c r="E1541" s="8"/>
      <c r="F1541" s="8"/>
    </row>
    <row r="1542" spans="1:9" s="84" customFormat="1" x14ac:dyDescent="0.3">
      <c r="A1542" s="84" t="s">
        <v>933</v>
      </c>
      <c r="B1542" s="85" t="s">
        <v>941</v>
      </c>
      <c r="C1542" s="86">
        <v>45797</v>
      </c>
      <c r="D1542" s="3">
        <v>-2232.3000000000002</v>
      </c>
      <c r="E1542" s="3"/>
      <c r="F1542" s="3"/>
      <c r="G1542" s="110"/>
      <c r="I1542" s="87"/>
    </row>
    <row r="1543" spans="1:9" x14ac:dyDescent="0.3">
      <c r="A1543" t="s">
        <v>933</v>
      </c>
      <c r="B1543">
        <v>664</v>
      </c>
      <c r="C1543" s="7">
        <v>45799</v>
      </c>
      <c r="D1543" s="8">
        <v>-2469.13</v>
      </c>
      <c r="E1543" s="8"/>
      <c r="F1543" s="8"/>
    </row>
    <row r="1544" spans="1:9" x14ac:dyDescent="0.3">
      <c r="A1544" t="s">
        <v>933</v>
      </c>
      <c r="B1544" s="4" t="s">
        <v>94</v>
      </c>
      <c r="C1544" s="7">
        <v>45809</v>
      </c>
      <c r="D1544" s="8">
        <v>-3989.69</v>
      </c>
      <c r="E1544" s="8"/>
      <c r="F1544" s="8"/>
    </row>
    <row r="1545" spans="1:9" x14ac:dyDescent="0.3">
      <c r="A1545" t="s">
        <v>933</v>
      </c>
      <c r="B1545" s="4" t="s">
        <v>942</v>
      </c>
      <c r="C1545" s="7">
        <v>45811</v>
      </c>
      <c r="D1545" s="8">
        <v>6368.57</v>
      </c>
      <c r="E1545" s="8"/>
      <c r="F1545" s="8"/>
    </row>
    <row r="1546" spans="1:9" x14ac:dyDescent="0.3">
      <c r="A1546" t="s">
        <v>933</v>
      </c>
      <c r="B1546" s="4" t="s">
        <v>943</v>
      </c>
      <c r="C1546" s="7">
        <v>45813</v>
      </c>
      <c r="D1546" s="8">
        <v>-3747.42</v>
      </c>
      <c r="E1546" s="8"/>
      <c r="F1546" s="8"/>
    </row>
    <row r="1547" spans="1:9" x14ac:dyDescent="0.3">
      <c r="A1547" t="s">
        <v>933</v>
      </c>
      <c r="B1547">
        <v>664</v>
      </c>
      <c r="C1547" s="7">
        <v>45817</v>
      </c>
      <c r="D1547" s="8">
        <v>-3630.28</v>
      </c>
      <c r="E1547" s="8"/>
      <c r="F1547" s="8"/>
    </row>
    <row r="1548" spans="1:9" x14ac:dyDescent="0.3">
      <c r="A1548" t="s">
        <v>933</v>
      </c>
      <c r="B1548" s="4" t="s">
        <v>854</v>
      </c>
      <c r="C1548" s="7">
        <v>45826</v>
      </c>
      <c r="D1548" s="8">
        <v>-50624</v>
      </c>
      <c r="E1548" s="8"/>
      <c r="F1548" s="8"/>
    </row>
    <row r="1549" spans="1:9" x14ac:dyDescent="0.3">
      <c r="A1549" t="s">
        <v>933</v>
      </c>
      <c r="B1549" s="4" t="s">
        <v>944</v>
      </c>
      <c r="C1549" s="7">
        <v>45835</v>
      </c>
      <c r="D1549" s="8">
        <v>-128.76</v>
      </c>
      <c r="E1549" s="8"/>
      <c r="F1549" s="8"/>
    </row>
    <row r="1550" spans="1:9" x14ac:dyDescent="0.3">
      <c r="A1550" t="s">
        <v>933</v>
      </c>
      <c r="B1550" s="4" t="s">
        <v>944</v>
      </c>
      <c r="C1550" s="7">
        <v>45835</v>
      </c>
      <c r="D1550" s="8">
        <v>-1189.55</v>
      </c>
      <c r="E1550" s="8"/>
      <c r="F1550" s="8"/>
    </row>
    <row r="1551" spans="1:9" x14ac:dyDescent="0.3">
      <c r="A1551" t="s">
        <v>933</v>
      </c>
      <c r="B1551" s="4" t="s">
        <v>944</v>
      </c>
      <c r="C1551" s="7">
        <v>45835</v>
      </c>
      <c r="D1551" s="8">
        <v>-9631.01</v>
      </c>
      <c r="E1551" s="8"/>
      <c r="F1551" s="8"/>
    </row>
    <row r="1552" spans="1:9" x14ac:dyDescent="0.3">
      <c r="A1552" t="s">
        <v>933</v>
      </c>
      <c r="B1552" s="4" t="s">
        <v>944</v>
      </c>
      <c r="C1552" s="7">
        <v>45835</v>
      </c>
      <c r="D1552" s="8">
        <v>-31536.86</v>
      </c>
      <c r="E1552" s="8"/>
      <c r="F1552" s="8"/>
    </row>
    <row r="1553" spans="1:6" x14ac:dyDescent="0.3">
      <c r="A1553" t="s">
        <v>933</v>
      </c>
      <c r="B1553" s="4" t="s">
        <v>944</v>
      </c>
      <c r="C1553" s="7">
        <v>45835</v>
      </c>
      <c r="D1553" s="8">
        <v>-10670.39</v>
      </c>
      <c r="E1553" s="8"/>
      <c r="F1553" s="8"/>
    </row>
    <row r="1554" spans="1:6" x14ac:dyDescent="0.3">
      <c r="A1554" t="s">
        <v>933</v>
      </c>
      <c r="B1554" s="4" t="s">
        <v>945</v>
      </c>
      <c r="C1554" s="7">
        <v>45838</v>
      </c>
      <c r="D1554" s="8">
        <v>94586.14</v>
      </c>
      <c r="E1554" s="8"/>
      <c r="F1554" s="8"/>
    </row>
    <row r="1555" spans="1:6" x14ac:dyDescent="0.3">
      <c r="A1555" t="s">
        <v>933</v>
      </c>
      <c r="B1555" s="4" t="s">
        <v>946</v>
      </c>
      <c r="C1555" s="7">
        <v>45838</v>
      </c>
      <c r="D1555" s="8">
        <v>25748.92</v>
      </c>
      <c r="E1555" s="8"/>
      <c r="F1555" s="8"/>
    </row>
    <row r="1556" spans="1:6" x14ac:dyDescent="0.3">
      <c r="A1556"/>
      <c r="B1556" s="4"/>
      <c r="C1556"/>
      <c r="D1556">
        <v>0</v>
      </c>
      <c r="E1556"/>
      <c r="F1556"/>
    </row>
    <row r="1557" spans="1:6" x14ac:dyDescent="0.3">
      <c r="A1557"/>
      <c r="B1557" s="4"/>
      <c r="C1557"/>
      <c r="D1557"/>
      <c r="E1557"/>
      <c r="F15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6E24-2C2E-4560-852D-7A94A52CF324}">
  <dimension ref="A1:I1027"/>
  <sheetViews>
    <sheetView topLeftCell="A22" workbookViewId="0">
      <selection activeCell="A6" sqref="A6"/>
    </sheetView>
  </sheetViews>
  <sheetFormatPr defaultColWidth="8.83203125" defaultRowHeight="14" x14ac:dyDescent="0.3"/>
  <cols>
    <col min="1" max="1" width="45.6640625" style="63" customWidth="1"/>
    <col min="2" max="2" width="13.6640625" style="63" customWidth="1"/>
    <col min="3" max="3" width="11.5" style="63" customWidth="1"/>
    <col min="4" max="4" width="25.4140625" style="63" customWidth="1"/>
    <col min="5" max="5" width="12" style="63" customWidth="1"/>
    <col min="6" max="6" width="11.83203125" style="63" customWidth="1"/>
    <col min="7" max="7" width="15.83203125" style="63" customWidth="1"/>
    <col min="8" max="8" width="45.58203125" style="89" customWidth="1"/>
    <col min="9" max="16384" width="8.83203125" style="63"/>
  </cols>
  <sheetData>
    <row r="1" spans="1:9" x14ac:dyDescent="0.3">
      <c r="A1" s="80" t="s">
        <v>4062</v>
      </c>
      <c r="G1" s="81">
        <f>SUM(G3:G1027)</f>
        <v>13408135.109999986</v>
      </c>
    </row>
    <row r="2" spans="1:9" ht="15.5" x14ac:dyDescent="0.35">
      <c r="A2" s="66" t="s">
        <v>948</v>
      </c>
      <c r="B2" s="66" t="s">
        <v>949</v>
      </c>
      <c r="C2" s="66" t="s">
        <v>4056</v>
      </c>
      <c r="D2" s="66" t="s">
        <v>4055</v>
      </c>
      <c r="E2" s="66" t="s">
        <v>950</v>
      </c>
      <c r="F2" s="66" t="s">
        <v>951</v>
      </c>
      <c r="G2" s="66" t="s">
        <v>3</v>
      </c>
      <c r="H2" s="90" t="s">
        <v>4081</v>
      </c>
      <c r="I2" s="63" t="s">
        <v>4106</v>
      </c>
    </row>
    <row r="3" spans="1:9" ht="42" x14ac:dyDescent="0.3">
      <c r="A3" s="63" t="s">
        <v>952</v>
      </c>
      <c r="B3" s="63" t="s">
        <v>954</v>
      </c>
      <c r="C3" s="63" t="s">
        <v>953</v>
      </c>
      <c r="D3" s="63" t="s">
        <v>953</v>
      </c>
      <c r="E3" s="65">
        <v>45322</v>
      </c>
      <c r="F3" s="65">
        <v>45322</v>
      </c>
      <c r="G3" s="64">
        <v>9868.7900000000009</v>
      </c>
      <c r="H3" s="101" t="s">
        <v>4068</v>
      </c>
      <c r="I3" s="63" t="s">
        <v>4086</v>
      </c>
    </row>
    <row r="4" spans="1:9" ht="28" x14ac:dyDescent="0.3">
      <c r="A4" s="63" t="s">
        <v>952</v>
      </c>
      <c r="B4" s="63" t="s">
        <v>955</v>
      </c>
      <c r="C4" s="63" t="s">
        <v>953</v>
      </c>
      <c r="D4" s="63" t="s">
        <v>953</v>
      </c>
      <c r="E4" s="65">
        <v>45412</v>
      </c>
      <c r="F4" s="65">
        <v>45412</v>
      </c>
      <c r="G4" s="64">
        <v>5700</v>
      </c>
      <c r="H4" s="101" t="s">
        <v>4069</v>
      </c>
      <c r="I4" s="63" t="s">
        <v>4087</v>
      </c>
    </row>
    <row r="5" spans="1:9" x14ac:dyDescent="0.3">
      <c r="E5" s="65"/>
      <c r="F5" s="65"/>
      <c r="G5" s="64"/>
      <c r="H5" s="101" t="s">
        <v>4070</v>
      </c>
      <c r="I5" s="63" t="s">
        <v>4088</v>
      </c>
    </row>
    <row r="6" spans="1:9" ht="28" x14ac:dyDescent="0.3">
      <c r="E6" s="65"/>
      <c r="F6" s="65"/>
      <c r="G6" s="64"/>
      <c r="H6" s="101" t="s">
        <v>4071</v>
      </c>
      <c r="I6" s="63" t="s">
        <v>4089</v>
      </c>
    </row>
    <row r="7" spans="1:9" ht="42" x14ac:dyDescent="0.3">
      <c r="A7" s="63" t="s">
        <v>956</v>
      </c>
      <c r="B7" s="63" t="s">
        <v>958</v>
      </c>
      <c r="C7" s="63" t="s">
        <v>953</v>
      </c>
      <c r="D7" s="63" t="s">
        <v>953</v>
      </c>
      <c r="E7" s="65">
        <v>45070</v>
      </c>
      <c r="F7" s="65">
        <v>45070</v>
      </c>
      <c r="G7" s="64">
        <v>6365.1</v>
      </c>
      <c r="H7" s="101" t="s">
        <v>4072</v>
      </c>
      <c r="I7" s="63" t="s">
        <v>4088</v>
      </c>
    </row>
    <row r="8" spans="1:9" x14ac:dyDescent="0.3">
      <c r="A8" s="63" t="s">
        <v>956</v>
      </c>
      <c r="B8" s="63" t="s">
        <v>959</v>
      </c>
      <c r="C8" s="63" t="s">
        <v>953</v>
      </c>
      <c r="D8" s="63" t="s">
        <v>953</v>
      </c>
      <c r="E8" s="65">
        <v>45202</v>
      </c>
      <c r="F8" s="65">
        <v>45202</v>
      </c>
      <c r="G8" s="64">
        <v>43.88</v>
      </c>
      <c r="H8" s="92"/>
    </row>
    <row r="9" spans="1:9" x14ac:dyDescent="0.3">
      <c r="A9" s="63" t="s">
        <v>956</v>
      </c>
      <c r="B9" s="63" t="s">
        <v>960</v>
      </c>
      <c r="C9" s="63" t="s">
        <v>953</v>
      </c>
      <c r="D9" s="63" t="s">
        <v>961</v>
      </c>
      <c r="E9" s="65">
        <v>45204</v>
      </c>
      <c r="F9" s="65">
        <v>45204</v>
      </c>
      <c r="G9" s="64">
        <v>44076.56</v>
      </c>
      <c r="H9" s="92"/>
    </row>
    <row r="10" spans="1:9" x14ac:dyDescent="0.3">
      <c r="A10" s="63" t="s">
        <v>956</v>
      </c>
      <c r="B10" s="63" t="s">
        <v>962</v>
      </c>
      <c r="C10" s="63" t="s">
        <v>953</v>
      </c>
      <c r="D10" s="63" t="s">
        <v>953</v>
      </c>
      <c r="E10" s="65">
        <v>45204</v>
      </c>
      <c r="F10" s="65">
        <v>45204</v>
      </c>
      <c r="G10" s="64">
        <v>36008.559999999998</v>
      </c>
      <c r="H10" s="92"/>
    </row>
    <row r="11" spans="1:9" x14ac:dyDescent="0.3">
      <c r="A11" s="63" t="s">
        <v>956</v>
      </c>
      <c r="B11" s="63" t="s">
        <v>963</v>
      </c>
      <c r="C11" s="63" t="s">
        <v>953</v>
      </c>
      <c r="D11" s="63" t="s">
        <v>964</v>
      </c>
      <c r="E11" s="65">
        <v>45707</v>
      </c>
      <c r="F11" s="65">
        <v>45707</v>
      </c>
      <c r="G11" s="64">
        <v>3661.7</v>
      </c>
      <c r="H11" s="92"/>
    </row>
    <row r="12" spans="1:9" x14ac:dyDescent="0.3">
      <c r="A12" s="63" t="s">
        <v>965</v>
      </c>
      <c r="B12" s="63" t="s">
        <v>966</v>
      </c>
      <c r="C12" s="63" t="s">
        <v>953</v>
      </c>
      <c r="D12" s="63" t="s">
        <v>967</v>
      </c>
      <c r="E12" s="65">
        <v>45008</v>
      </c>
      <c r="F12" s="65">
        <v>45008</v>
      </c>
      <c r="G12" s="64">
        <v>4667.95</v>
      </c>
      <c r="H12" s="92"/>
    </row>
    <row r="13" spans="1:9" x14ac:dyDescent="0.3">
      <c r="A13" s="63" t="s">
        <v>965</v>
      </c>
      <c r="B13" s="63" t="s">
        <v>968</v>
      </c>
      <c r="C13" s="63" t="s">
        <v>953</v>
      </c>
      <c r="D13" s="63" t="s">
        <v>969</v>
      </c>
      <c r="E13" s="65">
        <v>45027</v>
      </c>
      <c r="F13" s="65">
        <v>45027</v>
      </c>
      <c r="G13" s="64">
        <v>3723.97</v>
      </c>
      <c r="H13" s="92"/>
    </row>
    <row r="14" spans="1:9" x14ac:dyDescent="0.3">
      <c r="A14" s="63" t="s">
        <v>965</v>
      </c>
      <c r="B14" s="63" t="s">
        <v>970</v>
      </c>
      <c r="C14" s="63" t="s">
        <v>953</v>
      </c>
      <c r="D14" s="63" t="s">
        <v>971</v>
      </c>
      <c r="E14" s="65">
        <v>45028</v>
      </c>
      <c r="F14" s="65">
        <v>45028</v>
      </c>
      <c r="G14" s="64">
        <v>6873.43</v>
      </c>
      <c r="H14" s="92"/>
    </row>
    <row r="15" spans="1:9" x14ac:dyDescent="0.3">
      <c r="A15" s="63" t="s">
        <v>965</v>
      </c>
      <c r="B15" s="63" t="s">
        <v>972</v>
      </c>
      <c r="C15" s="63" t="s">
        <v>953</v>
      </c>
      <c r="D15" s="63" t="s">
        <v>969</v>
      </c>
      <c r="E15" s="65">
        <v>45070</v>
      </c>
      <c r="F15" s="65">
        <v>45070</v>
      </c>
      <c r="G15" s="64">
        <v>3048.15</v>
      </c>
      <c r="H15" s="92"/>
    </row>
    <row r="16" spans="1:9" x14ac:dyDescent="0.3">
      <c r="A16" s="63" t="s">
        <v>965</v>
      </c>
      <c r="B16" s="63" t="s">
        <v>973</v>
      </c>
      <c r="C16" s="63" t="s">
        <v>953</v>
      </c>
      <c r="D16" s="63" t="s">
        <v>974</v>
      </c>
      <c r="E16" s="65">
        <v>45078</v>
      </c>
      <c r="F16" s="65">
        <v>45078</v>
      </c>
      <c r="G16" s="64">
        <v>1568.36</v>
      </c>
      <c r="H16" s="92"/>
    </row>
    <row r="17" spans="1:8" x14ac:dyDescent="0.3">
      <c r="A17" s="63" t="s">
        <v>965</v>
      </c>
      <c r="B17" s="63" t="s">
        <v>975</v>
      </c>
      <c r="C17" s="63" t="s">
        <v>953</v>
      </c>
      <c r="D17" s="63" t="s">
        <v>953</v>
      </c>
      <c r="E17" s="65">
        <v>45082</v>
      </c>
      <c r="F17" s="65">
        <v>45082</v>
      </c>
      <c r="G17" s="64">
        <v>3826.46</v>
      </c>
      <c r="H17" s="92"/>
    </row>
    <row r="18" spans="1:8" x14ac:dyDescent="0.3">
      <c r="A18" s="63" t="s">
        <v>965</v>
      </c>
      <c r="B18" s="63" t="s">
        <v>976</v>
      </c>
      <c r="C18" s="63" t="s">
        <v>953</v>
      </c>
      <c r="D18" s="63" t="s">
        <v>977</v>
      </c>
      <c r="E18" s="65">
        <v>45096</v>
      </c>
      <c r="F18" s="65">
        <v>45096</v>
      </c>
      <c r="G18" s="64">
        <v>8287.09</v>
      </c>
      <c r="H18" s="92"/>
    </row>
    <row r="19" spans="1:8" x14ac:dyDescent="0.3">
      <c r="A19" s="63" t="s">
        <v>965</v>
      </c>
      <c r="B19" s="63" t="s">
        <v>978</v>
      </c>
      <c r="C19" s="63" t="s">
        <v>953</v>
      </c>
      <c r="D19" s="63" t="s">
        <v>979</v>
      </c>
      <c r="E19" s="65">
        <v>45113</v>
      </c>
      <c r="F19" s="65">
        <v>45113</v>
      </c>
      <c r="G19" s="64">
        <v>2029.69</v>
      </c>
      <c r="H19" s="92"/>
    </row>
    <row r="20" spans="1:8" x14ac:dyDescent="0.3">
      <c r="A20" s="63" t="s">
        <v>965</v>
      </c>
      <c r="B20" s="63" t="s">
        <v>980</v>
      </c>
      <c r="C20" s="63" t="s">
        <v>953</v>
      </c>
      <c r="D20" s="63" t="s">
        <v>979</v>
      </c>
      <c r="E20" s="65">
        <v>45113</v>
      </c>
      <c r="F20" s="65">
        <v>45113</v>
      </c>
      <c r="G20" s="64">
        <v>3066.88</v>
      </c>
      <c r="H20" s="92"/>
    </row>
    <row r="21" spans="1:8" x14ac:dyDescent="0.3">
      <c r="A21" s="63" t="s">
        <v>965</v>
      </c>
      <c r="B21" s="63" t="s">
        <v>981</v>
      </c>
      <c r="C21" s="63" t="s">
        <v>953</v>
      </c>
      <c r="D21" s="63" t="s">
        <v>982</v>
      </c>
      <c r="E21" s="65">
        <v>45113</v>
      </c>
      <c r="F21" s="65">
        <v>45113</v>
      </c>
      <c r="G21" s="64">
        <v>6858.7</v>
      </c>
      <c r="H21" s="92"/>
    </row>
    <row r="22" spans="1:8" x14ac:dyDescent="0.3">
      <c r="A22" s="63" t="s">
        <v>965</v>
      </c>
      <c r="B22" s="63" t="s">
        <v>983</v>
      </c>
      <c r="C22" s="63" t="s">
        <v>953</v>
      </c>
      <c r="D22" s="63" t="s">
        <v>953</v>
      </c>
      <c r="E22" s="65">
        <v>45141</v>
      </c>
      <c r="F22" s="65">
        <v>45141</v>
      </c>
      <c r="G22" s="64">
        <v>6727.66</v>
      </c>
      <c r="H22" s="92"/>
    </row>
    <row r="23" spans="1:8" x14ac:dyDescent="0.3">
      <c r="A23" s="63" t="s">
        <v>965</v>
      </c>
      <c r="B23" s="63" t="s">
        <v>984</v>
      </c>
      <c r="C23" s="63" t="s">
        <v>953</v>
      </c>
      <c r="D23" s="63" t="s">
        <v>953</v>
      </c>
      <c r="E23" s="65">
        <v>45154</v>
      </c>
      <c r="F23" s="65">
        <v>45154</v>
      </c>
      <c r="G23" s="64">
        <v>1306</v>
      </c>
      <c r="H23" s="92"/>
    </row>
    <row r="24" spans="1:8" x14ac:dyDescent="0.3">
      <c r="A24" s="63" t="s">
        <v>965</v>
      </c>
      <c r="B24" s="63" t="s">
        <v>985</v>
      </c>
      <c r="C24" s="63" t="s">
        <v>953</v>
      </c>
      <c r="D24" s="63" t="s">
        <v>986</v>
      </c>
      <c r="E24" s="65">
        <v>45198</v>
      </c>
      <c r="F24" s="65">
        <v>45198</v>
      </c>
      <c r="G24" s="64">
        <v>16044.7</v>
      </c>
      <c r="H24" s="92"/>
    </row>
    <row r="25" spans="1:8" x14ac:dyDescent="0.3">
      <c r="A25" s="63" t="s">
        <v>965</v>
      </c>
      <c r="B25" s="63" t="s">
        <v>987</v>
      </c>
      <c r="C25" s="63" t="s">
        <v>953</v>
      </c>
      <c r="D25" s="63" t="s">
        <v>988</v>
      </c>
      <c r="E25" s="65">
        <v>45199</v>
      </c>
      <c r="F25" s="65">
        <v>45199</v>
      </c>
      <c r="G25" s="64">
        <v>26388.67</v>
      </c>
      <c r="H25" s="92"/>
    </row>
    <row r="26" spans="1:8" x14ac:dyDescent="0.3">
      <c r="A26" s="63" t="s">
        <v>989</v>
      </c>
      <c r="B26" s="63" t="s">
        <v>990</v>
      </c>
      <c r="C26" s="63" t="s">
        <v>953</v>
      </c>
      <c r="D26" s="63" t="s">
        <v>991</v>
      </c>
      <c r="E26" s="65">
        <v>45573</v>
      </c>
      <c r="F26" s="65">
        <v>45573</v>
      </c>
      <c r="G26" s="64">
        <v>432.03</v>
      </c>
      <c r="H26" s="92"/>
    </row>
    <row r="27" spans="1:8" x14ac:dyDescent="0.3">
      <c r="A27" s="63" t="s">
        <v>992</v>
      </c>
      <c r="B27" s="63" t="s">
        <v>993</v>
      </c>
      <c r="C27" s="63" t="s">
        <v>994</v>
      </c>
      <c r="D27" s="63" t="s">
        <v>995</v>
      </c>
      <c r="E27" s="65">
        <v>45610</v>
      </c>
      <c r="F27" s="65">
        <v>45610</v>
      </c>
      <c r="G27" s="64">
        <v>432.35</v>
      </c>
      <c r="H27" s="92"/>
    </row>
    <row r="28" spans="1:8" x14ac:dyDescent="0.3">
      <c r="A28" s="63" t="s">
        <v>996</v>
      </c>
      <c r="B28" s="63" t="s">
        <v>997</v>
      </c>
      <c r="C28" s="63" t="s">
        <v>953</v>
      </c>
      <c r="D28" s="63" t="s">
        <v>953</v>
      </c>
      <c r="E28" s="65">
        <v>45412</v>
      </c>
      <c r="F28" s="65">
        <v>45412</v>
      </c>
      <c r="G28" s="64">
        <v>103222.57</v>
      </c>
      <c r="H28" s="92"/>
    </row>
    <row r="29" spans="1:8" x14ac:dyDescent="0.3">
      <c r="A29" s="63" t="s">
        <v>996</v>
      </c>
      <c r="B29" s="63" t="s">
        <v>998</v>
      </c>
      <c r="C29" s="63" t="s">
        <v>953</v>
      </c>
      <c r="D29" s="63" t="s">
        <v>953</v>
      </c>
      <c r="E29" s="65">
        <v>45535</v>
      </c>
      <c r="F29" s="65">
        <v>45535</v>
      </c>
      <c r="G29" s="64">
        <v>43296.04</v>
      </c>
      <c r="H29" s="92"/>
    </row>
    <row r="30" spans="1:8" x14ac:dyDescent="0.3">
      <c r="A30" s="63" t="s">
        <v>999</v>
      </c>
      <c r="B30" s="63" t="s">
        <v>1000</v>
      </c>
      <c r="C30" s="63" t="s">
        <v>953</v>
      </c>
      <c r="D30" s="63" t="s">
        <v>1001</v>
      </c>
      <c r="E30" s="65">
        <v>45727</v>
      </c>
      <c r="F30" s="65">
        <v>45727</v>
      </c>
      <c r="G30" s="64">
        <v>16385.82</v>
      </c>
      <c r="H30" s="92"/>
    </row>
    <row r="31" spans="1:8" x14ac:dyDescent="0.3">
      <c r="A31" s="63" t="s">
        <v>999</v>
      </c>
      <c r="B31" s="63" t="s">
        <v>1002</v>
      </c>
      <c r="C31" s="63" t="s">
        <v>953</v>
      </c>
      <c r="D31" s="63" t="s">
        <v>1001</v>
      </c>
      <c r="E31" s="65">
        <v>45758</v>
      </c>
      <c r="F31" s="65">
        <v>45758</v>
      </c>
      <c r="G31" s="64">
        <v>5978.27</v>
      </c>
      <c r="H31" s="92"/>
    </row>
    <row r="32" spans="1:8" x14ac:dyDescent="0.3">
      <c r="A32" s="63" t="s">
        <v>999</v>
      </c>
      <c r="B32" s="63" t="s">
        <v>1003</v>
      </c>
      <c r="C32" s="63" t="s">
        <v>953</v>
      </c>
      <c r="D32" s="63" t="s">
        <v>1001</v>
      </c>
      <c r="E32" s="65">
        <v>45838</v>
      </c>
      <c r="F32" s="65">
        <v>45838</v>
      </c>
      <c r="G32" s="64">
        <v>28146.76</v>
      </c>
      <c r="H32" s="92"/>
    </row>
    <row r="33" spans="1:8" x14ac:dyDescent="0.3">
      <c r="A33" s="63" t="s">
        <v>1004</v>
      </c>
      <c r="B33" s="63" t="s">
        <v>953</v>
      </c>
      <c r="C33" s="63" t="s">
        <v>953</v>
      </c>
      <c r="D33" s="63" t="s">
        <v>953</v>
      </c>
      <c r="E33" s="65">
        <v>45701</v>
      </c>
      <c r="F33" s="65">
        <v>45701</v>
      </c>
      <c r="G33" s="64">
        <v>-14239.62</v>
      </c>
      <c r="H33" s="91"/>
    </row>
    <row r="34" spans="1:8" x14ac:dyDescent="0.3">
      <c r="A34" s="63" t="s">
        <v>1004</v>
      </c>
      <c r="B34" s="63" t="s">
        <v>1005</v>
      </c>
      <c r="C34" s="63" t="s">
        <v>953</v>
      </c>
      <c r="D34" s="63" t="s">
        <v>1006</v>
      </c>
      <c r="E34" s="65">
        <v>45712</v>
      </c>
      <c r="F34" s="65">
        <v>45712</v>
      </c>
      <c r="G34" s="64">
        <v>139872.04999999999</v>
      </c>
      <c r="H34" s="92"/>
    </row>
    <row r="35" spans="1:8" x14ac:dyDescent="0.3">
      <c r="A35" s="63" t="s">
        <v>1004</v>
      </c>
      <c r="B35" s="63" t="s">
        <v>1007</v>
      </c>
      <c r="C35" s="63" t="s">
        <v>953</v>
      </c>
      <c r="D35" s="63" t="s">
        <v>1008</v>
      </c>
      <c r="E35" s="65">
        <v>45772</v>
      </c>
      <c r="F35" s="65">
        <v>45772</v>
      </c>
      <c r="G35" s="64">
        <v>2679.52</v>
      </c>
      <c r="H35" s="92"/>
    </row>
    <row r="36" spans="1:8" x14ac:dyDescent="0.3">
      <c r="A36" s="63" t="s">
        <v>1004</v>
      </c>
      <c r="B36" s="63" t="s">
        <v>1009</v>
      </c>
      <c r="C36" s="63" t="s">
        <v>953</v>
      </c>
      <c r="D36" s="63" t="s">
        <v>1010</v>
      </c>
      <c r="E36" s="65">
        <v>45775</v>
      </c>
      <c r="F36" s="65">
        <v>45775</v>
      </c>
      <c r="G36" s="64">
        <v>798.23</v>
      </c>
      <c r="H36" s="92"/>
    </row>
    <row r="37" spans="1:8" x14ac:dyDescent="0.3">
      <c r="A37" s="63" t="s">
        <v>1004</v>
      </c>
      <c r="B37" s="63" t="s">
        <v>1011</v>
      </c>
      <c r="C37" s="63" t="s">
        <v>953</v>
      </c>
      <c r="D37" s="63" t="s">
        <v>1012</v>
      </c>
      <c r="E37" s="65">
        <v>45775</v>
      </c>
      <c r="F37" s="65">
        <v>45775</v>
      </c>
      <c r="G37" s="64">
        <v>121.56</v>
      </c>
      <c r="H37" s="92"/>
    </row>
    <row r="38" spans="1:8" x14ac:dyDescent="0.3">
      <c r="A38" s="63" t="s">
        <v>1004</v>
      </c>
      <c r="B38" s="63" t="s">
        <v>1013</v>
      </c>
      <c r="C38" s="63" t="s">
        <v>953</v>
      </c>
      <c r="D38" s="63" t="s">
        <v>1014</v>
      </c>
      <c r="E38" s="65">
        <v>45790</v>
      </c>
      <c r="F38" s="65">
        <v>45790</v>
      </c>
      <c r="G38" s="64">
        <v>1268.25</v>
      </c>
      <c r="H38" s="92"/>
    </row>
    <row r="39" spans="1:8" x14ac:dyDescent="0.3">
      <c r="A39" s="63" t="s">
        <v>1004</v>
      </c>
      <c r="B39" s="63" t="s">
        <v>1015</v>
      </c>
      <c r="C39" s="63" t="s">
        <v>953</v>
      </c>
      <c r="D39" s="63" t="s">
        <v>1016</v>
      </c>
      <c r="E39" s="65">
        <v>45790</v>
      </c>
      <c r="F39" s="65">
        <v>45790</v>
      </c>
      <c r="G39" s="64">
        <v>447.36</v>
      </c>
      <c r="H39" s="92"/>
    </row>
    <row r="40" spans="1:8" x14ac:dyDescent="0.3">
      <c r="A40" s="63" t="s">
        <v>1004</v>
      </c>
      <c r="B40" s="63" t="s">
        <v>1017</v>
      </c>
      <c r="C40" s="63" t="s">
        <v>953</v>
      </c>
      <c r="D40" s="63" t="s">
        <v>1014</v>
      </c>
      <c r="E40" s="65">
        <v>45792</v>
      </c>
      <c r="F40" s="65">
        <v>45792</v>
      </c>
      <c r="G40" s="64">
        <v>6200.56</v>
      </c>
      <c r="H40" s="92"/>
    </row>
    <row r="41" spans="1:8" x14ac:dyDescent="0.3">
      <c r="A41" s="63" t="s">
        <v>1004</v>
      </c>
      <c r="B41" s="63" t="s">
        <v>1018</v>
      </c>
      <c r="C41" s="63" t="s">
        <v>953</v>
      </c>
      <c r="D41" s="63" t="s">
        <v>1019</v>
      </c>
      <c r="E41" s="65">
        <v>45792</v>
      </c>
      <c r="F41" s="65">
        <v>45792</v>
      </c>
      <c r="G41" s="64">
        <v>4707.43</v>
      </c>
      <c r="H41" s="92"/>
    </row>
    <row r="42" spans="1:8" x14ac:dyDescent="0.3">
      <c r="A42" s="63" t="s">
        <v>1004</v>
      </c>
      <c r="B42" s="63" t="s">
        <v>1020</v>
      </c>
      <c r="C42" s="63" t="s">
        <v>953</v>
      </c>
      <c r="D42" s="63" t="s">
        <v>953</v>
      </c>
      <c r="E42" s="65">
        <v>45812</v>
      </c>
      <c r="F42" s="65">
        <v>45812</v>
      </c>
      <c r="G42" s="64">
        <v>58.28</v>
      </c>
      <c r="H42" s="92"/>
    </row>
    <row r="43" spans="1:8" x14ac:dyDescent="0.3">
      <c r="A43" s="63" t="s">
        <v>1004</v>
      </c>
      <c r="B43" s="63" t="s">
        <v>1021</v>
      </c>
      <c r="C43" s="63" t="s">
        <v>953</v>
      </c>
      <c r="D43" s="63" t="s">
        <v>953</v>
      </c>
      <c r="E43" s="65">
        <v>45824</v>
      </c>
      <c r="F43" s="65">
        <v>45824</v>
      </c>
      <c r="G43" s="64">
        <v>5566.67</v>
      </c>
      <c r="H43" s="92"/>
    </row>
    <row r="44" spans="1:8" x14ac:dyDescent="0.3">
      <c r="A44" s="63" t="s">
        <v>1004</v>
      </c>
      <c r="B44" s="63" t="s">
        <v>1022</v>
      </c>
      <c r="C44" s="63" t="s">
        <v>953</v>
      </c>
      <c r="D44" s="63" t="s">
        <v>1023</v>
      </c>
      <c r="E44" s="65">
        <v>45838</v>
      </c>
      <c r="F44" s="65">
        <v>45838</v>
      </c>
      <c r="G44" s="64">
        <v>14239.62</v>
      </c>
      <c r="H44" s="92"/>
    </row>
    <row r="45" spans="1:8" x14ac:dyDescent="0.3">
      <c r="A45" s="63" t="s">
        <v>1004</v>
      </c>
      <c r="B45" s="63" t="s">
        <v>1024</v>
      </c>
      <c r="C45" s="63" t="s">
        <v>953</v>
      </c>
      <c r="D45" s="63" t="s">
        <v>1025</v>
      </c>
      <c r="E45" s="65">
        <v>45838</v>
      </c>
      <c r="F45" s="65">
        <v>45838</v>
      </c>
      <c r="G45" s="64">
        <v>1243.05</v>
      </c>
      <c r="H45" s="92"/>
    </row>
    <row r="46" spans="1:8" x14ac:dyDescent="0.3">
      <c r="A46" s="63" t="s">
        <v>1004</v>
      </c>
      <c r="B46" s="63" t="s">
        <v>1026</v>
      </c>
      <c r="C46" s="63" t="s">
        <v>953</v>
      </c>
      <c r="D46" s="63" t="s">
        <v>1027</v>
      </c>
      <c r="E46" s="65">
        <v>45838</v>
      </c>
      <c r="F46" s="65">
        <v>45838</v>
      </c>
      <c r="G46" s="64">
        <v>9219.68</v>
      </c>
      <c r="H46" s="92"/>
    </row>
    <row r="47" spans="1:8" x14ac:dyDescent="0.3">
      <c r="A47" s="63" t="s">
        <v>1004</v>
      </c>
      <c r="B47" s="63" t="s">
        <v>1028</v>
      </c>
      <c r="C47" s="63" t="s">
        <v>953</v>
      </c>
      <c r="D47" s="63" t="s">
        <v>1008</v>
      </c>
      <c r="E47" s="65">
        <v>45838</v>
      </c>
      <c r="F47" s="65">
        <v>45838</v>
      </c>
      <c r="G47" s="64">
        <v>1497.2</v>
      </c>
      <c r="H47" s="92"/>
    </row>
    <row r="48" spans="1:8" x14ac:dyDescent="0.3">
      <c r="A48" s="63" t="s">
        <v>1004</v>
      </c>
      <c r="B48" s="63" t="s">
        <v>1029</v>
      </c>
      <c r="C48" s="63" t="s">
        <v>953</v>
      </c>
      <c r="D48" s="63" t="s">
        <v>1008</v>
      </c>
      <c r="E48" s="65">
        <v>45838</v>
      </c>
      <c r="F48" s="65">
        <v>45838</v>
      </c>
      <c r="G48" s="64">
        <v>5930.4</v>
      </c>
      <c r="H48" s="92"/>
    </row>
    <row r="49" spans="1:8" x14ac:dyDescent="0.3">
      <c r="A49" s="63" t="s">
        <v>1004</v>
      </c>
      <c r="B49" s="63" t="s">
        <v>1030</v>
      </c>
      <c r="C49" s="63" t="s">
        <v>953</v>
      </c>
      <c r="D49" s="63" t="s">
        <v>1031</v>
      </c>
      <c r="E49" s="65">
        <v>45838</v>
      </c>
      <c r="F49" s="65">
        <v>45838</v>
      </c>
      <c r="G49" s="64">
        <v>447.13</v>
      </c>
      <c r="H49" s="92"/>
    </row>
    <row r="50" spans="1:8" x14ac:dyDescent="0.3">
      <c r="A50" s="63" t="s">
        <v>1032</v>
      </c>
      <c r="B50" s="63" t="s">
        <v>1033</v>
      </c>
      <c r="C50" s="63" t="s">
        <v>953</v>
      </c>
      <c r="D50" s="63" t="s">
        <v>953</v>
      </c>
      <c r="E50" s="65">
        <v>45838</v>
      </c>
      <c r="F50" s="65">
        <v>45838</v>
      </c>
      <c r="G50" s="64">
        <v>3040</v>
      </c>
      <c r="H50" s="92"/>
    </row>
    <row r="51" spans="1:8" x14ac:dyDescent="0.3">
      <c r="A51" s="63" t="s">
        <v>1032</v>
      </c>
      <c r="B51" s="63" t="s">
        <v>1034</v>
      </c>
      <c r="C51" s="63" t="s">
        <v>953</v>
      </c>
      <c r="D51" s="63" t="s">
        <v>953</v>
      </c>
      <c r="E51" s="65">
        <v>45838</v>
      </c>
      <c r="F51" s="65">
        <v>45838</v>
      </c>
      <c r="G51" s="64">
        <v>7349</v>
      </c>
      <c r="H51" s="92"/>
    </row>
    <row r="52" spans="1:8" x14ac:dyDescent="0.3">
      <c r="A52" s="63" t="s">
        <v>1035</v>
      </c>
      <c r="B52" s="63" t="s">
        <v>1036</v>
      </c>
      <c r="C52" s="63" t="s">
        <v>953</v>
      </c>
      <c r="D52" s="63" t="s">
        <v>1037</v>
      </c>
      <c r="E52" s="65">
        <v>45322</v>
      </c>
      <c r="F52" s="65">
        <v>45322</v>
      </c>
      <c r="G52" s="64">
        <v>2730.98</v>
      </c>
      <c r="H52" s="92"/>
    </row>
    <row r="53" spans="1:8" x14ac:dyDescent="0.3">
      <c r="A53" s="63" t="s">
        <v>1035</v>
      </c>
      <c r="B53" s="63" t="s">
        <v>1038</v>
      </c>
      <c r="C53" s="63" t="s">
        <v>953</v>
      </c>
      <c r="D53" s="63" t="s">
        <v>1039</v>
      </c>
      <c r="E53" s="65">
        <v>45413</v>
      </c>
      <c r="F53" s="65">
        <v>45413</v>
      </c>
      <c r="G53" s="64">
        <v>25575</v>
      </c>
      <c r="H53" s="92"/>
    </row>
    <row r="54" spans="1:8" x14ac:dyDescent="0.3">
      <c r="A54" s="63" t="s">
        <v>1035</v>
      </c>
      <c r="B54" s="63" t="s">
        <v>1040</v>
      </c>
      <c r="C54" s="63" t="s">
        <v>953</v>
      </c>
      <c r="D54" s="63" t="s">
        <v>1039</v>
      </c>
      <c r="E54" s="65">
        <v>45420</v>
      </c>
      <c r="F54" s="65">
        <v>45420</v>
      </c>
      <c r="G54" s="64">
        <v>13014.66</v>
      </c>
      <c r="H54" s="92"/>
    </row>
    <row r="55" spans="1:8" x14ac:dyDescent="0.3">
      <c r="A55" s="63" t="s">
        <v>1035</v>
      </c>
      <c r="B55" s="63" t="s">
        <v>1041</v>
      </c>
      <c r="C55" s="63" t="s">
        <v>953</v>
      </c>
      <c r="D55" s="63" t="s">
        <v>1039</v>
      </c>
      <c r="E55" s="65">
        <v>45420</v>
      </c>
      <c r="F55" s="65">
        <v>45420</v>
      </c>
      <c r="G55" s="64">
        <v>360.06</v>
      </c>
      <c r="H55" s="92"/>
    </row>
    <row r="56" spans="1:8" x14ac:dyDescent="0.3">
      <c r="A56" s="63" t="s">
        <v>1035</v>
      </c>
      <c r="B56" s="63" t="s">
        <v>1042</v>
      </c>
      <c r="C56" s="63" t="s">
        <v>953</v>
      </c>
      <c r="D56" s="63" t="s">
        <v>1037</v>
      </c>
      <c r="E56" s="65">
        <v>45425</v>
      </c>
      <c r="F56" s="65">
        <v>45425</v>
      </c>
      <c r="G56" s="64">
        <v>1221.01</v>
      </c>
      <c r="H56" s="92"/>
    </row>
    <row r="57" spans="1:8" x14ac:dyDescent="0.3">
      <c r="A57" s="63" t="s">
        <v>1035</v>
      </c>
      <c r="B57" s="63" t="s">
        <v>1043</v>
      </c>
      <c r="C57" s="63" t="s">
        <v>953</v>
      </c>
      <c r="D57" s="63" t="s">
        <v>1039</v>
      </c>
      <c r="E57" s="65">
        <v>45428</v>
      </c>
      <c r="F57" s="65">
        <v>45428</v>
      </c>
      <c r="G57" s="64">
        <v>398</v>
      </c>
      <c r="H57" s="92"/>
    </row>
    <row r="58" spans="1:8" x14ac:dyDescent="0.3">
      <c r="A58" s="63" t="s">
        <v>1035</v>
      </c>
      <c r="B58" s="63" t="s">
        <v>1044</v>
      </c>
      <c r="C58" s="63" t="s">
        <v>953</v>
      </c>
      <c r="D58" s="63" t="s">
        <v>1039</v>
      </c>
      <c r="E58" s="65">
        <v>45447</v>
      </c>
      <c r="F58" s="65">
        <v>45447</v>
      </c>
      <c r="G58" s="64">
        <v>255.36</v>
      </c>
      <c r="H58" s="92"/>
    </row>
    <row r="59" spans="1:8" x14ac:dyDescent="0.3">
      <c r="A59" s="63" t="s">
        <v>1035</v>
      </c>
      <c r="B59" s="63" t="s">
        <v>1045</v>
      </c>
      <c r="C59" s="63" t="s">
        <v>953</v>
      </c>
      <c r="D59" s="63" t="s">
        <v>1046</v>
      </c>
      <c r="E59" s="65">
        <v>45517</v>
      </c>
      <c r="F59" s="65">
        <v>45517</v>
      </c>
      <c r="G59" s="64">
        <v>3070.91</v>
      </c>
      <c r="H59" s="92"/>
    </row>
    <row r="60" spans="1:8" x14ac:dyDescent="0.3">
      <c r="A60" s="63" t="s">
        <v>1035</v>
      </c>
      <c r="B60" s="63" t="s">
        <v>1047</v>
      </c>
      <c r="C60" s="63" t="s">
        <v>953</v>
      </c>
      <c r="D60" s="63" t="s">
        <v>1037</v>
      </c>
      <c r="E60" s="65">
        <v>45567</v>
      </c>
      <c r="F60" s="65">
        <v>45567</v>
      </c>
      <c r="G60" s="64">
        <v>417.17</v>
      </c>
      <c r="H60" s="92"/>
    </row>
    <row r="61" spans="1:8" x14ac:dyDescent="0.3">
      <c r="A61" s="63" t="s">
        <v>1035</v>
      </c>
      <c r="B61" s="63" t="s">
        <v>1048</v>
      </c>
      <c r="C61" s="63" t="s">
        <v>953</v>
      </c>
      <c r="D61" s="63" t="s">
        <v>953</v>
      </c>
      <c r="E61" s="65">
        <v>45583</v>
      </c>
      <c r="F61" s="65">
        <v>45583</v>
      </c>
      <c r="G61" s="64">
        <v>552</v>
      </c>
      <c r="H61" s="92"/>
    </row>
    <row r="62" spans="1:8" x14ac:dyDescent="0.3">
      <c r="A62" s="63" t="s">
        <v>1035</v>
      </c>
      <c r="B62" s="63" t="s">
        <v>1049</v>
      </c>
      <c r="C62" s="63" t="s">
        <v>953</v>
      </c>
      <c r="D62" s="63" t="s">
        <v>1037</v>
      </c>
      <c r="E62" s="65">
        <v>45603</v>
      </c>
      <c r="F62" s="65">
        <v>45603</v>
      </c>
      <c r="G62" s="64">
        <v>1754.7</v>
      </c>
      <c r="H62" s="92"/>
    </row>
    <row r="63" spans="1:8" x14ac:dyDescent="0.3">
      <c r="A63" s="63" t="s">
        <v>1035</v>
      </c>
      <c r="B63" s="63" t="s">
        <v>1050</v>
      </c>
      <c r="C63" s="63" t="s">
        <v>953</v>
      </c>
      <c r="D63" s="63" t="s">
        <v>1031</v>
      </c>
      <c r="E63" s="65">
        <v>45617</v>
      </c>
      <c r="F63" s="65">
        <v>45617</v>
      </c>
      <c r="G63" s="64">
        <v>37.9</v>
      </c>
      <c r="H63" s="92"/>
    </row>
    <row r="64" spans="1:8" x14ac:dyDescent="0.3">
      <c r="A64" s="63" t="s">
        <v>1035</v>
      </c>
      <c r="B64" s="63" t="s">
        <v>1051</v>
      </c>
      <c r="C64" s="63" t="s">
        <v>953</v>
      </c>
      <c r="D64" s="63" t="s">
        <v>1052</v>
      </c>
      <c r="E64" s="65">
        <v>45625</v>
      </c>
      <c r="F64" s="65">
        <v>45625</v>
      </c>
      <c r="G64" s="64">
        <v>10983.77</v>
      </c>
      <c r="H64" s="92"/>
    </row>
    <row r="65" spans="1:8" x14ac:dyDescent="0.3">
      <c r="A65" s="63" t="s">
        <v>1035</v>
      </c>
      <c r="B65" s="63" t="s">
        <v>1053</v>
      </c>
      <c r="C65" s="63" t="s">
        <v>953</v>
      </c>
      <c r="D65" s="63" t="s">
        <v>1054</v>
      </c>
      <c r="E65" s="65">
        <v>45838</v>
      </c>
      <c r="F65" s="65">
        <v>45838</v>
      </c>
      <c r="G65" s="64">
        <v>6288.24</v>
      </c>
      <c r="H65" s="92"/>
    </row>
    <row r="66" spans="1:8" x14ac:dyDescent="0.3">
      <c r="A66" s="63" t="s">
        <v>1035</v>
      </c>
      <c r="B66" s="63" t="s">
        <v>1055</v>
      </c>
      <c r="C66" s="63" t="s">
        <v>953</v>
      </c>
      <c r="D66" s="63" t="s">
        <v>1037</v>
      </c>
      <c r="E66" s="65">
        <v>45838</v>
      </c>
      <c r="F66" s="65">
        <v>45838</v>
      </c>
      <c r="G66" s="64">
        <v>834.34</v>
      </c>
      <c r="H66" s="92"/>
    </row>
    <row r="67" spans="1:8" x14ac:dyDescent="0.3">
      <c r="A67" s="63" t="s">
        <v>1035</v>
      </c>
      <c r="B67" s="63" t="s">
        <v>1056</v>
      </c>
      <c r="C67" s="63" t="s">
        <v>953</v>
      </c>
      <c r="D67" s="63" t="s">
        <v>953</v>
      </c>
      <c r="E67" s="65">
        <v>45838</v>
      </c>
      <c r="F67" s="65">
        <v>45838</v>
      </c>
      <c r="G67" s="64">
        <v>836</v>
      </c>
      <c r="H67" s="92"/>
    </row>
    <row r="68" spans="1:8" x14ac:dyDescent="0.3">
      <c r="A68" s="63" t="s">
        <v>1057</v>
      </c>
      <c r="B68" s="63" t="s">
        <v>1058</v>
      </c>
      <c r="C68" s="63" t="s">
        <v>953</v>
      </c>
      <c r="D68" s="63" t="s">
        <v>953</v>
      </c>
      <c r="E68" s="65">
        <v>45687</v>
      </c>
      <c r="F68" s="65">
        <v>45687</v>
      </c>
      <c r="G68" s="64">
        <v>1700</v>
      </c>
      <c r="H68" s="92"/>
    </row>
    <row r="69" spans="1:8" x14ac:dyDescent="0.3">
      <c r="A69" s="63" t="s">
        <v>1057</v>
      </c>
      <c r="B69" s="63" t="s">
        <v>1059</v>
      </c>
      <c r="C69" s="63" t="s">
        <v>953</v>
      </c>
      <c r="D69" s="63" t="s">
        <v>953</v>
      </c>
      <c r="E69" s="65">
        <v>45687</v>
      </c>
      <c r="F69" s="65">
        <v>45687</v>
      </c>
      <c r="G69" s="64">
        <v>6345.26</v>
      </c>
      <c r="H69" s="92"/>
    </row>
    <row r="70" spans="1:8" x14ac:dyDescent="0.3">
      <c r="A70" s="63" t="s">
        <v>1060</v>
      </c>
      <c r="B70" s="63" t="s">
        <v>1061</v>
      </c>
      <c r="C70" s="63" t="s">
        <v>953</v>
      </c>
      <c r="D70" s="63" t="s">
        <v>953</v>
      </c>
      <c r="E70" s="65">
        <v>45540</v>
      </c>
      <c r="F70" s="65">
        <v>45540</v>
      </c>
      <c r="G70" s="64">
        <v>6323.98</v>
      </c>
      <c r="H70" s="92"/>
    </row>
    <row r="71" spans="1:8" x14ac:dyDescent="0.3">
      <c r="A71" s="63" t="s">
        <v>1060</v>
      </c>
      <c r="B71" s="63" t="s">
        <v>1062</v>
      </c>
      <c r="C71" s="63" t="s">
        <v>953</v>
      </c>
      <c r="D71" s="63" t="s">
        <v>953</v>
      </c>
      <c r="E71" s="65">
        <v>45572</v>
      </c>
      <c r="F71" s="65">
        <v>45572</v>
      </c>
      <c r="G71" s="64">
        <v>1692.4</v>
      </c>
      <c r="H71" s="92"/>
    </row>
    <row r="72" spans="1:8" x14ac:dyDescent="0.3">
      <c r="A72" s="63" t="s">
        <v>1060</v>
      </c>
      <c r="B72" s="63" t="s">
        <v>1063</v>
      </c>
      <c r="C72" s="63" t="s">
        <v>953</v>
      </c>
      <c r="D72" s="63" t="s">
        <v>1064</v>
      </c>
      <c r="E72" s="65">
        <v>45575</v>
      </c>
      <c r="F72" s="65">
        <v>45575</v>
      </c>
      <c r="G72" s="64">
        <v>6.56</v>
      </c>
      <c r="H72" s="92"/>
    </row>
    <row r="73" spans="1:8" x14ac:dyDescent="0.3">
      <c r="A73" s="63" t="s">
        <v>1060</v>
      </c>
      <c r="B73" s="63" t="s">
        <v>1065</v>
      </c>
      <c r="C73" s="63" t="s">
        <v>953</v>
      </c>
      <c r="D73" s="63" t="s">
        <v>1064</v>
      </c>
      <c r="E73" s="65">
        <v>45607</v>
      </c>
      <c r="F73" s="65">
        <v>45607</v>
      </c>
      <c r="G73" s="64">
        <v>3158.76</v>
      </c>
      <c r="H73" s="92"/>
    </row>
    <row r="74" spans="1:8" x14ac:dyDescent="0.3">
      <c r="A74" s="63" t="s">
        <v>1060</v>
      </c>
      <c r="B74" s="63" t="s">
        <v>1066</v>
      </c>
      <c r="C74" s="63" t="s">
        <v>953</v>
      </c>
      <c r="D74" s="63" t="s">
        <v>1067</v>
      </c>
      <c r="E74" s="65">
        <v>45838</v>
      </c>
      <c r="F74" s="65">
        <v>45838</v>
      </c>
      <c r="G74" s="64">
        <v>8396.4</v>
      </c>
      <c r="H74" s="92"/>
    </row>
    <row r="75" spans="1:8" x14ac:dyDescent="0.3">
      <c r="A75" s="63" t="s">
        <v>1060</v>
      </c>
      <c r="B75" s="63" t="s">
        <v>1068</v>
      </c>
      <c r="C75" s="63" t="s">
        <v>953</v>
      </c>
      <c r="D75" s="63" t="s">
        <v>1069</v>
      </c>
      <c r="E75" s="65">
        <v>45838</v>
      </c>
      <c r="F75" s="65">
        <v>45838</v>
      </c>
      <c r="G75" s="64">
        <v>4011.84</v>
      </c>
      <c r="H75" s="92"/>
    </row>
    <row r="76" spans="1:8" x14ac:dyDescent="0.3">
      <c r="A76" s="63" t="s">
        <v>1060</v>
      </c>
      <c r="B76" s="63" t="s">
        <v>1070</v>
      </c>
      <c r="C76" s="63" t="s">
        <v>953</v>
      </c>
      <c r="D76" s="63" t="s">
        <v>1064</v>
      </c>
      <c r="E76" s="65">
        <v>45838</v>
      </c>
      <c r="F76" s="65">
        <v>45838</v>
      </c>
      <c r="G76" s="64">
        <v>4750</v>
      </c>
      <c r="H76" s="92"/>
    </row>
    <row r="77" spans="1:8" x14ac:dyDescent="0.3">
      <c r="A77" s="63" t="s">
        <v>1071</v>
      </c>
      <c r="B77" s="63" t="s">
        <v>1072</v>
      </c>
      <c r="C77" s="63" t="s">
        <v>953</v>
      </c>
      <c r="D77" s="63" t="s">
        <v>1073</v>
      </c>
      <c r="E77" s="65">
        <v>45504</v>
      </c>
      <c r="F77" s="65">
        <v>45504</v>
      </c>
      <c r="G77" s="64">
        <v>11591.35</v>
      </c>
      <c r="H77" s="92"/>
    </row>
    <row r="78" spans="1:8" x14ac:dyDescent="0.3">
      <c r="A78" s="63" t="s">
        <v>1071</v>
      </c>
      <c r="B78" s="63" t="s">
        <v>1074</v>
      </c>
      <c r="C78" s="63" t="s">
        <v>953</v>
      </c>
      <c r="D78" s="63" t="s">
        <v>1075</v>
      </c>
      <c r="E78" s="65">
        <v>45535</v>
      </c>
      <c r="F78" s="65">
        <v>45535</v>
      </c>
      <c r="G78" s="64">
        <v>14119.57</v>
      </c>
      <c r="H78" s="92"/>
    </row>
    <row r="79" spans="1:8" x14ac:dyDescent="0.3">
      <c r="A79" s="63" t="s">
        <v>1071</v>
      </c>
      <c r="B79" s="63" t="s">
        <v>1076</v>
      </c>
      <c r="C79" s="63" t="s">
        <v>953</v>
      </c>
      <c r="D79" s="63" t="s">
        <v>1077</v>
      </c>
      <c r="E79" s="65">
        <v>45645</v>
      </c>
      <c r="F79" s="65">
        <v>45645</v>
      </c>
      <c r="G79" s="64">
        <v>20745.28</v>
      </c>
      <c r="H79" s="92"/>
    </row>
    <row r="80" spans="1:8" x14ac:dyDescent="0.3">
      <c r="A80" s="63" t="s">
        <v>1071</v>
      </c>
      <c r="B80" s="63" t="s">
        <v>1078</v>
      </c>
      <c r="C80" s="63" t="s">
        <v>953</v>
      </c>
      <c r="D80" s="63" t="s">
        <v>953</v>
      </c>
      <c r="E80" s="65">
        <v>45658</v>
      </c>
      <c r="F80" s="65">
        <v>45658</v>
      </c>
      <c r="G80" s="64">
        <v>1692.4</v>
      </c>
      <c r="H80" s="92"/>
    </row>
    <row r="81" spans="1:8" x14ac:dyDescent="0.3">
      <c r="A81" s="63" t="s">
        <v>1071</v>
      </c>
      <c r="B81" s="63" t="s">
        <v>1079</v>
      </c>
      <c r="C81" s="63" t="s">
        <v>953</v>
      </c>
      <c r="D81" s="63" t="s">
        <v>1080</v>
      </c>
      <c r="E81" s="65">
        <v>45677</v>
      </c>
      <c r="F81" s="65">
        <v>45677</v>
      </c>
      <c r="G81" s="64">
        <v>4340.53</v>
      </c>
      <c r="H81" s="92"/>
    </row>
    <row r="82" spans="1:8" x14ac:dyDescent="0.3">
      <c r="A82" s="63" t="s">
        <v>1081</v>
      </c>
      <c r="B82" s="63" t="s">
        <v>1082</v>
      </c>
      <c r="C82" s="63" t="s">
        <v>953</v>
      </c>
      <c r="D82" s="63" t="s">
        <v>953</v>
      </c>
      <c r="E82" s="65">
        <v>45838</v>
      </c>
      <c r="F82" s="65">
        <v>45838</v>
      </c>
      <c r="G82" s="64">
        <v>9750</v>
      </c>
      <c r="H82" s="92"/>
    </row>
    <row r="83" spans="1:8" x14ac:dyDescent="0.3">
      <c r="A83" s="63" t="s">
        <v>1081</v>
      </c>
      <c r="B83" s="63" t="s">
        <v>1083</v>
      </c>
      <c r="C83" s="63" t="s">
        <v>953</v>
      </c>
      <c r="D83" s="63" t="s">
        <v>953</v>
      </c>
      <c r="E83" s="65">
        <v>45838</v>
      </c>
      <c r="F83" s="65">
        <v>45868</v>
      </c>
      <c r="G83" s="64">
        <v>6600</v>
      </c>
      <c r="H83" s="92"/>
    </row>
    <row r="84" spans="1:8" x14ac:dyDescent="0.3">
      <c r="A84" s="63" t="s">
        <v>1081</v>
      </c>
      <c r="B84" s="63" t="s">
        <v>1084</v>
      </c>
      <c r="C84" s="63" t="s">
        <v>953</v>
      </c>
      <c r="D84" s="63" t="s">
        <v>953</v>
      </c>
      <c r="E84" s="65">
        <v>45838</v>
      </c>
      <c r="F84" s="65">
        <v>45868</v>
      </c>
      <c r="G84" s="64">
        <v>663</v>
      </c>
      <c r="H84" s="92"/>
    </row>
    <row r="85" spans="1:8" x14ac:dyDescent="0.3">
      <c r="A85" s="63" t="s">
        <v>1085</v>
      </c>
      <c r="B85" s="63" t="s">
        <v>1086</v>
      </c>
      <c r="C85" s="63" t="s">
        <v>953</v>
      </c>
      <c r="D85" s="63" t="s">
        <v>1087</v>
      </c>
      <c r="E85" s="65">
        <v>45535</v>
      </c>
      <c r="F85" s="65">
        <v>45535</v>
      </c>
      <c r="G85" s="64">
        <v>80957.73</v>
      </c>
      <c r="H85" s="92"/>
    </row>
    <row r="86" spans="1:8" x14ac:dyDescent="0.3">
      <c r="A86" s="63" t="s">
        <v>1085</v>
      </c>
      <c r="B86" s="63" t="s">
        <v>1088</v>
      </c>
      <c r="C86" s="63" t="s">
        <v>953</v>
      </c>
      <c r="D86" s="63" t="s">
        <v>1012</v>
      </c>
      <c r="E86" s="65">
        <v>45560</v>
      </c>
      <c r="F86" s="65">
        <v>45560</v>
      </c>
      <c r="G86" s="64">
        <v>1869.47</v>
      </c>
      <c r="H86" s="92"/>
    </row>
    <row r="87" spans="1:8" x14ac:dyDescent="0.3">
      <c r="A87" s="63" t="s">
        <v>1085</v>
      </c>
      <c r="B87" s="63" t="s">
        <v>1089</v>
      </c>
      <c r="C87" s="63" t="s">
        <v>953</v>
      </c>
      <c r="D87" s="63" t="s">
        <v>1090</v>
      </c>
      <c r="E87" s="65">
        <v>45565</v>
      </c>
      <c r="F87" s="65">
        <v>45565</v>
      </c>
      <c r="G87" s="64">
        <v>234579.74</v>
      </c>
      <c r="H87" s="92"/>
    </row>
    <row r="88" spans="1:8" x14ac:dyDescent="0.3">
      <c r="A88" s="63" t="s">
        <v>1085</v>
      </c>
      <c r="B88" s="63" t="s">
        <v>1091</v>
      </c>
      <c r="C88" s="63" t="s">
        <v>953</v>
      </c>
      <c r="D88" s="63" t="s">
        <v>1092</v>
      </c>
      <c r="E88" s="65">
        <v>45565</v>
      </c>
      <c r="F88" s="65">
        <v>45565</v>
      </c>
      <c r="G88" s="64">
        <v>53688.36</v>
      </c>
      <c r="H88" s="92"/>
    </row>
    <row r="89" spans="1:8" x14ac:dyDescent="0.3">
      <c r="A89" s="63" t="s">
        <v>1085</v>
      </c>
      <c r="B89" s="63" t="s">
        <v>1093</v>
      </c>
      <c r="C89" s="63" t="s">
        <v>953</v>
      </c>
      <c r="D89" s="63" t="s">
        <v>1052</v>
      </c>
      <c r="E89" s="65">
        <v>45565</v>
      </c>
      <c r="F89" s="65">
        <v>45565</v>
      </c>
      <c r="G89" s="64">
        <v>13012.85</v>
      </c>
      <c r="H89" s="92"/>
    </row>
    <row r="90" spans="1:8" x14ac:dyDescent="0.3">
      <c r="A90" s="63" t="s">
        <v>1085</v>
      </c>
      <c r="B90" s="63" t="s">
        <v>1094</v>
      </c>
      <c r="C90" s="63" t="s">
        <v>953</v>
      </c>
      <c r="D90" s="63" t="s">
        <v>1012</v>
      </c>
      <c r="E90" s="65">
        <v>45566</v>
      </c>
      <c r="F90" s="65">
        <v>45566</v>
      </c>
      <c r="G90" s="64">
        <v>6691.76</v>
      </c>
      <c r="H90" s="92"/>
    </row>
    <row r="91" spans="1:8" x14ac:dyDescent="0.3">
      <c r="A91" s="63" t="s">
        <v>1085</v>
      </c>
      <c r="B91" s="63" t="s">
        <v>1095</v>
      </c>
      <c r="C91" s="63" t="s">
        <v>953</v>
      </c>
      <c r="D91" s="63" t="s">
        <v>1096</v>
      </c>
      <c r="E91" s="65">
        <v>45576</v>
      </c>
      <c r="F91" s="65">
        <v>45576</v>
      </c>
      <c r="G91" s="64">
        <v>4212.8100000000004</v>
      </c>
      <c r="H91" s="92"/>
    </row>
    <row r="92" spans="1:8" x14ac:dyDescent="0.3">
      <c r="A92" s="63" t="s">
        <v>1085</v>
      </c>
      <c r="B92" s="63" t="s">
        <v>1097</v>
      </c>
      <c r="C92" s="63" t="s">
        <v>953</v>
      </c>
      <c r="D92" s="63" t="s">
        <v>1098</v>
      </c>
      <c r="E92" s="65">
        <v>45576</v>
      </c>
      <c r="F92" s="65">
        <v>45576</v>
      </c>
      <c r="G92" s="64">
        <v>37271.17</v>
      </c>
      <c r="H92" s="92"/>
    </row>
    <row r="93" spans="1:8" x14ac:dyDescent="0.3">
      <c r="A93" s="63" t="s">
        <v>1085</v>
      </c>
      <c r="B93" s="63" t="s">
        <v>1099</v>
      </c>
      <c r="C93" s="63" t="s">
        <v>953</v>
      </c>
      <c r="D93" s="63" t="s">
        <v>1100</v>
      </c>
      <c r="E93" s="65">
        <v>45576</v>
      </c>
      <c r="F93" s="65">
        <v>45576</v>
      </c>
      <c r="G93" s="64">
        <v>13420.47</v>
      </c>
      <c r="H93" s="92"/>
    </row>
    <row r="94" spans="1:8" x14ac:dyDescent="0.3">
      <c r="A94" s="63" t="s">
        <v>1085</v>
      </c>
      <c r="B94" s="63" t="s">
        <v>1101</v>
      </c>
      <c r="C94" s="63" t="s">
        <v>953</v>
      </c>
      <c r="D94" s="63" t="s">
        <v>1100</v>
      </c>
      <c r="E94" s="65">
        <v>45593</v>
      </c>
      <c r="F94" s="65">
        <v>45593</v>
      </c>
      <c r="G94" s="64">
        <v>47184.99</v>
      </c>
      <c r="H94" s="92"/>
    </row>
    <row r="95" spans="1:8" x14ac:dyDescent="0.3">
      <c r="A95" s="63" t="s">
        <v>1085</v>
      </c>
      <c r="B95" s="63" t="s">
        <v>1102</v>
      </c>
      <c r="C95" s="63" t="s">
        <v>953</v>
      </c>
      <c r="D95" s="63" t="s">
        <v>1103</v>
      </c>
      <c r="E95" s="65">
        <v>45595</v>
      </c>
      <c r="F95" s="65">
        <v>45595</v>
      </c>
      <c r="G95" s="64">
        <v>4096.1400000000003</v>
      </c>
      <c r="H95" s="92"/>
    </row>
    <row r="96" spans="1:8" x14ac:dyDescent="0.3">
      <c r="A96" s="63" t="s">
        <v>1085</v>
      </c>
      <c r="B96" s="63" t="s">
        <v>1104</v>
      </c>
      <c r="C96" s="63" t="s">
        <v>953</v>
      </c>
      <c r="D96" s="63" t="s">
        <v>1087</v>
      </c>
      <c r="E96" s="65">
        <v>45595</v>
      </c>
      <c r="F96" s="65">
        <v>45595</v>
      </c>
      <c r="G96" s="64">
        <v>25170.560000000001</v>
      </c>
      <c r="H96" s="92"/>
    </row>
    <row r="97" spans="1:8" x14ac:dyDescent="0.3">
      <c r="A97" s="63" t="s">
        <v>1085</v>
      </c>
      <c r="B97" s="63" t="s">
        <v>1105</v>
      </c>
      <c r="C97" s="63" t="s">
        <v>953</v>
      </c>
      <c r="D97" s="63" t="s">
        <v>1106</v>
      </c>
      <c r="E97" s="65">
        <v>45595</v>
      </c>
      <c r="F97" s="65">
        <v>45595</v>
      </c>
      <c r="G97" s="64">
        <v>31089.98</v>
      </c>
      <c r="H97" s="92"/>
    </row>
    <row r="98" spans="1:8" x14ac:dyDescent="0.3">
      <c r="A98" s="63" t="s">
        <v>1085</v>
      </c>
      <c r="B98" s="63" t="s">
        <v>1107</v>
      </c>
      <c r="C98" s="63" t="s">
        <v>953</v>
      </c>
      <c r="D98" s="63" t="s">
        <v>1069</v>
      </c>
      <c r="E98" s="65">
        <v>45596</v>
      </c>
      <c r="F98" s="65">
        <v>45596</v>
      </c>
      <c r="G98" s="64">
        <v>27300</v>
      </c>
      <c r="H98" s="92"/>
    </row>
    <row r="99" spans="1:8" x14ac:dyDescent="0.3">
      <c r="A99" s="63" t="s">
        <v>1085</v>
      </c>
      <c r="B99" s="63" t="s">
        <v>1108</v>
      </c>
      <c r="C99" s="63" t="s">
        <v>953</v>
      </c>
      <c r="D99" s="63" t="s">
        <v>1052</v>
      </c>
      <c r="E99" s="65">
        <v>45596</v>
      </c>
      <c r="F99" s="65">
        <v>45596</v>
      </c>
      <c r="G99" s="64">
        <v>224.36</v>
      </c>
      <c r="H99" s="92"/>
    </row>
    <row r="100" spans="1:8" x14ac:dyDescent="0.3">
      <c r="A100" s="63" t="s">
        <v>1085</v>
      </c>
      <c r="B100" s="63" t="s">
        <v>1109</v>
      </c>
      <c r="C100" s="63" t="s">
        <v>953</v>
      </c>
      <c r="D100" s="63" t="s">
        <v>1012</v>
      </c>
      <c r="E100" s="65">
        <v>45596</v>
      </c>
      <c r="F100" s="65">
        <v>45596</v>
      </c>
      <c r="G100" s="64">
        <v>19522.349999999999</v>
      </c>
      <c r="H100" s="92"/>
    </row>
    <row r="101" spans="1:8" x14ac:dyDescent="0.3">
      <c r="A101" s="63" t="s">
        <v>1085</v>
      </c>
      <c r="B101" s="63" t="s">
        <v>1110</v>
      </c>
      <c r="C101" s="63" t="s">
        <v>953</v>
      </c>
      <c r="D101" s="63" t="s">
        <v>1111</v>
      </c>
      <c r="E101" s="65">
        <v>45595</v>
      </c>
      <c r="F101" s="65">
        <v>45597</v>
      </c>
      <c r="G101" s="64">
        <v>5464.48</v>
      </c>
      <c r="H101" s="92"/>
    </row>
    <row r="102" spans="1:8" x14ac:dyDescent="0.3">
      <c r="A102" s="63" t="s">
        <v>1085</v>
      </c>
      <c r="B102" s="63" t="s">
        <v>1112</v>
      </c>
      <c r="C102" s="63" t="s">
        <v>953</v>
      </c>
      <c r="D102" s="63" t="s">
        <v>1113</v>
      </c>
      <c r="E102" s="65">
        <v>45604</v>
      </c>
      <c r="F102" s="65">
        <v>45604</v>
      </c>
      <c r="G102" s="64">
        <v>9148.36</v>
      </c>
      <c r="H102" s="92"/>
    </row>
    <row r="103" spans="1:8" x14ac:dyDescent="0.3">
      <c r="A103" s="63" t="s">
        <v>1085</v>
      </c>
      <c r="B103" s="63" t="s">
        <v>1114</v>
      </c>
      <c r="C103" s="63" t="s">
        <v>953</v>
      </c>
      <c r="D103" s="63" t="s">
        <v>1010</v>
      </c>
      <c r="E103" s="65">
        <v>45604</v>
      </c>
      <c r="F103" s="65">
        <v>45608</v>
      </c>
      <c r="G103" s="64">
        <v>79.27</v>
      </c>
      <c r="H103" s="92"/>
    </row>
    <row r="104" spans="1:8" x14ac:dyDescent="0.3">
      <c r="A104" s="63" t="s">
        <v>1085</v>
      </c>
      <c r="B104" s="63" t="s">
        <v>1115</v>
      </c>
      <c r="C104" s="63" t="s">
        <v>953</v>
      </c>
      <c r="D104" s="63" t="s">
        <v>1012</v>
      </c>
      <c r="E104" s="65">
        <v>45614</v>
      </c>
      <c r="F104" s="65">
        <v>45614</v>
      </c>
      <c r="G104" s="64">
        <v>11424.12</v>
      </c>
      <c r="H104" s="92"/>
    </row>
    <row r="105" spans="1:8" x14ac:dyDescent="0.3">
      <c r="A105" s="63" t="s">
        <v>1085</v>
      </c>
      <c r="B105" s="63" t="s">
        <v>1116</v>
      </c>
      <c r="C105" s="63" t="s">
        <v>953</v>
      </c>
      <c r="D105" s="63" t="s">
        <v>1012</v>
      </c>
      <c r="E105" s="65">
        <v>45614</v>
      </c>
      <c r="F105" s="65">
        <v>45615</v>
      </c>
      <c r="G105" s="64">
        <v>37205.43</v>
      </c>
      <c r="H105" s="92"/>
    </row>
    <row r="106" spans="1:8" x14ac:dyDescent="0.3">
      <c r="A106" s="63" t="s">
        <v>1085</v>
      </c>
      <c r="B106" s="63" t="s">
        <v>1117</v>
      </c>
      <c r="C106" s="63" t="s">
        <v>953</v>
      </c>
      <c r="D106" s="63" t="s">
        <v>1118</v>
      </c>
      <c r="E106" s="65">
        <v>45622</v>
      </c>
      <c r="F106" s="65">
        <v>45622</v>
      </c>
      <c r="G106" s="64">
        <v>977.7</v>
      </c>
      <c r="H106" s="92"/>
    </row>
    <row r="107" spans="1:8" x14ac:dyDescent="0.3">
      <c r="A107" s="63" t="s">
        <v>1085</v>
      </c>
      <c r="B107" s="63" t="s">
        <v>1119</v>
      </c>
      <c r="C107" s="63" t="s">
        <v>953</v>
      </c>
      <c r="D107" s="63" t="s">
        <v>1103</v>
      </c>
      <c r="E107" s="65">
        <v>45622</v>
      </c>
      <c r="F107" s="65">
        <v>45622</v>
      </c>
      <c r="G107" s="64">
        <v>2623.6</v>
      </c>
      <c r="H107" s="92"/>
    </row>
    <row r="108" spans="1:8" x14ac:dyDescent="0.3">
      <c r="A108" s="63" t="s">
        <v>1085</v>
      </c>
      <c r="B108" s="63" t="s">
        <v>1120</v>
      </c>
      <c r="C108" s="63" t="s">
        <v>953</v>
      </c>
      <c r="D108" s="63" t="s">
        <v>1121</v>
      </c>
      <c r="E108" s="65">
        <v>45622</v>
      </c>
      <c r="F108" s="65">
        <v>45622</v>
      </c>
      <c r="G108" s="64">
        <v>20025.599999999999</v>
      </c>
      <c r="H108" s="92"/>
    </row>
    <row r="109" spans="1:8" x14ac:dyDescent="0.3">
      <c r="A109" s="63" t="s">
        <v>1085</v>
      </c>
      <c r="B109" s="63" t="s">
        <v>1122</v>
      </c>
      <c r="C109" s="63" t="s">
        <v>953</v>
      </c>
      <c r="D109" s="63" t="s">
        <v>1111</v>
      </c>
      <c r="E109" s="65">
        <v>45622</v>
      </c>
      <c r="F109" s="65">
        <v>45622</v>
      </c>
      <c r="G109" s="64">
        <v>8940.7800000000007</v>
      </c>
      <c r="H109" s="92"/>
    </row>
    <row r="110" spans="1:8" x14ac:dyDescent="0.3">
      <c r="A110" s="63" t="s">
        <v>1085</v>
      </c>
      <c r="B110" s="63" t="s">
        <v>1123</v>
      </c>
      <c r="C110" s="63" t="s">
        <v>953</v>
      </c>
      <c r="D110" s="63" t="s">
        <v>1124</v>
      </c>
      <c r="E110" s="65">
        <v>45622</v>
      </c>
      <c r="F110" s="65">
        <v>45622</v>
      </c>
      <c r="G110" s="64">
        <v>594.33000000000004</v>
      </c>
      <c r="H110" s="92"/>
    </row>
    <row r="111" spans="1:8" x14ac:dyDescent="0.3">
      <c r="A111" s="63" t="s">
        <v>1085</v>
      </c>
      <c r="B111" s="63" t="s">
        <v>1125</v>
      </c>
      <c r="C111" s="63" t="s">
        <v>953</v>
      </c>
      <c r="D111" s="63" t="s">
        <v>1126</v>
      </c>
      <c r="E111" s="65">
        <v>45625</v>
      </c>
      <c r="F111" s="65">
        <v>45625</v>
      </c>
      <c r="G111" s="64">
        <v>43549.52</v>
      </c>
      <c r="H111" s="92"/>
    </row>
    <row r="112" spans="1:8" x14ac:dyDescent="0.3">
      <c r="A112" s="63" t="s">
        <v>1085</v>
      </c>
      <c r="B112" s="63" t="s">
        <v>1127</v>
      </c>
      <c r="C112" s="63" t="s">
        <v>953</v>
      </c>
      <c r="D112" s="63" t="s">
        <v>1087</v>
      </c>
      <c r="E112" s="65">
        <v>45625</v>
      </c>
      <c r="F112" s="65">
        <v>45625</v>
      </c>
      <c r="G112" s="64">
        <v>10874.36</v>
      </c>
      <c r="H112" s="92"/>
    </row>
    <row r="113" spans="1:8" x14ac:dyDescent="0.3">
      <c r="A113" s="63" t="s">
        <v>1085</v>
      </c>
      <c r="B113" s="63" t="s">
        <v>1128</v>
      </c>
      <c r="C113" s="63" t="s">
        <v>953</v>
      </c>
      <c r="D113" s="63" t="s">
        <v>1012</v>
      </c>
      <c r="E113" s="65">
        <v>45644</v>
      </c>
      <c r="F113" s="65">
        <v>45644</v>
      </c>
      <c r="G113" s="64">
        <v>810</v>
      </c>
      <c r="H113" s="92"/>
    </row>
    <row r="114" spans="1:8" x14ac:dyDescent="0.3">
      <c r="A114" s="63" t="s">
        <v>1085</v>
      </c>
      <c r="B114" s="63" t="s">
        <v>1129</v>
      </c>
      <c r="C114" s="63" t="s">
        <v>953</v>
      </c>
      <c r="D114" s="63" t="s">
        <v>1087</v>
      </c>
      <c r="E114" s="65">
        <v>45645</v>
      </c>
      <c r="F114" s="65">
        <v>45645</v>
      </c>
      <c r="G114" s="64">
        <v>5666.92</v>
      </c>
      <c r="H114" s="92"/>
    </row>
    <row r="115" spans="1:8" x14ac:dyDescent="0.3">
      <c r="A115" s="63" t="s">
        <v>1085</v>
      </c>
      <c r="B115" s="63" t="s">
        <v>1130</v>
      </c>
      <c r="C115" s="63" t="s">
        <v>953</v>
      </c>
      <c r="D115" s="63" t="s">
        <v>1090</v>
      </c>
      <c r="E115" s="65">
        <v>45645</v>
      </c>
      <c r="F115" s="65">
        <v>45645</v>
      </c>
      <c r="G115" s="64">
        <v>15332.65</v>
      </c>
      <c r="H115" s="92"/>
    </row>
    <row r="116" spans="1:8" x14ac:dyDescent="0.3">
      <c r="A116" s="63" t="s">
        <v>1085</v>
      </c>
      <c r="B116" s="63" t="s">
        <v>1131</v>
      </c>
      <c r="C116" s="63" t="s">
        <v>953</v>
      </c>
      <c r="D116" s="63" t="s">
        <v>1027</v>
      </c>
      <c r="E116" s="65">
        <v>45645</v>
      </c>
      <c r="F116" s="65">
        <v>45645</v>
      </c>
      <c r="G116" s="64">
        <v>942.3</v>
      </c>
      <c r="H116" s="92"/>
    </row>
    <row r="117" spans="1:8" x14ac:dyDescent="0.3">
      <c r="A117" s="63" t="s">
        <v>1085</v>
      </c>
      <c r="B117" s="63" t="s">
        <v>1132</v>
      </c>
      <c r="C117" s="63" t="s">
        <v>953</v>
      </c>
      <c r="D117" s="63" t="s">
        <v>1133</v>
      </c>
      <c r="E117" s="65">
        <v>45645</v>
      </c>
      <c r="F117" s="65">
        <v>45645</v>
      </c>
      <c r="G117" s="64">
        <v>875.6</v>
      </c>
      <c r="H117" s="92"/>
    </row>
    <row r="118" spans="1:8" x14ac:dyDescent="0.3">
      <c r="A118" s="63" t="s">
        <v>1085</v>
      </c>
      <c r="B118" s="63" t="s">
        <v>1134</v>
      </c>
      <c r="C118" s="63" t="s">
        <v>953</v>
      </c>
      <c r="D118" s="63" t="s">
        <v>1012</v>
      </c>
      <c r="E118" s="65">
        <v>45645</v>
      </c>
      <c r="F118" s="65">
        <v>45645</v>
      </c>
      <c r="G118" s="64">
        <v>2640</v>
      </c>
      <c r="H118" s="92"/>
    </row>
    <row r="119" spans="1:8" x14ac:dyDescent="0.3">
      <c r="A119" s="63" t="s">
        <v>1085</v>
      </c>
      <c r="B119" s="63" t="s">
        <v>1135</v>
      </c>
      <c r="C119" s="63" t="s">
        <v>953</v>
      </c>
      <c r="D119" s="63" t="s">
        <v>1113</v>
      </c>
      <c r="E119" s="65">
        <v>45656</v>
      </c>
      <c r="F119" s="65">
        <v>45656</v>
      </c>
      <c r="G119" s="64">
        <v>3206.45</v>
      </c>
      <c r="H119" s="92"/>
    </row>
    <row r="120" spans="1:8" x14ac:dyDescent="0.3">
      <c r="A120" s="63" t="s">
        <v>1085</v>
      </c>
      <c r="B120" s="63" t="s">
        <v>1136</v>
      </c>
      <c r="C120" s="63" t="s">
        <v>953</v>
      </c>
      <c r="D120" s="63" t="s">
        <v>1027</v>
      </c>
      <c r="E120" s="65">
        <v>45656</v>
      </c>
      <c r="F120" s="65">
        <v>45656</v>
      </c>
      <c r="G120" s="64">
        <v>6528.71</v>
      </c>
      <c r="H120" s="92"/>
    </row>
    <row r="121" spans="1:8" x14ac:dyDescent="0.3">
      <c r="A121" s="63" t="s">
        <v>1085</v>
      </c>
      <c r="B121" s="63" t="s">
        <v>1137</v>
      </c>
      <c r="C121" s="63" t="s">
        <v>953</v>
      </c>
      <c r="D121" s="63" t="s">
        <v>1027</v>
      </c>
      <c r="E121" s="65">
        <v>45656</v>
      </c>
      <c r="F121" s="65">
        <v>45656</v>
      </c>
      <c r="G121" s="64">
        <v>4314.08</v>
      </c>
      <c r="H121" s="92"/>
    </row>
    <row r="122" spans="1:8" x14ac:dyDescent="0.3">
      <c r="A122" s="63" t="s">
        <v>1085</v>
      </c>
      <c r="B122" s="63" t="s">
        <v>1138</v>
      </c>
      <c r="C122" s="63" t="s">
        <v>953</v>
      </c>
      <c r="D122" s="63" t="s">
        <v>1069</v>
      </c>
      <c r="E122" s="65">
        <v>45657</v>
      </c>
      <c r="F122" s="65">
        <v>45657</v>
      </c>
      <c r="G122" s="64">
        <v>3418.2</v>
      </c>
      <c r="H122" s="92"/>
    </row>
    <row r="123" spans="1:8" x14ac:dyDescent="0.3">
      <c r="A123" s="63" t="s">
        <v>1085</v>
      </c>
      <c r="B123" s="63" t="s">
        <v>1139</v>
      </c>
      <c r="C123" s="63" t="s">
        <v>953</v>
      </c>
      <c r="D123" s="63" t="s">
        <v>1113</v>
      </c>
      <c r="E123" s="65">
        <v>45657</v>
      </c>
      <c r="F123" s="65">
        <v>45657</v>
      </c>
      <c r="G123" s="64">
        <v>2901.3</v>
      </c>
      <c r="H123" s="92"/>
    </row>
    <row r="124" spans="1:8" x14ac:dyDescent="0.3">
      <c r="A124" s="63" t="s">
        <v>1085</v>
      </c>
      <c r="B124" s="63" t="s">
        <v>1140</v>
      </c>
      <c r="C124" s="63" t="s">
        <v>953</v>
      </c>
      <c r="D124" s="63" t="s">
        <v>1126</v>
      </c>
      <c r="E124" s="65">
        <v>45663</v>
      </c>
      <c r="F124" s="65">
        <v>45663</v>
      </c>
      <c r="G124" s="64">
        <v>4354.95</v>
      </c>
      <c r="H124" s="92"/>
    </row>
    <row r="125" spans="1:8" x14ac:dyDescent="0.3">
      <c r="A125" s="63" t="s">
        <v>1085</v>
      </c>
      <c r="B125" s="63" t="s">
        <v>1141</v>
      </c>
      <c r="C125" s="63" t="s">
        <v>953</v>
      </c>
      <c r="D125" s="63" t="s">
        <v>1121</v>
      </c>
      <c r="E125" s="65">
        <v>45663</v>
      </c>
      <c r="F125" s="65">
        <v>45663</v>
      </c>
      <c r="G125" s="64">
        <v>2763.6</v>
      </c>
      <c r="H125" s="92"/>
    </row>
    <row r="126" spans="1:8" x14ac:dyDescent="0.3">
      <c r="A126" s="63" t="s">
        <v>1085</v>
      </c>
      <c r="B126" s="63" t="s">
        <v>1142</v>
      </c>
      <c r="C126" s="63" t="s">
        <v>953</v>
      </c>
      <c r="D126" s="63" t="s">
        <v>1027</v>
      </c>
      <c r="E126" s="65">
        <v>45674</v>
      </c>
      <c r="F126" s="65">
        <v>45674</v>
      </c>
      <c r="G126" s="64">
        <v>22530.91</v>
      </c>
      <c r="H126" s="92"/>
    </row>
    <row r="127" spans="1:8" x14ac:dyDescent="0.3">
      <c r="A127" s="63" t="s">
        <v>1085</v>
      </c>
      <c r="B127" s="63" t="s">
        <v>1143</v>
      </c>
      <c r="C127" s="63" t="s">
        <v>953</v>
      </c>
      <c r="D127" s="63" t="s">
        <v>1144</v>
      </c>
      <c r="E127" s="65">
        <v>45674</v>
      </c>
      <c r="F127" s="65">
        <v>45674</v>
      </c>
      <c r="G127" s="64">
        <v>71005.539999999994</v>
      </c>
      <c r="H127" s="92"/>
    </row>
    <row r="128" spans="1:8" x14ac:dyDescent="0.3">
      <c r="A128" s="63" t="s">
        <v>1085</v>
      </c>
      <c r="B128" s="63" t="s">
        <v>1145</v>
      </c>
      <c r="C128" s="63" t="s">
        <v>953</v>
      </c>
      <c r="D128" s="63" t="s">
        <v>1012</v>
      </c>
      <c r="E128" s="65">
        <v>45681</v>
      </c>
      <c r="F128" s="65">
        <v>45681</v>
      </c>
      <c r="G128" s="64">
        <v>95</v>
      </c>
      <c r="H128" s="92"/>
    </row>
    <row r="129" spans="1:8" x14ac:dyDescent="0.3">
      <c r="A129" s="63" t="s">
        <v>1085</v>
      </c>
      <c r="B129" s="63" t="s">
        <v>1146</v>
      </c>
      <c r="C129" s="63" t="s">
        <v>953</v>
      </c>
      <c r="D129" s="63" t="s">
        <v>1027</v>
      </c>
      <c r="E129" s="65">
        <v>45687</v>
      </c>
      <c r="F129" s="65">
        <v>45687</v>
      </c>
      <c r="G129" s="64">
        <v>8667.59</v>
      </c>
      <c r="H129" s="92"/>
    </row>
    <row r="130" spans="1:8" x14ac:dyDescent="0.3">
      <c r="A130" s="63" t="s">
        <v>1085</v>
      </c>
      <c r="B130" s="63" t="s">
        <v>1147</v>
      </c>
      <c r="C130" s="63" t="s">
        <v>953</v>
      </c>
      <c r="D130" s="63" t="s">
        <v>1144</v>
      </c>
      <c r="E130" s="65">
        <v>45687</v>
      </c>
      <c r="F130" s="65">
        <v>45687</v>
      </c>
      <c r="G130" s="64">
        <v>38535.769999999997</v>
      </c>
      <c r="H130" s="92"/>
    </row>
    <row r="131" spans="1:8" x14ac:dyDescent="0.3">
      <c r="A131" s="63" t="s">
        <v>1085</v>
      </c>
      <c r="B131" s="63" t="s">
        <v>1148</v>
      </c>
      <c r="C131" s="63" t="s">
        <v>953</v>
      </c>
      <c r="D131" s="63" t="s">
        <v>1100</v>
      </c>
      <c r="E131" s="65">
        <v>45688</v>
      </c>
      <c r="F131" s="65">
        <v>45688</v>
      </c>
      <c r="G131" s="64">
        <v>4311.04</v>
      </c>
      <c r="H131" s="92"/>
    </row>
    <row r="132" spans="1:8" x14ac:dyDescent="0.3">
      <c r="A132" s="63" t="s">
        <v>1085</v>
      </c>
      <c r="B132" s="63" t="s">
        <v>1149</v>
      </c>
      <c r="C132" s="63" t="s">
        <v>953</v>
      </c>
      <c r="D132" s="63" t="s">
        <v>1150</v>
      </c>
      <c r="E132" s="65">
        <v>45698</v>
      </c>
      <c r="F132" s="65">
        <v>45698</v>
      </c>
      <c r="G132" s="64">
        <v>6301.71</v>
      </c>
      <c r="H132" s="92"/>
    </row>
    <row r="133" spans="1:8" x14ac:dyDescent="0.3">
      <c r="A133" s="63" t="s">
        <v>1085</v>
      </c>
      <c r="B133" s="63" t="s">
        <v>1151</v>
      </c>
      <c r="C133" s="63" t="s">
        <v>953</v>
      </c>
      <c r="D133" s="63" t="s">
        <v>953</v>
      </c>
      <c r="E133" s="65">
        <v>45698</v>
      </c>
      <c r="F133" s="65">
        <v>45698</v>
      </c>
      <c r="G133" s="64">
        <v>4283.25</v>
      </c>
      <c r="H133" s="92"/>
    </row>
    <row r="134" spans="1:8" x14ac:dyDescent="0.3">
      <c r="A134" s="63" t="s">
        <v>1085</v>
      </c>
      <c r="B134" s="63" t="s">
        <v>1152</v>
      </c>
      <c r="C134" s="63" t="s">
        <v>953</v>
      </c>
      <c r="D134" s="63" t="s">
        <v>1153</v>
      </c>
      <c r="E134" s="65">
        <v>45700</v>
      </c>
      <c r="F134" s="65">
        <v>45700</v>
      </c>
      <c r="G134" s="64">
        <v>14288.3</v>
      </c>
      <c r="H134" s="92"/>
    </row>
    <row r="135" spans="1:8" x14ac:dyDescent="0.3">
      <c r="A135" s="63" t="s">
        <v>1085</v>
      </c>
      <c r="B135" s="63" t="s">
        <v>1154</v>
      </c>
      <c r="C135" s="63" t="s">
        <v>953</v>
      </c>
      <c r="D135" s="63" t="s">
        <v>1113</v>
      </c>
      <c r="E135" s="65">
        <v>45706</v>
      </c>
      <c r="F135" s="65">
        <v>45706</v>
      </c>
      <c r="G135" s="64">
        <v>3360.66</v>
      </c>
      <c r="H135" s="92"/>
    </row>
    <row r="136" spans="1:8" x14ac:dyDescent="0.3">
      <c r="A136" s="63" t="s">
        <v>1085</v>
      </c>
      <c r="B136" s="63" t="s">
        <v>1155</v>
      </c>
      <c r="C136" s="63" t="s">
        <v>953</v>
      </c>
      <c r="D136" s="63" t="s">
        <v>1156</v>
      </c>
      <c r="E136" s="65">
        <v>45706</v>
      </c>
      <c r="F136" s="65">
        <v>45706</v>
      </c>
      <c r="G136" s="64">
        <v>259.63</v>
      </c>
      <c r="H136" s="92"/>
    </row>
    <row r="137" spans="1:8" x14ac:dyDescent="0.3">
      <c r="A137" s="63" t="s">
        <v>1085</v>
      </c>
      <c r="B137" s="63" t="s">
        <v>1157</v>
      </c>
      <c r="C137" s="63" t="s">
        <v>953</v>
      </c>
      <c r="D137" s="63" t="s">
        <v>1153</v>
      </c>
      <c r="E137" s="65">
        <v>45706</v>
      </c>
      <c r="F137" s="65">
        <v>45706</v>
      </c>
      <c r="G137" s="64">
        <v>2788.82</v>
      </c>
      <c r="H137" s="92"/>
    </row>
    <row r="138" spans="1:8" x14ac:dyDescent="0.3">
      <c r="A138" s="63" t="s">
        <v>1085</v>
      </c>
      <c r="B138" s="63" t="s">
        <v>1158</v>
      </c>
      <c r="C138" s="63" t="s">
        <v>953</v>
      </c>
      <c r="D138" s="63" t="s">
        <v>1100</v>
      </c>
      <c r="E138" s="65">
        <v>45727</v>
      </c>
      <c r="F138" s="65">
        <v>45727</v>
      </c>
      <c r="G138" s="64">
        <v>2348.48</v>
      </c>
      <c r="H138" s="92"/>
    </row>
    <row r="139" spans="1:8" x14ac:dyDescent="0.3">
      <c r="A139" s="63" t="s">
        <v>1085</v>
      </c>
      <c r="B139" s="63" t="s">
        <v>1159</v>
      </c>
      <c r="C139" s="63" t="s">
        <v>953</v>
      </c>
      <c r="D139" s="63" t="s">
        <v>1150</v>
      </c>
      <c r="E139" s="65">
        <v>45727</v>
      </c>
      <c r="F139" s="65">
        <v>45727</v>
      </c>
      <c r="G139" s="64">
        <v>2276.92</v>
      </c>
      <c r="H139" s="92"/>
    </row>
    <row r="140" spans="1:8" x14ac:dyDescent="0.3">
      <c r="A140" s="63" t="s">
        <v>1085</v>
      </c>
      <c r="B140" s="63" t="s">
        <v>1160</v>
      </c>
      <c r="C140" s="63" t="s">
        <v>953</v>
      </c>
      <c r="D140" s="63" t="s">
        <v>1161</v>
      </c>
      <c r="E140" s="65">
        <v>45727</v>
      </c>
      <c r="F140" s="65">
        <v>45727</v>
      </c>
      <c r="G140" s="64">
        <v>4727.1400000000003</v>
      </c>
      <c r="H140" s="92"/>
    </row>
    <row r="141" spans="1:8" x14ac:dyDescent="0.3">
      <c r="A141" s="63" t="s">
        <v>1085</v>
      </c>
      <c r="B141" s="63" t="s">
        <v>1162</v>
      </c>
      <c r="C141" s="63" t="s">
        <v>953</v>
      </c>
      <c r="D141" s="63" t="s">
        <v>1163</v>
      </c>
      <c r="E141" s="65">
        <v>45727</v>
      </c>
      <c r="F141" s="65">
        <v>45727</v>
      </c>
      <c r="G141" s="64">
        <v>14352.9</v>
      </c>
      <c r="H141" s="92"/>
    </row>
    <row r="142" spans="1:8" x14ac:dyDescent="0.3">
      <c r="A142" s="63" t="s">
        <v>1085</v>
      </c>
      <c r="B142" s="63" t="s">
        <v>1164</v>
      </c>
      <c r="C142" s="63" t="s">
        <v>953</v>
      </c>
      <c r="D142" s="63" t="s">
        <v>1165</v>
      </c>
      <c r="E142" s="65">
        <v>45727</v>
      </c>
      <c r="F142" s="65">
        <v>45727</v>
      </c>
      <c r="G142" s="64">
        <v>25.13</v>
      </c>
      <c r="H142" s="92"/>
    </row>
    <row r="143" spans="1:8" x14ac:dyDescent="0.3">
      <c r="A143" s="63" t="s">
        <v>1085</v>
      </c>
      <c r="B143" s="63" t="s">
        <v>1166</v>
      </c>
      <c r="C143" s="63" t="s">
        <v>953</v>
      </c>
      <c r="D143" s="63" t="s">
        <v>1124</v>
      </c>
      <c r="E143" s="65">
        <v>45727</v>
      </c>
      <c r="F143" s="65">
        <v>45727</v>
      </c>
      <c r="G143" s="64">
        <v>136.91999999999999</v>
      </c>
      <c r="H143" s="92"/>
    </row>
    <row r="144" spans="1:8" x14ac:dyDescent="0.3">
      <c r="A144" s="63" t="s">
        <v>1085</v>
      </c>
      <c r="B144" s="63" t="s">
        <v>1167</v>
      </c>
      <c r="C144" s="63" t="s">
        <v>953</v>
      </c>
      <c r="D144" s="63" t="s">
        <v>1012</v>
      </c>
      <c r="E144" s="65">
        <v>45727</v>
      </c>
      <c r="F144" s="65">
        <v>45727</v>
      </c>
      <c r="G144" s="64">
        <v>1672.65</v>
      </c>
      <c r="H144" s="92"/>
    </row>
    <row r="145" spans="1:8" x14ac:dyDescent="0.3">
      <c r="A145" s="63" t="s">
        <v>1085</v>
      </c>
      <c r="B145" s="63" t="s">
        <v>1168</v>
      </c>
      <c r="C145" s="63" t="s">
        <v>953</v>
      </c>
      <c r="D145" s="63" t="s">
        <v>1150</v>
      </c>
      <c r="E145" s="65">
        <v>45729</v>
      </c>
      <c r="F145" s="65">
        <v>45729</v>
      </c>
      <c r="G145" s="64">
        <v>2191.0300000000002</v>
      </c>
      <c r="H145" s="92"/>
    </row>
    <row r="146" spans="1:8" x14ac:dyDescent="0.3">
      <c r="A146" s="63" t="s">
        <v>1085</v>
      </c>
      <c r="B146" s="63" t="s">
        <v>1169</v>
      </c>
      <c r="C146" s="63" t="s">
        <v>953</v>
      </c>
      <c r="D146" s="63" t="s">
        <v>1027</v>
      </c>
      <c r="E146" s="65">
        <v>45744</v>
      </c>
      <c r="F146" s="65">
        <v>45744</v>
      </c>
      <c r="G146" s="64">
        <v>448.72</v>
      </c>
      <c r="H146" s="92"/>
    </row>
    <row r="147" spans="1:8" x14ac:dyDescent="0.3">
      <c r="A147" s="63" t="s">
        <v>1085</v>
      </c>
      <c r="B147" s="63" t="s">
        <v>1170</v>
      </c>
      <c r="C147" s="63" t="s">
        <v>953</v>
      </c>
      <c r="D147" s="63" t="s">
        <v>1163</v>
      </c>
      <c r="E147" s="65">
        <v>45744</v>
      </c>
      <c r="F147" s="65">
        <v>45744</v>
      </c>
      <c r="G147" s="64">
        <v>4701.6899999999996</v>
      </c>
      <c r="H147" s="92"/>
    </row>
    <row r="148" spans="1:8" x14ac:dyDescent="0.3">
      <c r="A148" s="63" t="s">
        <v>1085</v>
      </c>
      <c r="B148" s="63" t="s">
        <v>1171</v>
      </c>
      <c r="C148" s="63" t="s">
        <v>953</v>
      </c>
      <c r="D148" s="63" t="s">
        <v>1027</v>
      </c>
      <c r="E148" s="65">
        <v>45782</v>
      </c>
      <c r="F148" s="65">
        <v>45782</v>
      </c>
      <c r="G148" s="64">
        <v>298.72000000000003</v>
      </c>
      <c r="H148" s="92"/>
    </row>
    <row r="149" spans="1:8" x14ac:dyDescent="0.3">
      <c r="A149" s="63" t="s">
        <v>1085</v>
      </c>
      <c r="B149" s="63" t="s">
        <v>1172</v>
      </c>
      <c r="C149" s="63" t="s">
        <v>953</v>
      </c>
      <c r="D149" s="63" t="s">
        <v>1163</v>
      </c>
      <c r="E149" s="65">
        <v>45784</v>
      </c>
      <c r="F149" s="65">
        <v>45784</v>
      </c>
      <c r="G149" s="64">
        <v>1921.61</v>
      </c>
      <c r="H149" s="92"/>
    </row>
    <row r="150" spans="1:8" x14ac:dyDescent="0.3">
      <c r="A150" s="63" t="s">
        <v>1085</v>
      </c>
      <c r="B150" s="63" t="s">
        <v>1173</v>
      </c>
      <c r="C150" s="63" t="s">
        <v>953</v>
      </c>
      <c r="D150" s="63" t="s">
        <v>1027</v>
      </c>
      <c r="E150" s="65">
        <v>45792</v>
      </c>
      <c r="F150" s="65">
        <v>45792</v>
      </c>
      <c r="G150" s="64">
        <v>492.32</v>
      </c>
      <c r="H150" s="92"/>
    </row>
    <row r="151" spans="1:8" x14ac:dyDescent="0.3">
      <c r="A151" s="63" t="s">
        <v>1085</v>
      </c>
      <c r="B151" s="63" t="s">
        <v>1174</v>
      </c>
      <c r="C151" s="63" t="s">
        <v>953</v>
      </c>
      <c r="D151" s="63" t="s">
        <v>1175</v>
      </c>
      <c r="E151" s="65">
        <v>45792</v>
      </c>
      <c r="F151" s="65">
        <v>45792</v>
      </c>
      <c r="G151" s="64">
        <v>14818.85</v>
      </c>
      <c r="H151" s="92"/>
    </row>
    <row r="152" spans="1:8" x14ac:dyDescent="0.3">
      <c r="A152" s="63" t="s">
        <v>1085</v>
      </c>
      <c r="B152" s="63" t="s">
        <v>1176</v>
      </c>
      <c r="C152" s="63" t="s">
        <v>953</v>
      </c>
      <c r="D152" s="63" t="s">
        <v>1165</v>
      </c>
      <c r="E152" s="65">
        <v>45792</v>
      </c>
      <c r="F152" s="65">
        <v>45792</v>
      </c>
      <c r="G152" s="64">
        <v>251.3</v>
      </c>
      <c r="H152" s="92"/>
    </row>
    <row r="153" spans="1:8" x14ac:dyDescent="0.3">
      <c r="A153" s="63" t="s">
        <v>1085</v>
      </c>
      <c r="B153" s="63" t="s">
        <v>1177</v>
      </c>
      <c r="C153" s="63" t="s">
        <v>953</v>
      </c>
      <c r="D153" s="63" t="s">
        <v>1111</v>
      </c>
      <c r="E153" s="65">
        <v>45838</v>
      </c>
      <c r="F153" s="65">
        <v>45838</v>
      </c>
      <c r="G153" s="64">
        <v>11238.84</v>
      </c>
      <c r="H153" s="92"/>
    </row>
    <row r="154" spans="1:8" x14ac:dyDescent="0.3">
      <c r="A154" s="63" t="s">
        <v>1085</v>
      </c>
      <c r="B154" s="63" t="s">
        <v>1178</v>
      </c>
      <c r="C154" s="63" t="s">
        <v>953</v>
      </c>
      <c r="D154" s="63" t="s">
        <v>1113</v>
      </c>
      <c r="E154" s="65">
        <v>45838</v>
      </c>
      <c r="F154" s="65">
        <v>45838</v>
      </c>
      <c r="G154" s="64">
        <v>4657.09</v>
      </c>
      <c r="H154" s="92"/>
    </row>
    <row r="155" spans="1:8" x14ac:dyDescent="0.3">
      <c r="A155" s="63" t="s">
        <v>1179</v>
      </c>
      <c r="B155" s="63" t="s">
        <v>1180</v>
      </c>
      <c r="C155" s="63" t="s">
        <v>953</v>
      </c>
      <c r="D155" s="63" t="s">
        <v>1181</v>
      </c>
      <c r="E155" s="65">
        <v>45467</v>
      </c>
      <c r="F155" s="65">
        <v>45467</v>
      </c>
      <c r="G155" s="64">
        <v>5680</v>
      </c>
      <c r="H155" s="92"/>
    </row>
    <row r="156" spans="1:8" x14ac:dyDescent="0.3">
      <c r="A156" s="63" t="s">
        <v>1179</v>
      </c>
      <c r="B156" s="63" t="s">
        <v>1182</v>
      </c>
      <c r="C156" s="63" t="s">
        <v>953</v>
      </c>
      <c r="D156" s="63" t="s">
        <v>1181</v>
      </c>
      <c r="E156" s="65">
        <v>45470</v>
      </c>
      <c r="F156" s="65">
        <v>45470</v>
      </c>
      <c r="G156" s="64">
        <v>5626.86</v>
      </c>
      <c r="H156" s="92"/>
    </row>
    <row r="157" spans="1:8" x14ac:dyDescent="0.3">
      <c r="A157" s="63" t="s">
        <v>1179</v>
      </c>
      <c r="B157" s="63" t="s">
        <v>1183</v>
      </c>
      <c r="C157" s="63" t="s">
        <v>953</v>
      </c>
      <c r="D157" s="63" t="s">
        <v>1181</v>
      </c>
      <c r="E157" s="65">
        <v>45496</v>
      </c>
      <c r="F157" s="65">
        <v>45496</v>
      </c>
      <c r="G157" s="64">
        <v>900</v>
      </c>
      <c r="H157" s="92"/>
    </row>
    <row r="158" spans="1:8" x14ac:dyDescent="0.3">
      <c r="A158" s="63" t="s">
        <v>1179</v>
      </c>
      <c r="B158" s="63" t="s">
        <v>1184</v>
      </c>
      <c r="C158" s="63" t="s">
        <v>953</v>
      </c>
      <c r="D158" s="63" t="s">
        <v>953</v>
      </c>
      <c r="E158" s="65">
        <v>45496</v>
      </c>
      <c r="F158" s="65">
        <v>45496</v>
      </c>
      <c r="G158" s="64">
        <v>4294.16</v>
      </c>
      <c r="H158" s="92"/>
    </row>
    <row r="159" spans="1:8" x14ac:dyDescent="0.3">
      <c r="A159" s="63" t="s">
        <v>1179</v>
      </c>
      <c r="B159" s="63" t="s">
        <v>1185</v>
      </c>
      <c r="C159" s="63" t="s">
        <v>953</v>
      </c>
      <c r="D159" s="63" t="s">
        <v>953</v>
      </c>
      <c r="E159" s="65">
        <v>45511</v>
      </c>
      <c r="F159" s="65">
        <v>45511</v>
      </c>
      <c r="G159" s="64">
        <v>1206.92</v>
      </c>
      <c r="H159" s="92"/>
    </row>
    <row r="160" spans="1:8" x14ac:dyDescent="0.3">
      <c r="A160" s="63" t="s">
        <v>1179</v>
      </c>
      <c r="B160" s="63" t="s">
        <v>1186</v>
      </c>
      <c r="C160" s="63" t="s">
        <v>953</v>
      </c>
      <c r="D160" s="63" t="s">
        <v>953</v>
      </c>
      <c r="E160" s="65">
        <v>45520</v>
      </c>
      <c r="F160" s="65">
        <v>45520</v>
      </c>
      <c r="G160" s="64">
        <v>4117.1000000000004</v>
      </c>
      <c r="H160" s="92"/>
    </row>
    <row r="161" spans="1:8" x14ac:dyDescent="0.3">
      <c r="A161" s="63" t="s">
        <v>1179</v>
      </c>
      <c r="B161" s="63" t="s">
        <v>1187</v>
      </c>
      <c r="C161" s="63" t="s">
        <v>953</v>
      </c>
      <c r="D161" s="63" t="s">
        <v>1188</v>
      </c>
      <c r="E161" s="65">
        <v>45530</v>
      </c>
      <c r="F161" s="65">
        <v>45530</v>
      </c>
      <c r="G161" s="64">
        <v>774.36</v>
      </c>
      <c r="H161" s="92"/>
    </row>
    <row r="162" spans="1:8" x14ac:dyDescent="0.3">
      <c r="A162" s="63" t="s">
        <v>1179</v>
      </c>
      <c r="B162" s="63" t="s">
        <v>1189</v>
      </c>
      <c r="C162" s="63" t="s">
        <v>953</v>
      </c>
      <c r="D162" s="63" t="s">
        <v>1190</v>
      </c>
      <c r="E162" s="65">
        <v>45560</v>
      </c>
      <c r="F162" s="65">
        <v>45560</v>
      </c>
      <c r="G162" s="64">
        <v>1763.16</v>
      </c>
      <c r="H162" s="92"/>
    </row>
    <row r="163" spans="1:8" x14ac:dyDescent="0.3">
      <c r="A163" s="63" t="s">
        <v>1179</v>
      </c>
      <c r="B163" s="63" t="s">
        <v>1191</v>
      </c>
      <c r="C163" s="63" t="s">
        <v>953</v>
      </c>
      <c r="D163" s="63" t="s">
        <v>1192</v>
      </c>
      <c r="E163" s="65">
        <v>45569</v>
      </c>
      <c r="F163" s="65">
        <v>45569</v>
      </c>
      <c r="G163" s="64">
        <v>7573.2</v>
      </c>
      <c r="H163" s="92"/>
    </row>
    <row r="164" spans="1:8" x14ac:dyDescent="0.3">
      <c r="A164" s="63" t="s">
        <v>1179</v>
      </c>
      <c r="B164" s="63" t="s">
        <v>1193</v>
      </c>
      <c r="C164" s="63" t="s">
        <v>953</v>
      </c>
      <c r="D164" s="63" t="s">
        <v>1194</v>
      </c>
      <c r="E164" s="65">
        <v>45595</v>
      </c>
      <c r="F164" s="65">
        <v>45595</v>
      </c>
      <c r="G164" s="64">
        <v>50</v>
      </c>
      <c r="H164" s="92"/>
    </row>
    <row r="165" spans="1:8" x14ac:dyDescent="0.3">
      <c r="A165" s="63" t="s">
        <v>1179</v>
      </c>
      <c r="B165" s="63" t="s">
        <v>1195</v>
      </c>
      <c r="C165" s="63" t="s">
        <v>953</v>
      </c>
      <c r="D165" s="63" t="s">
        <v>953</v>
      </c>
      <c r="E165" s="65">
        <v>45604</v>
      </c>
      <c r="F165" s="65">
        <v>45604</v>
      </c>
      <c r="G165" s="64">
        <v>1716</v>
      </c>
      <c r="H165" s="92"/>
    </row>
    <row r="166" spans="1:8" x14ac:dyDescent="0.3">
      <c r="A166" s="63" t="s">
        <v>1179</v>
      </c>
      <c r="B166" s="63" t="s">
        <v>1196</v>
      </c>
      <c r="C166" s="63" t="s">
        <v>953</v>
      </c>
      <c r="D166" s="63" t="s">
        <v>953</v>
      </c>
      <c r="E166" s="65">
        <v>45617</v>
      </c>
      <c r="F166" s="65">
        <v>45617</v>
      </c>
      <c r="G166" s="64">
        <v>2930</v>
      </c>
      <c r="H166" s="92"/>
    </row>
    <row r="167" spans="1:8" x14ac:dyDescent="0.3">
      <c r="A167" s="63" t="s">
        <v>1179</v>
      </c>
      <c r="B167" s="63" t="s">
        <v>1197</v>
      </c>
      <c r="C167" s="63" t="s">
        <v>953</v>
      </c>
      <c r="D167" s="63" t="s">
        <v>953</v>
      </c>
      <c r="E167" s="65">
        <v>45617</v>
      </c>
      <c r="F167" s="65">
        <v>45617</v>
      </c>
      <c r="G167" s="64">
        <v>2897.44</v>
      </c>
      <c r="H167" s="92"/>
    </row>
    <row r="168" spans="1:8" x14ac:dyDescent="0.3">
      <c r="A168" s="63" t="s">
        <v>1179</v>
      </c>
      <c r="B168" s="63" t="s">
        <v>1198</v>
      </c>
      <c r="C168" s="63" t="s">
        <v>953</v>
      </c>
      <c r="D168" s="63" t="s">
        <v>1054</v>
      </c>
      <c r="E168" s="65">
        <v>45628</v>
      </c>
      <c r="F168" s="65">
        <v>45628</v>
      </c>
      <c r="G168" s="64">
        <v>95939</v>
      </c>
      <c r="H168" s="92"/>
    </row>
    <row r="169" spans="1:8" x14ac:dyDescent="0.3">
      <c r="A169" s="63" t="s">
        <v>1179</v>
      </c>
      <c r="B169" s="63" t="s">
        <v>1199</v>
      </c>
      <c r="C169" s="63" t="s">
        <v>953</v>
      </c>
      <c r="D169" s="63" t="s">
        <v>953</v>
      </c>
      <c r="E169" s="65">
        <v>45635</v>
      </c>
      <c r="F169" s="65">
        <v>45635</v>
      </c>
      <c r="G169" s="64">
        <v>3622.5</v>
      </c>
      <c r="H169" s="92"/>
    </row>
    <row r="170" spans="1:8" x14ac:dyDescent="0.3">
      <c r="A170" s="63" t="s">
        <v>1179</v>
      </c>
      <c r="B170" s="63" t="s">
        <v>1200</v>
      </c>
      <c r="C170" s="63" t="s">
        <v>953</v>
      </c>
      <c r="D170" s="63" t="s">
        <v>1201</v>
      </c>
      <c r="E170" s="65">
        <v>45643</v>
      </c>
      <c r="F170" s="65">
        <v>45643</v>
      </c>
      <c r="G170" s="64">
        <v>18615.8</v>
      </c>
      <c r="H170" s="92"/>
    </row>
    <row r="171" spans="1:8" x14ac:dyDescent="0.3">
      <c r="A171" s="63" t="s">
        <v>1179</v>
      </c>
      <c r="B171" s="63" t="s">
        <v>1202</v>
      </c>
      <c r="C171" s="63" t="s">
        <v>953</v>
      </c>
      <c r="D171" s="63" t="s">
        <v>1118</v>
      </c>
      <c r="E171" s="65">
        <v>45644</v>
      </c>
      <c r="F171" s="65">
        <v>45644</v>
      </c>
      <c r="G171" s="64">
        <v>29357.99</v>
      </c>
      <c r="H171" s="92"/>
    </row>
    <row r="172" spans="1:8" x14ac:dyDescent="0.3">
      <c r="A172" s="63" t="s">
        <v>1179</v>
      </c>
      <c r="B172" s="63" t="s">
        <v>1203</v>
      </c>
      <c r="C172" s="63" t="s">
        <v>953</v>
      </c>
      <c r="D172" s="63" t="s">
        <v>1204</v>
      </c>
      <c r="E172" s="65">
        <v>45645</v>
      </c>
      <c r="F172" s="65">
        <v>45645</v>
      </c>
      <c r="G172" s="64">
        <v>185560.44</v>
      </c>
      <c r="H172" s="92"/>
    </row>
    <row r="173" spans="1:8" x14ac:dyDescent="0.3">
      <c r="A173" s="63" t="s">
        <v>1179</v>
      </c>
      <c r="B173" s="63" t="s">
        <v>1205</v>
      </c>
      <c r="C173" s="63" t="s">
        <v>953</v>
      </c>
      <c r="D173" s="63" t="s">
        <v>1069</v>
      </c>
      <c r="E173" s="65">
        <v>45646</v>
      </c>
      <c r="F173" s="65">
        <v>45646</v>
      </c>
      <c r="G173" s="64">
        <v>10359.09</v>
      </c>
      <c r="H173" s="92"/>
    </row>
    <row r="174" spans="1:8" x14ac:dyDescent="0.3">
      <c r="A174" s="63" t="s">
        <v>1179</v>
      </c>
      <c r="B174" s="63" t="s">
        <v>1206</v>
      </c>
      <c r="C174" s="63" t="s">
        <v>953</v>
      </c>
      <c r="D174" s="63" t="s">
        <v>1190</v>
      </c>
      <c r="E174" s="65">
        <v>45646</v>
      </c>
      <c r="F174" s="65">
        <v>45646</v>
      </c>
      <c r="G174" s="64">
        <v>487.5</v>
      </c>
      <c r="H174" s="92"/>
    </row>
    <row r="175" spans="1:8" x14ac:dyDescent="0.3">
      <c r="A175" s="63" t="s">
        <v>1179</v>
      </c>
      <c r="B175" s="63" t="s">
        <v>1207</v>
      </c>
      <c r="C175" s="63" t="s">
        <v>953</v>
      </c>
      <c r="D175" s="63" t="s">
        <v>1006</v>
      </c>
      <c r="E175" s="65">
        <v>45656</v>
      </c>
      <c r="F175" s="65">
        <v>45656</v>
      </c>
      <c r="G175" s="64">
        <v>51840</v>
      </c>
      <c r="H175" s="92"/>
    </row>
    <row r="176" spans="1:8" x14ac:dyDescent="0.3">
      <c r="A176" s="63" t="s">
        <v>1179</v>
      </c>
      <c r="B176" s="63" t="s">
        <v>1208</v>
      </c>
      <c r="C176" s="63" t="s">
        <v>953</v>
      </c>
      <c r="D176" s="63" t="s">
        <v>1209</v>
      </c>
      <c r="E176" s="65">
        <v>45656</v>
      </c>
      <c r="F176" s="65">
        <v>45656</v>
      </c>
      <c r="G176" s="64">
        <v>4009.63</v>
      </c>
      <c r="H176" s="92"/>
    </row>
    <row r="177" spans="1:8" x14ac:dyDescent="0.3">
      <c r="A177" s="63" t="s">
        <v>1179</v>
      </c>
      <c r="B177" s="63" t="s">
        <v>1210</v>
      </c>
      <c r="C177" s="63" t="s">
        <v>953</v>
      </c>
      <c r="D177" s="63" t="s">
        <v>1190</v>
      </c>
      <c r="E177" s="65">
        <v>45656</v>
      </c>
      <c r="F177" s="65">
        <v>45656</v>
      </c>
      <c r="G177" s="64">
        <v>5037.57</v>
      </c>
      <c r="H177" s="92"/>
    </row>
    <row r="178" spans="1:8" x14ac:dyDescent="0.3">
      <c r="A178" s="63" t="s">
        <v>1179</v>
      </c>
      <c r="B178" s="63" t="s">
        <v>1211</v>
      </c>
      <c r="C178" s="63" t="s">
        <v>953</v>
      </c>
      <c r="D178" s="63" t="s">
        <v>1201</v>
      </c>
      <c r="E178" s="65">
        <v>45657</v>
      </c>
      <c r="F178" s="65">
        <v>45657</v>
      </c>
      <c r="G178" s="64">
        <v>10920.25</v>
      </c>
      <c r="H178" s="92"/>
    </row>
    <row r="179" spans="1:8" x14ac:dyDescent="0.3">
      <c r="A179" s="63" t="s">
        <v>1179</v>
      </c>
      <c r="B179" s="63" t="s">
        <v>1212</v>
      </c>
      <c r="C179" s="63" t="s">
        <v>953</v>
      </c>
      <c r="D179" s="63" t="s">
        <v>1027</v>
      </c>
      <c r="E179" s="65">
        <v>45657</v>
      </c>
      <c r="F179" s="65">
        <v>45657</v>
      </c>
      <c r="G179" s="64">
        <v>5443.31</v>
      </c>
      <c r="H179" s="92"/>
    </row>
    <row r="180" spans="1:8" x14ac:dyDescent="0.3">
      <c r="A180" s="63" t="s">
        <v>1179</v>
      </c>
      <c r="B180" s="63" t="s">
        <v>1213</v>
      </c>
      <c r="C180" s="63" t="s">
        <v>953</v>
      </c>
      <c r="D180" s="63" t="s">
        <v>1054</v>
      </c>
      <c r="E180" s="65">
        <v>45657</v>
      </c>
      <c r="F180" s="65">
        <v>45659</v>
      </c>
      <c r="G180" s="64">
        <v>86457.54</v>
      </c>
      <c r="H180" s="92"/>
    </row>
    <row r="181" spans="1:8" x14ac:dyDescent="0.3">
      <c r="A181" s="63" t="s">
        <v>1179</v>
      </c>
      <c r="B181" s="63" t="s">
        <v>1214</v>
      </c>
      <c r="C181" s="63" t="s">
        <v>953</v>
      </c>
      <c r="D181" s="63" t="s">
        <v>1161</v>
      </c>
      <c r="E181" s="65">
        <v>45665</v>
      </c>
      <c r="F181" s="65">
        <v>45665</v>
      </c>
      <c r="G181" s="64">
        <v>2382.88</v>
      </c>
      <c r="H181" s="92"/>
    </row>
    <row r="182" spans="1:8" x14ac:dyDescent="0.3">
      <c r="A182" s="63" t="s">
        <v>1179</v>
      </c>
      <c r="B182" s="63" t="s">
        <v>1215</v>
      </c>
      <c r="C182" s="63" t="s">
        <v>953</v>
      </c>
      <c r="D182" s="63" t="s">
        <v>1150</v>
      </c>
      <c r="E182" s="65">
        <v>45706</v>
      </c>
      <c r="F182" s="65">
        <v>45706</v>
      </c>
      <c r="G182" s="64">
        <v>13874.87</v>
      </c>
      <c r="H182" s="92"/>
    </row>
    <row r="183" spans="1:8" x14ac:dyDescent="0.3">
      <c r="A183" s="63" t="s">
        <v>1179</v>
      </c>
      <c r="B183" s="63" t="s">
        <v>1216</v>
      </c>
      <c r="C183" s="63" t="s">
        <v>953</v>
      </c>
      <c r="D183" s="63" t="s">
        <v>1217</v>
      </c>
      <c r="E183" s="65">
        <v>45706</v>
      </c>
      <c r="F183" s="65">
        <v>45706</v>
      </c>
      <c r="G183" s="64">
        <v>37595.230000000003</v>
      </c>
      <c r="H183" s="92"/>
    </row>
    <row r="184" spans="1:8" x14ac:dyDescent="0.3">
      <c r="A184" s="63" t="s">
        <v>1179</v>
      </c>
      <c r="B184" s="63" t="s">
        <v>1218</v>
      </c>
      <c r="C184" s="63" t="s">
        <v>953</v>
      </c>
      <c r="D184" s="63" t="s">
        <v>1219</v>
      </c>
      <c r="E184" s="65">
        <v>45706</v>
      </c>
      <c r="F184" s="65">
        <v>45708</v>
      </c>
      <c r="G184" s="64">
        <v>1559.96</v>
      </c>
      <c r="H184" s="92"/>
    </row>
    <row r="185" spans="1:8" x14ac:dyDescent="0.3">
      <c r="A185" s="63" t="s">
        <v>1179</v>
      </c>
      <c r="B185" s="63" t="s">
        <v>1220</v>
      </c>
      <c r="C185" s="63" t="s">
        <v>953</v>
      </c>
      <c r="D185" s="63" t="s">
        <v>1069</v>
      </c>
      <c r="E185" s="65">
        <v>45838</v>
      </c>
      <c r="F185" s="65">
        <v>45838</v>
      </c>
      <c r="G185" s="64">
        <v>9584.7999999999993</v>
      </c>
      <c r="H185" s="92"/>
    </row>
    <row r="186" spans="1:8" x14ac:dyDescent="0.3">
      <c r="A186" s="63" t="s">
        <v>1179</v>
      </c>
      <c r="B186" s="63" t="s">
        <v>1221</v>
      </c>
      <c r="C186" s="63" t="s">
        <v>953</v>
      </c>
      <c r="D186" s="63" t="s">
        <v>1222</v>
      </c>
      <c r="E186" s="65">
        <v>45838</v>
      </c>
      <c r="F186" s="65">
        <v>45838</v>
      </c>
      <c r="G186" s="64">
        <v>9111.7199999999993</v>
      </c>
      <c r="H186" s="92"/>
    </row>
    <row r="187" spans="1:8" x14ac:dyDescent="0.3">
      <c r="A187" s="63" t="s">
        <v>1223</v>
      </c>
      <c r="B187" s="63" t="s">
        <v>1224</v>
      </c>
      <c r="C187" s="63" t="s">
        <v>953</v>
      </c>
      <c r="D187" s="63" t="s">
        <v>953</v>
      </c>
      <c r="E187" s="65">
        <v>45632</v>
      </c>
      <c r="F187" s="65">
        <v>45632</v>
      </c>
      <c r="G187" s="64">
        <v>10896</v>
      </c>
      <c r="H187" s="92"/>
    </row>
    <row r="188" spans="1:8" x14ac:dyDescent="0.3">
      <c r="A188" s="63" t="s">
        <v>1223</v>
      </c>
      <c r="B188" s="63" t="s">
        <v>1225</v>
      </c>
      <c r="C188" s="63" t="s">
        <v>953</v>
      </c>
      <c r="D188" s="63" t="s">
        <v>1226</v>
      </c>
      <c r="E188" s="65">
        <v>45706</v>
      </c>
      <c r="F188" s="65">
        <v>45706</v>
      </c>
      <c r="G188" s="64">
        <v>17425.580000000002</v>
      </c>
      <c r="H188" s="92"/>
    </row>
    <row r="189" spans="1:8" x14ac:dyDescent="0.3">
      <c r="A189" s="63" t="s">
        <v>1223</v>
      </c>
      <c r="B189" s="63" t="s">
        <v>1227</v>
      </c>
      <c r="C189" s="63" t="s">
        <v>953</v>
      </c>
      <c r="D189" s="63" t="s">
        <v>1226</v>
      </c>
      <c r="E189" s="65">
        <v>45708</v>
      </c>
      <c r="F189" s="65">
        <v>45708</v>
      </c>
      <c r="G189" s="64">
        <v>7184.18</v>
      </c>
      <c r="H189" s="92"/>
    </row>
    <row r="190" spans="1:8" x14ac:dyDescent="0.3">
      <c r="A190" s="63" t="s">
        <v>1223</v>
      </c>
      <c r="B190" s="63" t="s">
        <v>1228</v>
      </c>
      <c r="C190" s="63" t="s">
        <v>953</v>
      </c>
      <c r="D190" s="63" t="s">
        <v>1226</v>
      </c>
      <c r="E190" s="65">
        <v>45720</v>
      </c>
      <c r="F190" s="65">
        <v>45720</v>
      </c>
      <c r="G190" s="64">
        <v>1594.8</v>
      </c>
      <c r="H190" s="92"/>
    </row>
    <row r="191" spans="1:8" x14ac:dyDescent="0.3">
      <c r="A191" s="63" t="s">
        <v>1223</v>
      </c>
      <c r="B191" s="63" t="s">
        <v>1229</v>
      </c>
      <c r="C191" s="63" t="s">
        <v>953</v>
      </c>
      <c r="D191" s="63" t="s">
        <v>1226</v>
      </c>
      <c r="E191" s="65">
        <v>45721</v>
      </c>
      <c r="F191" s="65">
        <v>45721</v>
      </c>
      <c r="G191" s="64">
        <v>1929.6</v>
      </c>
      <c r="H191" s="92"/>
    </row>
    <row r="192" spans="1:8" x14ac:dyDescent="0.3">
      <c r="A192" s="63" t="s">
        <v>1223</v>
      </c>
      <c r="B192" s="63" t="s">
        <v>1230</v>
      </c>
      <c r="C192" s="63" t="s">
        <v>953</v>
      </c>
      <c r="D192" s="63" t="s">
        <v>1226</v>
      </c>
      <c r="E192" s="65">
        <v>45740</v>
      </c>
      <c r="F192" s="65">
        <v>45740</v>
      </c>
      <c r="G192" s="64">
        <v>16459.900000000001</v>
      </c>
      <c r="H192" s="92"/>
    </row>
    <row r="193" spans="1:8" x14ac:dyDescent="0.3">
      <c r="A193" s="63" t="s">
        <v>1223</v>
      </c>
      <c r="B193" s="63" t="s">
        <v>1231</v>
      </c>
      <c r="C193" s="63" t="s">
        <v>953</v>
      </c>
      <c r="D193" s="63" t="s">
        <v>1226</v>
      </c>
      <c r="E193" s="65">
        <v>45737</v>
      </c>
      <c r="F193" s="65">
        <v>45743</v>
      </c>
      <c r="G193" s="64">
        <v>239.2</v>
      </c>
      <c r="H193" s="92"/>
    </row>
    <row r="194" spans="1:8" x14ac:dyDescent="0.3">
      <c r="A194" s="63" t="s">
        <v>1223</v>
      </c>
      <c r="B194" s="63" t="s">
        <v>1232</v>
      </c>
      <c r="C194" s="63" t="s">
        <v>953</v>
      </c>
      <c r="D194" s="63" t="s">
        <v>1233</v>
      </c>
      <c r="E194" s="65">
        <v>45747</v>
      </c>
      <c r="F194" s="65">
        <v>45747</v>
      </c>
      <c r="G194" s="64">
        <v>6524.75</v>
      </c>
      <c r="H194" s="92"/>
    </row>
    <row r="195" spans="1:8" x14ac:dyDescent="0.3">
      <c r="A195" s="63" t="s">
        <v>1223</v>
      </c>
      <c r="B195" s="63" t="s">
        <v>1234</v>
      </c>
      <c r="C195" s="63" t="s">
        <v>953</v>
      </c>
      <c r="D195" s="63" t="s">
        <v>1233</v>
      </c>
      <c r="E195" s="65">
        <v>45747</v>
      </c>
      <c r="F195" s="65">
        <v>45747</v>
      </c>
      <c r="G195" s="64">
        <v>23632.959999999999</v>
      </c>
      <c r="H195" s="92"/>
    </row>
    <row r="196" spans="1:8" x14ac:dyDescent="0.3">
      <c r="A196" s="63" t="s">
        <v>1223</v>
      </c>
      <c r="B196" s="63" t="s">
        <v>1235</v>
      </c>
      <c r="C196" s="63" t="s">
        <v>953</v>
      </c>
      <c r="D196" s="63" t="s">
        <v>1233</v>
      </c>
      <c r="E196" s="65">
        <v>45748</v>
      </c>
      <c r="F196" s="65">
        <v>45748</v>
      </c>
      <c r="G196" s="64">
        <v>3638.99</v>
      </c>
      <c r="H196" s="92"/>
    </row>
    <row r="197" spans="1:8" x14ac:dyDescent="0.3">
      <c r="A197" s="63" t="s">
        <v>1223</v>
      </c>
      <c r="B197" s="63" t="s">
        <v>1236</v>
      </c>
      <c r="C197" s="63" t="s">
        <v>953</v>
      </c>
      <c r="D197" s="63" t="s">
        <v>1226</v>
      </c>
      <c r="E197" s="65">
        <v>45756</v>
      </c>
      <c r="F197" s="65">
        <v>45756</v>
      </c>
      <c r="G197" s="64">
        <v>1012.3</v>
      </c>
      <c r="H197" s="92"/>
    </row>
    <row r="198" spans="1:8" x14ac:dyDescent="0.3">
      <c r="A198" s="63" t="s">
        <v>1223</v>
      </c>
      <c r="B198" s="63" t="s">
        <v>1237</v>
      </c>
      <c r="C198" s="63" t="s">
        <v>953</v>
      </c>
      <c r="D198" s="63" t="s">
        <v>1226</v>
      </c>
      <c r="E198" s="65">
        <v>45757</v>
      </c>
      <c r="F198" s="65">
        <v>45757</v>
      </c>
      <c r="G198" s="64">
        <v>2023.5</v>
      </c>
      <c r="H198" s="92"/>
    </row>
    <row r="199" spans="1:8" x14ac:dyDescent="0.3">
      <c r="A199" s="63" t="s">
        <v>1223</v>
      </c>
      <c r="B199" s="63" t="s">
        <v>1238</v>
      </c>
      <c r="C199" s="63" t="s">
        <v>953</v>
      </c>
      <c r="D199" s="63" t="s">
        <v>953</v>
      </c>
      <c r="E199" s="65">
        <v>45759</v>
      </c>
      <c r="F199" s="65">
        <v>45759</v>
      </c>
      <c r="G199" s="64">
        <v>28800</v>
      </c>
      <c r="H199" s="92"/>
    </row>
    <row r="200" spans="1:8" x14ac:dyDescent="0.3">
      <c r="A200" s="63" t="s">
        <v>1223</v>
      </c>
      <c r="B200" s="63" t="s">
        <v>1239</v>
      </c>
      <c r="C200" s="63" t="s">
        <v>953</v>
      </c>
      <c r="D200" s="63" t="s">
        <v>1226</v>
      </c>
      <c r="E200" s="65">
        <v>45764</v>
      </c>
      <c r="F200" s="65">
        <v>45764</v>
      </c>
      <c r="G200" s="64">
        <v>11019.6</v>
      </c>
      <c r="H200" s="92"/>
    </row>
    <row r="201" spans="1:8" x14ac:dyDescent="0.3">
      <c r="A201" s="63" t="s">
        <v>1223</v>
      </c>
      <c r="B201" s="63" t="s">
        <v>1240</v>
      </c>
      <c r="C201" s="63" t="s">
        <v>953</v>
      </c>
      <c r="D201" s="63" t="s">
        <v>1226</v>
      </c>
      <c r="E201" s="65">
        <v>45772</v>
      </c>
      <c r="F201" s="65">
        <v>45772</v>
      </c>
      <c r="G201" s="64">
        <v>2022.73</v>
      </c>
      <c r="H201" s="92"/>
    </row>
    <row r="202" spans="1:8" x14ac:dyDescent="0.3">
      <c r="A202" s="63" t="s">
        <v>1223</v>
      </c>
      <c r="B202" s="63" t="s">
        <v>1241</v>
      </c>
      <c r="C202" s="63" t="s">
        <v>953</v>
      </c>
      <c r="D202" s="63" t="s">
        <v>1226</v>
      </c>
      <c r="E202" s="65">
        <v>45776</v>
      </c>
      <c r="F202" s="65">
        <v>45776</v>
      </c>
      <c r="G202" s="64">
        <v>2463</v>
      </c>
      <c r="H202" s="92"/>
    </row>
    <row r="203" spans="1:8" x14ac:dyDescent="0.3">
      <c r="A203" s="63" t="s">
        <v>1223</v>
      </c>
      <c r="B203" s="63" t="s">
        <v>1242</v>
      </c>
      <c r="C203" s="63" t="s">
        <v>953</v>
      </c>
      <c r="D203" s="63" t="s">
        <v>1226</v>
      </c>
      <c r="E203" s="65">
        <v>45776</v>
      </c>
      <c r="F203" s="65">
        <v>45776</v>
      </c>
      <c r="G203" s="64">
        <v>2636.04</v>
      </c>
      <c r="H203" s="92"/>
    </row>
    <row r="204" spans="1:8" x14ac:dyDescent="0.3">
      <c r="A204" s="63" t="s">
        <v>1223</v>
      </c>
      <c r="B204" s="63" t="s">
        <v>1243</v>
      </c>
      <c r="C204" s="63" t="s">
        <v>953</v>
      </c>
      <c r="D204" s="63" t="s">
        <v>1226</v>
      </c>
      <c r="E204" s="65">
        <v>45783</v>
      </c>
      <c r="F204" s="65">
        <v>45783</v>
      </c>
      <c r="G204" s="64">
        <v>6855.6</v>
      </c>
      <c r="H204" s="92"/>
    </row>
    <row r="205" spans="1:8" x14ac:dyDescent="0.3">
      <c r="A205" s="63" t="s">
        <v>1223</v>
      </c>
      <c r="B205" s="63" t="s">
        <v>1244</v>
      </c>
      <c r="C205" s="63" t="s">
        <v>953</v>
      </c>
      <c r="D205" s="63" t="s">
        <v>1226</v>
      </c>
      <c r="E205" s="65">
        <v>45791</v>
      </c>
      <c r="F205" s="65">
        <v>45791</v>
      </c>
      <c r="G205" s="64">
        <v>14351.27</v>
      </c>
      <c r="H205" s="92"/>
    </row>
    <row r="206" spans="1:8" x14ac:dyDescent="0.3">
      <c r="A206" s="63" t="s">
        <v>1223</v>
      </c>
      <c r="B206" s="63" t="s">
        <v>1245</v>
      </c>
      <c r="C206" s="63" t="s">
        <v>953</v>
      </c>
      <c r="D206" s="63" t="s">
        <v>1226</v>
      </c>
      <c r="E206" s="65">
        <v>45813</v>
      </c>
      <c r="F206" s="65">
        <v>45813</v>
      </c>
      <c r="G206" s="64">
        <v>4665.6000000000004</v>
      </c>
      <c r="H206" s="92"/>
    </row>
    <row r="207" spans="1:8" x14ac:dyDescent="0.3">
      <c r="A207" s="63" t="s">
        <v>1223</v>
      </c>
      <c r="B207" s="63" t="s">
        <v>1246</v>
      </c>
      <c r="C207" s="63" t="s">
        <v>953</v>
      </c>
      <c r="D207" s="63" t="s">
        <v>1247</v>
      </c>
      <c r="E207" s="65">
        <v>45838</v>
      </c>
      <c r="F207" s="65">
        <v>45838</v>
      </c>
      <c r="G207" s="64">
        <v>243619.64</v>
      </c>
      <c r="H207" s="92"/>
    </row>
    <row r="208" spans="1:8" x14ac:dyDescent="0.3">
      <c r="A208" s="63" t="s">
        <v>1223</v>
      </c>
      <c r="B208" s="63" t="s">
        <v>1248</v>
      </c>
      <c r="C208" s="63" t="s">
        <v>953</v>
      </c>
      <c r="D208" s="63" t="s">
        <v>953</v>
      </c>
      <c r="E208" s="65">
        <v>45838</v>
      </c>
      <c r="F208" s="65">
        <v>45838</v>
      </c>
      <c r="G208" s="64">
        <v>13860</v>
      </c>
      <c r="H208" s="92"/>
    </row>
    <row r="209" spans="1:8" x14ac:dyDescent="0.3">
      <c r="A209" s="63" t="s">
        <v>1223</v>
      </c>
      <c r="B209" s="63" t="s">
        <v>1249</v>
      </c>
      <c r="C209" s="63" t="s">
        <v>953</v>
      </c>
      <c r="D209" s="63" t="s">
        <v>1233</v>
      </c>
      <c r="E209" s="65">
        <v>45838</v>
      </c>
      <c r="F209" s="65">
        <v>45838</v>
      </c>
      <c r="G209" s="64">
        <v>20005.16</v>
      </c>
      <c r="H209" s="92"/>
    </row>
    <row r="210" spans="1:8" x14ac:dyDescent="0.3">
      <c r="A210" s="63" t="s">
        <v>1223</v>
      </c>
      <c r="B210" s="63" t="s">
        <v>1250</v>
      </c>
      <c r="C210" s="63" t="s">
        <v>953</v>
      </c>
      <c r="D210" s="63" t="s">
        <v>953</v>
      </c>
      <c r="E210" s="65">
        <v>45838</v>
      </c>
      <c r="F210" s="65">
        <v>45838</v>
      </c>
      <c r="G210" s="64">
        <v>2884.01</v>
      </c>
      <c r="H210" s="92"/>
    </row>
    <row r="211" spans="1:8" x14ac:dyDescent="0.3">
      <c r="A211" s="63" t="s">
        <v>1251</v>
      </c>
      <c r="B211" s="63" t="s">
        <v>1252</v>
      </c>
      <c r="C211" s="63" t="s">
        <v>953</v>
      </c>
      <c r="D211" s="63" t="s">
        <v>1253</v>
      </c>
      <c r="E211" s="65">
        <v>45602</v>
      </c>
      <c r="F211" s="65">
        <v>45632</v>
      </c>
      <c r="G211" s="64">
        <v>30607.919999999998</v>
      </c>
      <c r="H211" s="92"/>
    </row>
    <row r="212" spans="1:8" x14ac:dyDescent="0.3">
      <c r="A212" s="63" t="s">
        <v>1251</v>
      </c>
      <c r="B212" s="63" t="s">
        <v>1254</v>
      </c>
      <c r="C212" s="63" t="s">
        <v>953</v>
      </c>
      <c r="D212" s="63" t="s">
        <v>1253</v>
      </c>
      <c r="E212" s="65">
        <v>45611</v>
      </c>
      <c r="F212" s="65">
        <v>45641</v>
      </c>
      <c r="G212" s="64">
        <v>16092</v>
      </c>
      <c r="H212" s="92"/>
    </row>
    <row r="213" spans="1:8" x14ac:dyDescent="0.3">
      <c r="A213" s="63" t="s">
        <v>1251</v>
      </c>
      <c r="B213" s="63" t="s">
        <v>1255</v>
      </c>
      <c r="C213" s="63" t="s">
        <v>953</v>
      </c>
      <c r="D213" s="63" t="s">
        <v>1256</v>
      </c>
      <c r="E213" s="65">
        <v>45646</v>
      </c>
      <c r="F213" s="65">
        <v>45646</v>
      </c>
      <c r="G213" s="64">
        <v>67200</v>
      </c>
      <c r="H213" s="92"/>
    </row>
    <row r="214" spans="1:8" x14ac:dyDescent="0.3">
      <c r="A214" s="63" t="s">
        <v>1251</v>
      </c>
      <c r="B214" s="63" t="s">
        <v>1257</v>
      </c>
      <c r="C214" s="63" t="s">
        <v>953</v>
      </c>
      <c r="D214" s="63" t="s">
        <v>1256</v>
      </c>
      <c r="E214" s="65">
        <v>45656</v>
      </c>
      <c r="F214" s="65">
        <v>45656</v>
      </c>
      <c r="G214" s="64">
        <v>64250</v>
      </c>
      <c r="H214" s="92"/>
    </row>
    <row r="215" spans="1:8" x14ac:dyDescent="0.3">
      <c r="A215" s="63" t="s">
        <v>1251</v>
      </c>
      <c r="B215" s="63" t="s">
        <v>1258</v>
      </c>
      <c r="C215" s="63" t="s">
        <v>953</v>
      </c>
      <c r="D215" s="63" t="s">
        <v>1256</v>
      </c>
      <c r="E215" s="65">
        <v>45691</v>
      </c>
      <c r="F215" s="65">
        <v>45691</v>
      </c>
      <c r="G215" s="64">
        <v>5400</v>
      </c>
      <c r="H215" s="92"/>
    </row>
    <row r="216" spans="1:8" x14ac:dyDescent="0.3">
      <c r="A216" s="63" t="s">
        <v>1251</v>
      </c>
      <c r="B216" s="63" t="s">
        <v>1259</v>
      </c>
      <c r="C216" s="63" t="s">
        <v>953</v>
      </c>
      <c r="D216" s="63" t="s">
        <v>1253</v>
      </c>
      <c r="E216" s="65">
        <v>45727</v>
      </c>
      <c r="F216" s="65">
        <v>45757</v>
      </c>
      <c r="G216" s="64">
        <v>2271.8000000000002</v>
      </c>
      <c r="H216" s="92"/>
    </row>
    <row r="217" spans="1:8" x14ac:dyDescent="0.3">
      <c r="A217" s="63" t="s">
        <v>1251</v>
      </c>
      <c r="B217" s="63" t="s">
        <v>1260</v>
      </c>
      <c r="C217" s="63" t="s">
        <v>953</v>
      </c>
      <c r="D217" s="63" t="s">
        <v>1256</v>
      </c>
      <c r="E217" s="65">
        <v>45838</v>
      </c>
      <c r="F217" s="65">
        <v>45838</v>
      </c>
      <c r="G217" s="64">
        <v>13450</v>
      </c>
      <c r="H217" s="92"/>
    </row>
    <row r="218" spans="1:8" x14ac:dyDescent="0.3">
      <c r="A218" s="63" t="s">
        <v>1261</v>
      </c>
      <c r="B218" s="63" t="s">
        <v>1262</v>
      </c>
      <c r="C218" s="63" t="s">
        <v>953</v>
      </c>
      <c r="D218" s="63" t="s">
        <v>953</v>
      </c>
      <c r="E218" s="65">
        <v>45635</v>
      </c>
      <c r="F218" s="65">
        <v>45635</v>
      </c>
      <c r="G218" s="64">
        <v>54204.82</v>
      </c>
      <c r="H218" s="92"/>
    </row>
    <row r="219" spans="1:8" x14ac:dyDescent="0.3">
      <c r="A219" s="63" t="s">
        <v>1263</v>
      </c>
      <c r="B219" s="63" t="s">
        <v>1264</v>
      </c>
      <c r="C219" s="63" t="s">
        <v>953</v>
      </c>
      <c r="D219" s="63" t="s">
        <v>1006</v>
      </c>
      <c r="E219" s="65">
        <v>45838</v>
      </c>
      <c r="F219" s="65">
        <v>45838</v>
      </c>
      <c r="G219" s="64">
        <v>7713.81</v>
      </c>
      <c r="H219" s="92"/>
    </row>
    <row r="220" spans="1:8" x14ac:dyDescent="0.3">
      <c r="A220" s="63" t="s">
        <v>1263</v>
      </c>
      <c r="B220" s="63" t="s">
        <v>1265</v>
      </c>
      <c r="C220" s="63" t="s">
        <v>953</v>
      </c>
      <c r="D220" s="63" t="s">
        <v>1266</v>
      </c>
      <c r="E220" s="65">
        <v>45838</v>
      </c>
      <c r="F220" s="65">
        <v>45838</v>
      </c>
      <c r="G220" s="64">
        <v>173006.26</v>
      </c>
      <c r="H220" s="92"/>
    </row>
    <row r="221" spans="1:8" x14ac:dyDescent="0.3">
      <c r="A221" s="63" t="s">
        <v>1263</v>
      </c>
      <c r="B221" s="63" t="s">
        <v>1267</v>
      </c>
      <c r="C221" s="63" t="s">
        <v>953</v>
      </c>
      <c r="D221" s="63" t="s">
        <v>1268</v>
      </c>
      <c r="E221" s="65">
        <v>45838</v>
      </c>
      <c r="F221" s="65">
        <v>45838</v>
      </c>
      <c r="G221" s="64">
        <v>334.2</v>
      </c>
      <c r="H221" s="92"/>
    </row>
    <row r="222" spans="1:8" x14ac:dyDescent="0.3">
      <c r="A222" s="63" t="s">
        <v>1269</v>
      </c>
      <c r="B222" s="63" t="s">
        <v>1270</v>
      </c>
      <c r="C222" s="63" t="s">
        <v>953</v>
      </c>
      <c r="D222" s="63" t="s">
        <v>953</v>
      </c>
      <c r="E222" s="65">
        <v>45664</v>
      </c>
      <c r="F222" s="65">
        <v>45664</v>
      </c>
      <c r="G222" s="64">
        <v>139.15</v>
      </c>
      <c r="H222" s="92"/>
    </row>
    <row r="223" spans="1:8" x14ac:dyDescent="0.3">
      <c r="A223" s="63" t="s">
        <v>1269</v>
      </c>
      <c r="B223" s="63" t="s">
        <v>1271</v>
      </c>
      <c r="C223" s="63" t="s">
        <v>953</v>
      </c>
      <c r="D223" s="63" t="s">
        <v>1006</v>
      </c>
      <c r="E223" s="65">
        <v>45838</v>
      </c>
      <c r="F223" s="65">
        <v>45838</v>
      </c>
      <c r="G223" s="64">
        <v>39755.449999999997</v>
      </c>
      <c r="H223" s="92"/>
    </row>
    <row r="224" spans="1:8" x14ac:dyDescent="0.3">
      <c r="A224" s="63" t="s">
        <v>1272</v>
      </c>
      <c r="B224" s="63" t="s">
        <v>1273</v>
      </c>
      <c r="C224" s="63" t="s">
        <v>1274</v>
      </c>
      <c r="D224" s="63" t="s">
        <v>1275</v>
      </c>
      <c r="E224" s="65">
        <v>45741</v>
      </c>
      <c r="F224" s="65">
        <v>45741</v>
      </c>
      <c r="G224" s="64">
        <v>17155.599999999999</v>
      </c>
      <c r="H224" s="92"/>
    </row>
    <row r="225" spans="1:8" x14ac:dyDescent="0.3">
      <c r="A225" s="63" t="s">
        <v>1272</v>
      </c>
      <c r="B225" s="63" t="s">
        <v>1276</v>
      </c>
      <c r="C225" s="63" t="s">
        <v>1274</v>
      </c>
      <c r="D225" s="63" t="s">
        <v>1275</v>
      </c>
      <c r="E225" s="65">
        <v>45805</v>
      </c>
      <c r="F225" s="65">
        <v>45805</v>
      </c>
      <c r="G225" s="64">
        <v>3979.36</v>
      </c>
      <c r="H225" s="92"/>
    </row>
    <row r="226" spans="1:8" x14ac:dyDescent="0.3">
      <c r="A226" s="63" t="s">
        <v>1277</v>
      </c>
      <c r="B226" s="63" t="s">
        <v>1278</v>
      </c>
      <c r="C226" s="63" t="s">
        <v>953</v>
      </c>
      <c r="D226" s="63" t="s">
        <v>1279</v>
      </c>
      <c r="E226" s="65">
        <v>45614</v>
      </c>
      <c r="F226" s="65">
        <v>45614</v>
      </c>
      <c r="G226" s="64">
        <v>-2.64</v>
      </c>
      <c r="H226" s="92"/>
    </row>
    <row r="227" spans="1:8" x14ac:dyDescent="0.3">
      <c r="A227" s="63" t="s">
        <v>1280</v>
      </c>
      <c r="B227" s="63" t="s">
        <v>1281</v>
      </c>
      <c r="C227" s="63" t="s">
        <v>953</v>
      </c>
      <c r="D227" s="63" t="s">
        <v>1282</v>
      </c>
      <c r="E227" s="65">
        <v>45838</v>
      </c>
      <c r="F227" s="65">
        <v>45838</v>
      </c>
      <c r="G227" s="64">
        <v>6514.06</v>
      </c>
      <c r="H227" s="92"/>
    </row>
    <row r="228" spans="1:8" x14ac:dyDescent="0.3">
      <c r="A228" s="63" t="s">
        <v>1283</v>
      </c>
      <c r="B228" s="63" t="s">
        <v>1284</v>
      </c>
      <c r="C228" s="63" t="s">
        <v>953</v>
      </c>
      <c r="D228" s="63" t="s">
        <v>1285</v>
      </c>
      <c r="E228" s="65">
        <v>45065</v>
      </c>
      <c r="F228" s="65">
        <v>45065</v>
      </c>
      <c r="G228" s="64">
        <v>16136.18</v>
      </c>
      <c r="H228" s="92"/>
    </row>
    <row r="229" spans="1:8" x14ac:dyDescent="0.3">
      <c r="A229" s="63" t="s">
        <v>1283</v>
      </c>
      <c r="B229" s="63" t="s">
        <v>1286</v>
      </c>
      <c r="C229" s="63" t="s">
        <v>953</v>
      </c>
      <c r="D229" s="63" t="s">
        <v>1287</v>
      </c>
      <c r="E229" s="65">
        <v>45086</v>
      </c>
      <c r="F229" s="65">
        <v>45086</v>
      </c>
      <c r="G229" s="64">
        <v>36576.730000000003</v>
      </c>
      <c r="H229" s="92"/>
    </row>
    <row r="230" spans="1:8" x14ac:dyDescent="0.3">
      <c r="A230" s="63" t="s">
        <v>1283</v>
      </c>
      <c r="B230" s="63" t="s">
        <v>1288</v>
      </c>
      <c r="C230" s="63" t="s">
        <v>953</v>
      </c>
      <c r="D230" s="63" t="s">
        <v>1289</v>
      </c>
      <c r="E230" s="65">
        <v>45090</v>
      </c>
      <c r="F230" s="65">
        <v>45090</v>
      </c>
      <c r="G230" s="64">
        <v>4147.3599999999997</v>
      </c>
      <c r="H230" s="92"/>
    </row>
    <row r="231" spans="1:8" x14ac:dyDescent="0.3">
      <c r="A231" s="63" t="s">
        <v>1283</v>
      </c>
      <c r="B231" s="63" t="s">
        <v>1290</v>
      </c>
      <c r="C231" s="63" t="s">
        <v>953</v>
      </c>
      <c r="D231" s="63" t="s">
        <v>1291</v>
      </c>
      <c r="E231" s="65">
        <v>45135</v>
      </c>
      <c r="F231" s="65">
        <v>45135</v>
      </c>
      <c r="G231" s="64">
        <v>-10252.32</v>
      </c>
      <c r="H231" s="92"/>
    </row>
    <row r="232" spans="1:8" x14ac:dyDescent="0.3">
      <c r="A232" s="63" t="s">
        <v>1283</v>
      </c>
      <c r="B232" s="63" t="s">
        <v>1292</v>
      </c>
      <c r="C232" s="63" t="s">
        <v>953</v>
      </c>
      <c r="D232" s="63" t="s">
        <v>1293</v>
      </c>
      <c r="E232" s="65">
        <v>45145</v>
      </c>
      <c r="F232" s="65">
        <v>45145</v>
      </c>
      <c r="G232" s="64">
        <v>30988.799999999999</v>
      </c>
      <c r="H232" s="92"/>
    </row>
    <row r="233" spans="1:8" x14ac:dyDescent="0.3">
      <c r="A233" s="63" t="s">
        <v>1283</v>
      </c>
      <c r="B233" s="63" t="s">
        <v>1294</v>
      </c>
      <c r="C233" s="63" t="s">
        <v>953</v>
      </c>
      <c r="D233" s="63" t="s">
        <v>1293</v>
      </c>
      <c r="E233" s="65">
        <v>45148</v>
      </c>
      <c r="F233" s="65">
        <v>45148</v>
      </c>
      <c r="G233" s="64">
        <v>4870.99</v>
      </c>
      <c r="H233" s="92"/>
    </row>
    <row r="234" spans="1:8" x14ac:dyDescent="0.3">
      <c r="A234" s="63" t="s">
        <v>1283</v>
      </c>
      <c r="B234" s="63" t="s">
        <v>1295</v>
      </c>
      <c r="C234" s="63" t="s">
        <v>953</v>
      </c>
      <c r="D234" s="63" t="s">
        <v>1073</v>
      </c>
      <c r="E234" s="65">
        <v>45154</v>
      </c>
      <c r="F234" s="65">
        <v>45154</v>
      </c>
      <c r="G234" s="64">
        <v>106307</v>
      </c>
      <c r="H234" s="92"/>
    </row>
    <row r="235" spans="1:8" x14ac:dyDescent="0.3">
      <c r="A235" s="63" t="s">
        <v>1283</v>
      </c>
      <c r="B235" s="63" t="s">
        <v>1296</v>
      </c>
      <c r="C235" s="63" t="s">
        <v>953</v>
      </c>
      <c r="D235" s="63" t="s">
        <v>1293</v>
      </c>
      <c r="E235" s="65">
        <v>45154</v>
      </c>
      <c r="F235" s="65">
        <v>45154</v>
      </c>
      <c r="G235" s="64">
        <v>-15740.79</v>
      </c>
      <c r="H235" s="92"/>
    </row>
    <row r="236" spans="1:8" x14ac:dyDescent="0.3">
      <c r="A236" s="63" t="s">
        <v>1283</v>
      </c>
      <c r="B236" s="63" t="s">
        <v>1297</v>
      </c>
      <c r="C236" s="63" t="s">
        <v>953</v>
      </c>
      <c r="D236" s="63" t="s">
        <v>1293</v>
      </c>
      <c r="E236" s="65">
        <v>45160</v>
      </c>
      <c r="F236" s="65">
        <v>45160</v>
      </c>
      <c r="G236" s="64">
        <v>3098.88</v>
      </c>
      <c r="H236" s="92"/>
    </row>
    <row r="237" spans="1:8" x14ac:dyDescent="0.3">
      <c r="A237" s="63" t="s">
        <v>1283</v>
      </c>
      <c r="B237" s="63" t="s">
        <v>1298</v>
      </c>
      <c r="C237" s="63" t="s">
        <v>953</v>
      </c>
      <c r="D237" s="63" t="s">
        <v>1299</v>
      </c>
      <c r="E237" s="65">
        <v>45183</v>
      </c>
      <c r="F237" s="65">
        <v>45183</v>
      </c>
      <c r="G237" s="64">
        <v>6959.86</v>
      </c>
      <c r="H237" s="92"/>
    </row>
    <row r="238" spans="1:8" x14ac:dyDescent="0.3">
      <c r="A238" s="63" t="s">
        <v>1283</v>
      </c>
      <c r="B238" s="63" t="s">
        <v>1300</v>
      </c>
      <c r="C238" s="63" t="s">
        <v>953</v>
      </c>
      <c r="D238" s="63" t="s">
        <v>1301</v>
      </c>
      <c r="E238" s="65">
        <v>45183</v>
      </c>
      <c r="F238" s="65">
        <v>45183</v>
      </c>
      <c r="G238" s="64">
        <v>2145.04</v>
      </c>
      <c r="H238" s="92"/>
    </row>
    <row r="239" spans="1:8" x14ac:dyDescent="0.3">
      <c r="A239" s="63" t="s">
        <v>1283</v>
      </c>
      <c r="B239" s="63" t="s">
        <v>1302</v>
      </c>
      <c r="C239" s="63" t="s">
        <v>953</v>
      </c>
      <c r="D239" s="63" t="s">
        <v>1301</v>
      </c>
      <c r="E239" s="65">
        <v>45183</v>
      </c>
      <c r="F239" s="65">
        <v>45183</v>
      </c>
      <c r="G239" s="64">
        <v>6968.64</v>
      </c>
      <c r="H239" s="92"/>
    </row>
    <row r="240" spans="1:8" x14ac:dyDescent="0.3">
      <c r="A240" s="63" t="s">
        <v>1283</v>
      </c>
      <c r="B240" s="63" t="s">
        <v>1303</v>
      </c>
      <c r="C240" s="63" t="s">
        <v>953</v>
      </c>
      <c r="D240" s="63" t="s">
        <v>1301</v>
      </c>
      <c r="E240" s="65">
        <v>45183</v>
      </c>
      <c r="F240" s="65">
        <v>45183</v>
      </c>
      <c r="G240" s="64">
        <v>145.49</v>
      </c>
      <c r="H240" s="92"/>
    </row>
    <row r="241" spans="1:8" x14ac:dyDescent="0.3">
      <c r="A241" s="63" t="s">
        <v>1283</v>
      </c>
      <c r="B241" s="63" t="s">
        <v>1304</v>
      </c>
      <c r="C241" s="63" t="s">
        <v>953</v>
      </c>
      <c r="D241" s="63" t="s">
        <v>1293</v>
      </c>
      <c r="E241" s="65">
        <v>45188</v>
      </c>
      <c r="F241" s="65">
        <v>45188</v>
      </c>
      <c r="G241" s="64">
        <v>3775</v>
      </c>
      <c r="H241" s="92"/>
    </row>
    <row r="242" spans="1:8" x14ac:dyDescent="0.3">
      <c r="A242" s="63" t="s">
        <v>1283</v>
      </c>
      <c r="B242" s="63" t="s">
        <v>1305</v>
      </c>
      <c r="C242" s="63" t="s">
        <v>953</v>
      </c>
      <c r="D242" s="63" t="s">
        <v>1306</v>
      </c>
      <c r="E242" s="65">
        <v>45198</v>
      </c>
      <c r="F242" s="65">
        <v>45198</v>
      </c>
      <c r="G242" s="64">
        <v>38369.64</v>
      </c>
      <c r="H242" s="92"/>
    </row>
    <row r="243" spans="1:8" x14ac:dyDescent="0.3">
      <c r="A243" s="63" t="s">
        <v>1283</v>
      </c>
      <c r="B243" s="63" t="s">
        <v>1307</v>
      </c>
      <c r="C243" s="63" t="s">
        <v>953</v>
      </c>
      <c r="D243" s="63" t="s">
        <v>1080</v>
      </c>
      <c r="E243" s="65">
        <v>45199</v>
      </c>
      <c r="F243" s="65">
        <v>45199</v>
      </c>
      <c r="G243" s="64">
        <v>57019.7</v>
      </c>
      <c r="H243" s="92"/>
    </row>
    <row r="244" spans="1:8" x14ac:dyDescent="0.3">
      <c r="A244" s="63" t="s">
        <v>1283</v>
      </c>
      <c r="B244" s="63" t="s">
        <v>1308</v>
      </c>
      <c r="C244" s="63" t="s">
        <v>953</v>
      </c>
      <c r="D244" s="63" t="s">
        <v>1309</v>
      </c>
      <c r="E244" s="65">
        <v>45199</v>
      </c>
      <c r="F244" s="65">
        <v>45199</v>
      </c>
      <c r="G244" s="64">
        <v>126680.94</v>
      </c>
      <c r="H244" s="92"/>
    </row>
    <row r="245" spans="1:8" x14ac:dyDescent="0.3">
      <c r="A245" s="63" t="s">
        <v>1283</v>
      </c>
      <c r="B245" s="63" t="s">
        <v>1310</v>
      </c>
      <c r="C245" s="63" t="s">
        <v>953</v>
      </c>
      <c r="D245" s="63" t="s">
        <v>1299</v>
      </c>
      <c r="E245" s="65">
        <v>45199</v>
      </c>
      <c r="F245" s="65">
        <v>45199</v>
      </c>
      <c r="G245" s="64">
        <v>8657.69</v>
      </c>
      <c r="H245" s="92"/>
    </row>
    <row r="246" spans="1:8" x14ac:dyDescent="0.3">
      <c r="A246" s="63" t="s">
        <v>1283</v>
      </c>
      <c r="B246" s="63" t="s">
        <v>1311</v>
      </c>
      <c r="C246" s="63" t="s">
        <v>953</v>
      </c>
      <c r="D246" s="63" t="s">
        <v>1312</v>
      </c>
      <c r="E246" s="65">
        <v>45199</v>
      </c>
      <c r="F246" s="65">
        <v>45199</v>
      </c>
      <c r="G246" s="64">
        <v>1168.1300000000001</v>
      </c>
      <c r="H246" s="92"/>
    </row>
    <row r="247" spans="1:8" x14ac:dyDescent="0.3">
      <c r="A247" s="63" t="s">
        <v>1283</v>
      </c>
      <c r="B247" s="63" t="s">
        <v>1313</v>
      </c>
      <c r="C247" s="63" t="s">
        <v>953</v>
      </c>
      <c r="D247" s="63" t="s">
        <v>1291</v>
      </c>
      <c r="E247" s="65">
        <v>45208</v>
      </c>
      <c r="F247" s="65">
        <v>45208</v>
      </c>
      <c r="G247" s="64">
        <v>1679.12</v>
      </c>
      <c r="H247" s="92"/>
    </row>
    <row r="248" spans="1:8" x14ac:dyDescent="0.3">
      <c r="A248" s="63" t="s">
        <v>1283</v>
      </c>
      <c r="B248" s="63" t="s">
        <v>1314</v>
      </c>
      <c r="C248" s="63" t="s">
        <v>953</v>
      </c>
      <c r="D248" s="63" t="s">
        <v>1315</v>
      </c>
      <c r="E248" s="65">
        <v>45208</v>
      </c>
      <c r="F248" s="65">
        <v>45208</v>
      </c>
      <c r="G248" s="64">
        <v>22216.5</v>
      </c>
      <c r="H248" s="92"/>
    </row>
    <row r="249" spans="1:8" x14ac:dyDescent="0.3">
      <c r="A249" s="63" t="s">
        <v>1283</v>
      </c>
      <c r="B249" s="63" t="s">
        <v>1316</v>
      </c>
      <c r="C249" s="63" t="s">
        <v>953</v>
      </c>
      <c r="D249" s="63" t="s">
        <v>1293</v>
      </c>
      <c r="E249" s="65">
        <v>45208</v>
      </c>
      <c r="F249" s="65">
        <v>45208</v>
      </c>
      <c r="G249" s="64">
        <v>1511.25</v>
      </c>
      <c r="H249" s="92"/>
    </row>
    <row r="250" spans="1:8" x14ac:dyDescent="0.3">
      <c r="A250" s="63" t="s">
        <v>1283</v>
      </c>
      <c r="B250" s="63" t="s">
        <v>1317</v>
      </c>
      <c r="C250" s="63" t="s">
        <v>953</v>
      </c>
      <c r="D250" s="63" t="s">
        <v>1301</v>
      </c>
      <c r="E250" s="65">
        <v>45208</v>
      </c>
      <c r="F250" s="65">
        <v>45208</v>
      </c>
      <c r="G250" s="64">
        <v>1103.69</v>
      </c>
      <c r="H250" s="92"/>
    </row>
    <row r="251" spans="1:8" x14ac:dyDescent="0.3">
      <c r="A251" s="63" t="s">
        <v>1283</v>
      </c>
      <c r="B251" s="63" t="s">
        <v>1318</v>
      </c>
      <c r="C251" s="63" t="s">
        <v>953</v>
      </c>
      <c r="D251" s="63" t="s">
        <v>1073</v>
      </c>
      <c r="E251" s="65">
        <v>45218</v>
      </c>
      <c r="F251" s="65">
        <v>45218</v>
      </c>
      <c r="G251" s="64">
        <v>31953.85</v>
      </c>
      <c r="H251" s="92"/>
    </row>
    <row r="252" spans="1:8" x14ac:dyDescent="0.3">
      <c r="A252" s="63" t="s">
        <v>1283</v>
      </c>
      <c r="B252" s="63" t="s">
        <v>1319</v>
      </c>
      <c r="C252" s="63" t="s">
        <v>953</v>
      </c>
      <c r="D252" s="63" t="s">
        <v>1320</v>
      </c>
      <c r="E252" s="65">
        <v>45218</v>
      </c>
      <c r="F252" s="65">
        <v>45218</v>
      </c>
      <c r="G252" s="64">
        <v>8788</v>
      </c>
      <c r="H252" s="92"/>
    </row>
    <row r="253" spans="1:8" x14ac:dyDescent="0.3">
      <c r="A253" s="63" t="s">
        <v>1283</v>
      </c>
      <c r="B253" s="63" t="s">
        <v>1321</v>
      </c>
      <c r="C253" s="63" t="s">
        <v>953</v>
      </c>
      <c r="D253" s="63" t="s">
        <v>1312</v>
      </c>
      <c r="E253" s="65">
        <v>45230</v>
      </c>
      <c r="F253" s="65">
        <v>45230</v>
      </c>
      <c r="G253" s="64">
        <v>300</v>
      </c>
      <c r="H253" s="92"/>
    </row>
    <row r="254" spans="1:8" x14ac:dyDescent="0.3">
      <c r="A254" s="63" t="s">
        <v>1283</v>
      </c>
      <c r="B254" s="63" t="s">
        <v>1322</v>
      </c>
      <c r="C254" s="63" t="s">
        <v>953</v>
      </c>
      <c r="D254" s="63" t="s">
        <v>1301</v>
      </c>
      <c r="E254" s="65">
        <v>45243</v>
      </c>
      <c r="F254" s="65">
        <v>45243</v>
      </c>
      <c r="G254" s="64">
        <v>1849.02</v>
      </c>
      <c r="H254" s="92"/>
    </row>
    <row r="255" spans="1:8" x14ac:dyDescent="0.3">
      <c r="A255" s="63" t="s">
        <v>1283</v>
      </c>
      <c r="B255" s="63" t="s">
        <v>1323</v>
      </c>
      <c r="C255" s="63" t="s">
        <v>953</v>
      </c>
      <c r="D255" s="63" t="s">
        <v>1324</v>
      </c>
      <c r="E255" s="65">
        <v>45247</v>
      </c>
      <c r="F255" s="65">
        <v>45247</v>
      </c>
      <c r="G255" s="64">
        <v>11554.9</v>
      </c>
      <c r="H255" s="92"/>
    </row>
    <row r="256" spans="1:8" x14ac:dyDescent="0.3">
      <c r="A256" s="63" t="s">
        <v>1283</v>
      </c>
      <c r="B256" s="63" t="s">
        <v>1325</v>
      </c>
      <c r="C256" s="63" t="s">
        <v>953</v>
      </c>
      <c r="D256" s="63" t="s">
        <v>1326</v>
      </c>
      <c r="E256" s="65">
        <v>45315</v>
      </c>
      <c r="F256" s="65">
        <v>45315</v>
      </c>
      <c r="G256" s="64">
        <v>1500</v>
      </c>
      <c r="H256" s="92"/>
    </row>
    <row r="257" spans="1:8" x14ac:dyDescent="0.3">
      <c r="A257" s="63" t="s">
        <v>1283</v>
      </c>
      <c r="B257" s="63" t="s">
        <v>1327</v>
      </c>
      <c r="C257" s="63" t="s">
        <v>953</v>
      </c>
      <c r="D257" s="63" t="s">
        <v>1301</v>
      </c>
      <c r="E257" s="65">
        <v>45324</v>
      </c>
      <c r="F257" s="65">
        <v>45324</v>
      </c>
      <c r="G257" s="64">
        <v>3894.8</v>
      </c>
      <c r="H257" s="92"/>
    </row>
    <row r="258" spans="1:8" x14ac:dyDescent="0.3">
      <c r="A258" s="63" t="s">
        <v>1283</v>
      </c>
      <c r="B258" s="63" t="s">
        <v>1328</v>
      </c>
      <c r="C258" s="63" t="s">
        <v>953</v>
      </c>
      <c r="D258" s="63" t="s">
        <v>1329</v>
      </c>
      <c r="E258" s="65">
        <v>45384</v>
      </c>
      <c r="F258" s="65">
        <v>45384</v>
      </c>
      <c r="G258" s="64">
        <v>1630.6</v>
      </c>
      <c r="H258" s="92"/>
    </row>
    <row r="259" spans="1:8" x14ac:dyDescent="0.3">
      <c r="A259" s="63" t="s">
        <v>1283</v>
      </c>
      <c r="B259" s="63" t="s">
        <v>1330</v>
      </c>
      <c r="C259" s="63" t="s">
        <v>953</v>
      </c>
      <c r="D259" s="63" t="s">
        <v>1331</v>
      </c>
      <c r="E259" s="65">
        <v>45467</v>
      </c>
      <c r="F259" s="65">
        <v>45467</v>
      </c>
      <c r="G259" s="64">
        <v>4216.83</v>
      </c>
      <c r="H259" s="92"/>
    </row>
    <row r="260" spans="1:8" x14ac:dyDescent="0.3">
      <c r="A260" s="63" t="s">
        <v>1283</v>
      </c>
      <c r="B260" s="63" t="s">
        <v>1332</v>
      </c>
      <c r="C260" s="63" t="s">
        <v>953</v>
      </c>
      <c r="D260" s="63" t="s">
        <v>1301</v>
      </c>
      <c r="E260" s="65">
        <v>45468</v>
      </c>
      <c r="F260" s="65">
        <v>45468</v>
      </c>
      <c r="G260" s="64">
        <v>3000</v>
      </c>
      <c r="H260" s="92"/>
    </row>
    <row r="261" spans="1:8" x14ac:dyDescent="0.3">
      <c r="A261" s="63" t="s">
        <v>1283</v>
      </c>
      <c r="B261" s="63" t="s">
        <v>1333</v>
      </c>
      <c r="C261" s="63" t="s">
        <v>953</v>
      </c>
      <c r="D261" s="63" t="s">
        <v>1324</v>
      </c>
      <c r="E261" s="65">
        <v>45468</v>
      </c>
      <c r="F261" s="65">
        <v>45468</v>
      </c>
      <c r="G261" s="64">
        <v>9425.18</v>
      </c>
      <c r="H261" s="92"/>
    </row>
    <row r="262" spans="1:8" x14ac:dyDescent="0.3">
      <c r="A262" s="63" t="s">
        <v>1334</v>
      </c>
      <c r="B262" s="63" t="s">
        <v>1335</v>
      </c>
      <c r="C262" s="63" t="s">
        <v>953</v>
      </c>
      <c r="D262" s="63" t="s">
        <v>1336</v>
      </c>
      <c r="E262" s="65">
        <v>45224</v>
      </c>
      <c r="F262" s="65">
        <v>45224</v>
      </c>
      <c r="G262" s="64">
        <v>4865.88</v>
      </c>
      <c r="H262" s="92"/>
    </row>
    <row r="263" spans="1:8" x14ac:dyDescent="0.3">
      <c r="A263" s="63" t="s">
        <v>1334</v>
      </c>
      <c r="B263" s="63" t="s">
        <v>1337</v>
      </c>
      <c r="C263" s="63" t="s">
        <v>953</v>
      </c>
      <c r="D263" s="63" t="s">
        <v>1336</v>
      </c>
      <c r="E263" s="65">
        <v>45265</v>
      </c>
      <c r="F263" s="65">
        <v>45265</v>
      </c>
      <c r="G263" s="64">
        <v>4545.1000000000004</v>
      </c>
      <c r="H263" s="92"/>
    </row>
    <row r="264" spans="1:8" x14ac:dyDescent="0.3">
      <c r="A264" s="63" t="s">
        <v>1334</v>
      </c>
      <c r="B264" s="63" t="s">
        <v>1338</v>
      </c>
      <c r="C264" s="63" t="s">
        <v>953</v>
      </c>
      <c r="D264" s="63" t="s">
        <v>1336</v>
      </c>
      <c r="E264" s="65">
        <v>45282</v>
      </c>
      <c r="F264" s="65">
        <v>45282</v>
      </c>
      <c r="G264" s="64">
        <v>21686.080000000002</v>
      </c>
      <c r="H264" s="92"/>
    </row>
    <row r="265" spans="1:8" x14ac:dyDescent="0.3">
      <c r="A265" s="63" t="s">
        <v>1334</v>
      </c>
      <c r="B265" s="63" t="s">
        <v>1339</v>
      </c>
      <c r="C265" s="63" t="s">
        <v>953</v>
      </c>
      <c r="D265" s="63" t="s">
        <v>1336</v>
      </c>
      <c r="E265" s="65">
        <v>45350</v>
      </c>
      <c r="F265" s="65">
        <v>45350</v>
      </c>
      <c r="G265" s="64">
        <v>1995.43</v>
      </c>
      <c r="H265" s="92"/>
    </row>
    <row r="266" spans="1:8" x14ac:dyDescent="0.3">
      <c r="A266" s="63" t="s">
        <v>1334</v>
      </c>
      <c r="B266" s="63" t="s">
        <v>1340</v>
      </c>
      <c r="C266" s="63" t="s">
        <v>953</v>
      </c>
      <c r="D266" s="63" t="s">
        <v>1336</v>
      </c>
      <c r="E266" s="65">
        <v>45350</v>
      </c>
      <c r="F266" s="65">
        <v>45350</v>
      </c>
      <c r="G266" s="64">
        <v>288.55</v>
      </c>
      <c r="H266" s="92"/>
    </row>
    <row r="267" spans="1:8" x14ac:dyDescent="0.3">
      <c r="A267" s="63" t="s">
        <v>1334</v>
      </c>
      <c r="B267" s="63" t="s">
        <v>1341</v>
      </c>
      <c r="C267" s="63" t="s">
        <v>953</v>
      </c>
      <c r="D267" s="63" t="s">
        <v>1336</v>
      </c>
      <c r="E267" s="65">
        <v>45358</v>
      </c>
      <c r="F267" s="65">
        <v>45358</v>
      </c>
      <c r="G267" s="64">
        <v>5686.44</v>
      </c>
      <c r="H267" s="92"/>
    </row>
    <row r="268" spans="1:8" x14ac:dyDescent="0.3">
      <c r="A268" s="63" t="s">
        <v>1334</v>
      </c>
      <c r="B268" s="63" t="s">
        <v>1342</v>
      </c>
      <c r="C268" s="63" t="s">
        <v>953</v>
      </c>
      <c r="D268" s="63" t="s">
        <v>1336</v>
      </c>
      <c r="E268" s="65">
        <v>45418</v>
      </c>
      <c r="F268" s="65">
        <v>45418</v>
      </c>
      <c r="G268" s="64">
        <v>81717.94</v>
      </c>
      <c r="H268" s="92"/>
    </row>
    <row r="269" spans="1:8" x14ac:dyDescent="0.3">
      <c r="A269" s="63" t="s">
        <v>1343</v>
      </c>
      <c r="B269" s="63" t="s">
        <v>1344</v>
      </c>
      <c r="C269" s="63" t="s">
        <v>953</v>
      </c>
      <c r="D269" s="63" t="s">
        <v>1012</v>
      </c>
      <c r="E269" s="65">
        <v>45525</v>
      </c>
      <c r="F269" s="65">
        <v>45525</v>
      </c>
      <c r="G269" s="64">
        <v>7490.11</v>
      </c>
      <c r="H269" s="92"/>
    </row>
    <row r="270" spans="1:8" x14ac:dyDescent="0.3">
      <c r="A270" s="63" t="s">
        <v>1343</v>
      </c>
      <c r="B270" s="63" t="s">
        <v>1345</v>
      </c>
      <c r="C270" s="63" t="s">
        <v>953</v>
      </c>
      <c r="D270" s="63" t="s">
        <v>1144</v>
      </c>
      <c r="E270" s="65">
        <v>45525</v>
      </c>
      <c r="F270" s="65">
        <v>45525</v>
      </c>
      <c r="G270" s="64">
        <v>3243.64</v>
      </c>
      <c r="H270" s="92"/>
    </row>
    <row r="271" spans="1:8" x14ac:dyDescent="0.3">
      <c r="A271" s="63" t="s">
        <v>1343</v>
      </c>
      <c r="B271" s="63" t="s">
        <v>1346</v>
      </c>
      <c r="C271" s="63" t="s">
        <v>953</v>
      </c>
      <c r="D271" s="63" t="s">
        <v>953</v>
      </c>
      <c r="E271" s="65">
        <v>45527</v>
      </c>
      <c r="F271" s="65">
        <v>45527</v>
      </c>
      <c r="G271" s="64">
        <v>3400</v>
      </c>
      <c r="H271" s="92"/>
    </row>
    <row r="272" spans="1:8" x14ac:dyDescent="0.3">
      <c r="A272" s="63" t="s">
        <v>1343</v>
      </c>
      <c r="B272" s="63" t="s">
        <v>1347</v>
      </c>
      <c r="C272" s="63" t="s">
        <v>953</v>
      </c>
      <c r="D272" s="63" t="s">
        <v>1348</v>
      </c>
      <c r="E272" s="65">
        <v>45567</v>
      </c>
      <c r="F272" s="65">
        <v>45567</v>
      </c>
      <c r="G272" s="64">
        <v>500</v>
      </c>
      <c r="H272" s="92"/>
    </row>
    <row r="273" spans="1:8" x14ac:dyDescent="0.3">
      <c r="A273" s="63" t="s">
        <v>1343</v>
      </c>
      <c r="B273" s="63" t="s">
        <v>1349</v>
      </c>
      <c r="C273" s="63" t="s">
        <v>953</v>
      </c>
      <c r="D273" s="63" t="s">
        <v>1350</v>
      </c>
      <c r="E273" s="65">
        <v>45838</v>
      </c>
      <c r="F273" s="65">
        <v>45838</v>
      </c>
      <c r="G273" s="64">
        <v>1990</v>
      </c>
      <c r="H273" s="92"/>
    </row>
    <row r="274" spans="1:8" x14ac:dyDescent="0.3">
      <c r="A274" s="63" t="s">
        <v>1343</v>
      </c>
      <c r="B274" s="63" t="s">
        <v>1351</v>
      </c>
      <c r="C274" s="63" t="s">
        <v>953</v>
      </c>
      <c r="D274" s="63" t="s">
        <v>1352</v>
      </c>
      <c r="E274" s="65">
        <v>45838</v>
      </c>
      <c r="F274" s="65">
        <v>45838</v>
      </c>
      <c r="G274" s="64">
        <v>2568.36</v>
      </c>
      <c r="H274" s="92"/>
    </row>
    <row r="275" spans="1:8" x14ac:dyDescent="0.3">
      <c r="A275" s="63" t="s">
        <v>1343</v>
      </c>
      <c r="B275" s="63" t="s">
        <v>1353</v>
      </c>
      <c r="C275" s="63" t="s">
        <v>953</v>
      </c>
      <c r="D275" s="63" t="s">
        <v>1067</v>
      </c>
      <c r="E275" s="65">
        <v>45838</v>
      </c>
      <c r="F275" s="65">
        <v>45838</v>
      </c>
      <c r="G275" s="64">
        <v>346.29</v>
      </c>
      <c r="H275" s="92"/>
    </row>
    <row r="276" spans="1:8" x14ac:dyDescent="0.3">
      <c r="A276" s="63" t="s">
        <v>1343</v>
      </c>
      <c r="B276" s="63" t="s">
        <v>1354</v>
      </c>
      <c r="C276" s="63" t="s">
        <v>953</v>
      </c>
      <c r="D276" s="63" t="s">
        <v>1027</v>
      </c>
      <c r="E276" s="65">
        <v>45838</v>
      </c>
      <c r="F276" s="65">
        <v>45838</v>
      </c>
      <c r="G276" s="64">
        <v>3101.03</v>
      </c>
      <c r="H276" s="92"/>
    </row>
    <row r="277" spans="1:8" x14ac:dyDescent="0.3">
      <c r="A277" s="63" t="s">
        <v>1343</v>
      </c>
      <c r="B277" s="63" t="s">
        <v>1355</v>
      </c>
      <c r="C277" s="63" t="s">
        <v>953</v>
      </c>
      <c r="D277" s="63" t="s">
        <v>1046</v>
      </c>
      <c r="E277" s="65">
        <v>45838</v>
      </c>
      <c r="F277" s="65">
        <v>45838</v>
      </c>
      <c r="G277" s="64">
        <v>88.69</v>
      </c>
      <c r="H277" s="92"/>
    </row>
    <row r="278" spans="1:8" x14ac:dyDescent="0.3">
      <c r="A278" s="63" t="s">
        <v>1343</v>
      </c>
      <c r="B278" s="63" t="s">
        <v>1356</v>
      </c>
      <c r="C278" s="63" t="s">
        <v>953</v>
      </c>
      <c r="D278" s="63" t="s">
        <v>1348</v>
      </c>
      <c r="E278" s="65">
        <v>45838</v>
      </c>
      <c r="F278" s="65">
        <v>45838</v>
      </c>
      <c r="G278" s="64">
        <v>8248.17</v>
      </c>
      <c r="H278" s="92"/>
    </row>
    <row r="279" spans="1:8" x14ac:dyDescent="0.3">
      <c r="A279" s="63" t="s">
        <v>1343</v>
      </c>
      <c r="B279" s="63" t="s">
        <v>1357</v>
      </c>
      <c r="C279" s="63" t="s">
        <v>953</v>
      </c>
      <c r="D279" s="63" t="s">
        <v>953</v>
      </c>
      <c r="E279" s="65">
        <v>45838</v>
      </c>
      <c r="F279" s="65">
        <v>45838</v>
      </c>
      <c r="G279" s="64">
        <v>317.97000000000003</v>
      </c>
      <c r="H279" s="92"/>
    </row>
    <row r="280" spans="1:8" x14ac:dyDescent="0.3">
      <c r="A280" s="63" t="s">
        <v>1358</v>
      </c>
      <c r="B280" s="63" t="s">
        <v>1359</v>
      </c>
      <c r="C280" s="63" t="s">
        <v>953</v>
      </c>
      <c r="D280" s="63" t="s">
        <v>953</v>
      </c>
      <c r="E280" s="65">
        <v>45660</v>
      </c>
      <c r="F280" s="65">
        <v>45660</v>
      </c>
      <c r="G280" s="64">
        <v>5161.7700000000004</v>
      </c>
      <c r="H280" s="92"/>
    </row>
    <row r="281" spans="1:8" x14ac:dyDescent="0.3">
      <c r="A281" s="63" t="s">
        <v>1358</v>
      </c>
      <c r="B281" s="63" t="s">
        <v>1360</v>
      </c>
      <c r="C281" s="63" t="s">
        <v>953</v>
      </c>
      <c r="D281" s="63" t="s">
        <v>953</v>
      </c>
      <c r="E281" s="65">
        <v>45824</v>
      </c>
      <c r="F281" s="65">
        <v>45824</v>
      </c>
      <c r="G281" s="64">
        <v>10319.629999999999</v>
      </c>
      <c r="H281" s="92"/>
    </row>
    <row r="282" spans="1:8" x14ac:dyDescent="0.3">
      <c r="A282" s="63" t="s">
        <v>1361</v>
      </c>
      <c r="B282" s="63" t="s">
        <v>1362</v>
      </c>
      <c r="C282" s="63" t="s">
        <v>953</v>
      </c>
      <c r="D282" s="63" t="s">
        <v>953</v>
      </c>
      <c r="E282" s="65">
        <v>45723</v>
      </c>
      <c r="F282" s="65">
        <v>45723</v>
      </c>
      <c r="G282" s="64">
        <v>20499.12</v>
      </c>
      <c r="H282" s="92"/>
    </row>
    <row r="283" spans="1:8" x14ac:dyDescent="0.3">
      <c r="A283" s="63" t="s">
        <v>1363</v>
      </c>
      <c r="B283" s="63" t="s">
        <v>1364</v>
      </c>
      <c r="C283" s="63" t="s">
        <v>1365</v>
      </c>
      <c r="D283" s="63" t="s">
        <v>953</v>
      </c>
      <c r="E283" s="65">
        <v>45730</v>
      </c>
      <c r="F283" s="65">
        <v>45730</v>
      </c>
      <c r="G283" s="64">
        <v>54734.37</v>
      </c>
      <c r="H283" s="92"/>
    </row>
    <row r="284" spans="1:8" x14ac:dyDescent="0.3">
      <c r="A284" s="63" t="s">
        <v>1363</v>
      </c>
      <c r="B284" s="63" t="s">
        <v>1366</v>
      </c>
      <c r="C284" s="63" t="s">
        <v>1365</v>
      </c>
      <c r="D284" s="63" t="s">
        <v>953</v>
      </c>
      <c r="E284" s="65">
        <v>45740</v>
      </c>
      <c r="F284" s="65">
        <v>45740</v>
      </c>
      <c r="G284" s="64">
        <v>37689.360000000001</v>
      </c>
      <c r="H284" s="92"/>
    </row>
    <row r="285" spans="1:8" x14ac:dyDescent="0.3">
      <c r="A285" s="63" t="s">
        <v>1363</v>
      </c>
      <c r="B285" s="63" t="s">
        <v>1367</v>
      </c>
      <c r="C285" s="63" t="s">
        <v>1365</v>
      </c>
      <c r="D285" s="63" t="s">
        <v>953</v>
      </c>
      <c r="E285" s="65">
        <v>45743</v>
      </c>
      <c r="F285" s="65">
        <v>45743</v>
      </c>
      <c r="G285" s="64">
        <v>36348.03</v>
      </c>
      <c r="H285" s="92"/>
    </row>
    <row r="286" spans="1:8" x14ac:dyDescent="0.3">
      <c r="A286" s="63" t="s">
        <v>1363</v>
      </c>
      <c r="B286" s="63" t="s">
        <v>953</v>
      </c>
      <c r="C286" s="63" t="s">
        <v>1368</v>
      </c>
      <c r="D286" s="63" t="s">
        <v>1369</v>
      </c>
      <c r="E286" s="65">
        <v>45772</v>
      </c>
      <c r="F286" s="65">
        <v>45772</v>
      </c>
      <c r="G286" s="64">
        <v>-33427.65</v>
      </c>
      <c r="H286" s="92"/>
    </row>
    <row r="287" spans="1:8" x14ac:dyDescent="0.3">
      <c r="A287" s="63" t="s">
        <v>1363</v>
      </c>
      <c r="B287" s="63" t="s">
        <v>1370</v>
      </c>
      <c r="C287" s="63" t="s">
        <v>1368</v>
      </c>
      <c r="D287" s="63" t="s">
        <v>1369</v>
      </c>
      <c r="E287" s="65">
        <v>45838</v>
      </c>
      <c r="F287" s="65">
        <v>45838</v>
      </c>
      <c r="G287" s="64">
        <v>0.01</v>
      </c>
      <c r="H287" s="92"/>
    </row>
    <row r="288" spans="1:8" x14ac:dyDescent="0.3">
      <c r="A288" s="63" t="s">
        <v>1371</v>
      </c>
      <c r="B288" s="63" t="s">
        <v>1372</v>
      </c>
      <c r="C288" s="63" t="s">
        <v>953</v>
      </c>
      <c r="D288" s="63" t="s">
        <v>953</v>
      </c>
      <c r="E288" s="65">
        <v>45657</v>
      </c>
      <c r="F288" s="65">
        <v>45657</v>
      </c>
      <c r="G288" s="64">
        <v>4265.74</v>
      </c>
      <c r="H288" s="92"/>
    </row>
    <row r="289" spans="1:8" x14ac:dyDescent="0.3">
      <c r="A289" s="63" t="s">
        <v>1373</v>
      </c>
      <c r="B289" s="63" t="s">
        <v>1374</v>
      </c>
      <c r="C289" s="63" t="s">
        <v>953</v>
      </c>
      <c r="D289" s="63" t="s">
        <v>1375</v>
      </c>
      <c r="E289" s="65">
        <v>45394</v>
      </c>
      <c r="F289" s="65">
        <v>45394</v>
      </c>
      <c r="G289" s="64">
        <v>37133.24</v>
      </c>
      <c r="H289" s="92"/>
    </row>
    <row r="290" spans="1:8" x14ac:dyDescent="0.3">
      <c r="A290" s="63" t="s">
        <v>1376</v>
      </c>
      <c r="B290" s="63" t="s">
        <v>1377</v>
      </c>
      <c r="C290" s="63" t="s">
        <v>953</v>
      </c>
      <c r="D290" s="63" t="s">
        <v>1378</v>
      </c>
      <c r="E290" s="65">
        <v>45112</v>
      </c>
      <c r="F290" s="65">
        <v>45112</v>
      </c>
      <c r="G290" s="64">
        <v>35.82</v>
      </c>
      <c r="H290" s="92"/>
    </row>
    <row r="291" spans="1:8" x14ac:dyDescent="0.3">
      <c r="A291" s="63" t="s">
        <v>1379</v>
      </c>
      <c r="B291" s="63" t="s">
        <v>953</v>
      </c>
      <c r="C291" s="63" t="s">
        <v>953</v>
      </c>
      <c r="D291" s="63" t="s">
        <v>953</v>
      </c>
      <c r="E291" s="65">
        <v>45645</v>
      </c>
      <c r="F291" s="65">
        <v>45645</v>
      </c>
      <c r="G291" s="64">
        <v>-14072.5</v>
      </c>
      <c r="H291" s="92"/>
    </row>
    <row r="292" spans="1:8" x14ac:dyDescent="0.3">
      <c r="A292" s="63" t="s">
        <v>1379</v>
      </c>
      <c r="B292" s="63" t="s">
        <v>953</v>
      </c>
      <c r="C292" s="63" t="s">
        <v>953</v>
      </c>
      <c r="D292" s="63" t="s">
        <v>953</v>
      </c>
      <c r="E292" s="65">
        <v>45681</v>
      </c>
      <c r="F292" s="65">
        <v>45681</v>
      </c>
      <c r="G292" s="64">
        <v>-14072.5</v>
      </c>
      <c r="H292" s="92"/>
    </row>
    <row r="293" spans="1:8" x14ac:dyDescent="0.3">
      <c r="A293" s="63" t="s">
        <v>1379</v>
      </c>
      <c r="B293" s="63" t="s">
        <v>1380</v>
      </c>
      <c r="C293" s="63" t="s">
        <v>953</v>
      </c>
      <c r="D293" s="63" t="s">
        <v>953</v>
      </c>
      <c r="E293" s="65">
        <v>45824</v>
      </c>
      <c r="F293" s="65">
        <v>45824</v>
      </c>
      <c r="G293" s="64">
        <v>9580.09</v>
      </c>
      <c r="H293" s="92"/>
    </row>
    <row r="294" spans="1:8" x14ac:dyDescent="0.3">
      <c r="A294" s="63" t="s">
        <v>1379</v>
      </c>
      <c r="B294" s="63" t="s">
        <v>1381</v>
      </c>
      <c r="C294" s="63" t="s">
        <v>953</v>
      </c>
      <c r="D294" s="63" t="s">
        <v>953</v>
      </c>
      <c r="E294" s="65">
        <v>45824</v>
      </c>
      <c r="F294" s="65">
        <v>45824</v>
      </c>
      <c r="G294" s="64">
        <v>10563.01</v>
      </c>
      <c r="H294" s="92"/>
    </row>
    <row r="295" spans="1:8" x14ac:dyDescent="0.3">
      <c r="A295" s="63" t="s">
        <v>1379</v>
      </c>
      <c r="B295" s="63" t="s">
        <v>1382</v>
      </c>
      <c r="C295" s="63" t="s">
        <v>953</v>
      </c>
      <c r="D295" s="63" t="s">
        <v>1383</v>
      </c>
      <c r="E295" s="65">
        <v>45838</v>
      </c>
      <c r="F295" s="65">
        <v>45838</v>
      </c>
      <c r="G295" s="64">
        <v>-15990</v>
      </c>
      <c r="H295" s="92"/>
    </row>
    <row r="296" spans="1:8" x14ac:dyDescent="0.3">
      <c r="A296" s="63" t="s">
        <v>1379</v>
      </c>
      <c r="B296" s="63" t="s">
        <v>1384</v>
      </c>
      <c r="C296" s="63" t="s">
        <v>953</v>
      </c>
      <c r="D296" s="63" t="s">
        <v>1383</v>
      </c>
      <c r="E296" s="65">
        <v>45838</v>
      </c>
      <c r="F296" s="65">
        <v>45838</v>
      </c>
      <c r="G296" s="64">
        <v>51388.3</v>
      </c>
      <c r="H296" s="92"/>
    </row>
    <row r="297" spans="1:8" x14ac:dyDescent="0.3">
      <c r="A297" s="63" t="s">
        <v>1379</v>
      </c>
      <c r="B297" s="63" t="s">
        <v>1385</v>
      </c>
      <c r="C297" s="63" t="s">
        <v>953</v>
      </c>
      <c r="D297" s="63" t="s">
        <v>1383</v>
      </c>
      <c r="E297" s="65">
        <v>45838</v>
      </c>
      <c r="F297" s="65">
        <v>45838</v>
      </c>
      <c r="G297" s="64">
        <v>13144.8</v>
      </c>
      <c r="H297" s="92"/>
    </row>
    <row r="298" spans="1:8" x14ac:dyDescent="0.3">
      <c r="A298" s="63" t="s">
        <v>1379</v>
      </c>
      <c r="B298" s="63" t="s">
        <v>1386</v>
      </c>
      <c r="C298" s="63" t="s">
        <v>953</v>
      </c>
      <c r="D298" s="63" t="s">
        <v>1006</v>
      </c>
      <c r="E298" s="65">
        <v>45838</v>
      </c>
      <c r="F298" s="65">
        <v>45838</v>
      </c>
      <c r="G298" s="64">
        <v>618.55999999999995</v>
      </c>
      <c r="H298" s="92"/>
    </row>
    <row r="299" spans="1:8" x14ac:dyDescent="0.3">
      <c r="A299" s="63" t="s">
        <v>1379</v>
      </c>
      <c r="B299" s="63" t="s">
        <v>1387</v>
      </c>
      <c r="C299" s="63" t="s">
        <v>953</v>
      </c>
      <c r="D299" s="63" t="s">
        <v>1006</v>
      </c>
      <c r="E299" s="65">
        <v>45838</v>
      </c>
      <c r="F299" s="65">
        <v>45838</v>
      </c>
      <c r="G299" s="64">
        <v>4982.62</v>
      </c>
      <c r="H299" s="92"/>
    </row>
    <row r="300" spans="1:8" x14ac:dyDescent="0.3">
      <c r="A300" s="63" t="s">
        <v>1379</v>
      </c>
      <c r="B300" s="63" t="s">
        <v>1388</v>
      </c>
      <c r="C300" s="63" t="s">
        <v>953</v>
      </c>
      <c r="D300" s="63" t="s">
        <v>1006</v>
      </c>
      <c r="E300" s="65">
        <v>45838</v>
      </c>
      <c r="F300" s="65">
        <v>45838</v>
      </c>
      <c r="G300" s="64">
        <v>53806.46</v>
      </c>
      <c r="H300" s="92"/>
    </row>
    <row r="301" spans="1:8" x14ac:dyDescent="0.3">
      <c r="A301" s="63" t="s">
        <v>1379</v>
      </c>
      <c r="B301" s="63" t="s">
        <v>1389</v>
      </c>
      <c r="C301" s="63" t="s">
        <v>953</v>
      </c>
      <c r="D301" s="63" t="s">
        <v>1023</v>
      </c>
      <c r="E301" s="65">
        <v>45838</v>
      </c>
      <c r="F301" s="65">
        <v>45838</v>
      </c>
      <c r="G301" s="64">
        <v>12581.85</v>
      </c>
      <c r="H301" s="92"/>
    </row>
    <row r="302" spans="1:8" x14ac:dyDescent="0.3">
      <c r="A302" s="63" t="s">
        <v>1379</v>
      </c>
      <c r="B302" s="63" t="s">
        <v>1390</v>
      </c>
      <c r="C302" s="63" t="s">
        <v>953</v>
      </c>
      <c r="D302" s="63" t="s">
        <v>1391</v>
      </c>
      <c r="E302" s="65">
        <v>45838</v>
      </c>
      <c r="F302" s="65">
        <v>45838</v>
      </c>
      <c r="G302" s="64">
        <v>7891.43</v>
      </c>
      <c r="H302" s="92"/>
    </row>
    <row r="303" spans="1:8" x14ac:dyDescent="0.3">
      <c r="A303" s="63" t="s">
        <v>1379</v>
      </c>
      <c r="B303" s="63" t="s">
        <v>1392</v>
      </c>
      <c r="C303" s="63" t="s">
        <v>953</v>
      </c>
      <c r="D303" s="63" t="s">
        <v>1393</v>
      </c>
      <c r="E303" s="65">
        <v>45838</v>
      </c>
      <c r="F303" s="65">
        <v>45838</v>
      </c>
      <c r="G303" s="64">
        <v>4207.84</v>
      </c>
      <c r="H303" s="92"/>
    </row>
    <row r="304" spans="1:8" x14ac:dyDescent="0.3">
      <c r="A304" s="63" t="s">
        <v>1379</v>
      </c>
      <c r="B304" s="63" t="s">
        <v>1394</v>
      </c>
      <c r="C304" s="63" t="s">
        <v>953</v>
      </c>
      <c r="D304" s="63" t="s">
        <v>1054</v>
      </c>
      <c r="E304" s="65">
        <v>45838</v>
      </c>
      <c r="F304" s="65">
        <v>45838</v>
      </c>
      <c r="G304" s="64">
        <v>9527.57</v>
      </c>
      <c r="H304" s="92"/>
    </row>
    <row r="305" spans="1:8" x14ac:dyDescent="0.3">
      <c r="A305" s="63" t="s">
        <v>1379</v>
      </c>
      <c r="B305" s="63" t="s">
        <v>1395</v>
      </c>
      <c r="C305" s="63" t="s">
        <v>953</v>
      </c>
      <c r="D305" s="63" t="s">
        <v>1150</v>
      </c>
      <c r="E305" s="65">
        <v>45838</v>
      </c>
      <c r="F305" s="65">
        <v>45838</v>
      </c>
      <c r="G305" s="64">
        <v>30066.91</v>
      </c>
      <c r="H305" s="92"/>
    </row>
    <row r="306" spans="1:8" x14ac:dyDescent="0.3">
      <c r="A306" s="63" t="s">
        <v>1379</v>
      </c>
      <c r="B306" s="63" t="s">
        <v>1396</v>
      </c>
      <c r="C306" s="63" t="s">
        <v>953</v>
      </c>
      <c r="D306" s="63" t="s">
        <v>1052</v>
      </c>
      <c r="E306" s="65">
        <v>45838</v>
      </c>
      <c r="F306" s="65">
        <v>45838</v>
      </c>
      <c r="G306" s="64">
        <v>-1623.75</v>
      </c>
      <c r="H306" s="92"/>
    </row>
    <row r="307" spans="1:8" x14ac:dyDescent="0.3">
      <c r="A307" s="63" t="s">
        <v>1379</v>
      </c>
      <c r="B307" s="63" t="s">
        <v>1397</v>
      </c>
      <c r="C307" s="63" t="s">
        <v>953</v>
      </c>
      <c r="D307" s="63" t="s">
        <v>1398</v>
      </c>
      <c r="E307" s="65">
        <v>45838</v>
      </c>
      <c r="F307" s="65">
        <v>45838</v>
      </c>
      <c r="G307" s="64">
        <v>30381.88</v>
      </c>
      <c r="H307" s="92"/>
    </row>
    <row r="308" spans="1:8" x14ac:dyDescent="0.3">
      <c r="A308" s="63" t="s">
        <v>1399</v>
      </c>
      <c r="B308" s="63" t="s">
        <v>1400</v>
      </c>
      <c r="C308" s="63" t="s">
        <v>953</v>
      </c>
      <c r="D308" s="63" t="s">
        <v>953</v>
      </c>
      <c r="E308" s="65">
        <v>44993</v>
      </c>
      <c r="F308" s="65">
        <v>44993</v>
      </c>
      <c r="G308" s="64">
        <v>62971.37</v>
      </c>
      <c r="H308" s="92"/>
    </row>
    <row r="309" spans="1:8" x14ac:dyDescent="0.3">
      <c r="A309" s="63" t="s">
        <v>1399</v>
      </c>
      <c r="B309" s="63" t="s">
        <v>1401</v>
      </c>
      <c r="C309" s="63" t="s">
        <v>953</v>
      </c>
      <c r="D309" s="63" t="s">
        <v>1402</v>
      </c>
      <c r="E309" s="65">
        <v>45019</v>
      </c>
      <c r="F309" s="65">
        <v>45019</v>
      </c>
      <c r="G309" s="64">
        <v>6541.24</v>
      </c>
      <c r="H309" s="92"/>
    </row>
    <row r="310" spans="1:8" x14ac:dyDescent="0.3">
      <c r="A310" s="63" t="s">
        <v>1399</v>
      </c>
      <c r="B310" s="63" t="s">
        <v>1403</v>
      </c>
      <c r="C310" s="63" t="s">
        <v>953</v>
      </c>
      <c r="D310" s="63" t="s">
        <v>1404</v>
      </c>
      <c r="E310" s="65">
        <v>45019</v>
      </c>
      <c r="F310" s="65">
        <v>45019</v>
      </c>
      <c r="G310" s="64">
        <v>881.97</v>
      </c>
      <c r="H310" s="92"/>
    </row>
    <row r="311" spans="1:8" x14ac:dyDescent="0.3">
      <c r="A311" s="63" t="s">
        <v>1399</v>
      </c>
      <c r="B311" s="63" t="s">
        <v>1405</v>
      </c>
      <c r="C311" s="63" t="s">
        <v>953</v>
      </c>
      <c r="D311" s="63" t="s">
        <v>1402</v>
      </c>
      <c r="E311" s="65">
        <v>45162</v>
      </c>
      <c r="F311" s="65">
        <v>45162</v>
      </c>
      <c r="G311" s="64">
        <v>1402.69</v>
      </c>
      <c r="H311" s="92"/>
    </row>
    <row r="312" spans="1:8" x14ac:dyDescent="0.3">
      <c r="A312" s="63" t="s">
        <v>1399</v>
      </c>
      <c r="B312" s="63" t="s">
        <v>1406</v>
      </c>
      <c r="C312" s="63" t="s">
        <v>953</v>
      </c>
      <c r="D312" s="63" t="s">
        <v>953</v>
      </c>
      <c r="E312" s="65">
        <v>45174</v>
      </c>
      <c r="F312" s="65">
        <v>45174</v>
      </c>
      <c r="G312" s="64">
        <v>29027.96</v>
      </c>
      <c r="H312" s="92"/>
    </row>
    <row r="313" spans="1:8" x14ac:dyDescent="0.3">
      <c r="A313" s="63" t="s">
        <v>1399</v>
      </c>
      <c r="B313" s="63" t="s">
        <v>1407</v>
      </c>
      <c r="C313" s="63" t="s">
        <v>953</v>
      </c>
      <c r="D313" s="63" t="s">
        <v>1402</v>
      </c>
      <c r="E313" s="65">
        <v>45212</v>
      </c>
      <c r="F313" s="65">
        <v>45212</v>
      </c>
      <c r="G313" s="64">
        <v>676.56</v>
      </c>
      <c r="H313" s="92"/>
    </row>
    <row r="314" spans="1:8" x14ac:dyDescent="0.3">
      <c r="A314" s="63" t="s">
        <v>1399</v>
      </c>
      <c r="B314" s="63" t="s">
        <v>1408</v>
      </c>
      <c r="C314" s="63" t="s">
        <v>953</v>
      </c>
      <c r="D314" s="63" t="s">
        <v>953</v>
      </c>
      <c r="E314" s="65">
        <v>45300</v>
      </c>
      <c r="F314" s="65">
        <v>45300</v>
      </c>
      <c r="G314" s="64">
        <v>433</v>
      </c>
      <c r="H314" s="92"/>
    </row>
    <row r="315" spans="1:8" x14ac:dyDescent="0.3">
      <c r="A315" s="63" t="s">
        <v>1409</v>
      </c>
      <c r="B315" s="63" t="s">
        <v>1410</v>
      </c>
      <c r="C315" s="63" t="s">
        <v>953</v>
      </c>
      <c r="D315" s="63" t="s">
        <v>1411</v>
      </c>
      <c r="E315" s="65">
        <v>45443</v>
      </c>
      <c r="F315" s="65">
        <v>45443</v>
      </c>
      <c r="G315" s="64">
        <v>26462.71</v>
      </c>
      <c r="H315" s="92"/>
    </row>
    <row r="316" spans="1:8" x14ac:dyDescent="0.3">
      <c r="A316" s="63" t="s">
        <v>1409</v>
      </c>
      <c r="B316" s="63" t="s">
        <v>1412</v>
      </c>
      <c r="C316" s="63" t="s">
        <v>953</v>
      </c>
      <c r="D316" s="63" t="s">
        <v>1413</v>
      </c>
      <c r="E316" s="65">
        <v>45449</v>
      </c>
      <c r="F316" s="65">
        <v>45449</v>
      </c>
      <c r="G316" s="64">
        <v>703.63</v>
      </c>
      <c r="H316" s="92"/>
    </row>
    <row r="317" spans="1:8" x14ac:dyDescent="0.3">
      <c r="A317" s="63" t="s">
        <v>1409</v>
      </c>
      <c r="B317" s="63" t="s">
        <v>1414</v>
      </c>
      <c r="C317" s="63" t="s">
        <v>953</v>
      </c>
      <c r="D317" s="63" t="s">
        <v>1411</v>
      </c>
      <c r="E317" s="65">
        <v>45530</v>
      </c>
      <c r="F317" s="65">
        <v>45530</v>
      </c>
      <c r="G317" s="64">
        <v>-339544.55</v>
      </c>
      <c r="H317" s="92"/>
    </row>
    <row r="318" spans="1:8" x14ac:dyDescent="0.3">
      <c r="A318" s="63" t="s">
        <v>1409</v>
      </c>
      <c r="B318" s="63" t="s">
        <v>1415</v>
      </c>
      <c r="C318" s="63" t="s">
        <v>953</v>
      </c>
      <c r="D318" s="63" t="s">
        <v>1413</v>
      </c>
      <c r="E318" s="65">
        <v>45552</v>
      </c>
      <c r="F318" s="65">
        <v>45552</v>
      </c>
      <c r="G318" s="64">
        <v>2977.98</v>
      </c>
      <c r="H318" s="92"/>
    </row>
    <row r="319" spans="1:8" x14ac:dyDescent="0.3">
      <c r="A319" s="63" t="s">
        <v>1409</v>
      </c>
      <c r="B319" s="63" t="s">
        <v>1416</v>
      </c>
      <c r="C319" s="63" t="s">
        <v>953</v>
      </c>
      <c r="D319" s="63" t="s">
        <v>1413</v>
      </c>
      <c r="E319" s="65">
        <v>45565</v>
      </c>
      <c r="F319" s="65">
        <v>45565</v>
      </c>
      <c r="G319" s="64">
        <v>765.99</v>
      </c>
      <c r="H319" s="92"/>
    </row>
    <row r="320" spans="1:8" x14ac:dyDescent="0.3">
      <c r="A320" s="63" t="s">
        <v>1409</v>
      </c>
      <c r="B320" s="63" t="s">
        <v>1417</v>
      </c>
      <c r="C320" s="63" t="s">
        <v>953</v>
      </c>
      <c r="D320" s="63" t="s">
        <v>1418</v>
      </c>
      <c r="E320" s="65">
        <v>45775</v>
      </c>
      <c r="F320" s="65">
        <v>45775</v>
      </c>
      <c r="G320" s="64">
        <v>10337.879999999999</v>
      </c>
      <c r="H320" s="92"/>
    </row>
    <row r="321" spans="1:8" x14ac:dyDescent="0.3">
      <c r="A321" s="63" t="s">
        <v>1409</v>
      </c>
      <c r="B321" s="63" t="s">
        <v>1419</v>
      </c>
      <c r="C321" s="63" t="s">
        <v>953</v>
      </c>
      <c r="D321" s="63" t="s">
        <v>1411</v>
      </c>
      <c r="E321" s="65">
        <v>45838</v>
      </c>
      <c r="F321" s="65">
        <v>45838</v>
      </c>
      <c r="G321" s="64">
        <v>-26462.7</v>
      </c>
      <c r="H321" s="92"/>
    </row>
    <row r="322" spans="1:8" x14ac:dyDescent="0.3">
      <c r="A322" s="63" t="s">
        <v>1409</v>
      </c>
      <c r="B322" s="63" t="s">
        <v>1420</v>
      </c>
      <c r="C322" s="63" t="s">
        <v>953</v>
      </c>
      <c r="D322" s="63" t="s">
        <v>1418</v>
      </c>
      <c r="E322" s="65">
        <v>45838</v>
      </c>
      <c r="F322" s="65">
        <v>45838</v>
      </c>
      <c r="G322" s="64">
        <v>893.06</v>
      </c>
      <c r="H322" s="92"/>
    </row>
    <row r="323" spans="1:8" x14ac:dyDescent="0.3">
      <c r="A323" s="63" t="s">
        <v>1409</v>
      </c>
      <c r="B323" s="63" t="s">
        <v>1421</v>
      </c>
      <c r="C323" s="63" t="s">
        <v>953</v>
      </c>
      <c r="D323" s="63" t="s">
        <v>1422</v>
      </c>
      <c r="E323" s="65">
        <v>45838</v>
      </c>
      <c r="F323" s="65">
        <v>45838</v>
      </c>
      <c r="G323" s="64">
        <v>893.06</v>
      </c>
      <c r="H323" s="92"/>
    </row>
    <row r="324" spans="1:8" x14ac:dyDescent="0.3">
      <c r="A324" s="63" t="s">
        <v>1423</v>
      </c>
      <c r="B324" s="63" t="s">
        <v>1424</v>
      </c>
      <c r="C324" s="63" t="s">
        <v>953</v>
      </c>
      <c r="D324" s="63" t="s">
        <v>1425</v>
      </c>
      <c r="E324" s="65">
        <v>45351</v>
      </c>
      <c r="F324" s="65">
        <v>45351</v>
      </c>
      <c r="G324" s="64">
        <v>-10852.51</v>
      </c>
      <c r="H324" s="92"/>
    </row>
    <row r="325" spans="1:8" x14ac:dyDescent="0.3">
      <c r="A325" s="63" t="s">
        <v>1426</v>
      </c>
      <c r="B325" s="63" t="s">
        <v>1427</v>
      </c>
      <c r="C325" s="63" t="s">
        <v>953</v>
      </c>
      <c r="D325" s="63" t="s">
        <v>953</v>
      </c>
      <c r="E325" s="65">
        <v>45530</v>
      </c>
      <c r="F325" s="65">
        <v>45530</v>
      </c>
      <c r="G325" s="64">
        <v>10590</v>
      </c>
      <c r="H325" s="92"/>
    </row>
    <row r="326" spans="1:8" x14ac:dyDescent="0.3">
      <c r="A326" s="63" t="s">
        <v>1426</v>
      </c>
      <c r="B326" s="63" t="s">
        <v>1428</v>
      </c>
      <c r="C326" s="63" t="s">
        <v>953</v>
      </c>
      <c r="D326" s="63" t="s">
        <v>953</v>
      </c>
      <c r="E326" s="65">
        <v>45546</v>
      </c>
      <c r="F326" s="65">
        <v>45546</v>
      </c>
      <c r="G326" s="64">
        <v>755.95</v>
      </c>
      <c r="H326" s="92"/>
    </row>
    <row r="327" spans="1:8" x14ac:dyDescent="0.3">
      <c r="A327" s="63" t="s">
        <v>1426</v>
      </c>
      <c r="B327" s="63" t="s">
        <v>1429</v>
      </c>
      <c r="C327" s="63" t="s">
        <v>953</v>
      </c>
      <c r="D327" s="63" t="s">
        <v>953</v>
      </c>
      <c r="E327" s="65">
        <v>45559</v>
      </c>
      <c r="F327" s="65">
        <v>45559</v>
      </c>
      <c r="G327" s="64">
        <v>1626.74</v>
      </c>
      <c r="H327" s="92"/>
    </row>
    <row r="328" spans="1:8" x14ac:dyDescent="0.3">
      <c r="A328" s="63" t="s">
        <v>1426</v>
      </c>
      <c r="B328" s="63" t="s">
        <v>1430</v>
      </c>
      <c r="C328" s="63" t="s">
        <v>953</v>
      </c>
      <c r="D328" s="63" t="s">
        <v>953</v>
      </c>
      <c r="E328" s="65">
        <v>45569</v>
      </c>
      <c r="F328" s="65">
        <v>45569</v>
      </c>
      <c r="G328" s="64">
        <v>210.31</v>
      </c>
      <c r="H328" s="92"/>
    </row>
    <row r="329" spans="1:8" x14ac:dyDescent="0.3">
      <c r="A329" s="63" t="s">
        <v>1426</v>
      </c>
      <c r="B329" s="63" t="s">
        <v>1431</v>
      </c>
      <c r="C329" s="63" t="s">
        <v>953</v>
      </c>
      <c r="D329" s="63" t="s">
        <v>953</v>
      </c>
      <c r="E329" s="65">
        <v>45569</v>
      </c>
      <c r="F329" s="65">
        <v>45569</v>
      </c>
      <c r="G329" s="64">
        <v>1200</v>
      </c>
      <c r="H329" s="92"/>
    </row>
    <row r="330" spans="1:8" x14ac:dyDescent="0.3">
      <c r="A330" s="63" t="s">
        <v>1426</v>
      </c>
      <c r="B330" s="63" t="s">
        <v>1432</v>
      </c>
      <c r="C330" s="63" t="s">
        <v>953</v>
      </c>
      <c r="D330" s="63" t="s">
        <v>953</v>
      </c>
      <c r="E330" s="65">
        <v>45572</v>
      </c>
      <c r="F330" s="65">
        <v>45572</v>
      </c>
      <c r="G330" s="64">
        <v>715.68</v>
      </c>
      <c r="H330" s="92"/>
    </row>
    <row r="331" spans="1:8" x14ac:dyDescent="0.3">
      <c r="A331" s="63" t="s">
        <v>1426</v>
      </c>
      <c r="B331" s="63" t="s">
        <v>1433</v>
      </c>
      <c r="C331" s="63" t="s">
        <v>953</v>
      </c>
      <c r="D331" s="63" t="s">
        <v>953</v>
      </c>
      <c r="E331" s="65">
        <v>45587</v>
      </c>
      <c r="F331" s="65">
        <v>45587</v>
      </c>
      <c r="G331" s="64">
        <v>942.48</v>
      </c>
      <c r="H331" s="92"/>
    </row>
    <row r="332" spans="1:8" x14ac:dyDescent="0.3">
      <c r="A332" s="63" t="s">
        <v>1426</v>
      </c>
      <c r="B332" s="63" t="s">
        <v>1434</v>
      </c>
      <c r="C332" s="63" t="s">
        <v>953</v>
      </c>
      <c r="D332" s="63" t="s">
        <v>953</v>
      </c>
      <c r="E332" s="65">
        <v>45587</v>
      </c>
      <c r="F332" s="65">
        <v>45587</v>
      </c>
      <c r="G332" s="64">
        <v>115.72</v>
      </c>
      <c r="H332" s="92"/>
    </row>
    <row r="333" spans="1:8" x14ac:dyDescent="0.3">
      <c r="A333" s="63" t="s">
        <v>1426</v>
      </c>
      <c r="B333" s="63" t="s">
        <v>1435</v>
      </c>
      <c r="C333" s="63" t="s">
        <v>953</v>
      </c>
      <c r="D333" s="63" t="s">
        <v>953</v>
      </c>
      <c r="E333" s="65">
        <v>45587</v>
      </c>
      <c r="F333" s="65">
        <v>45587</v>
      </c>
      <c r="G333" s="64">
        <v>92.57</v>
      </c>
      <c r="H333" s="92"/>
    </row>
    <row r="334" spans="1:8" x14ac:dyDescent="0.3">
      <c r="A334" s="63" t="s">
        <v>1426</v>
      </c>
      <c r="B334" s="63" t="s">
        <v>1436</v>
      </c>
      <c r="C334" s="63" t="s">
        <v>953</v>
      </c>
      <c r="D334" s="63" t="s">
        <v>953</v>
      </c>
      <c r="E334" s="65">
        <v>45615</v>
      </c>
      <c r="F334" s="65">
        <v>45615</v>
      </c>
      <c r="G334" s="64">
        <v>11832</v>
      </c>
      <c r="H334" s="92"/>
    </row>
    <row r="335" spans="1:8" x14ac:dyDescent="0.3">
      <c r="A335" s="63" t="s">
        <v>1426</v>
      </c>
      <c r="B335" s="63" t="s">
        <v>1437</v>
      </c>
      <c r="C335" s="63" t="s">
        <v>953</v>
      </c>
      <c r="D335" s="63" t="s">
        <v>953</v>
      </c>
      <c r="E335" s="65">
        <v>45621</v>
      </c>
      <c r="F335" s="65">
        <v>45621</v>
      </c>
      <c r="G335" s="64">
        <v>16930.32</v>
      </c>
      <c r="H335" s="92"/>
    </row>
    <row r="336" spans="1:8" x14ac:dyDescent="0.3">
      <c r="A336" s="63" t="s">
        <v>1426</v>
      </c>
      <c r="B336" s="63" t="s">
        <v>1438</v>
      </c>
      <c r="C336" s="63" t="s">
        <v>953</v>
      </c>
      <c r="D336" s="63" t="s">
        <v>1439</v>
      </c>
      <c r="E336" s="65">
        <v>45625</v>
      </c>
      <c r="F336" s="65">
        <v>45625</v>
      </c>
      <c r="G336" s="64">
        <v>7206.78</v>
      </c>
      <c r="H336" s="92"/>
    </row>
    <row r="337" spans="1:8" x14ac:dyDescent="0.3">
      <c r="A337" s="63" t="s">
        <v>1426</v>
      </c>
      <c r="B337" s="63" t="s">
        <v>1440</v>
      </c>
      <c r="C337" s="63" t="s">
        <v>953</v>
      </c>
      <c r="D337" s="63" t="s">
        <v>1069</v>
      </c>
      <c r="E337" s="65">
        <v>45625</v>
      </c>
      <c r="F337" s="65">
        <v>45625</v>
      </c>
      <c r="G337" s="64">
        <v>29777.13</v>
      </c>
      <c r="H337" s="92"/>
    </row>
    <row r="338" spans="1:8" x14ac:dyDescent="0.3">
      <c r="A338" s="63" t="s">
        <v>1426</v>
      </c>
      <c r="B338" s="63" t="s">
        <v>1441</v>
      </c>
      <c r="C338" s="63" t="s">
        <v>953</v>
      </c>
      <c r="D338" s="63" t="s">
        <v>1027</v>
      </c>
      <c r="E338" s="65">
        <v>45625</v>
      </c>
      <c r="F338" s="65">
        <v>45625</v>
      </c>
      <c r="G338" s="64">
        <v>15352.86</v>
      </c>
      <c r="H338" s="92"/>
    </row>
    <row r="339" spans="1:8" x14ac:dyDescent="0.3">
      <c r="A339" s="63" t="s">
        <v>1426</v>
      </c>
      <c r="B339" s="63" t="s">
        <v>1442</v>
      </c>
      <c r="C339" s="63" t="s">
        <v>953</v>
      </c>
      <c r="D339" s="63" t="s">
        <v>1054</v>
      </c>
      <c r="E339" s="65">
        <v>45625</v>
      </c>
      <c r="F339" s="65">
        <v>45625</v>
      </c>
      <c r="G339" s="64">
        <v>6650.64</v>
      </c>
      <c r="H339" s="92"/>
    </row>
    <row r="340" spans="1:8" x14ac:dyDescent="0.3">
      <c r="A340" s="63" t="s">
        <v>1426</v>
      </c>
      <c r="B340" s="63" t="s">
        <v>1443</v>
      </c>
      <c r="C340" s="63" t="s">
        <v>953</v>
      </c>
      <c r="D340" s="63" t="s">
        <v>1150</v>
      </c>
      <c r="E340" s="65">
        <v>45625</v>
      </c>
      <c r="F340" s="65">
        <v>45625</v>
      </c>
      <c r="G340" s="64">
        <v>132.33000000000001</v>
      </c>
      <c r="H340" s="92"/>
    </row>
    <row r="341" spans="1:8" x14ac:dyDescent="0.3">
      <c r="A341" s="63" t="s">
        <v>1426</v>
      </c>
      <c r="B341" s="63" t="s">
        <v>1444</v>
      </c>
      <c r="C341" s="63" t="s">
        <v>953</v>
      </c>
      <c r="D341" s="63" t="s">
        <v>1445</v>
      </c>
      <c r="E341" s="65">
        <v>45625</v>
      </c>
      <c r="F341" s="65">
        <v>45625</v>
      </c>
      <c r="G341" s="64">
        <v>922.79</v>
      </c>
      <c r="H341" s="92"/>
    </row>
    <row r="342" spans="1:8" x14ac:dyDescent="0.3">
      <c r="A342" s="63" t="s">
        <v>1426</v>
      </c>
      <c r="B342" s="63" t="s">
        <v>1446</v>
      </c>
      <c r="C342" s="63" t="s">
        <v>953</v>
      </c>
      <c r="D342" s="63" t="s">
        <v>1161</v>
      </c>
      <c r="E342" s="65">
        <v>45625</v>
      </c>
      <c r="F342" s="65">
        <v>45625</v>
      </c>
      <c r="G342" s="64">
        <v>3718.02</v>
      </c>
      <c r="H342" s="92"/>
    </row>
    <row r="343" spans="1:8" x14ac:dyDescent="0.3">
      <c r="A343" s="63" t="s">
        <v>1426</v>
      </c>
      <c r="B343" s="63" t="s">
        <v>1447</v>
      </c>
      <c r="C343" s="63" t="s">
        <v>953</v>
      </c>
      <c r="D343" s="63" t="s">
        <v>1031</v>
      </c>
      <c r="E343" s="65">
        <v>45625</v>
      </c>
      <c r="F343" s="65">
        <v>45625</v>
      </c>
      <c r="G343" s="64">
        <v>1267.58</v>
      </c>
      <c r="H343" s="92"/>
    </row>
    <row r="344" spans="1:8" x14ac:dyDescent="0.3">
      <c r="A344" s="63" t="s">
        <v>1426</v>
      </c>
      <c r="B344" s="63" t="s">
        <v>1448</v>
      </c>
      <c r="C344" s="63" t="s">
        <v>953</v>
      </c>
      <c r="D344" s="63" t="s">
        <v>1012</v>
      </c>
      <c r="E344" s="65">
        <v>45625</v>
      </c>
      <c r="F344" s="65">
        <v>45625</v>
      </c>
      <c r="G344" s="64">
        <v>23198.27</v>
      </c>
      <c r="H344" s="92"/>
    </row>
    <row r="345" spans="1:8" x14ac:dyDescent="0.3">
      <c r="A345" s="63" t="s">
        <v>1426</v>
      </c>
      <c r="B345" s="63" t="s">
        <v>1449</v>
      </c>
      <c r="C345" s="63" t="s">
        <v>953</v>
      </c>
      <c r="D345" s="63" t="s">
        <v>953</v>
      </c>
      <c r="E345" s="65">
        <v>45838</v>
      </c>
      <c r="F345" s="65">
        <v>45838</v>
      </c>
      <c r="G345" s="64">
        <v>57633.73</v>
      </c>
      <c r="H345" s="92"/>
    </row>
    <row r="346" spans="1:8" x14ac:dyDescent="0.3">
      <c r="A346" s="63" t="s">
        <v>1450</v>
      </c>
      <c r="B346" s="63" t="s">
        <v>1451</v>
      </c>
      <c r="C346" s="63" t="s">
        <v>953</v>
      </c>
      <c r="D346" s="63" t="s">
        <v>1452</v>
      </c>
      <c r="E346" s="65">
        <v>45707</v>
      </c>
      <c r="F346" s="65">
        <v>45707</v>
      </c>
      <c r="G346" s="64">
        <v>12799.92</v>
      </c>
      <c r="H346" s="92"/>
    </row>
    <row r="347" spans="1:8" x14ac:dyDescent="0.3">
      <c r="A347" s="63" t="s">
        <v>1450</v>
      </c>
      <c r="B347" s="63" t="s">
        <v>1453</v>
      </c>
      <c r="C347" s="63" t="s">
        <v>953</v>
      </c>
      <c r="D347" s="63" t="s">
        <v>953</v>
      </c>
      <c r="E347" s="65">
        <v>45838</v>
      </c>
      <c r="F347" s="65">
        <v>45838</v>
      </c>
      <c r="G347" s="64">
        <v>14364.57</v>
      </c>
      <c r="H347" s="92"/>
    </row>
    <row r="348" spans="1:8" x14ac:dyDescent="0.3">
      <c r="A348" s="63" t="s">
        <v>1454</v>
      </c>
      <c r="B348" s="63" t="s">
        <v>1455</v>
      </c>
      <c r="C348" s="63" t="s">
        <v>953</v>
      </c>
      <c r="D348" s="63" t="s">
        <v>1456</v>
      </c>
      <c r="E348" s="65">
        <v>45838</v>
      </c>
      <c r="F348" s="65">
        <v>45838</v>
      </c>
      <c r="G348" s="64">
        <v>5444.27</v>
      </c>
      <c r="H348" s="92"/>
    </row>
    <row r="349" spans="1:8" x14ac:dyDescent="0.3">
      <c r="A349" s="63" t="s">
        <v>1454</v>
      </c>
      <c r="B349" s="63" t="s">
        <v>1457</v>
      </c>
      <c r="C349" s="63" t="s">
        <v>953</v>
      </c>
      <c r="D349" s="63" t="s">
        <v>988</v>
      </c>
      <c r="E349" s="65">
        <v>45838</v>
      </c>
      <c r="F349" s="65">
        <v>45838</v>
      </c>
      <c r="G349" s="64">
        <v>7805.93</v>
      </c>
      <c r="H349" s="92"/>
    </row>
    <row r="350" spans="1:8" x14ac:dyDescent="0.3">
      <c r="A350" s="63" t="s">
        <v>1454</v>
      </c>
      <c r="B350" s="63" t="s">
        <v>1458</v>
      </c>
      <c r="C350" s="63" t="s">
        <v>953</v>
      </c>
      <c r="D350" s="63" t="s">
        <v>986</v>
      </c>
      <c r="E350" s="65">
        <v>45838</v>
      </c>
      <c r="F350" s="65">
        <v>45838</v>
      </c>
      <c r="G350" s="64">
        <v>1156.71</v>
      </c>
      <c r="H350" s="92"/>
    </row>
    <row r="351" spans="1:8" x14ac:dyDescent="0.3">
      <c r="A351" s="63" t="s">
        <v>1459</v>
      </c>
      <c r="B351" s="63" t="s">
        <v>1460</v>
      </c>
      <c r="C351" s="63" t="s">
        <v>953</v>
      </c>
      <c r="D351" s="63" t="s">
        <v>953</v>
      </c>
      <c r="E351" s="65">
        <v>45629</v>
      </c>
      <c r="F351" s="65">
        <v>45629</v>
      </c>
      <c r="G351" s="64">
        <v>4036.69</v>
      </c>
      <c r="H351" s="92"/>
    </row>
    <row r="352" spans="1:8" x14ac:dyDescent="0.3">
      <c r="A352" s="63" t="s">
        <v>1459</v>
      </c>
      <c r="B352" s="63" t="s">
        <v>1461</v>
      </c>
      <c r="C352" s="63" t="s">
        <v>953</v>
      </c>
      <c r="D352" s="63" t="s">
        <v>1462</v>
      </c>
      <c r="E352" s="65">
        <v>45702</v>
      </c>
      <c r="F352" s="65">
        <v>45702</v>
      </c>
      <c r="G352" s="64">
        <v>6260.34</v>
      </c>
      <c r="H352" s="92"/>
    </row>
    <row r="353" spans="1:8" x14ac:dyDescent="0.3">
      <c r="A353" s="63" t="s">
        <v>1459</v>
      </c>
      <c r="B353" s="63" t="s">
        <v>1463</v>
      </c>
      <c r="C353" s="63" t="s">
        <v>953</v>
      </c>
      <c r="D353" s="63" t="s">
        <v>953</v>
      </c>
      <c r="E353" s="65">
        <v>45751</v>
      </c>
      <c r="F353" s="65">
        <v>45751</v>
      </c>
      <c r="G353" s="64">
        <v>1004.46</v>
      </c>
      <c r="H353" s="92"/>
    </row>
    <row r="354" spans="1:8" x14ac:dyDescent="0.3">
      <c r="A354" s="63" t="s">
        <v>1459</v>
      </c>
      <c r="B354" s="63" t="s">
        <v>1464</v>
      </c>
      <c r="C354" s="63" t="s">
        <v>953</v>
      </c>
      <c r="D354" s="63" t="s">
        <v>953</v>
      </c>
      <c r="E354" s="65">
        <v>45751</v>
      </c>
      <c r="F354" s="65">
        <v>45751</v>
      </c>
      <c r="G354" s="64">
        <v>776.99</v>
      </c>
      <c r="H354" s="92"/>
    </row>
    <row r="355" spans="1:8" x14ac:dyDescent="0.3">
      <c r="A355" s="63" t="s">
        <v>1459</v>
      </c>
      <c r="B355" s="63" t="s">
        <v>1465</v>
      </c>
      <c r="C355" s="63" t="s">
        <v>953</v>
      </c>
      <c r="D355" s="63" t="s">
        <v>953</v>
      </c>
      <c r="E355" s="65">
        <v>45751</v>
      </c>
      <c r="F355" s="65">
        <v>45751</v>
      </c>
      <c r="G355" s="64">
        <v>3044.93</v>
      </c>
      <c r="H355" s="92"/>
    </row>
    <row r="356" spans="1:8" x14ac:dyDescent="0.3">
      <c r="A356" s="63" t="s">
        <v>1459</v>
      </c>
      <c r="B356" s="63" t="s">
        <v>1466</v>
      </c>
      <c r="C356" s="63" t="s">
        <v>953</v>
      </c>
      <c r="D356" s="63" t="s">
        <v>953</v>
      </c>
      <c r="E356" s="65">
        <v>45751</v>
      </c>
      <c r="F356" s="65">
        <v>45751</v>
      </c>
      <c r="G356" s="64">
        <v>166.27</v>
      </c>
      <c r="H356" s="92"/>
    </row>
    <row r="357" spans="1:8" x14ac:dyDescent="0.3">
      <c r="A357" s="63" t="s">
        <v>1459</v>
      </c>
      <c r="B357" s="63" t="s">
        <v>1467</v>
      </c>
      <c r="C357" s="63" t="s">
        <v>953</v>
      </c>
      <c r="D357" s="63" t="s">
        <v>953</v>
      </c>
      <c r="E357" s="65">
        <v>45751</v>
      </c>
      <c r="F357" s="65">
        <v>45755</v>
      </c>
      <c r="G357" s="64">
        <v>117.33</v>
      </c>
      <c r="H357" s="92"/>
    </row>
    <row r="358" spans="1:8" x14ac:dyDescent="0.3">
      <c r="A358" s="63" t="s">
        <v>1459</v>
      </c>
      <c r="B358" s="63" t="s">
        <v>1468</v>
      </c>
      <c r="C358" s="63" t="s">
        <v>953</v>
      </c>
      <c r="D358" s="63" t="s">
        <v>953</v>
      </c>
      <c r="E358" s="65">
        <v>45762</v>
      </c>
      <c r="F358" s="65">
        <v>45762</v>
      </c>
      <c r="G358" s="64">
        <v>74.3</v>
      </c>
      <c r="H358" s="92"/>
    </row>
    <row r="359" spans="1:8" x14ac:dyDescent="0.3">
      <c r="A359" s="63" t="s">
        <v>1459</v>
      </c>
      <c r="B359" s="63" t="s">
        <v>1469</v>
      </c>
      <c r="C359" s="63" t="s">
        <v>953</v>
      </c>
      <c r="D359" s="63" t="s">
        <v>953</v>
      </c>
      <c r="E359" s="65">
        <v>45824</v>
      </c>
      <c r="F359" s="65">
        <v>45824</v>
      </c>
      <c r="G359" s="64">
        <v>103.08</v>
      </c>
      <c r="H359" s="92"/>
    </row>
    <row r="360" spans="1:8" x14ac:dyDescent="0.3">
      <c r="A360" s="63" t="s">
        <v>1459</v>
      </c>
      <c r="B360" s="63" t="s">
        <v>1470</v>
      </c>
      <c r="C360" s="63" t="s">
        <v>953</v>
      </c>
      <c r="D360" s="63" t="s">
        <v>953</v>
      </c>
      <c r="E360" s="65">
        <v>45838</v>
      </c>
      <c r="F360" s="65">
        <v>45838</v>
      </c>
      <c r="G360" s="64">
        <v>575.48</v>
      </c>
      <c r="H360" s="92"/>
    </row>
    <row r="361" spans="1:8" x14ac:dyDescent="0.3">
      <c r="A361" s="63" t="s">
        <v>1459</v>
      </c>
      <c r="B361" s="63" t="s">
        <v>1471</v>
      </c>
      <c r="C361" s="63" t="s">
        <v>953</v>
      </c>
      <c r="D361" s="63" t="s">
        <v>953</v>
      </c>
      <c r="E361" s="65">
        <v>45838</v>
      </c>
      <c r="F361" s="65">
        <v>45838</v>
      </c>
      <c r="G361" s="64">
        <v>845.58</v>
      </c>
      <c r="H361" s="92"/>
    </row>
    <row r="362" spans="1:8" x14ac:dyDescent="0.3">
      <c r="A362" s="63" t="s">
        <v>1472</v>
      </c>
      <c r="B362" s="63" t="s">
        <v>1473</v>
      </c>
      <c r="C362" s="63" t="s">
        <v>953</v>
      </c>
      <c r="D362" s="63" t="s">
        <v>1474</v>
      </c>
      <c r="E362" s="65">
        <v>45838</v>
      </c>
      <c r="F362" s="65">
        <v>45838</v>
      </c>
      <c r="G362" s="64">
        <v>2</v>
      </c>
      <c r="H362" s="92"/>
    </row>
    <row r="363" spans="1:8" x14ac:dyDescent="0.3">
      <c r="A363" s="63" t="s">
        <v>1475</v>
      </c>
      <c r="B363" s="63" t="s">
        <v>1476</v>
      </c>
      <c r="C363" s="63" t="s">
        <v>953</v>
      </c>
      <c r="D363" s="63" t="s">
        <v>953</v>
      </c>
      <c r="E363" s="65">
        <v>45691</v>
      </c>
      <c r="F363" s="65">
        <v>45691</v>
      </c>
      <c r="G363" s="64">
        <v>40000</v>
      </c>
      <c r="H363" s="92"/>
    </row>
    <row r="364" spans="1:8" x14ac:dyDescent="0.3">
      <c r="A364" s="63" t="s">
        <v>1475</v>
      </c>
      <c r="B364" s="63" t="s">
        <v>1477</v>
      </c>
      <c r="C364" s="63" t="s">
        <v>953</v>
      </c>
      <c r="D364" s="63" t="s">
        <v>953</v>
      </c>
      <c r="E364" s="65">
        <v>45832</v>
      </c>
      <c r="F364" s="65">
        <v>45832</v>
      </c>
      <c r="G364" s="64">
        <v>2437.4499999999998</v>
      </c>
      <c r="H364" s="92"/>
    </row>
    <row r="365" spans="1:8" x14ac:dyDescent="0.3">
      <c r="A365" s="63" t="s">
        <v>1475</v>
      </c>
      <c r="B365" s="63" t="s">
        <v>1478</v>
      </c>
      <c r="C365" s="63" t="s">
        <v>953</v>
      </c>
      <c r="D365" s="63" t="s">
        <v>1479</v>
      </c>
      <c r="E365" s="65">
        <v>45838</v>
      </c>
      <c r="F365" s="65">
        <v>45838</v>
      </c>
      <c r="G365" s="64">
        <v>33522.589999999997</v>
      </c>
      <c r="H365" s="92"/>
    </row>
    <row r="366" spans="1:8" x14ac:dyDescent="0.3">
      <c r="A366" s="63" t="s">
        <v>1480</v>
      </c>
      <c r="B366" s="63" t="s">
        <v>1481</v>
      </c>
      <c r="C366" s="63" t="s">
        <v>1482</v>
      </c>
      <c r="D366" s="63" t="s">
        <v>1483</v>
      </c>
      <c r="E366" s="65">
        <v>45838</v>
      </c>
      <c r="F366" s="65">
        <v>45838</v>
      </c>
      <c r="G366" s="64">
        <v>73716.5</v>
      </c>
      <c r="H366" s="92"/>
    </row>
    <row r="367" spans="1:8" x14ac:dyDescent="0.3">
      <c r="A367" s="63" t="s">
        <v>1484</v>
      </c>
      <c r="B367" s="63" t="s">
        <v>1485</v>
      </c>
      <c r="C367" s="63" t="s">
        <v>1486</v>
      </c>
      <c r="D367" s="63" t="s">
        <v>1487</v>
      </c>
      <c r="E367" s="65">
        <v>44561</v>
      </c>
      <c r="F367" s="65">
        <v>44561</v>
      </c>
      <c r="G367" s="64">
        <v>16549.849999999999</v>
      </c>
      <c r="H367" s="92"/>
    </row>
    <row r="368" spans="1:8" x14ac:dyDescent="0.3">
      <c r="A368" s="63" t="s">
        <v>1484</v>
      </c>
      <c r="B368" s="63" t="s">
        <v>1488</v>
      </c>
      <c r="C368" s="63" t="s">
        <v>1489</v>
      </c>
      <c r="D368" s="63" t="s">
        <v>1490</v>
      </c>
      <c r="E368" s="65">
        <v>44561</v>
      </c>
      <c r="F368" s="65">
        <v>44561</v>
      </c>
      <c r="G368" s="64">
        <v>31625.67</v>
      </c>
      <c r="H368" s="92"/>
    </row>
    <row r="369" spans="1:8" x14ac:dyDescent="0.3">
      <c r="A369" s="63" t="s">
        <v>1484</v>
      </c>
      <c r="B369" s="63" t="s">
        <v>1491</v>
      </c>
      <c r="C369" s="63" t="s">
        <v>953</v>
      </c>
      <c r="D369" s="63" t="s">
        <v>1492</v>
      </c>
      <c r="E369" s="65">
        <v>44635</v>
      </c>
      <c r="F369" s="65">
        <v>44635</v>
      </c>
      <c r="G369" s="64">
        <v>4307.03</v>
      </c>
      <c r="H369" s="92"/>
    </row>
    <row r="370" spans="1:8" x14ac:dyDescent="0.3">
      <c r="A370" s="63" t="s">
        <v>1484</v>
      </c>
      <c r="B370" s="63" t="s">
        <v>1493</v>
      </c>
      <c r="C370" s="63" t="s">
        <v>953</v>
      </c>
      <c r="D370" s="63" t="s">
        <v>1492</v>
      </c>
      <c r="E370" s="65">
        <v>44665</v>
      </c>
      <c r="F370" s="65">
        <v>44665</v>
      </c>
      <c r="G370" s="64">
        <v>4100</v>
      </c>
      <c r="H370" s="92"/>
    </row>
    <row r="371" spans="1:8" x14ac:dyDescent="0.3">
      <c r="A371" s="63" t="s">
        <v>1484</v>
      </c>
      <c r="B371" s="63" t="s">
        <v>1494</v>
      </c>
      <c r="C371" s="63" t="s">
        <v>953</v>
      </c>
      <c r="D371" s="63" t="s">
        <v>1492</v>
      </c>
      <c r="E371" s="65">
        <v>44681</v>
      </c>
      <c r="F371" s="65">
        <v>44681</v>
      </c>
      <c r="G371" s="64">
        <v>1850.22</v>
      </c>
      <c r="H371" s="92"/>
    </row>
    <row r="372" spans="1:8" x14ac:dyDescent="0.3">
      <c r="A372" s="63" t="s">
        <v>1484</v>
      </c>
      <c r="B372" s="63" t="s">
        <v>1495</v>
      </c>
      <c r="C372" s="63" t="s">
        <v>953</v>
      </c>
      <c r="D372" s="63" t="s">
        <v>1492</v>
      </c>
      <c r="E372" s="65">
        <v>44725</v>
      </c>
      <c r="F372" s="65">
        <v>44725</v>
      </c>
      <c r="G372" s="64">
        <v>1283.3399999999999</v>
      </c>
      <c r="H372" s="92"/>
    </row>
    <row r="373" spans="1:8" x14ac:dyDescent="0.3">
      <c r="A373" s="63" t="s">
        <v>1484</v>
      </c>
      <c r="B373" s="63" t="s">
        <v>1496</v>
      </c>
      <c r="C373" s="63" t="s">
        <v>1497</v>
      </c>
      <c r="D373" s="63" t="s">
        <v>1498</v>
      </c>
      <c r="E373" s="65">
        <v>44818</v>
      </c>
      <c r="F373" s="65">
        <v>44818</v>
      </c>
      <c r="G373" s="64">
        <v>2746.42</v>
      </c>
      <c r="H373" s="92"/>
    </row>
    <row r="374" spans="1:8" x14ac:dyDescent="0.3">
      <c r="A374" s="63" t="s">
        <v>1484</v>
      </c>
      <c r="B374" s="63" t="s">
        <v>1499</v>
      </c>
      <c r="C374" s="63" t="s">
        <v>1500</v>
      </c>
      <c r="D374" s="63" t="s">
        <v>1501</v>
      </c>
      <c r="E374" s="65">
        <v>44823</v>
      </c>
      <c r="F374" s="65">
        <v>44823</v>
      </c>
      <c r="G374" s="64">
        <v>713.41</v>
      </c>
      <c r="H374" s="92"/>
    </row>
    <row r="375" spans="1:8" x14ac:dyDescent="0.3">
      <c r="A375" s="63" t="s">
        <v>1484</v>
      </c>
      <c r="B375" s="63" t="s">
        <v>1502</v>
      </c>
      <c r="C375" s="63" t="s">
        <v>1503</v>
      </c>
      <c r="D375" s="63" t="s">
        <v>1504</v>
      </c>
      <c r="E375" s="65">
        <v>44911</v>
      </c>
      <c r="F375" s="65">
        <v>44911</v>
      </c>
      <c r="G375" s="64">
        <v>0.01</v>
      </c>
      <c r="H375" s="92"/>
    </row>
    <row r="376" spans="1:8" x14ac:dyDescent="0.3">
      <c r="A376" s="63" t="s">
        <v>1484</v>
      </c>
      <c r="B376" s="63" t="s">
        <v>1505</v>
      </c>
      <c r="C376" s="63" t="s">
        <v>1506</v>
      </c>
      <c r="D376" s="63" t="s">
        <v>1507</v>
      </c>
      <c r="E376" s="65">
        <v>45359</v>
      </c>
      <c r="F376" s="65">
        <v>45359</v>
      </c>
      <c r="G376" s="64">
        <v>35728.54</v>
      </c>
      <c r="H376" s="92"/>
    </row>
    <row r="377" spans="1:8" x14ac:dyDescent="0.3">
      <c r="A377" s="63" t="s">
        <v>1484</v>
      </c>
      <c r="B377" s="63" t="s">
        <v>1508</v>
      </c>
      <c r="C377" s="63" t="s">
        <v>953</v>
      </c>
      <c r="D377" s="63" t="s">
        <v>1509</v>
      </c>
      <c r="E377" s="65">
        <v>45359</v>
      </c>
      <c r="F377" s="65">
        <v>45359</v>
      </c>
      <c r="G377" s="64">
        <v>2855.8</v>
      </c>
      <c r="H377" s="92"/>
    </row>
    <row r="378" spans="1:8" x14ac:dyDescent="0.3">
      <c r="A378" s="63" t="s">
        <v>1484</v>
      </c>
      <c r="B378" s="63" t="s">
        <v>1510</v>
      </c>
      <c r="C378" s="63" t="s">
        <v>953</v>
      </c>
      <c r="D378" s="63" t="s">
        <v>1509</v>
      </c>
      <c r="E378" s="65">
        <v>45359</v>
      </c>
      <c r="F378" s="65">
        <v>45359</v>
      </c>
      <c r="G378" s="64">
        <v>5807.5</v>
      </c>
      <c r="H378" s="92"/>
    </row>
    <row r="379" spans="1:8" x14ac:dyDescent="0.3">
      <c r="A379" s="63" t="s">
        <v>1484</v>
      </c>
      <c r="B379" s="63" t="s">
        <v>1511</v>
      </c>
      <c r="C379" s="63" t="s">
        <v>1506</v>
      </c>
      <c r="D379" s="63" t="s">
        <v>1507</v>
      </c>
      <c r="E379" s="65">
        <v>45371</v>
      </c>
      <c r="F379" s="65">
        <v>45371</v>
      </c>
      <c r="G379" s="64">
        <v>43470</v>
      </c>
      <c r="H379" s="92"/>
    </row>
    <row r="380" spans="1:8" x14ac:dyDescent="0.3">
      <c r="A380" s="63" t="s">
        <v>1484</v>
      </c>
      <c r="B380" s="63" t="s">
        <v>1512</v>
      </c>
      <c r="C380" s="63" t="s">
        <v>953</v>
      </c>
      <c r="D380" s="63" t="s">
        <v>1509</v>
      </c>
      <c r="E380" s="65">
        <v>45371</v>
      </c>
      <c r="F380" s="65">
        <v>45371</v>
      </c>
      <c r="G380" s="64">
        <v>4683.42</v>
      </c>
      <c r="H380" s="92"/>
    </row>
    <row r="381" spans="1:8" x14ac:dyDescent="0.3">
      <c r="A381" s="63" t="s">
        <v>1484</v>
      </c>
      <c r="B381" s="63" t="s">
        <v>1513</v>
      </c>
      <c r="C381" s="63" t="s">
        <v>953</v>
      </c>
      <c r="D381" s="63" t="s">
        <v>1509</v>
      </c>
      <c r="E381" s="65">
        <v>45371</v>
      </c>
      <c r="F381" s="65">
        <v>45371</v>
      </c>
      <c r="G381" s="64">
        <v>1380</v>
      </c>
      <c r="H381" s="92"/>
    </row>
    <row r="382" spans="1:8" x14ac:dyDescent="0.3">
      <c r="A382" s="63" t="s">
        <v>1484</v>
      </c>
      <c r="B382" s="63" t="s">
        <v>1514</v>
      </c>
      <c r="C382" s="63" t="s">
        <v>1515</v>
      </c>
      <c r="D382" s="63" t="s">
        <v>1516</v>
      </c>
      <c r="E382" s="65">
        <v>45382</v>
      </c>
      <c r="F382" s="65">
        <v>45382</v>
      </c>
      <c r="G382" s="64">
        <v>25000.23</v>
      </c>
      <c r="H382" s="92"/>
    </row>
    <row r="383" spans="1:8" x14ac:dyDescent="0.3">
      <c r="A383" s="63" t="s">
        <v>1484</v>
      </c>
      <c r="B383" s="63" t="s">
        <v>1517</v>
      </c>
      <c r="C383" s="63" t="s">
        <v>953</v>
      </c>
      <c r="D383" s="63" t="s">
        <v>1509</v>
      </c>
      <c r="E383" s="65">
        <v>45435</v>
      </c>
      <c r="F383" s="65">
        <v>45435</v>
      </c>
      <c r="G383" s="64">
        <v>3654</v>
      </c>
      <c r="H383" s="92"/>
    </row>
    <row r="384" spans="1:8" x14ac:dyDescent="0.3">
      <c r="A384" s="63" t="s">
        <v>1484</v>
      </c>
      <c r="B384" s="63" t="s">
        <v>1518</v>
      </c>
      <c r="C384" s="63" t="s">
        <v>1519</v>
      </c>
      <c r="D384" s="63" t="s">
        <v>1520</v>
      </c>
      <c r="E384" s="65">
        <v>45454</v>
      </c>
      <c r="F384" s="65">
        <v>45454</v>
      </c>
      <c r="G384" s="64">
        <v>2694.89</v>
      </c>
      <c r="H384" s="92"/>
    </row>
    <row r="385" spans="1:8" x14ac:dyDescent="0.3">
      <c r="A385" s="63" t="s">
        <v>1484</v>
      </c>
      <c r="B385" s="63" t="s">
        <v>1521</v>
      </c>
      <c r="C385" s="63" t="s">
        <v>1522</v>
      </c>
      <c r="D385" s="63" t="s">
        <v>1523</v>
      </c>
      <c r="E385" s="65">
        <v>45454</v>
      </c>
      <c r="F385" s="65">
        <v>45454</v>
      </c>
      <c r="G385" s="64">
        <v>1482.48</v>
      </c>
      <c r="H385" s="92"/>
    </row>
    <row r="386" spans="1:8" x14ac:dyDescent="0.3">
      <c r="A386" s="63" t="s">
        <v>1484</v>
      </c>
      <c r="B386" s="63" t="s">
        <v>1524</v>
      </c>
      <c r="C386" s="63" t="s">
        <v>1525</v>
      </c>
      <c r="D386" s="63" t="s">
        <v>1526</v>
      </c>
      <c r="E386" s="65">
        <v>45454</v>
      </c>
      <c r="F386" s="65">
        <v>45454</v>
      </c>
      <c r="G386" s="64">
        <v>34592.230000000003</v>
      </c>
      <c r="H386" s="92"/>
    </row>
    <row r="387" spans="1:8" x14ac:dyDescent="0.3">
      <c r="A387" s="63" t="s">
        <v>1484</v>
      </c>
      <c r="B387" s="63" t="s">
        <v>1527</v>
      </c>
      <c r="C387" s="63" t="s">
        <v>1528</v>
      </c>
      <c r="D387" s="63" t="s">
        <v>1529</v>
      </c>
      <c r="E387" s="65">
        <v>45454</v>
      </c>
      <c r="F387" s="65">
        <v>45454</v>
      </c>
      <c r="G387" s="64">
        <v>11975.64</v>
      </c>
      <c r="H387" s="92"/>
    </row>
    <row r="388" spans="1:8" x14ac:dyDescent="0.3">
      <c r="A388" s="63" t="s">
        <v>1484</v>
      </c>
      <c r="B388" s="63" t="s">
        <v>1530</v>
      </c>
      <c r="C388" s="63" t="s">
        <v>953</v>
      </c>
      <c r="D388" s="63" t="s">
        <v>1492</v>
      </c>
      <c r="E388" s="65">
        <v>45471</v>
      </c>
      <c r="F388" s="65">
        <v>45471</v>
      </c>
      <c r="G388" s="64">
        <v>3491.26</v>
      </c>
      <c r="H388" s="92"/>
    </row>
    <row r="389" spans="1:8" x14ac:dyDescent="0.3">
      <c r="A389" s="63" t="s">
        <v>1484</v>
      </c>
      <c r="B389" s="63" t="s">
        <v>1531</v>
      </c>
      <c r="C389" s="63" t="s">
        <v>953</v>
      </c>
      <c r="D389" s="63" t="s">
        <v>1509</v>
      </c>
      <c r="E389" s="65">
        <v>45471</v>
      </c>
      <c r="F389" s="65">
        <v>45471</v>
      </c>
      <c r="G389" s="64">
        <v>11703.3</v>
      </c>
      <c r="H389" s="92"/>
    </row>
    <row r="390" spans="1:8" x14ac:dyDescent="0.3">
      <c r="A390" s="63" t="s">
        <v>1484</v>
      </c>
      <c r="B390" s="63" t="s">
        <v>1532</v>
      </c>
      <c r="C390" s="63" t="s">
        <v>1533</v>
      </c>
      <c r="D390" s="63" t="s">
        <v>1534</v>
      </c>
      <c r="E390" s="65">
        <v>45471</v>
      </c>
      <c r="F390" s="65">
        <v>45484</v>
      </c>
      <c r="G390" s="64">
        <v>126111.52</v>
      </c>
      <c r="H390" s="92"/>
    </row>
    <row r="391" spans="1:8" x14ac:dyDescent="0.3">
      <c r="A391" s="63" t="s">
        <v>1484</v>
      </c>
      <c r="B391" s="63" t="s">
        <v>1535</v>
      </c>
      <c r="C391" s="63" t="s">
        <v>1536</v>
      </c>
      <c r="D391" s="63" t="s">
        <v>1537</v>
      </c>
      <c r="E391" s="65">
        <v>45456</v>
      </c>
      <c r="F391" s="65">
        <v>45576</v>
      </c>
      <c r="G391" s="64">
        <v>10540</v>
      </c>
      <c r="H391" s="92"/>
    </row>
    <row r="392" spans="1:8" x14ac:dyDescent="0.3">
      <c r="A392" s="63" t="s">
        <v>1484</v>
      </c>
      <c r="B392" s="63" t="s">
        <v>1538</v>
      </c>
      <c r="C392" s="63" t="s">
        <v>1539</v>
      </c>
      <c r="D392" s="63" t="s">
        <v>1540</v>
      </c>
      <c r="E392" s="65">
        <v>45586</v>
      </c>
      <c r="F392" s="65">
        <v>45616</v>
      </c>
      <c r="G392" s="64">
        <v>278788.03000000003</v>
      </c>
      <c r="H392" s="92"/>
    </row>
    <row r="393" spans="1:8" x14ac:dyDescent="0.3">
      <c r="A393" s="63" t="s">
        <v>1484</v>
      </c>
      <c r="B393" s="63" t="s">
        <v>1541</v>
      </c>
      <c r="C393" s="63" t="s">
        <v>1542</v>
      </c>
      <c r="D393" s="63" t="s">
        <v>1543</v>
      </c>
      <c r="E393" s="65">
        <v>45603</v>
      </c>
      <c r="F393" s="65">
        <v>45633</v>
      </c>
      <c r="G393" s="64">
        <v>53176.23</v>
      </c>
      <c r="H393" s="92"/>
    </row>
    <row r="394" spans="1:8" x14ac:dyDescent="0.3">
      <c r="A394" s="63" t="s">
        <v>1484</v>
      </c>
      <c r="B394" s="63" t="s">
        <v>1544</v>
      </c>
      <c r="C394" s="63" t="s">
        <v>953</v>
      </c>
      <c r="D394" s="63" t="s">
        <v>1492</v>
      </c>
      <c r="E394" s="65">
        <v>45838</v>
      </c>
      <c r="F394" s="65">
        <v>45838</v>
      </c>
      <c r="G394" s="64">
        <v>44390.41</v>
      </c>
      <c r="H394" s="92"/>
    </row>
    <row r="395" spans="1:8" x14ac:dyDescent="0.3">
      <c r="A395" s="63" t="s">
        <v>1484</v>
      </c>
      <c r="B395" s="63" t="s">
        <v>1545</v>
      </c>
      <c r="C395" s="63" t="s">
        <v>953</v>
      </c>
      <c r="D395" s="63" t="s">
        <v>1509</v>
      </c>
      <c r="E395" s="65">
        <v>45838</v>
      </c>
      <c r="F395" s="65">
        <v>45838</v>
      </c>
      <c r="G395" s="64">
        <v>818.42</v>
      </c>
      <c r="H395" s="92"/>
    </row>
    <row r="396" spans="1:8" x14ac:dyDescent="0.3">
      <c r="A396" s="63" t="s">
        <v>301</v>
      </c>
      <c r="B396" s="63" t="s">
        <v>1546</v>
      </c>
      <c r="C396" s="63" t="s">
        <v>953</v>
      </c>
      <c r="D396" s="63" t="s">
        <v>1547</v>
      </c>
      <c r="E396" s="65">
        <v>45236</v>
      </c>
      <c r="F396" s="65">
        <v>45266</v>
      </c>
      <c r="G396" s="64">
        <v>17952.95</v>
      </c>
      <c r="H396" s="92"/>
    </row>
    <row r="397" spans="1:8" x14ac:dyDescent="0.3">
      <c r="A397" s="63" t="s">
        <v>301</v>
      </c>
      <c r="B397" s="63" t="s">
        <v>1548</v>
      </c>
      <c r="C397" s="63" t="s">
        <v>953</v>
      </c>
      <c r="D397" s="63" t="s">
        <v>953</v>
      </c>
      <c r="E397" s="65">
        <v>45505</v>
      </c>
      <c r="F397" s="65">
        <v>45535</v>
      </c>
      <c r="G397" s="64">
        <v>900</v>
      </c>
      <c r="H397" s="92"/>
    </row>
    <row r="398" spans="1:8" x14ac:dyDescent="0.3">
      <c r="A398" s="63" t="s">
        <v>1549</v>
      </c>
      <c r="B398" s="63" t="s">
        <v>1550</v>
      </c>
      <c r="C398" s="63" t="s">
        <v>953</v>
      </c>
      <c r="D398" s="63" t="s">
        <v>1080</v>
      </c>
      <c r="E398" s="65">
        <v>45838</v>
      </c>
      <c r="F398" s="65">
        <v>45838</v>
      </c>
      <c r="G398" s="64">
        <v>60289</v>
      </c>
      <c r="H398" s="92"/>
    </row>
    <row r="399" spans="1:8" x14ac:dyDescent="0.3">
      <c r="A399" s="63" t="s">
        <v>1551</v>
      </c>
      <c r="B399" s="63" t="s">
        <v>1552</v>
      </c>
      <c r="C399" s="63" t="s">
        <v>953</v>
      </c>
      <c r="D399" s="63" t="s">
        <v>1553</v>
      </c>
      <c r="E399" s="65">
        <v>45734</v>
      </c>
      <c r="F399" s="65">
        <v>45734</v>
      </c>
      <c r="G399" s="64">
        <v>22311.759999999998</v>
      </c>
      <c r="H399" s="92"/>
    </row>
    <row r="400" spans="1:8" x14ac:dyDescent="0.3">
      <c r="A400" s="63" t="s">
        <v>1551</v>
      </c>
      <c r="B400" s="63" t="s">
        <v>1554</v>
      </c>
      <c r="C400" s="63" t="s">
        <v>953</v>
      </c>
      <c r="D400" s="63" t="s">
        <v>1555</v>
      </c>
      <c r="E400" s="65">
        <v>45735</v>
      </c>
      <c r="F400" s="65">
        <v>45735</v>
      </c>
      <c r="G400" s="64">
        <v>19694.75</v>
      </c>
      <c r="H400" s="92"/>
    </row>
    <row r="401" spans="1:8" x14ac:dyDescent="0.3">
      <c r="A401" s="63" t="s">
        <v>1551</v>
      </c>
      <c r="B401" s="63" t="s">
        <v>1556</v>
      </c>
      <c r="C401" s="63" t="s">
        <v>953</v>
      </c>
      <c r="D401" s="63" t="s">
        <v>1080</v>
      </c>
      <c r="E401" s="65">
        <v>45740</v>
      </c>
      <c r="F401" s="65">
        <v>45740</v>
      </c>
      <c r="G401" s="64">
        <v>3321.44</v>
      </c>
      <c r="H401" s="92"/>
    </row>
    <row r="402" spans="1:8" x14ac:dyDescent="0.3">
      <c r="A402" s="63" t="s">
        <v>1551</v>
      </c>
      <c r="B402" s="63" t="s">
        <v>1557</v>
      </c>
      <c r="C402" s="63" t="s">
        <v>953</v>
      </c>
      <c r="D402" s="63" t="s">
        <v>1309</v>
      </c>
      <c r="E402" s="65">
        <v>45740</v>
      </c>
      <c r="F402" s="65">
        <v>45740</v>
      </c>
      <c r="G402" s="64">
        <v>24094.14</v>
      </c>
      <c r="H402" s="92"/>
    </row>
    <row r="403" spans="1:8" x14ac:dyDescent="0.3">
      <c r="A403" s="63" t="s">
        <v>1551</v>
      </c>
      <c r="B403" s="63" t="s">
        <v>1558</v>
      </c>
      <c r="C403" s="63" t="s">
        <v>953</v>
      </c>
      <c r="D403" s="63" t="s">
        <v>1309</v>
      </c>
      <c r="E403" s="65">
        <v>45768</v>
      </c>
      <c r="F403" s="65">
        <v>45768</v>
      </c>
      <c r="G403" s="64">
        <v>20281.240000000002</v>
      </c>
      <c r="H403" s="92"/>
    </row>
    <row r="404" spans="1:8" x14ac:dyDescent="0.3">
      <c r="A404" s="63" t="s">
        <v>1551</v>
      </c>
      <c r="B404" s="63" t="s">
        <v>1559</v>
      </c>
      <c r="C404" s="63" t="s">
        <v>953</v>
      </c>
      <c r="D404" s="63" t="s">
        <v>1560</v>
      </c>
      <c r="E404" s="65">
        <v>45770</v>
      </c>
      <c r="F404" s="65">
        <v>45770</v>
      </c>
      <c r="G404" s="64">
        <v>7630.5</v>
      </c>
      <c r="H404" s="92"/>
    </row>
    <row r="405" spans="1:8" x14ac:dyDescent="0.3">
      <c r="A405" s="63" t="s">
        <v>1551</v>
      </c>
      <c r="B405" s="63" t="s">
        <v>1561</v>
      </c>
      <c r="C405" s="63" t="s">
        <v>953</v>
      </c>
      <c r="D405" s="63" t="s">
        <v>1080</v>
      </c>
      <c r="E405" s="65">
        <v>45772</v>
      </c>
      <c r="F405" s="65">
        <v>45772</v>
      </c>
      <c r="G405" s="64">
        <v>18872.759999999998</v>
      </c>
      <c r="H405" s="92"/>
    </row>
    <row r="406" spans="1:8" x14ac:dyDescent="0.3">
      <c r="A406" s="63" t="s">
        <v>1551</v>
      </c>
      <c r="B406" s="63" t="s">
        <v>1562</v>
      </c>
      <c r="C406" s="63" t="s">
        <v>953</v>
      </c>
      <c r="D406" s="63" t="s">
        <v>1080</v>
      </c>
      <c r="E406" s="65">
        <v>45789</v>
      </c>
      <c r="F406" s="65">
        <v>45789</v>
      </c>
      <c r="G406" s="64">
        <v>350</v>
      </c>
      <c r="H406" s="92"/>
    </row>
    <row r="407" spans="1:8" x14ac:dyDescent="0.3">
      <c r="A407" s="63" t="s">
        <v>1551</v>
      </c>
      <c r="B407" s="63" t="s">
        <v>1563</v>
      </c>
      <c r="C407" s="63" t="s">
        <v>953</v>
      </c>
      <c r="D407" s="63" t="s">
        <v>1553</v>
      </c>
      <c r="E407" s="65">
        <v>45804</v>
      </c>
      <c r="F407" s="65">
        <v>45804</v>
      </c>
      <c r="G407" s="64">
        <v>75.540000000000006</v>
      </c>
      <c r="H407" s="92"/>
    </row>
    <row r="408" spans="1:8" x14ac:dyDescent="0.3">
      <c r="A408" s="63" t="s">
        <v>1551</v>
      </c>
      <c r="B408" s="63" t="s">
        <v>1564</v>
      </c>
      <c r="C408" s="63" t="s">
        <v>953</v>
      </c>
      <c r="D408" s="63" t="s">
        <v>1309</v>
      </c>
      <c r="E408" s="65">
        <v>45804</v>
      </c>
      <c r="F408" s="65">
        <v>45804</v>
      </c>
      <c r="G408" s="64">
        <v>8498</v>
      </c>
      <c r="H408" s="92"/>
    </row>
    <row r="409" spans="1:8" x14ac:dyDescent="0.3">
      <c r="A409" s="63" t="s">
        <v>1551</v>
      </c>
      <c r="B409" s="63" t="s">
        <v>1565</v>
      </c>
      <c r="C409" s="63" t="s">
        <v>953</v>
      </c>
      <c r="D409" s="63" t="s">
        <v>1560</v>
      </c>
      <c r="E409" s="65">
        <v>45838</v>
      </c>
      <c r="F409" s="65">
        <v>45838</v>
      </c>
      <c r="G409" s="64">
        <v>5762.22</v>
      </c>
      <c r="H409" s="92"/>
    </row>
    <row r="410" spans="1:8" x14ac:dyDescent="0.3">
      <c r="A410" s="63" t="s">
        <v>1551</v>
      </c>
      <c r="B410" s="63" t="s">
        <v>1566</v>
      </c>
      <c r="C410" s="63" t="s">
        <v>953</v>
      </c>
      <c r="D410" s="63" t="s">
        <v>1555</v>
      </c>
      <c r="E410" s="65">
        <v>45838</v>
      </c>
      <c r="F410" s="65">
        <v>45838</v>
      </c>
      <c r="G410" s="64">
        <v>261.60000000000002</v>
      </c>
      <c r="H410" s="92"/>
    </row>
    <row r="411" spans="1:8" x14ac:dyDescent="0.3">
      <c r="A411" s="63" t="s">
        <v>1551</v>
      </c>
      <c r="B411" s="63" t="s">
        <v>1567</v>
      </c>
      <c r="C411" s="63" t="s">
        <v>953</v>
      </c>
      <c r="D411" s="63" t="s">
        <v>1309</v>
      </c>
      <c r="E411" s="65">
        <v>45838</v>
      </c>
      <c r="F411" s="65">
        <v>45838</v>
      </c>
      <c r="G411" s="64">
        <v>17160.14</v>
      </c>
      <c r="H411" s="92"/>
    </row>
    <row r="412" spans="1:8" x14ac:dyDescent="0.3">
      <c r="A412" s="63" t="s">
        <v>1568</v>
      </c>
      <c r="B412" s="63" t="s">
        <v>1569</v>
      </c>
      <c r="C412" s="63" t="s">
        <v>953</v>
      </c>
      <c r="D412" s="63" t="s">
        <v>953</v>
      </c>
      <c r="E412" s="65">
        <v>45693</v>
      </c>
      <c r="F412" s="65">
        <v>45723</v>
      </c>
      <c r="G412" s="64">
        <v>18846.41</v>
      </c>
      <c r="H412" s="92"/>
    </row>
    <row r="413" spans="1:8" x14ac:dyDescent="0.3">
      <c r="A413" s="63" t="s">
        <v>1568</v>
      </c>
      <c r="B413" s="63" t="s">
        <v>1570</v>
      </c>
      <c r="C413" s="63" t="s">
        <v>953</v>
      </c>
      <c r="D413" s="63" t="s">
        <v>1571</v>
      </c>
      <c r="E413" s="65">
        <v>45770</v>
      </c>
      <c r="F413" s="65">
        <v>45800</v>
      </c>
      <c r="G413" s="64">
        <v>33670.870000000003</v>
      </c>
      <c r="H413" s="92"/>
    </row>
    <row r="414" spans="1:8" x14ac:dyDescent="0.3">
      <c r="A414" s="63" t="s">
        <v>1568</v>
      </c>
      <c r="B414" s="63" t="s">
        <v>1572</v>
      </c>
      <c r="C414" s="63" t="s">
        <v>953</v>
      </c>
      <c r="D414" s="63" t="s">
        <v>1573</v>
      </c>
      <c r="E414" s="65">
        <v>45770</v>
      </c>
      <c r="F414" s="65">
        <v>45800</v>
      </c>
      <c r="G414" s="64">
        <v>7338.91</v>
      </c>
      <c r="H414" s="92"/>
    </row>
    <row r="415" spans="1:8" x14ac:dyDescent="0.3">
      <c r="A415" s="63" t="s">
        <v>1568</v>
      </c>
      <c r="B415" s="63" t="s">
        <v>1574</v>
      </c>
      <c r="C415" s="63" t="s">
        <v>953</v>
      </c>
      <c r="D415" s="63" t="s">
        <v>1575</v>
      </c>
      <c r="E415" s="65">
        <v>45824</v>
      </c>
      <c r="F415" s="65">
        <v>45854</v>
      </c>
      <c r="G415" s="64">
        <v>5604.97</v>
      </c>
      <c r="H415" s="92"/>
    </row>
    <row r="416" spans="1:8" x14ac:dyDescent="0.3">
      <c r="A416" s="63" t="s">
        <v>1568</v>
      </c>
      <c r="B416" s="63" t="s">
        <v>1576</v>
      </c>
      <c r="C416" s="63" t="s">
        <v>953</v>
      </c>
      <c r="D416" s="63" t="s">
        <v>1577</v>
      </c>
      <c r="E416" s="65">
        <v>45824</v>
      </c>
      <c r="F416" s="65">
        <v>45854</v>
      </c>
      <c r="G416" s="64">
        <v>9022.0400000000009</v>
      </c>
      <c r="H416" s="92"/>
    </row>
    <row r="417" spans="1:8" x14ac:dyDescent="0.3">
      <c r="A417" s="63" t="s">
        <v>1568</v>
      </c>
      <c r="B417" s="63" t="s">
        <v>1578</v>
      </c>
      <c r="C417" s="63" t="s">
        <v>953</v>
      </c>
      <c r="D417" s="63" t="s">
        <v>1579</v>
      </c>
      <c r="E417" s="65">
        <v>45824</v>
      </c>
      <c r="F417" s="65">
        <v>45854</v>
      </c>
      <c r="G417" s="64">
        <v>3735.91</v>
      </c>
      <c r="H417" s="92"/>
    </row>
    <row r="418" spans="1:8" x14ac:dyDescent="0.3">
      <c r="A418" s="63" t="s">
        <v>1568</v>
      </c>
      <c r="B418" s="63" t="s">
        <v>1580</v>
      </c>
      <c r="C418" s="63" t="s">
        <v>953</v>
      </c>
      <c r="D418" s="63" t="s">
        <v>1573</v>
      </c>
      <c r="E418" s="65">
        <v>45838</v>
      </c>
      <c r="F418" s="65">
        <v>45868</v>
      </c>
      <c r="G418" s="64">
        <v>2278.08</v>
      </c>
      <c r="H418" s="92"/>
    </row>
    <row r="419" spans="1:8" x14ac:dyDescent="0.3">
      <c r="A419" s="63" t="s">
        <v>1568</v>
      </c>
      <c r="B419" s="63" t="s">
        <v>1581</v>
      </c>
      <c r="C419" s="63" t="s">
        <v>953</v>
      </c>
      <c r="D419" s="63" t="s">
        <v>953</v>
      </c>
      <c r="E419" s="65">
        <v>45838</v>
      </c>
      <c r="F419" s="65">
        <v>45868</v>
      </c>
      <c r="G419" s="64">
        <v>-251.88</v>
      </c>
      <c r="H419" s="92"/>
    </row>
    <row r="420" spans="1:8" x14ac:dyDescent="0.3">
      <c r="A420" s="63" t="s">
        <v>1582</v>
      </c>
      <c r="B420" s="63" t="s">
        <v>1583</v>
      </c>
      <c r="C420" s="63" t="s">
        <v>953</v>
      </c>
      <c r="D420" s="63" t="s">
        <v>953</v>
      </c>
      <c r="E420" s="65">
        <v>45722</v>
      </c>
      <c r="F420" s="65">
        <v>45722</v>
      </c>
      <c r="G420" s="64">
        <v>4811.4399999999996</v>
      </c>
      <c r="H420" s="92"/>
    </row>
    <row r="421" spans="1:8" x14ac:dyDescent="0.3">
      <c r="A421" s="63" t="s">
        <v>1582</v>
      </c>
      <c r="B421" s="63" t="s">
        <v>1584</v>
      </c>
      <c r="C421" s="63" t="s">
        <v>953</v>
      </c>
      <c r="D421" s="63" t="s">
        <v>953</v>
      </c>
      <c r="E421" s="65">
        <v>45838</v>
      </c>
      <c r="F421" s="65">
        <v>45838</v>
      </c>
      <c r="G421" s="64">
        <v>8542.2999999999993</v>
      </c>
      <c r="H421" s="92"/>
    </row>
    <row r="422" spans="1:8" x14ac:dyDescent="0.3">
      <c r="A422" s="63" t="s">
        <v>1582</v>
      </c>
      <c r="B422" s="63" t="s">
        <v>1585</v>
      </c>
      <c r="C422" s="63" t="s">
        <v>953</v>
      </c>
      <c r="D422" s="63" t="s">
        <v>1586</v>
      </c>
      <c r="E422" s="65">
        <v>45838</v>
      </c>
      <c r="F422" s="65">
        <v>45838</v>
      </c>
      <c r="G422" s="64">
        <v>10151</v>
      </c>
      <c r="H422" s="92"/>
    </row>
    <row r="423" spans="1:8" x14ac:dyDescent="0.3">
      <c r="A423" s="63" t="s">
        <v>1587</v>
      </c>
      <c r="B423" s="63" t="s">
        <v>1588</v>
      </c>
      <c r="C423" s="63" t="s">
        <v>953</v>
      </c>
      <c r="D423" s="63" t="s">
        <v>953</v>
      </c>
      <c r="E423" s="65">
        <v>45128</v>
      </c>
      <c r="F423" s="65">
        <v>45128</v>
      </c>
      <c r="G423" s="64">
        <v>1043.7</v>
      </c>
      <c r="H423" s="92"/>
    </row>
    <row r="424" spans="1:8" x14ac:dyDescent="0.3">
      <c r="A424" s="63" t="s">
        <v>1587</v>
      </c>
      <c r="B424" s="63" t="s">
        <v>1589</v>
      </c>
      <c r="C424" s="63" t="s">
        <v>953</v>
      </c>
      <c r="D424" s="63" t="s">
        <v>1590</v>
      </c>
      <c r="E424" s="65">
        <v>45163</v>
      </c>
      <c r="F424" s="65">
        <v>45163</v>
      </c>
      <c r="G424" s="64">
        <v>1598.56</v>
      </c>
      <c r="H424" s="92"/>
    </row>
    <row r="425" spans="1:8" x14ac:dyDescent="0.3">
      <c r="A425" s="63" t="s">
        <v>1587</v>
      </c>
      <c r="B425" s="63" t="s">
        <v>1591</v>
      </c>
      <c r="C425" s="63" t="s">
        <v>953</v>
      </c>
      <c r="D425" s="63" t="s">
        <v>953</v>
      </c>
      <c r="E425" s="65">
        <v>45504</v>
      </c>
      <c r="F425" s="65">
        <v>45564</v>
      </c>
      <c r="G425" s="64">
        <v>13808.21</v>
      </c>
      <c r="H425" s="92"/>
    </row>
    <row r="426" spans="1:8" x14ac:dyDescent="0.3">
      <c r="A426" s="63" t="s">
        <v>1587</v>
      </c>
      <c r="B426" s="63" t="s">
        <v>1592</v>
      </c>
      <c r="C426" s="63" t="s">
        <v>953</v>
      </c>
      <c r="D426" s="63" t="s">
        <v>953</v>
      </c>
      <c r="E426" s="65">
        <v>45621</v>
      </c>
      <c r="F426" s="65">
        <v>45621</v>
      </c>
      <c r="G426" s="64">
        <v>1212.8699999999999</v>
      </c>
      <c r="H426" s="92"/>
    </row>
    <row r="427" spans="1:8" x14ac:dyDescent="0.3">
      <c r="A427" s="63" t="s">
        <v>1587</v>
      </c>
      <c r="B427" s="63" t="s">
        <v>1593</v>
      </c>
      <c r="C427" s="63" t="s">
        <v>953</v>
      </c>
      <c r="D427" s="63" t="s">
        <v>1299</v>
      </c>
      <c r="E427" s="65">
        <v>45625</v>
      </c>
      <c r="F427" s="65">
        <v>45625</v>
      </c>
      <c r="G427" s="64">
        <v>8703.17</v>
      </c>
      <c r="H427" s="92"/>
    </row>
    <row r="428" spans="1:8" x14ac:dyDescent="0.3">
      <c r="A428" s="63" t="s">
        <v>1587</v>
      </c>
      <c r="B428" s="63" t="s">
        <v>1594</v>
      </c>
      <c r="C428" s="63" t="s">
        <v>953</v>
      </c>
      <c r="D428" s="63" t="s">
        <v>1595</v>
      </c>
      <c r="E428" s="65">
        <v>45625</v>
      </c>
      <c r="F428" s="65">
        <v>45625</v>
      </c>
      <c r="G428" s="64">
        <v>531.16</v>
      </c>
      <c r="H428" s="92"/>
    </row>
    <row r="429" spans="1:8" x14ac:dyDescent="0.3">
      <c r="A429" s="63" t="s">
        <v>1587</v>
      </c>
      <c r="B429" s="63" t="s">
        <v>1596</v>
      </c>
      <c r="C429" s="63" t="s">
        <v>953</v>
      </c>
      <c r="D429" s="63" t="s">
        <v>1597</v>
      </c>
      <c r="E429" s="65">
        <v>45625</v>
      </c>
      <c r="F429" s="65">
        <v>45625</v>
      </c>
      <c r="G429" s="64">
        <v>280.75</v>
      </c>
      <c r="H429" s="92"/>
    </row>
    <row r="430" spans="1:8" x14ac:dyDescent="0.3">
      <c r="A430" s="63" t="s">
        <v>1587</v>
      </c>
      <c r="B430" s="63" t="s">
        <v>1598</v>
      </c>
      <c r="C430" s="63" t="s">
        <v>953</v>
      </c>
      <c r="D430" s="63" t="s">
        <v>1291</v>
      </c>
      <c r="E430" s="65">
        <v>45625</v>
      </c>
      <c r="F430" s="65">
        <v>45625</v>
      </c>
      <c r="G430" s="64">
        <v>485.47</v>
      </c>
      <c r="H430" s="92"/>
    </row>
    <row r="431" spans="1:8" x14ac:dyDescent="0.3">
      <c r="A431" s="63" t="s">
        <v>1587</v>
      </c>
      <c r="B431" s="63" t="s">
        <v>1599</v>
      </c>
      <c r="C431" s="63" t="s">
        <v>953</v>
      </c>
      <c r="D431" s="63" t="s">
        <v>1291</v>
      </c>
      <c r="E431" s="65">
        <v>45625</v>
      </c>
      <c r="F431" s="65">
        <v>45625</v>
      </c>
      <c r="G431" s="64">
        <v>3048.68</v>
      </c>
      <c r="H431" s="92"/>
    </row>
    <row r="432" spans="1:8" x14ac:dyDescent="0.3">
      <c r="A432" s="63" t="s">
        <v>1587</v>
      </c>
      <c r="B432" s="63" t="s">
        <v>1600</v>
      </c>
      <c r="C432" s="63" t="s">
        <v>953</v>
      </c>
      <c r="D432" s="63" t="s">
        <v>1331</v>
      </c>
      <c r="E432" s="65">
        <v>45625</v>
      </c>
      <c r="F432" s="65">
        <v>45625</v>
      </c>
      <c r="G432" s="64">
        <v>61.38</v>
      </c>
      <c r="H432" s="92"/>
    </row>
    <row r="433" spans="1:8" x14ac:dyDescent="0.3">
      <c r="A433" s="63" t="s">
        <v>1587</v>
      </c>
      <c r="B433" s="63" t="s">
        <v>1601</v>
      </c>
      <c r="C433" s="63" t="s">
        <v>953</v>
      </c>
      <c r="D433" s="63" t="s">
        <v>1602</v>
      </c>
      <c r="E433" s="65">
        <v>45625</v>
      </c>
      <c r="F433" s="65">
        <v>45625</v>
      </c>
      <c r="G433" s="64">
        <v>4670.33</v>
      </c>
      <c r="H433" s="92"/>
    </row>
    <row r="434" spans="1:8" x14ac:dyDescent="0.3">
      <c r="A434" s="63" t="s">
        <v>1587</v>
      </c>
      <c r="B434" s="63" t="s">
        <v>1603</v>
      </c>
      <c r="C434" s="63" t="s">
        <v>953</v>
      </c>
      <c r="D434" s="63" t="s">
        <v>1602</v>
      </c>
      <c r="E434" s="65">
        <v>45625</v>
      </c>
      <c r="F434" s="65">
        <v>45625</v>
      </c>
      <c r="G434" s="64">
        <v>1727.67</v>
      </c>
      <c r="H434" s="92"/>
    </row>
    <row r="435" spans="1:8" x14ac:dyDescent="0.3">
      <c r="A435" s="63" t="s">
        <v>1587</v>
      </c>
      <c r="B435" s="63" t="s">
        <v>1604</v>
      </c>
      <c r="C435" s="63" t="s">
        <v>953</v>
      </c>
      <c r="D435" s="63" t="s">
        <v>953</v>
      </c>
      <c r="E435" s="65">
        <v>45672</v>
      </c>
      <c r="F435" s="65">
        <v>45672</v>
      </c>
      <c r="G435" s="64">
        <v>655.76</v>
      </c>
      <c r="H435" s="92"/>
    </row>
    <row r="436" spans="1:8" x14ac:dyDescent="0.3">
      <c r="A436" s="63" t="s">
        <v>1587</v>
      </c>
      <c r="B436" s="63" t="s">
        <v>1605</v>
      </c>
      <c r="C436" s="63" t="s">
        <v>953</v>
      </c>
      <c r="D436" s="63" t="s">
        <v>1291</v>
      </c>
      <c r="E436" s="65">
        <v>45838</v>
      </c>
      <c r="F436" s="65">
        <v>45838</v>
      </c>
      <c r="G436" s="64">
        <v>2995.22</v>
      </c>
      <c r="H436" s="92"/>
    </row>
    <row r="437" spans="1:8" x14ac:dyDescent="0.3">
      <c r="A437" s="63" t="s">
        <v>1587</v>
      </c>
      <c r="B437" s="63" t="s">
        <v>1606</v>
      </c>
      <c r="C437" s="63" t="s">
        <v>953</v>
      </c>
      <c r="D437" s="63" t="s">
        <v>953</v>
      </c>
      <c r="E437" s="65">
        <v>45838</v>
      </c>
      <c r="F437" s="65">
        <v>45838</v>
      </c>
      <c r="G437" s="64">
        <v>331.54</v>
      </c>
      <c r="H437" s="92"/>
    </row>
    <row r="438" spans="1:8" x14ac:dyDescent="0.3">
      <c r="A438" s="63" t="s">
        <v>1587</v>
      </c>
      <c r="B438" s="63" t="s">
        <v>1607</v>
      </c>
      <c r="C438" s="63" t="s">
        <v>953</v>
      </c>
      <c r="D438" s="63" t="s">
        <v>953</v>
      </c>
      <c r="E438" s="65">
        <v>45838</v>
      </c>
      <c r="F438" s="65">
        <v>45838</v>
      </c>
      <c r="G438" s="64">
        <v>1810.19</v>
      </c>
      <c r="H438" s="92"/>
    </row>
    <row r="439" spans="1:8" x14ac:dyDescent="0.3">
      <c r="A439" s="63" t="s">
        <v>1608</v>
      </c>
      <c r="B439" s="63" t="s">
        <v>1609</v>
      </c>
      <c r="C439" s="63" t="s">
        <v>953</v>
      </c>
      <c r="D439" s="63" t="s">
        <v>1610</v>
      </c>
      <c r="E439" s="65">
        <v>45520</v>
      </c>
      <c r="F439" s="65">
        <v>45520</v>
      </c>
      <c r="G439" s="64">
        <v>75.78</v>
      </c>
      <c r="H439" s="92"/>
    </row>
    <row r="440" spans="1:8" x14ac:dyDescent="0.3">
      <c r="A440" s="63" t="s">
        <v>1608</v>
      </c>
      <c r="B440" s="63" t="s">
        <v>1611</v>
      </c>
      <c r="C440" s="63" t="s">
        <v>953</v>
      </c>
      <c r="D440" s="63" t="s">
        <v>953</v>
      </c>
      <c r="E440" s="65">
        <v>45688</v>
      </c>
      <c r="F440" s="65">
        <v>45688</v>
      </c>
      <c r="G440" s="64">
        <v>410.27</v>
      </c>
      <c r="H440" s="92"/>
    </row>
    <row r="441" spans="1:8" x14ac:dyDescent="0.3">
      <c r="A441" s="63" t="s">
        <v>1608</v>
      </c>
      <c r="B441" s="63" t="s">
        <v>1612</v>
      </c>
      <c r="C441" s="63" t="s">
        <v>953</v>
      </c>
      <c r="D441" s="63" t="s">
        <v>1579</v>
      </c>
      <c r="E441" s="65">
        <v>45755</v>
      </c>
      <c r="F441" s="65">
        <v>45755</v>
      </c>
      <c r="G441" s="64">
        <v>13291.63</v>
      </c>
      <c r="H441" s="92"/>
    </row>
    <row r="442" spans="1:8" x14ac:dyDescent="0.3">
      <c r="A442" s="63" t="s">
        <v>1608</v>
      </c>
      <c r="B442" s="63" t="s">
        <v>1613</v>
      </c>
      <c r="C442" s="63" t="s">
        <v>953</v>
      </c>
      <c r="D442" s="63" t="s">
        <v>1614</v>
      </c>
      <c r="E442" s="65">
        <v>45755</v>
      </c>
      <c r="F442" s="65">
        <v>45755</v>
      </c>
      <c r="G442" s="64">
        <v>26640.93</v>
      </c>
      <c r="H442" s="92"/>
    </row>
    <row r="443" spans="1:8" x14ac:dyDescent="0.3">
      <c r="A443" s="63" t="s">
        <v>1608</v>
      </c>
      <c r="B443" s="63" t="s">
        <v>1615</v>
      </c>
      <c r="C443" s="63" t="s">
        <v>953</v>
      </c>
      <c r="D443" s="63" t="s">
        <v>1579</v>
      </c>
      <c r="E443" s="65">
        <v>45790</v>
      </c>
      <c r="F443" s="65">
        <v>45790</v>
      </c>
      <c r="G443" s="64">
        <v>16689.75</v>
      </c>
      <c r="H443" s="92"/>
    </row>
    <row r="444" spans="1:8" x14ac:dyDescent="0.3">
      <c r="A444" s="63" t="s">
        <v>1608</v>
      </c>
      <c r="B444" s="63" t="s">
        <v>1616</v>
      </c>
      <c r="C444" s="63" t="s">
        <v>953</v>
      </c>
      <c r="D444" s="63" t="s">
        <v>1617</v>
      </c>
      <c r="E444" s="65">
        <v>45838</v>
      </c>
      <c r="F444" s="65">
        <v>45838</v>
      </c>
      <c r="G444" s="64">
        <v>0.02</v>
      </c>
      <c r="H444" s="92"/>
    </row>
    <row r="445" spans="1:8" x14ac:dyDescent="0.3">
      <c r="A445" s="63" t="s">
        <v>1608</v>
      </c>
      <c r="B445" s="63" t="s">
        <v>1618</v>
      </c>
      <c r="C445" s="63" t="s">
        <v>953</v>
      </c>
      <c r="D445" s="63" t="s">
        <v>1579</v>
      </c>
      <c r="E445" s="65">
        <v>45838</v>
      </c>
      <c r="F445" s="65">
        <v>45838</v>
      </c>
      <c r="G445" s="64">
        <v>5763.23</v>
      </c>
      <c r="H445" s="92"/>
    </row>
    <row r="446" spans="1:8" x14ac:dyDescent="0.3">
      <c r="A446" s="63" t="s">
        <v>1608</v>
      </c>
      <c r="B446" s="63" t="s">
        <v>1619</v>
      </c>
      <c r="C446" s="63" t="s">
        <v>953</v>
      </c>
      <c r="D446" s="63" t="s">
        <v>1620</v>
      </c>
      <c r="E446" s="65">
        <v>45838</v>
      </c>
      <c r="F446" s="65">
        <v>45838</v>
      </c>
      <c r="G446" s="64">
        <v>5771.24</v>
      </c>
      <c r="H446" s="92"/>
    </row>
    <row r="447" spans="1:8" x14ac:dyDescent="0.3">
      <c r="A447" s="63" t="s">
        <v>1608</v>
      </c>
      <c r="B447" s="63" t="s">
        <v>1621</v>
      </c>
      <c r="C447" s="63" t="s">
        <v>953</v>
      </c>
      <c r="D447" s="63" t="s">
        <v>1620</v>
      </c>
      <c r="E447" s="65">
        <v>45838</v>
      </c>
      <c r="F447" s="65">
        <v>45838</v>
      </c>
      <c r="G447" s="64">
        <v>14057.35</v>
      </c>
      <c r="H447" s="92"/>
    </row>
    <row r="448" spans="1:8" x14ac:dyDescent="0.3">
      <c r="A448" s="63" t="s">
        <v>1608</v>
      </c>
      <c r="B448" s="63" t="s">
        <v>1622</v>
      </c>
      <c r="C448" s="63" t="s">
        <v>953</v>
      </c>
      <c r="D448" s="63" t="s">
        <v>1620</v>
      </c>
      <c r="E448" s="65">
        <v>45838</v>
      </c>
      <c r="F448" s="65">
        <v>45838</v>
      </c>
      <c r="G448" s="64">
        <v>232.74</v>
      </c>
      <c r="H448" s="92"/>
    </row>
    <row r="449" spans="1:8" x14ac:dyDescent="0.3">
      <c r="A449" s="63" t="s">
        <v>1608</v>
      </c>
      <c r="B449" s="63" t="s">
        <v>1623</v>
      </c>
      <c r="C449" s="63" t="s">
        <v>953</v>
      </c>
      <c r="D449" s="63" t="s">
        <v>1614</v>
      </c>
      <c r="E449" s="65">
        <v>45838</v>
      </c>
      <c r="F449" s="65">
        <v>45838</v>
      </c>
      <c r="G449" s="64">
        <v>19649.75</v>
      </c>
      <c r="H449" s="92"/>
    </row>
    <row r="450" spans="1:8" x14ac:dyDescent="0.3">
      <c r="A450" s="63" t="s">
        <v>1608</v>
      </c>
      <c r="B450" s="63" t="s">
        <v>1624</v>
      </c>
      <c r="C450" s="63" t="s">
        <v>953</v>
      </c>
      <c r="D450" s="63" t="s">
        <v>1625</v>
      </c>
      <c r="E450" s="65">
        <v>45838</v>
      </c>
      <c r="F450" s="65">
        <v>45838</v>
      </c>
      <c r="G450" s="64">
        <v>531.64</v>
      </c>
      <c r="H450" s="92"/>
    </row>
    <row r="451" spans="1:8" x14ac:dyDescent="0.3">
      <c r="A451" s="63" t="s">
        <v>1608</v>
      </c>
      <c r="B451" s="63" t="s">
        <v>1626</v>
      </c>
      <c r="C451" s="63" t="s">
        <v>953</v>
      </c>
      <c r="D451" s="63" t="s">
        <v>1625</v>
      </c>
      <c r="E451" s="65">
        <v>45838</v>
      </c>
      <c r="F451" s="65">
        <v>45838</v>
      </c>
      <c r="G451" s="64">
        <v>12930.94</v>
      </c>
      <c r="H451" s="92"/>
    </row>
    <row r="452" spans="1:8" x14ac:dyDescent="0.3">
      <c r="A452" s="63" t="s">
        <v>1608</v>
      </c>
      <c r="B452" s="63" t="s">
        <v>1627</v>
      </c>
      <c r="C452" s="63" t="s">
        <v>953</v>
      </c>
      <c r="D452" s="63" t="s">
        <v>1628</v>
      </c>
      <c r="E452" s="65">
        <v>45838</v>
      </c>
      <c r="F452" s="65">
        <v>45838</v>
      </c>
      <c r="G452" s="64">
        <v>7748.36</v>
      </c>
      <c r="H452" s="92"/>
    </row>
    <row r="453" spans="1:8" x14ac:dyDescent="0.3">
      <c r="A453" s="63" t="s">
        <v>1629</v>
      </c>
      <c r="B453" s="63" t="s">
        <v>1630</v>
      </c>
      <c r="C453" s="63" t="s">
        <v>953</v>
      </c>
      <c r="D453" s="63" t="s">
        <v>953</v>
      </c>
      <c r="E453" s="65">
        <v>45817</v>
      </c>
      <c r="F453" s="65">
        <v>45817</v>
      </c>
      <c r="G453" s="64">
        <v>26475.24</v>
      </c>
      <c r="H453" s="92"/>
    </row>
    <row r="454" spans="1:8" x14ac:dyDescent="0.3">
      <c r="A454" s="63" t="s">
        <v>1631</v>
      </c>
      <c r="B454" s="63" t="s">
        <v>1632</v>
      </c>
      <c r="C454" s="63" t="s">
        <v>953</v>
      </c>
      <c r="D454" s="63" t="s">
        <v>953</v>
      </c>
      <c r="E454" s="65">
        <v>45615</v>
      </c>
      <c r="F454" s="65">
        <v>45615</v>
      </c>
      <c r="G454" s="64">
        <v>-6482.21</v>
      </c>
      <c r="H454" s="92"/>
    </row>
    <row r="455" spans="1:8" x14ac:dyDescent="0.3">
      <c r="A455" s="63" t="s">
        <v>1631</v>
      </c>
      <c r="B455" s="63" t="s">
        <v>1633</v>
      </c>
      <c r="C455" s="63" t="s">
        <v>953</v>
      </c>
      <c r="D455" s="63" t="s">
        <v>953</v>
      </c>
      <c r="E455" s="65">
        <v>45838</v>
      </c>
      <c r="F455" s="65">
        <v>45838</v>
      </c>
      <c r="G455" s="64">
        <v>23864.71</v>
      </c>
      <c r="H455" s="92"/>
    </row>
    <row r="456" spans="1:8" x14ac:dyDescent="0.3">
      <c r="A456" s="63" t="s">
        <v>1631</v>
      </c>
      <c r="B456" s="63" t="s">
        <v>1634</v>
      </c>
      <c r="C456" s="63" t="s">
        <v>953</v>
      </c>
      <c r="D456" s="63" t="s">
        <v>953</v>
      </c>
      <c r="E456" s="65">
        <v>45838</v>
      </c>
      <c r="F456" s="65">
        <v>45838</v>
      </c>
      <c r="G456" s="64">
        <v>201.69</v>
      </c>
      <c r="H456" s="92"/>
    </row>
    <row r="457" spans="1:8" x14ac:dyDescent="0.3">
      <c r="A457" s="63" t="s">
        <v>1635</v>
      </c>
      <c r="B457" s="63" t="s">
        <v>1636</v>
      </c>
      <c r="C457" s="63" t="s">
        <v>953</v>
      </c>
      <c r="D457" s="63" t="s">
        <v>953</v>
      </c>
      <c r="E457" s="65">
        <v>45695</v>
      </c>
      <c r="F457" s="65">
        <v>45695</v>
      </c>
      <c r="G457" s="64">
        <v>4789.5</v>
      </c>
      <c r="H457" s="92"/>
    </row>
    <row r="458" spans="1:8" x14ac:dyDescent="0.3">
      <c r="A458" s="63" t="s">
        <v>1637</v>
      </c>
      <c r="B458" s="63" t="s">
        <v>1638</v>
      </c>
      <c r="C458" s="63" t="s">
        <v>953</v>
      </c>
      <c r="D458" s="63" t="s">
        <v>953</v>
      </c>
      <c r="E458" s="65">
        <v>45838</v>
      </c>
      <c r="F458" s="65">
        <v>45868</v>
      </c>
      <c r="G458" s="64">
        <v>6220.84</v>
      </c>
      <c r="H458" s="92"/>
    </row>
    <row r="459" spans="1:8" x14ac:dyDescent="0.3">
      <c r="A459" s="63" t="s">
        <v>1639</v>
      </c>
      <c r="B459" s="63" t="s">
        <v>1640</v>
      </c>
      <c r="C459" s="63" t="s">
        <v>953</v>
      </c>
      <c r="D459" s="63" t="s">
        <v>953</v>
      </c>
      <c r="E459" s="65">
        <v>45657</v>
      </c>
      <c r="F459" s="65">
        <v>45687</v>
      </c>
      <c r="G459" s="64">
        <v>173.09</v>
      </c>
      <c r="H459" s="92"/>
    </row>
    <row r="460" spans="1:8" x14ac:dyDescent="0.3">
      <c r="A460" s="63" t="s">
        <v>1639</v>
      </c>
      <c r="B460" s="63" t="s">
        <v>1641</v>
      </c>
      <c r="C460" s="63" t="s">
        <v>953</v>
      </c>
      <c r="D460" s="63" t="s">
        <v>953</v>
      </c>
      <c r="E460" s="65">
        <v>45756</v>
      </c>
      <c r="F460" s="65">
        <v>45786</v>
      </c>
      <c r="G460" s="64">
        <v>3953.52</v>
      </c>
      <c r="H460" s="92"/>
    </row>
    <row r="461" spans="1:8" x14ac:dyDescent="0.3">
      <c r="A461" s="63" t="s">
        <v>1639</v>
      </c>
      <c r="B461" s="63" t="s">
        <v>1642</v>
      </c>
      <c r="C461" s="63" t="s">
        <v>953</v>
      </c>
      <c r="D461" s="63" t="s">
        <v>1643</v>
      </c>
      <c r="E461" s="65">
        <v>45838</v>
      </c>
      <c r="F461" s="65">
        <v>45868</v>
      </c>
      <c r="G461" s="64">
        <v>399.98</v>
      </c>
      <c r="H461" s="92"/>
    </row>
    <row r="462" spans="1:8" x14ac:dyDescent="0.3">
      <c r="A462" s="63" t="s">
        <v>1639</v>
      </c>
      <c r="B462" s="63" t="s">
        <v>1644</v>
      </c>
      <c r="C462" s="63" t="s">
        <v>953</v>
      </c>
      <c r="D462" s="63" t="s">
        <v>1052</v>
      </c>
      <c r="E462" s="65">
        <v>45838</v>
      </c>
      <c r="F462" s="65">
        <v>45868</v>
      </c>
      <c r="G462" s="64">
        <v>500</v>
      </c>
      <c r="H462" s="92"/>
    </row>
    <row r="463" spans="1:8" x14ac:dyDescent="0.3">
      <c r="A463" s="63" t="s">
        <v>1639</v>
      </c>
      <c r="B463" s="63" t="s">
        <v>1645</v>
      </c>
      <c r="C463" s="63" t="s">
        <v>953</v>
      </c>
      <c r="D463" s="63" t="s">
        <v>1646</v>
      </c>
      <c r="E463" s="65">
        <v>45838</v>
      </c>
      <c r="F463" s="65">
        <v>45868</v>
      </c>
      <c r="G463" s="64">
        <v>2465.9699999999998</v>
      </c>
      <c r="H463" s="92"/>
    </row>
    <row r="464" spans="1:8" x14ac:dyDescent="0.3">
      <c r="A464" s="63" t="s">
        <v>1639</v>
      </c>
      <c r="B464" s="63" t="s">
        <v>1647</v>
      </c>
      <c r="C464" s="63" t="s">
        <v>953</v>
      </c>
      <c r="D464" s="63" t="s">
        <v>1648</v>
      </c>
      <c r="E464" s="65">
        <v>45838</v>
      </c>
      <c r="F464" s="65">
        <v>45868</v>
      </c>
      <c r="G464" s="64">
        <v>1374.39</v>
      </c>
      <c r="H464" s="92"/>
    </row>
    <row r="465" spans="1:8" x14ac:dyDescent="0.3">
      <c r="A465" s="63" t="s">
        <v>1639</v>
      </c>
      <c r="B465" s="63" t="s">
        <v>1649</v>
      </c>
      <c r="C465" s="63" t="s">
        <v>953</v>
      </c>
      <c r="D465" s="63" t="s">
        <v>953</v>
      </c>
      <c r="E465" s="65">
        <v>45838</v>
      </c>
      <c r="F465" s="65">
        <v>45868</v>
      </c>
      <c r="G465" s="64">
        <v>5550.83</v>
      </c>
      <c r="H465" s="92"/>
    </row>
    <row r="466" spans="1:8" x14ac:dyDescent="0.3">
      <c r="A466" s="63" t="s">
        <v>1639</v>
      </c>
      <c r="B466" s="63" t="s">
        <v>1650</v>
      </c>
      <c r="C466" s="63" t="s">
        <v>953</v>
      </c>
      <c r="D466" s="63" t="s">
        <v>953</v>
      </c>
      <c r="E466" s="65">
        <v>45838</v>
      </c>
      <c r="F466" s="65">
        <v>45868</v>
      </c>
      <c r="G466" s="64">
        <v>3474.3</v>
      </c>
      <c r="H466" s="92"/>
    </row>
    <row r="467" spans="1:8" x14ac:dyDescent="0.3">
      <c r="A467" s="63" t="s">
        <v>1639</v>
      </c>
      <c r="B467" s="63" t="s">
        <v>1651</v>
      </c>
      <c r="C467" s="63" t="s">
        <v>953</v>
      </c>
      <c r="D467" s="63" t="s">
        <v>953</v>
      </c>
      <c r="E467" s="65">
        <v>45838</v>
      </c>
      <c r="F467" s="65">
        <v>45868</v>
      </c>
      <c r="G467" s="64">
        <v>11548.32</v>
      </c>
      <c r="H467" s="92"/>
    </row>
    <row r="468" spans="1:8" x14ac:dyDescent="0.3">
      <c r="A468" s="63" t="s">
        <v>1652</v>
      </c>
      <c r="B468" s="63" t="s">
        <v>1653</v>
      </c>
      <c r="C468" s="63" t="s">
        <v>1654</v>
      </c>
      <c r="D468" s="63" t="s">
        <v>1655</v>
      </c>
      <c r="E468" s="65">
        <v>45505</v>
      </c>
      <c r="F468" s="65">
        <v>45505</v>
      </c>
      <c r="G468" s="64">
        <v>270.63</v>
      </c>
      <c r="H468" s="92"/>
    </row>
    <row r="469" spans="1:8" x14ac:dyDescent="0.3">
      <c r="A469" s="63" t="s">
        <v>1656</v>
      </c>
      <c r="B469" s="63" t="s">
        <v>1657</v>
      </c>
      <c r="C469" s="63" t="s">
        <v>953</v>
      </c>
      <c r="D469" s="63" t="s">
        <v>1658</v>
      </c>
      <c r="E469" s="65">
        <v>45009</v>
      </c>
      <c r="F469" s="65">
        <v>45009</v>
      </c>
      <c r="G469" s="64">
        <v>-9360</v>
      </c>
      <c r="H469" s="92"/>
    </row>
    <row r="470" spans="1:8" x14ac:dyDescent="0.3">
      <c r="A470" s="63" t="s">
        <v>1659</v>
      </c>
      <c r="B470" s="63" t="s">
        <v>1660</v>
      </c>
      <c r="C470" s="63" t="s">
        <v>953</v>
      </c>
      <c r="D470" s="63" t="s">
        <v>1661</v>
      </c>
      <c r="E470" s="65">
        <v>45163</v>
      </c>
      <c r="F470" s="65">
        <v>45163</v>
      </c>
      <c r="G470" s="64">
        <v>2770</v>
      </c>
      <c r="H470" s="92"/>
    </row>
    <row r="471" spans="1:8" x14ac:dyDescent="0.3">
      <c r="A471" s="63" t="s">
        <v>1659</v>
      </c>
      <c r="B471" s="63" t="s">
        <v>1662</v>
      </c>
      <c r="C471" s="63" t="s">
        <v>953</v>
      </c>
      <c r="D471" s="63" t="s">
        <v>953</v>
      </c>
      <c r="E471" s="65">
        <v>45363</v>
      </c>
      <c r="F471" s="65">
        <v>45363</v>
      </c>
      <c r="G471" s="64">
        <v>1723.71</v>
      </c>
      <c r="H471" s="92"/>
    </row>
    <row r="472" spans="1:8" x14ac:dyDescent="0.3">
      <c r="A472" s="63" t="s">
        <v>1663</v>
      </c>
      <c r="B472" s="63" t="s">
        <v>1664</v>
      </c>
      <c r="C472" s="63" t="s">
        <v>953</v>
      </c>
      <c r="D472" s="63" t="s">
        <v>953</v>
      </c>
      <c r="E472" s="65">
        <v>45594</v>
      </c>
      <c r="F472" s="65">
        <v>45594</v>
      </c>
      <c r="G472" s="64">
        <v>2260.52</v>
      </c>
      <c r="H472" s="92"/>
    </row>
    <row r="473" spans="1:8" x14ac:dyDescent="0.3">
      <c r="A473" s="63" t="s">
        <v>1663</v>
      </c>
      <c r="B473" s="63" t="s">
        <v>1665</v>
      </c>
      <c r="C473" s="63" t="s">
        <v>953</v>
      </c>
      <c r="D473" s="63" t="s">
        <v>953</v>
      </c>
      <c r="E473" s="65">
        <v>45617</v>
      </c>
      <c r="F473" s="65">
        <v>45617</v>
      </c>
      <c r="G473" s="64">
        <v>282.87</v>
      </c>
      <c r="H473" s="92"/>
    </row>
    <row r="474" spans="1:8" x14ac:dyDescent="0.3">
      <c r="A474" s="63" t="s">
        <v>1663</v>
      </c>
      <c r="B474" s="63" t="s">
        <v>1666</v>
      </c>
      <c r="C474" s="63" t="s">
        <v>953</v>
      </c>
      <c r="D474" s="63" t="s">
        <v>953</v>
      </c>
      <c r="E474" s="65">
        <v>45617</v>
      </c>
      <c r="F474" s="65">
        <v>45617</v>
      </c>
      <c r="G474" s="64">
        <v>2967.57</v>
      </c>
      <c r="H474" s="92"/>
    </row>
    <row r="475" spans="1:8" x14ac:dyDescent="0.3">
      <c r="A475" s="63" t="s">
        <v>1663</v>
      </c>
      <c r="B475" s="63" t="s">
        <v>1667</v>
      </c>
      <c r="C475" s="63" t="s">
        <v>953</v>
      </c>
      <c r="D475" s="63" t="s">
        <v>953</v>
      </c>
      <c r="E475" s="65">
        <v>45635</v>
      </c>
      <c r="F475" s="65">
        <v>45635</v>
      </c>
      <c r="G475" s="64">
        <v>2846.49</v>
      </c>
      <c r="H475" s="92"/>
    </row>
    <row r="476" spans="1:8" x14ac:dyDescent="0.3">
      <c r="A476" s="63" t="s">
        <v>1663</v>
      </c>
      <c r="B476" s="63" t="s">
        <v>1668</v>
      </c>
      <c r="C476" s="63" t="s">
        <v>953</v>
      </c>
      <c r="D476" s="63" t="s">
        <v>1669</v>
      </c>
      <c r="E476" s="65">
        <v>45638</v>
      </c>
      <c r="F476" s="65">
        <v>45638</v>
      </c>
      <c r="G476" s="64">
        <v>15126.36</v>
      </c>
      <c r="H476" s="92"/>
    </row>
    <row r="477" spans="1:8" x14ac:dyDescent="0.3">
      <c r="A477" s="63" t="s">
        <v>1663</v>
      </c>
      <c r="B477" s="63" t="s">
        <v>1670</v>
      </c>
      <c r="C477" s="63" t="s">
        <v>953</v>
      </c>
      <c r="D477" s="63" t="s">
        <v>1671</v>
      </c>
      <c r="E477" s="65">
        <v>45656</v>
      </c>
      <c r="F477" s="65">
        <v>45656</v>
      </c>
      <c r="G477" s="64">
        <v>66902.03</v>
      </c>
      <c r="H477" s="92"/>
    </row>
    <row r="478" spans="1:8" x14ac:dyDescent="0.3">
      <c r="A478" s="63" t="s">
        <v>1663</v>
      </c>
      <c r="B478" s="63" t="s">
        <v>1672</v>
      </c>
      <c r="C478" s="63" t="s">
        <v>953</v>
      </c>
      <c r="D478" s="63" t="s">
        <v>1673</v>
      </c>
      <c r="E478" s="65">
        <v>45657</v>
      </c>
      <c r="F478" s="65">
        <v>45657</v>
      </c>
      <c r="G478" s="64">
        <v>7001.38</v>
      </c>
      <c r="H478" s="92"/>
    </row>
    <row r="479" spans="1:8" x14ac:dyDescent="0.3">
      <c r="A479" s="63" t="s">
        <v>1663</v>
      </c>
      <c r="B479" s="63" t="s">
        <v>1674</v>
      </c>
      <c r="C479" s="63" t="s">
        <v>953</v>
      </c>
      <c r="D479" s="63" t="s">
        <v>1560</v>
      </c>
      <c r="E479" s="65">
        <v>45838</v>
      </c>
      <c r="F479" s="65">
        <v>45838</v>
      </c>
      <c r="G479" s="64">
        <v>5355.57</v>
      </c>
      <c r="H479" s="92"/>
    </row>
    <row r="480" spans="1:8" x14ac:dyDescent="0.3">
      <c r="A480" s="63" t="s">
        <v>1663</v>
      </c>
      <c r="B480" s="63" t="s">
        <v>1675</v>
      </c>
      <c r="C480" s="63" t="s">
        <v>953</v>
      </c>
      <c r="D480" s="63" t="s">
        <v>1676</v>
      </c>
      <c r="E480" s="65">
        <v>45838</v>
      </c>
      <c r="F480" s="65">
        <v>45838</v>
      </c>
      <c r="G480" s="64">
        <v>188.42</v>
      </c>
      <c r="H480" s="92"/>
    </row>
    <row r="481" spans="1:8" x14ac:dyDescent="0.3">
      <c r="A481" s="63" t="s">
        <v>1663</v>
      </c>
      <c r="B481" s="63" t="s">
        <v>1677</v>
      </c>
      <c r="C481" s="63" t="s">
        <v>953</v>
      </c>
      <c r="D481" s="63" t="s">
        <v>1595</v>
      </c>
      <c r="E481" s="65">
        <v>45838</v>
      </c>
      <c r="F481" s="65">
        <v>45838</v>
      </c>
      <c r="G481" s="64">
        <v>2640.02</v>
      </c>
      <c r="H481" s="92"/>
    </row>
    <row r="482" spans="1:8" x14ac:dyDescent="0.3">
      <c r="A482" s="63" t="s">
        <v>1663</v>
      </c>
      <c r="B482" s="63" t="s">
        <v>1678</v>
      </c>
      <c r="C482" s="63" t="s">
        <v>953</v>
      </c>
      <c r="D482" s="63" t="s">
        <v>1679</v>
      </c>
      <c r="E482" s="65">
        <v>45838</v>
      </c>
      <c r="F482" s="65">
        <v>45838</v>
      </c>
      <c r="G482" s="64">
        <v>40.200000000000003</v>
      </c>
      <c r="H482" s="92"/>
    </row>
    <row r="483" spans="1:8" x14ac:dyDescent="0.3">
      <c r="A483" s="63" t="s">
        <v>1663</v>
      </c>
      <c r="B483" s="63" t="s">
        <v>1680</v>
      </c>
      <c r="C483" s="63" t="s">
        <v>953</v>
      </c>
      <c r="D483" s="63" t="s">
        <v>1673</v>
      </c>
      <c r="E483" s="65">
        <v>45838</v>
      </c>
      <c r="F483" s="65">
        <v>45838</v>
      </c>
      <c r="G483" s="64">
        <v>7292.01</v>
      </c>
      <c r="H483" s="92"/>
    </row>
    <row r="484" spans="1:8" x14ac:dyDescent="0.3">
      <c r="A484" s="63" t="s">
        <v>1663</v>
      </c>
      <c r="B484" s="63" t="s">
        <v>1681</v>
      </c>
      <c r="C484" s="63" t="s">
        <v>953</v>
      </c>
      <c r="D484" s="63" t="s">
        <v>1673</v>
      </c>
      <c r="E484" s="65">
        <v>45838</v>
      </c>
      <c r="F484" s="65">
        <v>45838</v>
      </c>
      <c r="G484" s="64">
        <v>9183.93</v>
      </c>
      <c r="H484" s="92"/>
    </row>
    <row r="485" spans="1:8" x14ac:dyDescent="0.3">
      <c r="A485" s="63" t="s">
        <v>1682</v>
      </c>
      <c r="B485" s="63" t="s">
        <v>1683</v>
      </c>
      <c r="C485" s="63" t="s">
        <v>953</v>
      </c>
      <c r="D485" s="63" t="s">
        <v>953</v>
      </c>
      <c r="E485" s="65">
        <v>45105</v>
      </c>
      <c r="F485" s="65">
        <v>45105</v>
      </c>
      <c r="G485" s="64">
        <v>7282.5</v>
      </c>
      <c r="H485" s="92"/>
    </row>
    <row r="486" spans="1:8" x14ac:dyDescent="0.3">
      <c r="A486" s="63" t="s">
        <v>1684</v>
      </c>
      <c r="B486" s="63" t="s">
        <v>1685</v>
      </c>
      <c r="C486" s="63" t="s">
        <v>953</v>
      </c>
      <c r="D486" s="63" t="s">
        <v>1023</v>
      </c>
      <c r="E486" s="65">
        <v>45401</v>
      </c>
      <c r="F486" s="65">
        <v>45401</v>
      </c>
      <c r="G486" s="64">
        <v>796</v>
      </c>
      <c r="H486" s="92"/>
    </row>
    <row r="487" spans="1:8" x14ac:dyDescent="0.3">
      <c r="A487" s="63" t="s">
        <v>1684</v>
      </c>
      <c r="B487" s="63" t="s">
        <v>1686</v>
      </c>
      <c r="C487" s="63" t="s">
        <v>953</v>
      </c>
      <c r="D487" s="63" t="s">
        <v>953</v>
      </c>
      <c r="E487" s="65">
        <v>45534</v>
      </c>
      <c r="F487" s="65">
        <v>45534</v>
      </c>
      <c r="G487" s="64">
        <v>3971.91</v>
      </c>
      <c r="H487" s="92"/>
    </row>
    <row r="488" spans="1:8" x14ac:dyDescent="0.3">
      <c r="A488" s="63" t="s">
        <v>1684</v>
      </c>
      <c r="B488" s="63" t="s">
        <v>1687</v>
      </c>
      <c r="C488" s="63" t="s">
        <v>953</v>
      </c>
      <c r="D488" s="63" t="s">
        <v>953</v>
      </c>
      <c r="E488" s="65">
        <v>45586</v>
      </c>
      <c r="F488" s="65">
        <v>45586</v>
      </c>
      <c r="G488" s="64">
        <v>251.88</v>
      </c>
      <c r="H488" s="92"/>
    </row>
    <row r="489" spans="1:8" x14ac:dyDescent="0.3">
      <c r="A489" s="63" t="s">
        <v>1684</v>
      </c>
      <c r="B489" s="63" t="s">
        <v>1688</v>
      </c>
      <c r="C489" s="63" t="s">
        <v>953</v>
      </c>
      <c r="D489" s="63" t="s">
        <v>1689</v>
      </c>
      <c r="E489" s="65">
        <v>45588</v>
      </c>
      <c r="F489" s="65">
        <v>45588</v>
      </c>
      <c r="G489" s="64">
        <v>10941.57</v>
      </c>
      <c r="H489" s="92"/>
    </row>
    <row r="490" spans="1:8" x14ac:dyDescent="0.3">
      <c r="A490" s="63" t="s">
        <v>1684</v>
      </c>
      <c r="B490" s="63" t="s">
        <v>1690</v>
      </c>
      <c r="C490" s="63" t="s">
        <v>953</v>
      </c>
      <c r="D490" s="63" t="s">
        <v>1027</v>
      </c>
      <c r="E490" s="65">
        <v>45625</v>
      </c>
      <c r="F490" s="65">
        <v>45625</v>
      </c>
      <c r="G490" s="64">
        <v>10711.73</v>
      </c>
      <c r="H490" s="92"/>
    </row>
    <row r="491" spans="1:8" x14ac:dyDescent="0.3">
      <c r="A491" s="63" t="s">
        <v>1684</v>
      </c>
      <c r="B491" s="63" t="s">
        <v>1691</v>
      </c>
      <c r="C491" s="63" t="s">
        <v>953</v>
      </c>
      <c r="D491" s="63" t="s">
        <v>1010</v>
      </c>
      <c r="E491" s="65">
        <v>45838</v>
      </c>
      <c r="F491" s="65">
        <v>45838</v>
      </c>
      <c r="G491" s="64">
        <v>143.61000000000001</v>
      </c>
      <c r="H491" s="92"/>
    </row>
    <row r="492" spans="1:8" x14ac:dyDescent="0.3">
      <c r="A492" s="63" t="s">
        <v>1692</v>
      </c>
      <c r="B492" s="63" t="s">
        <v>1693</v>
      </c>
      <c r="C492" s="63" t="s">
        <v>953</v>
      </c>
      <c r="D492" s="63" t="s">
        <v>1694</v>
      </c>
      <c r="E492" s="65">
        <v>45733</v>
      </c>
      <c r="F492" s="65">
        <v>45733</v>
      </c>
      <c r="G492" s="64">
        <v>11357.89</v>
      </c>
      <c r="H492" s="92"/>
    </row>
    <row r="493" spans="1:8" x14ac:dyDescent="0.3">
      <c r="A493" s="63" t="s">
        <v>1695</v>
      </c>
      <c r="B493" s="63" t="s">
        <v>1696</v>
      </c>
      <c r="C493" s="63" t="s">
        <v>953</v>
      </c>
      <c r="D493" s="63" t="s">
        <v>1006</v>
      </c>
      <c r="E493" s="65">
        <v>45824</v>
      </c>
      <c r="F493" s="65">
        <v>45824</v>
      </c>
      <c r="G493" s="64">
        <v>2656.25</v>
      </c>
      <c r="H493" s="92"/>
    </row>
    <row r="494" spans="1:8" x14ac:dyDescent="0.3">
      <c r="A494" s="63" t="s">
        <v>1695</v>
      </c>
      <c r="B494" s="63" t="s">
        <v>1697</v>
      </c>
      <c r="C494" s="63" t="s">
        <v>953</v>
      </c>
      <c r="D494" s="63" t="s">
        <v>1698</v>
      </c>
      <c r="E494" s="65">
        <v>45824</v>
      </c>
      <c r="F494" s="65">
        <v>45824</v>
      </c>
      <c r="G494" s="64">
        <v>4746.2</v>
      </c>
      <c r="H494" s="92"/>
    </row>
    <row r="495" spans="1:8" x14ac:dyDescent="0.3">
      <c r="A495" s="63" t="s">
        <v>1695</v>
      </c>
      <c r="B495" s="63" t="s">
        <v>1699</v>
      </c>
      <c r="C495" s="63" t="s">
        <v>953</v>
      </c>
      <c r="D495" s="63" t="s">
        <v>1700</v>
      </c>
      <c r="E495" s="65">
        <v>45838</v>
      </c>
      <c r="F495" s="65">
        <v>45838</v>
      </c>
      <c r="G495" s="64">
        <v>10717.11</v>
      </c>
      <c r="H495" s="92"/>
    </row>
    <row r="496" spans="1:8" x14ac:dyDescent="0.3">
      <c r="A496" s="63" t="s">
        <v>1695</v>
      </c>
      <c r="B496" s="63" t="s">
        <v>1701</v>
      </c>
      <c r="C496" s="63" t="s">
        <v>953</v>
      </c>
      <c r="D496" s="63" t="s">
        <v>1702</v>
      </c>
      <c r="E496" s="65">
        <v>45838</v>
      </c>
      <c r="F496" s="65">
        <v>45838</v>
      </c>
      <c r="G496" s="64">
        <v>1504.84</v>
      </c>
      <c r="H496" s="92"/>
    </row>
    <row r="497" spans="1:8" x14ac:dyDescent="0.3">
      <c r="A497" s="63" t="s">
        <v>1695</v>
      </c>
      <c r="B497" s="63" t="s">
        <v>1703</v>
      </c>
      <c r="C497" s="63" t="s">
        <v>953</v>
      </c>
      <c r="D497" s="63" t="s">
        <v>1704</v>
      </c>
      <c r="E497" s="65">
        <v>45838</v>
      </c>
      <c r="F497" s="65">
        <v>45838</v>
      </c>
      <c r="G497" s="64">
        <v>3051.67</v>
      </c>
      <c r="H497" s="92"/>
    </row>
    <row r="498" spans="1:8" x14ac:dyDescent="0.3">
      <c r="A498" s="63" t="s">
        <v>1695</v>
      </c>
      <c r="B498" s="63" t="s">
        <v>1705</v>
      </c>
      <c r="C498" s="63" t="s">
        <v>953</v>
      </c>
      <c r="D498" s="63" t="s">
        <v>1706</v>
      </c>
      <c r="E498" s="65">
        <v>45838</v>
      </c>
      <c r="F498" s="65">
        <v>45838</v>
      </c>
      <c r="G498" s="64">
        <v>6195.86</v>
      </c>
      <c r="H498" s="92"/>
    </row>
    <row r="499" spans="1:8" x14ac:dyDescent="0.3">
      <c r="A499" s="63" t="s">
        <v>1695</v>
      </c>
      <c r="B499" s="63" t="s">
        <v>1707</v>
      </c>
      <c r="C499" s="63" t="s">
        <v>953</v>
      </c>
      <c r="D499" s="63" t="s">
        <v>1006</v>
      </c>
      <c r="E499" s="65">
        <v>45838</v>
      </c>
      <c r="F499" s="65">
        <v>45838</v>
      </c>
      <c r="G499" s="64">
        <v>48695.45</v>
      </c>
      <c r="H499" s="92"/>
    </row>
    <row r="500" spans="1:8" x14ac:dyDescent="0.3">
      <c r="A500" s="63" t="s">
        <v>1695</v>
      </c>
      <c r="B500" s="63" t="s">
        <v>1708</v>
      </c>
      <c r="C500" s="63" t="s">
        <v>953</v>
      </c>
      <c r="D500" s="63" t="s">
        <v>1700</v>
      </c>
      <c r="E500" s="65">
        <v>45838</v>
      </c>
      <c r="F500" s="65">
        <v>45838</v>
      </c>
      <c r="G500" s="64">
        <v>26077.23</v>
      </c>
      <c r="H500" s="92"/>
    </row>
    <row r="501" spans="1:8" x14ac:dyDescent="0.3">
      <c r="A501" s="63" t="s">
        <v>1709</v>
      </c>
      <c r="B501" s="63" t="s">
        <v>1710</v>
      </c>
      <c r="C501" s="63" t="s">
        <v>953</v>
      </c>
      <c r="D501" s="63" t="s">
        <v>1711</v>
      </c>
      <c r="E501" s="65">
        <v>45838</v>
      </c>
      <c r="F501" s="65">
        <v>45838</v>
      </c>
      <c r="G501" s="64">
        <v>31678.37</v>
      </c>
      <c r="H501" s="92"/>
    </row>
    <row r="502" spans="1:8" x14ac:dyDescent="0.3">
      <c r="A502" s="63" t="s">
        <v>1712</v>
      </c>
      <c r="B502" s="63" t="s">
        <v>1713</v>
      </c>
      <c r="C502" s="63" t="s">
        <v>1714</v>
      </c>
      <c r="D502" s="63" t="s">
        <v>953</v>
      </c>
      <c r="E502" s="65">
        <v>45428</v>
      </c>
      <c r="F502" s="65">
        <v>45428</v>
      </c>
      <c r="G502" s="64">
        <v>125</v>
      </c>
      <c r="H502" s="92"/>
    </row>
    <row r="503" spans="1:8" x14ac:dyDescent="0.3">
      <c r="A503" s="63" t="s">
        <v>1712</v>
      </c>
      <c r="B503" s="63" t="s">
        <v>1715</v>
      </c>
      <c r="C503" s="63" t="s">
        <v>1716</v>
      </c>
      <c r="D503" s="63" t="s">
        <v>953</v>
      </c>
      <c r="E503" s="65">
        <v>45838</v>
      </c>
      <c r="F503" s="65">
        <v>45838</v>
      </c>
      <c r="G503" s="64">
        <v>1875</v>
      </c>
      <c r="H503" s="92"/>
    </row>
    <row r="504" spans="1:8" x14ac:dyDescent="0.3">
      <c r="A504" s="63" t="s">
        <v>1712</v>
      </c>
      <c r="B504" s="63" t="s">
        <v>1717</v>
      </c>
      <c r="C504" s="63" t="s">
        <v>1718</v>
      </c>
      <c r="D504" s="63" t="s">
        <v>953</v>
      </c>
      <c r="E504" s="65">
        <v>45838</v>
      </c>
      <c r="F504" s="65">
        <v>45838</v>
      </c>
      <c r="G504" s="64">
        <v>12524.55</v>
      </c>
      <c r="H504" s="92"/>
    </row>
    <row r="505" spans="1:8" x14ac:dyDescent="0.3">
      <c r="A505" s="63" t="s">
        <v>1719</v>
      </c>
      <c r="B505" s="63" t="s">
        <v>1720</v>
      </c>
      <c r="C505" s="63" t="s">
        <v>953</v>
      </c>
      <c r="D505" s="63" t="s">
        <v>1721</v>
      </c>
      <c r="E505" s="65">
        <v>44886</v>
      </c>
      <c r="F505" s="65">
        <v>44886</v>
      </c>
      <c r="G505" s="64">
        <v>1674.08</v>
      </c>
      <c r="H505" s="92"/>
    </row>
    <row r="506" spans="1:8" x14ac:dyDescent="0.3">
      <c r="A506" s="63" t="s">
        <v>1719</v>
      </c>
      <c r="B506" s="63" t="s">
        <v>1722</v>
      </c>
      <c r="C506" s="63" t="s">
        <v>953</v>
      </c>
      <c r="D506" s="63" t="s">
        <v>1723</v>
      </c>
      <c r="E506" s="65">
        <v>45001</v>
      </c>
      <c r="F506" s="65">
        <v>45001</v>
      </c>
      <c r="G506" s="64">
        <v>1012</v>
      </c>
      <c r="H506" s="92"/>
    </row>
    <row r="507" spans="1:8" x14ac:dyDescent="0.3">
      <c r="A507" s="63" t="s">
        <v>1724</v>
      </c>
      <c r="B507" s="63" t="s">
        <v>1725</v>
      </c>
      <c r="C507" s="63" t="s">
        <v>953</v>
      </c>
      <c r="D507" s="63" t="s">
        <v>1726</v>
      </c>
      <c r="E507" s="65">
        <v>45562</v>
      </c>
      <c r="F507" s="65">
        <v>45562</v>
      </c>
      <c r="G507" s="64">
        <v>39790.19</v>
      </c>
      <c r="H507" s="92"/>
    </row>
    <row r="508" spans="1:8" x14ac:dyDescent="0.3">
      <c r="A508" s="63" t="s">
        <v>1724</v>
      </c>
      <c r="B508" s="63" t="s">
        <v>1727</v>
      </c>
      <c r="C508" s="63" t="s">
        <v>953</v>
      </c>
      <c r="D508" s="63" t="s">
        <v>1728</v>
      </c>
      <c r="E508" s="65">
        <v>45657</v>
      </c>
      <c r="F508" s="65">
        <v>45657</v>
      </c>
      <c r="G508" s="64">
        <v>15707.8</v>
      </c>
      <c r="H508" s="92"/>
    </row>
    <row r="509" spans="1:8" x14ac:dyDescent="0.3">
      <c r="A509" s="63" t="s">
        <v>1724</v>
      </c>
      <c r="B509" s="63" t="s">
        <v>1729</v>
      </c>
      <c r="C509" s="63" t="s">
        <v>953</v>
      </c>
      <c r="D509" s="63" t="s">
        <v>1730</v>
      </c>
      <c r="E509" s="65">
        <v>45660</v>
      </c>
      <c r="F509" s="65">
        <v>45664</v>
      </c>
      <c r="G509" s="64">
        <v>3709.62</v>
      </c>
      <c r="H509" s="92"/>
    </row>
    <row r="510" spans="1:8" x14ac:dyDescent="0.3">
      <c r="A510" s="63" t="s">
        <v>1724</v>
      </c>
      <c r="B510" s="63" t="s">
        <v>1731</v>
      </c>
      <c r="C510" s="63" t="s">
        <v>953</v>
      </c>
      <c r="D510" s="63" t="s">
        <v>1732</v>
      </c>
      <c r="E510" s="65">
        <v>45838</v>
      </c>
      <c r="F510" s="65">
        <v>45838</v>
      </c>
      <c r="G510" s="64">
        <v>4830</v>
      </c>
      <c r="H510" s="92"/>
    </row>
    <row r="511" spans="1:8" x14ac:dyDescent="0.3">
      <c r="A511" s="63" t="s">
        <v>1724</v>
      </c>
      <c r="B511" s="63" t="s">
        <v>1733</v>
      </c>
      <c r="C511" s="63" t="s">
        <v>953</v>
      </c>
      <c r="D511" s="63" t="s">
        <v>1734</v>
      </c>
      <c r="E511" s="65">
        <v>45838</v>
      </c>
      <c r="F511" s="65">
        <v>45838</v>
      </c>
      <c r="G511" s="64">
        <v>5496.76</v>
      </c>
      <c r="H511" s="92"/>
    </row>
    <row r="512" spans="1:8" x14ac:dyDescent="0.3">
      <c r="A512" s="63" t="s">
        <v>1724</v>
      </c>
      <c r="B512" s="63" t="s">
        <v>1735</v>
      </c>
      <c r="C512" s="63" t="s">
        <v>953</v>
      </c>
      <c r="D512" s="63" t="s">
        <v>1736</v>
      </c>
      <c r="E512" s="65">
        <v>45838</v>
      </c>
      <c r="F512" s="65">
        <v>45838</v>
      </c>
      <c r="G512" s="64">
        <v>969.83</v>
      </c>
      <c r="H512" s="92"/>
    </row>
    <row r="513" spans="1:8" x14ac:dyDescent="0.3">
      <c r="A513" s="63" t="s">
        <v>1724</v>
      </c>
      <c r="B513" s="63" t="s">
        <v>1737</v>
      </c>
      <c r="C513" s="63" t="s">
        <v>953</v>
      </c>
      <c r="D513" s="63" t="s">
        <v>1736</v>
      </c>
      <c r="E513" s="65">
        <v>45838</v>
      </c>
      <c r="F513" s="65">
        <v>45838</v>
      </c>
      <c r="G513" s="64">
        <v>1666.47</v>
      </c>
      <c r="H513" s="92"/>
    </row>
    <row r="514" spans="1:8" x14ac:dyDescent="0.3">
      <c r="A514" s="63" t="s">
        <v>1724</v>
      </c>
      <c r="B514" s="63" t="s">
        <v>1738</v>
      </c>
      <c r="C514" s="63" t="s">
        <v>953</v>
      </c>
      <c r="D514" s="63" t="s">
        <v>1736</v>
      </c>
      <c r="E514" s="65">
        <v>45838</v>
      </c>
      <c r="F514" s="65">
        <v>45838</v>
      </c>
      <c r="G514" s="64">
        <v>41.79</v>
      </c>
      <c r="H514" s="92"/>
    </row>
    <row r="515" spans="1:8" x14ac:dyDescent="0.3">
      <c r="A515" s="63" t="s">
        <v>1724</v>
      </c>
      <c r="B515" s="63" t="s">
        <v>1739</v>
      </c>
      <c r="C515" s="63" t="s">
        <v>953</v>
      </c>
      <c r="D515" s="63" t="s">
        <v>1740</v>
      </c>
      <c r="E515" s="65">
        <v>45838</v>
      </c>
      <c r="F515" s="65">
        <v>45838</v>
      </c>
      <c r="G515" s="64">
        <v>12203.95</v>
      </c>
      <c r="H515" s="92"/>
    </row>
    <row r="516" spans="1:8" x14ac:dyDescent="0.3">
      <c r="A516" s="63" t="s">
        <v>1724</v>
      </c>
      <c r="B516" s="63" t="s">
        <v>1741</v>
      </c>
      <c r="C516" s="63" t="s">
        <v>953</v>
      </c>
      <c r="D516" s="63" t="s">
        <v>1742</v>
      </c>
      <c r="E516" s="65">
        <v>45838</v>
      </c>
      <c r="F516" s="65">
        <v>45838</v>
      </c>
      <c r="G516" s="64">
        <v>2425.2600000000002</v>
      </c>
      <c r="H516" s="92"/>
    </row>
    <row r="517" spans="1:8" x14ac:dyDescent="0.3">
      <c r="A517" s="63" t="s">
        <v>1724</v>
      </c>
      <c r="B517" s="63" t="s">
        <v>1743</v>
      </c>
      <c r="C517" s="63" t="s">
        <v>953</v>
      </c>
      <c r="D517" s="63" t="s">
        <v>1744</v>
      </c>
      <c r="E517" s="65">
        <v>45838</v>
      </c>
      <c r="F517" s="65">
        <v>45838</v>
      </c>
      <c r="G517" s="64">
        <v>22144.35</v>
      </c>
      <c r="H517" s="92"/>
    </row>
    <row r="518" spans="1:8" x14ac:dyDescent="0.3">
      <c r="A518" s="63" t="s">
        <v>1724</v>
      </c>
      <c r="B518" s="63" t="s">
        <v>1745</v>
      </c>
      <c r="C518" s="63" t="s">
        <v>953</v>
      </c>
      <c r="D518" s="63" t="s">
        <v>1266</v>
      </c>
      <c r="E518" s="65">
        <v>45838</v>
      </c>
      <c r="F518" s="65">
        <v>45838</v>
      </c>
      <c r="G518" s="64">
        <v>4679.41</v>
      </c>
      <c r="H518" s="92"/>
    </row>
    <row r="519" spans="1:8" x14ac:dyDescent="0.3">
      <c r="A519" s="63" t="s">
        <v>1724</v>
      </c>
      <c r="B519" s="63" t="s">
        <v>1746</v>
      </c>
      <c r="C519" s="63" t="s">
        <v>953</v>
      </c>
      <c r="D519" s="63" t="s">
        <v>1747</v>
      </c>
      <c r="E519" s="65">
        <v>45838</v>
      </c>
      <c r="F519" s="65">
        <v>45838</v>
      </c>
      <c r="G519" s="64">
        <v>26764.75</v>
      </c>
      <c r="H519" s="92"/>
    </row>
    <row r="520" spans="1:8" x14ac:dyDescent="0.3">
      <c r="A520" s="63" t="s">
        <v>1724</v>
      </c>
      <c r="B520" s="63" t="s">
        <v>1748</v>
      </c>
      <c r="C520" s="63" t="s">
        <v>953</v>
      </c>
      <c r="D520" s="63" t="s">
        <v>1749</v>
      </c>
      <c r="E520" s="65">
        <v>45838</v>
      </c>
      <c r="F520" s="65">
        <v>45838</v>
      </c>
      <c r="G520" s="64">
        <v>1308.3499999999999</v>
      </c>
      <c r="H520" s="92"/>
    </row>
    <row r="521" spans="1:8" x14ac:dyDescent="0.3">
      <c r="A521" s="63" t="s">
        <v>1724</v>
      </c>
      <c r="B521" s="63" t="s">
        <v>1750</v>
      </c>
      <c r="C521" s="63" t="s">
        <v>953</v>
      </c>
      <c r="D521" s="63" t="s">
        <v>1751</v>
      </c>
      <c r="E521" s="65">
        <v>45838</v>
      </c>
      <c r="F521" s="65">
        <v>45838</v>
      </c>
      <c r="G521" s="64">
        <v>241.52</v>
      </c>
      <c r="H521" s="92"/>
    </row>
    <row r="522" spans="1:8" x14ac:dyDescent="0.3">
      <c r="A522" s="63" t="s">
        <v>1724</v>
      </c>
      <c r="B522" s="63" t="s">
        <v>1752</v>
      </c>
      <c r="C522" s="63" t="s">
        <v>953</v>
      </c>
      <c r="D522" s="63" t="s">
        <v>1751</v>
      </c>
      <c r="E522" s="65">
        <v>45838</v>
      </c>
      <c r="F522" s="65">
        <v>45838</v>
      </c>
      <c r="G522" s="64">
        <v>118.36</v>
      </c>
      <c r="H522" s="92"/>
    </row>
    <row r="523" spans="1:8" x14ac:dyDescent="0.3">
      <c r="A523" s="63" t="s">
        <v>1724</v>
      </c>
      <c r="B523" s="63" t="s">
        <v>1753</v>
      </c>
      <c r="C523" s="63" t="s">
        <v>953</v>
      </c>
      <c r="D523" s="63" t="s">
        <v>1754</v>
      </c>
      <c r="E523" s="65">
        <v>45838</v>
      </c>
      <c r="F523" s="65">
        <v>45838</v>
      </c>
      <c r="G523" s="64">
        <v>88.15</v>
      </c>
      <c r="H523" s="92"/>
    </row>
    <row r="524" spans="1:8" x14ac:dyDescent="0.3">
      <c r="A524" s="63" t="s">
        <v>1724</v>
      </c>
      <c r="B524" s="63" t="s">
        <v>1755</v>
      </c>
      <c r="C524" s="63" t="s">
        <v>953</v>
      </c>
      <c r="D524" s="63" t="s">
        <v>1730</v>
      </c>
      <c r="E524" s="65">
        <v>45838</v>
      </c>
      <c r="F524" s="65">
        <v>45838</v>
      </c>
      <c r="G524" s="64">
        <v>586.16</v>
      </c>
      <c r="H524" s="92"/>
    </row>
    <row r="525" spans="1:8" x14ac:dyDescent="0.3">
      <c r="A525" s="63" t="s">
        <v>1724</v>
      </c>
      <c r="B525" s="63" t="s">
        <v>1756</v>
      </c>
      <c r="C525" s="63" t="s">
        <v>953</v>
      </c>
      <c r="D525" s="63" t="s">
        <v>953</v>
      </c>
      <c r="E525" s="65">
        <v>45838</v>
      </c>
      <c r="F525" s="65">
        <v>45838</v>
      </c>
      <c r="G525" s="64">
        <v>8710.4500000000007</v>
      </c>
      <c r="H525" s="92"/>
    </row>
    <row r="526" spans="1:8" x14ac:dyDescent="0.3">
      <c r="A526" s="63" t="s">
        <v>1757</v>
      </c>
      <c r="B526" s="63" t="s">
        <v>1758</v>
      </c>
      <c r="C526" s="63" t="s">
        <v>953</v>
      </c>
      <c r="D526" s="63" t="s">
        <v>953</v>
      </c>
      <c r="E526" s="65">
        <v>45446</v>
      </c>
      <c r="F526" s="65">
        <v>45446</v>
      </c>
      <c r="G526" s="64">
        <v>613.83000000000004</v>
      </c>
      <c r="H526" s="92"/>
    </row>
    <row r="527" spans="1:8" x14ac:dyDescent="0.3">
      <c r="A527" s="63" t="s">
        <v>1757</v>
      </c>
      <c r="B527" s="63" t="s">
        <v>1759</v>
      </c>
      <c r="C527" s="63" t="s">
        <v>953</v>
      </c>
      <c r="D527" s="63" t="s">
        <v>1760</v>
      </c>
      <c r="E527" s="65">
        <v>45596</v>
      </c>
      <c r="F527" s="65">
        <v>45596</v>
      </c>
      <c r="G527" s="64">
        <v>5421.8</v>
      </c>
      <c r="H527" s="92"/>
    </row>
    <row r="528" spans="1:8" x14ac:dyDescent="0.3">
      <c r="A528" s="63" t="s">
        <v>1757</v>
      </c>
      <c r="B528" s="63" t="s">
        <v>1761</v>
      </c>
      <c r="C528" s="63" t="s">
        <v>953</v>
      </c>
      <c r="D528" s="63" t="s">
        <v>1762</v>
      </c>
      <c r="E528" s="65">
        <v>45596</v>
      </c>
      <c r="F528" s="65">
        <v>45596</v>
      </c>
      <c r="G528" s="64">
        <v>2403.4</v>
      </c>
      <c r="H528" s="92"/>
    </row>
    <row r="529" spans="1:8" x14ac:dyDescent="0.3">
      <c r="A529" s="63" t="s">
        <v>1757</v>
      </c>
      <c r="B529" s="63" t="s">
        <v>1763</v>
      </c>
      <c r="C529" s="63" t="s">
        <v>953</v>
      </c>
      <c r="D529" s="63" t="s">
        <v>1762</v>
      </c>
      <c r="E529" s="65">
        <v>45607</v>
      </c>
      <c r="F529" s="65">
        <v>45607</v>
      </c>
      <c r="G529" s="64">
        <v>4080.9</v>
      </c>
      <c r="H529" s="92"/>
    </row>
    <row r="530" spans="1:8" x14ac:dyDescent="0.3">
      <c r="A530" s="63" t="s">
        <v>1757</v>
      </c>
      <c r="B530" s="63" t="s">
        <v>1764</v>
      </c>
      <c r="C530" s="63" t="s">
        <v>953</v>
      </c>
      <c r="D530" s="63" t="s">
        <v>1760</v>
      </c>
      <c r="E530" s="65">
        <v>45628</v>
      </c>
      <c r="F530" s="65">
        <v>45628</v>
      </c>
      <c r="G530" s="64">
        <v>7620.4</v>
      </c>
      <c r="H530" s="92"/>
    </row>
    <row r="531" spans="1:8" x14ac:dyDescent="0.3">
      <c r="A531" s="63" t="s">
        <v>1757</v>
      </c>
      <c r="B531" s="63" t="s">
        <v>1765</v>
      </c>
      <c r="C531" s="63" t="s">
        <v>953</v>
      </c>
      <c r="D531" s="63" t="s">
        <v>1766</v>
      </c>
      <c r="E531" s="65">
        <v>45824</v>
      </c>
      <c r="F531" s="65">
        <v>45824</v>
      </c>
      <c r="G531" s="64">
        <v>6318.06</v>
      </c>
      <c r="H531" s="92"/>
    </row>
    <row r="532" spans="1:8" x14ac:dyDescent="0.3">
      <c r="A532" s="63" t="s">
        <v>1757</v>
      </c>
      <c r="B532" s="63" t="s">
        <v>1767</v>
      </c>
      <c r="C532" s="63" t="s">
        <v>953</v>
      </c>
      <c r="D532" s="63" t="s">
        <v>1768</v>
      </c>
      <c r="E532" s="65">
        <v>45824</v>
      </c>
      <c r="F532" s="65">
        <v>45824</v>
      </c>
      <c r="G532" s="64">
        <v>11522.61</v>
      </c>
      <c r="H532" s="92"/>
    </row>
    <row r="533" spans="1:8" x14ac:dyDescent="0.3">
      <c r="A533" s="63" t="s">
        <v>1757</v>
      </c>
      <c r="B533" s="63" t="s">
        <v>1769</v>
      </c>
      <c r="C533" s="63" t="s">
        <v>953</v>
      </c>
      <c r="D533" s="63" t="s">
        <v>1770</v>
      </c>
      <c r="E533" s="65">
        <v>45824</v>
      </c>
      <c r="F533" s="65">
        <v>45824</v>
      </c>
      <c r="G533" s="64">
        <v>122.98</v>
      </c>
      <c r="H533" s="92"/>
    </row>
    <row r="534" spans="1:8" x14ac:dyDescent="0.3">
      <c r="A534" s="63" t="s">
        <v>1757</v>
      </c>
      <c r="B534" s="63" t="s">
        <v>1771</v>
      </c>
      <c r="C534" s="63" t="s">
        <v>953</v>
      </c>
      <c r="D534" s="63" t="s">
        <v>1772</v>
      </c>
      <c r="E534" s="65">
        <v>45838</v>
      </c>
      <c r="F534" s="65">
        <v>45838</v>
      </c>
      <c r="G534" s="64">
        <v>9520.06</v>
      </c>
      <c r="H534" s="92"/>
    </row>
    <row r="535" spans="1:8" x14ac:dyDescent="0.3">
      <c r="A535" s="63" t="s">
        <v>1757</v>
      </c>
      <c r="B535" s="63" t="s">
        <v>1773</v>
      </c>
      <c r="C535" s="63" t="s">
        <v>953</v>
      </c>
      <c r="D535" s="63" t="s">
        <v>1774</v>
      </c>
      <c r="E535" s="65">
        <v>45838</v>
      </c>
      <c r="F535" s="65">
        <v>45838</v>
      </c>
      <c r="G535" s="64">
        <v>496.86</v>
      </c>
      <c r="H535" s="92"/>
    </row>
    <row r="536" spans="1:8" x14ac:dyDescent="0.3">
      <c r="A536" s="63" t="s">
        <v>1757</v>
      </c>
      <c r="B536" s="63" t="s">
        <v>1775</v>
      </c>
      <c r="C536" s="63" t="s">
        <v>953</v>
      </c>
      <c r="D536" s="63" t="s">
        <v>1479</v>
      </c>
      <c r="E536" s="65">
        <v>45838</v>
      </c>
      <c r="F536" s="65">
        <v>45838</v>
      </c>
      <c r="G536" s="64">
        <v>483.44</v>
      </c>
      <c r="H536" s="92"/>
    </row>
    <row r="537" spans="1:8" x14ac:dyDescent="0.3">
      <c r="A537" s="63" t="s">
        <v>1757</v>
      </c>
      <c r="B537" s="63" t="s">
        <v>1776</v>
      </c>
      <c r="C537" s="63" t="s">
        <v>953</v>
      </c>
      <c r="D537" s="63" t="s">
        <v>1760</v>
      </c>
      <c r="E537" s="65">
        <v>45838</v>
      </c>
      <c r="F537" s="65">
        <v>45838</v>
      </c>
      <c r="G537" s="64">
        <v>2080</v>
      </c>
      <c r="H537" s="92"/>
    </row>
    <row r="538" spans="1:8" x14ac:dyDescent="0.3">
      <c r="A538" s="63" t="s">
        <v>1757</v>
      </c>
      <c r="B538" s="63" t="s">
        <v>1777</v>
      </c>
      <c r="C538" s="63" t="s">
        <v>953</v>
      </c>
      <c r="D538" s="63" t="s">
        <v>1762</v>
      </c>
      <c r="E538" s="65">
        <v>45838</v>
      </c>
      <c r="F538" s="65">
        <v>45838</v>
      </c>
      <c r="G538" s="64">
        <v>2569.2199999999998</v>
      </c>
      <c r="H538" s="92"/>
    </row>
    <row r="539" spans="1:8" x14ac:dyDescent="0.3">
      <c r="A539" s="63" t="s">
        <v>1778</v>
      </c>
      <c r="B539" s="63" t="s">
        <v>1779</v>
      </c>
      <c r="C539" s="63" t="s">
        <v>1780</v>
      </c>
      <c r="D539" s="63" t="s">
        <v>1781</v>
      </c>
      <c r="E539" s="65">
        <v>45113</v>
      </c>
      <c r="F539" s="65">
        <v>45113</v>
      </c>
      <c r="G539" s="64">
        <v>13576.4</v>
      </c>
      <c r="H539" s="92"/>
    </row>
    <row r="540" spans="1:8" x14ac:dyDescent="0.3">
      <c r="A540" s="63" t="s">
        <v>1782</v>
      </c>
      <c r="B540" s="63" t="s">
        <v>1783</v>
      </c>
      <c r="C540" s="63" t="s">
        <v>953</v>
      </c>
      <c r="D540" s="63" t="s">
        <v>1784</v>
      </c>
      <c r="E540" s="65">
        <v>45334</v>
      </c>
      <c r="F540" s="65">
        <v>45334</v>
      </c>
      <c r="G540" s="64">
        <v>1872.72</v>
      </c>
      <c r="H540" s="92"/>
    </row>
    <row r="541" spans="1:8" x14ac:dyDescent="0.3">
      <c r="A541" s="63" t="s">
        <v>1782</v>
      </c>
      <c r="B541" s="63" t="s">
        <v>1785</v>
      </c>
      <c r="C541" s="63" t="s">
        <v>953</v>
      </c>
      <c r="D541" s="63" t="s">
        <v>1786</v>
      </c>
      <c r="E541" s="65">
        <v>45348</v>
      </c>
      <c r="F541" s="65">
        <v>45348</v>
      </c>
      <c r="G541" s="64">
        <v>7.92</v>
      </c>
      <c r="H541" s="92"/>
    </row>
    <row r="542" spans="1:8" x14ac:dyDescent="0.3">
      <c r="A542" s="63" t="s">
        <v>1782</v>
      </c>
      <c r="B542" s="63" t="s">
        <v>1787</v>
      </c>
      <c r="C542" s="63" t="s">
        <v>953</v>
      </c>
      <c r="D542" s="63" t="s">
        <v>1788</v>
      </c>
      <c r="E542" s="65">
        <v>45408</v>
      </c>
      <c r="F542" s="65">
        <v>45408</v>
      </c>
      <c r="G542" s="64">
        <v>1934.94</v>
      </c>
      <c r="H542" s="92"/>
    </row>
    <row r="543" spans="1:8" x14ac:dyDescent="0.3">
      <c r="A543" s="63" t="s">
        <v>1782</v>
      </c>
      <c r="B543" s="63" t="s">
        <v>1789</v>
      </c>
      <c r="C543" s="63" t="s">
        <v>953</v>
      </c>
      <c r="D543" s="63" t="s">
        <v>1790</v>
      </c>
      <c r="E543" s="65">
        <v>45408</v>
      </c>
      <c r="F543" s="65">
        <v>45408</v>
      </c>
      <c r="G543" s="64">
        <v>899.77</v>
      </c>
      <c r="H543" s="92"/>
    </row>
    <row r="544" spans="1:8" x14ac:dyDescent="0.3">
      <c r="A544" s="63" t="s">
        <v>1782</v>
      </c>
      <c r="B544" s="63" t="s">
        <v>1791</v>
      </c>
      <c r="C544" s="63" t="s">
        <v>953</v>
      </c>
      <c r="D544" s="63" t="s">
        <v>1792</v>
      </c>
      <c r="E544" s="65">
        <v>45408</v>
      </c>
      <c r="F544" s="65">
        <v>45408</v>
      </c>
      <c r="G544" s="64">
        <v>4559.07</v>
      </c>
      <c r="H544" s="92"/>
    </row>
    <row r="545" spans="1:8" x14ac:dyDescent="0.3">
      <c r="A545" s="63" t="s">
        <v>1782</v>
      </c>
      <c r="B545" s="63" t="s">
        <v>1793</v>
      </c>
      <c r="C545" s="63" t="s">
        <v>953</v>
      </c>
      <c r="D545" s="63" t="s">
        <v>1794</v>
      </c>
      <c r="E545" s="65">
        <v>45408</v>
      </c>
      <c r="F545" s="65">
        <v>45408</v>
      </c>
      <c r="G545" s="64">
        <v>288.98</v>
      </c>
      <c r="H545" s="92"/>
    </row>
    <row r="546" spans="1:8" x14ac:dyDescent="0.3">
      <c r="A546" s="63" t="s">
        <v>1782</v>
      </c>
      <c r="B546" s="63" t="s">
        <v>1795</v>
      </c>
      <c r="C546" s="63" t="s">
        <v>953</v>
      </c>
      <c r="D546" s="63" t="s">
        <v>1796</v>
      </c>
      <c r="E546" s="65">
        <v>45408</v>
      </c>
      <c r="F546" s="65">
        <v>45408</v>
      </c>
      <c r="G546" s="64">
        <v>601.70000000000005</v>
      </c>
      <c r="H546" s="92"/>
    </row>
    <row r="547" spans="1:8" x14ac:dyDescent="0.3">
      <c r="A547" s="63" t="s">
        <v>1782</v>
      </c>
      <c r="B547" s="63" t="s">
        <v>1797</v>
      </c>
      <c r="C547" s="63" t="s">
        <v>953</v>
      </c>
      <c r="D547" s="63" t="s">
        <v>1798</v>
      </c>
      <c r="E547" s="65">
        <v>45408</v>
      </c>
      <c r="F547" s="65">
        <v>45408</v>
      </c>
      <c r="G547" s="64">
        <v>2636.76</v>
      </c>
      <c r="H547" s="92"/>
    </row>
    <row r="548" spans="1:8" x14ac:dyDescent="0.3">
      <c r="A548" s="63" t="s">
        <v>1782</v>
      </c>
      <c r="B548" s="63" t="s">
        <v>1799</v>
      </c>
      <c r="C548" s="63" t="s">
        <v>953</v>
      </c>
      <c r="D548" s="63" t="s">
        <v>1800</v>
      </c>
      <c r="E548" s="65">
        <v>45408</v>
      </c>
      <c r="F548" s="65">
        <v>45412</v>
      </c>
      <c r="G548" s="64">
        <v>1009.92</v>
      </c>
      <c r="H548" s="92"/>
    </row>
    <row r="549" spans="1:8" x14ac:dyDescent="0.3">
      <c r="A549" s="63" t="s">
        <v>1782</v>
      </c>
      <c r="B549" s="63" t="s">
        <v>1801</v>
      </c>
      <c r="C549" s="63" t="s">
        <v>953</v>
      </c>
      <c r="D549" s="63" t="s">
        <v>1802</v>
      </c>
      <c r="E549" s="65">
        <v>45420</v>
      </c>
      <c r="F549" s="65">
        <v>45420</v>
      </c>
      <c r="G549" s="64">
        <v>8677.49</v>
      </c>
      <c r="H549" s="92"/>
    </row>
    <row r="550" spans="1:8" x14ac:dyDescent="0.3">
      <c r="A550" s="63" t="s">
        <v>1782</v>
      </c>
      <c r="B550" s="63" t="s">
        <v>1803</v>
      </c>
      <c r="C550" s="63" t="s">
        <v>953</v>
      </c>
      <c r="D550" s="63" t="s">
        <v>1804</v>
      </c>
      <c r="E550" s="65">
        <v>45443</v>
      </c>
      <c r="F550" s="65">
        <v>45443</v>
      </c>
      <c r="G550" s="64">
        <v>5178.57</v>
      </c>
      <c r="H550" s="92"/>
    </row>
    <row r="551" spans="1:8" x14ac:dyDescent="0.3">
      <c r="A551" s="63" t="s">
        <v>1782</v>
      </c>
      <c r="B551" s="63" t="s">
        <v>1805</v>
      </c>
      <c r="C551" s="63" t="s">
        <v>953</v>
      </c>
      <c r="D551" s="63" t="s">
        <v>1790</v>
      </c>
      <c r="E551" s="65">
        <v>45443</v>
      </c>
      <c r="F551" s="65">
        <v>45443</v>
      </c>
      <c r="G551" s="64">
        <v>127.12</v>
      </c>
      <c r="H551" s="92"/>
    </row>
    <row r="552" spans="1:8" x14ac:dyDescent="0.3">
      <c r="A552" s="63" t="s">
        <v>1782</v>
      </c>
      <c r="B552" s="63" t="s">
        <v>1806</v>
      </c>
      <c r="C552" s="63" t="s">
        <v>953</v>
      </c>
      <c r="D552" s="63" t="s">
        <v>986</v>
      </c>
      <c r="E552" s="65">
        <v>45443</v>
      </c>
      <c r="F552" s="65">
        <v>45443</v>
      </c>
      <c r="G552" s="64">
        <v>10382.61</v>
      </c>
      <c r="H552" s="92"/>
    </row>
    <row r="553" spans="1:8" x14ac:dyDescent="0.3">
      <c r="A553" s="63" t="s">
        <v>1782</v>
      </c>
      <c r="B553" s="63" t="s">
        <v>1807</v>
      </c>
      <c r="C553" s="63" t="s">
        <v>953</v>
      </c>
      <c r="D553" s="63" t="s">
        <v>1808</v>
      </c>
      <c r="E553" s="65">
        <v>45443</v>
      </c>
      <c r="F553" s="65">
        <v>45443</v>
      </c>
      <c r="G553" s="64">
        <v>32161.9</v>
      </c>
      <c r="H553" s="92"/>
    </row>
    <row r="554" spans="1:8" x14ac:dyDescent="0.3">
      <c r="A554" s="63" t="s">
        <v>1782</v>
      </c>
      <c r="B554" s="63" t="s">
        <v>1809</v>
      </c>
      <c r="C554" s="63" t="s">
        <v>953</v>
      </c>
      <c r="D554" s="63" t="s">
        <v>1810</v>
      </c>
      <c r="E554" s="65">
        <v>45443</v>
      </c>
      <c r="F554" s="65">
        <v>45443</v>
      </c>
      <c r="G554" s="64">
        <v>8072.56</v>
      </c>
      <c r="H554" s="92"/>
    </row>
    <row r="555" spans="1:8" x14ac:dyDescent="0.3">
      <c r="A555" s="63" t="s">
        <v>1782</v>
      </c>
      <c r="B555" s="63" t="s">
        <v>1811</v>
      </c>
      <c r="C555" s="63" t="s">
        <v>953</v>
      </c>
      <c r="D555" s="63" t="s">
        <v>1812</v>
      </c>
      <c r="E555" s="65">
        <v>45444</v>
      </c>
      <c r="F555" s="65">
        <v>45444</v>
      </c>
      <c r="G555" s="64">
        <v>12388.37</v>
      </c>
      <c r="H555" s="92"/>
    </row>
    <row r="556" spans="1:8" x14ac:dyDescent="0.3">
      <c r="A556" s="63" t="s">
        <v>1782</v>
      </c>
      <c r="B556" s="63" t="s">
        <v>1813</v>
      </c>
      <c r="C556" s="63" t="s">
        <v>953</v>
      </c>
      <c r="D556" s="63" t="s">
        <v>1798</v>
      </c>
      <c r="E556" s="65">
        <v>45455</v>
      </c>
      <c r="F556" s="65">
        <v>45455</v>
      </c>
      <c r="G556" s="64">
        <v>34.020000000000003</v>
      </c>
      <c r="H556" s="92"/>
    </row>
    <row r="557" spans="1:8" x14ac:dyDescent="0.3">
      <c r="A557" s="63" t="s">
        <v>1782</v>
      </c>
      <c r="B557" s="63" t="s">
        <v>1814</v>
      </c>
      <c r="C557" s="63" t="s">
        <v>953</v>
      </c>
      <c r="D557" s="63" t="s">
        <v>1815</v>
      </c>
      <c r="E557" s="65">
        <v>45838</v>
      </c>
      <c r="F557" s="65">
        <v>45838</v>
      </c>
      <c r="G557" s="64">
        <v>5826.96</v>
      </c>
      <c r="H557" s="92"/>
    </row>
    <row r="558" spans="1:8" x14ac:dyDescent="0.3">
      <c r="A558" s="63" t="s">
        <v>1782</v>
      </c>
      <c r="B558" s="63" t="s">
        <v>1816</v>
      </c>
      <c r="C558" s="63" t="s">
        <v>953</v>
      </c>
      <c r="D558" s="63" t="s">
        <v>1790</v>
      </c>
      <c r="E558" s="65">
        <v>45838</v>
      </c>
      <c r="F558" s="65">
        <v>45838</v>
      </c>
      <c r="G558" s="64">
        <v>9849.7199999999993</v>
      </c>
      <c r="H558" s="92"/>
    </row>
    <row r="559" spans="1:8" x14ac:dyDescent="0.3">
      <c r="A559" s="63" t="s">
        <v>1782</v>
      </c>
      <c r="B559" s="63" t="s">
        <v>1817</v>
      </c>
      <c r="C559" s="63" t="s">
        <v>953</v>
      </c>
      <c r="D559" s="63" t="s">
        <v>1802</v>
      </c>
      <c r="E559" s="65">
        <v>45838</v>
      </c>
      <c r="F559" s="65">
        <v>45838</v>
      </c>
      <c r="G559" s="64">
        <v>3003.75</v>
      </c>
      <c r="H559" s="92"/>
    </row>
    <row r="560" spans="1:8" x14ac:dyDescent="0.3">
      <c r="A560" s="63" t="s">
        <v>1782</v>
      </c>
      <c r="B560" s="63" t="s">
        <v>1818</v>
      </c>
      <c r="C560" s="63" t="s">
        <v>953</v>
      </c>
      <c r="D560" s="63" t="s">
        <v>1617</v>
      </c>
      <c r="E560" s="65">
        <v>45838</v>
      </c>
      <c r="F560" s="65">
        <v>45838</v>
      </c>
      <c r="G560" s="64">
        <v>236.35</v>
      </c>
      <c r="H560" s="92"/>
    </row>
    <row r="561" spans="1:8" x14ac:dyDescent="0.3">
      <c r="A561" s="63" t="s">
        <v>1782</v>
      </c>
      <c r="B561" s="63" t="s">
        <v>1819</v>
      </c>
      <c r="C561" s="63" t="s">
        <v>953</v>
      </c>
      <c r="D561" s="63" t="s">
        <v>1617</v>
      </c>
      <c r="E561" s="65">
        <v>45838</v>
      </c>
      <c r="F561" s="65">
        <v>45838</v>
      </c>
      <c r="G561" s="64">
        <v>11755.35</v>
      </c>
      <c r="H561" s="92"/>
    </row>
    <row r="562" spans="1:8" x14ac:dyDescent="0.3">
      <c r="A562" s="63" t="s">
        <v>1782</v>
      </c>
      <c r="B562" s="63" t="s">
        <v>1820</v>
      </c>
      <c r="C562" s="63" t="s">
        <v>953</v>
      </c>
      <c r="D562" s="63" t="s">
        <v>1808</v>
      </c>
      <c r="E562" s="65">
        <v>45838</v>
      </c>
      <c r="F562" s="65">
        <v>45838</v>
      </c>
      <c r="G562" s="64">
        <v>1053</v>
      </c>
      <c r="H562" s="92"/>
    </row>
    <row r="563" spans="1:8" x14ac:dyDescent="0.3">
      <c r="A563" s="63" t="s">
        <v>1782</v>
      </c>
      <c r="B563" s="63" t="s">
        <v>1821</v>
      </c>
      <c r="C563" s="63" t="s">
        <v>953</v>
      </c>
      <c r="D563" s="63" t="s">
        <v>1822</v>
      </c>
      <c r="E563" s="65">
        <v>45838</v>
      </c>
      <c r="F563" s="65">
        <v>45838</v>
      </c>
      <c r="G563" s="64">
        <v>6772.33</v>
      </c>
      <c r="H563" s="92"/>
    </row>
    <row r="564" spans="1:8" x14ac:dyDescent="0.3">
      <c r="A564" s="63" t="s">
        <v>1782</v>
      </c>
      <c r="B564" s="63" t="s">
        <v>1823</v>
      </c>
      <c r="C564" s="63" t="s">
        <v>953</v>
      </c>
      <c r="D564" s="63" t="s">
        <v>1796</v>
      </c>
      <c r="E564" s="65">
        <v>45838</v>
      </c>
      <c r="F564" s="65">
        <v>45838</v>
      </c>
      <c r="G564" s="64">
        <v>892.96</v>
      </c>
      <c r="H564" s="92"/>
    </row>
    <row r="565" spans="1:8" x14ac:dyDescent="0.3">
      <c r="A565" s="63" t="s">
        <v>1782</v>
      </c>
      <c r="B565" s="63" t="s">
        <v>1824</v>
      </c>
      <c r="C565" s="63" t="s">
        <v>953</v>
      </c>
      <c r="D565" s="63" t="s">
        <v>1812</v>
      </c>
      <c r="E565" s="65">
        <v>45838</v>
      </c>
      <c r="F565" s="65">
        <v>45838</v>
      </c>
      <c r="G565" s="64">
        <v>3021.42</v>
      </c>
      <c r="H565" s="92"/>
    </row>
    <row r="566" spans="1:8" x14ac:dyDescent="0.3">
      <c r="A566" s="63" t="s">
        <v>1782</v>
      </c>
      <c r="B566" s="63" t="s">
        <v>1825</v>
      </c>
      <c r="C566" s="63" t="s">
        <v>953</v>
      </c>
      <c r="D566" s="63" t="s">
        <v>1798</v>
      </c>
      <c r="E566" s="65">
        <v>45838</v>
      </c>
      <c r="F566" s="65">
        <v>45838</v>
      </c>
      <c r="G566" s="64">
        <v>991.68</v>
      </c>
      <c r="H566" s="92"/>
    </row>
    <row r="567" spans="1:8" x14ac:dyDescent="0.3">
      <c r="A567" s="63" t="s">
        <v>1782</v>
      </c>
      <c r="B567" s="63" t="s">
        <v>1826</v>
      </c>
      <c r="C567" s="63" t="s">
        <v>953</v>
      </c>
      <c r="D567" s="63" t="s">
        <v>1827</v>
      </c>
      <c r="E567" s="65">
        <v>45838</v>
      </c>
      <c r="F567" s="65">
        <v>45838</v>
      </c>
      <c r="G567" s="64">
        <v>62.81</v>
      </c>
      <c r="H567" s="92"/>
    </row>
    <row r="568" spans="1:8" x14ac:dyDescent="0.3">
      <c r="A568" s="63" t="s">
        <v>1782</v>
      </c>
      <c r="B568" s="63" t="s">
        <v>1828</v>
      </c>
      <c r="C568" s="63" t="s">
        <v>953</v>
      </c>
      <c r="D568" s="63" t="s">
        <v>1827</v>
      </c>
      <c r="E568" s="65">
        <v>45838</v>
      </c>
      <c r="F568" s="65">
        <v>45838</v>
      </c>
      <c r="G568" s="64">
        <v>59.22</v>
      </c>
      <c r="H568" s="92"/>
    </row>
    <row r="569" spans="1:8" x14ac:dyDescent="0.3">
      <c r="A569" s="63" t="s">
        <v>1782</v>
      </c>
      <c r="B569" s="63" t="s">
        <v>1829</v>
      </c>
      <c r="C569" s="63" t="s">
        <v>953</v>
      </c>
      <c r="D569" s="63" t="s">
        <v>1786</v>
      </c>
      <c r="E569" s="65">
        <v>45838</v>
      </c>
      <c r="F569" s="65">
        <v>45838</v>
      </c>
      <c r="G569" s="64">
        <v>283.86</v>
      </c>
      <c r="H569" s="92"/>
    </row>
    <row r="570" spans="1:8" x14ac:dyDescent="0.3">
      <c r="A570" s="63" t="s">
        <v>1782</v>
      </c>
      <c r="B570" s="63" t="s">
        <v>1830</v>
      </c>
      <c r="C570" s="63" t="s">
        <v>953</v>
      </c>
      <c r="D570" s="63" t="s">
        <v>1786</v>
      </c>
      <c r="E570" s="65">
        <v>45838</v>
      </c>
      <c r="F570" s="65">
        <v>45838</v>
      </c>
      <c r="G570" s="64">
        <v>10730.66</v>
      </c>
      <c r="H570" s="92"/>
    </row>
    <row r="571" spans="1:8" x14ac:dyDescent="0.3">
      <c r="A571" s="63" t="s">
        <v>1782</v>
      </c>
      <c r="B571" s="63" t="s">
        <v>1831</v>
      </c>
      <c r="C571" s="63" t="s">
        <v>953</v>
      </c>
      <c r="D571" s="63" t="s">
        <v>1784</v>
      </c>
      <c r="E571" s="65">
        <v>45838</v>
      </c>
      <c r="F571" s="65">
        <v>45838</v>
      </c>
      <c r="G571" s="64">
        <v>4651.78</v>
      </c>
      <c r="H571" s="92"/>
    </row>
    <row r="572" spans="1:8" x14ac:dyDescent="0.3">
      <c r="A572" s="63" t="s">
        <v>1782</v>
      </c>
      <c r="B572" s="63" t="s">
        <v>1832</v>
      </c>
      <c r="C572" s="63" t="s">
        <v>953</v>
      </c>
      <c r="D572" s="63" t="s">
        <v>1784</v>
      </c>
      <c r="E572" s="65">
        <v>45838</v>
      </c>
      <c r="F572" s="65">
        <v>45838</v>
      </c>
      <c r="G572" s="64">
        <v>59.91</v>
      </c>
      <c r="H572" s="92"/>
    </row>
    <row r="573" spans="1:8" x14ac:dyDescent="0.3">
      <c r="A573" s="63" t="s">
        <v>1782</v>
      </c>
      <c r="B573" s="63" t="s">
        <v>1833</v>
      </c>
      <c r="C573" s="63" t="s">
        <v>953</v>
      </c>
      <c r="D573" s="63" t="s">
        <v>1784</v>
      </c>
      <c r="E573" s="65">
        <v>45838</v>
      </c>
      <c r="F573" s="65">
        <v>45838</v>
      </c>
      <c r="G573" s="64">
        <v>324.29000000000002</v>
      </c>
      <c r="H573" s="92"/>
    </row>
    <row r="574" spans="1:8" x14ac:dyDescent="0.3">
      <c r="A574" s="63" t="s">
        <v>1782</v>
      </c>
      <c r="B574" s="63" t="s">
        <v>1834</v>
      </c>
      <c r="C574" s="63" t="s">
        <v>953</v>
      </c>
      <c r="D574" s="63" t="s">
        <v>1835</v>
      </c>
      <c r="E574" s="65">
        <v>45838</v>
      </c>
      <c r="F574" s="65">
        <v>45838</v>
      </c>
      <c r="G574" s="64">
        <v>1688.12</v>
      </c>
      <c r="H574" s="92"/>
    </row>
    <row r="575" spans="1:8" x14ac:dyDescent="0.3">
      <c r="A575" s="63" t="s">
        <v>1836</v>
      </c>
      <c r="B575" s="63" t="s">
        <v>1837</v>
      </c>
      <c r="C575" s="63" t="s">
        <v>953</v>
      </c>
      <c r="D575" s="63" t="s">
        <v>953</v>
      </c>
      <c r="E575" s="65">
        <v>45796</v>
      </c>
      <c r="F575" s="65">
        <v>45796</v>
      </c>
      <c r="G575" s="64">
        <v>276.74</v>
      </c>
      <c r="H575" s="92"/>
    </row>
    <row r="576" spans="1:8" x14ac:dyDescent="0.3">
      <c r="A576" s="63" t="s">
        <v>1836</v>
      </c>
      <c r="B576" s="63" t="s">
        <v>1838</v>
      </c>
      <c r="C576" s="63" t="s">
        <v>953</v>
      </c>
      <c r="D576" s="63" t="s">
        <v>953</v>
      </c>
      <c r="E576" s="65">
        <v>45838</v>
      </c>
      <c r="F576" s="65">
        <v>45838</v>
      </c>
      <c r="G576" s="64">
        <v>1070</v>
      </c>
      <c r="H576" s="92"/>
    </row>
    <row r="577" spans="1:8" x14ac:dyDescent="0.3">
      <c r="A577" s="63" t="s">
        <v>1839</v>
      </c>
      <c r="B577" s="63" t="s">
        <v>953</v>
      </c>
      <c r="C577" s="63" t="s">
        <v>953</v>
      </c>
      <c r="D577" s="63" t="s">
        <v>953</v>
      </c>
      <c r="E577" s="65">
        <v>45821</v>
      </c>
      <c r="F577" s="65">
        <v>45821</v>
      </c>
      <c r="G577" s="64">
        <v>30000</v>
      </c>
      <c r="H577" s="92"/>
    </row>
    <row r="578" spans="1:8" x14ac:dyDescent="0.3">
      <c r="A578" s="63" t="s">
        <v>1840</v>
      </c>
      <c r="B578" s="63" t="s">
        <v>1841</v>
      </c>
      <c r="C578" s="63" t="s">
        <v>953</v>
      </c>
      <c r="D578" s="63" t="s">
        <v>953</v>
      </c>
      <c r="E578" s="65">
        <v>44561</v>
      </c>
      <c r="F578" s="65">
        <v>44561</v>
      </c>
      <c r="G578" s="64">
        <v>191.92</v>
      </c>
      <c r="H578" s="92"/>
    </row>
    <row r="579" spans="1:8" x14ac:dyDescent="0.3">
      <c r="A579" s="63" t="s">
        <v>1840</v>
      </c>
      <c r="B579" s="63" t="s">
        <v>1842</v>
      </c>
      <c r="C579" s="63" t="s">
        <v>953</v>
      </c>
      <c r="D579" s="63" t="s">
        <v>953</v>
      </c>
      <c r="E579" s="65">
        <v>44628</v>
      </c>
      <c r="F579" s="65">
        <v>44628</v>
      </c>
      <c r="G579" s="64">
        <v>313.57</v>
      </c>
      <c r="H579" s="92"/>
    </row>
    <row r="580" spans="1:8" x14ac:dyDescent="0.3">
      <c r="A580" s="63" t="s">
        <v>1840</v>
      </c>
      <c r="B580" s="63" t="s">
        <v>1843</v>
      </c>
      <c r="C580" s="63" t="s">
        <v>953</v>
      </c>
      <c r="D580" s="63" t="s">
        <v>953</v>
      </c>
      <c r="E580" s="65">
        <v>44679</v>
      </c>
      <c r="F580" s="65">
        <v>44679</v>
      </c>
      <c r="G580" s="64">
        <v>465.12</v>
      </c>
      <c r="H580" s="92"/>
    </row>
    <row r="581" spans="1:8" x14ac:dyDescent="0.3">
      <c r="A581" s="63" t="s">
        <v>1840</v>
      </c>
      <c r="B581" s="63" t="s">
        <v>1844</v>
      </c>
      <c r="C581" s="63" t="s">
        <v>953</v>
      </c>
      <c r="D581" s="63" t="s">
        <v>953</v>
      </c>
      <c r="E581" s="65">
        <v>44679</v>
      </c>
      <c r="F581" s="65">
        <v>44679</v>
      </c>
      <c r="G581" s="64">
        <v>106.59</v>
      </c>
      <c r="H581" s="92"/>
    </row>
    <row r="582" spans="1:8" x14ac:dyDescent="0.3">
      <c r="A582" s="63" t="s">
        <v>1840</v>
      </c>
      <c r="B582" s="63" t="s">
        <v>1845</v>
      </c>
      <c r="C582" s="63" t="s">
        <v>953</v>
      </c>
      <c r="D582" s="63" t="s">
        <v>953</v>
      </c>
      <c r="E582" s="65">
        <v>44680</v>
      </c>
      <c r="F582" s="65">
        <v>44680</v>
      </c>
      <c r="G582" s="64">
        <v>232.56</v>
      </c>
      <c r="H582" s="92"/>
    </row>
    <row r="583" spans="1:8" x14ac:dyDescent="0.3">
      <c r="A583" s="63" t="s">
        <v>1840</v>
      </c>
      <c r="B583" s="63" t="s">
        <v>1846</v>
      </c>
      <c r="C583" s="63" t="s">
        <v>953</v>
      </c>
      <c r="D583" s="63" t="s">
        <v>1847</v>
      </c>
      <c r="E583" s="65">
        <v>44693</v>
      </c>
      <c r="F583" s="65">
        <v>44693</v>
      </c>
      <c r="G583" s="64">
        <v>3250</v>
      </c>
      <c r="H583" s="92"/>
    </row>
    <row r="584" spans="1:8" x14ac:dyDescent="0.3">
      <c r="A584" s="63" t="s">
        <v>1840</v>
      </c>
      <c r="B584" s="63" t="s">
        <v>1848</v>
      </c>
      <c r="C584" s="63" t="s">
        <v>953</v>
      </c>
      <c r="D584" s="63" t="s">
        <v>1849</v>
      </c>
      <c r="E584" s="65">
        <v>44722</v>
      </c>
      <c r="F584" s="65">
        <v>44722</v>
      </c>
      <c r="G584" s="64">
        <v>2164.29</v>
      </c>
      <c r="H584" s="92"/>
    </row>
    <row r="585" spans="1:8" x14ac:dyDescent="0.3">
      <c r="A585" s="63" t="s">
        <v>1840</v>
      </c>
      <c r="B585" s="63" t="s">
        <v>1850</v>
      </c>
      <c r="C585" s="63" t="s">
        <v>953</v>
      </c>
      <c r="D585" s="63" t="s">
        <v>1851</v>
      </c>
      <c r="E585" s="65">
        <v>44741</v>
      </c>
      <c r="F585" s="65">
        <v>44741</v>
      </c>
      <c r="G585" s="64">
        <v>4506.84</v>
      </c>
      <c r="H585" s="92"/>
    </row>
    <row r="586" spans="1:8" x14ac:dyDescent="0.3">
      <c r="A586" s="63" t="s">
        <v>1840</v>
      </c>
      <c r="B586" s="63" t="s">
        <v>1852</v>
      </c>
      <c r="C586" s="63" t="s">
        <v>953</v>
      </c>
      <c r="D586" s="63" t="s">
        <v>953</v>
      </c>
      <c r="E586" s="65">
        <v>44744</v>
      </c>
      <c r="F586" s="65">
        <v>44744</v>
      </c>
      <c r="G586" s="64">
        <v>2507.83</v>
      </c>
      <c r="H586" s="92"/>
    </row>
    <row r="587" spans="1:8" x14ac:dyDescent="0.3">
      <c r="A587" s="63" t="s">
        <v>1840</v>
      </c>
      <c r="B587" s="63" t="s">
        <v>1853</v>
      </c>
      <c r="C587" s="63" t="s">
        <v>953</v>
      </c>
      <c r="D587" s="63" t="s">
        <v>953</v>
      </c>
      <c r="E587" s="65">
        <v>44755</v>
      </c>
      <c r="F587" s="65">
        <v>44755</v>
      </c>
      <c r="G587" s="64">
        <v>182.52</v>
      </c>
      <c r="H587" s="92"/>
    </row>
    <row r="588" spans="1:8" x14ac:dyDescent="0.3">
      <c r="A588" s="63" t="s">
        <v>1840</v>
      </c>
      <c r="B588" s="63" t="s">
        <v>1854</v>
      </c>
      <c r="C588" s="63" t="s">
        <v>953</v>
      </c>
      <c r="D588" s="63" t="s">
        <v>1855</v>
      </c>
      <c r="E588" s="65">
        <v>44760</v>
      </c>
      <c r="F588" s="65">
        <v>44760</v>
      </c>
      <c r="G588" s="64">
        <v>25147.47</v>
      </c>
      <c r="H588" s="92"/>
    </row>
    <row r="589" spans="1:8" x14ac:dyDescent="0.3">
      <c r="A589" s="63" t="s">
        <v>1840</v>
      </c>
      <c r="B589" s="63" t="s">
        <v>1856</v>
      </c>
      <c r="C589" s="63" t="s">
        <v>953</v>
      </c>
      <c r="D589" s="63" t="s">
        <v>953</v>
      </c>
      <c r="E589" s="65">
        <v>44762</v>
      </c>
      <c r="F589" s="65">
        <v>44762</v>
      </c>
      <c r="G589" s="64">
        <v>8347.86</v>
      </c>
      <c r="H589" s="92"/>
    </row>
    <row r="590" spans="1:8" x14ac:dyDescent="0.3">
      <c r="A590" s="63" t="s">
        <v>1840</v>
      </c>
      <c r="B590" s="63" t="s">
        <v>1857</v>
      </c>
      <c r="C590" s="63" t="s">
        <v>953</v>
      </c>
      <c r="D590" s="63" t="s">
        <v>953</v>
      </c>
      <c r="E590" s="65">
        <v>44796</v>
      </c>
      <c r="F590" s="65">
        <v>44796</v>
      </c>
      <c r="G590" s="64">
        <v>1787.5</v>
      </c>
      <c r="H590" s="92"/>
    </row>
    <row r="591" spans="1:8" x14ac:dyDescent="0.3">
      <c r="A591" s="63" t="s">
        <v>1840</v>
      </c>
      <c r="B591" s="63" t="s">
        <v>1858</v>
      </c>
      <c r="C591" s="63" t="s">
        <v>953</v>
      </c>
      <c r="D591" s="63" t="s">
        <v>953</v>
      </c>
      <c r="E591" s="65">
        <v>44796</v>
      </c>
      <c r="F591" s="65">
        <v>44796</v>
      </c>
      <c r="G591" s="64">
        <v>2179.6</v>
      </c>
      <c r="H591" s="92"/>
    </row>
    <row r="592" spans="1:8" x14ac:dyDescent="0.3">
      <c r="A592" s="63" t="s">
        <v>1840</v>
      </c>
      <c r="B592" s="63" t="s">
        <v>1859</v>
      </c>
      <c r="C592" s="63" t="s">
        <v>953</v>
      </c>
      <c r="D592" s="63" t="s">
        <v>953</v>
      </c>
      <c r="E592" s="65">
        <v>44797</v>
      </c>
      <c r="F592" s="65">
        <v>44797</v>
      </c>
      <c r="G592" s="64">
        <v>463.91</v>
      </c>
      <c r="H592" s="92"/>
    </row>
    <row r="593" spans="1:8" x14ac:dyDescent="0.3">
      <c r="A593" s="63" t="s">
        <v>1840</v>
      </c>
      <c r="B593" s="63" t="s">
        <v>1860</v>
      </c>
      <c r="C593" s="63" t="s">
        <v>953</v>
      </c>
      <c r="D593" s="63" t="s">
        <v>953</v>
      </c>
      <c r="E593" s="65">
        <v>44813</v>
      </c>
      <c r="F593" s="65">
        <v>44813</v>
      </c>
      <c r="G593" s="64">
        <v>2940.75</v>
      </c>
      <c r="H593" s="92"/>
    </row>
    <row r="594" spans="1:8" x14ac:dyDescent="0.3">
      <c r="A594" s="63" t="s">
        <v>1840</v>
      </c>
      <c r="B594" s="63" t="s">
        <v>1861</v>
      </c>
      <c r="C594" s="63" t="s">
        <v>953</v>
      </c>
      <c r="D594" s="63" t="s">
        <v>953</v>
      </c>
      <c r="E594" s="65">
        <v>44814</v>
      </c>
      <c r="F594" s="65">
        <v>44814</v>
      </c>
      <c r="G594" s="64">
        <v>2662.77</v>
      </c>
      <c r="H594" s="92"/>
    </row>
    <row r="595" spans="1:8" x14ac:dyDescent="0.3">
      <c r="A595" s="63" t="s">
        <v>1840</v>
      </c>
      <c r="B595" s="63" t="s">
        <v>1862</v>
      </c>
      <c r="C595" s="63" t="s">
        <v>953</v>
      </c>
      <c r="D595" s="63" t="s">
        <v>953</v>
      </c>
      <c r="E595" s="65">
        <v>44823</v>
      </c>
      <c r="F595" s="65">
        <v>44823</v>
      </c>
      <c r="G595" s="64">
        <v>4874.96</v>
      </c>
      <c r="H595" s="92"/>
    </row>
    <row r="596" spans="1:8" x14ac:dyDescent="0.3">
      <c r="A596" s="63" t="s">
        <v>1840</v>
      </c>
      <c r="B596" s="63" t="s">
        <v>1863</v>
      </c>
      <c r="C596" s="63" t="s">
        <v>953</v>
      </c>
      <c r="D596" s="63" t="s">
        <v>953</v>
      </c>
      <c r="E596" s="65">
        <v>44833</v>
      </c>
      <c r="F596" s="65">
        <v>44833</v>
      </c>
      <c r="G596" s="64">
        <v>463.32</v>
      </c>
      <c r="H596" s="92"/>
    </row>
    <row r="597" spans="1:8" x14ac:dyDescent="0.3">
      <c r="A597" s="63" t="s">
        <v>1840</v>
      </c>
      <c r="B597" s="63" t="s">
        <v>1864</v>
      </c>
      <c r="C597" s="63" t="s">
        <v>953</v>
      </c>
      <c r="D597" s="63" t="s">
        <v>953</v>
      </c>
      <c r="E597" s="65">
        <v>44859</v>
      </c>
      <c r="F597" s="65">
        <v>44859</v>
      </c>
      <c r="G597" s="64">
        <v>8152.39</v>
      </c>
      <c r="H597" s="92"/>
    </row>
    <row r="598" spans="1:8" x14ac:dyDescent="0.3">
      <c r="A598" s="63" t="s">
        <v>1840</v>
      </c>
      <c r="B598" s="63" t="s">
        <v>1865</v>
      </c>
      <c r="C598" s="63" t="s">
        <v>953</v>
      </c>
      <c r="D598" s="63" t="s">
        <v>953</v>
      </c>
      <c r="E598" s="65">
        <v>44866</v>
      </c>
      <c r="F598" s="65">
        <v>44866</v>
      </c>
      <c r="G598" s="64">
        <v>6763.72</v>
      </c>
      <c r="H598" s="92"/>
    </row>
    <row r="599" spans="1:8" x14ac:dyDescent="0.3">
      <c r="A599" s="63" t="s">
        <v>1840</v>
      </c>
      <c r="B599" s="63" t="s">
        <v>1866</v>
      </c>
      <c r="C599" s="63" t="s">
        <v>953</v>
      </c>
      <c r="D599" s="63" t="s">
        <v>953</v>
      </c>
      <c r="E599" s="65">
        <v>44869</v>
      </c>
      <c r="F599" s="65">
        <v>44869</v>
      </c>
      <c r="G599" s="64">
        <v>3568.5</v>
      </c>
      <c r="H599" s="92"/>
    </row>
    <row r="600" spans="1:8" x14ac:dyDescent="0.3">
      <c r="A600" s="63" t="s">
        <v>1840</v>
      </c>
      <c r="B600" s="63" t="s">
        <v>1867</v>
      </c>
      <c r="C600" s="63" t="s">
        <v>953</v>
      </c>
      <c r="D600" s="63" t="s">
        <v>953</v>
      </c>
      <c r="E600" s="65">
        <v>44880</v>
      </c>
      <c r="F600" s="65">
        <v>44880</v>
      </c>
      <c r="G600" s="64">
        <v>742.83</v>
      </c>
      <c r="H600" s="92"/>
    </row>
    <row r="601" spans="1:8" x14ac:dyDescent="0.3">
      <c r="A601" s="63" t="s">
        <v>1840</v>
      </c>
      <c r="B601" s="63" t="s">
        <v>1868</v>
      </c>
      <c r="C601" s="63" t="s">
        <v>953</v>
      </c>
      <c r="D601" s="63" t="s">
        <v>953</v>
      </c>
      <c r="E601" s="65">
        <v>44882</v>
      </c>
      <c r="F601" s="65">
        <v>44882</v>
      </c>
      <c r="G601" s="64">
        <v>751.93</v>
      </c>
      <c r="H601" s="92"/>
    </row>
    <row r="602" spans="1:8" x14ac:dyDescent="0.3">
      <c r="A602" s="63" t="s">
        <v>1840</v>
      </c>
      <c r="B602" s="63" t="s">
        <v>1869</v>
      </c>
      <c r="C602" s="63" t="s">
        <v>953</v>
      </c>
      <c r="D602" s="63" t="s">
        <v>1855</v>
      </c>
      <c r="E602" s="65">
        <v>44915</v>
      </c>
      <c r="F602" s="65">
        <v>44915</v>
      </c>
      <c r="G602" s="64">
        <v>17164.400000000001</v>
      </c>
      <c r="H602" s="92"/>
    </row>
    <row r="603" spans="1:8" x14ac:dyDescent="0.3">
      <c r="A603" s="63" t="s">
        <v>1840</v>
      </c>
      <c r="B603" s="63" t="s">
        <v>1870</v>
      </c>
      <c r="C603" s="63" t="s">
        <v>953</v>
      </c>
      <c r="D603" s="63" t="s">
        <v>953</v>
      </c>
      <c r="E603" s="65">
        <v>44945</v>
      </c>
      <c r="F603" s="65">
        <v>44945</v>
      </c>
      <c r="G603" s="64">
        <v>2709.72</v>
      </c>
      <c r="H603" s="92"/>
    </row>
    <row r="604" spans="1:8" x14ac:dyDescent="0.3">
      <c r="A604" s="63" t="s">
        <v>1840</v>
      </c>
      <c r="B604" s="63" t="s">
        <v>1871</v>
      </c>
      <c r="C604" s="63" t="s">
        <v>953</v>
      </c>
      <c r="D604" s="63" t="s">
        <v>1855</v>
      </c>
      <c r="E604" s="65">
        <v>44946</v>
      </c>
      <c r="F604" s="65">
        <v>44946</v>
      </c>
      <c r="G604" s="64">
        <v>3181.49</v>
      </c>
      <c r="H604" s="92"/>
    </row>
    <row r="605" spans="1:8" x14ac:dyDescent="0.3">
      <c r="A605" s="63" t="s">
        <v>1840</v>
      </c>
      <c r="B605" s="63" t="s">
        <v>1872</v>
      </c>
      <c r="C605" s="63" t="s">
        <v>953</v>
      </c>
      <c r="D605" s="63" t="s">
        <v>953</v>
      </c>
      <c r="E605" s="65">
        <v>44970</v>
      </c>
      <c r="F605" s="65">
        <v>44970</v>
      </c>
      <c r="G605" s="64">
        <v>551.28</v>
      </c>
      <c r="H605" s="92"/>
    </row>
    <row r="606" spans="1:8" x14ac:dyDescent="0.3">
      <c r="A606" s="63" t="s">
        <v>1840</v>
      </c>
      <c r="B606" s="63" t="s">
        <v>1873</v>
      </c>
      <c r="C606" s="63" t="s">
        <v>953</v>
      </c>
      <c r="D606" s="63" t="s">
        <v>953</v>
      </c>
      <c r="E606" s="65">
        <v>44971</v>
      </c>
      <c r="F606" s="65">
        <v>44971</v>
      </c>
      <c r="G606" s="64">
        <v>346.53</v>
      </c>
      <c r="H606" s="92"/>
    </row>
    <row r="607" spans="1:8" x14ac:dyDescent="0.3">
      <c r="A607" s="63" t="s">
        <v>1840</v>
      </c>
      <c r="B607" s="63" t="s">
        <v>1874</v>
      </c>
      <c r="C607" s="63" t="s">
        <v>953</v>
      </c>
      <c r="D607" s="63" t="s">
        <v>1855</v>
      </c>
      <c r="E607" s="65">
        <v>44972</v>
      </c>
      <c r="F607" s="65">
        <v>44972</v>
      </c>
      <c r="G607" s="64">
        <v>1948.91</v>
      </c>
      <c r="H607" s="92"/>
    </row>
    <row r="608" spans="1:8" x14ac:dyDescent="0.3">
      <c r="A608" s="63" t="s">
        <v>1840</v>
      </c>
      <c r="B608" s="63" t="s">
        <v>1875</v>
      </c>
      <c r="C608" s="63" t="s">
        <v>953</v>
      </c>
      <c r="D608" s="63" t="s">
        <v>1876</v>
      </c>
      <c r="E608" s="65">
        <v>45061</v>
      </c>
      <c r="F608" s="65">
        <v>45061</v>
      </c>
      <c r="G608" s="64">
        <v>6478.06</v>
      </c>
      <c r="H608" s="92"/>
    </row>
    <row r="609" spans="1:8" x14ac:dyDescent="0.3">
      <c r="A609" s="63" t="s">
        <v>1840</v>
      </c>
      <c r="B609" s="63" t="s">
        <v>1877</v>
      </c>
      <c r="C609" s="63" t="s">
        <v>953</v>
      </c>
      <c r="D609" s="63" t="s">
        <v>953</v>
      </c>
      <c r="E609" s="65">
        <v>45098</v>
      </c>
      <c r="F609" s="65">
        <v>45098</v>
      </c>
      <c r="G609" s="64">
        <v>3604.19</v>
      </c>
      <c r="H609" s="92"/>
    </row>
    <row r="610" spans="1:8" x14ac:dyDescent="0.3">
      <c r="A610" s="63" t="s">
        <v>1840</v>
      </c>
      <c r="B610" s="63" t="s">
        <v>1878</v>
      </c>
      <c r="C610" s="63" t="s">
        <v>953</v>
      </c>
      <c r="D610" s="63" t="s">
        <v>953</v>
      </c>
      <c r="E610" s="65">
        <v>45103</v>
      </c>
      <c r="F610" s="65">
        <v>45103</v>
      </c>
      <c r="G610" s="64">
        <v>2966.08</v>
      </c>
      <c r="H610" s="92"/>
    </row>
    <row r="611" spans="1:8" x14ac:dyDescent="0.3">
      <c r="A611" s="63" t="s">
        <v>1840</v>
      </c>
      <c r="B611" s="63" t="s">
        <v>1879</v>
      </c>
      <c r="C611" s="63" t="s">
        <v>953</v>
      </c>
      <c r="D611" s="63" t="s">
        <v>953</v>
      </c>
      <c r="E611" s="65">
        <v>45106</v>
      </c>
      <c r="F611" s="65">
        <v>45106</v>
      </c>
      <c r="G611" s="64">
        <v>1131.9000000000001</v>
      </c>
      <c r="H611" s="92"/>
    </row>
    <row r="612" spans="1:8" x14ac:dyDescent="0.3">
      <c r="A612" s="63" t="s">
        <v>1840</v>
      </c>
      <c r="B612" s="63" t="s">
        <v>1880</v>
      </c>
      <c r="C612" s="63" t="s">
        <v>953</v>
      </c>
      <c r="D612" s="63" t="s">
        <v>953</v>
      </c>
      <c r="E612" s="65">
        <v>45106</v>
      </c>
      <c r="F612" s="65">
        <v>45106</v>
      </c>
      <c r="G612" s="64">
        <v>3614.91</v>
      </c>
      <c r="H612" s="92"/>
    </row>
    <row r="613" spans="1:8" x14ac:dyDescent="0.3">
      <c r="A613" s="63" t="s">
        <v>1840</v>
      </c>
      <c r="B613" s="63" t="s">
        <v>1881</v>
      </c>
      <c r="C613" s="63" t="s">
        <v>953</v>
      </c>
      <c r="D613" s="63" t="s">
        <v>1876</v>
      </c>
      <c r="E613" s="65">
        <v>45110</v>
      </c>
      <c r="F613" s="65">
        <v>45110</v>
      </c>
      <c r="G613" s="64">
        <v>1546.9</v>
      </c>
      <c r="H613" s="92"/>
    </row>
    <row r="614" spans="1:8" x14ac:dyDescent="0.3">
      <c r="A614" s="63" t="s">
        <v>1840</v>
      </c>
      <c r="B614" s="63" t="s">
        <v>1882</v>
      </c>
      <c r="C614" s="63" t="s">
        <v>953</v>
      </c>
      <c r="D614" s="63" t="s">
        <v>953</v>
      </c>
      <c r="E614" s="65">
        <v>45112</v>
      </c>
      <c r="F614" s="65">
        <v>45112</v>
      </c>
      <c r="G614" s="64">
        <v>5097.95</v>
      </c>
      <c r="H614" s="92"/>
    </row>
    <row r="615" spans="1:8" x14ac:dyDescent="0.3">
      <c r="A615" s="63" t="s">
        <v>1840</v>
      </c>
      <c r="B615" s="63" t="s">
        <v>1883</v>
      </c>
      <c r="C615" s="63" t="s">
        <v>953</v>
      </c>
      <c r="D615" s="63" t="s">
        <v>1884</v>
      </c>
      <c r="E615" s="65">
        <v>45132</v>
      </c>
      <c r="F615" s="65">
        <v>45132</v>
      </c>
      <c r="G615" s="64">
        <v>6603</v>
      </c>
      <c r="H615" s="92"/>
    </row>
    <row r="616" spans="1:8" x14ac:dyDescent="0.3">
      <c r="A616" s="63" t="s">
        <v>1840</v>
      </c>
      <c r="B616" s="63" t="s">
        <v>1885</v>
      </c>
      <c r="C616" s="63" t="s">
        <v>953</v>
      </c>
      <c r="D616" s="63" t="s">
        <v>953</v>
      </c>
      <c r="E616" s="65">
        <v>45135</v>
      </c>
      <c r="F616" s="65">
        <v>45135</v>
      </c>
      <c r="G616" s="64">
        <v>1054</v>
      </c>
      <c r="H616" s="92"/>
    </row>
    <row r="617" spans="1:8" x14ac:dyDescent="0.3">
      <c r="A617" s="63" t="s">
        <v>1840</v>
      </c>
      <c r="B617" s="63" t="s">
        <v>1886</v>
      </c>
      <c r="C617" s="63" t="s">
        <v>953</v>
      </c>
      <c r="D617" s="63" t="s">
        <v>953</v>
      </c>
      <c r="E617" s="65">
        <v>45142</v>
      </c>
      <c r="F617" s="65">
        <v>45142</v>
      </c>
      <c r="G617" s="64">
        <v>341</v>
      </c>
      <c r="H617" s="92"/>
    </row>
    <row r="618" spans="1:8" x14ac:dyDescent="0.3">
      <c r="A618" s="63" t="s">
        <v>1840</v>
      </c>
      <c r="B618" s="63" t="s">
        <v>1887</v>
      </c>
      <c r="C618" s="63" t="s">
        <v>953</v>
      </c>
      <c r="D618" s="63" t="s">
        <v>953</v>
      </c>
      <c r="E618" s="65">
        <v>45148</v>
      </c>
      <c r="F618" s="65">
        <v>45148</v>
      </c>
      <c r="G618" s="64">
        <v>574.63</v>
      </c>
      <c r="H618" s="92"/>
    </row>
    <row r="619" spans="1:8" x14ac:dyDescent="0.3">
      <c r="A619" s="63" t="s">
        <v>1840</v>
      </c>
      <c r="B619" s="63" t="s">
        <v>1888</v>
      </c>
      <c r="C619" s="63" t="s">
        <v>953</v>
      </c>
      <c r="D619" s="63" t="s">
        <v>953</v>
      </c>
      <c r="E619" s="65">
        <v>45149</v>
      </c>
      <c r="F619" s="65">
        <v>45149</v>
      </c>
      <c r="G619" s="64">
        <v>84.45</v>
      </c>
      <c r="H619" s="92"/>
    </row>
    <row r="620" spans="1:8" x14ac:dyDescent="0.3">
      <c r="A620" s="63" t="s">
        <v>1840</v>
      </c>
      <c r="B620" s="63" t="s">
        <v>1889</v>
      </c>
      <c r="C620" s="63" t="s">
        <v>953</v>
      </c>
      <c r="D620" s="63" t="s">
        <v>1876</v>
      </c>
      <c r="E620" s="65">
        <v>45152</v>
      </c>
      <c r="F620" s="65">
        <v>45152</v>
      </c>
      <c r="G620" s="64">
        <v>773.45</v>
      </c>
      <c r="H620" s="92"/>
    </row>
    <row r="621" spans="1:8" x14ac:dyDescent="0.3">
      <c r="A621" s="63" t="s">
        <v>1840</v>
      </c>
      <c r="B621" s="63" t="s">
        <v>1890</v>
      </c>
      <c r="C621" s="63" t="s">
        <v>953</v>
      </c>
      <c r="D621" s="63" t="s">
        <v>1876</v>
      </c>
      <c r="E621" s="65">
        <v>45152</v>
      </c>
      <c r="F621" s="65">
        <v>45152</v>
      </c>
      <c r="G621" s="64">
        <v>1701.59</v>
      </c>
      <c r="H621" s="92"/>
    </row>
    <row r="622" spans="1:8" x14ac:dyDescent="0.3">
      <c r="A622" s="63" t="s">
        <v>1840</v>
      </c>
      <c r="B622" s="63" t="s">
        <v>1891</v>
      </c>
      <c r="C622" s="63" t="s">
        <v>953</v>
      </c>
      <c r="D622" s="63" t="s">
        <v>1876</v>
      </c>
      <c r="E622" s="65">
        <v>45162</v>
      </c>
      <c r="F622" s="65">
        <v>45162</v>
      </c>
      <c r="G622" s="64">
        <v>23729.32</v>
      </c>
      <c r="H622" s="92"/>
    </row>
    <row r="623" spans="1:8" x14ac:dyDescent="0.3">
      <c r="A623" s="63" t="s">
        <v>1840</v>
      </c>
      <c r="B623" s="63" t="s">
        <v>1892</v>
      </c>
      <c r="C623" s="63" t="s">
        <v>953</v>
      </c>
      <c r="D623" s="63" t="s">
        <v>1876</v>
      </c>
      <c r="E623" s="65">
        <v>45195</v>
      </c>
      <c r="F623" s="65">
        <v>45195</v>
      </c>
      <c r="G623" s="64">
        <v>494.76</v>
      </c>
      <c r="H623" s="92"/>
    </row>
    <row r="624" spans="1:8" x14ac:dyDescent="0.3">
      <c r="A624" s="63" t="s">
        <v>1840</v>
      </c>
      <c r="B624" s="63" t="s">
        <v>1893</v>
      </c>
      <c r="C624" s="63" t="s">
        <v>953</v>
      </c>
      <c r="D624" s="63" t="s">
        <v>1876</v>
      </c>
      <c r="E624" s="65">
        <v>45198</v>
      </c>
      <c r="F624" s="65">
        <v>45198</v>
      </c>
      <c r="G624" s="64">
        <v>4398.58</v>
      </c>
      <c r="H624" s="92"/>
    </row>
    <row r="625" spans="1:8" x14ac:dyDescent="0.3">
      <c r="A625" s="63" t="s">
        <v>1840</v>
      </c>
      <c r="B625" s="63" t="s">
        <v>1894</v>
      </c>
      <c r="C625" s="63" t="s">
        <v>953</v>
      </c>
      <c r="D625" s="63" t="s">
        <v>1855</v>
      </c>
      <c r="E625" s="65">
        <v>45203</v>
      </c>
      <c r="F625" s="65">
        <v>45203</v>
      </c>
      <c r="G625" s="64">
        <v>2783.32</v>
      </c>
      <c r="H625" s="92"/>
    </row>
    <row r="626" spans="1:8" x14ac:dyDescent="0.3">
      <c r="A626" s="63" t="s">
        <v>1840</v>
      </c>
      <c r="B626" s="63" t="s">
        <v>1895</v>
      </c>
      <c r="C626" s="63" t="s">
        <v>953</v>
      </c>
      <c r="D626" s="63" t="s">
        <v>1876</v>
      </c>
      <c r="E626" s="65">
        <v>45218</v>
      </c>
      <c r="F626" s="65">
        <v>45218</v>
      </c>
      <c r="G626" s="64">
        <v>8150.17</v>
      </c>
      <c r="H626" s="92"/>
    </row>
    <row r="627" spans="1:8" x14ac:dyDescent="0.3">
      <c r="A627" s="63" t="s">
        <v>1840</v>
      </c>
      <c r="B627" s="63" t="s">
        <v>1896</v>
      </c>
      <c r="C627" s="63" t="s">
        <v>953</v>
      </c>
      <c r="D627" s="63" t="s">
        <v>1876</v>
      </c>
      <c r="E627" s="65">
        <v>45219</v>
      </c>
      <c r="F627" s="65">
        <v>45219</v>
      </c>
      <c r="G627" s="64">
        <v>33262.47</v>
      </c>
      <c r="H627" s="92"/>
    </row>
    <row r="628" spans="1:8" x14ac:dyDescent="0.3">
      <c r="A628" s="63" t="s">
        <v>1840</v>
      </c>
      <c r="B628" s="63" t="s">
        <v>1897</v>
      </c>
      <c r="C628" s="63" t="s">
        <v>953</v>
      </c>
      <c r="D628" s="63" t="s">
        <v>953</v>
      </c>
      <c r="E628" s="65">
        <v>45271</v>
      </c>
      <c r="F628" s="65">
        <v>45271</v>
      </c>
      <c r="G628" s="64">
        <v>6996.98</v>
      </c>
      <c r="H628" s="92"/>
    </row>
    <row r="629" spans="1:8" x14ac:dyDescent="0.3">
      <c r="A629" s="63" t="s">
        <v>1840</v>
      </c>
      <c r="B629" s="63" t="s">
        <v>1898</v>
      </c>
      <c r="C629" s="63" t="s">
        <v>953</v>
      </c>
      <c r="D629" s="63" t="s">
        <v>1899</v>
      </c>
      <c r="E629" s="65">
        <v>45271</v>
      </c>
      <c r="F629" s="65">
        <v>45271</v>
      </c>
      <c r="G629" s="64">
        <v>13312.67</v>
      </c>
      <c r="H629" s="92"/>
    </row>
    <row r="630" spans="1:8" x14ac:dyDescent="0.3">
      <c r="A630" s="63" t="s">
        <v>1840</v>
      </c>
      <c r="B630" s="63" t="s">
        <v>1900</v>
      </c>
      <c r="C630" s="63" t="s">
        <v>953</v>
      </c>
      <c r="D630" s="63" t="s">
        <v>1899</v>
      </c>
      <c r="E630" s="65">
        <v>45331</v>
      </c>
      <c r="F630" s="65">
        <v>45331</v>
      </c>
      <c r="G630" s="64">
        <v>44936.98</v>
      </c>
      <c r="H630" s="92"/>
    </row>
    <row r="631" spans="1:8" x14ac:dyDescent="0.3">
      <c r="A631" s="63" t="s">
        <v>1840</v>
      </c>
      <c r="B631" s="63" t="s">
        <v>1901</v>
      </c>
      <c r="C631" s="63" t="s">
        <v>953</v>
      </c>
      <c r="D631" s="63" t="s">
        <v>1902</v>
      </c>
      <c r="E631" s="65">
        <v>45377</v>
      </c>
      <c r="F631" s="65">
        <v>45377</v>
      </c>
      <c r="G631" s="64">
        <v>17335.2</v>
      </c>
      <c r="H631" s="92"/>
    </row>
    <row r="632" spans="1:8" x14ac:dyDescent="0.3">
      <c r="A632" s="63" t="s">
        <v>1840</v>
      </c>
      <c r="B632" s="63" t="s">
        <v>1903</v>
      </c>
      <c r="C632" s="63" t="s">
        <v>953</v>
      </c>
      <c r="D632" s="63" t="s">
        <v>1876</v>
      </c>
      <c r="E632" s="65">
        <v>45400</v>
      </c>
      <c r="F632" s="65">
        <v>45400</v>
      </c>
      <c r="G632" s="64">
        <v>865.83</v>
      </c>
      <c r="H632" s="92"/>
    </row>
    <row r="633" spans="1:8" x14ac:dyDescent="0.3">
      <c r="A633" s="63" t="s">
        <v>1840</v>
      </c>
      <c r="B633" s="63" t="s">
        <v>1904</v>
      </c>
      <c r="C633" s="63" t="s">
        <v>953</v>
      </c>
      <c r="D633" s="63" t="s">
        <v>1876</v>
      </c>
      <c r="E633" s="65">
        <v>45407</v>
      </c>
      <c r="F633" s="65">
        <v>45407</v>
      </c>
      <c r="G633" s="64">
        <v>6187.8</v>
      </c>
      <c r="H633" s="92"/>
    </row>
    <row r="634" spans="1:8" x14ac:dyDescent="0.3">
      <c r="A634" s="63" t="s">
        <v>1840</v>
      </c>
      <c r="B634" s="63" t="s">
        <v>1905</v>
      </c>
      <c r="C634" s="63" t="s">
        <v>953</v>
      </c>
      <c r="D634" s="63" t="s">
        <v>1906</v>
      </c>
      <c r="E634" s="65">
        <v>45471</v>
      </c>
      <c r="F634" s="65">
        <v>45471</v>
      </c>
      <c r="G634" s="64">
        <v>13369.8</v>
      </c>
      <c r="H634" s="92"/>
    </row>
    <row r="635" spans="1:8" x14ac:dyDescent="0.3">
      <c r="A635" s="63" t="s">
        <v>1840</v>
      </c>
      <c r="B635" s="63" t="s">
        <v>1907</v>
      </c>
      <c r="C635" s="63" t="s">
        <v>953</v>
      </c>
      <c r="D635" s="63" t="s">
        <v>1906</v>
      </c>
      <c r="E635" s="65">
        <v>45553</v>
      </c>
      <c r="F635" s="65">
        <v>45553</v>
      </c>
      <c r="G635" s="64">
        <v>7613.17</v>
      </c>
      <c r="H635" s="92"/>
    </row>
    <row r="636" spans="1:8" x14ac:dyDescent="0.3">
      <c r="A636" s="63" t="s">
        <v>1840</v>
      </c>
      <c r="B636" s="63" t="s">
        <v>1908</v>
      </c>
      <c r="C636" s="63" t="s">
        <v>953</v>
      </c>
      <c r="D636" s="63" t="s">
        <v>1909</v>
      </c>
      <c r="E636" s="65">
        <v>45588</v>
      </c>
      <c r="F636" s="65">
        <v>45588</v>
      </c>
      <c r="G636" s="64">
        <v>6684.84</v>
      </c>
      <c r="H636" s="92"/>
    </row>
    <row r="637" spans="1:8" x14ac:dyDescent="0.3">
      <c r="A637" s="63" t="s">
        <v>1840</v>
      </c>
      <c r="B637" s="63" t="s">
        <v>1910</v>
      </c>
      <c r="C637" s="63" t="s">
        <v>953</v>
      </c>
      <c r="D637" s="63" t="s">
        <v>1911</v>
      </c>
      <c r="E637" s="65">
        <v>45631</v>
      </c>
      <c r="F637" s="65">
        <v>45631</v>
      </c>
      <c r="G637" s="64">
        <v>3336.84</v>
      </c>
      <c r="H637" s="92"/>
    </row>
    <row r="638" spans="1:8" x14ac:dyDescent="0.3">
      <c r="A638" s="63" t="s">
        <v>1840</v>
      </c>
      <c r="B638" s="63" t="s">
        <v>1912</v>
      </c>
      <c r="C638" s="63" t="s">
        <v>953</v>
      </c>
      <c r="D638" s="63" t="s">
        <v>1913</v>
      </c>
      <c r="E638" s="65">
        <v>45631</v>
      </c>
      <c r="F638" s="65">
        <v>45631</v>
      </c>
      <c r="G638" s="64">
        <v>2413.9699999999998</v>
      </c>
      <c r="H638" s="92"/>
    </row>
    <row r="639" spans="1:8" x14ac:dyDescent="0.3">
      <c r="A639" s="63" t="s">
        <v>1840</v>
      </c>
      <c r="B639" s="63" t="s">
        <v>1914</v>
      </c>
      <c r="C639" s="63" t="s">
        <v>953</v>
      </c>
      <c r="D639" s="63" t="s">
        <v>1911</v>
      </c>
      <c r="E639" s="65">
        <v>45642</v>
      </c>
      <c r="F639" s="65">
        <v>45642</v>
      </c>
      <c r="G639" s="64">
        <v>7995.63</v>
      </c>
      <c r="H639" s="92"/>
    </row>
    <row r="640" spans="1:8" x14ac:dyDescent="0.3">
      <c r="A640" s="63" t="s">
        <v>1840</v>
      </c>
      <c r="B640" s="63" t="s">
        <v>1915</v>
      </c>
      <c r="C640" s="63" t="s">
        <v>953</v>
      </c>
      <c r="D640" s="63" t="s">
        <v>1876</v>
      </c>
      <c r="E640" s="65">
        <v>45657</v>
      </c>
      <c r="F640" s="65">
        <v>45657</v>
      </c>
      <c r="G640" s="64">
        <v>1113.72</v>
      </c>
      <c r="H640" s="92"/>
    </row>
    <row r="641" spans="1:8" x14ac:dyDescent="0.3">
      <c r="A641" s="63" t="s">
        <v>1840</v>
      </c>
      <c r="B641" s="63" t="s">
        <v>1916</v>
      </c>
      <c r="C641" s="63" t="s">
        <v>953</v>
      </c>
      <c r="D641" s="63" t="s">
        <v>1906</v>
      </c>
      <c r="E641" s="65">
        <v>45657</v>
      </c>
      <c r="F641" s="65">
        <v>45657</v>
      </c>
      <c r="G641" s="64">
        <v>2600</v>
      </c>
      <c r="H641" s="92"/>
    </row>
    <row r="642" spans="1:8" x14ac:dyDescent="0.3">
      <c r="A642" s="63" t="s">
        <v>1840</v>
      </c>
      <c r="B642" s="63" t="s">
        <v>1917</v>
      </c>
      <c r="C642" s="63" t="s">
        <v>953</v>
      </c>
      <c r="D642" s="63" t="s">
        <v>953</v>
      </c>
      <c r="E642" s="65">
        <v>45680</v>
      </c>
      <c r="F642" s="65">
        <v>45680</v>
      </c>
      <c r="G642" s="64">
        <v>740.95</v>
      </c>
      <c r="H642" s="92"/>
    </row>
    <row r="643" spans="1:8" x14ac:dyDescent="0.3">
      <c r="A643" s="63" t="s">
        <v>1840</v>
      </c>
      <c r="B643" s="63" t="s">
        <v>1918</v>
      </c>
      <c r="C643" s="63" t="s">
        <v>953</v>
      </c>
      <c r="D643" s="63" t="s">
        <v>953</v>
      </c>
      <c r="E643" s="65">
        <v>45838</v>
      </c>
      <c r="F643" s="65">
        <v>45868</v>
      </c>
      <c r="G643" s="64">
        <v>1146.01</v>
      </c>
      <c r="H643" s="92"/>
    </row>
    <row r="644" spans="1:8" x14ac:dyDescent="0.3">
      <c r="A644" s="63" t="s">
        <v>1920</v>
      </c>
      <c r="B644" s="63" t="s">
        <v>1921</v>
      </c>
      <c r="C644" s="63" t="s">
        <v>953</v>
      </c>
      <c r="D644" s="63" t="s">
        <v>1922</v>
      </c>
      <c r="E644" s="65">
        <v>45565</v>
      </c>
      <c r="F644" s="65">
        <v>45565</v>
      </c>
      <c r="G644" s="64">
        <v>52217.91</v>
      </c>
      <c r="H644" s="92"/>
    </row>
    <row r="645" spans="1:8" x14ac:dyDescent="0.3">
      <c r="A645" s="63" t="s">
        <v>1920</v>
      </c>
      <c r="B645" s="63" t="s">
        <v>1923</v>
      </c>
      <c r="C645" s="63" t="s">
        <v>953</v>
      </c>
      <c r="D645" s="63" t="s">
        <v>1922</v>
      </c>
      <c r="E645" s="65">
        <v>45575</v>
      </c>
      <c r="F645" s="65">
        <v>45575</v>
      </c>
      <c r="G645" s="64">
        <v>4110.8</v>
      </c>
      <c r="H645" s="92"/>
    </row>
    <row r="646" spans="1:8" x14ac:dyDescent="0.3">
      <c r="A646" s="63" t="s">
        <v>1924</v>
      </c>
      <c r="B646" s="63" t="s">
        <v>1925</v>
      </c>
      <c r="C646" s="63" t="s">
        <v>953</v>
      </c>
      <c r="D646" s="63" t="s">
        <v>1926</v>
      </c>
      <c r="E646" s="65">
        <v>45838</v>
      </c>
      <c r="F646" s="65">
        <v>45838</v>
      </c>
      <c r="G646" s="64">
        <v>29173.53</v>
      </c>
      <c r="H646" s="92"/>
    </row>
    <row r="647" spans="1:8" x14ac:dyDescent="0.3">
      <c r="A647" s="63" t="s">
        <v>1924</v>
      </c>
      <c r="B647" s="63" t="s">
        <v>1927</v>
      </c>
      <c r="C647" s="63" t="s">
        <v>953</v>
      </c>
      <c r="D647" s="63" t="s">
        <v>1928</v>
      </c>
      <c r="E647" s="65">
        <v>45838</v>
      </c>
      <c r="F647" s="65">
        <v>45838</v>
      </c>
      <c r="G647" s="64">
        <v>19393.63</v>
      </c>
      <c r="H647" s="92"/>
    </row>
    <row r="648" spans="1:8" x14ac:dyDescent="0.3">
      <c r="A648" s="63" t="s">
        <v>1924</v>
      </c>
      <c r="B648" s="63" t="s">
        <v>1929</v>
      </c>
      <c r="C648" s="63" t="s">
        <v>953</v>
      </c>
      <c r="D648" s="63" t="s">
        <v>1930</v>
      </c>
      <c r="E648" s="65">
        <v>45838</v>
      </c>
      <c r="F648" s="65">
        <v>45838</v>
      </c>
      <c r="G648" s="64">
        <v>10941.8</v>
      </c>
      <c r="H648" s="92"/>
    </row>
    <row r="649" spans="1:8" x14ac:dyDescent="0.3">
      <c r="A649" s="63" t="s">
        <v>1931</v>
      </c>
      <c r="B649" s="63" t="s">
        <v>953</v>
      </c>
      <c r="C649" s="63" t="s">
        <v>953</v>
      </c>
      <c r="D649" s="63" t="s">
        <v>953</v>
      </c>
      <c r="E649" s="65">
        <v>45838</v>
      </c>
      <c r="F649" s="65">
        <v>45838</v>
      </c>
      <c r="G649" s="64">
        <v>-4500</v>
      </c>
      <c r="H649" s="92"/>
    </row>
    <row r="650" spans="1:8" x14ac:dyDescent="0.3">
      <c r="A650" s="63" t="s">
        <v>1932</v>
      </c>
      <c r="B650" s="63" t="s">
        <v>1933</v>
      </c>
      <c r="C650" s="63" t="s">
        <v>953</v>
      </c>
      <c r="D650" s="63" t="s">
        <v>953</v>
      </c>
      <c r="E650" s="65">
        <v>45473</v>
      </c>
      <c r="F650" s="65">
        <v>45473</v>
      </c>
      <c r="G650" s="64">
        <v>745.84</v>
      </c>
      <c r="H650" s="92"/>
    </row>
    <row r="651" spans="1:8" x14ac:dyDescent="0.3">
      <c r="A651" s="63" t="s">
        <v>1932</v>
      </c>
      <c r="B651" s="63" t="s">
        <v>1934</v>
      </c>
      <c r="C651" s="63" t="s">
        <v>953</v>
      </c>
      <c r="D651" s="63" t="s">
        <v>953</v>
      </c>
      <c r="E651" s="65">
        <v>45475</v>
      </c>
      <c r="F651" s="65">
        <v>45475</v>
      </c>
      <c r="G651" s="64">
        <v>3481.91</v>
      </c>
      <c r="H651" s="92"/>
    </row>
    <row r="652" spans="1:8" x14ac:dyDescent="0.3">
      <c r="A652" s="63" t="s">
        <v>1932</v>
      </c>
      <c r="B652" s="63" t="s">
        <v>1935</v>
      </c>
      <c r="C652" s="63" t="s">
        <v>953</v>
      </c>
      <c r="D652" s="63" t="s">
        <v>1936</v>
      </c>
      <c r="E652" s="65">
        <v>45625</v>
      </c>
      <c r="F652" s="65">
        <v>45625</v>
      </c>
      <c r="G652" s="64">
        <v>274.24</v>
      </c>
      <c r="H652" s="92"/>
    </row>
    <row r="653" spans="1:8" x14ac:dyDescent="0.3">
      <c r="A653" s="63" t="s">
        <v>1932</v>
      </c>
      <c r="B653" s="63" t="s">
        <v>1937</v>
      </c>
      <c r="C653" s="63" t="s">
        <v>953</v>
      </c>
      <c r="D653" s="63" t="s">
        <v>1938</v>
      </c>
      <c r="E653" s="65">
        <v>45625</v>
      </c>
      <c r="F653" s="65">
        <v>45625</v>
      </c>
      <c r="G653" s="64">
        <v>30524.14</v>
      </c>
      <c r="H653" s="92"/>
    </row>
    <row r="654" spans="1:8" x14ac:dyDescent="0.3">
      <c r="A654" s="63" t="s">
        <v>1932</v>
      </c>
      <c r="B654" s="63" t="s">
        <v>1939</v>
      </c>
      <c r="C654" s="63" t="s">
        <v>953</v>
      </c>
      <c r="D654" s="63" t="s">
        <v>1940</v>
      </c>
      <c r="E654" s="65">
        <v>45625</v>
      </c>
      <c r="F654" s="65">
        <v>45625</v>
      </c>
      <c r="G654" s="64">
        <v>62836.2</v>
      </c>
      <c r="H654" s="92"/>
    </row>
    <row r="655" spans="1:8" x14ac:dyDescent="0.3">
      <c r="A655" s="63" t="s">
        <v>1932</v>
      </c>
      <c r="B655" s="63" t="s">
        <v>1941</v>
      </c>
      <c r="C655" s="63" t="s">
        <v>953</v>
      </c>
      <c r="D655" s="63" t="s">
        <v>1770</v>
      </c>
      <c r="E655" s="65">
        <v>45625</v>
      </c>
      <c r="F655" s="65">
        <v>45625</v>
      </c>
      <c r="G655" s="64">
        <v>5968.97</v>
      </c>
      <c r="H655" s="92"/>
    </row>
    <row r="656" spans="1:8" x14ac:dyDescent="0.3">
      <c r="A656" s="63" t="s">
        <v>1932</v>
      </c>
      <c r="B656" s="63" t="s">
        <v>1942</v>
      </c>
      <c r="C656" s="63" t="s">
        <v>953</v>
      </c>
      <c r="D656" s="63" t="s">
        <v>1943</v>
      </c>
      <c r="E656" s="65">
        <v>45625</v>
      </c>
      <c r="F656" s="65">
        <v>45625</v>
      </c>
      <c r="G656" s="64">
        <v>3634.11</v>
      </c>
      <c r="H656" s="92"/>
    </row>
    <row r="657" spans="1:8" x14ac:dyDescent="0.3">
      <c r="A657" s="63" t="s">
        <v>1932</v>
      </c>
      <c r="B657" s="63" t="s">
        <v>1944</v>
      </c>
      <c r="C657" s="63" t="s">
        <v>953</v>
      </c>
      <c r="D657" s="63" t="s">
        <v>1943</v>
      </c>
      <c r="E657" s="65">
        <v>45625</v>
      </c>
      <c r="F657" s="65">
        <v>45625</v>
      </c>
      <c r="G657" s="64">
        <v>3054.27</v>
      </c>
      <c r="H657" s="92"/>
    </row>
    <row r="658" spans="1:8" x14ac:dyDescent="0.3">
      <c r="A658" s="63" t="s">
        <v>1932</v>
      </c>
      <c r="B658" s="63" t="s">
        <v>1945</v>
      </c>
      <c r="C658" s="63" t="s">
        <v>953</v>
      </c>
      <c r="D658" s="63" t="s">
        <v>1946</v>
      </c>
      <c r="E658" s="65">
        <v>45838</v>
      </c>
      <c r="F658" s="65">
        <v>45838</v>
      </c>
      <c r="G658" s="64">
        <v>1668.13</v>
      </c>
      <c r="H658" s="92"/>
    </row>
    <row r="659" spans="1:8" x14ac:dyDescent="0.3">
      <c r="A659" s="63" t="s">
        <v>1947</v>
      </c>
      <c r="B659" s="63" t="s">
        <v>1948</v>
      </c>
      <c r="C659" s="63" t="s">
        <v>953</v>
      </c>
      <c r="D659" s="63" t="s">
        <v>1949</v>
      </c>
      <c r="E659" s="65">
        <v>45376</v>
      </c>
      <c r="F659" s="65">
        <v>45376</v>
      </c>
      <c r="G659" s="64">
        <v>26270.39</v>
      </c>
      <c r="H659" s="92"/>
    </row>
    <row r="660" spans="1:8" x14ac:dyDescent="0.3">
      <c r="A660" s="63" t="s">
        <v>1947</v>
      </c>
      <c r="B660" s="63" t="s">
        <v>1950</v>
      </c>
      <c r="C660" s="63" t="s">
        <v>953</v>
      </c>
      <c r="D660" s="63" t="s">
        <v>1951</v>
      </c>
      <c r="E660" s="65">
        <v>45386</v>
      </c>
      <c r="F660" s="65">
        <v>45386</v>
      </c>
      <c r="G660" s="64">
        <v>10504</v>
      </c>
      <c r="H660" s="92"/>
    </row>
    <row r="661" spans="1:8" x14ac:dyDescent="0.3">
      <c r="A661" s="63" t="s">
        <v>1947</v>
      </c>
      <c r="B661" s="63" t="s">
        <v>1952</v>
      </c>
      <c r="C661" s="63" t="s">
        <v>953</v>
      </c>
      <c r="D661" s="63" t="s">
        <v>1953</v>
      </c>
      <c r="E661" s="65">
        <v>45386</v>
      </c>
      <c r="F661" s="65">
        <v>45386</v>
      </c>
      <c r="G661" s="64">
        <v>28421</v>
      </c>
      <c r="H661" s="92"/>
    </row>
    <row r="662" spans="1:8" x14ac:dyDescent="0.3">
      <c r="A662" s="63" t="s">
        <v>1947</v>
      </c>
      <c r="B662" s="63" t="s">
        <v>1954</v>
      </c>
      <c r="C662" s="63" t="s">
        <v>953</v>
      </c>
      <c r="D662" s="63" t="s">
        <v>1951</v>
      </c>
      <c r="E662" s="65">
        <v>45442</v>
      </c>
      <c r="F662" s="65">
        <v>45442</v>
      </c>
      <c r="G662" s="64">
        <v>29344</v>
      </c>
      <c r="H662" s="92"/>
    </row>
    <row r="663" spans="1:8" x14ac:dyDescent="0.3">
      <c r="A663" s="63" t="s">
        <v>1947</v>
      </c>
      <c r="B663" s="63" t="s">
        <v>1955</v>
      </c>
      <c r="C663" s="63" t="s">
        <v>953</v>
      </c>
      <c r="D663" s="63" t="s">
        <v>953</v>
      </c>
      <c r="E663" s="65">
        <v>45530</v>
      </c>
      <c r="F663" s="65">
        <v>45530</v>
      </c>
      <c r="G663" s="64">
        <v>971</v>
      </c>
      <c r="H663" s="92"/>
    </row>
    <row r="664" spans="1:8" x14ac:dyDescent="0.3">
      <c r="A664" s="63" t="s">
        <v>1947</v>
      </c>
      <c r="B664" s="63" t="s">
        <v>1956</v>
      </c>
      <c r="C664" s="63" t="s">
        <v>953</v>
      </c>
      <c r="D664" s="63" t="s">
        <v>953</v>
      </c>
      <c r="E664" s="65">
        <v>45568</v>
      </c>
      <c r="F664" s="65">
        <v>45568</v>
      </c>
      <c r="G664" s="64">
        <v>6305.02</v>
      </c>
      <c r="H664" s="92"/>
    </row>
    <row r="665" spans="1:8" x14ac:dyDescent="0.3">
      <c r="A665" s="63" t="s">
        <v>1947</v>
      </c>
      <c r="B665" s="63" t="s">
        <v>1957</v>
      </c>
      <c r="C665" s="63" t="s">
        <v>953</v>
      </c>
      <c r="D665" s="63" t="s">
        <v>953</v>
      </c>
      <c r="E665" s="65">
        <v>45574</v>
      </c>
      <c r="F665" s="65">
        <v>45574</v>
      </c>
      <c r="G665" s="64">
        <v>1614.96</v>
      </c>
      <c r="H665" s="92"/>
    </row>
    <row r="666" spans="1:8" x14ac:dyDescent="0.3">
      <c r="A666" s="63" t="s">
        <v>1947</v>
      </c>
      <c r="B666" s="63" t="s">
        <v>1958</v>
      </c>
      <c r="C666" s="63" t="s">
        <v>953</v>
      </c>
      <c r="D666" s="63" t="s">
        <v>1959</v>
      </c>
      <c r="E666" s="65">
        <v>45597</v>
      </c>
      <c r="F666" s="65">
        <v>45597</v>
      </c>
      <c r="G666" s="64">
        <v>970.85</v>
      </c>
      <c r="H666" s="92"/>
    </row>
    <row r="667" spans="1:8" x14ac:dyDescent="0.3">
      <c r="A667" s="63" t="s">
        <v>1947</v>
      </c>
      <c r="B667" s="63" t="s">
        <v>1960</v>
      </c>
      <c r="C667" s="63" t="s">
        <v>953</v>
      </c>
      <c r="D667" s="63" t="s">
        <v>953</v>
      </c>
      <c r="E667" s="65">
        <v>45615</v>
      </c>
      <c r="F667" s="65">
        <v>45615</v>
      </c>
      <c r="G667" s="64">
        <v>1840.25</v>
      </c>
      <c r="H667" s="92"/>
    </row>
    <row r="668" spans="1:8" x14ac:dyDescent="0.3">
      <c r="A668" s="63" t="s">
        <v>1947</v>
      </c>
      <c r="B668" s="63" t="s">
        <v>1961</v>
      </c>
      <c r="C668" s="63" t="s">
        <v>953</v>
      </c>
      <c r="D668" s="63" t="s">
        <v>953</v>
      </c>
      <c r="E668" s="65">
        <v>45615</v>
      </c>
      <c r="F668" s="65">
        <v>45615</v>
      </c>
      <c r="G668" s="64">
        <v>251.87</v>
      </c>
      <c r="H668" s="92"/>
    </row>
    <row r="669" spans="1:8" x14ac:dyDescent="0.3">
      <c r="A669" s="63" t="s">
        <v>1947</v>
      </c>
      <c r="B669" s="63" t="s">
        <v>1962</v>
      </c>
      <c r="C669" s="63" t="s">
        <v>953</v>
      </c>
      <c r="D669" s="63" t="s">
        <v>953</v>
      </c>
      <c r="E669" s="65">
        <v>45628</v>
      </c>
      <c r="F669" s="65">
        <v>45628</v>
      </c>
      <c r="G669" s="64">
        <v>733.49</v>
      </c>
      <c r="H669" s="92"/>
    </row>
    <row r="670" spans="1:8" x14ac:dyDescent="0.3">
      <c r="A670" s="63" t="s">
        <v>1947</v>
      </c>
      <c r="B670" s="63" t="s">
        <v>1963</v>
      </c>
      <c r="C670" s="63" t="s">
        <v>953</v>
      </c>
      <c r="D670" s="63" t="s">
        <v>1951</v>
      </c>
      <c r="E670" s="65">
        <v>45838</v>
      </c>
      <c r="F670" s="65">
        <v>45838</v>
      </c>
      <c r="G670" s="64">
        <v>8230</v>
      </c>
      <c r="H670" s="92"/>
    </row>
    <row r="671" spans="1:8" x14ac:dyDescent="0.3">
      <c r="A671" s="63" t="s">
        <v>1947</v>
      </c>
      <c r="B671" s="63" t="s">
        <v>1964</v>
      </c>
      <c r="C671" s="63" t="s">
        <v>953</v>
      </c>
      <c r="D671" s="63" t="s">
        <v>1953</v>
      </c>
      <c r="E671" s="65">
        <v>45838</v>
      </c>
      <c r="F671" s="65">
        <v>45838</v>
      </c>
      <c r="G671" s="64">
        <v>148</v>
      </c>
      <c r="H671" s="92"/>
    </row>
    <row r="672" spans="1:8" x14ac:dyDescent="0.3">
      <c r="A672" s="63" t="s">
        <v>1947</v>
      </c>
      <c r="B672" s="63" t="s">
        <v>1965</v>
      </c>
      <c r="C672" s="63" t="s">
        <v>953</v>
      </c>
      <c r="D672" s="63" t="s">
        <v>1966</v>
      </c>
      <c r="E672" s="65">
        <v>45838</v>
      </c>
      <c r="F672" s="65">
        <v>45838</v>
      </c>
      <c r="G672" s="64">
        <v>15785.98</v>
      </c>
      <c r="H672" s="92"/>
    </row>
    <row r="673" spans="1:8" x14ac:dyDescent="0.3">
      <c r="A673" s="63" t="s">
        <v>1947</v>
      </c>
      <c r="B673" s="63" t="s">
        <v>1967</v>
      </c>
      <c r="C673" s="63" t="s">
        <v>953</v>
      </c>
      <c r="D673" s="63" t="s">
        <v>1968</v>
      </c>
      <c r="E673" s="65">
        <v>45838</v>
      </c>
      <c r="F673" s="65">
        <v>45838</v>
      </c>
      <c r="G673" s="64">
        <v>1743.03</v>
      </c>
      <c r="H673" s="92"/>
    </row>
    <row r="674" spans="1:8" x14ac:dyDescent="0.3">
      <c r="A674" s="63" t="s">
        <v>1947</v>
      </c>
      <c r="B674" s="63" t="s">
        <v>1969</v>
      </c>
      <c r="C674" s="63" t="s">
        <v>953</v>
      </c>
      <c r="D674" s="63" t="s">
        <v>1970</v>
      </c>
      <c r="E674" s="65">
        <v>45838</v>
      </c>
      <c r="F674" s="65">
        <v>45838</v>
      </c>
      <c r="G674" s="64">
        <v>2051.77</v>
      </c>
      <c r="H674" s="92"/>
    </row>
    <row r="675" spans="1:8" x14ac:dyDescent="0.3">
      <c r="A675" s="63" t="s">
        <v>1947</v>
      </c>
      <c r="B675" s="63" t="s">
        <v>1971</v>
      </c>
      <c r="C675" s="63" t="s">
        <v>953</v>
      </c>
      <c r="D675" s="63" t="s">
        <v>1970</v>
      </c>
      <c r="E675" s="65">
        <v>45838</v>
      </c>
      <c r="F675" s="65">
        <v>45838</v>
      </c>
      <c r="G675" s="64">
        <v>736.53</v>
      </c>
      <c r="H675" s="92"/>
    </row>
    <row r="676" spans="1:8" x14ac:dyDescent="0.3">
      <c r="A676" s="63" t="s">
        <v>1947</v>
      </c>
      <c r="B676" s="63" t="s">
        <v>1972</v>
      </c>
      <c r="C676" s="63" t="s">
        <v>953</v>
      </c>
      <c r="D676" s="63" t="s">
        <v>1973</v>
      </c>
      <c r="E676" s="65">
        <v>45838</v>
      </c>
      <c r="F676" s="65">
        <v>45838</v>
      </c>
      <c r="G676" s="64">
        <v>5577.58</v>
      </c>
      <c r="H676" s="92"/>
    </row>
    <row r="677" spans="1:8" x14ac:dyDescent="0.3">
      <c r="A677" s="63" t="s">
        <v>1947</v>
      </c>
      <c r="B677" s="63" t="s">
        <v>1974</v>
      </c>
      <c r="C677" s="63" t="s">
        <v>953</v>
      </c>
      <c r="D677" s="63" t="s">
        <v>1975</v>
      </c>
      <c r="E677" s="65">
        <v>45838</v>
      </c>
      <c r="F677" s="65">
        <v>45838</v>
      </c>
      <c r="G677" s="64">
        <v>12404.15</v>
      </c>
      <c r="H677" s="92"/>
    </row>
    <row r="678" spans="1:8" x14ac:dyDescent="0.3">
      <c r="A678" s="63" t="s">
        <v>1947</v>
      </c>
      <c r="B678" s="63" t="s">
        <v>1976</v>
      </c>
      <c r="C678" s="63" t="s">
        <v>953</v>
      </c>
      <c r="D678" s="63" t="s">
        <v>1977</v>
      </c>
      <c r="E678" s="65">
        <v>45838</v>
      </c>
      <c r="F678" s="65">
        <v>45838</v>
      </c>
      <c r="G678" s="64">
        <v>8553.5300000000007</v>
      </c>
      <c r="H678" s="92"/>
    </row>
    <row r="679" spans="1:8" x14ac:dyDescent="0.3">
      <c r="A679" s="63" t="s">
        <v>1947</v>
      </c>
      <c r="B679" s="63" t="s">
        <v>1978</v>
      </c>
      <c r="C679" s="63" t="s">
        <v>953</v>
      </c>
      <c r="D679" s="63" t="s">
        <v>1979</v>
      </c>
      <c r="E679" s="65">
        <v>45838</v>
      </c>
      <c r="F679" s="65">
        <v>45838</v>
      </c>
      <c r="G679" s="64">
        <v>10305.52</v>
      </c>
      <c r="H679" s="92"/>
    </row>
    <row r="680" spans="1:8" x14ac:dyDescent="0.3">
      <c r="A680" s="63" t="s">
        <v>1947</v>
      </c>
      <c r="B680" s="63" t="s">
        <v>1980</v>
      </c>
      <c r="C680" s="63" t="s">
        <v>953</v>
      </c>
      <c r="D680" s="63" t="s">
        <v>1010</v>
      </c>
      <c r="E680" s="65">
        <v>45838</v>
      </c>
      <c r="F680" s="65">
        <v>45838</v>
      </c>
      <c r="G680" s="64">
        <v>5292.27</v>
      </c>
      <c r="H680" s="92"/>
    </row>
    <row r="681" spans="1:8" x14ac:dyDescent="0.3">
      <c r="A681" s="63" t="s">
        <v>1947</v>
      </c>
      <c r="B681" s="63" t="s">
        <v>1981</v>
      </c>
      <c r="C681" s="63" t="s">
        <v>953</v>
      </c>
      <c r="D681" s="63" t="s">
        <v>1982</v>
      </c>
      <c r="E681" s="65">
        <v>45838</v>
      </c>
      <c r="F681" s="65">
        <v>45838</v>
      </c>
      <c r="G681" s="64">
        <v>4965.74</v>
      </c>
      <c r="H681" s="92"/>
    </row>
    <row r="682" spans="1:8" x14ac:dyDescent="0.3">
      <c r="A682" s="63" t="s">
        <v>1947</v>
      </c>
      <c r="B682" s="63" t="s">
        <v>1983</v>
      </c>
      <c r="C682" s="63" t="s">
        <v>953</v>
      </c>
      <c r="D682" s="63" t="s">
        <v>1984</v>
      </c>
      <c r="E682" s="65">
        <v>45838</v>
      </c>
      <c r="F682" s="65">
        <v>45838</v>
      </c>
      <c r="G682" s="64">
        <v>1346.8</v>
      </c>
      <c r="H682" s="92"/>
    </row>
    <row r="683" spans="1:8" x14ac:dyDescent="0.3">
      <c r="A683" s="63" t="s">
        <v>1947</v>
      </c>
      <c r="B683" s="63" t="s">
        <v>1985</v>
      </c>
      <c r="C683" s="63" t="s">
        <v>953</v>
      </c>
      <c r="D683" s="63" t="s">
        <v>1986</v>
      </c>
      <c r="E683" s="65">
        <v>45838</v>
      </c>
      <c r="F683" s="65">
        <v>45838</v>
      </c>
      <c r="G683" s="64">
        <v>900.1</v>
      </c>
      <c r="H683" s="92"/>
    </row>
    <row r="684" spans="1:8" x14ac:dyDescent="0.3">
      <c r="A684" s="63" t="s">
        <v>1947</v>
      </c>
      <c r="B684" s="63" t="s">
        <v>1987</v>
      </c>
      <c r="C684" s="63" t="s">
        <v>953</v>
      </c>
      <c r="D684" s="63" t="s">
        <v>1266</v>
      </c>
      <c r="E684" s="65">
        <v>45838</v>
      </c>
      <c r="F684" s="65">
        <v>45838</v>
      </c>
      <c r="G684" s="64">
        <v>5198.17</v>
      </c>
      <c r="H684" s="92"/>
    </row>
    <row r="685" spans="1:8" x14ac:dyDescent="0.3">
      <c r="A685" s="63" t="s">
        <v>1947</v>
      </c>
      <c r="B685" s="63" t="s">
        <v>1988</v>
      </c>
      <c r="C685" s="63" t="s">
        <v>953</v>
      </c>
      <c r="D685" s="63" t="s">
        <v>1266</v>
      </c>
      <c r="E685" s="65">
        <v>45838</v>
      </c>
      <c r="F685" s="65">
        <v>45838</v>
      </c>
      <c r="G685" s="64">
        <v>27414.560000000001</v>
      </c>
      <c r="H685" s="92"/>
    </row>
    <row r="686" spans="1:8" x14ac:dyDescent="0.3">
      <c r="A686" s="63" t="s">
        <v>1947</v>
      </c>
      <c r="B686" s="63" t="s">
        <v>1989</v>
      </c>
      <c r="C686" s="63" t="s">
        <v>953</v>
      </c>
      <c r="D686" s="63" t="s">
        <v>1282</v>
      </c>
      <c r="E686" s="65">
        <v>45838</v>
      </c>
      <c r="F686" s="65">
        <v>45838</v>
      </c>
      <c r="G686" s="64">
        <v>6035.67</v>
      </c>
      <c r="H686" s="92"/>
    </row>
    <row r="687" spans="1:8" x14ac:dyDescent="0.3">
      <c r="A687" s="63" t="s">
        <v>1947</v>
      </c>
      <c r="B687" s="63" t="s">
        <v>1990</v>
      </c>
      <c r="C687" s="63" t="s">
        <v>953</v>
      </c>
      <c r="D687" s="63" t="s">
        <v>1991</v>
      </c>
      <c r="E687" s="65">
        <v>45838</v>
      </c>
      <c r="F687" s="65">
        <v>45838</v>
      </c>
      <c r="G687" s="64">
        <v>2328.46</v>
      </c>
      <c r="H687" s="92"/>
    </row>
    <row r="688" spans="1:8" x14ac:dyDescent="0.3">
      <c r="A688" s="63" t="s">
        <v>1947</v>
      </c>
      <c r="B688" s="63" t="s">
        <v>1992</v>
      </c>
      <c r="C688" s="63" t="s">
        <v>953</v>
      </c>
      <c r="D688" s="63" t="s">
        <v>1993</v>
      </c>
      <c r="E688" s="65">
        <v>45838</v>
      </c>
      <c r="F688" s="65">
        <v>45838</v>
      </c>
      <c r="G688" s="64">
        <v>1323.89</v>
      </c>
      <c r="H688" s="92"/>
    </row>
    <row r="689" spans="1:8" x14ac:dyDescent="0.3">
      <c r="A689" s="63" t="s">
        <v>1947</v>
      </c>
      <c r="B689" s="63" t="s">
        <v>1994</v>
      </c>
      <c r="C689" s="63" t="s">
        <v>953</v>
      </c>
      <c r="D689" s="63" t="s">
        <v>1995</v>
      </c>
      <c r="E689" s="65">
        <v>45838</v>
      </c>
      <c r="F689" s="65">
        <v>45838</v>
      </c>
      <c r="G689" s="64">
        <v>10278.51</v>
      </c>
      <c r="H689" s="92"/>
    </row>
    <row r="690" spans="1:8" x14ac:dyDescent="0.3">
      <c r="A690" s="63" t="s">
        <v>1947</v>
      </c>
      <c r="B690" s="63" t="s">
        <v>1996</v>
      </c>
      <c r="C690" s="63" t="s">
        <v>953</v>
      </c>
      <c r="D690" s="63" t="s">
        <v>953</v>
      </c>
      <c r="E690" s="65">
        <v>45838</v>
      </c>
      <c r="F690" s="65">
        <v>45838</v>
      </c>
      <c r="G690" s="64">
        <v>1621.78</v>
      </c>
      <c r="H690" s="92"/>
    </row>
    <row r="691" spans="1:8" x14ac:dyDescent="0.3">
      <c r="A691" s="63" t="s">
        <v>1947</v>
      </c>
      <c r="B691" s="63" t="s">
        <v>1997</v>
      </c>
      <c r="C691" s="63" t="s">
        <v>953</v>
      </c>
      <c r="D691" s="63" t="s">
        <v>953</v>
      </c>
      <c r="E691" s="65">
        <v>45838</v>
      </c>
      <c r="F691" s="65">
        <v>45838</v>
      </c>
      <c r="G691" s="64">
        <v>11263.06</v>
      </c>
      <c r="H691" s="92"/>
    </row>
    <row r="692" spans="1:8" x14ac:dyDescent="0.3">
      <c r="A692" s="63" t="s">
        <v>1947</v>
      </c>
      <c r="B692" s="63" t="s">
        <v>1998</v>
      </c>
      <c r="C692" s="63" t="s">
        <v>953</v>
      </c>
      <c r="D692" s="63" t="s">
        <v>953</v>
      </c>
      <c r="E692" s="65">
        <v>45838</v>
      </c>
      <c r="F692" s="65">
        <v>45838</v>
      </c>
      <c r="G692" s="64">
        <v>54803.85</v>
      </c>
      <c r="H692" s="92"/>
    </row>
    <row r="693" spans="1:8" x14ac:dyDescent="0.3">
      <c r="A693" s="63" t="s">
        <v>1999</v>
      </c>
      <c r="B693" s="63" t="s">
        <v>2000</v>
      </c>
      <c r="C693" s="63" t="s">
        <v>953</v>
      </c>
      <c r="D693" s="63" t="s">
        <v>2001</v>
      </c>
      <c r="E693" s="65">
        <v>45656</v>
      </c>
      <c r="F693" s="65">
        <v>45656</v>
      </c>
      <c r="G693" s="64">
        <v>101268.44</v>
      </c>
      <c r="H693" s="92"/>
    </row>
    <row r="694" spans="1:8" x14ac:dyDescent="0.3">
      <c r="A694" s="63" t="s">
        <v>1999</v>
      </c>
      <c r="B694" s="63" t="s">
        <v>2002</v>
      </c>
      <c r="C694" s="63" t="s">
        <v>953</v>
      </c>
      <c r="D694" s="63" t="s">
        <v>2003</v>
      </c>
      <c r="E694" s="65">
        <v>45656</v>
      </c>
      <c r="F694" s="65">
        <v>45656</v>
      </c>
      <c r="G694" s="64">
        <v>5380</v>
      </c>
      <c r="H694" s="92"/>
    </row>
    <row r="695" spans="1:8" x14ac:dyDescent="0.3">
      <c r="A695" s="63" t="s">
        <v>1999</v>
      </c>
      <c r="B695" s="63" t="s">
        <v>2004</v>
      </c>
      <c r="C695" s="63" t="s">
        <v>953</v>
      </c>
      <c r="D695" s="63" t="s">
        <v>2005</v>
      </c>
      <c r="E695" s="65">
        <v>45656</v>
      </c>
      <c r="F695" s="65">
        <v>45656</v>
      </c>
      <c r="G695" s="64">
        <v>15073.73</v>
      </c>
      <c r="H695" s="92"/>
    </row>
    <row r="696" spans="1:8" x14ac:dyDescent="0.3">
      <c r="A696" s="63" t="s">
        <v>1999</v>
      </c>
      <c r="B696" s="63" t="s">
        <v>2006</v>
      </c>
      <c r="C696" s="63" t="s">
        <v>953</v>
      </c>
      <c r="D696" s="63" t="s">
        <v>2007</v>
      </c>
      <c r="E696" s="65">
        <v>45656</v>
      </c>
      <c r="F696" s="65">
        <v>45656</v>
      </c>
      <c r="G696" s="64">
        <v>4270.82</v>
      </c>
      <c r="H696" s="92"/>
    </row>
    <row r="697" spans="1:8" x14ac:dyDescent="0.3">
      <c r="A697" s="63" t="s">
        <v>1999</v>
      </c>
      <c r="B697" s="63" t="s">
        <v>2008</v>
      </c>
      <c r="C697" s="63" t="s">
        <v>953</v>
      </c>
      <c r="D697" s="63" t="s">
        <v>2009</v>
      </c>
      <c r="E697" s="65">
        <v>45656</v>
      </c>
      <c r="F697" s="65">
        <v>45656</v>
      </c>
      <c r="G697" s="64">
        <v>43643.31</v>
      </c>
      <c r="H697" s="92"/>
    </row>
    <row r="698" spans="1:8" x14ac:dyDescent="0.3">
      <c r="A698" s="63" t="s">
        <v>1999</v>
      </c>
      <c r="B698" s="63" t="s">
        <v>2010</v>
      </c>
      <c r="C698" s="63" t="s">
        <v>953</v>
      </c>
      <c r="D698" s="63" t="s">
        <v>2011</v>
      </c>
      <c r="E698" s="65">
        <v>45657</v>
      </c>
      <c r="F698" s="65">
        <v>45657</v>
      </c>
      <c r="G698" s="64">
        <v>16125.28</v>
      </c>
      <c r="H698" s="92"/>
    </row>
    <row r="699" spans="1:8" x14ac:dyDescent="0.3">
      <c r="A699" s="63" t="s">
        <v>2012</v>
      </c>
      <c r="B699" s="63" t="s">
        <v>2013</v>
      </c>
      <c r="C699" s="63" t="s">
        <v>953</v>
      </c>
      <c r="D699" s="63" t="s">
        <v>2014</v>
      </c>
      <c r="E699" s="65">
        <v>44610</v>
      </c>
      <c r="F699" s="65">
        <v>44610</v>
      </c>
      <c r="G699" s="64">
        <v>4432.18</v>
      </c>
      <c r="H699" s="92"/>
    </row>
    <row r="700" spans="1:8" x14ac:dyDescent="0.3">
      <c r="A700" s="63" t="s">
        <v>2012</v>
      </c>
      <c r="B700" s="63" t="s">
        <v>2015</v>
      </c>
      <c r="C700" s="63" t="s">
        <v>953</v>
      </c>
      <c r="D700" s="63" t="s">
        <v>2016</v>
      </c>
      <c r="E700" s="65">
        <v>44774</v>
      </c>
      <c r="F700" s="65">
        <v>44774</v>
      </c>
      <c r="G700" s="64">
        <v>10550.24</v>
      </c>
      <c r="H700" s="92"/>
    </row>
    <row r="701" spans="1:8" x14ac:dyDescent="0.3">
      <c r="A701" s="63" t="s">
        <v>2012</v>
      </c>
      <c r="B701" s="63" t="s">
        <v>2017</v>
      </c>
      <c r="C701" s="63" t="s">
        <v>953</v>
      </c>
      <c r="D701" s="63" t="s">
        <v>953</v>
      </c>
      <c r="E701" s="65">
        <v>44895</v>
      </c>
      <c r="F701" s="65">
        <v>44895</v>
      </c>
      <c r="G701" s="64">
        <v>2713.56</v>
      </c>
      <c r="H701" s="92"/>
    </row>
    <row r="702" spans="1:8" x14ac:dyDescent="0.3">
      <c r="A702" s="63" t="s">
        <v>2018</v>
      </c>
      <c r="B702" s="63" t="s">
        <v>2019</v>
      </c>
      <c r="C702" s="63" t="s">
        <v>953</v>
      </c>
      <c r="D702" s="63" t="s">
        <v>2018</v>
      </c>
      <c r="E702" s="65">
        <v>45707</v>
      </c>
      <c r="F702" s="65">
        <v>45707</v>
      </c>
      <c r="G702" s="64">
        <v>360</v>
      </c>
      <c r="H702" s="92"/>
    </row>
    <row r="703" spans="1:8" x14ac:dyDescent="0.3">
      <c r="A703" s="63" t="s">
        <v>2020</v>
      </c>
      <c r="B703" s="63" t="s">
        <v>2021</v>
      </c>
      <c r="C703" s="63" t="s">
        <v>953</v>
      </c>
      <c r="D703" s="63" t="s">
        <v>1930</v>
      </c>
      <c r="E703" s="65">
        <v>45789</v>
      </c>
      <c r="F703" s="65">
        <v>45789</v>
      </c>
      <c r="G703" s="64">
        <v>327.11</v>
      </c>
      <c r="H703" s="92"/>
    </row>
    <row r="704" spans="1:8" x14ac:dyDescent="0.3">
      <c r="A704" s="63" t="s">
        <v>2020</v>
      </c>
      <c r="B704" s="63" t="s">
        <v>2022</v>
      </c>
      <c r="C704" s="63" t="s">
        <v>953</v>
      </c>
      <c r="D704" s="63" t="s">
        <v>1010</v>
      </c>
      <c r="E704" s="65">
        <v>45814</v>
      </c>
      <c r="F704" s="65">
        <v>45814</v>
      </c>
      <c r="G704" s="64">
        <v>750</v>
      </c>
      <c r="H704" s="92"/>
    </row>
    <row r="705" spans="1:8" x14ac:dyDescent="0.3">
      <c r="A705" s="63" t="s">
        <v>2020</v>
      </c>
      <c r="B705" s="63" t="s">
        <v>2023</v>
      </c>
      <c r="C705" s="63" t="s">
        <v>953</v>
      </c>
      <c r="D705" s="63" t="s">
        <v>2024</v>
      </c>
      <c r="E705" s="65">
        <v>45838</v>
      </c>
      <c r="F705" s="65">
        <v>45838</v>
      </c>
      <c r="G705" s="64">
        <v>4000</v>
      </c>
      <c r="H705" s="92"/>
    </row>
    <row r="706" spans="1:8" x14ac:dyDescent="0.3">
      <c r="A706" s="63" t="s">
        <v>2020</v>
      </c>
      <c r="B706" s="63" t="s">
        <v>2025</v>
      </c>
      <c r="C706" s="63" t="s">
        <v>953</v>
      </c>
      <c r="D706" s="63" t="s">
        <v>2026</v>
      </c>
      <c r="E706" s="65">
        <v>45838</v>
      </c>
      <c r="F706" s="65">
        <v>45838</v>
      </c>
      <c r="G706" s="64">
        <v>11636.5</v>
      </c>
      <c r="H706" s="92"/>
    </row>
    <row r="707" spans="1:8" x14ac:dyDescent="0.3">
      <c r="A707" s="63" t="s">
        <v>2027</v>
      </c>
      <c r="B707" s="63" t="s">
        <v>2028</v>
      </c>
      <c r="C707" s="63" t="s">
        <v>953</v>
      </c>
      <c r="D707" s="63" t="s">
        <v>2029</v>
      </c>
      <c r="E707" s="65">
        <v>45617</v>
      </c>
      <c r="F707" s="65">
        <v>45617</v>
      </c>
      <c r="G707" s="64">
        <v>6549.98</v>
      </c>
      <c r="H707" s="92"/>
    </row>
    <row r="708" spans="1:8" x14ac:dyDescent="0.3">
      <c r="A708" s="63" t="s">
        <v>2027</v>
      </c>
      <c r="B708" s="63" t="s">
        <v>2030</v>
      </c>
      <c r="C708" s="63" t="s">
        <v>953</v>
      </c>
      <c r="D708" s="63" t="s">
        <v>2031</v>
      </c>
      <c r="E708" s="65">
        <v>45635</v>
      </c>
      <c r="F708" s="65">
        <v>45635</v>
      </c>
      <c r="G708" s="64">
        <v>3532.37</v>
      </c>
      <c r="H708" s="92"/>
    </row>
    <row r="709" spans="1:8" x14ac:dyDescent="0.3">
      <c r="A709" s="63" t="s">
        <v>2027</v>
      </c>
      <c r="B709" s="63" t="s">
        <v>2032</v>
      </c>
      <c r="C709" s="63" t="s">
        <v>953</v>
      </c>
      <c r="D709" s="63" t="s">
        <v>953</v>
      </c>
      <c r="E709" s="65">
        <v>45638</v>
      </c>
      <c r="F709" s="65">
        <v>45638</v>
      </c>
      <c r="G709" s="64">
        <v>766.8</v>
      </c>
      <c r="H709" s="92"/>
    </row>
    <row r="710" spans="1:8" x14ac:dyDescent="0.3">
      <c r="A710" s="63" t="s">
        <v>2033</v>
      </c>
      <c r="B710" s="63" t="s">
        <v>2034</v>
      </c>
      <c r="C710" s="63" t="s">
        <v>953</v>
      </c>
      <c r="D710" s="63" t="s">
        <v>2035</v>
      </c>
      <c r="E710" s="65">
        <v>45173</v>
      </c>
      <c r="F710" s="65">
        <v>45173</v>
      </c>
      <c r="G710" s="64">
        <v>15286.4</v>
      </c>
      <c r="H710" s="92"/>
    </row>
    <row r="711" spans="1:8" x14ac:dyDescent="0.3">
      <c r="A711" s="63" t="s">
        <v>2033</v>
      </c>
      <c r="B711" s="63" t="s">
        <v>2036</v>
      </c>
      <c r="C711" s="63" t="s">
        <v>953</v>
      </c>
      <c r="D711" s="63" t="s">
        <v>2037</v>
      </c>
      <c r="E711" s="65">
        <v>45198</v>
      </c>
      <c r="F711" s="65">
        <v>45198</v>
      </c>
      <c r="G711" s="64">
        <v>170029.57</v>
      </c>
      <c r="H711" s="92"/>
    </row>
    <row r="712" spans="1:8" x14ac:dyDescent="0.3">
      <c r="A712" s="63" t="s">
        <v>2033</v>
      </c>
      <c r="B712" s="63" t="s">
        <v>2038</v>
      </c>
      <c r="C712" s="63" t="s">
        <v>953</v>
      </c>
      <c r="D712" s="63" t="s">
        <v>2037</v>
      </c>
      <c r="E712" s="65">
        <v>45211</v>
      </c>
      <c r="F712" s="65">
        <v>45211</v>
      </c>
      <c r="G712" s="64">
        <v>17413.349999999999</v>
      </c>
      <c r="H712" s="92"/>
    </row>
    <row r="713" spans="1:8" x14ac:dyDescent="0.3">
      <c r="A713" s="63" t="s">
        <v>2033</v>
      </c>
      <c r="B713" s="63" t="s">
        <v>2039</v>
      </c>
      <c r="C713" s="63" t="s">
        <v>953</v>
      </c>
      <c r="D713" s="63" t="s">
        <v>2040</v>
      </c>
      <c r="E713" s="65">
        <v>45211</v>
      </c>
      <c r="F713" s="65">
        <v>45211</v>
      </c>
      <c r="G713" s="64">
        <v>15419.9</v>
      </c>
      <c r="H713" s="92"/>
    </row>
    <row r="714" spans="1:8" x14ac:dyDescent="0.3">
      <c r="A714" s="63" t="s">
        <v>2033</v>
      </c>
      <c r="B714" s="63" t="s">
        <v>2041</v>
      </c>
      <c r="C714" s="63" t="s">
        <v>953</v>
      </c>
      <c r="D714" s="63" t="s">
        <v>2042</v>
      </c>
      <c r="E714" s="65">
        <v>45211</v>
      </c>
      <c r="F714" s="65">
        <v>45211</v>
      </c>
      <c r="G714" s="64">
        <v>55851.62</v>
      </c>
      <c r="H714" s="92"/>
    </row>
    <row r="715" spans="1:8" x14ac:dyDescent="0.3">
      <c r="A715" s="63" t="s">
        <v>2033</v>
      </c>
      <c r="B715" s="63" t="s">
        <v>2043</v>
      </c>
      <c r="C715" s="63" t="s">
        <v>953</v>
      </c>
      <c r="D715" s="63" t="s">
        <v>1938</v>
      </c>
      <c r="E715" s="65">
        <v>45211</v>
      </c>
      <c r="F715" s="65">
        <v>45211</v>
      </c>
      <c r="G715" s="64">
        <v>24483.8</v>
      </c>
      <c r="H715" s="92"/>
    </row>
    <row r="716" spans="1:8" x14ac:dyDescent="0.3">
      <c r="A716" s="63" t="s">
        <v>2033</v>
      </c>
      <c r="B716" s="63" t="s">
        <v>2044</v>
      </c>
      <c r="C716" s="63" t="s">
        <v>953</v>
      </c>
      <c r="D716" s="63" t="s">
        <v>2035</v>
      </c>
      <c r="E716" s="65">
        <v>45211</v>
      </c>
      <c r="F716" s="65">
        <v>45211</v>
      </c>
      <c r="G716" s="64">
        <v>7560</v>
      </c>
      <c r="H716" s="92"/>
    </row>
    <row r="717" spans="1:8" x14ac:dyDescent="0.3">
      <c r="A717" s="63" t="s">
        <v>2033</v>
      </c>
      <c r="B717" s="63" t="s">
        <v>2045</v>
      </c>
      <c r="C717" s="63" t="s">
        <v>953</v>
      </c>
      <c r="D717" s="63" t="s">
        <v>2046</v>
      </c>
      <c r="E717" s="65">
        <v>45211</v>
      </c>
      <c r="F717" s="65">
        <v>45211</v>
      </c>
      <c r="G717" s="64">
        <v>39216.120000000003</v>
      </c>
      <c r="H717" s="92"/>
    </row>
    <row r="718" spans="1:8" x14ac:dyDescent="0.3">
      <c r="A718" s="63" t="s">
        <v>2033</v>
      </c>
      <c r="B718" s="63" t="s">
        <v>2047</v>
      </c>
      <c r="C718" s="63" t="s">
        <v>953</v>
      </c>
      <c r="D718" s="63" t="s">
        <v>1946</v>
      </c>
      <c r="E718" s="65">
        <v>45211</v>
      </c>
      <c r="F718" s="65">
        <v>45211</v>
      </c>
      <c r="G718" s="64">
        <v>12147.75</v>
      </c>
      <c r="H718" s="92"/>
    </row>
    <row r="719" spans="1:8" x14ac:dyDescent="0.3">
      <c r="A719" s="63" t="s">
        <v>2033</v>
      </c>
      <c r="B719" s="63" t="s">
        <v>2048</v>
      </c>
      <c r="C719" s="63" t="s">
        <v>953</v>
      </c>
      <c r="D719" s="63" t="s">
        <v>2049</v>
      </c>
      <c r="E719" s="65">
        <v>45211</v>
      </c>
      <c r="F719" s="65">
        <v>45211</v>
      </c>
      <c r="G719" s="64">
        <v>23993.46</v>
      </c>
      <c r="H719" s="92"/>
    </row>
    <row r="720" spans="1:8" x14ac:dyDescent="0.3">
      <c r="A720" s="63" t="s">
        <v>2033</v>
      </c>
      <c r="B720" s="63" t="s">
        <v>2050</v>
      </c>
      <c r="C720" s="63" t="s">
        <v>953</v>
      </c>
      <c r="D720" s="63" t="s">
        <v>1479</v>
      </c>
      <c r="E720" s="65">
        <v>45211</v>
      </c>
      <c r="F720" s="65">
        <v>45211</v>
      </c>
      <c r="G720" s="64">
        <v>11204.81</v>
      </c>
      <c r="H720" s="92"/>
    </row>
    <row r="721" spans="1:8" x14ac:dyDescent="0.3">
      <c r="A721" s="63" t="s">
        <v>2033</v>
      </c>
      <c r="B721" s="63" t="s">
        <v>2051</v>
      </c>
      <c r="C721" s="63" t="s">
        <v>953</v>
      </c>
      <c r="D721" s="63" t="s">
        <v>2052</v>
      </c>
      <c r="E721" s="65">
        <v>45211</v>
      </c>
      <c r="F721" s="65">
        <v>45211</v>
      </c>
      <c r="G721" s="64">
        <v>32158.12</v>
      </c>
      <c r="H721" s="92"/>
    </row>
    <row r="722" spans="1:8" x14ac:dyDescent="0.3">
      <c r="A722" s="63" t="s">
        <v>2033</v>
      </c>
      <c r="B722" s="63" t="s">
        <v>2053</v>
      </c>
      <c r="C722" s="63" t="s">
        <v>953</v>
      </c>
      <c r="D722" s="63" t="s">
        <v>2035</v>
      </c>
      <c r="E722" s="65">
        <v>45282</v>
      </c>
      <c r="F722" s="65">
        <v>45282</v>
      </c>
      <c r="G722" s="64">
        <v>29341.05</v>
      </c>
      <c r="H722" s="92"/>
    </row>
    <row r="723" spans="1:8" x14ac:dyDescent="0.3">
      <c r="A723" s="63" t="s">
        <v>2033</v>
      </c>
      <c r="B723" s="63" t="s">
        <v>2054</v>
      </c>
      <c r="C723" s="63" t="s">
        <v>953</v>
      </c>
      <c r="D723" s="63" t="s">
        <v>1479</v>
      </c>
      <c r="E723" s="65">
        <v>45282</v>
      </c>
      <c r="F723" s="65">
        <v>45282</v>
      </c>
      <c r="G723" s="64">
        <v>7723.3</v>
      </c>
      <c r="H723" s="92"/>
    </row>
    <row r="724" spans="1:8" x14ac:dyDescent="0.3">
      <c r="A724" s="63" t="s">
        <v>2033</v>
      </c>
      <c r="B724" s="63" t="s">
        <v>2055</v>
      </c>
      <c r="C724" s="63" t="s">
        <v>953</v>
      </c>
      <c r="D724" s="63" t="s">
        <v>2042</v>
      </c>
      <c r="E724" s="65">
        <v>45385</v>
      </c>
      <c r="F724" s="65">
        <v>45385</v>
      </c>
      <c r="G724" s="64">
        <v>431.39</v>
      </c>
      <c r="H724" s="92"/>
    </row>
    <row r="725" spans="1:8" x14ac:dyDescent="0.3">
      <c r="A725" s="63" t="s">
        <v>2033</v>
      </c>
      <c r="B725" s="63" t="s">
        <v>2056</v>
      </c>
      <c r="C725" s="63" t="s">
        <v>953</v>
      </c>
      <c r="D725" s="63" t="s">
        <v>2037</v>
      </c>
      <c r="E725" s="65">
        <v>45448</v>
      </c>
      <c r="F725" s="65">
        <v>45448</v>
      </c>
      <c r="G725" s="64">
        <v>-1584</v>
      </c>
      <c r="H725" s="92"/>
    </row>
    <row r="726" spans="1:8" x14ac:dyDescent="0.3">
      <c r="A726" s="63" t="s">
        <v>2033</v>
      </c>
      <c r="B726" s="63" t="s">
        <v>2057</v>
      </c>
      <c r="C726" s="63" t="s">
        <v>953</v>
      </c>
      <c r="D726" s="63" t="s">
        <v>2037</v>
      </c>
      <c r="E726" s="65">
        <v>45535</v>
      </c>
      <c r="F726" s="65">
        <v>45535</v>
      </c>
      <c r="G726" s="64">
        <v>24995.51</v>
      </c>
      <c r="H726" s="92"/>
    </row>
    <row r="727" spans="1:8" x14ac:dyDescent="0.3">
      <c r="A727" s="63" t="s">
        <v>2033</v>
      </c>
      <c r="B727" s="63" t="s">
        <v>2058</v>
      </c>
      <c r="C727" s="63" t="s">
        <v>953</v>
      </c>
      <c r="D727" s="63" t="s">
        <v>2035</v>
      </c>
      <c r="E727" s="65">
        <v>45535</v>
      </c>
      <c r="F727" s="65">
        <v>45535</v>
      </c>
      <c r="G727" s="64">
        <v>11626.16</v>
      </c>
      <c r="H727" s="92"/>
    </row>
    <row r="728" spans="1:8" x14ac:dyDescent="0.3">
      <c r="A728" s="63" t="s">
        <v>2033</v>
      </c>
      <c r="B728" s="63" t="s">
        <v>2059</v>
      </c>
      <c r="C728" s="63" t="s">
        <v>953</v>
      </c>
      <c r="D728" s="63" t="s">
        <v>2060</v>
      </c>
      <c r="E728" s="65">
        <v>45535</v>
      </c>
      <c r="F728" s="65">
        <v>45535</v>
      </c>
      <c r="G728" s="64">
        <v>2497.89</v>
      </c>
      <c r="H728" s="92"/>
    </row>
    <row r="729" spans="1:8" x14ac:dyDescent="0.3">
      <c r="A729" s="63" t="s">
        <v>2033</v>
      </c>
      <c r="B729" s="63" t="s">
        <v>2061</v>
      </c>
      <c r="C729" s="63" t="s">
        <v>953</v>
      </c>
      <c r="D729" s="63" t="s">
        <v>2026</v>
      </c>
      <c r="E729" s="65">
        <v>45657</v>
      </c>
      <c r="F729" s="65">
        <v>45657</v>
      </c>
      <c r="G729" s="64">
        <v>246.24</v>
      </c>
      <c r="H729" s="92"/>
    </row>
    <row r="730" spans="1:8" x14ac:dyDescent="0.3">
      <c r="A730" s="63" t="s">
        <v>2033</v>
      </c>
      <c r="B730" s="63" t="s">
        <v>2062</v>
      </c>
      <c r="C730" s="63" t="s">
        <v>953</v>
      </c>
      <c r="D730" s="63" t="s">
        <v>2035</v>
      </c>
      <c r="E730" s="65">
        <v>45838</v>
      </c>
      <c r="F730" s="65">
        <v>45838</v>
      </c>
      <c r="G730" s="64">
        <v>20763.919999999998</v>
      </c>
      <c r="H730" s="92"/>
    </row>
    <row r="731" spans="1:8" x14ac:dyDescent="0.3">
      <c r="A731" s="63" t="s">
        <v>2033</v>
      </c>
      <c r="B731" s="63" t="s">
        <v>2063</v>
      </c>
      <c r="C731" s="63" t="s">
        <v>953</v>
      </c>
      <c r="D731" s="63" t="s">
        <v>2046</v>
      </c>
      <c r="E731" s="65">
        <v>45838</v>
      </c>
      <c r="F731" s="65">
        <v>45838</v>
      </c>
      <c r="G731" s="64">
        <v>7310.13</v>
      </c>
      <c r="H731" s="92"/>
    </row>
    <row r="732" spans="1:8" x14ac:dyDescent="0.3">
      <c r="A732" s="63" t="s">
        <v>2033</v>
      </c>
      <c r="B732" s="63" t="s">
        <v>2064</v>
      </c>
      <c r="C732" s="63" t="s">
        <v>953</v>
      </c>
      <c r="D732" s="63" t="s">
        <v>1774</v>
      </c>
      <c r="E732" s="65">
        <v>45838</v>
      </c>
      <c r="F732" s="65">
        <v>45838</v>
      </c>
      <c r="G732" s="64">
        <v>1408.32</v>
      </c>
      <c r="H732" s="92"/>
    </row>
    <row r="733" spans="1:8" x14ac:dyDescent="0.3">
      <c r="A733" s="63" t="s">
        <v>2033</v>
      </c>
      <c r="B733" s="63" t="s">
        <v>2065</v>
      </c>
      <c r="C733" s="63" t="s">
        <v>953</v>
      </c>
      <c r="D733" s="63" t="s">
        <v>1479</v>
      </c>
      <c r="E733" s="65">
        <v>45838</v>
      </c>
      <c r="F733" s="65">
        <v>45838</v>
      </c>
      <c r="G733" s="64">
        <v>800</v>
      </c>
      <c r="H733" s="92"/>
    </row>
    <row r="734" spans="1:8" x14ac:dyDescent="0.3">
      <c r="A734" s="63" t="s">
        <v>2033</v>
      </c>
      <c r="B734" s="63" t="s">
        <v>2066</v>
      </c>
      <c r="C734" s="63" t="s">
        <v>953</v>
      </c>
      <c r="D734" s="63" t="s">
        <v>2052</v>
      </c>
      <c r="E734" s="65">
        <v>45838</v>
      </c>
      <c r="F734" s="65">
        <v>45838</v>
      </c>
      <c r="G734" s="64">
        <v>6979.5</v>
      </c>
      <c r="H734" s="92"/>
    </row>
    <row r="735" spans="1:8" x14ac:dyDescent="0.3">
      <c r="A735" s="63" t="s">
        <v>2067</v>
      </c>
      <c r="B735" s="63" t="s">
        <v>2068</v>
      </c>
      <c r="C735" s="63" t="s">
        <v>953</v>
      </c>
      <c r="D735" s="63" t="s">
        <v>953</v>
      </c>
      <c r="E735" s="65">
        <v>45310</v>
      </c>
      <c r="F735" s="65">
        <v>45310</v>
      </c>
      <c r="G735" s="64">
        <v>-645.97</v>
      </c>
      <c r="H735" s="92"/>
    </row>
    <row r="736" spans="1:8" x14ac:dyDescent="0.3">
      <c r="A736" s="63" t="s">
        <v>2067</v>
      </c>
      <c r="B736" s="63" t="s">
        <v>953</v>
      </c>
      <c r="C736" s="63" t="s">
        <v>953</v>
      </c>
      <c r="D736" s="63" t="s">
        <v>953</v>
      </c>
      <c r="E736" s="65">
        <v>45401</v>
      </c>
      <c r="F736" s="65">
        <v>45401</v>
      </c>
      <c r="G736" s="64">
        <v>88927.09</v>
      </c>
      <c r="H736" s="92"/>
    </row>
    <row r="737" spans="1:8" x14ac:dyDescent="0.3">
      <c r="A737" s="63" t="s">
        <v>2067</v>
      </c>
      <c r="B737" s="63" t="s">
        <v>2069</v>
      </c>
      <c r="C737" s="63" t="s">
        <v>953</v>
      </c>
      <c r="D737" s="63" t="s">
        <v>2070</v>
      </c>
      <c r="E737" s="65">
        <v>45580</v>
      </c>
      <c r="F737" s="65">
        <v>45580</v>
      </c>
      <c r="G737" s="64">
        <v>-19863.04</v>
      </c>
      <c r="H737" s="92"/>
    </row>
    <row r="738" spans="1:8" x14ac:dyDescent="0.3">
      <c r="A738" s="63" t="s">
        <v>2067</v>
      </c>
      <c r="B738" s="63" t="s">
        <v>2071</v>
      </c>
      <c r="C738" s="63" t="s">
        <v>953</v>
      </c>
      <c r="D738" s="63" t="s">
        <v>2072</v>
      </c>
      <c r="E738" s="65">
        <v>45580</v>
      </c>
      <c r="F738" s="65">
        <v>45580</v>
      </c>
      <c r="G738" s="64">
        <v>-12800</v>
      </c>
      <c r="H738" s="92"/>
    </row>
    <row r="739" spans="1:8" x14ac:dyDescent="0.3">
      <c r="A739" s="63" t="s">
        <v>2073</v>
      </c>
      <c r="B739" s="63" t="s">
        <v>2074</v>
      </c>
      <c r="C739" s="63" t="s">
        <v>953</v>
      </c>
      <c r="D739" s="63" t="s">
        <v>953</v>
      </c>
      <c r="E739" s="65">
        <v>45838</v>
      </c>
      <c r="F739" s="65">
        <v>45838</v>
      </c>
      <c r="G739" s="64">
        <v>1247.8800000000001</v>
      </c>
      <c r="H739" s="92"/>
    </row>
    <row r="740" spans="1:8" x14ac:dyDescent="0.3">
      <c r="A740" s="63" t="s">
        <v>2075</v>
      </c>
      <c r="B740" s="63" t="s">
        <v>2076</v>
      </c>
      <c r="C740" s="63" t="s">
        <v>953</v>
      </c>
      <c r="D740" s="63" t="s">
        <v>953</v>
      </c>
      <c r="E740" s="65">
        <v>45132</v>
      </c>
      <c r="F740" s="65">
        <v>45132</v>
      </c>
      <c r="G740" s="64">
        <v>2372.52</v>
      </c>
      <c r="H740" s="92"/>
    </row>
    <row r="741" spans="1:8" x14ac:dyDescent="0.3">
      <c r="A741" s="63" t="s">
        <v>2077</v>
      </c>
      <c r="B741" s="63" t="s">
        <v>2078</v>
      </c>
      <c r="C741" s="63" t="s">
        <v>953</v>
      </c>
      <c r="D741" s="63" t="s">
        <v>953</v>
      </c>
      <c r="E741" s="65">
        <v>45681</v>
      </c>
      <c r="F741" s="65">
        <v>45681</v>
      </c>
      <c r="G741" s="64">
        <v>4806.3500000000004</v>
      </c>
      <c r="H741" s="92"/>
    </row>
    <row r="742" spans="1:8" x14ac:dyDescent="0.3">
      <c r="A742" s="63" t="s">
        <v>2079</v>
      </c>
      <c r="B742" s="63" t="s">
        <v>2080</v>
      </c>
      <c r="C742" s="63" t="s">
        <v>953</v>
      </c>
      <c r="D742" s="63" t="s">
        <v>953</v>
      </c>
      <c r="E742" s="65">
        <v>45618</v>
      </c>
      <c r="F742" s="65">
        <v>45618</v>
      </c>
      <c r="G742" s="64">
        <v>5083</v>
      </c>
      <c r="H742" s="92"/>
    </row>
    <row r="743" spans="1:8" x14ac:dyDescent="0.3">
      <c r="A743" s="63" t="s">
        <v>2079</v>
      </c>
      <c r="B743" s="63" t="s">
        <v>2081</v>
      </c>
      <c r="C743" s="63" t="s">
        <v>953</v>
      </c>
      <c r="D743" s="63" t="s">
        <v>953</v>
      </c>
      <c r="E743" s="65">
        <v>45635</v>
      </c>
      <c r="F743" s="65">
        <v>45635</v>
      </c>
      <c r="G743" s="64">
        <v>1357.04</v>
      </c>
      <c r="H743" s="92"/>
    </row>
    <row r="744" spans="1:8" x14ac:dyDescent="0.3">
      <c r="A744" s="63" t="s">
        <v>2079</v>
      </c>
      <c r="B744" s="63" t="s">
        <v>2082</v>
      </c>
      <c r="C744" s="63" t="s">
        <v>953</v>
      </c>
      <c r="D744" s="63" t="s">
        <v>953</v>
      </c>
      <c r="E744" s="65">
        <v>45643</v>
      </c>
      <c r="F744" s="65">
        <v>45643</v>
      </c>
      <c r="G744" s="64">
        <v>239</v>
      </c>
      <c r="H744" s="92"/>
    </row>
    <row r="745" spans="1:8" x14ac:dyDescent="0.3">
      <c r="A745" s="63" t="s">
        <v>2079</v>
      </c>
      <c r="B745" s="63" t="s">
        <v>2083</v>
      </c>
      <c r="C745" s="63" t="s">
        <v>953</v>
      </c>
      <c r="D745" s="63" t="s">
        <v>953</v>
      </c>
      <c r="E745" s="65">
        <v>45664</v>
      </c>
      <c r="F745" s="65">
        <v>45664</v>
      </c>
      <c r="G745" s="64">
        <v>3169.98</v>
      </c>
      <c r="H745" s="92"/>
    </row>
    <row r="746" spans="1:8" x14ac:dyDescent="0.3">
      <c r="A746" s="63" t="s">
        <v>2079</v>
      </c>
      <c r="B746" s="63" t="s">
        <v>2084</v>
      </c>
      <c r="C746" s="63" t="s">
        <v>953</v>
      </c>
      <c r="D746" s="63" t="s">
        <v>953</v>
      </c>
      <c r="E746" s="65">
        <v>45698</v>
      </c>
      <c r="F746" s="65">
        <v>45698</v>
      </c>
      <c r="G746" s="64">
        <v>3169.98</v>
      </c>
      <c r="H746" s="92"/>
    </row>
    <row r="747" spans="1:8" x14ac:dyDescent="0.3">
      <c r="A747" s="63" t="s">
        <v>2079</v>
      </c>
      <c r="B747" s="63" t="s">
        <v>2085</v>
      </c>
      <c r="C747" s="63" t="s">
        <v>953</v>
      </c>
      <c r="D747" s="63" t="s">
        <v>953</v>
      </c>
      <c r="E747" s="65">
        <v>45805</v>
      </c>
      <c r="F747" s="65">
        <v>45805</v>
      </c>
      <c r="G747" s="64">
        <v>2562.6999999999998</v>
      </c>
      <c r="H747" s="92"/>
    </row>
    <row r="748" spans="1:8" x14ac:dyDescent="0.3">
      <c r="A748" s="63" t="s">
        <v>2086</v>
      </c>
      <c r="B748" s="63" t="s">
        <v>2087</v>
      </c>
      <c r="C748" s="63" t="s">
        <v>953</v>
      </c>
      <c r="D748" s="63" t="s">
        <v>953</v>
      </c>
      <c r="E748" s="65">
        <v>44924</v>
      </c>
      <c r="F748" s="65">
        <v>44954</v>
      </c>
      <c r="G748" s="64">
        <v>13408.99</v>
      </c>
      <c r="H748" s="92"/>
    </row>
    <row r="749" spans="1:8" x14ac:dyDescent="0.3">
      <c r="A749" s="63" t="s">
        <v>2086</v>
      </c>
      <c r="B749" s="63" t="s">
        <v>2088</v>
      </c>
      <c r="C749" s="63" t="s">
        <v>953</v>
      </c>
      <c r="D749" s="63" t="s">
        <v>953</v>
      </c>
      <c r="E749" s="65">
        <v>45199</v>
      </c>
      <c r="F749" s="65">
        <v>45229</v>
      </c>
      <c r="G749" s="64">
        <v>324.75</v>
      </c>
      <c r="H749" s="92"/>
    </row>
    <row r="750" spans="1:8" x14ac:dyDescent="0.3">
      <c r="A750" s="63" t="s">
        <v>2086</v>
      </c>
      <c r="B750" s="63" t="s">
        <v>953</v>
      </c>
      <c r="C750" s="63" t="s">
        <v>953</v>
      </c>
      <c r="D750" s="63" t="s">
        <v>953</v>
      </c>
      <c r="E750" s="65">
        <v>45595</v>
      </c>
      <c r="F750" s="65">
        <v>45595</v>
      </c>
      <c r="G750" s="64">
        <v>0.01</v>
      </c>
      <c r="H750" s="92"/>
    </row>
    <row r="751" spans="1:8" x14ac:dyDescent="0.3">
      <c r="A751" s="63" t="s">
        <v>2086</v>
      </c>
      <c r="B751" s="63" t="s">
        <v>2089</v>
      </c>
      <c r="C751" s="63" t="s">
        <v>953</v>
      </c>
      <c r="D751" s="63" t="s">
        <v>953</v>
      </c>
      <c r="E751" s="65">
        <v>45692</v>
      </c>
      <c r="F751" s="65">
        <v>45722</v>
      </c>
      <c r="G751" s="64">
        <v>2101.08</v>
      </c>
      <c r="H751" s="92"/>
    </row>
    <row r="752" spans="1:8" x14ac:dyDescent="0.3">
      <c r="A752" s="63" t="s">
        <v>2090</v>
      </c>
      <c r="B752" s="63" t="s">
        <v>2091</v>
      </c>
      <c r="C752" s="63" t="s">
        <v>953</v>
      </c>
      <c r="D752" s="63" t="s">
        <v>953</v>
      </c>
      <c r="E752" s="65">
        <v>45510</v>
      </c>
      <c r="F752" s="65">
        <v>45510</v>
      </c>
      <c r="G752" s="64">
        <v>1248.74</v>
      </c>
      <c r="H752" s="92"/>
    </row>
    <row r="753" spans="1:8" x14ac:dyDescent="0.3">
      <c r="A753" s="63" t="s">
        <v>2092</v>
      </c>
      <c r="B753" s="63" t="s">
        <v>2093</v>
      </c>
      <c r="C753" s="63" t="s">
        <v>953</v>
      </c>
      <c r="D753" s="63" t="s">
        <v>2094</v>
      </c>
      <c r="E753" s="65">
        <v>45473</v>
      </c>
      <c r="F753" s="65">
        <v>45473</v>
      </c>
      <c r="G753" s="64">
        <v>2822.04</v>
      </c>
      <c r="H753" s="92"/>
    </row>
    <row r="754" spans="1:8" x14ac:dyDescent="0.3">
      <c r="A754" s="63" t="s">
        <v>2092</v>
      </c>
      <c r="B754" s="63" t="s">
        <v>2095</v>
      </c>
      <c r="C754" s="63" t="s">
        <v>953</v>
      </c>
      <c r="D754" s="63" t="s">
        <v>2096</v>
      </c>
      <c r="E754" s="65">
        <v>45473</v>
      </c>
      <c r="F754" s="65">
        <v>45473</v>
      </c>
      <c r="G754" s="64">
        <v>4172.34</v>
      </c>
      <c r="H754" s="92"/>
    </row>
    <row r="755" spans="1:8" x14ac:dyDescent="0.3">
      <c r="A755" s="63" t="s">
        <v>2092</v>
      </c>
      <c r="B755" s="63" t="s">
        <v>2097</v>
      </c>
      <c r="C755" s="63" t="s">
        <v>953</v>
      </c>
      <c r="D755" s="63" t="s">
        <v>2098</v>
      </c>
      <c r="E755" s="65">
        <v>45473</v>
      </c>
      <c r="F755" s="65">
        <v>45473</v>
      </c>
      <c r="G755" s="64">
        <v>15044.9</v>
      </c>
      <c r="H755" s="92"/>
    </row>
    <row r="756" spans="1:8" x14ac:dyDescent="0.3">
      <c r="A756" s="63" t="s">
        <v>2092</v>
      </c>
      <c r="B756" s="63" t="s">
        <v>2099</v>
      </c>
      <c r="C756" s="63" t="s">
        <v>953</v>
      </c>
      <c r="D756" s="63" t="s">
        <v>953</v>
      </c>
      <c r="E756" s="65">
        <v>45473</v>
      </c>
      <c r="F756" s="65">
        <v>45473</v>
      </c>
      <c r="G756" s="64">
        <v>942.84</v>
      </c>
      <c r="H756" s="92"/>
    </row>
    <row r="757" spans="1:8" x14ac:dyDescent="0.3">
      <c r="A757" s="63" t="s">
        <v>2092</v>
      </c>
      <c r="B757" s="63" t="s">
        <v>2100</v>
      </c>
      <c r="C757" s="63" t="s">
        <v>953</v>
      </c>
      <c r="D757" s="63" t="s">
        <v>2101</v>
      </c>
      <c r="E757" s="65">
        <v>45473</v>
      </c>
      <c r="F757" s="65">
        <v>45473</v>
      </c>
      <c r="G757" s="64">
        <v>1530</v>
      </c>
      <c r="H757" s="92"/>
    </row>
    <row r="758" spans="1:8" x14ac:dyDescent="0.3">
      <c r="A758" s="63" t="s">
        <v>2092</v>
      </c>
      <c r="B758" s="63" t="s">
        <v>2102</v>
      </c>
      <c r="C758" s="63" t="s">
        <v>953</v>
      </c>
      <c r="D758" s="63" t="s">
        <v>2101</v>
      </c>
      <c r="E758" s="65">
        <v>45473</v>
      </c>
      <c r="F758" s="65">
        <v>45473</v>
      </c>
      <c r="G758" s="64">
        <v>6706</v>
      </c>
      <c r="H758" s="92"/>
    </row>
    <row r="759" spans="1:8" x14ac:dyDescent="0.3">
      <c r="A759" s="63" t="s">
        <v>2092</v>
      </c>
      <c r="B759" s="63" t="s">
        <v>2103</v>
      </c>
      <c r="C759" s="63" t="s">
        <v>953</v>
      </c>
      <c r="D759" s="63" t="s">
        <v>953</v>
      </c>
      <c r="E759" s="65">
        <v>45552</v>
      </c>
      <c r="F759" s="65">
        <v>45552</v>
      </c>
      <c r="G759" s="64">
        <v>1745.6</v>
      </c>
      <c r="H759" s="92"/>
    </row>
    <row r="760" spans="1:8" x14ac:dyDescent="0.3">
      <c r="A760" s="63" t="s">
        <v>2092</v>
      </c>
      <c r="B760" s="63" t="s">
        <v>2104</v>
      </c>
      <c r="C760" s="63" t="s">
        <v>953</v>
      </c>
      <c r="D760" s="63" t="s">
        <v>2105</v>
      </c>
      <c r="E760" s="65">
        <v>45595</v>
      </c>
      <c r="F760" s="65">
        <v>45595</v>
      </c>
      <c r="G760" s="64">
        <v>22.44</v>
      </c>
      <c r="H760" s="92"/>
    </row>
    <row r="761" spans="1:8" x14ac:dyDescent="0.3">
      <c r="A761" s="63" t="s">
        <v>2092</v>
      </c>
      <c r="B761" s="63" t="s">
        <v>2106</v>
      </c>
      <c r="C761" s="63" t="s">
        <v>953</v>
      </c>
      <c r="D761" s="63" t="s">
        <v>2107</v>
      </c>
      <c r="E761" s="65">
        <v>45625</v>
      </c>
      <c r="F761" s="65">
        <v>45625</v>
      </c>
      <c r="G761" s="64">
        <v>52285.14</v>
      </c>
      <c r="H761" s="92"/>
    </row>
    <row r="762" spans="1:8" x14ac:dyDescent="0.3">
      <c r="A762" s="63" t="s">
        <v>2092</v>
      </c>
      <c r="B762" s="63" t="s">
        <v>2108</v>
      </c>
      <c r="C762" s="63" t="s">
        <v>953</v>
      </c>
      <c r="D762" s="63" t="s">
        <v>2109</v>
      </c>
      <c r="E762" s="65">
        <v>45625</v>
      </c>
      <c r="F762" s="65">
        <v>45625</v>
      </c>
      <c r="G762" s="64">
        <v>22021.84</v>
      </c>
      <c r="H762" s="92"/>
    </row>
    <row r="763" spans="1:8" x14ac:dyDescent="0.3">
      <c r="A763" s="63" t="s">
        <v>2092</v>
      </c>
      <c r="B763" s="63" t="s">
        <v>2110</v>
      </c>
      <c r="C763" s="63" t="s">
        <v>953</v>
      </c>
      <c r="D763" s="63" t="s">
        <v>2024</v>
      </c>
      <c r="E763" s="65">
        <v>45625</v>
      </c>
      <c r="F763" s="65">
        <v>45625</v>
      </c>
      <c r="G763" s="64">
        <v>520.36</v>
      </c>
      <c r="H763" s="92"/>
    </row>
    <row r="764" spans="1:8" x14ac:dyDescent="0.3">
      <c r="A764" s="63" t="s">
        <v>2092</v>
      </c>
      <c r="B764" s="63" t="s">
        <v>2111</v>
      </c>
      <c r="C764" s="63" t="s">
        <v>953</v>
      </c>
      <c r="D764" s="63" t="s">
        <v>2112</v>
      </c>
      <c r="E764" s="65">
        <v>45625</v>
      </c>
      <c r="F764" s="65">
        <v>45625</v>
      </c>
      <c r="G764" s="64">
        <v>35161.410000000003</v>
      </c>
      <c r="H764" s="92"/>
    </row>
    <row r="765" spans="1:8" x14ac:dyDescent="0.3">
      <c r="A765" s="63" t="s">
        <v>2092</v>
      </c>
      <c r="B765" s="63" t="s">
        <v>2113</v>
      </c>
      <c r="C765" s="63" t="s">
        <v>953</v>
      </c>
      <c r="D765" s="63" t="s">
        <v>2114</v>
      </c>
      <c r="E765" s="65">
        <v>45625</v>
      </c>
      <c r="F765" s="65">
        <v>45625</v>
      </c>
      <c r="G765" s="64">
        <v>7506.78</v>
      </c>
      <c r="H765" s="92"/>
    </row>
    <row r="766" spans="1:8" x14ac:dyDescent="0.3">
      <c r="A766" s="63" t="s">
        <v>2092</v>
      </c>
      <c r="B766" s="63" t="s">
        <v>2115</v>
      </c>
      <c r="C766" s="63" t="s">
        <v>953</v>
      </c>
      <c r="D766" s="63" t="s">
        <v>2116</v>
      </c>
      <c r="E766" s="65">
        <v>45838</v>
      </c>
      <c r="F766" s="65">
        <v>45838</v>
      </c>
      <c r="G766" s="64">
        <v>1250.55</v>
      </c>
      <c r="H766" s="92"/>
    </row>
    <row r="767" spans="1:8" x14ac:dyDescent="0.3">
      <c r="A767" s="63" t="s">
        <v>2092</v>
      </c>
      <c r="B767" s="63" t="s">
        <v>2117</v>
      </c>
      <c r="C767" s="63" t="s">
        <v>953</v>
      </c>
      <c r="D767" s="63" t="s">
        <v>2094</v>
      </c>
      <c r="E767" s="65">
        <v>45838</v>
      </c>
      <c r="F767" s="65">
        <v>45838</v>
      </c>
      <c r="G767" s="64">
        <v>10664.16</v>
      </c>
      <c r="H767" s="92"/>
    </row>
    <row r="768" spans="1:8" x14ac:dyDescent="0.3">
      <c r="A768" s="63" t="s">
        <v>2092</v>
      </c>
      <c r="B768" s="63" t="s">
        <v>2118</v>
      </c>
      <c r="C768" s="63" t="s">
        <v>953</v>
      </c>
      <c r="D768" s="63" t="s">
        <v>2119</v>
      </c>
      <c r="E768" s="65">
        <v>45838</v>
      </c>
      <c r="F768" s="65">
        <v>45838</v>
      </c>
      <c r="G768" s="64">
        <v>4586.04</v>
      </c>
      <c r="H768" s="92"/>
    </row>
    <row r="769" spans="1:8" x14ac:dyDescent="0.3">
      <c r="A769" s="63" t="s">
        <v>2092</v>
      </c>
      <c r="B769" s="63" t="s">
        <v>2120</v>
      </c>
      <c r="C769" s="63" t="s">
        <v>953</v>
      </c>
      <c r="D769" s="63" t="s">
        <v>2121</v>
      </c>
      <c r="E769" s="65">
        <v>45838</v>
      </c>
      <c r="F769" s="65">
        <v>45838</v>
      </c>
      <c r="G769" s="64">
        <v>151.08000000000001</v>
      </c>
      <c r="H769" s="92"/>
    </row>
    <row r="770" spans="1:8" x14ac:dyDescent="0.3">
      <c r="A770" s="63" t="s">
        <v>2092</v>
      </c>
      <c r="B770" s="63" t="s">
        <v>2122</v>
      </c>
      <c r="C770" s="63" t="s">
        <v>953</v>
      </c>
      <c r="D770" s="63" t="s">
        <v>2123</v>
      </c>
      <c r="E770" s="65">
        <v>45838</v>
      </c>
      <c r="F770" s="65">
        <v>45838</v>
      </c>
      <c r="G770" s="64">
        <v>5134.9799999999996</v>
      </c>
      <c r="H770" s="92"/>
    </row>
    <row r="771" spans="1:8" x14ac:dyDescent="0.3">
      <c r="A771" s="63" t="s">
        <v>2092</v>
      </c>
      <c r="B771" s="63" t="s">
        <v>2124</v>
      </c>
      <c r="C771" s="63" t="s">
        <v>953</v>
      </c>
      <c r="D771" s="63" t="s">
        <v>2105</v>
      </c>
      <c r="E771" s="65">
        <v>45838</v>
      </c>
      <c r="F771" s="65">
        <v>45838</v>
      </c>
      <c r="G771" s="64">
        <v>399.97</v>
      </c>
      <c r="H771" s="92"/>
    </row>
    <row r="772" spans="1:8" x14ac:dyDescent="0.3">
      <c r="A772" s="63" t="s">
        <v>2092</v>
      </c>
      <c r="B772" s="63" t="s">
        <v>2125</v>
      </c>
      <c r="C772" s="63" t="s">
        <v>953</v>
      </c>
      <c r="D772" s="63" t="s">
        <v>2126</v>
      </c>
      <c r="E772" s="65">
        <v>45838</v>
      </c>
      <c r="F772" s="65">
        <v>45838</v>
      </c>
      <c r="G772" s="64">
        <v>7471.17</v>
      </c>
      <c r="H772" s="92"/>
    </row>
    <row r="773" spans="1:8" x14ac:dyDescent="0.3">
      <c r="A773" s="63" t="s">
        <v>2092</v>
      </c>
      <c r="B773" s="63" t="s">
        <v>2127</v>
      </c>
      <c r="C773" s="63" t="s">
        <v>953</v>
      </c>
      <c r="D773" s="63" t="s">
        <v>2128</v>
      </c>
      <c r="E773" s="65">
        <v>45838</v>
      </c>
      <c r="F773" s="65">
        <v>45838</v>
      </c>
      <c r="G773" s="64">
        <v>80.16</v>
      </c>
      <c r="H773" s="92"/>
    </row>
    <row r="774" spans="1:8" x14ac:dyDescent="0.3">
      <c r="A774" s="63" t="s">
        <v>2092</v>
      </c>
      <c r="B774" s="63" t="s">
        <v>2129</v>
      </c>
      <c r="C774" s="63" t="s">
        <v>953</v>
      </c>
      <c r="D774" s="63" t="s">
        <v>2101</v>
      </c>
      <c r="E774" s="65">
        <v>45838</v>
      </c>
      <c r="F774" s="65">
        <v>45838</v>
      </c>
      <c r="G774" s="64">
        <v>6750</v>
      </c>
      <c r="H774" s="92"/>
    </row>
    <row r="775" spans="1:8" x14ac:dyDescent="0.3">
      <c r="A775" s="63" t="s">
        <v>2092</v>
      </c>
      <c r="B775" s="63" t="s">
        <v>2130</v>
      </c>
      <c r="C775" s="63" t="s">
        <v>953</v>
      </c>
      <c r="D775" s="63" t="s">
        <v>953</v>
      </c>
      <c r="E775" s="65">
        <v>45838</v>
      </c>
      <c r="F775" s="65">
        <v>45838</v>
      </c>
      <c r="G775" s="64">
        <v>6797.11</v>
      </c>
      <c r="H775" s="92"/>
    </row>
    <row r="776" spans="1:8" x14ac:dyDescent="0.3">
      <c r="A776" s="63" t="s">
        <v>2092</v>
      </c>
      <c r="B776" s="63" t="s">
        <v>2131</v>
      </c>
      <c r="C776" s="63" t="s">
        <v>953</v>
      </c>
      <c r="D776" s="63" t="s">
        <v>953</v>
      </c>
      <c r="E776" s="65">
        <v>45838</v>
      </c>
      <c r="F776" s="65">
        <v>45838</v>
      </c>
      <c r="G776" s="64">
        <v>19352.78</v>
      </c>
      <c r="H776" s="92"/>
    </row>
    <row r="777" spans="1:8" x14ac:dyDescent="0.3">
      <c r="A777" s="63" t="s">
        <v>2132</v>
      </c>
      <c r="B777" s="63" t="s">
        <v>2133</v>
      </c>
      <c r="C777" s="63" t="s">
        <v>953</v>
      </c>
      <c r="D777" s="63" t="s">
        <v>2134</v>
      </c>
      <c r="E777" s="65">
        <v>45444</v>
      </c>
      <c r="F777" s="65">
        <v>45444</v>
      </c>
      <c r="G777" s="64">
        <v>3280.49</v>
      </c>
      <c r="H777" s="92"/>
    </row>
    <row r="778" spans="1:8" x14ac:dyDescent="0.3">
      <c r="A778" s="63" t="s">
        <v>2132</v>
      </c>
      <c r="B778" s="63" t="s">
        <v>2135</v>
      </c>
      <c r="C778" s="63" t="s">
        <v>953</v>
      </c>
      <c r="D778" s="63" t="s">
        <v>2136</v>
      </c>
      <c r="E778" s="65">
        <v>45459</v>
      </c>
      <c r="F778" s="65">
        <v>45459</v>
      </c>
      <c r="G778" s="64">
        <v>2240</v>
      </c>
      <c r="H778" s="92"/>
    </row>
    <row r="779" spans="1:8" x14ac:dyDescent="0.3">
      <c r="A779" s="63" t="s">
        <v>2132</v>
      </c>
      <c r="B779" s="63" t="s">
        <v>2137</v>
      </c>
      <c r="C779" s="63" t="s">
        <v>953</v>
      </c>
      <c r="D779" s="63" t="s">
        <v>2138</v>
      </c>
      <c r="E779" s="65">
        <v>45459</v>
      </c>
      <c r="F779" s="65">
        <v>45459</v>
      </c>
      <c r="G779" s="64">
        <v>2680.32</v>
      </c>
      <c r="H779" s="92"/>
    </row>
    <row r="780" spans="1:8" x14ac:dyDescent="0.3">
      <c r="A780" s="63" t="s">
        <v>2132</v>
      </c>
      <c r="B780" s="63" t="s">
        <v>2139</v>
      </c>
      <c r="C780" s="63" t="s">
        <v>953</v>
      </c>
      <c r="D780" s="63" t="s">
        <v>2140</v>
      </c>
      <c r="E780" s="65">
        <v>45459</v>
      </c>
      <c r="F780" s="65">
        <v>45459</v>
      </c>
      <c r="G780" s="64">
        <v>1883.24</v>
      </c>
      <c r="H780" s="92"/>
    </row>
    <row r="781" spans="1:8" x14ac:dyDescent="0.3">
      <c r="A781" s="63" t="s">
        <v>2132</v>
      </c>
      <c r="B781" s="63" t="s">
        <v>2141</v>
      </c>
      <c r="C781" s="63" t="s">
        <v>953</v>
      </c>
      <c r="D781" s="63" t="s">
        <v>2126</v>
      </c>
      <c r="E781" s="65">
        <v>45459</v>
      </c>
      <c r="F781" s="65">
        <v>45459</v>
      </c>
      <c r="G781" s="64">
        <v>13956.99</v>
      </c>
      <c r="H781" s="92"/>
    </row>
    <row r="782" spans="1:8" x14ac:dyDescent="0.3">
      <c r="A782" s="63" t="s">
        <v>2132</v>
      </c>
      <c r="B782" s="63" t="s">
        <v>2142</v>
      </c>
      <c r="C782" s="63" t="s">
        <v>953</v>
      </c>
      <c r="D782" s="63" t="s">
        <v>2143</v>
      </c>
      <c r="E782" s="65">
        <v>45460</v>
      </c>
      <c r="F782" s="65">
        <v>45460</v>
      </c>
      <c r="G782" s="64">
        <v>10175.59</v>
      </c>
      <c r="H782" s="92"/>
    </row>
    <row r="783" spans="1:8" x14ac:dyDescent="0.3">
      <c r="A783" s="63" t="s">
        <v>2144</v>
      </c>
      <c r="B783" s="63" t="s">
        <v>2145</v>
      </c>
      <c r="C783" s="63" t="s">
        <v>2146</v>
      </c>
      <c r="D783" s="63" t="s">
        <v>2147</v>
      </c>
      <c r="E783" s="65">
        <v>45385</v>
      </c>
      <c r="F783" s="65">
        <v>45385</v>
      </c>
      <c r="G783" s="64">
        <v>18971.2</v>
      </c>
      <c r="H783" s="92"/>
    </row>
    <row r="784" spans="1:8" x14ac:dyDescent="0.3">
      <c r="A784" s="63" t="s">
        <v>2144</v>
      </c>
      <c r="B784" s="63" t="s">
        <v>2148</v>
      </c>
      <c r="C784" s="63" t="s">
        <v>2149</v>
      </c>
      <c r="D784" s="63" t="s">
        <v>2150</v>
      </c>
      <c r="E784" s="65">
        <v>45478</v>
      </c>
      <c r="F784" s="65">
        <v>45478</v>
      </c>
      <c r="G784" s="64">
        <v>939.03</v>
      </c>
      <c r="H784" s="92"/>
    </row>
    <row r="785" spans="1:8" x14ac:dyDescent="0.3">
      <c r="A785" s="63" t="s">
        <v>2144</v>
      </c>
      <c r="B785" s="63" t="s">
        <v>2151</v>
      </c>
      <c r="C785" s="63" t="s">
        <v>2152</v>
      </c>
      <c r="D785" s="63" t="s">
        <v>2153</v>
      </c>
      <c r="E785" s="65">
        <v>45505</v>
      </c>
      <c r="F785" s="65">
        <v>45505</v>
      </c>
      <c r="G785" s="64">
        <v>124053.85</v>
      </c>
      <c r="H785" s="92"/>
    </row>
    <row r="786" spans="1:8" x14ac:dyDescent="0.3">
      <c r="A786" s="63" t="s">
        <v>2144</v>
      </c>
      <c r="B786" s="63" t="s">
        <v>2154</v>
      </c>
      <c r="C786" s="63" t="s">
        <v>953</v>
      </c>
      <c r="D786" s="63" t="s">
        <v>2155</v>
      </c>
      <c r="E786" s="65">
        <v>45505</v>
      </c>
      <c r="F786" s="65">
        <v>45505</v>
      </c>
      <c r="G786" s="64">
        <v>17829.5</v>
      </c>
      <c r="H786" s="92"/>
    </row>
    <row r="787" spans="1:8" x14ac:dyDescent="0.3">
      <c r="A787" s="63" t="s">
        <v>2144</v>
      </c>
      <c r="B787" s="63" t="s">
        <v>2156</v>
      </c>
      <c r="C787" s="63" t="s">
        <v>2157</v>
      </c>
      <c r="D787" s="63" t="s">
        <v>2158</v>
      </c>
      <c r="E787" s="65">
        <v>45314</v>
      </c>
      <c r="F787" s="65">
        <v>45540</v>
      </c>
      <c r="G787" s="64">
        <v>650</v>
      </c>
      <c r="H787" s="92"/>
    </row>
    <row r="788" spans="1:8" x14ac:dyDescent="0.3">
      <c r="A788" s="63" t="s">
        <v>2144</v>
      </c>
      <c r="B788" s="63" t="s">
        <v>2159</v>
      </c>
      <c r="C788" s="63" t="s">
        <v>2160</v>
      </c>
      <c r="D788" s="63" t="s">
        <v>2161</v>
      </c>
      <c r="E788" s="65">
        <v>45603</v>
      </c>
      <c r="F788" s="65">
        <v>45603</v>
      </c>
      <c r="G788" s="64">
        <v>18325.189999999999</v>
      </c>
      <c r="H788" s="92"/>
    </row>
    <row r="789" spans="1:8" x14ac:dyDescent="0.3">
      <c r="A789" s="63" t="s">
        <v>2144</v>
      </c>
      <c r="B789" s="63" t="s">
        <v>2162</v>
      </c>
      <c r="C789" s="63" t="s">
        <v>2149</v>
      </c>
      <c r="D789" s="63" t="s">
        <v>2150</v>
      </c>
      <c r="E789" s="65">
        <v>45644</v>
      </c>
      <c r="F789" s="65">
        <v>45644</v>
      </c>
      <c r="G789" s="64">
        <v>9470.7099999999991</v>
      </c>
      <c r="H789" s="92"/>
    </row>
    <row r="790" spans="1:8" x14ac:dyDescent="0.3">
      <c r="A790" s="63" t="s">
        <v>2144</v>
      </c>
      <c r="B790" s="63" t="s">
        <v>2163</v>
      </c>
      <c r="C790" s="63" t="s">
        <v>2149</v>
      </c>
      <c r="D790" s="63" t="s">
        <v>2150</v>
      </c>
      <c r="E790" s="65">
        <v>45688</v>
      </c>
      <c r="F790" s="65">
        <v>45688</v>
      </c>
      <c r="G790" s="64">
        <v>6693.45</v>
      </c>
      <c r="H790" s="92"/>
    </row>
    <row r="791" spans="1:8" x14ac:dyDescent="0.3">
      <c r="A791" s="63" t="s">
        <v>2144</v>
      </c>
      <c r="B791" s="63" t="s">
        <v>2164</v>
      </c>
      <c r="C791" s="63" t="s">
        <v>953</v>
      </c>
      <c r="D791" s="63" t="s">
        <v>2165</v>
      </c>
      <c r="E791" s="65">
        <v>45713</v>
      </c>
      <c r="F791" s="65">
        <v>45713</v>
      </c>
      <c r="G791" s="64">
        <v>2000</v>
      </c>
      <c r="H791" s="92"/>
    </row>
    <row r="792" spans="1:8" x14ac:dyDescent="0.3">
      <c r="A792" s="63" t="s">
        <v>2144</v>
      </c>
      <c r="B792" s="63" t="s">
        <v>2166</v>
      </c>
      <c r="C792" s="63" t="s">
        <v>953</v>
      </c>
      <c r="D792" s="63" t="s">
        <v>2165</v>
      </c>
      <c r="E792" s="65">
        <v>45714</v>
      </c>
      <c r="F792" s="65">
        <v>45714</v>
      </c>
      <c r="G792" s="64">
        <v>3935.75</v>
      </c>
      <c r="H792" s="92"/>
    </row>
    <row r="793" spans="1:8" x14ac:dyDescent="0.3">
      <c r="A793" s="63" t="s">
        <v>2144</v>
      </c>
      <c r="B793" s="63" t="s">
        <v>2167</v>
      </c>
      <c r="C793" s="63" t="s">
        <v>953</v>
      </c>
      <c r="D793" s="63" t="s">
        <v>2165</v>
      </c>
      <c r="E793" s="65">
        <v>45714</v>
      </c>
      <c r="F793" s="65">
        <v>45714</v>
      </c>
      <c r="G793" s="64">
        <v>2034</v>
      </c>
      <c r="H793" s="92"/>
    </row>
    <row r="794" spans="1:8" x14ac:dyDescent="0.3">
      <c r="A794" s="63" t="s">
        <v>2144</v>
      </c>
      <c r="B794" s="63" t="s">
        <v>2168</v>
      </c>
      <c r="C794" s="63" t="s">
        <v>953</v>
      </c>
      <c r="D794" s="63" t="s">
        <v>2165</v>
      </c>
      <c r="E794" s="65">
        <v>45723</v>
      </c>
      <c r="F794" s="65">
        <v>45723</v>
      </c>
      <c r="G794" s="64">
        <v>17161.82</v>
      </c>
      <c r="H794" s="92"/>
    </row>
    <row r="795" spans="1:8" x14ac:dyDescent="0.3">
      <c r="A795" s="63" t="s">
        <v>2144</v>
      </c>
      <c r="B795" s="63" t="s">
        <v>2169</v>
      </c>
      <c r="C795" s="63" t="s">
        <v>953</v>
      </c>
      <c r="D795" s="63" t="s">
        <v>2165</v>
      </c>
      <c r="E795" s="65">
        <v>45730</v>
      </c>
      <c r="F795" s="65">
        <v>45730</v>
      </c>
      <c r="G795" s="64">
        <v>990</v>
      </c>
      <c r="H795" s="92"/>
    </row>
    <row r="796" spans="1:8" x14ac:dyDescent="0.3">
      <c r="A796" s="63" t="s">
        <v>2144</v>
      </c>
      <c r="B796" s="63" t="s">
        <v>2170</v>
      </c>
      <c r="C796" s="63" t="s">
        <v>953</v>
      </c>
      <c r="D796" s="63" t="s">
        <v>2165</v>
      </c>
      <c r="E796" s="65">
        <v>45730</v>
      </c>
      <c r="F796" s="65">
        <v>45730</v>
      </c>
      <c r="G796" s="64">
        <v>78535.199999999997</v>
      </c>
      <c r="H796" s="92"/>
    </row>
    <row r="797" spans="1:8" x14ac:dyDescent="0.3">
      <c r="A797" s="63" t="s">
        <v>2144</v>
      </c>
      <c r="B797" s="63" t="s">
        <v>2171</v>
      </c>
      <c r="C797" s="63" t="s">
        <v>953</v>
      </c>
      <c r="D797" s="63" t="s">
        <v>2165</v>
      </c>
      <c r="E797" s="65">
        <v>45738</v>
      </c>
      <c r="F797" s="65">
        <v>45738</v>
      </c>
      <c r="G797" s="64">
        <v>5148</v>
      </c>
      <c r="H797" s="92"/>
    </row>
    <row r="798" spans="1:8" x14ac:dyDescent="0.3">
      <c r="A798" s="63" t="s">
        <v>2144</v>
      </c>
      <c r="B798" s="63" t="s">
        <v>2172</v>
      </c>
      <c r="C798" s="63" t="s">
        <v>953</v>
      </c>
      <c r="D798" s="63" t="s">
        <v>2165</v>
      </c>
      <c r="E798" s="65">
        <v>45738</v>
      </c>
      <c r="F798" s="65">
        <v>45738</v>
      </c>
      <c r="G798" s="64">
        <v>33570.129999999997</v>
      </c>
      <c r="H798" s="92"/>
    </row>
    <row r="799" spans="1:8" x14ac:dyDescent="0.3">
      <c r="A799" s="63" t="s">
        <v>2144</v>
      </c>
      <c r="B799" s="63" t="s">
        <v>2173</v>
      </c>
      <c r="C799" s="63" t="s">
        <v>953</v>
      </c>
      <c r="D799" s="63" t="s">
        <v>2165</v>
      </c>
      <c r="E799" s="65">
        <v>45771</v>
      </c>
      <c r="F799" s="65">
        <v>45771</v>
      </c>
      <c r="G799" s="64">
        <v>4980</v>
      </c>
      <c r="H799" s="92"/>
    </row>
    <row r="800" spans="1:8" x14ac:dyDescent="0.3">
      <c r="A800" s="63" t="s">
        <v>2144</v>
      </c>
      <c r="B800" s="63" t="s">
        <v>2174</v>
      </c>
      <c r="C800" s="63" t="s">
        <v>2175</v>
      </c>
      <c r="D800" s="63" t="s">
        <v>2176</v>
      </c>
      <c r="E800" s="65">
        <v>45807</v>
      </c>
      <c r="F800" s="65">
        <v>45807</v>
      </c>
      <c r="G800" s="64">
        <v>2738.08</v>
      </c>
      <c r="H800" s="92"/>
    </row>
    <row r="801" spans="1:8" x14ac:dyDescent="0.3">
      <c r="A801" s="63" t="s">
        <v>2144</v>
      </c>
      <c r="B801" s="63" t="s">
        <v>2177</v>
      </c>
      <c r="C801" s="63" t="s">
        <v>953</v>
      </c>
      <c r="D801" s="63" t="s">
        <v>2165</v>
      </c>
      <c r="E801" s="65">
        <v>45824</v>
      </c>
      <c r="F801" s="65">
        <v>45824</v>
      </c>
      <c r="G801" s="64">
        <v>700</v>
      </c>
      <c r="H801" s="92"/>
    </row>
    <row r="802" spans="1:8" x14ac:dyDescent="0.3">
      <c r="A802" s="63" t="s">
        <v>2144</v>
      </c>
      <c r="B802" s="63" t="s">
        <v>2178</v>
      </c>
      <c r="C802" s="63" t="s">
        <v>953</v>
      </c>
      <c r="D802" s="63" t="s">
        <v>2165</v>
      </c>
      <c r="E802" s="65">
        <v>45824</v>
      </c>
      <c r="F802" s="65">
        <v>45824</v>
      </c>
      <c r="G802" s="64">
        <v>17895.759999999998</v>
      </c>
      <c r="H802" s="92"/>
    </row>
    <row r="803" spans="1:8" x14ac:dyDescent="0.3">
      <c r="A803" s="63" t="s">
        <v>2144</v>
      </c>
      <c r="B803" s="63" t="s">
        <v>2179</v>
      </c>
      <c r="C803" s="63" t="s">
        <v>953</v>
      </c>
      <c r="D803" s="63" t="s">
        <v>2165</v>
      </c>
      <c r="E803" s="65">
        <v>45824</v>
      </c>
      <c r="F803" s="65">
        <v>45824</v>
      </c>
      <c r="G803" s="64">
        <v>807.5</v>
      </c>
      <c r="H803" s="92"/>
    </row>
    <row r="804" spans="1:8" x14ac:dyDescent="0.3">
      <c r="A804" s="63" t="s">
        <v>2144</v>
      </c>
      <c r="B804" s="63" t="s">
        <v>2180</v>
      </c>
      <c r="C804" s="63" t="s">
        <v>2175</v>
      </c>
      <c r="D804" s="63" t="s">
        <v>2176</v>
      </c>
      <c r="E804" s="65">
        <v>45828</v>
      </c>
      <c r="F804" s="65">
        <v>45828</v>
      </c>
      <c r="G804" s="64">
        <v>83544</v>
      </c>
      <c r="H804" s="92"/>
    </row>
    <row r="805" spans="1:8" x14ac:dyDescent="0.3">
      <c r="A805" s="63" t="s">
        <v>2144</v>
      </c>
      <c r="B805" s="63" t="s">
        <v>2181</v>
      </c>
      <c r="C805" s="63" t="s">
        <v>2175</v>
      </c>
      <c r="D805" s="63" t="s">
        <v>2176</v>
      </c>
      <c r="E805" s="65">
        <v>45838</v>
      </c>
      <c r="F805" s="65">
        <v>45838</v>
      </c>
      <c r="G805" s="64">
        <v>13122.19</v>
      </c>
      <c r="H805" s="92"/>
    </row>
    <row r="806" spans="1:8" x14ac:dyDescent="0.3">
      <c r="A806" s="63" t="s">
        <v>2144</v>
      </c>
      <c r="B806" s="63" t="s">
        <v>2182</v>
      </c>
      <c r="C806" s="63" t="s">
        <v>953</v>
      </c>
      <c r="D806" s="63" t="s">
        <v>2165</v>
      </c>
      <c r="E806" s="65">
        <v>45838</v>
      </c>
      <c r="F806" s="65">
        <v>45838</v>
      </c>
      <c r="G806" s="64">
        <v>8676</v>
      </c>
      <c r="H806" s="92"/>
    </row>
    <row r="807" spans="1:8" x14ac:dyDescent="0.3">
      <c r="A807" s="63" t="s">
        <v>2144</v>
      </c>
      <c r="B807" s="63" t="s">
        <v>2183</v>
      </c>
      <c r="C807" s="63" t="s">
        <v>953</v>
      </c>
      <c r="D807" s="63" t="s">
        <v>2165</v>
      </c>
      <c r="E807" s="65">
        <v>45838</v>
      </c>
      <c r="F807" s="65">
        <v>45838</v>
      </c>
      <c r="G807" s="64">
        <v>4778.74</v>
      </c>
      <c r="H807" s="92"/>
    </row>
    <row r="808" spans="1:8" x14ac:dyDescent="0.3">
      <c r="A808" s="63" t="s">
        <v>2144</v>
      </c>
      <c r="B808" s="63" t="s">
        <v>2184</v>
      </c>
      <c r="C808" s="63" t="s">
        <v>953</v>
      </c>
      <c r="D808" s="63" t="s">
        <v>953</v>
      </c>
      <c r="E808" s="65">
        <v>45838</v>
      </c>
      <c r="F808" s="65">
        <v>45838</v>
      </c>
      <c r="G808" s="64">
        <v>18727.2</v>
      </c>
      <c r="H808" s="92"/>
    </row>
    <row r="809" spans="1:8" x14ac:dyDescent="0.3">
      <c r="A809" s="63" t="s">
        <v>2144</v>
      </c>
      <c r="B809" s="63" t="s">
        <v>2185</v>
      </c>
      <c r="C809" s="63" t="s">
        <v>2186</v>
      </c>
      <c r="D809" s="63" t="s">
        <v>2187</v>
      </c>
      <c r="E809" s="65">
        <v>45838</v>
      </c>
      <c r="F809" s="65">
        <v>45868</v>
      </c>
      <c r="G809" s="64">
        <v>204365.27</v>
      </c>
      <c r="H809" s="92"/>
    </row>
    <row r="810" spans="1:8" x14ac:dyDescent="0.3">
      <c r="A810" s="63" t="s">
        <v>2144</v>
      </c>
      <c r="B810" s="63" t="s">
        <v>2188</v>
      </c>
      <c r="C810" s="63" t="s">
        <v>2160</v>
      </c>
      <c r="D810" s="63" t="s">
        <v>2161</v>
      </c>
      <c r="E810" s="65">
        <v>45838</v>
      </c>
      <c r="F810" s="65">
        <v>45876</v>
      </c>
      <c r="G810" s="64">
        <v>311.11</v>
      </c>
      <c r="H810" s="92"/>
    </row>
    <row r="811" spans="1:8" x14ac:dyDescent="0.3">
      <c r="A811" s="63" t="s">
        <v>2189</v>
      </c>
      <c r="B811" s="63" t="s">
        <v>2190</v>
      </c>
      <c r="C811" s="63" t="s">
        <v>953</v>
      </c>
      <c r="D811" s="63" t="s">
        <v>953</v>
      </c>
      <c r="E811" s="65">
        <v>45589</v>
      </c>
      <c r="F811" s="65">
        <v>45589</v>
      </c>
      <c r="G811" s="64">
        <v>589.79</v>
      </c>
      <c r="H811" s="92"/>
    </row>
    <row r="812" spans="1:8" x14ac:dyDescent="0.3">
      <c r="A812" s="63" t="s">
        <v>2189</v>
      </c>
      <c r="B812" s="63" t="s">
        <v>2191</v>
      </c>
      <c r="C812" s="63" t="s">
        <v>953</v>
      </c>
      <c r="D812" s="63" t="s">
        <v>2192</v>
      </c>
      <c r="E812" s="65">
        <v>45657</v>
      </c>
      <c r="F812" s="65">
        <v>45657</v>
      </c>
      <c r="G812" s="64">
        <v>5111.8500000000004</v>
      </c>
      <c r="H812" s="92"/>
    </row>
    <row r="813" spans="1:8" x14ac:dyDescent="0.3">
      <c r="A813" s="63" t="s">
        <v>2193</v>
      </c>
      <c r="B813" s="63" t="s">
        <v>2194</v>
      </c>
      <c r="C813" s="63" t="s">
        <v>2195</v>
      </c>
      <c r="D813" s="63" t="s">
        <v>2196</v>
      </c>
      <c r="E813" s="65">
        <v>45505</v>
      </c>
      <c r="F813" s="65">
        <v>45505</v>
      </c>
      <c r="G813" s="64">
        <v>3200</v>
      </c>
      <c r="H813" s="92"/>
    </row>
    <row r="814" spans="1:8" x14ac:dyDescent="0.3">
      <c r="A814" s="63" t="s">
        <v>2197</v>
      </c>
      <c r="B814" s="63" t="s">
        <v>2198</v>
      </c>
      <c r="C814" s="63" t="s">
        <v>953</v>
      </c>
      <c r="D814" s="63" t="s">
        <v>2199</v>
      </c>
      <c r="E814" s="65">
        <v>44994</v>
      </c>
      <c r="F814" s="65">
        <v>44994</v>
      </c>
      <c r="G814" s="64">
        <v>1385.6</v>
      </c>
      <c r="H814" s="92"/>
    </row>
    <row r="815" spans="1:8" x14ac:dyDescent="0.3">
      <c r="A815" s="63" t="s">
        <v>2197</v>
      </c>
      <c r="B815" s="63" t="s">
        <v>2200</v>
      </c>
      <c r="C815" s="63" t="s">
        <v>953</v>
      </c>
      <c r="D815" s="63" t="s">
        <v>953</v>
      </c>
      <c r="E815" s="65">
        <v>45104</v>
      </c>
      <c r="F815" s="65">
        <v>45104</v>
      </c>
      <c r="G815" s="64">
        <v>1049.72</v>
      </c>
      <c r="H815" s="92"/>
    </row>
    <row r="816" spans="1:8" x14ac:dyDescent="0.3">
      <c r="A816" s="63" t="s">
        <v>2197</v>
      </c>
      <c r="B816" s="63" t="s">
        <v>2201</v>
      </c>
      <c r="C816" s="63" t="s">
        <v>953</v>
      </c>
      <c r="D816" s="63" t="s">
        <v>2199</v>
      </c>
      <c r="E816" s="65">
        <v>45117</v>
      </c>
      <c r="F816" s="65">
        <v>45117</v>
      </c>
      <c r="G816" s="64">
        <v>3167.12</v>
      </c>
      <c r="H816" s="92"/>
    </row>
    <row r="817" spans="1:8" x14ac:dyDescent="0.3">
      <c r="A817" s="63" t="s">
        <v>2197</v>
      </c>
      <c r="B817" s="63" t="s">
        <v>2202</v>
      </c>
      <c r="C817" s="63" t="s">
        <v>953</v>
      </c>
      <c r="D817" s="63" t="s">
        <v>2199</v>
      </c>
      <c r="E817" s="65">
        <v>45264</v>
      </c>
      <c r="F817" s="65">
        <v>45264</v>
      </c>
      <c r="G817" s="64">
        <v>2708.21</v>
      </c>
      <c r="H817" s="92"/>
    </row>
    <row r="818" spans="1:8" x14ac:dyDescent="0.3">
      <c r="A818" s="63" t="s">
        <v>2197</v>
      </c>
      <c r="B818" s="63" t="s">
        <v>2203</v>
      </c>
      <c r="C818" s="63" t="s">
        <v>953</v>
      </c>
      <c r="D818" s="63" t="s">
        <v>953</v>
      </c>
      <c r="E818" s="65">
        <v>45292</v>
      </c>
      <c r="F818" s="65">
        <v>45292</v>
      </c>
      <c r="G818" s="64">
        <v>3788.75</v>
      </c>
      <c r="H818" s="92"/>
    </row>
    <row r="819" spans="1:8" x14ac:dyDescent="0.3">
      <c r="A819" s="63" t="s">
        <v>2197</v>
      </c>
      <c r="B819" s="63" t="s">
        <v>2204</v>
      </c>
      <c r="C819" s="63" t="s">
        <v>953</v>
      </c>
      <c r="D819" s="63" t="s">
        <v>2199</v>
      </c>
      <c r="E819" s="65">
        <v>45471</v>
      </c>
      <c r="F819" s="65">
        <v>45471</v>
      </c>
      <c r="G819" s="64">
        <v>1328.32</v>
      </c>
      <c r="H819" s="92"/>
    </row>
    <row r="820" spans="1:8" x14ac:dyDescent="0.3">
      <c r="A820" s="63" t="s">
        <v>2205</v>
      </c>
      <c r="B820" s="63" t="s">
        <v>2206</v>
      </c>
      <c r="C820" s="63" t="s">
        <v>953</v>
      </c>
      <c r="D820" s="63" t="s">
        <v>2207</v>
      </c>
      <c r="E820" s="65">
        <v>45838</v>
      </c>
      <c r="F820" s="65">
        <v>45838</v>
      </c>
      <c r="G820" s="64">
        <v>498.55</v>
      </c>
      <c r="H820" s="92"/>
    </row>
    <row r="821" spans="1:8" x14ac:dyDescent="0.3">
      <c r="A821" s="63" t="s">
        <v>2205</v>
      </c>
      <c r="B821" s="63" t="s">
        <v>2208</v>
      </c>
      <c r="C821" s="63" t="s">
        <v>953</v>
      </c>
      <c r="D821" s="63" t="s">
        <v>953</v>
      </c>
      <c r="E821" s="65">
        <v>45838</v>
      </c>
      <c r="F821" s="65">
        <v>45838</v>
      </c>
      <c r="G821" s="64">
        <v>28013.11</v>
      </c>
      <c r="H821" s="92"/>
    </row>
    <row r="822" spans="1:8" x14ac:dyDescent="0.3">
      <c r="A822" s="63" t="s">
        <v>2209</v>
      </c>
      <c r="B822" s="63" t="s">
        <v>2210</v>
      </c>
      <c r="C822" s="63" t="s">
        <v>953</v>
      </c>
      <c r="D822" s="63" t="s">
        <v>2211</v>
      </c>
      <c r="E822" s="65">
        <v>45420</v>
      </c>
      <c r="F822" s="65">
        <v>45420</v>
      </c>
      <c r="G822" s="64">
        <v>11145.34</v>
      </c>
      <c r="H822" s="92"/>
    </row>
    <row r="823" spans="1:8" x14ac:dyDescent="0.3">
      <c r="A823" s="63" t="s">
        <v>2212</v>
      </c>
      <c r="B823" s="63" t="s">
        <v>2213</v>
      </c>
      <c r="C823" s="63" t="s">
        <v>953</v>
      </c>
      <c r="D823" s="63" t="s">
        <v>2214</v>
      </c>
      <c r="E823" s="65">
        <v>45728</v>
      </c>
      <c r="F823" s="65">
        <v>45728</v>
      </c>
      <c r="G823" s="64">
        <v>21323.599999999999</v>
      </c>
      <c r="H823" s="92"/>
    </row>
    <row r="824" spans="1:8" x14ac:dyDescent="0.3">
      <c r="A824" s="63" t="s">
        <v>2212</v>
      </c>
      <c r="B824" s="63" t="s">
        <v>2215</v>
      </c>
      <c r="C824" s="63" t="s">
        <v>953</v>
      </c>
      <c r="D824" s="63" t="s">
        <v>2216</v>
      </c>
      <c r="E824" s="65">
        <v>45728</v>
      </c>
      <c r="F824" s="65">
        <v>45728</v>
      </c>
      <c r="G824" s="64">
        <v>102739.81</v>
      </c>
      <c r="H824" s="92"/>
    </row>
    <row r="825" spans="1:8" x14ac:dyDescent="0.3">
      <c r="A825" s="63" t="s">
        <v>2212</v>
      </c>
      <c r="B825" s="63" t="s">
        <v>2217</v>
      </c>
      <c r="C825" s="63" t="s">
        <v>953</v>
      </c>
      <c r="D825" s="63" t="s">
        <v>2218</v>
      </c>
      <c r="E825" s="65">
        <v>45838</v>
      </c>
      <c r="F825" s="65">
        <v>45838</v>
      </c>
      <c r="G825" s="64">
        <v>266195.31</v>
      </c>
      <c r="H825" s="92"/>
    </row>
    <row r="826" spans="1:8" x14ac:dyDescent="0.3">
      <c r="A826" s="63" t="s">
        <v>2212</v>
      </c>
      <c r="B826" s="63" t="s">
        <v>2219</v>
      </c>
      <c r="C826" s="63" t="s">
        <v>953</v>
      </c>
      <c r="D826" s="63" t="s">
        <v>2214</v>
      </c>
      <c r="E826" s="65">
        <v>45838</v>
      </c>
      <c r="F826" s="65">
        <v>45838</v>
      </c>
      <c r="G826" s="64">
        <v>84220.35</v>
      </c>
      <c r="H826" s="92"/>
    </row>
    <row r="827" spans="1:8" x14ac:dyDescent="0.3">
      <c r="A827" s="63" t="s">
        <v>2220</v>
      </c>
      <c r="B827" s="63" t="s">
        <v>2221</v>
      </c>
      <c r="C827" s="63" t="s">
        <v>953</v>
      </c>
      <c r="D827" s="63" t="s">
        <v>1792</v>
      </c>
      <c r="E827" s="65">
        <v>45778</v>
      </c>
      <c r="F827" s="65">
        <v>45793</v>
      </c>
      <c r="G827" s="64">
        <v>14144.31</v>
      </c>
      <c r="H827" s="92"/>
    </row>
    <row r="828" spans="1:8" x14ac:dyDescent="0.3">
      <c r="A828" s="63" t="s">
        <v>2220</v>
      </c>
      <c r="B828" s="63" t="s">
        <v>2222</v>
      </c>
      <c r="C828" s="63" t="s">
        <v>953</v>
      </c>
      <c r="D828" s="63" t="s">
        <v>977</v>
      </c>
      <c r="E828" s="65">
        <v>45785</v>
      </c>
      <c r="F828" s="65">
        <v>45800</v>
      </c>
      <c r="G828" s="64">
        <v>10270.42</v>
      </c>
      <c r="H828" s="92"/>
    </row>
    <row r="829" spans="1:8" x14ac:dyDescent="0.3">
      <c r="A829" s="63" t="s">
        <v>2220</v>
      </c>
      <c r="B829" s="63" t="s">
        <v>2223</v>
      </c>
      <c r="C829" s="63" t="s">
        <v>953</v>
      </c>
      <c r="D829" s="63" t="s">
        <v>988</v>
      </c>
      <c r="E829" s="65">
        <v>45791</v>
      </c>
      <c r="F829" s="65">
        <v>45806</v>
      </c>
      <c r="G829" s="64">
        <v>361814.91</v>
      </c>
      <c r="H829" s="93"/>
    </row>
    <row r="830" spans="1:8" x14ac:dyDescent="0.3">
      <c r="A830" s="63" t="s">
        <v>2220</v>
      </c>
      <c r="B830" s="63" t="s">
        <v>2224</v>
      </c>
      <c r="C830" s="63" t="s">
        <v>953</v>
      </c>
      <c r="D830" s="63" t="s">
        <v>986</v>
      </c>
      <c r="E830" s="65">
        <v>45791</v>
      </c>
      <c r="F830" s="65">
        <v>45806</v>
      </c>
      <c r="G830" s="64">
        <v>19111.77</v>
      </c>
      <c r="H830" s="92"/>
    </row>
    <row r="831" spans="1:8" x14ac:dyDescent="0.3">
      <c r="A831" s="63" t="s">
        <v>2220</v>
      </c>
      <c r="B831" s="63" t="s">
        <v>2225</v>
      </c>
      <c r="C831" s="63" t="s">
        <v>953</v>
      </c>
      <c r="D831" s="63" t="s">
        <v>986</v>
      </c>
      <c r="E831" s="65">
        <v>45791</v>
      </c>
      <c r="F831" s="65">
        <v>45806</v>
      </c>
      <c r="G831" s="64">
        <v>45465</v>
      </c>
      <c r="H831" s="92"/>
    </row>
    <row r="832" spans="1:8" x14ac:dyDescent="0.3">
      <c r="A832" s="63" t="s">
        <v>2220</v>
      </c>
      <c r="B832" s="63" t="s">
        <v>2226</v>
      </c>
      <c r="C832" s="63" t="s">
        <v>953</v>
      </c>
      <c r="D832" s="63" t="s">
        <v>2227</v>
      </c>
      <c r="E832" s="65">
        <v>45832</v>
      </c>
      <c r="F832" s="65">
        <v>45847</v>
      </c>
      <c r="G832" s="64">
        <v>32502.51</v>
      </c>
      <c r="H832" s="92"/>
    </row>
    <row r="833" spans="1:8" x14ac:dyDescent="0.3">
      <c r="A833" s="63" t="s">
        <v>2220</v>
      </c>
      <c r="B833" s="63" t="s">
        <v>2228</v>
      </c>
      <c r="C833" s="63" t="s">
        <v>953</v>
      </c>
      <c r="D833" s="63" t="s">
        <v>2229</v>
      </c>
      <c r="E833" s="65">
        <v>45832</v>
      </c>
      <c r="F833" s="65">
        <v>45847</v>
      </c>
      <c r="G833" s="64">
        <v>63190.28</v>
      </c>
      <c r="H833" s="92"/>
    </row>
    <row r="834" spans="1:8" x14ac:dyDescent="0.3">
      <c r="A834" s="63" t="s">
        <v>2220</v>
      </c>
      <c r="B834" s="63" t="s">
        <v>2230</v>
      </c>
      <c r="C834" s="63" t="s">
        <v>953</v>
      </c>
      <c r="D834" s="63" t="s">
        <v>988</v>
      </c>
      <c r="E834" s="65">
        <v>45832</v>
      </c>
      <c r="F834" s="65">
        <v>45847</v>
      </c>
      <c r="G834" s="64">
        <v>12371.33</v>
      </c>
      <c r="H834" s="92"/>
    </row>
    <row r="835" spans="1:8" x14ac:dyDescent="0.3">
      <c r="A835" s="63" t="s">
        <v>2231</v>
      </c>
      <c r="B835" s="63" t="s">
        <v>2232</v>
      </c>
      <c r="C835" s="63" t="s">
        <v>953</v>
      </c>
      <c r="D835" s="63" t="s">
        <v>953</v>
      </c>
      <c r="E835" s="65">
        <v>44791</v>
      </c>
      <c r="F835" s="65">
        <v>44791</v>
      </c>
      <c r="G835" s="64">
        <v>664.32</v>
      </c>
      <c r="H835" s="92"/>
    </row>
    <row r="836" spans="1:8" x14ac:dyDescent="0.3">
      <c r="A836" s="63" t="s">
        <v>2231</v>
      </c>
      <c r="B836" s="63" t="s">
        <v>2233</v>
      </c>
      <c r="C836" s="63" t="s">
        <v>953</v>
      </c>
      <c r="D836" s="63" t="s">
        <v>2234</v>
      </c>
      <c r="E836" s="65">
        <v>44806</v>
      </c>
      <c r="F836" s="65">
        <v>44806</v>
      </c>
      <c r="G836" s="64">
        <v>37448.5</v>
      </c>
      <c r="H836" s="92"/>
    </row>
    <row r="837" spans="1:8" x14ac:dyDescent="0.3">
      <c r="A837" s="63" t="s">
        <v>2231</v>
      </c>
      <c r="B837" s="63" t="s">
        <v>2235</v>
      </c>
      <c r="C837" s="63" t="s">
        <v>953</v>
      </c>
      <c r="D837" s="63" t="s">
        <v>2234</v>
      </c>
      <c r="E837" s="65">
        <v>44823</v>
      </c>
      <c r="F837" s="65">
        <v>44823</v>
      </c>
      <c r="G837" s="64">
        <v>3192.19</v>
      </c>
      <c r="H837" s="92"/>
    </row>
    <row r="838" spans="1:8" x14ac:dyDescent="0.3">
      <c r="A838" s="63" t="s">
        <v>2231</v>
      </c>
      <c r="B838" s="63" t="s">
        <v>2236</v>
      </c>
      <c r="C838" s="63" t="s">
        <v>953</v>
      </c>
      <c r="D838" s="63" t="s">
        <v>2237</v>
      </c>
      <c r="E838" s="65">
        <v>44840</v>
      </c>
      <c r="F838" s="65">
        <v>44840</v>
      </c>
      <c r="G838" s="64">
        <v>2285.04</v>
      </c>
      <c r="H838" s="92"/>
    </row>
    <row r="839" spans="1:8" x14ac:dyDescent="0.3">
      <c r="A839" s="63" t="s">
        <v>2231</v>
      </c>
      <c r="B839" s="63" t="s">
        <v>2238</v>
      </c>
      <c r="C839" s="63" t="s">
        <v>953</v>
      </c>
      <c r="D839" s="63" t="s">
        <v>2234</v>
      </c>
      <c r="E839" s="65">
        <v>44844</v>
      </c>
      <c r="F839" s="65">
        <v>44844</v>
      </c>
      <c r="G839" s="64">
        <v>3085.75</v>
      </c>
      <c r="H839" s="92"/>
    </row>
    <row r="840" spans="1:8" x14ac:dyDescent="0.3">
      <c r="A840" s="63" t="s">
        <v>2231</v>
      </c>
      <c r="B840" s="63" t="s">
        <v>2239</v>
      </c>
      <c r="C840" s="63" t="s">
        <v>953</v>
      </c>
      <c r="D840" s="63" t="s">
        <v>2240</v>
      </c>
      <c r="E840" s="65">
        <v>44844</v>
      </c>
      <c r="F840" s="65">
        <v>44844</v>
      </c>
      <c r="G840" s="64">
        <v>8435</v>
      </c>
      <c r="H840" s="92"/>
    </row>
    <row r="841" spans="1:8" x14ac:dyDescent="0.3">
      <c r="A841" s="63" t="s">
        <v>2231</v>
      </c>
      <c r="B841" s="63" t="s">
        <v>2241</v>
      </c>
      <c r="C841" s="63" t="s">
        <v>953</v>
      </c>
      <c r="D841" s="63" t="s">
        <v>2237</v>
      </c>
      <c r="E841" s="65">
        <v>44874</v>
      </c>
      <c r="F841" s="65">
        <v>44874</v>
      </c>
      <c r="G841" s="64">
        <v>386.88</v>
      </c>
      <c r="H841" s="92"/>
    </row>
    <row r="842" spans="1:8" x14ac:dyDescent="0.3">
      <c r="A842" s="63" t="s">
        <v>2231</v>
      </c>
      <c r="B842" s="63" t="s">
        <v>2242</v>
      </c>
      <c r="C842" s="63" t="s">
        <v>953</v>
      </c>
      <c r="D842" s="63" t="s">
        <v>2237</v>
      </c>
      <c r="E842" s="65">
        <v>44970</v>
      </c>
      <c r="F842" s="65">
        <v>44970</v>
      </c>
      <c r="G842" s="64">
        <v>968.6</v>
      </c>
      <c r="H842" s="92"/>
    </row>
    <row r="843" spans="1:8" x14ac:dyDescent="0.3">
      <c r="A843" s="63" t="s">
        <v>2231</v>
      </c>
      <c r="B843" s="63" t="s">
        <v>2243</v>
      </c>
      <c r="C843" s="63" t="s">
        <v>953</v>
      </c>
      <c r="D843" s="63" t="s">
        <v>2244</v>
      </c>
      <c r="E843" s="65">
        <v>45450</v>
      </c>
      <c r="F843" s="65">
        <v>45450</v>
      </c>
      <c r="G843" s="64">
        <v>11072.66</v>
      </c>
      <c r="H843" s="92"/>
    </row>
    <row r="844" spans="1:8" x14ac:dyDescent="0.3">
      <c r="A844" s="63" t="s">
        <v>2245</v>
      </c>
      <c r="B844" s="63" t="s">
        <v>2246</v>
      </c>
      <c r="C844" s="63" t="s">
        <v>953</v>
      </c>
      <c r="D844" s="63" t="s">
        <v>953</v>
      </c>
      <c r="E844" s="65">
        <v>44999</v>
      </c>
      <c r="F844" s="65">
        <v>45029</v>
      </c>
      <c r="G844" s="64">
        <v>34898.160000000003</v>
      </c>
      <c r="H844" s="92"/>
    </row>
    <row r="845" spans="1:8" x14ac:dyDescent="0.3">
      <c r="A845" s="63" t="s">
        <v>2247</v>
      </c>
      <c r="B845" s="63" t="s">
        <v>2248</v>
      </c>
      <c r="C845" s="63" t="s">
        <v>953</v>
      </c>
      <c r="D845" s="63" t="s">
        <v>2249</v>
      </c>
      <c r="E845" s="65">
        <v>45838</v>
      </c>
      <c r="F845" s="65">
        <v>45838</v>
      </c>
      <c r="G845" s="64">
        <v>0.01</v>
      </c>
      <c r="H845" s="92"/>
    </row>
    <row r="846" spans="1:8" x14ac:dyDescent="0.3">
      <c r="A846" s="63" t="s">
        <v>2250</v>
      </c>
      <c r="B846" s="63" t="s">
        <v>2251</v>
      </c>
      <c r="C846" s="63" t="s">
        <v>953</v>
      </c>
      <c r="D846" s="63" t="s">
        <v>2252</v>
      </c>
      <c r="E846" s="65">
        <v>45384</v>
      </c>
      <c r="F846" s="65">
        <v>45384</v>
      </c>
      <c r="G846" s="64">
        <v>2513.63</v>
      </c>
      <c r="H846" s="92"/>
    </row>
    <row r="847" spans="1:8" x14ac:dyDescent="0.3">
      <c r="A847" s="63" t="s">
        <v>2250</v>
      </c>
      <c r="B847" s="63" t="s">
        <v>2253</v>
      </c>
      <c r="C847" s="63" t="s">
        <v>953</v>
      </c>
      <c r="D847" s="63" t="s">
        <v>2254</v>
      </c>
      <c r="E847" s="65">
        <v>45413</v>
      </c>
      <c r="F847" s="65">
        <v>45413</v>
      </c>
      <c r="G847" s="64">
        <v>4438.25</v>
      </c>
      <c r="H847" s="92"/>
    </row>
    <row r="848" spans="1:8" x14ac:dyDescent="0.3">
      <c r="A848" s="63" t="s">
        <v>2255</v>
      </c>
      <c r="B848" s="63" t="s">
        <v>2256</v>
      </c>
      <c r="C848" s="63" t="s">
        <v>953</v>
      </c>
      <c r="D848" s="63" t="s">
        <v>2257</v>
      </c>
      <c r="E848" s="65">
        <v>45483</v>
      </c>
      <c r="F848" s="65">
        <v>45483</v>
      </c>
      <c r="G848" s="64">
        <v>14801.42</v>
      </c>
      <c r="H848" s="92"/>
    </row>
    <row r="849" spans="1:8" x14ac:dyDescent="0.3">
      <c r="A849" s="63" t="s">
        <v>2258</v>
      </c>
      <c r="B849" s="63" t="s">
        <v>953</v>
      </c>
      <c r="C849" s="63" t="s">
        <v>953</v>
      </c>
      <c r="D849" s="63" t="s">
        <v>953</v>
      </c>
      <c r="E849" s="65">
        <v>45671</v>
      </c>
      <c r="F849" s="65">
        <v>45671</v>
      </c>
      <c r="G849" s="64">
        <v>-1938.25</v>
      </c>
      <c r="H849" s="92"/>
    </row>
    <row r="850" spans="1:8" x14ac:dyDescent="0.3">
      <c r="A850" s="63" t="s">
        <v>2259</v>
      </c>
      <c r="B850" s="63" t="s">
        <v>2260</v>
      </c>
      <c r="C850" s="63" t="s">
        <v>2261</v>
      </c>
      <c r="D850" s="63" t="s">
        <v>953</v>
      </c>
      <c r="E850" s="65">
        <v>44390</v>
      </c>
      <c r="F850" s="65">
        <v>44392</v>
      </c>
      <c r="G850" s="64">
        <v>530</v>
      </c>
      <c r="H850" s="92"/>
    </row>
    <row r="851" spans="1:8" x14ac:dyDescent="0.3">
      <c r="A851" s="63" t="s">
        <v>2259</v>
      </c>
      <c r="B851" s="63" t="s">
        <v>2262</v>
      </c>
      <c r="C851" s="63" t="s">
        <v>2261</v>
      </c>
      <c r="D851" s="63" t="s">
        <v>953</v>
      </c>
      <c r="E851" s="65">
        <v>44610</v>
      </c>
      <c r="F851" s="65">
        <v>44610</v>
      </c>
      <c r="G851" s="64">
        <v>644.20000000000005</v>
      </c>
      <c r="H851" s="92"/>
    </row>
    <row r="852" spans="1:8" x14ac:dyDescent="0.3">
      <c r="A852" s="63" t="s">
        <v>2263</v>
      </c>
      <c r="B852" s="63" t="s">
        <v>2264</v>
      </c>
      <c r="C852" s="63" t="s">
        <v>953</v>
      </c>
      <c r="D852" s="63" t="s">
        <v>2265</v>
      </c>
      <c r="E852" s="65">
        <v>45474</v>
      </c>
      <c r="F852" s="65">
        <v>45474</v>
      </c>
      <c r="G852" s="64">
        <v>443.75</v>
      </c>
      <c r="H852" s="92"/>
    </row>
    <row r="853" spans="1:8" x14ac:dyDescent="0.3">
      <c r="A853" s="63" t="s">
        <v>2266</v>
      </c>
      <c r="B853" s="63" t="s">
        <v>2267</v>
      </c>
      <c r="C853" s="63" t="s">
        <v>953</v>
      </c>
      <c r="D853" s="63" t="s">
        <v>1150</v>
      </c>
      <c r="E853" s="65">
        <v>45818</v>
      </c>
      <c r="F853" s="65">
        <v>45818</v>
      </c>
      <c r="G853" s="64">
        <v>3582.94</v>
      </c>
      <c r="H853" s="92"/>
    </row>
    <row r="854" spans="1:8" x14ac:dyDescent="0.3">
      <c r="A854" s="63" t="s">
        <v>2266</v>
      </c>
      <c r="B854" s="63" t="s">
        <v>2268</v>
      </c>
      <c r="C854" s="63" t="s">
        <v>953</v>
      </c>
      <c r="D854" s="63" t="s">
        <v>2269</v>
      </c>
      <c r="E854" s="65">
        <v>45838</v>
      </c>
      <c r="F854" s="65">
        <v>45838</v>
      </c>
      <c r="G854" s="64">
        <v>195746.35</v>
      </c>
      <c r="H854" s="92"/>
    </row>
    <row r="855" spans="1:8" x14ac:dyDescent="0.3">
      <c r="A855" s="63" t="s">
        <v>2266</v>
      </c>
      <c r="B855" s="63" t="s">
        <v>2270</v>
      </c>
      <c r="C855" s="63" t="s">
        <v>953</v>
      </c>
      <c r="D855" s="63" t="s">
        <v>1023</v>
      </c>
      <c r="E855" s="65">
        <v>45838</v>
      </c>
      <c r="F855" s="65">
        <v>45838</v>
      </c>
      <c r="G855" s="64">
        <v>9170.7099999999991</v>
      </c>
      <c r="H855" s="92"/>
    </row>
    <row r="856" spans="1:8" x14ac:dyDescent="0.3">
      <c r="A856" s="63" t="s">
        <v>2271</v>
      </c>
      <c r="B856" s="63" t="s">
        <v>2272</v>
      </c>
      <c r="C856" s="63" t="s">
        <v>2273</v>
      </c>
      <c r="D856" s="63" t="s">
        <v>953</v>
      </c>
      <c r="E856" s="65">
        <v>44817</v>
      </c>
      <c r="F856" s="65">
        <v>44817</v>
      </c>
      <c r="G856" s="64">
        <v>10000</v>
      </c>
      <c r="H856" s="92"/>
    </row>
    <row r="857" spans="1:8" x14ac:dyDescent="0.3">
      <c r="A857" s="63" t="s">
        <v>2274</v>
      </c>
      <c r="B857" s="63" t="s">
        <v>2275</v>
      </c>
      <c r="C857" s="63" t="s">
        <v>953</v>
      </c>
      <c r="D857" s="63" t="s">
        <v>953</v>
      </c>
      <c r="E857" s="65">
        <v>45838</v>
      </c>
      <c r="F857" s="65">
        <v>45868</v>
      </c>
      <c r="G857" s="64">
        <v>35.54</v>
      </c>
      <c r="H857" s="92"/>
    </row>
    <row r="858" spans="1:8" x14ac:dyDescent="0.3">
      <c r="A858" s="63" t="s">
        <v>2276</v>
      </c>
      <c r="B858" s="63" t="s">
        <v>2277</v>
      </c>
      <c r="C858" s="63" t="s">
        <v>953</v>
      </c>
      <c r="D858" s="63" t="s">
        <v>1006</v>
      </c>
      <c r="E858" s="65">
        <v>45716</v>
      </c>
      <c r="F858" s="65">
        <v>45716</v>
      </c>
      <c r="G858" s="64">
        <v>42902.7</v>
      </c>
      <c r="H858" s="92"/>
    </row>
    <row r="859" spans="1:8" x14ac:dyDescent="0.3">
      <c r="A859" s="63" t="s">
        <v>2276</v>
      </c>
      <c r="B859" s="63" t="s">
        <v>2278</v>
      </c>
      <c r="C859" s="63" t="s">
        <v>953</v>
      </c>
      <c r="D859" s="63" t="s">
        <v>1006</v>
      </c>
      <c r="E859" s="65">
        <v>45734</v>
      </c>
      <c r="F859" s="65">
        <v>45734</v>
      </c>
      <c r="G859" s="64">
        <v>34756.559999999998</v>
      </c>
      <c r="H859" s="92"/>
    </row>
    <row r="860" spans="1:8" x14ac:dyDescent="0.3">
      <c r="A860" s="63" t="s">
        <v>2276</v>
      </c>
      <c r="B860" s="63" t="s">
        <v>2279</v>
      </c>
      <c r="C860" s="63" t="s">
        <v>953</v>
      </c>
      <c r="D860" s="63" t="s">
        <v>2280</v>
      </c>
      <c r="E860" s="65">
        <v>45734</v>
      </c>
      <c r="F860" s="65">
        <v>45734</v>
      </c>
      <c r="G860" s="64">
        <v>1919.56</v>
      </c>
      <c r="H860" s="93"/>
    </row>
    <row r="861" spans="1:8" x14ac:dyDescent="0.3">
      <c r="A861" s="63" t="s">
        <v>2276</v>
      </c>
      <c r="B861" s="63" t="s">
        <v>2281</v>
      </c>
      <c r="C861" s="63" t="s">
        <v>953</v>
      </c>
      <c r="D861" s="63" t="s">
        <v>1054</v>
      </c>
      <c r="E861" s="65">
        <v>45734</v>
      </c>
      <c r="F861" s="65">
        <v>45734</v>
      </c>
      <c r="G861" s="64">
        <v>10049.549999999999</v>
      </c>
      <c r="H861" s="92"/>
    </row>
    <row r="862" spans="1:8" x14ac:dyDescent="0.3">
      <c r="A862" s="63" t="s">
        <v>2276</v>
      </c>
      <c r="B862" s="63" t="s">
        <v>2282</v>
      </c>
      <c r="C862" s="63" t="s">
        <v>953</v>
      </c>
      <c r="D862" s="63" t="s">
        <v>1023</v>
      </c>
      <c r="E862" s="65">
        <v>45743</v>
      </c>
      <c r="F862" s="65">
        <v>45743</v>
      </c>
      <c r="G862" s="64">
        <v>9014.52</v>
      </c>
      <c r="H862" s="92"/>
    </row>
    <row r="863" spans="1:8" x14ac:dyDescent="0.3">
      <c r="A863" s="63" t="s">
        <v>2276</v>
      </c>
      <c r="B863" s="63" t="s">
        <v>2283</v>
      </c>
      <c r="C863" s="63" t="s">
        <v>953</v>
      </c>
      <c r="D863" s="63" t="s">
        <v>1010</v>
      </c>
      <c r="E863" s="65">
        <v>45755</v>
      </c>
      <c r="F863" s="65">
        <v>45755</v>
      </c>
      <c r="G863" s="64">
        <v>-103.64</v>
      </c>
      <c r="H863" s="92"/>
    </row>
    <row r="864" spans="1:8" x14ac:dyDescent="0.3">
      <c r="A864" s="63" t="s">
        <v>2276</v>
      </c>
      <c r="B864" s="63" t="s">
        <v>2284</v>
      </c>
      <c r="C864" s="63" t="s">
        <v>953</v>
      </c>
      <c r="D864" s="63" t="s">
        <v>2285</v>
      </c>
      <c r="E864" s="65">
        <v>45757</v>
      </c>
      <c r="F864" s="65">
        <v>45757</v>
      </c>
      <c r="G864" s="64">
        <v>-263.76</v>
      </c>
      <c r="H864" s="92"/>
    </row>
    <row r="865" spans="1:8" x14ac:dyDescent="0.3">
      <c r="A865" s="63" t="s">
        <v>2276</v>
      </c>
      <c r="B865" s="63" t="s">
        <v>2286</v>
      </c>
      <c r="C865" s="63" t="s">
        <v>953</v>
      </c>
      <c r="D865" s="63" t="s">
        <v>1100</v>
      </c>
      <c r="E865" s="65">
        <v>45757</v>
      </c>
      <c r="F865" s="65">
        <v>45757</v>
      </c>
      <c r="G865" s="64">
        <v>-364.5</v>
      </c>
      <c r="H865" s="92"/>
    </row>
    <row r="866" spans="1:8" x14ac:dyDescent="0.3">
      <c r="A866" s="63" t="s">
        <v>2276</v>
      </c>
      <c r="B866" s="63" t="s">
        <v>2287</v>
      </c>
      <c r="C866" s="63" t="s">
        <v>953</v>
      </c>
      <c r="D866" s="63" t="s">
        <v>2285</v>
      </c>
      <c r="E866" s="65">
        <v>45768</v>
      </c>
      <c r="F866" s="65">
        <v>45768</v>
      </c>
      <c r="G866" s="64">
        <v>752.76</v>
      </c>
      <c r="H866" s="92"/>
    </row>
    <row r="867" spans="1:8" x14ac:dyDescent="0.3">
      <c r="A867" s="63" t="s">
        <v>2276</v>
      </c>
      <c r="B867" s="63" t="s">
        <v>2288</v>
      </c>
      <c r="C867" s="63" t="s">
        <v>953</v>
      </c>
      <c r="D867" s="63" t="s">
        <v>1006</v>
      </c>
      <c r="E867" s="65">
        <v>45768</v>
      </c>
      <c r="F867" s="65">
        <v>45768</v>
      </c>
      <c r="G867" s="64">
        <v>4896</v>
      </c>
      <c r="H867" s="92"/>
    </row>
    <row r="868" spans="1:8" x14ac:dyDescent="0.3">
      <c r="A868" s="63" t="s">
        <v>2276</v>
      </c>
      <c r="B868" s="63" t="s">
        <v>2289</v>
      </c>
      <c r="C868" s="63" t="s">
        <v>953</v>
      </c>
      <c r="D868" s="63" t="s">
        <v>1100</v>
      </c>
      <c r="E868" s="65">
        <v>45768</v>
      </c>
      <c r="F868" s="65">
        <v>45768</v>
      </c>
      <c r="G868" s="64">
        <v>253.26</v>
      </c>
      <c r="H868" s="92"/>
    </row>
    <row r="869" spans="1:8" x14ac:dyDescent="0.3">
      <c r="A869" s="63" t="s">
        <v>2276</v>
      </c>
      <c r="B869" s="63" t="s">
        <v>2290</v>
      </c>
      <c r="C869" s="63" t="s">
        <v>953</v>
      </c>
      <c r="D869" s="63" t="s">
        <v>1023</v>
      </c>
      <c r="E869" s="65">
        <v>45838</v>
      </c>
      <c r="F869" s="65">
        <v>45838</v>
      </c>
      <c r="G869" s="64">
        <v>2223</v>
      </c>
      <c r="H869" s="92"/>
    </row>
    <row r="870" spans="1:8" x14ac:dyDescent="0.3">
      <c r="A870" s="63" t="s">
        <v>2291</v>
      </c>
      <c r="B870" s="63" t="s">
        <v>2292</v>
      </c>
      <c r="C870" s="63" t="s">
        <v>953</v>
      </c>
      <c r="D870" s="63" t="s">
        <v>1926</v>
      </c>
      <c r="E870" s="65">
        <v>45838</v>
      </c>
      <c r="F870" s="65">
        <v>45838</v>
      </c>
      <c r="G870" s="64">
        <v>1931.91</v>
      </c>
      <c r="H870" s="92"/>
    </row>
    <row r="871" spans="1:8" x14ac:dyDescent="0.3">
      <c r="A871" s="63" t="s">
        <v>2291</v>
      </c>
      <c r="B871" s="63" t="s">
        <v>2293</v>
      </c>
      <c r="C871" s="63" t="s">
        <v>953</v>
      </c>
      <c r="D871" s="63" t="s">
        <v>1926</v>
      </c>
      <c r="E871" s="65">
        <v>45838</v>
      </c>
      <c r="F871" s="65">
        <v>45838</v>
      </c>
      <c r="G871" s="64">
        <v>18422.96</v>
      </c>
      <c r="H871" s="92"/>
    </row>
    <row r="872" spans="1:8" x14ac:dyDescent="0.3">
      <c r="A872" s="63" t="s">
        <v>2291</v>
      </c>
      <c r="B872" s="63" t="s">
        <v>2294</v>
      </c>
      <c r="C872" s="63" t="s">
        <v>953</v>
      </c>
      <c r="D872" s="63" t="s">
        <v>2295</v>
      </c>
      <c r="E872" s="65">
        <v>45838</v>
      </c>
      <c r="F872" s="65">
        <v>45838</v>
      </c>
      <c r="G872" s="64">
        <v>5338.41</v>
      </c>
      <c r="H872" s="92"/>
    </row>
    <row r="873" spans="1:8" x14ac:dyDescent="0.3">
      <c r="A873" s="63" t="s">
        <v>2291</v>
      </c>
      <c r="B873" s="63" t="s">
        <v>2296</v>
      </c>
      <c r="C873" s="63" t="s">
        <v>953</v>
      </c>
      <c r="D873" s="63" t="s">
        <v>1479</v>
      </c>
      <c r="E873" s="65">
        <v>45838</v>
      </c>
      <c r="F873" s="65">
        <v>45838</v>
      </c>
      <c r="G873" s="64">
        <v>8143.74</v>
      </c>
      <c r="H873" s="92"/>
    </row>
    <row r="874" spans="1:8" x14ac:dyDescent="0.3">
      <c r="A874" s="63" t="s">
        <v>2291</v>
      </c>
      <c r="B874" s="63" t="s">
        <v>2297</v>
      </c>
      <c r="C874" s="63" t="s">
        <v>953</v>
      </c>
      <c r="D874" s="63" t="s">
        <v>2026</v>
      </c>
      <c r="E874" s="65">
        <v>45838</v>
      </c>
      <c r="F874" s="65">
        <v>45838</v>
      </c>
      <c r="G874" s="64">
        <v>503.32</v>
      </c>
      <c r="H874" s="92"/>
    </row>
    <row r="875" spans="1:8" x14ac:dyDescent="0.3">
      <c r="A875" s="63" t="s">
        <v>2291</v>
      </c>
      <c r="B875" s="63" t="s">
        <v>2298</v>
      </c>
      <c r="C875" s="63" t="s">
        <v>953</v>
      </c>
      <c r="D875" s="63" t="s">
        <v>2026</v>
      </c>
      <c r="E875" s="65">
        <v>45838</v>
      </c>
      <c r="F875" s="65">
        <v>45838</v>
      </c>
      <c r="G875" s="64">
        <v>1995.08</v>
      </c>
      <c r="H875" s="92"/>
    </row>
    <row r="876" spans="1:8" x14ac:dyDescent="0.3">
      <c r="A876" s="63" t="s">
        <v>2299</v>
      </c>
      <c r="B876" s="63" t="s">
        <v>2300</v>
      </c>
      <c r="C876" s="63" t="s">
        <v>953</v>
      </c>
      <c r="D876" s="63" t="s">
        <v>1790</v>
      </c>
      <c r="E876" s="65">
        <v>45544</v>
      </c>
      <c r="F876" s="65">
        <v>45544</v>
      </c>
      <c r="G876" s="64">
        <v>300</v>
      </c>
      <c r="H876" s="92"/>
    </row>
    <row r="877" spans="1:8" x14ac:dyDescent="0.3">
      <c r="A877" s="63" t="s">
        <v>2299</v>
      </c>
      <c r="B877" s="63" t="s">
        <v>2301</v>
      </c>
      <c r="C877" s="63" t="s">
        <v>953</v>
      </c>
      <c r="D877" s="63" t="s">
        <v>953</v>
      </c>
      <c r="E877" s="65">
        <v>45751</v>
      </c>
      <c r="F877" s="65">
        <v>45751</v>
      </c>
      <c r="G877" s="64">
        <v>10639.49</v>
      </c>
      <c r="H877" s="92"/>
    </row>
    <row r="878" spans="1:8" x14ac:dyDescent="0.3">
      <c r="A878" s="63" t="s">
        <v>2299</v>
      </c>
      <c r="B878" s="63" t="s">
        <v>2302</v>
      </c>
      <c r="C878" s="63" t="s">
        <v>953</v>
      </c>
      <c r="D878" s="63" t="s">
        <v>953</v>
      </c>
      <c r="E878" s="65">
        <v>45751</v>
      </c>
      <c r="F878" s="65">
        <v>45751</v>
      </c>
      <c r="G878" s="64">
        <v>4345.2</v>
      </c>
      <c r="H878" s="92"/>
    </row>
    <row r="879" spans="1:8" x14ac:dyDescent="0.3">
      <c r="A879" s="63" t="s">
        <v>2299</v>
      </c>
      <c r="B879" s="63" t="s">
        <v>2303</v>
      </c>
      <c r="C879" s="63" t="s">
        <v>953</v>
      </c>
      <c r="D879" s="63" t="s">
        <v>1092</v>
      </c>
      <c r="E879" s="65">
        <v>45838</v>
      </c>
      <c r="F879" s="65">
        <v>45838</v>
      </c>
      <c r="G879" s="64">
        <v>130153.59</v>
      </c>
      <c r="H879" s="92"/>
    </row>
    <row r="880" spans="1:8" x14ac:dyDescent="0.3">
      <c r="A880" s="63" t="s">
        <v>2299</v>
      </c>
      <c r="B880" s="63" t="s">
        <v>2304</v>
      </c>
      <c r="C880" s="63" t="s">
        <v>953</v>
      </c>
      <c r="D880" s="63" t="s">
        <v>1069</v>
      </c>
      <c r="E880" s="65">
        <v>45838</v>
      </c>
      <c r="F880" s="65">
        <v>45838</v>
      </c>
      <c r="G880" s="64">
        <v>125190.78</v>
      </c>
      <c r="H880" s="92"/>
    </row>
    <row r="881" spans="1:8" x14ac:dyDescent="0.3">
      <c r="A881" s="63" t="s">
        <v>2299</v>
      </c>
      <c r="B881" s="63" t="s">
        <v>2305</v>
      </c>
      <c r="C881" s="63" t="s">
        <v>953</v>
      </c>
      <c r="D881" s="63" t="s">
        <v>953</v>
      </c>
      <c r="E881" s="65">
        <v>45838</v>
      </c>
      <c r="F881" s="65">
        <v>45838</v>
      </c>
      <c r="G881" s="64">
        <v>34620.089999999997</v>
      </c>
      <c r="H881" s="92"/>
    </row>
    <row r="882" spans="1:8" x14ac:dyDescent="0.3">
      <c r="A882" s="63" t="s">
        <v>2299</v>
      </c>
      <c r="B882" s="63" t="s">
        <v>2306</v>
      </c>
      <c r="C882" s="63" t="s">
        <v>953</v>
      </c>
      <c r="D882" s="63" t="s">
        <v>953</v>
      </c>
      <c r="E882" s="65">
        <v>45838</v>
      </c>
      <c r="F882" s="65">
        <v>45838</v>
      </c>
      <c r="G882" s="64">
        <v>1181.21</v>
      </c>
      <c r="H882" s="92"/>
    </row>
    <row r="883" spans="1:8" x14ac:dyDescent="0.3">
      <c r="A883" s="63" t="s">
        <v>2307</v>
      </c>
      <c r="B883" s="63" t="s">
        <v>2308</v>
      </c>
      <c r="C883" s="63" t="s">
        <v>2309</v>
      </c>
      <c r="D883" s="63" t="s">
        <v>2310</v>
      </c>
      <c r="E883" s="65">
        <v>44586</v>
      </c>
      <c r="F883" s="65">
        <v>44586</v>
      </c>
      <c r="G883" s="64">
        <v>1971.02</v>
      </c>
      <c r="H883" s="92"/>
    </row>
    <row r="884" spans="1:8" x14ac:dyDescent="0.3">
      <c r="A884" s="63" t="s">
        <v>2311</v>
      </c>
      <c r="B884" s="63" t="s">
        <v>2312</v>
      </c>
      <c r="C884" s="63" t="s">
        <v>953</v>
      </c>
      <c r="D884" s="63" t="s">
        <v>953</v>
      </c>
      <c r="E884" s="65">
        <v>44924</v>
      </c>
      <c r="F884" s="65">
        <v>44924</v>
      </c>
      <c r="G884" s="64">
        <v>1289</v>
      </c>
      <c r="H884" s="92"/>
    </row>
    <row r="885" spans="1:8" x14ac:dyDescent="0.3">
      <c r="A885" s="63" t="s">
        <v>2313</v>
      </c>
      <c r="B885" s="63" t="s">
        <v>2314</v>
      </c>
      <c r="C885" s="63" t="s">
        <v>953</v>
      </c>
      <c r="D885" s="63" t="s">
        <v>2315</v>
      </c>
      <c r="E885" s="65">
        <v>45688</v>
      </c>
      <c r="F885" s="65">
        <v>45688</v>
      </c>
      <c r="G885" s="64">
        <v>-116117.22</v>
      </c>
      <c r="H885" s="92"/>
    </row>
    <row r="886" spans="1:8" x14ac:dyDescent="0.3">
      <c r="A886" s="63" t="s">
        <v>2313</v>
      </c>
      <c r="B886" s="63" t="s">
        <v>2316</v>
      </c>
      <c r="C886" s="63" t="s">
        <v>953</v>
      </c>
      <c r="D886" s="63" t="s">
        <v>1006</v>
      </c>
      <c r="E886" s="65">
        <v>45838</v>
      </c>
      <c r="F886" s="65">
        <v>45838</v>
      </c>
      <c r="G886" s="64">
        <v>1838.84</v>
      </c>
      <c r="H886" s="92"/>
    </row>
    <row r="887" spans="1:8" x14ac:dyDescent="0.3">
      <c r="A887" s="63" t="s">
        <v>2313</v>
      </c>
      <c r="B887" s="63" t="s">
        <v>2317</v>
      </c>
      <c r="C887" s="63" t="s">
        <v>953</v>
      </c>
      <c r="D887" s="63" t="s">
        <v>1006</v>
      </c>
      <c r="E887" s="65">
        <v>45838</v>
      </c>
      <c r="F887" s="65">
        <v>45838</v>
      </c>
      <c r="G887" s="64">
        <v>41422.959999999999</v>
      </c>
      <c r="H887" s="92"/>
    </row>
    <row r="888" spans="1:8" x14ac:dyDescent="0.3">
      <c r="A888" s="63" t="s">
        <v>2313</v>
      </c>
      <c r="B888" s="63" t="s">
        <v>2318</v>
      </c>
      <c r="C888" s="63" t="s">
        <v>953</v>
      </c>
      <c r="D888" s="63" t="s">
        <v>1006</v>
      </c>
      <c r="E888" s="65">
        <v>45838</v>
      </c>
      <c r="F888" s="65">
        <v>45838</v>
      </c>
      <c r="G888" s="64">
        <v>39948.480000000003</v>
      </c>
      <c r="H888" s="92"/>
    </row>
    <row r="889" spans="1:8" x14ac:dyDescent="0.3">
      <c r="A889" s="63" t="s">
        <v>2313</v>
      </c>
      <c r="B889" s="63" t="s">
        <v>2319</v>
      </c>
      <c r="C889" s="63" t="s">
        <v>953</v>
      </c>
      <c r="D889" s="63" t="s">
        <v>1006</v>
      </c>
      <c r="E889" s="65">
        <v>45838</v>
      </c>
      <c r="F889" s="65">
        <v>45838</v>
      </c>
      <c r="G889" s="64">
        <v>12856.35</v>
      </c>
      <c r="H889" s="92"/>
    </row>
    <row r="890" spans="1:8" x14ac:dyDescent="0.3">
      <c r="A890" s="63" t="s">
        <v>2313</v>
      </c>
      <c r="B890" s="63" t="s">
        <v>2320</v>
      </c>
      <c r="C890" s="63" t="s">
        <v>953</v>
      </c>
      <c r="D890" s="63" t="s">
        <v>1023</v>
      </c>
      <c r="E890" s="65">
        <v>45838</v>
      </c>
      <c r="F890" s="65">
        <v>45838</v>
      </c>
      <c r="G890" s="64">
        <v>4442.2</v>
      </c>
      <c r="H890" s="92"/>
    </row>
    <row r="891" spans="1:8" x14ac:dyDescent="0.3">
      <c r="A891" s="63" t="s">
        <v>2313</v>
      </c>
      <c r="B891" s="63" t="s">
        <v>2321</v>
      </c>
      <c r="C891" s="63" t="s">
        <v>953</v>
      </c>
      <c r="D891" s="63" t="s">
        <v>1023</v>
      </c>
      <c r="E891" s="65">
        <v>45838</v>
      </c>
      <c r="F891" s="65">
        <v>45838</v>
      </c>
      <c r="G891" s="64">
        <v>3135</v>
      </c>
      <c r="H891" s="92"/>
    </row>
    <row r="892" spans="1:8" x14ac:dyDescent="0.3">
      <c r="A892" s="63" t="s">
        <v>2313</v>
      </c>
      <c r="B892" s="63" t="s">
        <v>2322</v>
      </c>
      <c r="C892" s="63" t="s">
        <v>953</v>
      </c>
      <c r="D892" s="63" t="s">
        <v>1092</v>
      </c>
      <c r="E892" s="65">
        <v>45838</v>
      </c>
      <c r="F892" s="65">
        <v>45838</v>
      </c>
      <c r="G892" s="64">
        <v>114737.31</v>
      </c>
      <c r="H892" s="92"/>
    </row>
    <row r="893" spans="1:8" x14ac:dyDescent="0.3">
      <c r="A893" s="63" t="s">
        <v>2313</v>
      </c>
      <c r="B893" s="63" t="s">
        <v>2323</v>
      </c>
      <c r="C893" s="63" t="s">
        <v>953</v>
      </c>
      <c r="D893" s="63" t="s">
        <v>1069</v>
      </c>
      <c r="E893" s="65">
        <v>45838</v>
      </c>
      <c r="F893" s="65">
        <v>45838</v>
      </c>
      <c r="G893" s="64">
        <v>39081.9</v>
      </c>
      <c r="H893" s="92"/>
    </row>
    <row r="894" spans="1:8" x14ac:dyDescent="0.3">
      <c r="A894" s="63" t="s">
        <v>2313</v>
      </c>
      <c r="B894" s="63" t="s">
        <v>2324</v>
      </c>
      <c r="C894" s="63" t="s">
        <v>953</v>
      </c>
      <c r="D894" s="63" t="s">
        <v>1069</v>
      </c>
      <c r="E894" s="65">
        <v>45838</v>
      </c>
      <c r="F894" s="65">
        <v>45838</v>
      </c>
      <c r="G894" s="64">
        <v>57956.13</v>
      </c>
      <c r="H894" s="92"/>
    </row>
    <row r="895" spans="1:8" x14ac:dyDescent="0.3">
      <c r="A895" s="63" t="s">
        <v>2313</v>
      </c>
      <c r="B895" s="63" t="s">
        <v>2325</v>
      </c>
      <c r="C895" s="63" t="s">
        <v>953</v>
      </c>
      <c r="D895" s="63" t="s">
        <v>1069</v>
      </c>
      <c r="E895" s="65">
        <v>45838</v>
      </c>
      <c r="F895" s="65">
        <v>45838</v>
      </c>
      <c r="G895" s="64">
        <v>33898.800000000003</v>
      </c>
      <c r="H895" s="92"/>
    </row>
    <row r="896" spans="1:8" x14ac:dyDescent="0.3">
      <c r="A896" s="63" t="s">
        <v>2313</v>
      </c>
      <c r="B896" s="63" t="s">
        <v>2326</v>
      </c>
      <c r="C896" s="63" t="s">
        <v>953</v>
      </c>
      <c r="D896" s="63" t="s">
        <v>2327</v>
      </c>
      <c r="E896" s="65">
        <v>45838</v>
      </c>
      <c r="F896" s="65">
        <v>45838</v>
      </c>
      <c r="G896" s="64">
        <v>14607</v>
      </c>
      <c r="H896" s="92"/>
    </row>
    <row r="897" spans="1:8" x14ac:dyDescent="0.3">
      <c r="A897" s="63" t="s">
        <v>2313</v>
      </c>
      <c r="B897" s="63" t="s">
        <v>2328</v>
      </c>
      <c r="C897" s="63" t="s">
        <v>953</v>
      </c>
      <c r="D897" s="63" t="s">
        <v>2329</v>
      </c>
      <c r="E897" s="65">
        <v>45838</v>
      </c>
      <c r="F897" s="65">
        <v>45838</v>
      </c>
      <c r="G897" s="64">
        <v>14776.49</v>
      </c>
      <c r="H897" s="92"/>
    </row>
    <row r="898" spans="1:8" x14ac:dyDescent="0.3">
      <c r="A898" s="63" t="s">
        <v>2313</v>
      </c>
      <c r="B898" s="63" t="s">
        <v>2330</v>
      </c>
      <c r="C898" s="63" t="s">
        <v>953</v>
      </c>
      <c r="D898" s="63" t="s">
        <v>2329</v>
      </c>
      <c r="E898" s="65">
        <v>45838</v>
      </c>
      <c r="F898" s="65">
        <v>45838</v>
      </c>
      <c r="G898" s="64">
        <v>85608.7</v>
      </c>
      <c r="H898" s="92"/>
    </row>
    <row r="899" spans="1:8" x14ac:dyDescent="0.3">
      <c r="A899" s="63" t="s">
        <v>2313</v>
      </c>
      <c r="B899" s="63" t="s">
        <v>2331</v>
      </c>
      <c r="C899" s="63" t="s">
        <v>953</v>
      </c>
      <c r="D899" s="63" t="s">
        <v>2332</v>
      </c>
      <c r="E899" s="65">
        <v>45838</v>
      </c>
      <c r="F899" s="65">
        <v>45838</v>
      </c>
      <c r="G899" s="64">
        <v>2480.58</v>
      </c>
      <c r="H899" s="92"/>
    </row>
    <row r="900" spans="1:8" x14ac:dyDescent="0.3">
      <c r="A900" s="63" t="s">
        <v>2313</v>
      </c>
      <c r="B900" s="63" t="s">
        <v>2333</v>
      </c>
      <c r="C900" s="63" t="s">
        <v>953</v>
      </c>
      <c r="D900" s="63" t="s">
        <v>2332</v>
      </c>
      <c r="E900" s="65">
        <v>45838</v>
      </c>
      <c r="F900" s="65">
        <v>45838</v>
      </c>
      <c r="G900" s="64">
        <v>147.12</v>
      </c>
      <c r="H900" s="92"/>
    </row>
    <row r="901" spans="1:8" x14ac:dyDescent="0.3">
      <c r="A901" s="63" t="s">
        <v>2313</v>
      </c>
      <c r="B901" s="63" t="s">
        <v>2334</v>
      </c>
      <c r="C901" s="63" t="s">
        <v>953</v>
      </c>
      <c r="D901" s="63" t="s">
        <v>2335</v>
      </c>
      <c r="E901" s="65">
        <v>45838</v>
      </c>
      <c r="F901" s="65">
        <v>45838</v>
      </c>
      <c r="G901" s="64">
        <v>7881.56</v>
      </c>
      <c r="H901" s="92"/>
    </row>
    <row r="902" spans="1:8" x14ac:dyDescent="0.3">
      <c r="A902" s="63" t="s">
        <v>2313</v>
      </c>
      <c r="B902" s="63" t="s">
        <v>2336</v>
      </c>
      <c r="C902" s="63" t="s">
        <v>953</v>
      </c>
      <c r="D902" s="63" t="s">
        <v>2337</v>
      </c>
      <c r="E902" s="65">
        <v>45838</v>
      </c>
      <c r="F902" s="65">
        <v>45838</v>
      </c>
      <c r="G902" s="64">
        <v>6302.98</v>
      </c>
      <c r="H902" s="92"/>
    </row>
    <row r="903" spans="1:8" x14ac:dyDescent="0.3">
      <c r="A903" s="63" t="s">
        <v>2313</v>
      </c>
      <c r="B903" s="63" t="s">
        <v>2338</v>
      </c>
      <c r="C903" s="63" t="s">
        <v>953</v>
      </c>
      <c r="D903" s="63" t="s">
        <v>2337</v>
      </c>
      <c r="E903" s="65">
        <v>45838</v>
      </c>
      <c r="F903" s="65">
        <v>45838</v>
      </c>
      <c r="G903" s="64">
        <v>24708.5</v>
      </c>
      <c r="H903" s="92"/>
    </row>
    <row r="904" spans="1:8" x14ac:dyDescent="0.3">
      <c r="A904" s="63" t="s">
        <v>2313</v>
      </c>
      <c r="B904" s="63" t="s">
        <v>2339</v>
      </c>
      <c r="C904" s="63" t="s">
        <v>953</v>
      </c>
      <c r="D904" s="63" t="s">
        <v>1052</v>
      </c>
      <c r="E904" s="65">
        <v>45838</v>
      </c>
      <c r="F904" s="65">
        <v>45838</v>
      </c>
      <c r="G904" s="64">
        <v>20962.759999999998</v>
      </c>
      <c r="H904" s="92"/>
    </row>
    <row r="905" spans="1:8" x14ac:dyDescent="0.3">
      <c r="A905" s="63" t="s">
        <v>2313</v>
      </c>
      <c r="B905" s="63" t="s">
        <v>2340</v>
      </c>
      <c r="C905" s="63" t="s">
        <v>953</v>
      </c>
      <c r="D905" s="63" t="s">
        <v>1266</v>
      </c>
      <c r="E905" s="65">
        <v>45838</v>
      </c>
      <c r="F905" s="65">
        <v>45838</v>
      </c>
      <c r="G905" s="64">
        <v>1859.74</v>
      </c>
      <c r="H905" s="92"/>
    </row>
    <row r="906" spans="1:8" x14ac:dyDescent="0.3">
      <c r="A906" s="63" t="s">
        <v>2313</v>
      </c>
      <c r="B906" s="63" t="s">
        <v>2341</v>
      </c>
      <c r="C906" s="63" t="s">
        <v>953</v>
      </c>
      <c r="D906" s="63" t="s">
        <v>1266</v>
      </c>
      <c r="E906" s="65">
        <v>45838</v>
      </c>
      <c r="F906" s="65">
        <v>45838</v>
      </c>
      <c r="G906" s="64">
        <v>2820.93</v>
      </c>
      <c r="H906" s="92"/>
    </row>
    <row r="907" spans="1:8" x14ac:dyDescent="0.3">
      <c r="A907" s="63" t="s">
        <v>2313</v>
      </c>
      <c r="B907" s="63" t="s">
        <v>2342</v>
      </c>
      <c r="C907" s="63" t="s">
        <v>953</v>
      </c>
      <c r="D907" s="63" t="s">
        <v>1268</v>
      </c>
      <c r="E907" s="65">
        <v>45838</v>
      </c>
      <c r="F907" s="65">
        <v>45838</v>
      </c>
      <c r="G907" s="64">
        <v>17911.11</v>
      </c>
      <c r="H907" s="92"/>
    </row>
    <row r="908" spans="1:8" x14ac:dyDescent="0.3">
      <c r="A908" s="63" t="s">
        <v>2313</v>
      </c>
      <c r="B908" s="63" t="s">
        <v>2343</v>
      </c>
      <c r="C908" s="63" t="s">
        <v>953</v>
      </c>
      <c r="D908" s="63" t="s">
        <v>1268</v>
      </c>
      <c r="E908" s="65">
        <v>45838</v>
      </c>
      <c r="F908" s="65">
        <v>45838</v>
      </c>
      <c r="G908" s="64">
        <v>328.63</v>
      </c>
      <c r="H908" s="92"/>
    </row>
    <row r="909" spans="1:8" x14ac:dyDescent="0.3">
      <c r="A909" s="63" t="s">
        <v>2313</v>
      </c>
      <c r="B909" s="63" t="s">
        <v>2344</v>
      </c>
      <c r="C909" s="63" t="s">
        <v>953</v>
      </c>
      <c r="D909" s="63" t="s">
        <v>1144</v>
      </c>
      <c r="E909" s="65">
        <v>45838</v>
      </c>
      <c r="F909" s="65">
        <v>45838</v>
      </c>
      <c r="G909" s="64">
        <v>117691.88</v>
      </c>
      <c r="H909" s="92"/>
    </row>
    <row r="910" spans="1:8" x14ac:dyDescent="0.3">
      <c r="A910" s="63" t="s">
        <v>2313</v>
      </c>
      <c r="B910" s="63" t="s">
        <v>2345</v>
      </c>
      <c r="C910" s="63" t="s">
        <v>953</v>
      </c>
      <c r="D910" s="63" t="s">
        <v>2315</v>
      </c>
      <c r="E910" s="65">
        <v>45838</v>
      </c>
      <c r="F910" s="65">
        <v>45838</v>
      </c>
      <c r="G910" s="64">
        <v>116117.22</v>
      </c>
      <c r="H910" s="92"/>
    </row>
    <row r="911" spans="1:8" x14ac:dyDescent="0.3">
      <c r="A911" s="63" t="s">
        <v>2346</v>
      </c>
      <c r="B911" s="63" t="s">
        <v>2347</v>
      </c>
      <c r="C911" s="63" t="s">
        <v>953</v>
      </c>
      <c r="D911" s="63" t="s">
        <v>953</v>
      </c>
      <c r="E911" s="65">
        <v>45736</v>
      </c>
      <c r="F911" s="65">
        <v>45736</v>
      </c>
      <c r="G911" s="64">
        <v>-10000</v>
      </c>
      <c r="H911" s="92"/>
    </row>
    <row r="912" spans="1:8" x14ac:dyDescent="0.3">
      <c r="A912" s="63" t="s">
        <v>2348</v>
      </c>
      <c r="B912" s="63" t="s">
        <v>2349</v>
      </c>
      <c r="C912" s="63" t="s">
        <v>953</v>
      </c>
      <c r="D912" s="63" t="s">
        <v>953</v>
      </c>
      <c r="E912" s="65">
        <v>45328</v>
      </c>
      <c r="F912" s="65">
        <v>45328</v>
      </c>
      <c r="G912" s="64">
        <v>6875.35</v>
      </c>
      <c r="H912" s="92"/>
    </row>
    <row r="913" spans="1:8" x14ac:dyDescent="0.3">
      <c r="A913" s="63" t="s">
        <v>2348</v>
      </c>
      <c r="B913" s="63" t="s">
        <v>2350</v>
      </c>
      <c r="C913" s="63" t="s">
        <v>953</v>
      </c>
      <c r="D913" s="63" t="s">
        <v>953</v>
      </c>
      <c r="E913" s="65">
        <v>45838</v>
      </c>
      <c r="F913" s="65">
        <v>45838</v>
      </c>
      <c r="G913" s="64">
        <v>-6875.35</v>
      </c>
      <c r="H913" s="92"/>
    </row>
    <row r="914" spans="1:8" x14ac:dyDescent="0.3">
      <c r="A914" s="63" t="s">
        <v>2351</v>
      </c>
      <c r="B914" s="63" t="s">
        <v>2352</v>
      </c>
      <c r="C914" s="63" t="s">
        <v>953</v>
      </c>
      <c r="D914" s="63" t="s">
        <v>953</v>
      </c>
      <c r="E914" s="65">
        <v>45232</v>
      </c>
      <c r="F914" s="65">
        <v>45232</v>
      </c>
      <c r="G914" s="64">
        <v>11342.62</v>
      </c>
      <c r="H914" s="92"/>
    </row>
    <row r="915" spans="1:8" x14ac:dyDescent="0.3">
      <c r="A915" s="63" t="s">
        <v>2353</v>
      </c>
      <c r="B915" s="63" t="s">
        <v>2354</v>
      </c>
      <c r="C915" s="63" t="s">
        <v>953</v>
      </c>
      <c r="D915" s="63" t="s">
        <v>2355</v>
      </c>
      <c r="E915" s="65">
        <v>45355</v>
      </c>
      <c r="F915" s="65">
        <v>45358</v>
      </c>
      <c r="G915" s="64">
        <v>35148.449999999997</v>
      </c>
      <c r="H915" s="92"/>
    </row>
    <row r="916" spans="1:8" x14ac:dyDescent="0.3">
      <c r="A916" s="63" t="s">
        <v>2353</v>
      </c>
      <c r="B916" s="63" t="s">
        <v>2356</v>
      </c>
      <c r="C916" s="63" t="s">
        <v>953</v>
      </c>
      <c r="D916" s="63" t="s">
        <v>2355</v>
      </c>
      <c r="E916" s="65">
        <v>45371</v>
      </c>
      <c r="F916" s="65">
        <v>45371</v>
      </c>
      <c r="G916" s="64">
        <v>17219.330000000002</v>
      </c>
      <c r="H916" s="92"/>
    </row>
    <row r="917" spans="1:8" x14ac:dyDescent="0.3">
      <c r="A917" s="63" t="s">
        <v>2353</v>
      </c>
      <c r="B917" s="63" t="s">
        <v>2357</v>
      </c>
      <c r="C917" s="63" t="s">
        <v>953</v>
      </c>
      <c r="D917" s="63" t="s">
        <v>2355</v>
      </c>
      <c r="E917" s="65">
        <v>45378</v>
      </c>
      <c r="F917" s="65">
        <v>45378</v>
      </c>
      <c r="G917" s="64">
        <v>13286.61</v>
      </c>
      <c r="H917" s="92"/>
    </row>
    <row r="918" spans="1:8" x14ac:dyDescent="0.3">
      <c r="A918" s="63" t="s">
        <v>2353</v>
      </c>
      <c r="B918" s="63" t="s">
        <v>2358</v>
      </c>
      <c r="C918" s="63" t="s">
        <v>953</v>
      </c>
      <c r="D918" s="63" t="s">
        <v>953</v>
      </c>
      <c r="E918" s="65">
        <v>45397</v>
      </c>
      <c r="F918" s="65">
        <v>45397</v>
      </c>
      <c r="G918" s="64">
        <v>1007.16</v>
      </c>
      <c r="H918" s="92"/>
    </row>
    <row r="919" spans="1:8" x14ac:dyDescent="0.3">
      <c r="A919" s="63" t="s">
        <v>2353</v>
      </c>
      <c r="B919" s="63" t="s">
        <v>2359</v>
      </c>
      <c r="C919" s="63" t="s">
        <v>953</v>
      </c>
      <c r="D919" s="63" t="s">
        <v>953</v>
      </c>
      <c r="E919" s="65">
        <v>45407</v>
      </c>
      <c r="F919" s="65">
        <v>45407</v>
      </c>
      <c r="G919" s="64">
        <v>1353.56</v>
      </c>
      <c r="H919" s="92"/>
    </row>
    <row r="920" spans="1:8" x14ac:dyDescent="0.3">
      <c r="A920" s="63" t="s">
        <v>2353</v>
      </c>
      <c r="B920" s="63" t="s">
        <v>2360</v>
      </c>
      <c r="C920" s="63" t="s">
        <v>953</v>
      </c>
      <c r="D920" s="63" t="s">
        <v>953</v>
      </c>
      <c r="E920" s="65">
        <v>45418</v>
      </c>
      <c r="F920" s="65">
        <v>45418</v>
      </c>
      <c r="G920" s="64">
        <v>1190.75</v>
      </c>
      <c r="H920" s="92"/>
    </row>
    <row r="921" spans="1:8" x14ac:dyDescent="0.3">
      <c r="A921" s="63" t="s">
        <v>2353</v>
      </c>
      <c r="B921" s="63" t="s">
        <v>2361</v>
      </c>
      <c r="C921" s="63" t="s">
        <v>953</v>
      </c>
      <c r="D921" s="63" t="s">
        <v>953</v>
      </c>
      <c r="E921" s="65">
        <v>45455</v>
      </c>
      <c r="F921" s="65">
        <v>45455</v>
      </c>
      <c r="G921" s="64">
        <v>611.83000000000004</v>
      </c>
      <c r="H921" s="92"/>
    </row>
    <row r="922" spans="1:8" x14ac:dyDescent="0.3">
      <c r="A922" s="63" t="s">
        <v>2353</v>
      </c>
      <c r="B922" s="63" t="s">
        <v>2362</v>
      </c>
      <c r="C922" s="63" t="s">
        <v>953</v>
      </c>
      <c r="D922" s="63" t="s">
        <v>953</v>
      </c>
      <c r="E922" s="65">
        <v>45463</v>
      </c>
      <c r="F922" s="65">
        <v>45463</v>
      </c>
      <c r="G922" s="64">
        <v>255.56</v>
      </c>
      <c r="H922" s="92"/>
    </row>
    <row r="923" spans="1:8" x14ac:dyDescent="0.3">
      <c r="A923" s="63" t="s">
        <v>2353</v>
      </c>
      <c r="B923" s="63" t="s">
        <v>2363</v>
      </c>
      <c r="C923" s="63" t="s">
        <v>953</v>
      </c>
      <c r="D923" s="63" t="s">
        <v>953</v>
      </c>
      <c r="E923" s="65">
        <v>45471</v>
      </c>
      <c r="F923" s="65">
        <v>45471</v>
      </c>
      <c r="G923" s="64">
        <v>75.540000000000006</v>
      </c>
      <c r="H923" s="92"/>
    </row>
    <row r="924" spans="1:8" x14ac:dyDescent="0.3">
      <c r="A924" s="63" t="s">
        <v>2353</v>
      </c>
      <c r="B924" s="63" t="s">
        <v>2364</v>
      </c>
      <c r="C924" s="63" t="s">
        <v>2365</v>
      </c>
      <c r="D924" s="63" t="s">
        <v>953</v>
      </c>
      <c r="E924" s="65">
        <v>45532</v>
      </c>
      <c r="F924" s="65">
        <v>45532</v>
      </c>
      <c r="G924" s="64">
        <v>7306.88</v>
      </c>
      <c r="H924" s="92"/>
    </row>
    <row r="925" spans="1:8" x14ac:dyDescent="0.3">
      <c r="A925" s="63" t="s">
        <v>2353</v>
      </c>
      <c r="B925" s="63" t="s">
        <v>2366</v>
      </c>
      <c r="C925" s="63" t="s">
        <v>953</v>
      </c>
      <c r="D925" s="63" t="s">
        <v>2355</v>
      </c>
      <c r="E925" s="65">
        <v>45626</v>
      </c>
      <c r="F925" s="65">
        <v>45626</v>
      </c>
      <c r="G925" s="64">
        <v>25885.26</v>
      </c>
      <c r="H925" s="92"/>
    </row>
    <row r="926" spans="1:8" x14ac:dyDescent="0.3">
      <c r="A926" s="63" t="s">
        <v>2353</v>
      </c>
      <c r="B926" s="63" t="s">
        <v>2367</v>
      </c>
      <c r="C926" s="63" t="s">
        <v>953</v>
      </c>
      <c r="D926" s="63" t="s">
        <v>953</v>
      </c>
      <c r="E926" s="65">
        <v>45637</v>
      </c>
      <c r="F926" s="65">
        <v>45637</v>
      </c>
      <c r="G926" s="64">
        <v>12009.9</v>
      </c>
      <c r="H926" s="92"/>
    </row>
    <row r="927" spans="1:8" x14ac:dyDescent="0.3">
      <c r="A927" s="63" t="s">
        <v>2368</v>
      </c>
      <c r="B927" s="63" t="s">
        <v>2369</v>
      </c>
      <c r="C927" s="63" t="s">
        <v>953</v>
      </c>
      <c r="D927" s="63" t="s">
        <v>2368</v>
      </c>
      <c r="E927" s="65">
        <v>44614</v>
      </c>
      <c r="F927" s="65">
        <v>44614</v>
      </c>
      <c r="G927" s="64">
        <v>3077.28</v>
      </c>
      <c r="H927" s="92"/>
    </row>
    <row r="928" spans="1:8" x14ac:dyDescent="0.3">
      <c r="A928" s="63" t="s">
        <v>2368</v>
      </c>
      <c r="B928" s="63" t="s">
        <v>2370</v>
      </c>
      <c r="C928" s="63" t="s">
        <v>953</v>
      </c>
      <c r="D928" s="63" t="s">
        <v>953</v>
      </c>
      <c r="E928" s="65">
        <v>45054</v>
      </c>
      <c r="F928" s="65">
        <v>45054</v>
      </c>
      <c r="G928" s="64">
        <v>348.53</v>
      </c>
      <c r="H928" s="92"/>
    </row>
    <row r="929" spans="1:8" x14ac:dyDescent="0.3">
      <c r="A929" s="63" t="s">
        <v>2371</v>
      </c>
      <c r="B929" s="63" t="s">
        <v>2372</v>
      </c>
      <c r="C929" s="63" t="s">
        <v>953</v>
      </c>
      <c r="D929" s="63" t="s">
        <v>2373</v>
      </c>
      <c r="E929" s="65">
        <v>44852</v>
      </c>
      <c r="F929" s="65">
        <v>44852</v>
      </c>
      <c r="G929" s="64">
        <v>12963.09</v>
      </c>
      <c r="H929" s="92"/>
    </row>
    <row r="930" spans="1:8" x14ac:dyDescent="0.3">
      <c r="A930" s="63" t="s">
        <v>2371</v>
      </c>
      <c r="B930" s="63" t="s">
        <v>2374</v>
      </c>
      <c r="C930" s="63" t="s">
        <v>953</v>
      </c>
      <c r="D930" s="63" t="s">
        <v>953</v>
      </c>
      <c r="E930" s="65">
        <v>44907</v>
      </c>
      <c r="F930" s="65">
        <v>44907</v>
      </c>
      <c r="G930" s="64">
        <v>3788.75</v>
      </c>
      <c r="H930" s="92"/>
    </row>
    <row r="931" spans="1:8" x14ac:dyDescent="0.3">
      <c r="A931" s="63" t="s">
        <v>2371</v>
      </c>
      <c r="B931" s="63" t="s">
        <v>2375</v>
      </c>
      <c r="C931" s="63" t="s">
        <v>953</v>
      </c>
      <c r="D931" s="63" t="s">
        <v>2373</v>
      </c>
      <c r="E931" s="65">
        <v>45504</v>
      </c>
      <c r="F931" s="65">
        <v>45504</v>
      </c>
      <c r="G931" s="64">
        <v>4871.25</v>
      </c>
      <c r="H931" s="92"/>
    </row>
    <row r="932" spans="1:8" x14ac:dyDescent="0.3">
      <c r="A932" s="63" t="s">
        <v>2376</v>
      </c>
      <c r="B932" s="63" t="s">
        <v>2377</v>
      </c>
      <c r="C932" s="63" t="s">
        <v>2378</v>
      </c>
      <c r="D932" s="63" t="s">
        <v>2379</v>
      </c>
      <c r="E932" s="65">
        <v>44407</v>
      </c>
      <c r="F932" s="65">
        <v>44437</v>
      </c>
      <c r="G932" s="64">
        <v>3368.72</v>
      </c>
      <c r="H932" s="92"/>
    </row>
    <row r="933" spans="1:8" x14ac:dyDescent="0.3">
      <c r="A933" s="63" t="s">
        <v>2380</v>
      </c>
      <c r="B933" s="63" t="s">
        <v>2381</v>
      </c>
      <c r="C933" s="63" t="s">
        <v>953</v>
      </c>
      <c r="D933" s="63" t="s">
        <v>953</v>
      </c>
      <c r="E933" s="65">
        <v>45838</v>
      </c>
      <c r="F933" s="65">
        <v>45868</v>
      </c>
      <c r="G933" s="64">
        <v>161</v>
      </c>
      <c r="H933" s="92"/>
    </row>
    <row r="934" spans="1:8" x14ac:dyDescent="0.3">
      <c r="A934" s="63" t="s">
        <v>2382</v>
      </c>
      <c r="B934" s="63" t="s">
        <v>2383</v>
      </c>
      <c r="C934" s="63" t="s">
        <v>2384</v>
      </c>
      <c r="D934" s="63" t="s">
        <v>2385</v>
      </c>
      <c r="E934" s="65">
        <v>43873</v>
      </c>
      <c r="F934" s="65">
        <v>43873</v>
      </c>
      <c r="G934" s="64">
        <v>-6958.88</v>
      </c>
      <c r="H934" s="92"/>
    </row>
    <row r="935" spans="1:8" x14ac:dyDescent="0.3">
      <c r="A935" s="63" t="s">
        <v>2382</v>
      </c>
      <c r="B935" s="63" t="s">
        <v>953</v>
      </c>
      <c r="C935" s="63" t="s">
        <v>953</v>
      </c>
      <c r="D935" s="63" t="s">
        <v>953</v>
      </c>
      <c r="E935" s="65">
        <v>45560</v>
      </c>
      <c r="F935" s="65">
        <v>45560</v>
      </c>
      <c r="G935" s="64">
        <v>625.59</v>
      </c>
      <c r="H935" s="92"/>
    </row>
    <row r="936" spans="1:8" x14ac:dyDescent="0.3">
      <c r="A936" s="63" t="s">
        <v>2386</v>
      </c>
      <c r="B936" s="63" t="s">
        <v>2387</v>
      </c>
      <c r="C936" s="63" t="s">
        <v>953</v>
      </c>
      <c r="D936" s="63" t="s">
        <v>2388</v>
      </c>
      <c r="E936" s="65">
        <v>45761</v>
      </c>
      <c r="F936" s="65">
        <v>45761</v>
      </c>
      <c r="G936" s="64">
        <v>0.01</v>
      </c>
      <c r="H936" s="92"/>
    </row>
    <row r="937" spans="1:8" x14ac:dyDescent="0.3">
      <c r="A937" s="63" t="s">
        <v>2389</v>
      </c>
      <c r="B937" s="63" t="s">
        <v>2390</v>
      </c>
      <c r="C937" s="63" t="s">
        <v>953</v>
      </c>
      <c r="D937" s="63" t="s">
        <v>2391</v>
      </c>
      <c r="E937" s="65">
        <v>45838</v>
      </c>
      <c r="F937" s="65">
        <v>45838</v>
      </c>
      <c r="G937" s="64">
        <v>0.04</v>
      </c>
      <c r="H937" s="92"/>
    </row>
    <row r="938" spans="1:8" x14ac:dyDescent="0.3">
      <c r="A938" s="63" t="s">
        <v>2392</v>
      </c>
      <c r="B938" s="63" t="s">
        <v>2393</v>
      </c>
      <c r="C938" s="63" t="s">
        <v>953</v>
      </c>
      <c r="D938" s="63" t="s">
        <v>1069</v>
      </c>
      <c r="E938" s="65">
        <v>45838</v>
      </c>
      <c r="F938" s="65">
        <v>45853</v>
      </c>
      <c r="G938" s="64">
        <v>25532.44</v>
      </c>
      <c r="H938" s="92"/>
    </row>
    <row r="939" spans="1:8" x14ac:dyDescent="0.3">
      <c r="A939" s="63" t="s">
        <v>2392</v>
      </c>
      <c r="B939" s="63" t="s">
        <v>2394</v>
      </c>
      <c r="C939" s="63" t="s">
        <v>953</v>
      </c>
      <c r="D939" s="63" t="s">
        <v>2395</v>
      </c>
      <c r="E939" s="65">
        <v>45838</v>
      </c>
      <c r="F939" s="65">
        <v>45853</v>
      </c>
      <c r="G939" s="64">
        <v>1871.28</v>
      </c>
      <c r="H939" s="92"/>
    </row>
    <row r="940" spans="1:8" x14ac:dyDescent="0.3">
      <c r="A940" s="63" t="s">
        <v>2396</v>
      </c>
      <c r="B940" s="63" t="s">
        <v>2397</v>
      </c>
      <c r="C940" s="63" t="s">
        <v>953</v>
      </c>
      <c r="D940" s="63" t="s">
        <v>1209</v>
      </c>
      <c r="E940" s="65">
        <v>45467</v>
      </c>
      <c r="F940" s="65">
        <v>45467</v>
      </c>
      <c r="G940" s="64">
        <v>759.41</v>
      </c>
      <c r="H940" s="92"/>
    </row>
    <row r="941" spans="1:8" x14ac:dyDescent="0.3">
      <c r="A941" s="63" t="s">
        <v>2396</v>
      </c>
      <c r="B941" s="63" t="s">
        <v>2398</v>
      </c>
      <c r="C941" s="63" t="s">
        <v>953</v>
      </c>
      <c r="D941" s="63" t="s">
        <v>1012</v>
      </c>
      <c r="E941" s="65">
        <v>45516</v>
      </c>
      <c r="F941" s="65">
        <v>45516</v>
      </c>
      <c r="G941" s="64">
        <v>3174</v>
      </c>
      <c r="H941" s="92"/>
    </row>
    <row r="942" spans="1:8" x14ac:dyDescent="0.3">
      <c r="A942" s="63" t="s">
        <v>2396</v>
      </c>
      <c r="B942" s="63" t="s">
        <v>2399</v>
      </c>
      <c r="C942" s="63" t="s">
        <v>953</v>
      </c>
      <c r="D942" s="63" t="s">
        <v>1010</v>
      </c>
      <c r="E942" s="65">
        <v>45572</v>
      </c>
      <c r="F942" s="65">
        <v>45572</v>
      </c>
      <c r="G942" s="64">
        <v>2586.81</v>
      </c>
      <c r="H942" s="92"/>
    </row>
    <row r="943" spans="1:8" x14ac:dyDescent="0.3">
      <c r="A943" s="63" t="s">
        <v>2396</v>
      </c>
      <c r="B943" s="63" t="s">
        <v>2400</v>
      </c>
      <c r="C943" s="63" t="s">
        <v>953</v>
      </c>
      <c r="D943" s="63" t="s">
        <v>1054</v>
      </c>
      <c r="E943" s="65">
        <v>45618</v>
      </c>
      <c r="F943" s="65">
        <v>45618</v>
      </c>
      <c r="G943" s="64">
        <v>5680.32</v>
      </c>
      <c r="H943" s="92"/>
    </row>
    <row r="944" spans="1:8" x14ac:dyDescent="0.3">
      <c r="A944" s="63" t="s">
        <v>2396</v>
      </c>
      <c r="B944" s="63" t="s">
        <v>2401</v>
      </c>
      <c r="C944" s="63" t="s">
        <v>953</v>
      </c>
      <c r="D944" s="63" t="s">
        <v>1144</v>
      </c>
      <c r="E944" s="65">
        <v>45618</v>
      </c>
      <c r="F944" s="65">
        <v>45618</v>
      </c>
      <c r="G944" s="64">
        <v>996.75</v>
      </c>
      <c r="H944" s="92"/>
    </row>
    <row r="945" spans="1:8" x14ac:dyDescent="0.3">
      <c r="A945" s="63" t="s">
        <v>2396</v>
      </c>
      <c r="B945" s="63" t="s">
        <v>2402</v>
      </c>
      <c r="C945" s="63" t="s">
        <v>953</v>
      </c>
      <c r="D945" s="63" t="s">
        <v>2403</v>
      </c>
      <c r="E945" s="65">
        <v>45838</v>
      </c>
      <c r="F945" s="65">
        <v>45838</v>
      </c>
      <c r="G945" s="64">
        <v>45347.25</v>
      </c>
      <c r="H945" s="92"/>
    </row>
    <row r="946" spans="1:8" x14ac:dyDescent="0.3">
      <c r="A946" s="63" t="s">
        <v>2396</v>
      </c>
      <c r="B946" s="63" t="s">
        <v>2404</v>
      </c>
      <c r="C946" s="63" t="s">
        <v>953</v>
      </c>
      <c r="D946" s="63" t="s">
        <v>986</v>
      </c>
      <c r="E946" s="65">
        <v>45838</v>
      </c>
      <c r="F946" s="65">
        <v>45838</v>
      </c>
      <c r="G946" s="64">
        <v>1262.3699999999999</v>
      </c>
      <c r="H946" s="92"/>
    </row>
    <row r="947" spans="1:8" x14ac:dyDescent="0.3">
      <c r="A947" s="63" t="s">
        <v>2396</v>
      </c>
      <c r="B947" s="63" t="s">
        <v>2405</v>
      </c>
      <c r="C947" s="63" t="s">
        <v>953</v>
      </c>
      <c r="D947" s="63" t="s">
        <v>2406</v>
      </c>
      <c r="E947" s="65">
        <v>45838</v>
      </c>
      <c r="F947" s="65">
        <v>45838</v>
      </c>
      <c r="G947" s="64">
        <v>13197.29</v>
      </c>
      <c r="H947" s="92"/>
    </row>
    <row r="948" spans="1:8" x14ac:dyDescent="0.3">
      <c r="A948" s="63" t="s">
        <v>2396</v>
      </c>
      <c r="B948" s="63" t="s">
        <v>2407</v>
      </c>
      <c r="C948" s="63" t="s">
        <v>953</v>
      </c>
      <c r="D948" s="63" t="s">
        <v>1617</v>
      </c>
      <c r="E948" s="65">
        <v>45838</v>
      </c>
      <c r="F948" s="65">
        <v>45838</v>
      </c>
      <c r="G948" s="64">
        <v>56460.99</v>
      </c>
      <c r="H948" s="92"/>
    </row>
    <row r="949" spans="1:8" x14ac:dyDescent="0.3">
      <c r="A949" s="63" t="s">
        <v>2396</v>
      </c>
      <c r="B949" s="63" t="s">
        <v>2408</v>
      </c>
      <c r="C949" s="63" t="s">
        <v>953</v>
      </c>
      <c r="D949" s="63" t="s">
        <v>1027</v>
      </c>
      <c r="E949" s="65">
        <v>45838</v>
      </c>
      <c r="F949" s="65">
        <v>45838</v>
      </c>
      <c r="G949" s="64">
        <v>6715.99</v>
      </c>
      <c r="H949" s="92"/>
    </row>
    <row r="950" spans="1:8" x14ac:dyDescent="0.3">
      <c r="A950" s="63" t="s">
        <v>2396</v>
      </c>
      <c r="B950" s="63" t="s">
        <v>2409</v>
      </c>
      <c r="C950" s="63" t="s">
        <v>953</v>
      </c>
      <c r="D950" s="63" t="s">
        <v>1054</v>
      </c>
      <c r="E950" s="65">
        <v>45838</v>
      </c>
      <c r="F950" s="65">
        <v>45838</v>
      </c>
      <c r="G950" s="64">
        <v>4006.6</v>
      </c>
      <c r="H950" s="92"/>
    </row>
    <row r="951" spans="1:8" x14ac:dyDescent="0.3">
      <c r="A951" s="63" t="s">
        <v>2396</v>
      </c>
      <c r="B951" s="63" t="s">
        <v>2410</v>
      </c>
      <c r="C951" s="63" t="s">
        <v>953</v>
      </c>
      <c r="D951" s="63" t="s">
        <v>2411</v>
      </c>
      <c r="E951" s="65">
        <v>45838</v>
      </c>
      <c r="F951" s="65">
        <v>45838</v>
      </c>
      <c r="G951" s="64">
        <v>356.52</v>
      </c>
      <c r="H951" s="92"/>
    </row>
    <row r="952" spans="1:8" x14ac:dyDescent="0.3">
      <c r="A952" s="63" t="s">
        <v>2396</v>
      </c>
      <c r="B952" s="63" t="s">
        <v>2412</v>
      </c>
      <c r="C952" s="63" t="s">
        <v>953</v>
      </c>
      <c r="D952" s="63" t="s">
        <v>1398</v>
      </c>
      <c r="E952" s="65">
        <v>45838</v>
      </c>
      <c r="F952" s="65">
        <v>45838</v>
      </c>
      <c r="G952" s="64">
        <v>2148.56</v>
      </c>
      <c r="H952" s="92"/>
    </row>
    <row r="953" spans="1:8" x14ac:dyDescent="0.3">
      <c r="A953" s="63" t="s">
        <v>2396</v>
      </c>
      <c r="B953" s="63" t="s">
        <v>2413</v>
      </c>
      <c r="C953" s="63" t="s">
        <v>953</v>
      </c>
      <c r="D953" s="63" t="s">
        <v>1144</v>
      </c>
      <c r="E953" s="65">
        <v>45838</v>
      </c>
      <c r="F953" s="65">
        <v>45838</v>
      </c>
      <c r="G953" s="64">
        <v>8962.57</v>
      </c>
      <c r="H953" s="92"/>
    </row>
    <row r="954" spans="1:8" x14ac:dyDescent="0.3">
      <c r="A954" s="63" t="s">
        <v>2396</v>
      </c>
      <c r="B954" s="63" t="s">
        <v>2414</v>
      </c>
      <c r="C954" s="63" t="s">
        <v>953</v>
      </c>
      <c r="D954" s="63" t="s">
        <v>1046</v>
      </c>
      <c r="E954" s="65">
        <v>45838</v>
      </c>
      <c r="F954" s="65">
        <v>45838</v>
      </c>
      <c r="G954" s="64">
        <v>33464.949999999997</v>
      </c>
      <c r="H954" s="92"/>
    </row>
    <row r="955" spans="1:8" x14ac:dyDescent="0.3">
      <c r="A955" s="63" t="s">
        <v>2396</v>
      </c>
      <c r="B955" s="63" t="s">
        <v>2415</v>
      </c>
      <c r="C955" s="63" t="s">
        <v>953</v>
      </c>
      <c r="D955" s="63" t="s">
        <v>1161</v>
      </c>
      <c r="E955" s="65">
        <v>45838</v>
      </c>
      <c r="F955" s="65">
        <v>45838</v>
      </c>
      <c r="G955" s="64">
        <v>160.37</v>
      </c>
      <c r="H955" s="92"/>
    </row>
    <row r="956" spans="1:8" x14ac:dyDescent="0.3">
      <c r="A956" s="63" t="s">
        <v>2396</v>
      </c>
      <c r="B956" s="63" t="s">
        <v>2416</v>
      </c>
      <c r="C956" s="63" t="s">
        <v>953</v>
      </c>
      <c r="D956" s="63" t="s">
        <v>1012</v>
      </c>
      <c r="E956" s="65">
        <v>45838</v>
      </c>
      <c r="F956" s="65">
        <v>45838</v>
      </c>
      <c r="G956" s="64">
        <v>63267.32</v>
      </c>
      <c r="H956" s="92"/>
    </row>
    <row r="957" spans="1:8" x14ac:dyDescent="0.3">
      <c r="A957" s="63" t="s">
        <v>2396</v>
      </c>
      <c r="B957" s="63" t="s">
        <v>2417</v>
      </c>
      <c r="C957" s="63" t="s">
        <v>953</v>
      </c>
      <c r="D957" s="63" t="s">
        <v>953</v>
      </c>
      <c r="E957" s="65">
        <v>45838</v>
      </c>
      <c r="F957" s="65">
        <v>45838</v>
      </c>
      <c r="G957" s="64">
        <v>5595</v>
      </c>
      <c r="H957" s="92"/>
    </row>
    <row r="958" spans="1:8" x14ac:dyDescent="0.3">
      <c r="A958" s="63" t="s">
        <v>2418</v>
      </c>
      <c r="B958" s="63" t="s">
        <v>2419</v>
      </c>
      <c r="C958" s="63" t="s">
        <v>2420</v>
      </c>
      <c r="D958" s="63" t="s">
        <v>953</v>
      </c>
      <c r="E958" s="65">
        <v>44798</v>
      </c>
      <c r="F958" s="65">
        <v>44798</v>
      </c>
      <c r="G958" s="64">
        <v>4546.5</v>
      </c>
      <c r="H958" s="92"/>
    </row>
    <row r="959" spans="1:8" x14ac:dyDescent="0.3">
      <c r="A959" s="63" t="s">
        <v>2421</v>
      </c>
      <c r="B959" s="63" t="s">
        <v>2422</v>
      </c>
      <c r="C959" s="63" t="s">
        <v>953</v>
      </c>
      <c r="D959" s="63" t="s">
        <v>2423</v>
      </c>
      <c r="E959" s="65">
        <v>44559</v>
      </c>
      <c r="F959" s="65">
        <v>44559</v>
      </c>
      <c r="G959" s="64">
        <v>1168.97</v>
      </c>
      <c r="H959" s="92"/>
    </row>
    <row r="960" spans="1:8" x14ac:dyDescent="0.3">
      <c r="A960" s="63" t="s">
        <v>2424</v>
      </c>
      <c r="B960" s="63" t="s">
        <v>2425</v>
      </c>
      <c r="C960" s="63" t="s">
        <v>2426</v>
      </c>
      <c r="D960" s="63" t="s">
        <v>2427</v>
      </c>
      <c r="E960" s="65">
        <v>45625</v>
      </c>
      <c r="F960" s="65">
        <v>45625</v>
      </c>
      <c r="G960" s="64">
        <v>1875.02</v>
      </c>
      <c r="H960" s="92"/>
    </row>
    <row r="961" spans="1:8" x14ac:dyDescent="0.3">
      <c r="A961" s="63" t="s">
        <v>2424</v>
      </c>
      <c r="B961" s="63" t="s">
        <v>2428</v>
      </c>
      <c r="C961" s="63" t="s">
        <v>2426</v>
      </c>
      <c r="D961" s="63" t="s">
        <v>2427</v>
      </c>
      <c r="E961" s="65">
        <v>45838</v>
      </c>
      <c r="F961" s="65">
        <v>45838</v>
      </c>
      <c r="G961" s="64">
        <v>-1875.02</v>
      </c>
      <c r="H961" s="92"/>
    </row>
    <row r="962" spans="1:8" x14ac:dyDescent="0.3">
      <c r="A962" s="63" t="s">
        <v>2429</v>
      </c>
      <c r="B962" s="63" t="s">
        <v>2430</v>
      </c>
      <c r="C962" s="63" t="s">
        <v>953</v>
      </c>
      <c r="D962" s="63" t="s">
        <v>2431</v>
      </c>
      <c r="E962" s="65">
        <v>45657</v>
      </c>
      <c r="F962" s="65">
        <v>45657</v>
      </c>
      <c r="G962" s="64">
        <v>675.76</v>
      </c>
      <c r="H962" s="92"/>
    </row>
    <row r="963" spans="1:8" x14ac:dyDescent="0.3">
      <c r="A963" s="63" t="s">
        <v>2429</v>
      </c>
      <c r="B963" s="63" t="s">
        <v>2432</v>
      </c>
      <c r="C963" s="63" t="s">
        <v>953</v>
      </c>
      <c r="D963" s="63" t="s">
        <v>2433</v>
      </c>
      <c r="E963" s="65">
        <v>45743</v>
      </c>
      <c r="F963" s="65">
        <v>45743</v>
      </c>
      <c r="G963" s="64">
        <v>181056.49</v>
      </c>
      <c r="H963" s="92"/>
    </row>
    <row r="964" spans="1:8" x14ac:dyDescent="0.3">
      <c r="A964" s="63" t="s">
        <v>2429</v>
      </c>
      <c r="B964" s="63" t="s">
        <v>2434</v>
      </c>
      <c r="C964" s="63" t="s">
        <v>953</v>
      </c>
      <c r="D964" s="63" t="s">
        <v>2433</v>
      </c>
      <c r="E964" s="65">
        <v>45838</v>
      </c>
      <c r="F964" s="65">
        <v>45838</v>
      </c>
      <c r="G964" s="64">
        <v>49583.87</v>
      </c>
      <c r="H964" s="92"/>
    </row>
    <row r="965" spans="1:8" x14ac:dyDescent="0.3">
      <c r="A965" s="63" t="s">
        <v>2429</v>
      </c>
      <c r="B965" s="63" t="s">
        <v>2435</v>
      </c>
      <c r="C965" s="63" t="s">
        <v>953</v>
      </c>
      <c r="D965" s="63" t="s">
        <v>953</v>
      </c>
      <c r="E965" s="65">
        <v>45838</v>
      </c>
      <c r="F965" s="65">
        <v>45838</v>
      </c>
      <c r="G965" s="64">
        <v>9667.66</v>
      </c>
      <c r="H965" s="92"/>
    </row>
    <row r="966" spans="1:8" x14ac:dyDescent="0.3">
      <c r="A966" s="63" t="s">
        <v>2429</v>
      </c>
      <c r="B966" s="63" t="s">
        <v>2436</v>
      </c>
      <c r="C966" s="63" t="s">
        <v>953</v>
      </c>
      <c r="D966" s="63" t="s">
        <v>953</v>
      </c>
      <c r="E966" s="65">
        <v>45838</v>
      </c>
      <c r="F966" s="65">
        <v>45838</v>
      </c>
      <c r="G966" s="64">
        <v>7885.21</v>
      </c>
      <c r="H966" s="92"/>
    </row>
    <row r="967" spans="1:8" x14ac:dyDescent="0.3">
      <c r="A967" s="63" t="s">
        <v>2437</v>
      </c>
      <c r="B967" s="63" t="s">
        <v>2438</v>
      </c>
      <c r="C967" s="63" t="s">
        <v>953</v>
      </c>
      <c r="D967" s="63" t="s">
        <v>2439</v>
      </c>
      <c r="E967" s="65">
        <v>45657</v>
      </c>
      <c r="F967" s="65">
        <v>45657</v>
      </c>
      <c r="G967" s="64">
        <v>19769.75</v>
      </c>
      <c r="H967" s="92"/>
    </row>
    <row r="968" spans="1:8" x14ac:dyDescent="0.3">
      <c r="A968" s="63" t="s">
        <v>2437</v>
      </c>
      <c r="B968" s="63" t="s">
        <v>2440</v>
      </c>
      <c r="C968" s="63" t="s">
        <v>953</v>
      </c>
      <c r="D968" s="63" t="s">
        <v>2441</v>
      </c>
      <c r="E968" s="65">
        <v>45838</v>
      </c>
      <c r="F968" s="65">
        <v>45838</v>
      </c>
      <c r="G968" s="64">
        <v>13868.19</v>
      </c>
      <c r="H968" s="92"/>
    </row>
    <row r="969" spans="1:8" x14ac:dyDescent="0.3">
      <c r="A969" s="63" t="s">
        <v>2442</v>
      </c>
      <c r="B969" s="63" t="s">
        <v>2443</v>
      </c>
      <c r="C969" s="63" t="s">
        <v>953</v>
      </c>
      <c r="D969" s="63" t="s">
        <v>953</v>
      </c>
      <c r="E969" s="65">
        <v>45838</v>
      </c>
      <c r="F969" s="65">
        <v>45838</v>
      </c>
      <c r="G969" s="64">
        <v>0.01</v>
      </c>
      <c r="H969" s="92"/>
    </row>
    <row r="970" spans="1:8" x14ac:dyDescent="0.3">
      <c r="A970" s="63" t="s">
        <v>2444</v>
      </c>
      <c r="B970" s="63" t="s">
        <v>2445</v>
      </c>
      <c r="C970" s="63" t="s">
        <v>953</v>
      </c>
      <c r="D970" s="63" t="s">
        <v>2446</v>
      </c>
      <c r="E970" s="65">
        <v>44561</v>
      </c>
      <c r="F970" s="65">
        <v>44591</v>
      </c>
      <c r="G970" s="64">
        <v>19962.5</v>
      </c>
      <c r="H970" s="92"/>
    </row>
    <row r="971" spans="1:8" x14ac:dyDescent="0.3">
      <c r="A971" s="63" t="s">
        <v>2447</v>
      </c>
      <c r="B971" s="63" t="s">
        <v>2448</v>
      </c>
      <c r="C971" s="63" t="s">
        <v>953</v>
      </c>
      <c r="D971" s="63" t="s">
        <v>953</v>
      </c>
      <c r="E971" s="65">
        <v>45657</v>
      </c>
      <c r="F971" s="65">
        <v>45657</v>
      </c>
      <c r="G971" s="64">
        <v>49535.86</v>
      </c>
      <c r="H971" s="92"/>
    </row>
    <row r="972" spans="1:8" x14ac:dyDescent="0.3">
      <c r="A972" s="63" t="s">
        <v>2449</v>
      </c>
      <c r="B972" s="63" t="s">
        <v>2450</v>
      </c>
      <c r="C972" s="63" t="s">
        <v>953</v>
      </c>
      <c r="D972" s="63" t="s">
        <v>2451</v>
      </c>
      <c r="E972" s="65">
        <v>45838</v>
      </c>
      <c r="F972" s="65">
        <v>45838</v>
      </c>
      <c r="G972" s="64">
        <v>37258.82</v>
      </c>
      <c r="H972" s="92"/>
    </row>
    <row r="973" spans="1:8" x14ac:dyDescent="0.3">
      <c r="A973" s="63" t="s">
        <v>2449</v>
      </c>
      <c r="B973" s="63" t="s">
        <v>2452</v>
      </c>
      <c r="C973" s="63" t="s">
        <v>953</v>
      </c>
      <c r="D973" s="63" t="s">
        <v>1023</v>
      </c>
      <c r="E973" s="65">
        <v>45838</v>
      </c>
      <c r="F973" s="65">
        <v>45838</v>
      </c>
      <c r="G973" s="64">
        <v>6091.56</v>
      </c>
      <c r="H973" s="92"/>
    </row>
    <row r="974" spans="1:8" x14ac:dyDescent="0.3">
      <c r="A974" s="63" t="s">
        <v>2449</v>
      </c>
      <c r="B974" s="63" t="s">
        <v>2453</v>
      </c>
      <c r="C974" s="63" t="s">
        <v>953</v>
      </c>
      <c r="D974" s="63" t="s">
        <v>1391</v>
      </c>
      <c r="E974" s="65">
        <v>45838</v>
      </c>
      <c r="F974" s="65">
        <v>45838</v>
      </c>
      <c r="G974" s="64">
        <v>7637.55</v>
      </c>
      <c r="H974" s="92"/>
    </row>
    <row r="975" spans="1:8" x14ac:dyDescent="0.3">
      <c r="A975" s="63" t="s">
        <v>2454</v>
      </c>
      <c r="B975" s="63" t="s">
        <v>2455</v>
      </c>
      <c r="C975" s="63" t="s">
        <v>953</v>
      </c>
      <c r="D975" s="63" t="s">
        <v>953</v>
      </c>
      <c r="E975" s="65">
        <v>45838</v>
      </c>
      <c r="F975" s="65">
        <v>45838</v>
      </c>
      <c r="G975" s="64">
        <v>15000</v>
      </c>
      <c r="H975" s="92"/>
    </row>
    <row r="976" spans="1:8" x14ac:dyDescent="0.3">
      <c r="A976" s="63" t="s">
        <v>2456</v>
      </c>
      <c r="B976" s="63" t="s">
        <v>2457</v>
      </c>
      <c r="C976" s="63" t="s">
        <v>953</v>
      </c>
      <c r="D976" s="63" t="s">
        <v>2458</v>
      </c>
      <c r="E976" s="65">
        <v>45838</v>
      </c>
      <c r="F976" s="65">
        <v>45868</v>
      </c>
      <c r="G976" s="64">
        <v>15153.57</v>
      </c>
      <c r="H976" s="92"/>
    </row>
    <row r="977" spans="1:8" x14ac:dyDescent="0.3">
      <c r="A977" s="63" t="s">
        <v>2459</v>
      </c>
      <c r="B977" s="63" t="s">
        <v>2460</v>
      </c>
      <c r="C977" s="63" t="s">
        <v>953</v>
      </c>
      <c r="D977" s="63" t="s">
        <v>2461</v>
      </c>
      <c r="E977" s="65">
        <v>45770</v>
      </c>
      <c r="F977" s="65">
        <v>45770</v>
      </c>
      <c r="G977" s="64">
        <v>2461.27</v>
      </c>
      <c r="H977" s="92"/>
    </row>
    <row r="978" spans="1:8" x14ac:dyDescent="0.3">
      <c r="A978" s="63" t="s">
        <v>2462</v>
      </c>
      <c r="B978" s="63" t="s">
        <v>2463</v>
      </c>
      <c r="C978" s="63" t="s">
        <v>953</v>
      </c>
      <c r="D978" s="63" t="s">
        <v>2464</v>
      </c>
      <c r="E978" s="65">
        <v>45838</v>
      </c>
      <c r="F978" s="65">
        <v>45838</v>
      </c>
      <c r="G978" s="64">
        <v>155431.38</v>
      </c>
      <c r="H978" s="92"/>
    </row>
    <row r="979" spans="1:8" x14ac:dyDescent="0.3">
      <c r="A979" s="63" t="s">
        <v>2462</v>
      </c>
      <c r="B979" s="63" t="s">
        <v>2465</v>
      </c>
      <c r="C979" s="63" t="s">
        <v>953</v>
      </c>
      <c r="D979" s="63" t="s">
        <v>2466</v>
      </c>
      <c r="E979" s="65">
        <v>45838</v>
      </c>
      <c r="F979" s="65">
        <v>45838</v>
      </c>
      <c r="G979" s="64">
        <v>29310.880000000001</v>
      </c>
      <c r="H979" s="92"/>
    </row>
    <row r="980" spans="1:8" x14ac:dyDescent="0.3">
      <c r="A980" s="63" t="s">
        <v>2467</v>
      </c>
      <c r="B980" s="63" t="s">
        <v>2468</v>
      </c>
      <c r="C980" s="63" t="s">
        <v>953</v>
      </c>
      <c r="D980" s="63" t="s">
        <v>2469</v>
      </c>
      <c r="E980" s="65">
        <v>45199</v>
      </c>
      <c r="F980" s="65">
        <v>45199</v>
      </c>
      <c r="G980" s="64">
        <v>15</v>
      </c>
      <c r="H980" s="92"/>
    </row>
    <row r="981" spans="1:8" x14ac:dyDescent="0.3">
      <c r="A981" s="63" t="s">
        <v>2467</v>
      </c>
      <c r="B981" s="63" t="s">
        <v>2470</v>
      </c>
      <c r="C981" s="63" t="s">
        <v>953</v>
      </c>
      <c r="D981" s="63" t="s">
        <v>2471</v>
      </c>
      <c r="E981" s="65">
        <v>45205</v>
      </c>
      <c r="F981" s="65">
        <v>45205</v>
      </c>
      <c r="G981" s="64">
        <v>322.57</v>
      </c>
      <c r="H981" s="92"/>
    </row>
    <row r="982" spans="1:8" x14ac:dyDescent="0.3">
      <c r="A982" s="63" t="s">
        <v>2467</v>
      </c>
      <c r="B982" s="63" t="s">
        <v>2472</v>
      </c>
      <c r="C982" s="63" t="s">
        <v>953</v>
      </c>
      <c r="D982" s="63" t="s">
        <v>2473</v>
      </c>
      <c r="E982" s="65">
        <v>45838</v>
      </c>
      <c r="F982" s="65">
        <v>45838</v>
      </c>
      <c r="G982" s="64">
        <v>31379</v>
      </c>
      <c r="H982" s="92"/>
    </row>
    <row r="983" spans="1:8" x14ac:dyDescent="0.3">
      <c r="A983" s="63" t="s">
        <v>2474</v>
      </c>
      <c r="B983" s="63" t="s">
        <v>2475</v>
      </c>
      <c r="C983" s="63" t="s">
        <v>953</v>
      </c>
      <c r="D983" s="63" t="s">
        <v>2476</v>
      </c>
      <c r="E983" s="65">
        <v>44742</v>
      </c>
      <c r="F983" s="65">
        <v>44772</v>
      </c>
      <c r="G983" s="64">
        <v>134966.34</v>
      </c>
      <c r="H983" s="92"/>
    </row>
    <row r="984" spans="1:8" x14ac:dyDescent="0.3">
      <c r="A984" s="63" t="s">
        <v>2477</v>
      </c>
      <c r="B984" s="63" t="s">
        <v>2478</v>
      </c>
      <c r="C984" s="63" t="s">
        <v>2479</v>
      </c>
      <c r="D984" s="63" t="s">
        <v>953</v>
      </c>
      <c r="E984" s="65">
        <v>44831</v>
      </c>
      <c r="F984" s="65">
        <v>44831</v>
      </c>
      <c r="G984" s="64">
        <v>5412.5</v>
      </c>
      <c r="H984" s="92"/>
    </row>
    <row r="985" spans="1:8" x14ac:dyDescent="0.3">
      <c r="A985" s="63" t="s">
        <v>2480</v>
      </c>
      <c r="B985" s="63" t="s">
        <v>2481</v>
      </c>
      <c r="C985" s="63" t="s">
        <v>953</v>
      </c>
      <c r="D985" s="63" t="s">
        <v>953</v>
      </c>
      <c r="E985" s="65">
        <v>45527</v>
      </c>
      <c r="F985" s="65">
        <v>45527</v>
      </c>
      <c r="G985" s="64">
        <v>54310.09</v>
      </c>
      <c r="H985" s="92"/>
    </row>
    <row r="986" spans="1:8" x14ac:dyDescent="0.3">
      <c r="A986" s="63" t="s">
        <v>2480</v>
      </c>
      <c r="B986" s="63" t="s">
        <v>2482</v>
      </c>
      <c r="C986" s="63" t="s">
        <v>953</v>
      </c>
      <c r="D986" s="63" t="s">
        <v>2483</v>
      </c>
      <c r="E986" s="65">
        <v>45560</v>
      </c>
      <c r="F986" s="65">
        <v>45560</v>
      </c>
      <c r="G986" s="64">
        <v>25737.62</v>
      </c>
      <c r="H986" s="92"/>
    </row>
    <row r="987" spans="1:8" x14ac:dyDescent="0.3">
      <c r="A987" s="63" t="s">
        <v>2480</v>
      </c>
      <c r="B987" s="63" t="s">
        <v>2484</v>
      </c>
      <c r="C987" s="63" t="s">
        <v>953</v>
      </c>
      <c r="D987" s="63" t="s">
        <v>953</v>
      </c>
      <c r="E987" s="65">
        <v>45838</v>
      </c>
      <c r="F987" s="65">
        <v>45838</v>
      </c>
      <c r="G987" s="64">
        <v>10098.27</v>
      </c>
      <c r="H987" s="92"/>
    </row>
    <row r="988" spans="1:8" x14ac:dyDescent="0.3">
      <c r="A988" s="63" t="s">
        <v>2480</v>
      </c>
      <c r="B988" s="63" t="s">
        <v>2485</v>
      </c>
      <c r="C988" s="63" t="s">
        <v>953</v>
      </c>
      <c r="D988" s="63" t="s">
        <v>953</v>
      </c>
      <c r="E988" s="65">
        <v>45838</v>
      </c>
      <c r="F988" s="65">
        <v>45838</v>
      </c>
      <c r="G988" s="64">
        <v>2672.88</v>
      </c>
      <c r="H988" s="92"/>
    </row>
    <row r="989" spans="1:8" x14ac:dyDescent="0.3">
      <c r="A989" s="63" t="s">
        <v>2480</v>
      </c>
      <c r="B989" s="63" t="s">
        <v>2486</v>
      </c>
      <c r="C989" s="63" t="s">
        <v>953</v>
      </c>
      <c r="D989" s="63" t="s">
        <v>2483</v>
      </c>
      <c r="E989" s="65">
        <v>45838</v>
      </c>
      <c r="F989" s="65">
        <v>45838</v>
      </c>
      <c r="G989" s="64">
        <v>-22379.72</v>
      </c>
      <c r="H989" s="92"/>
    </row>
    <row r="990" spans="1:8" x14ac:dyDescent="0.3">
      <c r="A990" s="63" t="s">
        <v>2487</v>
      </c>
      <c r="B990" s="63" t="s">
        <v>2488</v>
      </c>
      <c r="C990" s="63" t="s">
        <v>953</v>
      </c>
      <c r="D990" s="63" t="s">
        <v>1027</v>
      </c>
      <c r="E990" s="65">
        <v>45595</v>
      </c>
      <c r="F990" s="65">
        <v>45595</v>
      </c>
      <c r="G990" s="64">
        <v>930.92</v>
      </c>
      <c r="H990" s="92"/>
    </row>
    <row r="991" spans="1:8" x14ac:dyDescent="0.3">
      <c r="A991" s="63" t="s">
        <v>2487</v>
      </c>
      <c r="B991" s="63" t="s">
        <v>2489</v>
      </c>
      <c r="C991" s="63" t="s">
        <v>953</v>
      </c>
      <c r="D991" s="63" t="s">
        <v>1027</v>
      </c>
      <c r="E991" s="65">
        <v>45595</v>
      </c>
      <c r="F991" s="65">
        <v>45595</v>
      </c>
      <c r="G991" s="64">
        <v>5442.69</v>
      </c>
      <c r="H991" s="92"/>
    </row>
    <row r="992" spans="1:8" x14ac:dyDescent="0.3">
      <c r="A992" s="63" t="s">
        <v>2487</v>
      </c>
      <c r="B992" s="63" t="s">
        <v>2490</v>
      </c>
      <c r="C992" s="63" t="s">
        <v>953</v>
      </c>
      <c r="D992" s="63" t="s">
        <v>2491</v>
      </c>
      <c r="E992" s="65">
        <v>45595</v>
      </c>
      <c r="F992" s="65">
        <v>45595</v>
      </c>
      <c r="G992" s="64">
        <v>5565.95</v>
      </c>
      <c r="H992" s="92"/>
    </row>
    <row r="993" spans="1:8" x14ac:dyDescent="0.3">
      <c r="A993" s="63" t="s">
        <v>2487</v>
      </c>
      <c r="B993" s="63" t="s">
        <v>2492</v>
      </c>
      <c r="C993" s="63" t="s">
        <v>953</v>
      </c>
      <c r="D993" s="63" t="s">
        <v>2493</v>
      </c>
      <c r="E993" s="65">
        <v>45595</v>
      </c>
      <c r="F993" s="65">
        <v>45595</v>
      </c>
      <c r="G993" s="64">
        <v>1812.01</v>
      </c>
      <c r="H993" s="92"/>
    </row>
    <row r="994" spans="1:8" x14ac:dyDescent="0.3">
      <c r="A994" s="63" t="s">
        <v>2487</v>
      </c>
      <c r="B994" s="63" t="s">
        <v>2494</v>
      </c>
      <c r="C994" s="63" t="s">
        <v>953</v>
      </c>
      <c r="D994" s="63" t="s">
        <v>2495</v>
      </c>
      <c r="E994" s="65">
        <v>45595</v>
      </c>
      <c r="F994" s="65">
        <v>45595</v>
      </c>
      <c r="G994" s="64">
        <v>76</v>
      </c>
      <c r="H994" s="92"/>
    </row>
    <row r="995" spans="1:8" x14ac:dyDescent="0.3">
      <c r="A995" s="63" t="s">
        <v>2487</v>
      </c>
      <c r="B995" s="63" t="s">
        <v>2496</v>
      </c>
      <c r="C995" s="63" t="s">
        <v>953</v>
      </c>
      <c r="D995" s="63" t="s">
        <v>2491</v>
      </c>
      <c r="E995" s="65">
        <v>45595</v>
      </c>
      <c r="F995" s="65">
        <v>45597</v>
      </c>
      <c r="G995" s="64">
        <v>1440</v>
      </c>
      <c r="H995" s="92"/>
    </row>
    <row r="996" spans="1:8" x14ac:dyDescent="0.3">
      <c r="A996" s="63" t="s">
        <v>2487</v>
      </c>
      <c r="B996" s="63" t="s">
        <v>2497</v>
      </c>
      <c r="C996" s="63" t="s">
        <v>953</v>
      </c>
      <c r="D996" s="63" t="s">
        <v>1027</v>
      </c>
      <c r="E996" s="65">
        <v>45610</v>
      </c>
      <c r="F996" s="65">
        <v>45610</v>
      </c>
      <c r="G996" s="64">
        <v>4756.3599999999997</v>
      </c>
      <c r="H996" s="92"/>
    </row>
    <row r="997" spans="1:8" x14ac:dyDescent="0.3">
      <c r="A997" s="63" t="s">
        <v>2487</v>
      </c>
      <c r="B997" s="63" t="s">
        <v>2498</v>
      </c>
      <c r="C997" s="63" t="s">
        <v>953</v>
      </c>
      <c r="D997" s="63" t="s">
        <v>1126</v>
      </c>
      <c r="E997" s="65">
        <v>45709</v>
      </c>
      <c r="F997" s="65">
        <v>45709</v>
      </c>
      <c r="G997" s="64">
        <v>3462.85</v>
      </c>
      <c r="H997" s="92"/>
    </row>
    <row r="998" spans="1:8" x14ac:dyDescent="0.3">
      <c r="A998" s="63" t="s">
        <v>2487</v>
      </c>
      <c r="B998" s="63" t="s">
        <v>2499</v>
      </c>
      <c r="C998" s="63" t="s">
        <v>953</v>
      </c>
      <c r="D998" s="63" t="s">
        <v>2280</v>
      </c>
      <c r="E998" s="65">
        <v>45824</v>
      </c>
      <c r="F998" s="65">
        <v>45824</v>
      </c>
      <c r="G998" s="64">
        <v>56.92</v>
      </c>
      <c r="H998" s="92"/>
    </row>
    <row r="999" spans="1:8" x14ac:dyDescent="0.3">
      <c r="A999" s="63" t="s">
        <v>2487</v>
      </c>
      <c r="B999" s="63" t="s">
        <v>2500</v>
      </c>
      <c r="C999" s="63" t="s">
        <v>953</v>
      </c>
      <c r="D999" s="63" t="s">
        <v>2501</v>
      </c>
      <c r="E999" s="65">
        <v>45824</v>
      </c>
      <c r="F999" s="65">
        <v>45824</v>
      </c>
      <c r="G999" s="64">
        <v>756</v>
      </c>
      <c r="H999" s="92"/>
    </row>
    <row r="1000" spans="1:8" x14ac:dyDescent="0.3">
      <c r="A1000" s="63" t="s">
        <v>2487</v>
      </c>
      <c r="B1000" s="63" t="s">
        <v>2502</v>
      </c>
      <c r="C1000" s="63" t="s">
        <v>953</v>
      </c>
      <c r="D1000" s="63" t="s">
        <v>2503</v>
      </c>
      <c r="E1000" s="65">
        <v>45824</v>
      </c>
      <c r="F1000" s="65">
        <v>45824</v>
      </c>
      <c r="G1000" s="64">
        <v>12306</v>
      </c>
      <c r="H1000" s="92"/>
    </row>
    <row r="1001" spans="1:8" x14ac:dyDescent="0.3">
      <c r="A1001" s="63" t="s">
        <v>2487</v>
      </c>
      <c r="B1001" s="63" t="s">
        <v>2504</v>
      </c>
      <c r="C1001" s="63" t="s">
        <v>953</v>
      </c>
      <c r="D1001" s="63" t="s">
        <v>1023</v>
      </c>
      <c r="E1001" s="65">
        <v>45838</v>
      </c>
      <c r="F1001" s="65">
        <v>45838</v>
      </c>
      <c r="G1001" s="64">
        <v>4633.87</v>
      </c>
      <c r="H1001" s="92"/>
    </row>
    <row r="1002" spans="1:8" x14ac:dyDescent="0.3">
      <c r="A1002" s="63" t="s">
        <v>2487</v>
      </c>
      <c r="B1002" s="63" t="s">
        <v>2505</v>
      </c>
      <c r="C1002" s="63" t="s">
        <v>953</v>
      </c>
      <c r="D1002" s="63" t="s">
        <v>2506</v>
      </c>
      <c r="E1002" s="65">
        <v>45838</v>
      </c>
      <c r="F1002" s="65">
        <v>45838</v>
      </c>
      <c r="G1002" s="64">
        <v>5647.5</v>
      </c>
      <c r="H1002" s="92"/>
    </row>
    <row r="1003" spans="1:8" x14ac:dyDescent="0.3">
      <c r="A1003" s="63" t="s">
        <v>2487</v>
      </c>
      <c r="B1003" s="63" t="s">
        <v>2507</v>
      </c>
      <c r="C1003" s="63" t="s">
        <v>953</v>
      </c>
      <c r="D1003" s="63" t="s">
        <v>1092</v>
      </c>
      <c r="E1003" s="65">
        <v>45838</v>
      </c>
      <c r="F1003" s="65">
        <v>45838</v>
      </c>
      <c r="G1003" s="64">
        <v>21573</v>
      </c>
      <c r="H1003" s="92"/>
    </row>
    <row r="1004" spans="1:8" x14ac:dyDescent="0.3">
      <c r="A1004" s="63" t="s">
        <v>2487</v>
      </c>
      <c r="B1004" s="63" t="s">
        <v>2508</v>
      </c>
      <c r="C1004" s="63" t="s">
        <v>953</v>
      </c>
      <c r="D1004" s="63" t="s">
        <v>1161</v>
      </c>
      <c r="E1004" s="65">
        <v>45838</v>
      </c>
      <c r="F1004" s="65">
        <v>45838</v>
      </c>
      <c r="G1004" s="64">
        <v>1750.35</v>
      </c>
      <c r="H1004" s="92"/>
    </row>
    <row r="1005" spans="1:8" x14ac:dyDescent="0.3">
      <c r="A1005" s="63" t="s">
        <v>2487</v>
      </c>
      <c r="B1005" s="63" t="s">
        <v>2509</v>
      </c>
      <c r="C1005" s="63" t="s">
        <v>953</v>
      </c>
      <c r="D1005" s="63" t="s">
        <v>2510</v>
      </c>
      <c r="E1005" s="65">
        <v>45838</v>
      </c>
      <c r="F1005" s="65">
        <v>45838</v>
      </c>
      <c r="G1005" s="64">
        <v>122.24</v>
      </c>
      <c r="H1005" s="92"/>
    </row>
    <row r="1006" spans="1:8" x14ac:dyDescent="0.3">
      <c r="A1006" s="63" t="s">
        <v>2487</v>
      </c>
      <c r="B1006" s="63" t="s">
        <v>2511</v>
      </c>
      <c r="C1006" s="63" t="s">
        <v>953</v>
      </c>
      <c r="D1006" s="63" t="s">
        <v>2491</v>
      </c>
      <c r="E1006" s="65">
        <v>45838</v>
      </c>
      <c r="F1006" s="65">
        <v>45838</v>
      </c>
      <c r="G1006" s="64">
        <v>3045</v>
      </c>
      <c r="H1006" s="92"/>
    </row>
    <row r="1007" spans="1:8" x14ac:dyDescent="0.3">
      <c r="A1007" s="63" t="s">
        <v>2487</v>
      </c>
      <c r="B1007" s="63" t="s">
        <v>2512</v>
      </c>
      <c r="C1007" s="63" t="s">
        <v>953</v>
      </c>
      <c r="D1007" s="63" t="s">
        <v>1052</v>
      </c>
      <c r="E1007" s="65">
        <v>45838</v>
      </c>
      <c r="F1007" s="65">
        <v>45838</v>
      </c>
      <c r="G1007" s="64">
        <v>1818.2</v>
      </c>
      <c r="H1007" s="92"/>
    </row>
    <row r="1008" spans="1:8" x14ac:dyDescent="0.3">
      <c r="A1008" s="63" t="s">
        <v>2487</v>
      </c>
      <c r="B1008" s="63" t="s">
        <v>2513</v>
      </c>
      <c r="C1008" s="63" t="s">
        <v>953</v>
      </c>
      <c r="D1008" s="63" t="s">
        <v>1175</v>
      </c>
      <c r="E1008" s="65">
        <v>45838</v>
      </c>
      <c r="F1008" s="65">
        <v>45838</v>
      </c>
      <c r="G1008" s="64">
        <v>1706.76</v>
      </c>
      <c r="H1008" s="92"/>
    </row>
    <row r="1009" spans="1:8" x14ac:dyDescent="0.3">
      <c r="A1009" s="63" t="s">
        <v>2514</v>
      </c>
      <c r="B1009" s="63" t="s">
        <v>2515</v>
      </c>
      <c r="C1009" s="63" t="s">
        <v>953</v>
      </c>
      <c r="D1009" s="63" t="s">
        <v>1560</v>
      </c>
      <c r="E1009" s="65">
        <v>45838</v>
      </c>
      <c r="F1009" s="65">
        <v>45838</v>
      </c>
      <c r="G1009" s="64">
        <v>1485</v>
      </c>
      <c r="H1009" s="92"/>
    </row>
    <row r="1010" spans="1:8" x14ac:dyDescent="0.3">
      <c r="A1010" s="63" t="s">
        <v>2514</v>
      </c>
      <c r="B1010" s="63" t="s">
        <v>2516</v>
      </c>
      <c r="C1010" s="63" t="s">
        <v>953</v>
      </c>
      <c r="D1010" s="63" t="s">
        <v>1671</v>
      </c>
      <c r="E1010" s="65">
        <v>45838</v>
      </c>
      <c r="F1010" s="65">
        <v>45838</v>
      </c>
      <c r="G1010" s="64">
        <v>19380.419999999998</v>
      </c>
      <c r="H1010" s="92"/>
    </row>
    <row r="1011" spans="1:8" x14ac:dyDescent="0.3">
      <c r="A1011" s="63" t="s">
        <v>2514</v>
      </c>
      <c r="B1011" s="63" t="s">
        <v>2517</v>
      </c>
      <c r="C1011" s="63" t="s">
        <v>953</v>
      </c>
      <c r="D1011" s="63" t="s">
        <v>1671</v>
      </c>
      <c r="E1011" s="65">
        <v>45838</v>
      </c>
      <c r="F1011" s="65">
        <v>45838</v>
      </c>
      <c r="G1011" s="64">
        <v>1687.5</v>
      </c>
      <c r="H1011" s="92"/>
    </row>
    <row r="1012" spans="1:8" x14ac:dyDescent="0.3">
      <c r="A1012" s="63" t="s">
        <v>2514</v>
      </c>
      <c r="B1012" s="63" t="s">
        <v>2518</v>
      </c>
      <c r="C1012" s="63" t="s">
        <v>953</v>
      </c>
      <c r="D1012" s="63" t="s">
        <v>2519</v>
      </c>
      <c r="E1012" s="65">
        <v>45838</v>
      </c>
      <c r="F1012" s="65">
        <v>45838</v>
      </c>
      <c r="G1012" s="64">
        <v>10661.59</v>
      </c>
      <c r="H1012" s="92"/>
    </row>
    <row r="1013" spans="1:8" x14ac:dyDescent="0.3">
      <c r="A1013" s="63" t="s">
        <v>2520</v>
      </c>
      <c r="B1013" s="63" t="s">
        <v>2521</v>
      </c>
      <c r="C1013" s="63" t="s">
        <v>953</v>
      </c>
      <c r="D1013" s="63" t="s">
        <v>2522</v>
      </c>
      <c r="E1013" s="65">
        <v>45237</v>
      </c>
      <c r="F1013" s="65">
        <v>45267</v>
      </c>
      <c r="G1013" s="64">
        <v>6145.97</v>
      </c>
      <c r="H1013" s="92"/>
    </row>
    <row r="1014" spans="1:8" x14ac:dyDescent="0.3">
      <c r="A1014" s="63" t="s">
        <v>2520</v>
      </c>
      <c r="B1014" s="63" t="s">
        <v>2523</v>
      </c>
      <c r="C1014" s="63" t="s">
        <v>953</v>
      </c>
      <c r="D1014" s="63" t="s">
        <v>2522</v>
      </c>
      <c r="E1014" s="65">
        <v>45321</v>
      </c>
      <c r="F1014" s="65">
        <v>45351</v>
      </c>
      <c r="G1014" s="64">
        <v>7045.4</v>
      </c>
      <c r="H1014" s="92"/>
    </row>
    <row r="1015" spans="1:8" x14ac:dyDescent="0.3">
      <c r="A1015" s="63" t="s">
        <v>2520</v>
      </c>
      <c r="B1015" s="63" t="s">
        <v>2524</v>
      </c>
      <c r="C1015" s="63" t="s">
        <v>953</v>
      </c>
      <c r="D1015" s="63" t="s">
        <v>953</v>
      </c>
      <c r="E1015" s="65">
        <v>45331</v>
      </c>
      <c r="F1015" s="65">
        <v>45361</v>
      </c>
      <c r="G1015" s="64">
        <v>3120</v>
      </c>
      <c r="H1015" s="92"/>
    </row>
    <row r="1016" spans="1:8" x14ac:dyDescent="0.3">
      <c r="A1016" s="63" t="s">
        <v>2520</v>
      </c>
      <c r="B1016" s="63" t="s">
        <v>2525</v>
      </c>
      <c r="C1016" s="63" t="s">
        <v>953</v>
      </c>
      <c r="D1016" s="63" t="s">
        <v>953</v>
      </c>
      <c r="E1016" s="65">
        <v>45331</v>
      </c>
      <c r="F1016" s="65">
        <v>45361</v>
      </c>
      <c r="G1016" s="64">
        <v>22971.26</v>
      </c>
      <c r="H1016" s="92"/>
    </row>
    <row r="1017" spans="1:8" x14ac:dyDescent="0.3">
      <c r="A1017" s="63" t="s">
        <v>2520</v>
      </c>
      <c r="B1017" s="63" t="s">
        <v>2526</v>
      </c>
      <c r="C1017" s="63" t="s">
        <v>953</v>
      </c>
      <c r="D1017" s="63" t="s">
        <v>953</v>
      </c>
      <c r="E1017" s="65">
        <v>45366</v>
      </c>
      <c r="F1017" s="65">
        <v>45396</v>
      </c>
      <c r="G1017" s="64">
        <v>1335.87</v>
      </c>
      <c r="H1017" s="92"/>
    </row>
    <row r="1018" spans="1:8" x14ac:dyDescent="0.3">
      <c r="A1018" s="63" t="s">
        <v>2520</v>
      </c>
      <c r="B1018" s="63" t="s">
        <v>2527</v>
      </c>
      <c r="C1018" s="63" t="s">
        <v>953</v>
      </c>
      <c r="D1018" s="63" t="s">
        <v>2528</v>
      </c>
      <c r="E1018" s="65">
        <v>45456</v>
      </c>
      <c r="F1018" s="65">
        <v>45486</v>
      </c>
      <c r="G1018" s="64">
        <v>3572.25</v>
      </c>
      <c r="H1018" s="92"/>
    </row>
    <row r="1019" spans="1:8" x14ac:dyDescent="0.3">
      <c r="A1019" s="63" t="s">
        <v>2520</v>
      </c>
      <c r="B1019" s="63" t="s">
        <v>2529</v>
      </c>
      <c r="C1019" s="63" t="s">
        <v>953</v>
      </c>
      <c r="D1019" s="63" t="s">
        <v>953</v>
      </c>
      <c r="E1019" s="65">
        <v>45838</v>
      </c>
      <c r="F1019" s="65">
        <v>45868</v>
      </c>
      <c r="G1019" s="64">
        <v>3004.74</v>
      </c>
      <c r="H1019" s="92"/>
    </row>
    <row r="1020" spans="1:8" x14ac:dyDescent="0.3">
      <c r="A1020" s="63" t="s">
        <v>2530</v>
      </c>
      <c r="B1020" s="63" t="s">
        <v>2531</v>
      </c>
      <c r="C1020" s="63" t="s">
        <v>953</v>
      </c>
      <c r="D1020" s="63" t="s">
        <v>953</v>
      </c>
      <c r="E1020" s="65">
        <v>45292</v>
      </c>
      <c r="F1020" s="65">
        <v>45292</v>
      </c>
      <c r="G1020" s="64">
        <v>220</v>
      </c>
      <c r="H1020" s="92"/>
    </row>
    <row r="1021" spans="1:8" x14ac:dyDescent="0.3">
      <c r="A1021" s="63" t="s">
        <v>2530</v>
      </c>
      <c r="B1021" s="63" t="s">
        <v>2532</v>
      </c>
      <c r="C1021" s="63" t="s">
        <v>953</v>
      </c>
      <c r="D1021" s="63" t="s">
        <v>953</v>
      </c>
      <c r="E1021" s="65">
        <v>45838</v>
      </c>
      <c r="F1021" s="65">
        <v>45838</v>
      </c>
      <c r="G1021" s="64">
        <v>6795.61</v>
      </c>
      <c r="H1021" s="92"/>
    </row>
    <row r="1022" spans="1:8" x14ac:dyDescent="0.3">
      <c r="A1022" s="63" t="s">
        <v>2533</v>
      </c>
      <c r="B1022" s="63" t="s">
        <v>2534</v>
      </c>
      <c r="C1022" s="63" t="s">
        <v>953</v>
      </c>
      <c r="D1022" s="63" t="s">
        <v>953</v>
      </c>
      <c r="E1022" s="65">
        <v>45727</v>
      </c>
      <c r="F1022" s="65">
        <v>45727</v>
      </c>
      <c r="G1022" s="64">
        <v>1039.5</v>
      </c>
      <c r="H1022" s="92"/>
    </row>
    <row r="1023" spans="1:8" x14ac:dyDescent="0.3">
      <c r="A1023" s="63" t="s">
        <v>2535</v>
      </c>
      <c r="B1023" s="63" t="s">
        <v>2536</v>
      </c>
      <c r="C1023" s="63" t="s">
        <v>953</v>
      </c>
      <c r="D1023" s="63" t="s">
        <v>2537</v>
      </c>
      <c r="E1023" s="65">
        <v>45741</v>
      </c>
      <c r="F1023" s="65">
        <v>45741</v>
      </c>
      <c r="G1023" s="64">
        <v>5828.44</v>
      </c>
      <c r="H1023" s="92"/>
    </row>
    <row r="1024" spans="1:8" x14ac:dyDescent="0.3">
      <c r="A1024" s="63" t="s">
        <v>2535</v>
      </c>
      <c r="B1024" s="63" t="s">
        <v>2538</v>
      </c>
      <c r="C1024" s="63" t="s">
        <v>953</v>
      </c>
      <c r="D1024" s="63" t="s">
        <v>2537</v>
      </c>
      <c r="E1024" s="65">
        <v>45743</v>
      </c>
      <c r="F1024" s="65">
        <v>45743</v>
      </c>
      <c r="G1024" s="64">
        <v>8200.75</v>
      </c>
      <c r="H1024" s="92"/>
    </row>
    <row r="1025" spans="1:8" x14ac:dyDescent="0.3">
      <c r="A1025" s="63" t="s">
        <v>2539</v>
      </c>
      <c r="B1025" s="63" t="s">
        <v>2540</v>
      </c>
      <c r="C1025" s="63" t="s">
        <v>953</v>
      </c>
      <c r="D1025" s="63" t="s">
        <v>953</v>
      </c>
      <c r="E1025" s="65">
        <v>45504</v>
      </c>
      <c r="F1025" s="65">
        <v>45504</v>
      </c>
      <c r="G1025" s="64">
        <v>445.38</v>
      </c>
      <c r="H1025" s="92"/>
    </row>
    <row r="1026" spans="1:8" x14ac:dyDescent="0.3">
      <c r="A1026" s="63" t="s">
        <v>2541</v>
      </c>
      <c r="B1026" s="63" t="s">
        <v>4054</v>
      </c>
      <c r="C1026" s="63" t="s">
        <v>953</v>
      </c>
      <c r="D1026" s="63" t="s">
        <v>4053</v>
      </c>
      <c r="E1026" s="65">
        <v>45838</v>
      </c>
      <c r="F1026" s="65">
        <v>45838</v>
      </c>
      <c r="G1026" s="64">
        <v>16349.99</v>
      </c>
      <c r="H1026" s="92"/>
    </row>
    <row r="1027" spans="1:8" x14ac:dyDescent="0.3">
      <c r="A1027" s="63" t="s">
        <v>2542</v>
      </c>
      <c r="B1027" s="63" t="s">
        <v>2543</v>
      </c>
      <c r="C1027" s="63" t="s">
        <v>953</v>
      </c>
      <c r="D1027" s="63" t="s">
        <v>2544</v>
      </c>
      <c r="E1027" s="65">
        <v>45211</v>
      </c>
      <c r="F1027" s="65">
        <v>45211</v>
      </c>
      <c r="G1027" s="64">
        <v>6500</v>
      </c>
      <c r="H1027" s="92"/>
    </row>
  </sheetData>
  <sortState xmlns:xlrd2="http://schemas.microsoft.com/office/spreadsheetml/2017/richdata2" ref="A3:H1028">
    <sortCondition descending="1" ref="H3:H1028"/>
  </sortState>
  <conditionalFormatting sqref="B1:B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8F9C-FC8D-4C39-BC32-B7E8EF0596BE}">
  <dimension ref="A1:P145"/>
  <sheetViews>
    <sheetView topLeftCell="A9" workbookViewId="0">
      <selection activeCell="D9" sqref="D9"/>
    </sheetView>
  </sheetViews>
  <sheetFormatPr defaultColWidth="8.83203125" defaultRowHeight="14.5" x14ac:dyDescent="0.35"/>
  <cols>
    <col min="1" max="1" width="30.9140625" style="18" customWidth="1"/>
    <col min="2" max="2" width="28.1640625" style="18" customWidth="1"/>
    <col min="3" max="3" width="9.83203125" style="18" customWidth="1"/>
    <col min="4" max="4" width="8.83203125" style="18"/>
    <col min="5" max="5" width="36" style="18" customWidth="1"/>
    <col min="6" max="6" width="22" style="18" customWidth="1"/>
    <col min="7" max="7" width="13.08203125" style="18" customWidth="1"/>
    <col min="8" max="8" width="8.83203125" style="18"/>
    <col min="9" max="9" width="11.4140625" style="18" bestFit="1" customWidth="1"/>
    <col min="10" max="14" width="8.83203125" style="18"/>
    <col min="15" max="15" width="29.33203125" style="95" customWidth="1"/>
    <col min="16" max="16384" width="8.83203125" style="18"/>
  </cols>
  <sheetData>
    <row r="1" spans="1:16" x14ac:dyDescent="0.35">
      <c r="G1" s="23">
        <f>SUM(G5:G201)</f>
        <v>3650759.9699999993</v>
      </c>
      <c r="O1" s="100" t="s">
        <v>4081</v>
      </c>
    </row>
    <row r="2" spans="1:16" ht="38.5" customHeight="1" x14ac:dyDescent="0.35">
      <c r="A2" s="20" t="s">
        <v>2635</v>
      </c>
      <c r="B2" s="20" t="s">
        <v>3580</v>
      </c>
      <c r="C2" s="29" t="s">
        <v>2545</v>
      </c>
      <c r="D2" s="30" t="s">
        <v>957</v>
      </c>
      <c r="E2" s="29" t="s">
        <v>948</v>
      </c>
      <c r="F2" s="29" t="s">
        <v>3803</v>
      </c>
      <c r="G2" s="31" t="s">
        <v>2546</v>
      </c>
      <c r="M2" s="67" t="s">
        <v>4057</v>
      </c>
      <c r="O2" s="94" t="s">
        <v>4073</v>
      </c>
      <c r="P2" s="103" t="s">
        <v>4090</v>
      </c>
    </row>
    <row r="3" spans="1:16" ht="44" customHeight="1" x14ac:dyDescent="0.35">
      <c r="A3" s="20" t="s">
        <v>3582</v>
      </c>
      <c r="B3" s="20" t="s">
        <v>3581</v>
      </c>
      <c r="C3" s="29"/>
      <c r="D3" s="30"/>
      <c r="E3" s="29"/>
      <c r="F3" s="29"/>
      <c r="G3" s="31"/>
      <c r="O3" s="94" t="s">
        <v>4074</v>
      </c>
      <c r="P3" s="103" t="s">
        <v>4091</v>
      </c>
    </row>
    <row r="4" spans="1:16" ht="55.5" customHeight="1" x14ac:dyDescent="0.35">
      <c r="A4" s="20"/>
      <c r="B4" s="20"/>
      <c r="C4" s="29"/>
      <c r="D4" s="30"/>
      <c r="E4" s="29"/>
      <c r="F4" s="29"/>
      <c r="G4" s="31"/>
      <c r="O4" s="94" t="s">
        <v>4075</v>
      </c>
      <c r="P4" s="103" t="s">
        <v>4092</v>
      </c>
    </row>
    <row r="5" spans="1:16" ht="14.4" customHeight="1" x14ac:dyDescent="0.35">
      <c r="A5" s="68" t="s">
        <v>2549</v>
      </c>
      <c r="B5" s="69"/>
      <c r="C5" s="69">
        <v>45839</v>
      </c>
      <c r="D5" s="70">
        <v>31647</v>
      </c>
      <c r="E5" s="70" t="s">
        <v>2547</v>
      </c>
      <c r="F5" s="71" t="s">
        <v>3814</v>
      </c>
      <c r="G5" s="72">
        <v>108.3</v>
      </c>
      <c r="H5" s="73"/>
      <c r="O5" s="94" t="s">
        <v>4076</v>
      </c>
      <c r="P5" s="103" t="s">
        <v>4093</v>
      </c>
    </row>
    <row r="6" spans="1:16" ht="14.4" customHeight="1" x14ac:dyDescent="0.35">
      <c r="A6" s="74"/>
      <c r="B6" s="75" t="s">
        <v>2550</v>
      </c>
      <c r="C6" s="75">
        <v>45839</v>
      </c>
      <c r="D6" s="76">
        <v>31647</v>
      </c>
      <c r="E6" s="76" t="s">
        <v>2547</v>
      </c>
      <c r="F6" s="77" t="s">
        <v>3814</v>
      </c>
      <c r="G6" s="78"/>
      <c r="H6" s="79">
        <f>G5</f>
        <v>108.3</v>
      </c>
      <c r="O6" s="94" t="s">
        <v>4077</v>
      </c>
      <c r="P6" s="103" t="s">
        <v>4094</v>
      </c>
    </row>
    <row r="7" spans="1:16" x14ac:dyDescent="0.35">
      <c r="A7" s="22" t="s">
        <v>2549</v>
      </c>
      <c r="B7" s="22" t="s">
        <v>2550</v>
      </c>
      <c r="C7" s="22">
        <v>45839</v>
      </c>
      <c r="D7" s="18" t="s">
        <v>2548</v>
      </c>
      <c r="E7" s="18" t="s">
        <v>2197</v>
      </c>
      <c r="F7" s="54" t="s">
        <v>3814</v>
      </c>
      <c r="G7" s="19">
        <v>1382.35</v>
      </c>
      <c r="K7" s="67" t="s">
        <v>4058</v>
      </c>
      <c r="L7" s="67" t="s">
        <v>4059</v>
      </c>
      <c r="M7" s="18" t="str">
        <f>_xlfn.CONCAT(K7:L7)</f>
        <v>Marriott - Hwy 6 ppty</v>
      </c>
    </row>
    <row r="8" spans="1:16" x14ac:dyDescent="0.35">
      <c r="A8" s="22" t="s">
        <v>2549</v>
      </c>
      <c r="B8" s="22" t="s">
        <v>2550</v>
      </c>
      <c r="C8" s="22">
        <v>45839</v>
      </c>
      <c r="D8" s="18">
        <v>33555</v>
      </c>
      <c r="E8" s="18" t="s">
        <v>2555</v>
      </c>
      <c r="F8" s="54" t="s">
        <v>3814</v>
      </c>
      <c r="G8" s="19">
        <v>15931.58</v>
      </c>
      <c r="K8" s="67" t="s">
        <v>4061</v>
      </c>
      <c r="M8" s="18" t="s">
        <v>4060</v>
      </c>
    </row>
    <row r="9" spans="1:16" x14ac:dyDescent="0.35">
      <c r="A9" s="22" t="s">
        <v>2549</v>
      </c>
      <c r="B9" s="22" t="s">
        <v>2550</v>
      </c>
      <c r="C9" s="22">
        <v>45839</v>
      </c>
      <c r="D9" s="18" t="s">
        <v>2551</v>
      </c>
      <c r="E9" s="18" t="s">
        <v>2020</v>
      </c>
      <c r="F9" s="54" t="s">
        <v>3814</v>
      </c>
      <c r="G9" s="19">
        <v>1222</v>
      </c>
      <c r="O9" s="119" t="s">
        <v>4107</v>
      </c>
    </row>
    <row r="10" spans="1:16" x14ac:dyDescent="0.35">
      <c r="A10" s="22" t="s">
        <v>2549</v>
      </c>
      <c r="B10" s="22" t="s">
        <v>2550</v>
      </c>
      <c r="C10" s="22">
        <v>45839</v>
      </c>
      <c r="D10" s="18" t="s">
        <v>2552</v>
      </c>
      <c r="E10" s="18" t="s">
        <v>2132</v>
      </c>
      <c r="F10" s="54" t="s">
        <v>3814</v>
      </c>
      <c r="G10" s="19">
        <v>0</v>
      </c>
      <c r="O10" s="104">
        <f>SUM(G5:G115)</f>
        <v>3404845.1499999994</v>
      </c>
      <c r="P10" s="105" t="s">
        <v>4048</v>
      </c>
    </row>
    <row r="11" spans="1:16" x14ac:dyDescent="0.35">
      <c r="A11" s="22" t="s">
        <v>2549</v>
      </c>
      <c r="B11" s="22" t="s">
        <v>2550</v>
      </c>
      <c r="C11" s="22">
        <v>45839</v>
      </c>
      <c r="D11" s="18">
        <v>33984</v>
      </c>
      <c r="E11" s="18" t="s">
        <v>2547</v>
      </c>
      <c r="F11" s="54" t="s">
        <v>3814</v>
      </c>
      <c r="G11" s="19">
        <v>0</v>
      </c>
      <c r="O11" s="106">
        <f>SUM(G116:G140)</f>
        <v>178331.90999999995</v>
      </c>
      <c r="P11" s="105" t="s">
        <v>4049</v>
      </c>
    </row>
    <row r="12" spans="1:16" x14ac:dyDescent="0.35">
      <c r="A12" s="22" t="s">
        <v>2549</v>
      </c>
      <c r="B12" s="22" t="s">
        <v>2550</v>
      </c>
      <c r="C12" s="22">
        <v>45839</v>
      </c>
      <c r="D12" s="18">
        <v>34076</v>
      </c>
      <c r="E12" s="18" t="s">
        <v>2562</v>
      </c>
      <c r="F12" s="54" t="s">
        <v>3814</v>
      </c>
      <c r="G12" s="19">
        <v>0</v>
      </c>
      <c r="O12" s="106">
        <f>SUM(G141:G145)</f>
        <v>67582.91</v>
      </c>
      <c r="P12" s="105" t="s">
        <v>4050</v>
      </c>
    </row>
    <row r="13" spans="1:16" x14ac:dyDescent="0.35">
      <c r="A13" s="22" t="s">
        <v>2549</v>
      </c>
      <c r="B13" s="22" t="s">
        <v>2550</v>
      </c>
      <c r="C13" s="22">
        <v>45839</v>
      </c>
      <c r="D13" s="18" t="s">
        <v>2553</v>
      </c>
      <c r="E13" s="18" t="s">
        <v>2197</v>
      </c>
      <c r="F13" s="54" t="s">
        <v>3814</v>
      </c>
      <c r="G13" s="19">
        <v>0</v>
      </c>
      <c r="O13" s="104">
        <f>SUM(O10:O12)</f>
        <v>3650759.9699999997</v>
      </c>
      <c r="P13" s="105" t="s">
        <v>4051</v>
      </c>
    </row>
    <row r="14" spans="1:16" x14ac:dyDescent="0.35">
      <c r="A14" s="22" t="s">
        <v>2549</v>
      </c>
      <c r="B14" s="22" t="s">
        <v>2550</v>
      </c>
      <c r="C14" s="22">
        <v>45839</v>
      </c>
      <c r="D14" s="18" t="s">
        <v>2554</v>
      </c>
      <c r="E14" s="18" t="s">
        <v>2033</v>
      </c>
      <c r="F14" s="54" t="s">
        <v>3814</v>
      </c>
      <c r="G14" s="19">
        <v>545</v>
      </c>
      <c r="O14" s="107" t="s">
        <v>4047</v>
      </c>
      <c r="P14" s="108"/>
    </row>
    <row r="15" spans="1:16" x14ac:dyDescent="0.35">
      <c r="A15" s="22" t="s">
        <v>2549</v>
      </c>
      <c r="B15" s="22" t="s">
        <v>2550</v>
      </c>
      <c r="C15" s="22">
        <v>45839</v>
      </c>
      <c r="D15" s="18" t="s">
        <v>2556</v>
      </c>
      <c r="E15" s="18" t="s">
        <v>2575</v>
      </c>
      <c r="F15" s="54" t="s">
        <v>3814</v>
      </c>
      <c r="G15" s="19">
        <v>453.12</v>
      </c>
      <c r="O15" s="61"/>
    </row>
    <row r="16" spans="1:16" x14ac:dyDescent="0.35">
      <c r="A16" s="22" t="s">
        <v>2549</v>
      </c>
      <c r="B16" s="22" t="s">
        <v>2550</v>
      </c>
      <c r="C16" s="22">
        <v>45839</v>
      </c>
      <c r="D16" s="18">
        <v>34967</v>
      </c>
      <c r="E16" s="18" t="s">
        <v>2079</v>
      </c>
      <c r="F16" s="54" t="s">
        <v>3814</v>
      </c>
      <c r="G16" s="19">
        <v>3736.32</v>
      </c>
    </row>
    <row r="17" spans="1:7" x14ac:dyDescent="0.35">
      <c r="A17" s="22" t="s">
        <v>2549</v>
      </c>
      <c r="B17" s="22" t="s">
        <v>2550</v>
      </c>
      <c r="C17" s="22">
        <v>45839</v>
      </c>
      <c r="D17" s="18">
        <v>35518</v>
      </c>
      <c r="E17" s="18" t="s">
        <v>1549</v>
      </c>
      <c r="F17" s="54" t="s">
        <v>3814</v>
      </c>
      <c r="G17" s="19">
        <v>35954.480000000003</v>
      </c>
    </row>
    <row r="18" spans="1:7" x14ac:dyDescent="0.35">
      <c r="A18" s="22" t="s">
        <v>2549</v>
      </c>
      <c r="B18" s="22" t="s">
        <v>2550</v>
      </c>
      <c r="C18" s="22">
        <v>45839</v>
      </c>
      <c r="D18" s="18">
        <v>36158</v>
      </c>
      <c r="E18" s="18" t="s">
        <v>301</v>
      </c>
      <c r="F18" s="54" t="s">
        <v>3814</v>
      </c>
      <c r="G18" s="19">
        <v>0</v>
      </c>
    </row>
    <row r="19" spans="1:7" x14ac:dyDescent="0.35">
      <c r="A19" s="22" t="s">
        <v>2549</v>
      </c>
      <c r="B19" s="22" t="s">
        <v>2550</v>
      </c>
      <c r="C19" s="22">
        <v>45839</v>
      </c>
      <c r="D19" s="18" t="s">
        <v>2557</v>
      </c>
      <c r="E19" s="18" t="s">
        <v>301</v>
      </c>
      <c r="F19" s="54" t="s">
        <v>3814</v>
      </c>
      <c r="G19" s="19">
        <v>0</v>
      </c>
    </row>
    <row r="20" spans="1:7" x14ac:dyDescent="0.35">
      <c r="A20" s="22" t="s">
        <v>2549</v>
      </c>
      <c r="B20" s="22" t="s">
        <v>2550</v>
      </c>
      <c r="C20" s="22">
        <v>45839</v>
      </c>
      <c r="D20" s="18">
        <v>36221</v>
      </c>
      <c r="E20" s="18" t="s">
        <v>1334</v>
      </c>
      <c r="F20" s="54" t="s">
        <v>3814</v>
      </c>
      <c r="G20" s="19">
        <v>0</v>
      </c>
    </row>
    <row r="21" spans="1:7" x14ac:dyDescent="0.35">
      <c r="A21" s="22" t="s">
        <v>2549</v>
      </c>
      <c r="B21" s="22" t="s">
        <v>2550</v>
      </c>
      <c r="C21" s="22">
        <v>45839</v>
      </c>
      <c r="D21" s="18">
        <v>37217</v>
      </c>
      <c r="E21" s="18" t="s">
        <v>2603</v>
      </c>
      <c r="F21" s="54" t="s">
        <v>3814</v>
      </c>
      <c r="G21" s="19">
        <v>100</v>
      </c>
    </row>
    <row r="22" spans="1:7" x14ac:dyDescent="0.35">
      <c r="A22" s="22" t="s">
        <v>2549</v>
      </c>
      <c r="B22" s="22" t="s">
        <v>2550</v>
      </c>
      <c r="C22" s="22">
        <v>45839</v>
      </c>
      <c r="D22" s="18" t="s">
        <v>2558</v>
      </c>
      <c r="E22" s="18" t="s">
        <v>1475</v>
      </c>
      <c r="F22" s="54" t="s">
        <v>3814</v>
      </c>
      <c r="G22" s="19">
        <v>30424.629999999997</v>
      </c>
    </row>
    <row r="23" spans="1:7" x14ac:dyDescent="0.35">
      <c r="A23" s="22" t="s">
        <v>2549</v>
      </c>
      <c r="B23" s="22" t="s">
        <v>2550</v>
      </c>
      <c r="C23" s="22">
        <v>45839</v>
      </c>
      <c r="D23" s="18" t="s">
        <v>2559</v>
      </c>
      <c r="E23" s="18" t="s">
        <v>1426</v>
      </c>
      <c r="F23" s="54" t="s">
        <v>3814</v>
      </c>
      <c r="G23" s="19">
        <v>2591.0499999999997</v>
      </c>
    </row>
    <row r="24" spans="1:7" x14ac:dyDescent="0.35">
      <c r="A24" s="22" t="s">
        <v>2549</v>
      </c>
      <c r="B24" s="22" t="s">
        <v>2550</v>
      </c>
      <c r="C24" s="22">
        <v>45839</v>
      </c>
      <c r="D24" s="18" t="s">
        <v>2560</v>
      </c>
      <c r="E24" s="18" t="s">
        <v>2220</v>
      </c>
      <c r="F24" s="54" t="s">
        <v>3814</v>
      </c>
      <c r="G24" s="19">
        <v>7846.31</v>
      </c>
    </row>
    <row r="25" spans="1:7" x14ac:dyDescent="0.35">
      <c r="A25" s="22" t="s">
        <v>2549</v>
      </c>
      <c r="B25" s="22" t="s">
        <v>2550</v>
      </c>
      <c r="C25" s="22">
        <v>45839</v>
      </c>
      <c r="D25" s="18">
        <v>38130</v>
      </c>
      <c r="E25" s="18" t="s">
        <v>2276</v>
      </c>
      <c r="F25" s="54" t="s">
        <v>3814</v>
      </c>
      <c r="G25" s="19">
        <v>1166.8499999999999</v>
      </c>
    </row>
    <row r="26" spans="1:7" x14ac:dyDescent="0.35">
      <c r="A26" s="22" t="s">
        <v>2549</v>
      </c>
      <c r="B26" s="22" t="s">
        <v>2550</v>
      </c>
      <c r="C26" s="22">
        <v>45845</v>
      </c>
      <c r="D26" s="18" t="s">
        <v>2561</v>
      </c>
      <c r="E26" s="18" t="s">
        <v>1475</v>
      </c>
      <c r="F26" s="54" t="s">
        <v>3814</v>
      </c>
      <c r="G26" s="19">
        <v>6661.5300000000007</v>
      </c>
    </row>
    <row r="27" spans="1:7" x14ac:dyDescent="0.35">
      <c r="A27" s="22" t="s">
        <v>2549</v>
      </c>
      <c r="B27" s="22" t="s">
        <v>2550</v>
      </c>
      <c r="C27" s="22">
        <v>45845</v>
      </c>
      <c r="D27" s="18">
        <v>35807</v>
      </c>
      <c r="E27" s="18" t="s">
        <v>1475</v>
      </c>
      <c r="F27" s="54" t="s">
        <v>3814</v>
      </c>
      <c r="G27" s="19">
        <v>3871.21</v>
      </c>
    </row>
    <row r="28" spans="1:7" x14ac:dyDescent="0.35">
      <c r="A28" s="22" t="s">
        <v>2549</v>
      </c>
      <c r="B28" s="22" t="s">
        <v>2550</v>
      </c>
      <c r="C28" s="22">
        <v>45845</v>
      </c>
      <c r="D28" s="18">
        <v>35808</v>
      </c>
      <c r="E28" s="18" t="s">
        <v>1475</v>
      </c>
      <c r="F28" s="54" t="s">
        <v>3814</v>
      </c>
      <c r="G28" s="19">
        <v>10157.980000000001</v>
      </c>
    </row>
    <row r="29" spans="1:7" x14ac:dyDescent="0.35">
      <c r="A29" s="22" t="s">
        <v>2549</v>
      </c>
      <c r="B29" s="22" t="s">
        <v>2550</v>
      </c>
      <c r="C29" s="22">
        <v>45845</v>
      </c>
      <c r="D29" s="18">
        <v>35812</v>
      </c>
      <c r="E29" s="18" t="s">
        <v>1475</v>
      </c>
      <c r="F29" s="54" t="s">
        <v>3814</v>
      </c>
      <c r="G29" s="19">
        <v>34749.29</v>
      </c>
    </row>
    <row r="30" spans="1:7" x14ac:dyDescent="0.35">
      <c r="A30" s="22" t="s">
        <v>2549</v>
      </c>
      <c r="B30" s="22" t="s">
        <v>2550</v>
      </c>
      <c r="C30" s="22">
        <v>45845</v>
      </c>
      <c r="D30" s="18" t="s">
        <v>2563</v>
      </c>
      <c r="E30" s="18" t="s">
        <v>1475</v>
      </c>
      <c r="F30" s="54" t="s">
        <v>3814</v>
      </c>
      <c r="G30" s="19">
        <v>419.36</v>
      </c>
    </row>
    <row r="31" spans="1:7" x14ac:dyDescent="0.35">
      <c r="A31" s="22" t="s">
        <v>2549</v>
      </c>
      <c r="B31" s="22" t="s">
        <v>2550</v>
      </c>
      <c r="C31" s="22">
        <v>45845</v>
      </c>
      <c r="D31" s="18" t="s">
        <v>2564</v>
      </c>
      <c r="E31" s="18" t="s">
        <v>1582</v>
      </c>
      <c r="F31" s="54" t="s">
        <v>3814</v>
      </c>
      <c r="G31" s="19">
        <v>4176.01</v>
      </c>
    </row>
    <row r="32" spans="1:7" x14ac:dyDescent="0.35">
      <c r="A32" s="22" t="s">
        <v>2549</v>
      </c>
      <c r="B32" s="22" t="s">
        <v>2550</v>
      </c>
      <c r="C32" s="22">
        <v>45845</v>
      </c>
      <c r="D32" s="18" t="s">
        <v>2565</v>
      </c>
      <c r="E32" s="18" t="s">
        <v>1269</v>
      </c>
      <c r="F32" s="54" t="s">
        <v>3814</v>
      </c>
      <c r="G32" s="19">
        <v>194.28</v>
      </c>
    </row>
    <row r="33" spans="1:7" x14ac:dyDescent="0.35">
      <c r="A33" s="22" t="s">
        <v>2549</v>
      </c>
      <c r="B33" s="22" t="s">
        <v>2550</v>
      </c>
      <c r="C33" s="22">
        <v>45845</v>
      </c>
      <c r="D33" s="18" t="s">
        <v>2566</v>
      </c>
      <c r="E33" s="18" t="s">
        <v>1269</v>
      </c>
      <c r="F33" s="54" t="s">
        <v>3814</v>
      </c>
      <c r="G33" s="19">
        <v>0</v>
      </c>
    </row>
    <row r="34" spans="1:7" x14ac:dyDescent="0.35">
      <c r="A34" s="22" t="s">
        <v>2549</v>
      </c>
      <c r="B34" s="22" t="s">
        <v>2550</v>
      </c>
      <c r="C34" s="22">
        <v>45845</v>
      </c>
      <c r="D34" s="18" t="s">
        <v>2567</v>
      </c>
      <c r="E34" s="18" t="s">
        <v>1269</v>
      </c>
      <c r="F34" s="54" t="s">
        <v>3814</v>
      </c>
      <c r="G34" s="19">
        <v>0</v>
      </c>
    </row>
    <row r="35" spans="1:7" x14ac:dyDescent="0.35">
      <c r="A35" s="22" t="s">
        <v>2549</v>
      </c>
      <c r="B35" s="22" t="s">
        <v>2550</v>
      </c>
      <c r="C35" s="22">
        <v>45845</v>
      </c>
      <c r="D35" s="18" t="s">
        <v>2568</v>
      </c>
      <c r="E35" s="18" t="s">
        <v>1269</v>
      </c>
      <c r="F35" s="54" t="s">
        <v>3814</v>
      </c>
      <c r="G35" s="19">
        <v>4894.38</v>
      </c>
    </row>
    <row r="36" spans="1:7" x14ac:dyDescent="0.35">
      <c r="A36" s="22" t="s">
        <v>2549</v>
      </c>
      <c r="B36" s="22" t="s">
        <v>2550</v>
      </c>
      <c r="C36" s="22">
        <v>45845</v>
      </c>
      <c r="D36" s="18">
        <v>38738</v>
      </c>
      <c r="E36" s="18" t="s">
        <v>1269</v>
      </c>
      <c r="F36" s="54" t="s">
        <v>3814</v>
      </c>
      <c r="G36" s="19">
        <v>0</v>
      </c>
    </row>
    <row r="37" spans="1:7" x14ac:dyDescent="0.35">
      <c r="A37" s="22" t="s">
        <v>2549</v>
      </c>
      <c r="B37" s="22" t="s">
        <v>2550</v>
      </c>
      <c r="C37" s="22">
        <v>45846</v>
      </c>
      <c r="D37" s="18">
        <v>38187</v>
      </c>
      <c r="E37" s="18" t="s">
        <v>2626</v>
      </c>
      <c r="F37" s="54" t="s">
        <v>3814</v>
      </c>
      <c r="G37" s="19">
        <v>10341.06</v>
      </c>
    </row>
    <row r="38" spans="1:7" x14ac:dyDescent="0.35">
      <c r="A38" s="22" t="s">
        <v>2549</v>
      </c>
      <c r="B38" s="22" t="s">
        <v>2550</v>
      </c>
      <c r="C38" s="22">
        <v>45846</v>
      </c>
      <c r="D38" s="18">
        <v>38196</v>
      </c>
      <c r="E38" s="18" t="s">
        <v>2626</v>
      </c>
      <c r="F38" s="54" t="s">
        <v>3814</v>
      </c>
      <c r="G38" s="19">
        <v>22465.59</v>
      </c>
    </row>
    <row r="39" spans="1:7" x14ac:dyDescent="0.35">
      <c r="A39" s="22" t="s">
        <v>2549</v>
      </c>
      <c r="B39" s="22" t="s">
        <v>2550</v>
      </c>
      <c r="C39" s="22">
        <v>45846</v>
      </c>
      <c r="D39" s="18" t="s">
        <v>2569</v>
      </c>
      <c r="E39" s="18" t="s">
        <v>1269</v>
      </c>
      <c r="F39" s="54" t="s">
        <v>3814</v>
      </c>
      <c r="G39" s="19">
        <v>6359.54</v>
      </c>
    </row>
    <row r="40" spans="1:7" x14ac:dyDescent="0.35">
      <c r="A40" s="22" t="s">
        <v>2549</v>
      </c>
      <c r="B40" s="22" t="s">
        <v>2550</v>
      </c>
      <c r="C40" s="22">
        <v>45846</v>
      </c>
      <c r="D40" s="18">
        <v>38396</v>
      </c>
      <c r="E40" s="18" t="s">
        <v>1269</v>
      </c>
      <c r="F40" s="54" t="s">
        <v>3814</v>
      </c>
      <c r="G40" s="19">
        <v>851.45</v>
      </c>
    </row>
    <row r="41" spans="1:7" x14ac:dyDescent="0.35">
      <c r="A41" s="22" t="s">
        <v>2549</v>
      </c>
      <c r="B41" s="22" t="s">
        <v>2550</v>
      </c>
      <c r="C41" s="22">
        <v>45846</v>
      </c>
      <c r="D41" s="18">
        <v>38637</v>
      </c>
      <c r="E41" s="18" t="s">
        <v>1582</v>
      </c>
      <c r="F41" s="54" t="s">
        <v>3814</v>
      </c>
      <c r="G41" s="19">
        <v>24916.34</v>
      </c>
    </row>
    <row r="42" spans="1:7" x14ac:dyDescent="0.35">
      <c r="A42" s="22" t="s">
        <v>2549</v>
      </c>
      <c r="B42" s="22" t="s">
        <v>2550</v>
      </c>
      <c r="C42" s="22">
        <v>45847</v>
      </c>
      <c r="D42" s="18" t="s">
        <v>2570</v>
      </c>
      <c r="E42" s="18" t="s">
        <v>1475</v>
      </c>
      <c r="F42" s="54" t="s">
        <v>3814</v>
      </c>
      <c r="G42" s="19">
        <v>60472.409999999996</v>
      </c>
    </row>
    <row r="43" spans="1:7" x14ac:dyDescent="0.35">
      <c r="A43" s="22" t="s">
        <v>2549</v>
      </c>
      <c r="B43" s="22" t="s">
        <v>2550</v>
      </c>
      <c r="C43" s="22">
        <v>45847</v>
      </c>
      <c r="D43" s="18" t="s">
        <v>2571</v>
      </c>
      <c r="E43" s="18" t="s">
        <v>1475</v>
      </c>
      <c r="F43" s="54" t="s">
        <v>3814</v>
      </c>
      <c r="G43" s="19">
        <v>56713.200000000004</v>
      </c>
    </row>
    <row r="44" spans="1:7" x14ac:dyDescent="0.35">
      <c r="A44" s="22" t="s">
        <v>2549</v>
      </c>
      <c r="B44" s="22" t="s">
        <v>2550</v>
      </c>
      <c r="C44" s="22">
        <v>45847</v>
      </c>
      <c r="D44" s="18" t="s">
        <v>2572</v>
      </c>
      <c r="E44" s="18" t="s">
        <v>1263</v>
      </c>
      <c r="F44" s="54" t="s">
        <v>3814</v>
      </c>
      <c r="G44" s="19">
        <v>210339.71</v>
      </c>
    </row>
    <row r="45" spans="1:7" x14ac:dyDescent="0.35">
      <c r="A45" s="22" t="s">
        <v>2549</v>
      </c>
      <c r="B45" s="22" t="s">
        <v>2550</v>
      </c>
      <c r="C45" s="22">
        <v>45847</v>
      </c>
      <c r="D45" s="18" t="s">
        <v>2573</v>
      </c>
      <c r="E45" s="18" t="s">
        <v>1263</v>
      </c>
      <c r="F45" s="54" t="s">
        <v>3814</v>
      </c>
      <c r="G45" s="19">
        <v>0</v>
      </c>
    </row>
    <row r="46" spans="1:7" x14ac:dyDescent="0.35">
      <c r="A46" s="22" t="s">
        <v>2549</v>
      </c>
      <c r="B46" s="22" t="s">
        <v>2550</v>
      </c>
      <c r="C46" s="22">
        <v>45848</v>
      </c>
      <c r="D46" s="18" t="s">
        <v>2574</v>
      </c>
      <c r="E46" s="18" t="s">
        <v>2627</v>
      </c>
      <c r="F46" s="54" t="s">
        <v>3814</v>
      </c>
      <c r="G46" s="19">
        <v>1407.79</v>
      </c>
    </row>
    <row r="47" spans="1:7" x14ac:dyDescent="0.35">
      <c r="A47" s="22" t="s">
        <v>2549</v>
      </c>
      <c r="B47" s="22" t="s">
        <v>2550</v>
      </c>
      <c r="C47" s="22">
        <v>45849</v>
      </c>
      <c r="D47" s="18" t="s">
        <v>2576</v>
      </c>
      <c r="E47" s="18" t="s">
        <v>1757</v>
      </c>
      <c r="F47" s="54" t="s">
        <v>3814</v>
      </c>
      <c r="G47" s="19">
        <v>0</v>
      </c>
    </row>
    <row r="48" spans="1:7" x14ac:dyDescent="0.35">
      <c r="A48" s="22" t="s">
        <v>2549</v>
      </c>
      <c r="B48" s="22" t="s">
        <v>2550</v>
      </c>
      <c r="C48" s="22">
        <v>45849</v>
      </c>
      <c r="D48" s="18" t="s">
        <v>2577</v>
      </c>
      <c r="E48" s="18" t="s">
        <v>1004</v>
      </c>
      <c r="F48" s="54" t="s">
        <v>3814</v>
      </c>
      <c r="G48" s="19">
        <v>8535.0400000000009</v>
      </c>
    </row>
    <row r="49" spans="1:7" x14ac:dyDescent="0.35">
      <c r="A49" s="22" t="s">
        <v>2549</v>
      </c>
      <c r="B49" s="22" t="s">
        <v>2550</v>
      </c>
      <c r="C49" s="22">
        <v>45849</v>
      </c>
      <c r="D49" s="18" t="s">
        <v>2578</v>
      </c>
      <c r="E49" s="18" t="s">
        <v>1379</v>
      </c>
      <c r="F49" s="54" t="s">
        <v>3814</v>
      </c>
      <c r="G49" s="19">
        <v>66357.13</v>
      </c>
    </row>
    <row r="50" spans="1:7" x14ac:dyDescent="0.35">
      <c r="A50" s="22" t="s">
        <v>2549</v>
      </c>
      <c r="B50" s="22" t="s">
        <v>2550</v>
      </c>
      <c r="C50" s="22">
        <v>45849</v>
      </c>
      <c r="D50" s="18" t="s">
        <v>2579</v>
      </c>
      <c r="E50" s="18" t="s">
        <v>2266</v>
      </c>
      <c r="F50" s="54" t="s">
        <v>3814</v>
      </c>
      <c r="G50" s="19">
        <v>2292.5100000000002</v>
      </c>
    </row>
    <row r="51" spans="1:7" x14ac:dyDescent="0.35">
      <c r="A51" s="22" t="s">
        <v>2549</v>
      </c>
      <c r="B51" s="22" t="s">
        <v>2550</v>
      </c>
      <c r="C51" s="22">
        <v>45849</v>
      </c>
      <c r="D51" s="18" t="s">
        <v>2580</v>
      </c>
      <c r="E51" s="18" t="s">
        <v>2266</v>
      </c>
      <c r="F51" s="54" t="s">
        <v>3814</v>
      </c>
      <c r="G51" s="19">
        <v>2334.5100000000002</v>
      </c>
    </row>
    <row r="52" spans="1:7" x14ac:dyDescent="0.35">
      <c r="A52" s="22" t="s">
        <v>2549</v>
      </c>
      <c r="B52" s="22" t="s">
        <v>2550</v>
      </c>
      <c r="C52" s="22">
        <v>45849</v>
      </c>
      <c r="D52" s="18" t="s">
        <v>2581</v>
      </c>
      <c r="E52" s="18" t="s">
        <v>2266</v>
      </c>
      <c r="F52" s="54" t="s">
        <v>3814</v>
      </c>
      <c r="G52" s="19">
        <v>1212</v>
      </c>
    </row>
    <row r="53" spans="1:7" x14ac:dyDescent="0.35">
      <c r="A53" s="22" t="s">
        <v>2549</v>
      </c>
      <c r="B53" s="22" t="s">
        <v>2550</v>
      </c>
      <c r="C53" s="22">
        <v>45849</v>
      </c>
      <c r="D53" s="18" t="s">
        <v>2582</v>
      </c>
      <c r="E53" s="18" t="s">
        <v>1379</v>
      </c>
      <c r="F53" s="54" t="s">
        <v>3814</v>
      </c>
      <c r="G53" s="19">
        <v>0</v>
      </c>
    </row>
    <row r="54" spans="1:7" x14ac:dyDescent="0.35">
      <c r="A54" s="22" t="s">
        <v>2549</v>
      </c>
      <c r="B54" s="22" t="s">
        <v>2550</v>
      </c>
      <c r="C54" s="22">
        <v>45852</v>
      </c>
      <c r="D54" s="18" t="s">
        <v>2583</v>
      </c>
      <c r="E54" s="18" t="s">
        <v>2291</v>
      </c>
      <c r="F54" s="54" t="s">
        <v>3814</v>
      </c>
      <c r="G54" s="19">
        <v>5237.2</v>
      </c>
    </row>
    <row r="55" spans="1:7" x14ac:dyDescent="0.35">
      <c r="A55" s="22" t="s">
        <v>2549</v>
      </c>
      <c r="B55" s="22" t="s">
        <v>2550</v>
      </c>
      <c r="C55" s="22">
        <v>45852</v>
      </c>
      <c r="D55" s="18" t="s">
        <v>2584</v>
      </c>
      <c r="E55" s="18" t="s">
        <v>2291</v>
      </c>
      <c r="F55" s="54" t="s">
        <v>3814</v>
      </c>
      <c r="G55" s="19">
        <v>18562.18</v>
      </c>
    </row>
    <row r="56" spans="1:7" x14ac:dyDescent="0.35">
      <c r="A56" s="22" t="s">
        <v>2549</v>
      </c>
      <c r="B56" s="22" t="s">
        <v>2550</v>
      </c>
      <c r="C56" s="22">
        <v>45852</v>
      </c>
      <c r="D56" s="18" t="s">
        <v>2585</v>
      </c>
      <c r="E56" s="18" t="s">
        <v>2291</v>
      </c>
      <c r="F56" s="54" t="s">
        <v>3814</v>
      </c>
      <c r="G56" s="19">
        <v>359.36</v>
      </c>
    </row>
    <row r="57" spans="1:7" x14ac:dyDescent="0.35">
      <c r="A57" s="22" t="s">
        <v>2549</v>
      </c>
      <c r="B57" s="22" t="s">
        <v>2550</v>
      </c>
      <c r="C57" s="22">
        <v>45852</v>
      </c>
      <c r="D57" s="18" t="s">
        <v>2586</v>
      </c>
      <c r="E57" s="18" t="s">
        <v>2291</v>
      </c>
      <c r="F57" s="54" t="s">
        <v>3814</v>
      </c>
      <c r="G57" s="19">
        <v>15292.17</v>
      </c>
    </row>
    <row r="58" spans="1:7" x14ac:dyDescent="0.35">
      <c r="A58" s="22" t="s">
        <v>2549</v>
      </c>
      <c r="B58" s="22" t="s">
        <v>2550</v>
      </c>
      <c r="C58" s="22">
        <v>45852</v>
      </c>
      <c r="D58" s="18" t="s">
        <v>2587</v>
      </c>
      <c r="E58" s="18" t="s">
        <v>2291</v>
      </c>
      <c r="F58" s="54" t="s">
        <v>3814</v>
      </c>
      <c r="G58" s="19">
        <v>2271.2399999999998</v>
      </c>
    </row>
    <row r="59" spans="1:7" x14ac:dyDescent="0.35">
      <c r="A59" s="22" t="s">
        <v>2549</v>
      </c>
      <c r="B59" s="22" t="s">
        <v>2550</v>
      </c>
      <c r="C59" s="22">
        <v>45852</v>
      </c>
      <c r="D59" s="18" t="s">
        <v>2588</v>
      </c>
      <c r="E59" s="18" t="s">
        <v>1269</v>
      </c>
      <c r="F59" s="54" t="s">
        <v>3814</v>
      </c>
      <c r="G59" s="19">
        <v>132628.29</v>
      </c>
    </row>
    <row r="60" spans="1:7" x14ac:dyDescent="0.35">
      <c r="A60" s="22" t="s">
        <v>2549</v>
      </c>
      <c r="B60" s="22" t="s">
        <v>2550</v>
      </c>
      <c r="C60" s="22">
        <v>45854</v>
      </c>
      <c r="D60" s="18" t="s">
        <v>2589</v>
      </c>
      <c r="E60" s="18" t="s">
        <v>1269</v>
      </c>
      <c r="F60" s="54" t="s">
        <v>3814</v>
      </c>
      <c r="G60" s="19">
        <v>39906.35</v>
      </c>
    </row>
    <row r="61" spans="1:7" x14ac:dyDescent="0.35">
      <c r="A61" s="22" t="s">
        <v>2549</v>
      </c>
      <c r="B61" s="22" t="s">
        <v>2550</v>
      </c>
      <c r="C61" s="22">
        <v>45854</v>
      </c>
      <c r="D61" s="18" t="s">
        <v>2590</v>
      </c>
      <c r="E61" s="18" t="s">
        <v>1269</v>
      </c>
      <c r="F61" s="54" t="s">
        <v>3814</v>
      </c>
      <c r="G61" s="19">
        <v>7066.7800000000007</v>
      </c>
    </row>
    <row r="62" spans="1:7" x14ac:dyDescent="0.35">
      <c r="A62" s="22" t="s">
        <v>2549</v>
      </c>
      <c r="B62" s="22" t="s">
        <v>2550</v>
      </c>
      <c r="C62" s="22">
        <v>45856</v>
      </c>
      <c r="D62" s="18" t="s">
        <v>2591</v>
      </c>
      <c r="E62" s="18" t="s">
        <v>1582</v>
      </c>
      <c r="F62" s="54" t="s">
        <v>3814</v>
      </c>
      <c r="G62" s="19">
        <v>49890.8</v>
      </c>
    </row>
    <row r="63" spans="1:7" x14ac:dyDescent="0.35">
      <c r="A63" s="22" t="s">
        <v>2549</v>
      </c>
      <c r="B63" s="22" t="s">
        <v>2550</v>
      </c>
      <c r="C63" s="22">
        <v>45859</v>
      </c>
      <c r="D63" s="18" t="s">
        <v>2592</v>
      </c>
      <c r="E63" s="18" t="s">
        <v>1712</v>
      </c>
      <c r="F63" s="54" t="s">
        <v>3814</v>
      </c>
      <c r="G63" s="19">
        <v>1980</v>
      </c>
    </row>
    <row r="64" spans="1:7" x14ac:dyDescent="0.35">
      <c r="A64" s="22" t="s">
        <v>2549</v>
      </c>
      <c r="B64" s="22" t="s">
        <v>2550</v>
      </c>
      <c r="C64" s="22">
        <v>45861</v>
      </c>
      <c r="D64" s="18" t="s">
        <v>2593</v>
      </c>
      <c r="E64" s="18" t="s">
        <v>1004</v>
      </c>
      <c r="F64" s="54" t="s">
        <v>3814</v>
      </c>
      <c r="G64" s="19">
        <v>0</v>
      </c>
    </row>
    <row r="65" spans="1:7" x14ac:dyDescent="0.35">
      <c r="A65" s="22" t="s">
        <v>2549</v>
      </c>
      <c r="B65" s="22" t="s">
        <v>2550</v>
      </c>
      <c r="C65" s="22">
        <v>45862</v>
      </c>
      <c r="D65" s="18" t="s">
        <v>2594</v>
      </c>
      <c r="E65" s="18" t="s">
        <v>1263</v>
      </c>
      <c r="F65" s="54" t="s">
        <v>3814</v>
      </c>
      <c r="G65" s="19">
        <v>46400</v>
      </c>
    </row>
    <row r="66" spans="1:7" x14ac:dyDescent="0.35">
      <c r="A66" s="22" t="s">
        <v>2549</v>
      </c>
      <c r="B66" s="22" t="s">
        <v>2550</v>
      </c>
      <c r="C66" s="22">
        <v>45863</v>
      </c>
      <c r="D66" s="18" t="s">
        <v>2595</v>
      </c>
      <c r="E66" s="18" t="s">
        <v>2628</v>
      </c>
      <c r="F66" s="54" t="s">
        <v>3814</v>
      </c>
      <c r="G66" s="19">
        <v>10327.25</v>
      </c>
    </row>
    <row r="67" spans="1:7" x14ac:dyDescent="0.35">
      <c r="A67" s="22" t="s">
        <v>2549</v>
      </c>
      <c r="B67" s="22" t="s">
        <v>2550</v>
      </c>
      <c r="C67" s="22">
        <v>45863</v>
      </c>
      <c r="D67" s="18" t="s">
        <v>2596</v>
      </c>
      <c r="E67" s="18" t="s">
        <v>2628</v>
      </c>
      <c r="F67" s="54" t="s">
        <v>3814</v>
      </c>
      <c r="G67" s="19">
        <v>1994.6799999999998</v>
      </c>
    </row>
    <row r="68" spans="1:7" x14ac:dyDescent="0.35">
      <c r="A68" s="22" t="s">
        <v>2549</v>
      </c>
      <c r="B68" s="22" t="s">
        <v>2550</v>
      </c>
      <c r="C68" s="22">
        <v>45863</v>
      </c>
      <c r="D68" s="18">
        <v>38332</v>
      </c>
      <c r="E68" s="18" t="s">
        <v>2629</v>
      </c>
      <c r="F68" s="54" t="s">
        <v>3814</v>
      </c>
      <c r="G68" s="19">
        <v>14089.22</v>
      </c>
    </row>
    <row r="69" spans="1:7" x14ac:dyDescent="0.35">
      <c r="A69" s="22" t="s">
        <v>2549</v>
      </c>
      <c r="B69" s="22" t="s">
        <v>2550</v>
      </c>
      <c r="C69" s="22">
        <v>45864</v>
      </c>
      <c r="D69" s="18" t="s">
        <v>2597</v>
      </c>
      <c r="E69" s="18" t="s">
        <v>2628</v>
      </c>
      <c r="F69" s="54" t="s">
        <v>3814</v>
      </c>
      <c r="G69" s="19">
        <v>3435.2799999999997</v>
      </c>
    </row>
    <row r="70" spans="1:7" x14ac:dyDescent="0.35">
      <c r="A70" s="22" t="s">
        <v>2549</v>
      </c>
      <c r="B70" s="22" t="s">
        <v>2550</v>
      </c>
      <c r="C70" s="22">
        <v>45864</v>
      </c>
      <c r="D70" s="18" t="s">
        <v>2598</v>
      </c>
      <c r="E70" s="18" t="s">
        <v>2628</v>
      </c>
      <c r="F70" s="54" t="s">
        <v>3814</v>
      </c>
      <c r="G70" s="19">
        <v>15808.25</v>
      </c>
    </row>
    <row r="71" spans="1:7" x14ac:dyDescent="0.35">
      <c r="A71" s="22" t="s">
        <v>2549</v>
      </c>
      <c r="B71" s="22" t="s">
        <v>2550</v>
      </c>
      <c r="C71" s="22">
        <v>45864</v>
      </c>
      <c r="D71" s="18" t="s">
        <v>2599</v>
      </c>
      <c r="E71" s="18" t="s">
        <v>2628</v>
      </c>
      <c r="F71" s="54" t="s">
        <v>3814</v>
      </c>
      <c r="G71" s="19">
        <v>210</v>
      </c>
    </row>
    <row r="72" spans="1:7" x14ac:dyDescent="0.35">
      <c r="A72" s="22" t="s">
        <v>2549</v>
      </c>
      <c r="B72" s="22" t="s">
        <v>2550</v>
      </c>
      <c r="C72" s="22">
        <v>45864</v>
      </c>
      <c r="D72" s="18" t="s">
        <v>2600</v>
      </c>
      <c r="E72" s="18" t="s">
        <v>2629</v>
      </c>
      <c r="F72" s="54" t="s">
        <v>3814</v>
      </c>
      <c r="G72" s="19">
        <v>2402.16</v>
      </c>
    </row>
    <row r="73" spans="1:7" x14ac:dyDescent="0.35">
      <c r="A73" s="22" t="s">
        <v>2549</v>
      </c>
      <c r="B73" s="22" t="s">
        <v>2550</v>
      </c>
      <c r="C73" s="22">
        <v>45866</v>
      </c>
      <c r="D73" s="18" t="s">
        <v>2601</v>
      </c>
      <c r="E73" s="18" t="s">
        <v>2630</v>
      </c>
      <c r="F73" s="54" t="s">
        <v>3814</v>
      </c>
      <c r="G73" s="19">
        <v>-1550</v>
      </c>
    </row>
    <row r="74" spans="1:7" x14ac:dyDescent="0.35">
      <c r="A74" s="22" t="s">
        <v>2549</v>
      </c>
      <c r="B74" s="22" t="s">
        <v>2550</v>
      </c>
      <c r="C74" s="22">
        <v>45868</v>
      </c>
      <c r="D74" s="18" t="s">
        <v>2602</v>
      </c>
      <c r="E74" s="18" t="s">
        <v>1608</v>
      </c>
      <c r="F74" s="54" t="s">
        <v>3814</v>
      </c>
      <c r="G74" s="19">
        <v>1421.04</v>
      </c>
    </row>
    <row r="75" spans="1:7" x14ac:dyDescent="0.35">
      <c r="A75" s="22" t="s">
        <v>2549</v>
      </c>
      <c r="B75" s="22" t="s">
        <v>2550</v>
      </c>
      <c r="C75" s="22">
        <v>45868</v>
      </c>
      <c r="D75" s="18" t="s">
        <v>2604</v>
      </c>
      <c r="E75" s="18" t="s">
        <v>2291</v>
      </c>
      <c r="F75" s="54" t="s">
        <v>3814</v>
      </c>
      <c r="G75" s="19">
        <v>1020</v>
      </c>
    </row>
    <row r="76" spans="1:7" x14ac:dyDescent="0.35">
      <c r="A76" s="22" t="s">
        <v>2549</v>
      </c>
      <c r="B76" s="22" t="s">
        <v>2550</v>
      </c>
      <c r="C76" s="22">
        <v>45868</v>
      </c>
      <c r="D76" s="18" t="s">
        <v>2605</v>
      </c>
      <c r="E76" s="18" t="s">
        <v>2291</v>
      </c>
      <c r="F76" s="54" t="s">
        <v>3814</v>
      </c>
      <c r="G76" s="19">
        <v>142.97999999999999</v>
      </c>
    </row>
    <row r="77" spans="1:7" x14ac:dyDescent="0.35">
      <c r="A77" s="22" t="s">
        <v>2549</v>
      </c>
      <c r="B77" s="22" t="s">
        <v>2550</v>
      </c>
      <c r="C77" s="22">
        <v>45868</v>
      </c>
      <c r="D77" s="18" t="s">
        <v>2606</v>
      </c>
      <c r="E77" s="18" t="s">
        <v>2291</v>
      </c>
      <c r="F77" s="54" t="s">
        <v>3814</v>
      </c>
      <c r="G77" s="19">
        <v>14690.13</v>
      </c>
    </row>
    <row r="78" spans="1:7" x14ac:dyDescent="0.35">
      <c r="A78" s="22" t="s">
        <v>2549</v>
      </c>
      <c r="B78" s="22" t="s">
        <v>2550</v>
      </c>
      <c r="C78" s="22">
        <v>45868</v>
      </c>
      <c r="D78" s="18">
        <v>36570</v>
      </c>
      <c r="E78" s="18" t="s">
        <v>2291</v>
      </c>
      <c r="F78" s="54" t="s">
        <v>3814</v>
      </c>
      <c r="G78" s="19">
        <v>32053.93</v>
      </c>
    </row>
    <row r="79" spans="1:7" x14ac:dyDescent="0.35">
      <c r="A79" s="22" t="s">
        <v>2549</v>
      </c>
      <c r="B79" s="22" t="s">
        <v>2550</v>
      </c>
      <c r="C79" s="22">
        <v>45868</v>
      </c>
      <c r="D79" s="18" t="s">
        <v>2607</v>
      </c>
      <c r="E79" s="18" t="s">
        <v>2291</v>
      </c>
      <c r="F79" s="54" t="s">
        <v>3814</v>
      </c>
      <c r="G79" s="19">
        <v>4490.03</v>
      </c>
    </row>
    <row r="80" spans="1:7" x14ac:dyDescent="0.35">
      <c r="A80" s="22" t="s">
        <v>2549</v>
      </c>
      <c r="B80" s="22" t="s">
        <v>2550</v>
      </c>
      <c r="C80" s="22">
        <v>45868</v>
      </c>
      <c r="D80" s="18" t="s">
        <v>2608</v>
      </c>
      <c r="E80" s="18" t="s">
        <v>2291</v>
      </c>
      <c r="F80" s="54" t="s">
        <v>3814</v>
      </c>
      <c r="G80" s="19">
        <v>1557.68</v>
      </c>
    </row>
    <row r="81" spans="1:7" x14ac:dyDescent="0.35">
      <c r="A81" s="22" t="s">
        <v>2549</v>
      </c>
      <c r="B81" s="22" t="s">
        <v>2550</v>
      </c>
      <c r="C81" s="22">
        <v>45868</v>
      </c>
      <c r="D81" s="18">
        <v>36581</v>
      </c>
      <c r="E81" s="18" t="s">
        <v>2291</v>
      </c>
      <c r="F81" s="54" t="s">
        <v>3814</v>
      </c>
      <c r="G81" s="19">
        <v>3054.2900000000004</v>
      </c>
    </row>
    <row r="82" spans="1:7" x14ac:dyDescent="0.35">
      <c r="A82" s="22" t="s">
        <v>2549</v>
      </c>
      <c r="B82" s="22" t="s">
        <v>2550</v>
      </c>
      <c r="C82" s="22">
        <v>45868</v>
      </c>
      <c r="D82" s="18" t="s">
        <v>2609</v>
      </c>
      <c r="E82" s="18" t="s">
        <v>2291</v>
      </c>
      <c r="F82" s="54" t="s">
        <v>3814</v>
      </c>
      <c r="G82" s="19">
        <v>3844.7999999999997</v>
      </c>
    </row>
    <row r="83" spans="1:7" x14ac:dyDescent="0.35">
      <c r="A83" s="22" t="s">
        <v>2549</v>
      </c>
      <c r="B83" s="22" t="s">
        <v>2550</v>
      </c>
      <c r="C83" s="22">
        <v>45868</v>
      </c>
      <c r="D83" s="18" t="s">
        <v>2610</v>
      </c>
      <c r="E83" s="18" t="s">
        <v>1608</v>
      </c>
      <c r="F83" s="54" t="s">
        <v>3814</v>
      </c>
      <c r="G83" s="19">
        <v>835.71</v>
      </c>
    </row>
    <row r="84" spans="1:7" x14ac:dyDescent="0.35">
      <c r="A84" s="22" t="s">
        <v>2549</v>
      </c>
      <c r="B84" s="22" t="s">
        <v>2550</v>
      </c>
      <c r="C84" s="22">
        <v>45868</v>
      </c>
      <c r="D84" s="18" t="s">
        <v>2611</v>
      </c>
      <c r="E84" s="18" t="s">
        <v>1582</v>
      </c>
      <c r="F84" s="54" t="s">
        <v>3814</v>
      </c>
      <c r="G84" s="19">
        <v>30480.129999999997</v>
      </c>
    </row>
    <row r="85" spans="1:7" x14ac:dyDescent="0.35">
      <c r="A85" s="22" t="s">
        <v>2549</v>
      </c>
      <c r="B85" s="22" t="s">
        <v>2550</v>
      </c>
      <c r="C85" s="22">
        <v>45869</v>
      </c>
      <c r="D85" s="18" t="s">
        <v>2612</v>
      </c>
      <c r="E85" s="18" t="s">
        <v>1920</v>
      </c>
      <c r="F85" s="54" t="s">
        <v>3814</v>
      </c>
      <c r="G85" s="19">
        <v>6224</v>
      </c>
    </row>
    <row r="86" spans="1:7" x14ac:dyDescent="0.35">
      <c r="A86" s="22" t="s">
        <v>2549</v>
      </c>
      <c r="B86" s="22" t="s">
        <v>2550</v>
      </c>
      <c r="C86" s="22">
        <v>45869</v>
      </c>
      <c r="D86" s="18">
        <v>35801</v>
      </c>
      <c r="E86" s="18" t="s">
        <v>1475</v>
      </c>
      <c r="F86" s="54" t="s">
        <v>3814</v>
      </c>
      <c r="G86" s="19">
        <v>54642.01</v>
      </c>
    </row>
    <row r="87" spans="1:7" x14ac:dyDescent="0.35">
      <c r="A87" s="22" t="s">
        <v>2549</v>
      </c>
      <c r="B87" s="22" t="s">
        <v>2550</v>
      </c>
      <c r="C87" s="22">
        <v>45869</v>
      </c>
      <c r="D87" s="18">
        <v>35805</v>
      </c>
      <c r="E87" s="18" t="s">
        <v>1475</v>
      </c>
      <c r="F87" s="54" t="s">
        <v>3814</v>
      </c>
      <c r="G87" s="19">
        <v>66666.91</v>
      </c>
    </row>
    <row r="88" spans="1:7" x14ac:dyDescent="0.35">
      <c r="A88" s="22" t="s">
        <v>2549</v>
      </c>
      <c r="B88" s="22" t="s">
        <v>2550</v>
      </c>
      <c r="C88" s="22">
        <v>45869</v>
      </c>
      <c r="D88" s="18" t="s">
        <v>2613</v>
      </c>
      <c r="E88" s="18" t="s">
        <v>2291</v>
      </c>
      <c r="F88" s="54" t="s">
        <v>3814</v>
      </c>
      <c r="G88" s="19">
        <v>2467.5</v>
      </c>
    </row>
    <row r="89" spans="1:7" x14ac:dyDescent="0.35">
      <c r="A89" s="22" t="s">
        <v>2549</v>
      </c>
      <c r="B89" s="22" t="s">
        <v>2550</v>
      </c>
      <c r="C89" s="22">
        <v>45869</v>
      </c>
      <c r="D89" s="18">
        <v>36729</v>
      </c>
      <c r="E89" s="18" t="s">
        <v>1426</v>
      </c>
      <c r="F89" s="54" t="s">
        <v>3814</v>
      </c>
      <c r="G89" s="19">
        <v>2634.29</v>
      </c>
    </row>
    <row r="90" spans="1:7" x14ac:dyDescent="0.35">
      <c r="A90" s="22" t="s">
        <v>2549</v>
      </c>
      <c r="B90" s="22" t="s">
        <v>2550</v>
      </c>
      <c r="C90" s="22">
        <v>45869</v>
      </c>
      <c r="D90" s="18" t="s">
        <v>2614</v>
      </c>
      <c r="E90" s="18" t="s">
        <v>1924</v>
      </c>
      <c r="F90" s="54" t="s">
        <v>3814</v>
      </c>
      <c r="G90" s="19">
        <v>661.82</v>
      </c>
    </row>
    <row r="91" spans="1:7" x14ac:dyDescent="0.35">
      <c r="A91" s="22" t="s">
        <v>2549</v>
      </c>
      <c r="B91" s="22" t="s">
        <v>2550</v>
      </c>
      <c r="C91" s="22">
        <v>45869</v>
      </c>
      <c r="D91" s="18" t="s">
        <v>2615</v>
      </c>
      <c r="E91" s="18" t="s">
        <v>1924</v>
      </c>
      <c r="F91" s="54" t="s">
        <v>3814</v>
      </c>
      <c r="G91" s="19">
        <v>8545.64</v>
      </c>
    </row>
    <row r="92" spans="1:7" x14ac:dyDescent="0.35">
      <c r="A92" s="22" t="s">
        <v>2549</v>
      </c>
      <c r="B92" s="22" t="s">
        <v>2550</v>
      </c>
      <c r="C92" s="22">
        <v>45869</v>
      </c>
      <c r="D92" s="18" t="s">
        <v>2616</v>
      </c>
      <c r="E92" s="18" t="s">
        <v>1272</v>
      </c>
      <c r="F92" s="54" t="s">
        <v>3814</v>
      </c>
      <c r="G92" s="19">
        <v>75546.240000000005</v>
      </c>
    </row>
    <row r="93" spans="1:7" x14ac:dyDescent="0.35">
      <c r="A93" s="22" t="s">
        <v>2549</v>
      </c>
      <c r="B93" s="22" t="s">
        <v>2550</v>
      </c>
      <c r="C93" s="22">
        <v>45869</v>
      </c>
      <c r="D93" s="18">
        <v>37239</v>
      </c>
      <c r="E93" s="18" t="s">
        <v>1475</v>
      </c>
      <c r="F93" s="54" t="s">
        <v>3814</v>
      </c>
      <c r="G93" s="19">
        <v>0</v>
      </c>
    </row>
    <row r="94" spans="1:7" x14ac:dyDescent="0.35">
      <c r="A94" s="22" t="s">
        <v>2549</v>
      </c>
      <c r="B94" s="22" t="s">
        <v>2550</v>
      </c>
      <c r="C94" s="22">
        <v>45869</v>
      </c>
      <c r="D94" s="18">
        <v>37283</v>
      </c>
      <c r="E94" s="18" t="s">
        <v>1924</v>
      </c>
      <c r="F94" s="54" t="s">
        <v>3814</v>
      </c>
      <c r="G94" s="19">
        <v>0</v>
      </c>
    </row>
    <row r="95" spans="1:7" x14ac:dyDescent="0.35">
      <c r="A95" s="22" t="s">
        <v>2549</v>
      </c>
      <c r="B95" s="22" t="s">
        <v>2550</v>
      </c>
      <c r="C95" s="22">
        <v>45869</v>
      </c>
      <c r="D95" s="18">
        <v>37369</v>
      </c>
      <c r="E95" s="18" t="s">
        <v>992</v>
      </c>
      <c r="F95" s="54" t="s">
        <v>3814</v>
      </c>
      <c r="G95" s="19">
        <v>527.91999999999996</v>
      </c>
    </row>
    <row r="96" spans="1:7" x14ac:dyDescent="0.35">
      <c r="A96" s="22" t="s">
        <v>2549</v>
      </c>
      <c r="B96" s="22" t="s">
        <v>2550</v>
      </c>
      <c r="C96" s="22">
        <v>45869</v>
      </c>
      <c r="D96" s="18" t="s">
        <v>2617</v>
      </c>
      <c r="E96" s="18" t="s">
        <v>1035</v>
      </c>
      <c r="F96" s="54" t="s">
        <v>3814</v>
      </c>
      <c r="G96" s="19">
        <v>0</v>
      </c>
    </row>
    <row r="97" spans="1:7" x14ac:dyDescent="0.35">
      <c r="A97" s="22" t="s">
        <v>2549</v>
      </c>
      <c r="B97" s="22" t="s">
        <v>2550</v>
      </c>
      <c r="C97" s="22">
        <v>45869</v>
      </c>
      <c r="D97" s="18">
        <v>37682</v>
      </c>
      <c r="E97" s="18" t="s">
        <v>1263</v>
      </c>
      <c r="F97" s="54" t="s">
        <v>3814</v>
      </c>
      <c r="G97" s="19">
        <v>50982.97</v>
      </c>
    </row>
    <row r="98" spans="1:7" x14ac:dyDescent="0.35">
      <c r="A98" s="22" t="s">
        <v>2549</v>
      </c>
      <c r="B98" s="22" t="s">
        <v>2550</v>
      </c>
      <c r="C98" s="22">
        <v>45869</v>
      </c>
      <c r="D98" s="18" t="s">
        <v>2618</v>
      </c>
      <c r="E98" s="18" t="s">
        <v>1426</v>
      </c>
      <c r="F98" s="54" t="s">
        <v>3814</v>
      </c>
      <c r="G98" s="19">
        <v>0</v>
      </c>
    </row>
    <row r="99" spans="1:7" x14ac:dyDescent="0.35">
      <c r="A99" s="22" t="s">
        <v>2549</v>
      </c>
      <c r="B99" s="22" t="s">
        <v>2550</v>
      </c>
      <c r="C99" s="22">
        <v>45869</v>
      </c>
      <c r="D99" s="18" t="s">
        <v>2619</v>
      </c>
      <c r="E99" s="18" t="s">
        <v>1223</v>
      </c>
      <c r="F99" s="54" t="s">
        <v>3814</v>
      </c>
      <c r="G99" s="19">
        <v>82308.680000000008</v>
      </c>
    </row>
    <row r="100" spans="1:7" x14ac:dyDescent="0.35">
      <c r="A100" s="22" t="s">
        <v>2549</v>
      </c>
      <c r="B100" s="22" t="s">
        <v>2550</v>
      </c>
      <c r="C100" s="22">
        <v>45869</v>
      </c>
      <c r="D100" s="18" t="s">
        <v>2620</v>
      </c>
      <c r="E100" s="18" t="s">
        <v>1223</v>
      </c>
      <c r="F100" s="54" t="s">
        <v>3814</v>
      </c>
      <c r="G100" s="19">
        <v>1444188.4900000002</v>
      </c>
    </row>
    <row r="101" spans="1:7" x14ac:dyDescent="0.35">
      <c r="A101" s="22" t="s">
        <v>2549</v>
      </c>
      <c r="B101" s="22" t="s">
        <v>2550</v>
      </c>
      <c r="C101" s="22">
        <v>45869</v>
      </c>
      <c r="D101" s="18">
        <v>38362</v>
      </c>
      <c r="E101" s="18" t="s">
        <v>1223</v>
      </c>
      <c r="F101" s="54" t="s">
        <v>3814</v>
      </c>
      <c r="G101" s="19">
        <v>184356.52</v>
      </c>
    </row>
    <row r="102" spans="1:7" x14ac:dyDescent="0.35">
      <c r="A102" s="22" t="s">
        <v>2549</v>
      </c>
      <c r="B102" s="22" t="s">
        <v>2550</v>
      </c>
      <c r="C102" s="22">
        <v>45869</v>
      </c>
      <c r="D102" s="18" t="s">
        <v>2621</v>
      </c>
      <c r="E102" s="18" t="s">
        <v>1223</v>
      </c>
      <c r="F102" s="54" t="s">
        <v>3814</v>
      </c>
      <c r="G102" s="19">
        <v>65372.56</v>
      </c>
    </row>
    <row r="103" spans="1:7" x14ac:dyDescent="0.35">
      <c r="A103" s="22" t="s">
        <v>2549</v>
      </c>
      <c r="B103" s="22" t="s">
        <v>2550</v>
      </c>
      <c r="C103" s="22">
        <v>45869</v>
      </c>
      <c r="D103" s="18" t="s">
        <v>2622</v>
      </c>
      <c r="E103" s="18" t="s">
        <v>1223</v>
      </c>
      <c r="F103" s="54" t="s">
        <v>3814</v>
      </c>
      <c r="G103" s="19">
        <v>88431.1</v>
      </c>
    </row>
    <row r="104" spans="1:7" x14ac:dyDescent="0.35">
      <c r="A104" s="22" t="s">
        <v>2549</v>
      </c>
      <c r="B104" s="22" t="s">
        <v>2550</v>
      </c>
      <c r="C104" s="22">
        <v>45869</v>
      </c>
      <c r="D104" s="18" t="s">
        <v>2623</v>
      </c>
      <c r="E104" s="18" t="s">
        <v>1223</v>
      </c>
      <c r="F104" s="54" t="s">
        <v>3814</v>
      </c>
      <c r="G104" s="19">
        <v>0</v>
      </c>
    </row>
    <row r="105" spans="1:7" x14ac:dyDescent="0.35">
      <c r="A105" s="22" t="s">
        <v>2549</v>
      </c>
      <c r="B105" s="22" t="s">
        <v>2550</v>
      </c>
      <c r="C105" s="22">
        <v>45869</v>
      </c>
      <c r="D105" s="18" t="s">
        <v>2624</v>
      </c>
      <c r="E105" s="18" t="s">
        <v>1223</v>
      </c>
      <c r="F105" s="54" t="s">
        <v>3814</v>
      </c>
      <c r="G105" s="19">
        <v>44144.76</v>
      </c>
    </row>
    <row r="106" spans="1:7" x14ac:dyDescent="0.35">
      <c r="A106" s="22" t="s">
        <v>2549</v>
      </c>
      <c r="B106" s="22" t="s">
        <v>2550</v>
      </c>
      <c r="C106" s="22">
        <v>45869</v>
      </c>
      <c r="D106" s="18">
        <v>38384</v>
      </c>
      <c r="E106" s="18" t="s">
        <v>1269</v>
      </c>
      <c r="F106" s="54" t="s">
        <v>3814</v>
      </c>
      <c r="G106" s="19">
        <v>11929.05</v>
      </c>
    </row>
    <row r="107" spans="1:7" x14ac:dyDescent="0.35">
      <c r="A107" s="22" t="s">
        <v>2549</v>
      </c>
      <c r="B107" s="22" t="s">
        <v>2550</v>
      </c>
      <c r="C107" s="22">
        <v>45869</v>
      </c>
      <c r="D107" s="18" t="s">
        <v>2625</v>
      </c>
      <c r="E107" s="18" t="s">
        <v>1269</v>
      </c>
      <c r="F107" s="54" t="s">
        <v>3814</v>
      </c>
      <c r="G107" s="19">
        <v>19733.669999999998</v>
      </c>
    </row>
    <row r="108" spans="1:7" x14ac:dyDescent="0.35">
      <c r="A108" s="22" t="s">
        <v>2549</v>
      </c>
      <c r="B108" s="22" t="s">
        <v>2550</v>
      </c>
      <c r="C108" s="22">
        <v>45869</v>
      </c>
      <c r="D108" s="18">
        <v>38400</v>
      </c>
      <c r="E108" s="18" t="s">
        <v>1269</v>
      </c>
      <c r="F108" s="54" t="s">
        <v>3814</v>
      </c>
      <c r="G108" s="19">
        <v>22091.87</v>
      </c>
    </row>
    <row r="109" spans="1:7" x14ac:dyDescent="0.35">
      <c r="A109" s="22" t="s">
        <v>2549</v>
      </c>
      <c r="B109" s="22" t="s">
        <v>2550</v>
      </c>
      <c r="C109" s="22">
        <v>45869</v>
      </c>
      <c r="D109" s="18">
        <v>38623</v>
      </c>
      <c r="E109" s="18" t="s">
        <v>2456</v>
      </c>
      <c r="F109" s="54" t="s">
        <v>3814</v>
      </c>
      <c r="G109" s="19">
        <v>4720</v>
      </c>
    </row>
    <row r="110" spans="1:7" x14ac:dyDescent="0.35">
      <c r="A110" s="22" t="s">
        <v>2549</v>
      </c>
      <c r="B110" s="22" t="s">
        <v>2550</v>
      </c>
      <c r="C110" s="22">
        <v>45869</v>
      </c>
      <c r="D110" s="18">
        <v>38724</v>
      </c>
      <c r="E110" s="18" t="s">
        <v>2631</v>
      </c>
      <c r="F110" s="54" t="s">
        <v>3814</v>
      </c>
      <c r="G110" s="19">
        <v>0</v>
      </c>
    </row>
    <row r="111" spans="1:7" x14ac:dyDescent="0.35">
      <c r="A111" s="22" t="s">
        <v>2549</v>
      </c>
      <c r="B111" s="18" t="s">
        <v>2633</v>
      </c>
      <c r="C111" s="32">
        <v>45839</v>
      </c>
      <c r="D111" s="33" t="s">
        <v>2558</v>
      </c>
      <c r="E111" s="18" t="s">
        <v>1475</v>
      </c>
      <c r="F111" s="54" t="s">
        <v>3815</v>
      </c>
      <c r="G111" s="21">
        <v>33690.51</v>
      </c>
    </row>
    <row r="112" spans="1:7" x14ac:dyDescent="0.35">
      <c r="A112" s="22" t="s">
        <v>2549</v>
      </c>
      <c r="B112" s="18" t="s">
        <v>2633</v>
      </c>
      <c r="C112" s="32">
        <v>45868</v>
      </c>
      <c r="D112" s="33">
        <v>36570</v>
      </c>
      <c r="E112" s="18" t="s">
        <v>2291</v>
      </c>
      <c r="F112" s="54" t="s">
        <v>3814</v>
      </c>
      <c r="G112" s="21">
        <v>16950</v>
      </c>
    </row>
    <row r="113" spans="1:7" x14ac:dyDescent="0.35">
      <c r="A113" s="22" t="s">
        <v>2549</v>
      </c>
      <c r="B113" s="18" t="s">
        <v>2633</v>
      </c>
      <c r="C113" s="32">
        <v>45868</v>
      </c>
      <c r="D113" s="33">
        <v>36581</v>
      </c>
      <c r="E113" s="18" t="s">
        <v>2291</v>
      </c>
      <c r="F113" s="54" t="s">
        <v>3814</v>
      </c>
      <c r="G113" s="21">
        <v>2850</v>
      </c>
    </row>
    <row r="114" spans="1:7" x14ac:dyDescent="0.35">
      <c r="A114" s="22" t="s">
        <v>2549</v>
      </c>
      <c r="B114" s="18" t="s">
        <v>2633</v>
      </c>
      <c r="C114" s="32">
        <v>45869</v>
      </c>
      <c r="D114" s="33" t="s">
        <v>2632</v>
      </c>
      <c r="E114" s="18" t="s">
        <v>1999</v>
      </c>
      <c r="F114" s="54" t="s">
        <v>3814</v>
      </c>
      <c r="G114" s="21">
        <v>5492.4</v>
      </c>
    </row>
    <row r="115" spans="1:7" x14ac:dyDescent="0.35">
      <c r="A115" s="22" t="s">
        <v>2549</v>
      </c>
      <c r="B115" s="18" t="s">
        <v>2633</v>
      </c>
      <c r="C115" s="32">
        <v>45869</v>
      </c>
      <c r="D115" s="33">
        <v>36729</v>
      </c>
      <c r="E115" s="18" t="s">
        <v>1426</v>
      </c>
      <c r="F115" s="54" t="s">
        <v>3814</v>
      </c>
      <c r="G115" s="21">
        <v>8600</v>
      </c>
    </row>
    <row r="116" spans="1:7" x14ac:dyDescent="0.35">
      <c r="A116" s="18" t="s">
        <v>2549</v>
      </c>
      <c r="B116" s="18" t="s">
        <v>2634</v>
      </c>
      <c r="C116" s="22">
        <v>45839</v>
      </c>
      <c r="D116" s="18">
        <v>33555</v>
      </c>
      <c r="E116" s="18" t="s">
        <v>2555</v>
      </c>
      <c r="F116" s="54" t="s">
        <v>3816</v>
      </c>
      <c r="G116" s="21">
        <v>3894.22</v>
      </c>
    </row>
    <row r="117" spans="1:7" x14ac:dyDescent="0.35">
      <c r="A117" s="18" t="s">
        <v>2549</v>
      </c>
      <c r="B117" s="18" t="s">
        <v>2634</v>
      </c>
      <c r="C117" s="22">
        <v>45839</v>
      </c>
      <c r="D117" s="18">
        <v>35518</v>
      </c>
      <c r="E117" s="18" t="s">
        <v>1549</v>
      </c>
      <c r="F117" s="54" t="s">
        <v>3816</v>
      </c>
      <c r="G117" s="21">
        <v>3631.49</v>
      </c>
    </row>
    <row r="118" spans="1:7" x14ac:dyDescent="0.35">
      <c r="A118" s="18" t="s">
        <v>2549</v>
      </c>
      <c r="B118" s="18" t="s">
        <v>2634</v>
      </c>
      <c r="C118" s="22">
        <v>45839</v>
      </c>
      <c r="D118" s="18">
        <v>36221</v>
      </c>
      <c r="E118" s="18" t="s">
        <v>1334</v>
      </c>
      <c r="F118" s="54" t="s">
        <v>3816</v>
      </c>
      <c r="G118" s="21">
        <v>0</v>
      </c>
    </row>
    <row r="119" spans="1:7" x14ac:dyDescent="0.35">
      <c r="A119" s="18" t="s">
        <v>2549</v>
      </c>
      <c r="B119" s="18" t="s">
        <v>2634</v>
      </c>
      <c r="C119" s="22">
        <v>45839</v>
      </c>
      <c r="D119" s="18" t="s">
        <v>2560</v>
      </c>
      <c r="E119" s="18" t="s">
        <v>2220</v>
      </c>
      <c r="F119" s="54" t="s">
        <v>3816</v>
      </c>
      <c r="G119" s="21">
        <v>2080.08</v>
      </c>
    </row>
    <row r="120" spans="1:7" x14ac:dyDescent="0.35">
      <c r="A120" s="18" t="s">
        <v>2549</v>
      </c>
      <c r="B120" s="18" t="s">
        <v>2634</v>
      </c>
      <c r="C120" s="22">
        <v>45839</v>
      </c>
      <c r="D120" s="18">
        <v>38130</v>
      </c>
      <c r="E120" s="18" t="s">
        <v>2276</v>
      </c>
      <c r="F120" s="54" t="s">
        <v>3816</v>
      </c>
      <c r="G120" s="21">
        <v>221.95</v>
      </c>
    </row>
    <row r="121" spans="1:7" x14ac:dyDescent="0.35">
      <c r="A121" s="18" t="s">
        <v>2549</v>
      </c>
      <c r="B121" s="18" t="s">
        <v>2634</v>
      </c>
      <c r="C121" s="22">
        <v>45846</v>
      </c>
      <c r="D121" s="18">
        <v>38187</v>
      </c>
      <c r="E121" s="18" t="s">
        <v>2626</v>
      </c>
      <c r="F121" s="54" t="s">
        <v>3816</v>
      </c>
      <c r="G121" s="21">
        <v>872.8</v>
      </c>
    </row>
    <row r="122" spans="1:7" x14ac:dyDescent="0.35">
      <c r="A122" s="18" t="s">
        <v>2549</v>
      </c>
      <c r="B122" s="18" t="s">
        <v>2634</v>
      </c>
      <c r="C122" s="22">
        <v>45846</v>
      </c>
      <c r="D122" s="18">
        <v>38196</v>
      </c>
      <c r="E122" s="18" t="s">
        <v>2626</v>
      </c>
      <c r="F122" s="54" t="s">
        <v>3816</v>
      </c>
      <c r="G122" s="21">
        <v>1896.1</v>
      </c>
    </row>
    <row r="123" spans="1:7" x14ac:dyDescent="0.35">
      <c r="A123" s="18" t="s">
        <v>2549</v>
      </c>
      <c r="B123" s="18" t="s">
        <v>2634</v>
      </c>
      <c r="C123" s="22">
        <v>45846</v>
      </c>
      <c r="D123" s="18">
        <v>38396</v>
      </c>
      <c r="E123" s="18" t="s">
        <v>1269</v>
      </c>
      <c r="F123" s="54" t="s">
        <v>3816</v>
      </c>
      <c r="G123" s="21">
        <v>102.17</v>
      </c>
    </row>
    <row r="124" spans="1:7" x14ac:dyDescent="0.35">
      <c r="A124" s="18" t="s">
        <v>2549</v>
      </c>
      <c r="B124" s="18" t="s">
        <v>2634</v>
      </c>
      <c r="C124" s="22">
        <v>45852</v>
      </c>
      <c r="D124" s="18" t="s">
        <v>2585</v>
      </c>
      <c r="E124" s="18" t="s">
        <v>2291</v>
      </c>
      <c r="F124" s="54" t="s">
        <v>3816</v>
      </c>
      <c r="G124" s="21">
        <v>2369.63</v>
      </c>
    </row>
    <row r="125" spans="1:7" x14ac:dyDescent="0.35">
      <c r="A125" s="18" t="s">
        <v>2549</v>
      </c>
      <c r="B125" s="18" t="s">
        <v>2634</v>
      </c>
      <c r="C125" s="22">
        <v>45852</v>
      </c>
      <c r="D125" s="18" t="s">
        <v>2586</v>
      </c>
      <c r="E125" s="18" t="s">
        <v>2291</v>
      </c>
      <c r="F125" s="54" t="s">
        <v>3816</v>
      </c>
      <c r="G125" s="21">
        <v>4586.59</v>
      </c>
    </row>
    <row r="126" spans="1:7" x14ac:dyDescent="0.35">
      <c r="A126" s="18" t="s">
        <v>2549</v>
      </c>
      <c r="B126" s="18" t="s">
        <v>2634</v>
      </c>
      <c r="C126" s="22">
        <v>45856</v>
      </c>
      <c r="D126" s="18" t="s">
        <v>2591</v>
      </c>
      <c r="E126" s="18" t="s">
        <v>1582</v>
      </c>
      <c r="F126" s="54" t="s">
        <v>3816</v>
      </c>
      <c r="G126" s="21">
        <v>47554.7</v>
      </c>
    </row>
    <row r="127" spans="1:7" x14ac:dyDescent="0.35">
      <c r="A127" s="18" t="s">
        <v>2549</v>
      </c>
      <c r="B127" s="18" t="s">
        <v>2634</v>
      </c>
      <c r="C127" s="22">
        <v>45863</v>
      </c>
      <c r="D127" s="18" t="s">
        <v>2595</v>
      </c>
      <c r="E127" s="18" t="s">
        <v>2628</v>
      </c>
      <c r="F127" s="54" t="s">
        <v>3816</v>
      </c>
      <c r="G127" s="21">
        <v>4629.84</v>
      </c>
    </row>
    <row r="128" spans="1:7" x14ac:dyDescent="0.35">
      <c r="A128" s="18" t="s">
        <v>2549</v>
      </c>
      <c r="B128" s="18" t="s">
        <v>2634</v>
      </c>
      <c r="C128" s="22">
        <v>45863</v>
      </c>
      <c r="D128" s="18" t="s">
        <v>2596</v>
      </c>
      <c r="E128" s="18" t="s">
        <v>2628</v>
      </c>
      <c r="F128" s="54" t="s">
        <v>3816</v>
      </c>
      <c r="G128" s="21">
        <v>523.51</v>
      </c>
    </row>
    <row r="129" spans="1:7" x14ac:dyDescent="0.35">
      <c r="A129" s="18" t="s">
        <v>2549</v>
      </c>
      <c r="B129" s="18" t="s">
        <v>2634</v>
      </c>
      <c r="C129" s="22">
        <v>45863</v>
      </c>
      <c r="D129" s="18">
        <v>38332</v>
      </c>
      <c r="E129" s="18" t="s">
        <v>2629</v>
      </c>
      <c r="F129" s="54" t="s">
        <v>3816</v>
      </c>
      <c r="G129" s="21">
        <v>1408.92</v>
      </c>
    </row>
    <row r="130" spans="1:7" x14ac:dyDescent="0.35">
      <c r="A130" s="18" t="s">
        <v>2549</v>
      </c>
      <c r="B130" s="18" t="s">
        <v>2634</v>
      </c>
      <c r="C130" s="22">
        <v>45868</v>
      </c>
      <c r="D130" s="18">
        <v>36570</v>
      </c>
      <c r="E130" s="18" t="s">
        <v>2291</v>
      </c>
      <c r="F130" s="54" t="s">
        <v>3816</v>
      </c>
      <c r="G130" s="21">
        <v>3205.43</v>
      </c>
    </row>
    <row r="131" spans="1:7" x14ac:dyDescent="0.35">
      <c r="A131" s="18" t="s">
        <v>2549</v>
      </c>
      <c r="B131" s="18" t="s">
        <v>2634</v>
      </c>
      <c r="C131" s="22">
        <v>45868</v>
      </c>
      <c r="D131" s="18">
        <v>36581</v>
      </c>
      <c r="E131" s="18" t="s">
        <v>2291</v>
      </c>
      <c r="F131" s="54" t="s">
        <v>3816</v>
      </c>
      <c r="G131" s="21">
        <v>305.43</v>
      </c>
    </row>
    <row r="132" spans="1:7" x14ac:dyDescent="0.35">
      <c r="A132" s="18" t="s">
        <v>2549</v>
      </c>
      <c r="B132" s="18" t="s">
        <v>2634</v>
      </c>
      <c r="C132" s="22">
        <v>45868</v>
      </c>
      <c r="D132" s="18" t="s">
        <v>2611</v>
      </c>
      <c r="E132" s="18" t="s">
        <v>1582</v>
      </c>
      <c r="F132" s="54" t="s">
        <v>3816</v>
      </c>
      <c r="G132" s="21">
        <v>12630.12</v>
      </c>
    </row>
    <row r="133" spans="1:7" x14ac:dyDescent="0.35">
      <c r="A133" s="18" t="s">
        <v>2549</v>
      </c>
      <c r="B133" s="18" t="s">
        <v>2634</v>
      </c>
      <c r="C133" s="22">
        <v>45869</v>
      </c>
      <c r="D133" s="18">
        <v>35801</v>
      </c>
      <c r="E133" s="18" t="s">
        <v>1475</v>
      </c>
      <c r="F133" s="54" t="s">
        <v>3816</v>
      </c>
      <c r="G133" s="21">
        <v>9350</v>
      </c>
    </row>
    <row r="134" spans="1:7" x14ac:dyDescent="0.35">
      <c r="A134" s="18" t="s">
        <v>2549</v>
      </c>
      <c r="B134" s="18" t="s">
        <v>2634</v>
      </c>
      <c r="C134" s="22">
        <v>45869</v>
      </c>
      <c r="D134" s="18">
        <v>35805</v>
      </c>
      <c r="E134" s="18" t="s">
        <v>1475</v>
      </c>
      <c r="F134" s="54" t="s">
        <v>3816</v>
      </c>
      <c r="G134" s="21">
        <v>14435.92</v>
      </c>
    </row>
    <row r="135" spans="1:7" x14ac:dyDescent="0.35">
      <c r="A135" s="18" t="s">
        <v>2549</v>
      </c>
      <c r="B135" s="18" t="s">
        <v>2634</v>
      </c>
      <c r="C135" s="22">
        <v>45869</v>
      </c>
      <c r="D135" s="18">
        <v>36729</v>
      </c>
      <c r="E135" s="18" t="s">
        <v>1426</v>
      </c>
      <c r="F135" s="54" t="s">
        <v>3816</v>
      </c>
      <c r="G135" s="21">
        <v>300.86</v>
      </c>
    </row>
    <row r="136" spans="1:7" x14ac:dyDescent="0.35">
      <c r="A136" s="18" t="s">
        <v>2549</v>
      </c>
      <c r="B136" s="18" t="s">
        <v>2634</v>
      </c>
      <c r="C136" s="22">
        <v>45869</v>
      </c>
      <c r="D136" s="18">
        <v>37682</v>
      </c>
      <c r="E136" s="18" t="s">
        <v>1263</v>
      </c>
      <c r="F136" s="54" t="s">
        <v>3816</v>
      </c>
      <c r="G136" s="21">
        <v>4893.4399999999996</v>
      </c>
    </row>
    <row r="137" spans="1:7" x14ac:dyDescent="0.35">
      <c r="A137" s="18" t="s">
        <v>2549</v>
      </c>
      <c r="B137" s="18" t="s">
        <v>2634</v>
      </c>
      <c r="C137" s="22">
        <v>45869</v>
      </c>
      <c r="D137" s="18">
        <v>38362</v>
      </c>
      <c r="E137" s="18" t="s">
        <v>1223</v>
      </c>
      <c r="F137" s="54" t="s">
        <v>3816</v>
      </c>
      <c r="G137" s="21">
        <v>34212.879999999997</v>
      </c>
    </row>
    <row r="138" spans="1:7" x14ac:dyDescent="0.35">
      <c r="A138" s="18" t="s">
        <v>2549</v>
      </c>
      <c r="B138" s="18" t="s">
        <v>2634</v>
      </c>
      <c r="C138" s="22">
        <v>45869</v>
      </c>
      <c r="D138" s="18">
        <v>38384</v>
      </c>
      <c r="E138" s="18" t="s">
        <v>1269</v>
      </c>
      <c r="F138" s="54" t="s">
        <v>3816</v>
      </c>
      <c r="G138" s="21">
        <v>3921.75</v>
      </c>
    </row>
    <row r="139" spans="1:7" x14ac:dyDescent="0.35">
      <c r="A139" s="18" t="s">
        <v>2549</v>
      </c>
      <c r="B139" s="18" t="s">
        <v>2634</v>
      </c>
      <c r="C139" s="22">
        <v>45869</v>
      </c>
      <c r="D139" s="18">
        <v>38400</v>
      </c>
      <c r="E139" s="18" t="s">
        <v>1269</v>
      </c>
      <c r="F139" s="54" t="s">
        <v>3816</v>
      </c>
      <c r="G139" s="21">
        <v>10904.08</v>
      </c>
    </row>
    <row r="140" spans="1:7" x14ac:dyDescent="0.35">
      <c r="A140" s="18" t="s">
        <v>2549</v>
      </c>
      <c r="B140" s="18" t="s">
        <v>2634</v>
      </c>
      <c r="C140" s="22">
        <v>45869</v>
      </c>
      <c r="D140" s="18">
        <v>38623</v>
      </c>
      <c r="E140" s="18" t="s">
        <v>2456</v>
      </c>
      <c r="F140" s="54" t="s">
        <v>3816</v>
      </c>
      <c r="G140" s="21">
        <v>10400</v>
      </c>
    </row>
    <row r="141" spans="1:7" x14ac:dyDescent="0.35">
      <c r="A141" s="18" t="s">
        <v>2549</v>
      </c>
      <c r="B141" s="18" t="s">
        <v>2633</v>
      </c>
      <c r="C141" s="22">
        <v>45839</v>
      </c>
      <c r="D141" s="18" t="s">
        <v>2558</v>
      </c>
      <c r="E141" s="18" t="s">
        <v>1475</v>
      </c>
      <c r="F141" s="62" t="s">
        <v>3815</v>
      </c>
      <c r="G141" s="21">
        <v>33690.51</v>
      </c>
    </row>
    <row r="142" spans="1:7" x14ac:dyDescent="0.35">
      <c r="A142" s="18" t="s">
        <v>2549</v>
      </c>
      <c r="B142" s="18" t="s">
        <v>2633</v>
      </c>
      <c r="C142" s="22">
        <v>45868</v>
      </c>
      <c r="D142" s="18">
        <v>36570</v>
      </c>
      <c r="E142" s="18" t="s">
        <v>2291</v>
      </c>
      <c r="F142" s="62" t="s">
        <v>3815</v>
      </c>
      <c r="G142" s="21">
        <v>16950</v>
      </c>
    </row>
    <row r="143" spans="1:7" x14ac:dyDescent="0.35">
      <c r="A143" s="18" t="s">
        <v>2549</v>
      </c>
      <c r="B143" s="18" t="s">
        <v>2633</v>
      </c>
      <c r="C143" s="22">
        <v>45868</v>
      </c>
      <c r="D143" s="18">
        <v>36581</v>
      </c>
      <c r="E143" s="18" t="s">
        <v>2291</v>
      </c>
      <c r="F143" s="62" t="s">
        <v>3815</v>
      </c>
      <c r="G143" s="21">
        <v>2850</v>
      </c>
    </row>
    <row r="144" spans="1:7" x14ac:dyDescent="0.35">
      <c r="A144" s="18" t="s">
        <v>2549</v>
      </c>
      <c r="B144" s="18" t="s">
        <v>2633</v>
      </c>
      <c r="C144" s="22">
        <v>45869</v>
      </c>
      <c r="D144" s="18" t="s">
        <v>2632</v>
      </c>
      <c r="E144" s="18" t="s">
        <v>1999</v>
      </c>
      <c r="F144" s="62" t="s">
        <v>3815</v>
      </c>
      <c r="G144" s="21">
        <v>5492.4</v>
      </c>
    </row>
    <row r="145" spans="1:7" x14ac:dyDescent="0.35">
      <c r="A145" s="18" t="s">
        <v>2549</v>
      </c>
      <c r="B145" s="18" t="s">
        <v>2633</v>
      </c>
      <c r="C145" s="22">
        <v>45869</v>
      </c>
      <c r="D145" s="18">
        <v>36729</v>
      </c>
      <c r="E145" s="18" t="s">
        <v>1426</v>
      </c>
      <c r="F145" s="62" t="s">
        <v>3815</v>
      </c>
      <c r="G145" s="21">
        <v>8600</v>
      </c>
    </row>
  </sheetData>
  <hyperlinks>
    <hyperlink ref="A5" r:id="rId1" display="https://9607261.app.netsuite.com/app/reporting/reportrunner.nl?fromreport=320&amp;regtx,tranline,kacct,x,alltranline5,IN,x,x=950&amp;cr=293" xr:uid="{E605D0B0-F3B7-48BE-B889-B75266308DB0}"/>
    <hyperlink ref="A7" r:id="rId2" display="https://9607261.app.netsuite.com/app/reporting/reportrunner.nl?fromreport=320&amp;regtx,tranline,kacct,x,alltranline5,IN,x,x=950&amp;cr=293" xr:uid="{8006BD44-3B4D-43E3-A201-874B51337E20}"/>
    <hyperlink ref="A8" r:id="rId3" display="https://9607261.app.netsuite.com/app/reporting/reportrunner.nl?fromreport=320&amp;regtx,tranline,kacct,x,alltranline5,IN,x,x=950&amp;cr=293" xr:uid="{2C41D642-798E-41A5-8196-4F25EAAA65FD}"/>
    <hyperlink ref="A9" r:id="rId4" display="https://9607261.app.netsuite.com/app/reporting/reportrunner.nl?fromreport=320&amp;regtx,tranline,kacct,x,alltranline5,IN,x,x=950&amp;cr=293" xr:uid="{00D0FBE2-989E-4BB7-BECE-412601B03A9D}"/>
    <hyperlink ref="A10" r:id="rId5" display="https://9607261.app.netsuite.com/app/reporting/reportrunner.nl?fromreport=320&amp;regtx,tranline,kacct,x,alltranline5,IN,x,x=950&amp;cr=293" xr:uid="{84202D98-595E-45FE-A0D0-CB18C534C09E}"/>
    <hyperlink ref="A11" r:id="rId6" display="https://9607261.app.netsuite.com/app/reporting/reportrunner.nl?fromreport=320&amp;regtx,tranline,kacct,x,alltranline5,IN,x,x=950&amp;cr=293" xr:uid="{E667269D-DC6C-4F08-94F1-EDF9F8B2F96F}"/>
    <hyperlink ref="A12" r:id="rId7" display="https://9607261.app.netsuite.com/app/reporting/reportrunner.nl?fromreport=320&amp;regtx,tranline,kacct,x,alltranline5,IN,x,x=950&amp;cr=293" xr:uid="{CCC6971F-A922-43B4-BC34-CB90766E8718}"/>
    <hyperlink ref="A13" r:id="rId8" display="https://9607261.app.netsuite.com/app/reporting/reportrunner.nl?fromreport=320&amp;regtx,tranline,kacct,x,alltranline5,IN,x,x=950&amp;cr=293" xr:uid="{1BB02EAA-6960-4C58-AD77-2CABF4D42818}"/>
    <hyperlink ref="A14" r:id="rId9" display="https://9607261.app.netsuite.com/app/reporting/reportrunner.nl?fromreport=320&amp;regtx,tranline,kacct,x,alltranline5,IN,x,x=950&amp;cr=293" xr:uid="{BE19D22B-6E63-404D-8F3F-C1B2412E2CED}"/>
    <hyperlink ref="A15" r:id="rId10" display="https://9607261.app.netsuite.com/app/reporting/reportrunner.nl?fromreport=320&amp;regtx,tranline,kacct,x,alltranline5,IN,x,x=950&amp;cr=293" xr:uid="{A0200447-E5F9-4D8D-A588-D6BA266A04F0}"/>
    <hyperlink ref="A16" r:id="rId11" display="https://9607261.app.netsuite.com/app/reporting/reportrunner.nl?fromreport=320&amp;regtx,tranline,kacct,x,alltranline5,IN,x,x=950&amp;cr=293" xr:uid="{7BCEB100-2BBE-4E66-BD59-690827F165D8}"/>
    <hyperlink ref="A17" r:id="rId12" display="https://9607261.app.netsuite.com/app/reporting/reportrunner.nl?fromreport=320&amp;regtx,tranline,kacct,x,alltranline5,IN,x,x=950&amp;cr=293" xr:uid="{22887A43-1242-404D-8898-CFE21836ACF1}"/>
    <hyperlink ref="A18" r:id="rId13" display="https://9607261.app.netsuite.com/app/reporting/reportrunner.nl?fromreport=320&amp;regtx,tranline,kacct,x,alltranline5,IN,x,x=950&amp;cr=293" xr:uid="{C3B11CAB-84F1-47BB-9BE3-0854F152D913}"/>
    <hyperlink ref="A19" r:id="rId14" display="https://9607261.app.netsuite.com/app/reporting/reportrunner.nl?fromreport=320&amp;regtx,tranline,kacct,x,alltranline5,IN,x,x=950&amp;cr=293" xr:uid="{CE0C6658-64F4-44F1-ABE7-4046A7A606D4}"/>
    <hyperlink ref="A20" r:id="rId15" display="https://9607261.app.netsuite.com/app/reporting/reportrunner.nl?fromreport=320&amp;regtx,tranline,kacct,x,alltranline5,IN,x,x=950&amp;cr=293" xr:uid="{9B9FD6FC-4F7A-4B79-94EB-E25B43D85C7F}"/>
    <hyperlink ref="A21" r:id="rId16" display="https://9607261.app.netsuite.com/app/reporting/reportrunner.nl?fromreport=320&amp;regtx,tranline,kacct,x,alltranline5,IN,x,x=950&amp;cr=293" xr:uid="{DFCBF2E6-195E-4D61-AA5A-BD6D82B42760}"/>
    <hyperlink ref="A22" r:id="rId17" display="https://9607261.app.netsuite.com/app/reporting/reportrunner.nl?fromreport=320&amp;regtx,tranline,kacct,x,alltranline5,IN,x,x=950&amp;cr=293" xr:uid="{4465A70F-D18A-4DA2-A2DF-41F1B4000139}"/>
    <hyperlink ref="A23" r:id="rId18" display="https://9607261.app.netsuite.com/app/reporting/reportrunner.nl?fromreport=320&amp;regtx,tranline,kacct,x,alltranline5,IN,x,x=950&amp;cr=293" xr:uid="{4EE7EAB7-4195-44A4-99C9-D1226F7D7278}"/>
    <hyperlink ref="A24" r:id="rId19" display="https://9607261.app.netsuite.com/app/reporting/reportrunner.nl?fromreport=320&amp;regtx,tranline,kacct,x,alltranline5,IN,x,x=950&amp;cr=293" xr:uid="{2531D84A-F70D-44D2-8CFB-480B4535230E}"/>
    <hyperlink ref="A25" r:id="rId20" display="https://9607261.app.netsuite.com/app/reporting/reportrunner.nl?fromreport=320&amp;regtx,tranline,kacct,x,alltranline5,IN,x,x=950&amp;cr=293" xr:uid="{E63DAA7D-8BEC-4B0C-8E3F-CC7A59A881B8}"/>
    <hyperlink ref="A26" r:id="rId21" display="https://9607261.app.netsuite.com/app/reporting/reportrunner.nl?fromreport=320&amp;regtx,tranline,kacct,x,alltranline5,IN,x,x=950&amp;cr=293" xr:uid="{01950AD7-7E61-400A-A0F6-ADF4344DB06A}"/>
    <hyperlink ref="A27" r:id="rId22" display="https://9607261.app.netsuite.com/app/reporting/reportrunner.nl?fromreport=320&amp;regtx,tranline,kacct,x,alltranline5,IN,x,x=950&amp;cr=293" xr:uid="{22C90AEA-ADF7-4C46-8C9B-13A887B694AB}"/>
    <hyperlink ref="A28" r:id="rId23" display="https://9607261.app.netsuite.com/app/reporting/reportrunner.nl?fromreport=320&amp;regtx,tranline,kacct,x,alltranline5,IN,x,x=950&amp;cr=293" xr:uid="{21119685-09AF-4844-84DC-E10210DB011E}"/>
    <hyperlink ref="A29" r:id="rId24" display="https://9607261.app.netsuite.com/app/reporting/reportrunner.nl?fromreport=320&amp;regtx,tranline,kacct,x,alltranline5,IN,x,x=950&amp;cr=293" xr:uid="{39B93522-41D7-4BED-A037-2D47F73686E0}"/>
    <hyperlink ref="A30" r:id="rId25" display="https://9607261.app.netsuite.com/app/reporting/reportrunner.nl?fromreport=320&amp;regtx,tranline,kacct,x,alltranline5,IN,x,x=950&amp;cr=293" xr:uid="{81729A77-7121-4560-819E-DAB581909F06}"/>
    <hyperlink ref="A31" r:id="rId26" display="https://9607261.app.netsuite.com/app/reporting/reportrunner.nl?fromreport=320&amp;regtx,tranline,kacct,x,alltranline5,IN,x,x=950&amp;cr=293" xr:uid="{9FDE5144-8592-4957-9D3A-8FC8BC8B7617}"/>
    <hyperlink ref="A32" r:id="rId27" display="https://9607261.app.netsuite.com/app/reporting/reportrunner.nl?fromreport=320&amp;regtx,tranline,kacct,x,alltranline5,IN,x,x=950&amp;cr=293" xr:uid="{EC8D5394-382C-46CF-84B7-3B7A50A1B8D9}"/>
    <hyperlink ref="A33" r:id="rId28" display="https://9607261.app.netsuite.com/app/reporting/reportrunner.nl?fromreport=320&amp;regtx,tranline,kacct,x,alltranline5,IN,x,x=950&amp;cr=293" xr:uid="{D796CFC9-33B3-4B94-9112-753E2D268FB0}"/>
    <hyperlink ref="A34" r:id="rId29" display="https://9607261.app.netsuite.com/app/reporting/reportrunner.nl?fromreport=320&amp;regtx,tranline,kacct,x,alltranline5,IN,x,x=950&amp;cr=293" xr:uid="{C5CB22A9-E156-47F0-A1DF-E51EC1002BCA}"/>
    <hyperlink ref="A35" r:id="rId30" display="https://9607261.app.netsuite.com/app/reporting/reportrunner.nl?fromreport=320&amp;regtx,tranline,kacct,x,alltranline5,IN,x,x=950&amp;cr=293" xr:uid="{D6410840-F4C5-4891-BDC5-2343EBA42BB8}"/>
    <hyperlink ref="A36" r:id="rId31" display="https://9607261.app.netsuite.com/app/reporting/reportrunner.nl?fromreport=320&amp;regtx,tranline,kacct,x,alltranline5,IN,x,x=950&amp;cr=293" xr:uid="{0D704340-4B19-4010-8E52-219C403A6F2A}"/>
    <hyperlink ref="A37" r:id="rId32" display="https://9607261.app.netsuite.com/app/reporting/reportrunner.nl?fromreport=320&amp;regtx,tranline,kacct,x,alltranline5,IN,x,x=950&amp;cr=293" xr:uid="{68E64933-094C-4E30-80EC-5CDCAD07E10D}"/>
    <hyperlink ref="A38" r:id="rId33" display="https://9607261.app.netsuite.com/app/reporting/reportrunner.nl?fromreport=320&amp;regtx,tranline,kacct,x,alltranline5,IN,x,x=950&amp;cr=293" xr:uid="{D7E52A67-A237-4DB1-ABA6-9D894AC53123}"/>
    <hyperlink ref="A39" r:id="rId34" display="https://9607261.app.netsuite.com/app/reporting/reportrunner.nl?fromreport=320&amp;regtx,tranline,kacct,x,alltranline5,IN,x,x=950&amp;cr=293" xr:uid="{A6366178-010E-4DC1-90F8-79B617CE6280}"/>
    <hyperlink ref="A40" r:id="rId35" display="https://9607261.app.netsuite.com/app/reporting/reportrunner.nl?fromreport=320&amp;regtx,tranline,kacct,x,alltranline5,IN,x,x=950&amp;cr=293" xr:uid="{FB77855B-8882-417F-9E54-7A34F87C9C19}"/>
    <hyperlink ref="A41" r:id="rId36" display="https://9607261.app.netsuite.com/app/reporting/reportrunner.nl?fromreport=320&amp;regtx,tranline,kacct,x,alltranline5,IN,x,x=950&amp;cr=293" xr:uid="{B423F570-403F-4401-9917-55338F9AF869}"/>
    <hyperlink ref="A42" r:id="rId37" display="https://9607261.app.netsuite.com/app/reporting/reportrunner.nl?fromreport=320&amp;regtx,tranline,kacct,x,alltranline5,IN,x,x=950&amp;cr=293" xr:uid="{9F047F85-A95C-4582-8B71-979A252622D6}"/>
    <hyperlink ref="A43" r:id="rId38" display="https://9607261.app.netsuite.com/app/reporting/reportrunner.nl?fromreport=320&amp;regtx,tranline,kacct,x,alltranline5,IN,x,x=950&amp;cr=293" xr:uid="{9585A68F-E5A1-4536-862E-20A844D4F39A}"/>
    <hyperlink ref="A44" r:id="rId39" display="https://9607261.app.netsuite.com/app/reporting/reportrunner.nl?fromreport=320&amp;regtx,tranline,kacct,x,alltranline5,IN,x,x=950&amp;cr=293" xr:uid="{71A15BD2-E293-4D97-9B08-932662A90002}"/>
    <hyperlink ref="A45" r:id="rId40" display="https://9607261.app.netsuite.com/app/reporting/reportrunner.nl?fromreport=320&amp;regtx,tranline,kacct,x,alltranline5,IN,x,x=950&amp;cr=293" xr:uid="{3A44014E-16AB-4EA9-871F-C4DCEEC94FF1}"/>
    <hyperlink ref="A46" r:id="rId41" display="https://9607261.app.netsuite.com/app/reporting/reportrunner.nl?fromreport=320&amp;regtx,tranline,kacct,x,alltranline5,IN,x,x=950&amp;cr=293" xr:uid="{A28E8DFB-790D-476B-AEFD-1C086CD75549}"/>
    <hyperlink ref="A47" r:id="rId42" display="https://9607261.app.netsuite.com/app/reporting/reportrunner.nl?fromreport=320&amp;regtx,tranline,kacct,x,alltranline5,IN,x,x=950&amp;cr=293" xr:uid="{E5AC7406-32B7-4516-883D-AA087401EB6C}"/>
    <hyperlink ref="A48" r:id="rId43" display="https://9607261.app.netsuite.com/app/reporting/reportrunner.nl?fromreport=320&amp;regtx,tranline,kacct,x,alltranline5,IN,x,x=950&amp;cr=293" xr:uid="{0C8E8F37-0343-4FB5-8E64-92938E3B1B75}"/>
    <hyperlink ref="A49" r:id="rId44" display="https://9607261.app.netsuite.com/app/reporting/reportrunner.nl?fromreport=320&amp;regtx,tranline,kacct,x,alltranline5,IN,x,x=950&amp;cr=293" xr:uid="{61E0E630-0C43-40B9-BCD2-D5C171A09C00}"/>
    <hyperlink ref="A50" r:id="rId45" display="https://9607261.app.netsuite.com/app/reporting/reportrunner.nl?fromreport=320&amp;regtx,tranline,kacct,x,alltranline5,IN,x,x=950&amp;cr=293" xr:uid="{53DB56BC-78E6-44AE-B7DC-F5504227816F}"/>
    <hyperlink ref="A51" r:id="rId46" display="https://9607261.app.netsuite.com/app/reporting/reportrunner.nl?fromreport=320&amp;regtx,tranline,kacct,x,alltranline5,IN,x,x=950&amp;cr=293" xr:uid="{ECD2F78E-A84C-4FA0-9DF0-FC15A1D1C37A}"/>
    <hyperlink ref="A52" r:id="rId47" display="https://9607261.app.netsuite.com/app/reporting/reportrunner.nl?fromreport=320&amp;regtx,tranline,kacct,x,alltranline5,IN,x,x=950&amp;cr=293" xr:uid="{0CC46AC5-32FA-48DE-AFC9-8FEB9E0C9FF7}"/>
    <hyperlink ref="A53" r:id="rId48" display="https://9607261.app.netsuite.com/app/reporting/reportrunner.nl?fromreport=320&amp;regtx,tranline,kacct,x,alltranline5,IN,x,x=950&amp;cr=293" xr:uid="{17EBC49F-5100-4711-BA6B-5C66532F56E7}"/>
    <hyperlink ref="A54" r:id="rId49" display="https://9607261.app.netsuite.com/app/reporting/reportrunner.nl?fromreport=320&amp;regtx,tranline,kacct,x,alltranline5,IN,x,x=950&amp;cr=293" xr:uid="{F645A0E5-76D3-41F1-897C-CF5345BD06B0}"/>
    <hyperlink ref="A55" r:id="rId50" display="https://9607261.app.netsuite.com/app/reporting/reportrunner.nl?fromreport=320&amp;regtx,tranline,kacct,x,alltranline5,IN,x,x=950&amp;cr=293" xr:uid="{C73D374A-F424-4EF4-B87B-B2ABF8434ECE}"/>
    <hyperlink ref="A56" r:id="rId51" display="https://9607261.app.netsuite.com/app/reporting/reportrunner.nl?fromreport=320&amp;regtx,tranline,kacct,x,alltranline5,IN,x,x=950&amp;cr=293" xr:uid="{CB287F82-3B13-4542-98F5-FD21A20C097F}"/>
    <hyperlink ref="A57" r:id="rId52" display="https://9607261.app.netsuite.com/app/reporting/reportrunner.nl?fromreport=320&amp;regtx,tranline,kacct,x,alltranline5,IN,x,x=950&amp;cr=293" xr:uid="{F5B981E7-F64B-4909-BD24-87AF4EA0EBAB}"/>
    <hyperlink ref="A58" r:id="rId53" display="https://9607261.app.netsuite.com/app/reporting/reportrunner.nl?fromreport=320&amp;regtx,tranline,kacct,x,alltranline5,IN,x,x=950&amp;cr=293" xr:uid="{CD8FD339-0F09-493C-BE30-FADBEB9C06D7}"/>
    <hyperlink ref="A59" r:id="rId54" display="https://9607261.app.netsuite.com/app/reporting/reportrunner.nl?fromreport=320&amp;regtx,tranline,kacct,x,alltranline5,IN,x,x=950&amp;cr=293" xr:uid="{6FA98647-FA6D-4206-95A8-0818586CD6F9}"/>
    <hyperlink ref="A60" r:id="rId55" display="https://9607261.app.netsuite.com/app/reporting/reportrunner.nl?fromreport=320&amp;regtx,tranline,kacct,x,alltranline5,IN,x,x=950&amp;cr=293" xr:uid="{7FC6578B-9C9D-4B54-87A4-1C01F7EE6928}"/>
    <hyperlink ref="A61" r:id="rId56" display="https://9607261.app.netsuite.com/app/reporting/reportrunner.nl?fromreport=320&amp;regtx,tranline,kacct,x,alltranline5,IN,x,x=950&amp;cr=293" xr:uid="{DE3E026F-3531-4CCC-9AF4-B4AFCFF8E29A}"/>
    <hyperlink ref="A62" r:id="rId57" display="https://9607261.app.netsuite.com/app/reporting/reportrunner.nl?fromreport=320&amp;regtx,tranline,kacct,x,alltranline5,IN,x,x=950&amp;cr=293" xr:uid="{9AC5A884-686E-4D1D-B3A7-E42A05D01930}"/>
    <hyperlink ref="A63" r:id="rId58" display="https://9607261.app.netsuite.com/app/reporting/reportrunner.nl?fromreport=320&amp;regtx,tranline,kacct,x,alltranline5,IN,x,x=950&amp;cr=293" xr:uid="{F2E1E694-A951-4029-8AFD-5E89726C9F34}"/>
    <hyperlink ref="A64" r:id="rId59" display="https://9607261.app.netsuite.com/app/reporting/reportrunner.nl?fromreport=320&amp;regtx,tranline,kacct,x,alltranline5,IN,x,x=950&amp;cr=293" xr:uid="{DAFAD472-FA65-44BF-B891-A255DD44998E}"/>
    <hyperlink ref="A65" r:id="rId60" display="https://9607261.app.netsuite.com/app/reporting/reportrunner.nl?fromreport=320&amp;regtx,tranline,kacct,x,alltranline5,IN,x,x=950&amp;cr=293" xr:uid="{D1CB069A-8A8B-40F9-8DC1-C4E9E3DBF457}"/>
    <hyperlink ref="A66" r:id="rId61" display="https://9607261.app.netsuite.com/app/reporting/reportrunner.nl?fromreport=320&amp;regtx,tranline,kacct,x,alltranline5,IN,x,x=950&amp;cr=293" xr:uid="{0144D374-9733-4823-B0C5-2F6B91D9AE7A}"/>
    <hyperlink ref="A67" r:id="rId62" display="https://9607261.app.netsuite.com/app/reporting/reportrunner.nl?fromreport=320&amp;regtx,tranline,kacct,x,alltranline5,IN,x,x=950&amp;cr=293" xr:uid="{BFE68ACE-4A83-489F-A67B-C43B9503EDF9}"/>
    <hyperlink ref="A68" r:id="rId63" display="https://9607261.app.netsuite.com/app/reporting/reportrunner.nl?fromreport=320&amp;regtx,tranline,kacct,x,alltranline5,IN,x,x=950&amp;cr=293" xr:uid="{82C3827E-89D9-4F63-AE89-51871D91BD60}"/>
    <hyperlink ref="A69" r:id="rId64" display="https://9607261.app.netsuite.com/app/reporting/reportrunner.nl?fromreport=320&amp;regtx,tranline,kacct,x,alltranline5,IN,x,x=950&amp;cr=293" xr:uid="{FD751A48-864E-4363-8FE1-B9AF5063CB78}"/>
    <hyperlink ref="A70" r:id="rId65" display="https://9607261.app.netsuite.com/app/reporting/reportrunner.nl?fromreport=320&amp;regtx,tranline,kacct,x,alltranline5,IN,x,x=950&amp;cr=293" xr:uid="{D015D95D-8265-46FB-BCBF-C596A17F0ABB}"/>
    <hyperlink ref="A71" r:id="rId66" display="https://9607261.app.netsuite.com/app/reporting/reportrunner.nl?fromreport=320&amp;regtx,tranline,kacct,x,alltranline5,IN,x,x=950&amp;cr=293" xr:uid="{15B5A4FA-9E0C-4DF3-B2D0-F484E522E614}"/>
    <hyperlink ref="A72" r:id="rId67" display="https://9607261.app.netsuite.com/app/reporting/reportrunner.nl?fromreport=320&amp;regtx,tranline,kacct,x,alltranline5,IN,x,x=950&amp;cr=293" xr:uid="{BC6BA980-22AF-437D-86A9-C875F186463A}"/>
    <hyperlink ref="A73" r:id="rId68" display="https://9607261.app.netsuite.com/app/reporting/reportrunner.nl?fromreport=320&amp;regtx,tranline,kacct,x,alltranline5,IN,x,x=950&amp;cr=293" xr:uid="{3F88E1BC-F8E8-4625-9CBA-EF1C81AA16A6}"/>
    <hyperlink ref="A74" r:id="rId69" display="https://9607261.app.netsuite.com/app/reporting/reportrunner.nl?fromreport=320&amp;regtx,tranline,kacct,x,alltranline5,IN,x,x=950&amp;cr=293" xr:uid="{56187F1E-F97B-4607-8DBD-B397A1A81663}"/>
    <hyperlink ref="A75" r:id="rId70" display="https://9607261.app.netsuite.com/app/reporting/reportrunner.nl?fromreport=320&amp;regtx,tranline,kacct,x,alltranline5,IN,x,x=950&amp;cr=293" xr:uid="{46DB3F0B-954D-4AA1-B035-4094F3A0F93B}"/>
    <hyperlink ref="A76" r:id="rId71" display="https://9607261.app.netsuite.com/app/reporting/reportrunner.nl?fromreport=320&amp;regtx,tranline,kacct,x,alltranline5,IN,x,x=950&amp;cr=293" xr:uid="{DA70A003-C102-4685-AA1A-C6A0DDB19CC7}"/>
    <hyperlink ref="A77" r:id="rId72" display="https://9607261.app.netsuite.com/app/reporting/reportrunner.nl?fromreport=320&amp;regtx,tranline,kacct,x,alltranline5,IN,x,x=950&amp;cr=293" xr:uid="{7231A4AA-864C-4A1C-A962-C028101FD9AC}"/>
    <hyperlink ref="A78" r:id="rId73" display="https://9607261.app.netsuite.com/app/reporting/reportrunner.nl?fromreport=320&amp;regtx,tranline,kacct,x,alltranline5,IN,x,x=950&amp;cr=293" xr:uid="{E51BB3DF-4C5D-4F29-B9E2-9ECAF67129EA}"/>
    <hyperlink ref="A79" r:id="rId74" display="https://9607261.app.netsuite.com/app/reporting/reportrunner.nl?fromreport=320&amp;regtx,tranline,kacct,x,alltranline5,IN,x,x=950&amp;cr=293" xr:uid="{7F9D03CF-B0F2-407F-90FC-F78F8CA1EA1F}"/>
    <hyperlink ref="A80" r:id="rId75" display="https://9607261.app.netsuite.com/app/reporting/reportrunner.nl?fromreport=320&amp;regtx,tranline,kacct,x,alltranline5,IN,x,x=950&amp;cr=293" xr:uid="{AED04464-0F6D-4DB9-9952-AB553EF44864}"/>
    <hyperlink ref="A81" r:id="rId76" display="https://9607261.app.netsuite.com/app/reporting/reportrunner.nl?fromreport=320&amp;regtx,tranline,kacct,x,alltranline5,IN,x,x=950&amp;cr=293" xr:uid="{7BC81861-627A-4448-A248-6F1DBAF77412}"/>
    <hyperlink ref="A82" r:id="rId77" display="https://9607261.app.netsuite.com/app/reporting/reportrunner.nl?fromreport=320&amp;regtx,tranline,kacct,x,alltranline5,IN,x,x=950&amp;cr=293" xr:uid="{65F93A75-ED64-4EC9-BEEC-6441A272425A}"/>
    <hyperlink ref="A83" r:id="rId78" display="https://9607261.app.netsuite.com/app/reporting/reportrunner.nl?fromreport=320&amp;regtx,tranline,kacct,x,alltranline5,IN,x,x=950&amp;cr=293" xr:uid="{85996ECC-4883-40C0-A42D-79A0D3DCA711}"/>
    <hyperlink ref="A84" r:id="rId79" display="https://9607261.app.netsuite.com/app/reporting/reportrunner.nl?fromreport=320&amp;regtx,tranline,kacct,x,alltranline5,IN,x,x=950&amp;cr=293" xr:uid="{F4537E5B-9B00-42D2-ADB6-77E284BCB253}"/>
    <hyperlink ref="A85" r:id="rId80" display="https://9607261.app.netsuite.com/app/reporting/reportrunner.nl?fromreport=320&amp;regtx,tranline,kacct,x,alltranline5,IN,x,x=950&amp;cr=293" xr:uid="{B44A2EF5-37BD-46D4-A7C2-B03E613CF66B}"/>
    <hyperlink ref="A86" r:id="rId81" display="https://9607261.app.netsuite.com/app/reporting/reportrunner.nl?fromreport=320&amp;regtx,tranline,kacct,x,alltranline5,IN,x,x=950&amp;cr=293" xr:uid="{8BA3F314-A29A-435E-8CE6-0448A8C53AEB}"/>
    <hyperlink ref="A87" r:id="rId82" display="https://9607261.app.netsuite.com/app/reporting/reportrunner.nl?fromreport=320&amp;regtx,tranline,kacct,x,alltranline5,IN,x,x=950&amp;cr=293" xr:uid="{E272A427-5615-4D74-BCB4-8008442565BE}"/>
    <hyperlink ref="A88" r:id="rId83" display="https://9607261.app.netsuite.com/app/reporting/reportrunner.nl?fromreport=320&amp;regtx,tranline,kacct,x,alltranline5,IN,x,x=950&amp;cr=293" xr:uid="{F2F260FA-6DFE-4136-ADE9-121B16F5C79F}"/>
    <hyperlink ref="A89" r:id="rId84" display="https://9607261.app.netsuite.com/app/reporting/reportrunner.nl?fromreport=320&amp;regtx,tranline,kacct,x,alltranline5,IN,x,x=950&amp;cr=293" xr:uid="{881B163C-FC01-4F19-B899-6B5E302D0895}"/>
    <hyperlink ref="A90" r:id="rId85" display="https://9607261.app.netsuite.com/app/reporting/reportrunner.nl?fromreport=320&amp;regtx,tranline,kacct,x,alltranline5,IN,x,x=950&amp;cr=293" xr:uid="{1B0E4FD7-1EEE-4A04-A08D-2A52CCF0637C}"/>
    <hyperlink ref="A91" r:id="rId86" display="https://9607261.app.netsuite.com/app/reporting/reportrunner.nl?fromreport=320&amp;regtx,tranline,kacct,x,alltranline5,IN,x,x=950&amp;cr=293" xr:uid="{8F73667D-1026-4157-A4BF-C01DCA744DF9}"/>
    <hyperlink ref="A92" r:id="rId87" display="https://9607261.app.netsuite.com/app/reporting/reportrunner.nl?fromreport=320&amp;regtx,tranline,kacct,x,alltranline5,IN,x,x=950&amp;cr=293" xr:uid="{025A3294-1E8D-4121-A286-A75149F3A93D}"/>
    <hyperlink ref="A93" r:id="rId88" display="https://9607261.app.netsuite.com/app/reporting/reportrunner.nl?fromreport=320&amp;regtx,tranline,kacct,x,alltranline5,IN,x,x=950&amp;cr=293" xr:uid="{429EA1EB-D027-4CF7-9AB1-8F0B3B56EA88}"/>
    <hyperlink ref="A94" r:id="rId89" display="https://9607261.app.netsuite.com/app/reporting/reportrunner.nl?fromreport=320&amp;regtx,tranline,kacct,x,alltranline5,IN,x,x=950&amp;cr=293" xr:uid="{7F46F5DA-CE82-45F4-A869-A41027F645EE}"/>
    <hyperlink ref="A95" r:id="rId90" display="https://9607261.app.netsuite.com/app/reporting/reportrunner.nl?fromreport=320&amp;regtx,tranline,kacct,x,alltranline5,IN,x,x=950&amp;cr=293" xr:uid="{B5E1F220-BA69-4E9D-89A5-C5B8D34F3EC7}"/>
    <hyperlink ref="A96" r:id="rId91" display="https://9607261.app.netsuite.com/app/reporting/reportrunner.nl?fromreport=320&amp;regtx,tranline,kacct,x,alltranline5,IN,x,x=950&amp;cr=293" xr:uid="{0560CEF1-8E67-4042-9D58-83692C2A6426}"/>
    <hyperlink ref="A97" r:id="rId92" display="https://9607261.app.netsuite.com/app/reporting/reportrunner.nl?fromreport=320&amp;regtx,tranline,kacct,x,alltranline5,IN,x,x=950&amp;cr=293" xr:uid="{121EF1F1-A117-4F86-A81D-1BFCB8F81A92}"/>
    <hyperlink ref="A98" r:id="rId93" display="https://9607261.app.netsuite.com/app/reporting/reportrunner.nl?fromreport=320&amp;regtx,tranline,kacct,x,alltranline5,IN,x,x=950&amp;cr=293" xr:uid="{B642BB9D-2D9F-44F1-B159-5F371CFDE4AE}"/>
    <hyperlink ref="A99" r:id="rId94" display="https://9607261.app.netsuite.com/app/reporting/reportrunner.nl?fromreport=320&amp;regtx,tranline,kacct,x,alltranline5,IN,x,x=950&amp;cr=293" xr:uid="{6F9C9246-9370-43B1-B372-CAD7727B263C}"/>
    <hyperlink ref="A100" r:id="rId95" display="https://9607261.app.netsuite.com/app/reporting/reportrunner.nl?fromreport=320&amp;regtx,tranline,kacct,x,alltranline5,IN,x,x=950&amp;cr=293" xr:uid="{1143EDA1-4DC3-4658-9495-6CAC5BC7AC7A}"/>
    <hyperlink ref="A101" r:id="rId96" display="https://9607261.app.netsuite.com/app/reporting/reportrunner.nl?fromreport=320&amp;regtx,tranline,kacct,x,alltranline5,IN,x,x=950&amp;cr=293" xr:uid="{E9B11B05-77D0-48A1-8040-302C3CA670B1}"/>
    <hyperlink ref="A102" r:id="rId97" display="https://9607261.app.netsuite.com/app/reporting/reportrunner.nl?fromreport=320&amp;regtx,tranline,kacct,x,alltranline5,IN,x,x=950&amp;cr=293" xr:uid="{CC237220-8617-4BC8-B91D-96352B63715C}"/>
    <hyperlink ref="A103" r:id="rId98" display="https://9607261.app.netsuite.com/app/reporting/reportrunner.nl?fromreport=320&amp;regtx,tranline,kacct,x,alltranline5,IN,x,x=950&amp;cr=293" xr:uid="{9518117E-02F2-4748-AEB9-17F72D704CF2}"/>
    <hyperlink ref="A104" r:id="rId99" display="https://9607261.app.netsuite.com/app/reporting/reportrunner.nl?fromreport=320&amp;regtx,tranline,kacct,x,alltranline5,IN,x,x=950&amp;cr=293" xr:uid="{F567BBCB-5657-46AE-B522-60DC37266AFC}"/>
    <hyperlink ref="A105" r:id="rId100" display="https://9607261.app.netsuite.com/app/reporting/reportrunner.nl?fromreport=320&amp;regtx,tranline,kacct,x,alltranline5,IN,x,x=950&amp;cr=293" xr:uid="{C4216C13-4236-4BB0-90AF-D1E66FE2969D}"/>
    <hyperlink ref="A106" r:id="rId101" display="https://9607261.app.netsuite.com/app/reporting/reportrunner.nl?fromreport=320&amp;regtx,tranline,kacct,x,alltranline5,IN,x,x=950&amp;cr=293" xr:uid="{8E924C43-DA84-4633-B35A-4E099660350A}"/>
    <hyperlink ref="A107" r:id="rId102" display="https://9607261.app.netsuite.com/app/reporting/reportrunner.nl?fromreport=320&amp;regtx,tranline,kacct,x,alltranline5,IN,x,x=950&amp;cr=293" xr:uid="{A060350A-11D5-4D6B-B537-E2487EAE447C}"/>
    <hyperlink ref="A108" r:id="rId103" display="https://9607261.app.netsuite.com/app/reporting/reportrunner.nl?fromreport=320&amp;regtx,tranline,kacct,x,alltranline5,IN,x,x=950&amp;cr=293" xr:uid="{458E5E10-3650-4B9D-9D2A-908230AE254D}"/>
    <hyperlink ref="A109" r:id="rId104" display="https://9607261.app.netsuite.com/app/reporting/reportrunner.nl?fromreport=320&amp;regtx,tranline,kacct,x,alltranline5,IN,x,x=950&amp;cr=293" xr:uid="{E1350922-F707-48E1-A5A6-5AD8F1BF22B1}"/>
    <hyperlink ref="A110" r:id="rId105" display="https://9607261.app.netsuite.com/app/reporting/reportrunner.nl?fromreport=320&amp;regtx,tranline,kacct,x,alltranline5,IN,x,x=950&amp;cr=293" xr:uid="{7D881459-30B0-4CB9-B549-F3FD865AE146}"/>
    <hyperlink ref="A111:A115" r:id="rId106" display="https://9607261.app.netsuite.com/app/reporting/reportrunner.nl?fromreport=320&amp;regtx,tranline,kacct,x,alltranline5,IN,x,x=950&amp;cr=293" xr:uid="{02E76E8F-BD3F-4DED-8D8A-CDB164EEC9B1}"/>
    <hyperlink ref="A117" r:id="rId107" display="https://9607261.app.netsuite.com/app/reporting/reportrunner.nl?fromreport=320&amp;regtx,tranline,kacct,x,alltranline5,IN,x,x=950&amp;cr=293" xr:uid="{51B706BE-634A-4674-8853-168E8C82B11C}"/>
    <hyperlink ref="A116" r:id="rId108" display="https://9607261.app.netsuite.com/app/reporting/reportrunner.nl?fromreport=320&amp;regtx,tranline,kacct,x,alltranline5,IN,x,x=950&amp;cr=293" xr:uid="{8F0663BB-8D3A-446D-97E7-1136B9298312}"/>
    <hyperlink ref="A118" r:id="rId109" display="https://9607261.app.netsuite.com/app/reporting/reportrunner.nl?fromreport=320&amp;regtx,tranline,kacct,x,alltranline5,IN,x,x=950&amp;cr=293" xr:uid="{1C09BEF4-4AAA-4600-B21C-EB5258BEB724}"/>
    <hyperlink ref="A119" r:id="rId110" display="https://9607261.app.netsuite.com/app/reporting/reportrunner.nl?fromreport=320&amp;regtx,tranline,kacct,x,alltranline5,IN,x,x=950&amp;cr=293" xr:uid="{5759C5EB-55B4-4F5C-9CD9-D04C3AB65620}"/>
    <hyperlink ref="A120" r:id="rId111" display="https://9607261.app.netsuite.com/app/reporting/reportrunner.nl?fromreport=320&amp;regtx,tranline,kacct,x,alltranline5,IN,x,x=950&amp;cr=293" xr:uid="{195C0F45-E4AE-46E7-A8AA-52950C07EB18}"/>
    <hyperlink ref="A121" r:id="rId112" display="https://9607261.app.netsuite.com/app/reporting/reportrunner.nl?fromreport=320&amp;regtx,tranline,kacct,x,alltranline5,IN,x,x=950&amp;cr=293" xr:uid="{A0134065-A350-43CD-A3F9-AA608DC16356}"/>
    <hyperlink ref="A122" r:id="rId113" display="https://9607261.app.netsuite.com/app/reporting/reportrunner.nl?fromreport=320&amp;regtx,tranline,kacct,x,alltranline5,IN,x,x=950&amp;cr=293" xr:uid="{1153A8A6-A9EC-498C-AF5A-F0F15E0A840C}"/>
    <hyperlink ref="A123" r:id="rId114" display="https://9607261.app.netsuite.com/app/reporting/reportrunner.nl?fromreport=320&amp;regtx,tranline,kacct,x,alltranline5,IN,x,x=950&amp;cr=293" xr:uid="{930B1EA4-A3E7-4004-95D9-F6BE4CD362AE}"/>
    <hyperlink ref="A124" r:id="rId115" display="https://9607261.app.netsuite.com/app/reporting/reportrunner.nl?fromreport=320&amp;regtx,tranline,kacct,x,alltranline5,IN,x,x=950&amp;cr=293" xr:uid="{A9B5D08E-2166-43AF-BD34-34A249A682A6}"/>
    <hyperlink ref="A125" r:id="rId116" display="https://9607261.app.netsuite.com/app/reporting/reportrunner.nl?fromreport=320&amp;regtx,tranline,kacct,x,alltranline5,IN,x,x=950&amp;cr=293" xr:uid="{7E4AF2D5-4710-474C-B81A-2BCBE3BC66C6}"/>
    <hyperlink ref="A126" r:id="rId117" display="https://9607261.app.netsuite.com/app/reporting/reportrunner.nl?fromreport=320&amp;regtx,tranline,kacct,x,alltranline5,IN,x,x=950&amp;cr=293" xr:uid="{3259BD62-0CEF-4F36-9134-62A653FFC10A}"/>
    <hyperlink ref="A127" r:id="rId118" display="https://9607261.app.netsuite.com/app/reporting/reportrunner.nl?fromreport=320&amp;regtx,tranline,kacct,x,alltranline5,IN,x,x=950&amp;cr=293" xr:uid="{23EA8328-D1B8-4AA3-B516-CC57606B8616}"/>
    <hyperlink ref="A128" r:id="rId119" display="https://9607261.app.netsuite.com/app/reporting/reportrunner.nl?fromreport=320&amp;regtx,tranline,kacct,x,alltranline5,IN,x,x=950&amp;cr=293" xr:uid="{B26F3A6C-BB4C-4A21-8F92-1EF93AC2B5A1}"/>
    <hyperlink ref="A129" r:id="rId120" display="https://9607261.app.netsuite.com/app/reporting/reportrunner.nl?fromreport=320&amp;regtx,tranline,kacct,x,alltranline5,IN,x,x=950&amp;cr=293" xr:uid="{5C376265-EEFE-4DA3-BDD3-F6AF254E9947}"/>
    <hyperlink ref="A130" r:id="rId121" display="https://9607261.app.netsuite.com/app/reporting/reportrunner.nl?fromreport=320&amp;regtx,tranline,kacct,x,alltranline5,IN,x,x=950&amp;cr=293" xr:uid="{06760746-B002-4EB9-ACCA-B035E10576F8}"/>
    <hyperlink ref="A131" r:id="rId122" display="https://9607261.app.netsuite.com/app/reporting/reportrunner.nl?fromreport=320&amp;regtx,tranline,kacct,x,alltranline5,IN,x,x=950&amp;cr=293" xr:uid="{F748F642-7653-4A69-8726-3E9A547EF49A}"/>
    <hyperlink ref="A132" r:id="rId123" display="https://9607261.app.netsuite.com/app/reporting/reportrunner.nl?fromreport=320&amp;regtx,tranline,kacct,x,alltranline5,IN,x,x=950&amp;cr=293" xr:uid="{921A711D-1E1E-4367-9B0F-F180A9CA6BC2}"/>
    <hyperlink ref="A133" r:id="rId124" display="https://9607261.app.netsuite.com/app/reporting/reportrunner.nl?fromreport=320&amp;regtx,tranline,kacct,x,alltranline5,IN,x,x=950&amp;cr=293" xr:uid="{F0A263B2-B0F7-489E-AD03-20FB351CD993}"/>
    <hyperlink ref="A134" r:id="rId125" display="https://9607261.app.netsuite.com/app/reporting/reportrunner.nl?fromreport=320&amp;regtx,tranline,kacct,x,alltranline5,IN,x,x=950&amp;cr=293" xr:uid="{8AED9CE1-E10E-455A-BE87-F37FA0729905}"/>
    <hyperlink ref="A135" r:id="rId126" display="https://9607261.app.netsuite.com/app/reporting/reportrunner.nl?fromreport=320&amp;regtx,tranline,kacct,x,alltranline5,IN,x,x=950&amp;cr=293" xr:uid="{CB6DBA9C-5E48-4DC2-9D16-161100F4B080}"/>
    <hyperlink ref="A136" r:id="rId127" display="https://9607261.app.netsuite.com/app/reporting/reportrunner.nl?fromreport=320&amp;regtx,tranline,kacct,x,alltranline5,IN,x,x=950&amp;cr=293" xr:uid="{A1B8D4FB-C17C-4E5D-B058-A78CD78C3707}"/>
    <hyperlink ref="A137" r:id="rId128" display="https://9607261.app.netsuite.com/app/reporting/reportrunner.nl?fromreport=320&amp;regtx,tranline,kacct,x,alltranline5,IN,x,x=950&amp;cr=293" xr:uid="{9C2371F5-E2B5-4066-A8D4-4FAE7CCF487B}"/>
    <hyperlink ref="A138" r:id="rId129" display="https://9607261.app.netsuite.com/app/reporting/reportrunner.nl?fromreport=320&amp;regtx,tranline,kacct,x,alltranline5,IN,x,x=950&amp;cr=293" xr:uid="{97015E2C-7332-4CD4-BC5A-B34B1250C75C}"/>
    <hyperlink ref="A139" r:id="rId130" display="https://9607261.app.netsuite.com/app/reporting/reportrunner.nl?fromreport=320&amp;regtx,tranline,kacct,x,alltranline5,IN,x,x=950&amp;cr=293" xr:uid="{E3BC6C67-670C-48D3-8A05-E99C615C188B}"/>
    <hyperlink ref="A140" r:id="rId131" display="https://9607261.app.netsuite.com/app/reporting/reportrunner.nl?fromreport=320&amp;regtx,tranline,kacct,x,alltranline5,IN,x,x=950&amp;cr=293" xr:uid="{47BC6A24-452D-42D6-9CC9-5430DE7884EF}"/>
    <hyperlink ref="A141" r:id="rId132" display="https://9607261.app.netsuite.com/app/reporting/reportrunner.nl?fromreport=320&amp;regtx,tranline,kacct,x,alltranline5,IN,x,x=950&amp;cr=293" xr:uid="{5BC353DA-5160-4E19-BBFB-5AC797D98951}"/>
    <hyperlink ref="A142" r:id="rId133" display="https://9607261.app.netsuite.com/app/reporting/reportrunner.nl?fromreport=320&amp;regtx,tranline,kacct,x,alltranline5,IN,x,x=950&amp;cr=293" xr:uid="{2528C2E7-D2DA-435C-8C8A-FE337D4016D2}"/>
    <hyperlink ref="A143" r:id="rId134" display="https://9607261.app.netsuite.com/app/reporting/reportrunner.nl?fromreport=320&amp;regtx,tranline,kacct,x,alltranline5,IN,x,x=950&amp;cr=293" xr:uid="{96DC1E12-A07E-4244-8750-8C2E9DE399E5}"/>
    <hyperlink ref="A144" r:id="rId135" display="https://9607261.app.netsuite.com/app/reporting/reportrunner.nl?fromreport=320&amp;regtx,tranline,kacct,x,alltranline5,IN,x,x=950&amp;cr=293" xr:uid="{A94BE641-B653-468B-8851-89AC786FAD5C}"/>
    <hyperlink ref="A145" r:id="rId136" display="https://9607261.app.netsuite.com/app/reporting/reportrunner.nl?fromreport=320&amp;regtx,tranline,kacct,x,alltranline5,IN,x,x=950&amp;cr=293" xr:uid="{23BF0069-78AA-4518-80D9-FDC36985CBBE}"/>
  </hyperlink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6AC5-9630-4DA9-9B75-7B5431D2B86D}">
  <dimension ref="A1:P284"/>
  <sheetViews>
    <sheetView workbookViewId="0">
      <selection sqref="A1:XFD1048576"/>
    </sheetView>
  </sheetViews>
  <sheetFormatPr defaultColWidth="8.83203125" defaultRowHeight="14.5" x14ac:dyDescent="0.35"/>
  <cols>
    <col min="1" max="1" width="30.9140625" style="18" customWidth="1"/>
    <col min="2" max="2" width="28.1640625" style="18" customWidth="1"/>
    <col min="3" max="3" width="9.83203125" style="18" customWidth="1"/>
    <col min="4" max="4" width="8.83203125" style="18"/>
    <col min="5" max="5" width="36" style="18" customWidth="1"/>
    <col min="6" max="6" width="22" style="18" customWidth="1"/>
    <col min="7" max="8" width="13.08203125" style="18" customWidth="1"/>
    <col min="9" max="9" width="11.4140625" style="18" bestFit="1" customWidth="1"/>
    <col min="10" max="14" width="8.83203125" style="18"/>
    <col min="15" max="15" width="29.33203125" style="95" customWidth="1"/>
    <col min="16" max="16384" width="8.83203125" style="18"/>
  </cols>
  <sheetData>
    <row r="1" spans="1:16" x14ac:dyDescent="0.35">
      <c r="A1" s="146" t="s">
        <v>4732</v>
      </c>
      <c r="G1" s="23">
        <f>SUM(G5:G284)</f>
        <v>3650759.9699999993</v>
      </c>
      <c r="H1" s="23">
        <f>SUM(H5:H284)</f>
        <v>3650759.9699999993</v>
      </c>
      <c r="O1" s="100" t="s">
        <v>4081</v>
      </c>
    </row>
    <row r="2" spans="1:16" ht="38.5" customHeight="1" x14ac:dyDescent="0.35">
      <c r="A2" s="20" t="s">
        <v>2635</v>
      </c>
      <c r="B2" s="20" t="s">
        <v>3580</v>
      </c>
      <c r="C2" s="29" t="s">
        <v>2545</v>
      </c>
      <c r="D2" s="30" t="s">
        <v>957</v>
      </c>
      <c r="E2" s="29" t="s">
        <v>948</v>
      </c>
      <c r="F2" s="29" t="s">
        <v>3803</v>
      </c>
      <c r="G2" s="31" t="s">
        <v>2546</v>
      </c>
      <c r="M2" s="67" t="s">
        <v>4057</v>
      </c>
      <c r="O2" s="94" t="s">
        <v>4073</v>
      </c>
      <c r="P2" s="103" t="s">
        <v>4090</v>
      </c>
    </row>
    <row r="3" spans="1:16" ht="44" customHeight="1" x14ac:dyDescent="0.35">
      <c r="A3" s="20" t="s">
        <v>3582</v>
      </c>
      <c r="B3" s="20" t="s">
        <v>3581</v>
      </c>
      <c r="C3" s="29"/>
      <c r="D3" s="30"/>
      <c r="E3" s="29"/>
      <c r="F3" s="29"/>
      <c r="G3" s="31"/>
      <c r="O3" s="94" t="s">
        <v>4074</v>
      </c>
      <c r="P3" s="103" t="s">
        <v>4091</v>
      </c>
    </row>
    <row r="4" spans="1:16" ht="55.5" customHeight="1" x14ac:dyDescent="0.35">
      <c r="A4" s="20"/>
      <c r="B4" s="20"/>
      <c r="C4" s="29"/>
      <c r="D4" s="30"/>
      <c r="E4" s="29"/>
      <c r="F4" s="29"/>
      <c r="G4" s="31"/>
      <c r="O4" s="94" t="s">
        <v>4075</v>
      </c>
      <c r="P4" s="103" t="s">
        <v>4092</v>
      </c>
    </row>
    <row r="5" spans="1:16" ht="14.4" customHeight="1" x14ac:dyDescent="0.35">
      <c r="A5" s="68" t="s">
        <v>2549</v>
      </c>
      <c r="B5" s="69"/>
      <c r="C5" s="69">
        <v>45839</v>
      </c>
      <c r="D5" s="70">
        <v>31647</v>
      </c>
      <c r="E5" s="70" t="s">
        <v>2547</v>
      </c>
      <c r="F5" s="71" t="s">
        <v>3814</v>
      </c>
      <c r="G5" s="72">
        <v>108.3</v>
      </c>
      <c r="H5" s="73"/>
      <c r="O5" s="94" t="s">
        <v>4076</v>
      </c>
      <c r="P5" s="103" t="s">
        <v>4093</v>
      </c>
    </row>
    <row r="6" spans="1:16" ht="14.4" customHeight="1" x14ac:dyDescent="0.35">
      <c r="A6" s="74"/>
      <c r="B6" s="75" t="s">
        <v>2550</v>
      </c>
      <c r="C6" s="75">
        <v>45839</v>
      </c>
      <c r="D6" s="76">
        <v>31647</v>
      </c>
      <c r="E6" s="76" t="s">
        <v>2547</v>
      </c>
      <c r="F6" s="77" t="s">
        <v>3814</v>
      </c>
      <c r="G6" s="78"/>
      <c r="H6" s="79">
        <f>G5</f>
        <v>108.3</v>
      </c>
      <c r="O6" s="94" t="s">
        <v>4077</v>
      </c>
      <c r="P6" s="103" t="s">
        <v>4094</v>
      </c>
    </row>
    <row r="7" spans="1:16" x14ac:dyDescent="0.35">
      <c r="A7" s="22" t="s">
        <v>2549</v>
      </c>
      <c r="B7" s="22"/>
      <c r="C7" s="22">
        <v>45839</v>
      </c>
      <c r="D7" s="18" t="s">
        <v>2548</v>
      </c>
      <c r="E7" s="18" t="s">
        <v>2197</v>
      </c>
      <c r="F7" s="54" t="s">
        <v>3814</v>
      </c>
      <c r="G7" s="19">
        <v>1382.35</v>
      </c>
      <c r="K7" s="67" t="s">
        <v>4058</v>
      </c>
      <c r="L7" s="67" t="s">
        <v>4059</v>
      </c>
      <c r="M7" s="18" t="str">
        <f>_xlfn.CONCAT(K7:L7)</f>
        <v>Marriott - Hwy 6 ppty</v>
      </c>
    </row>
    <row r="8" spans="1:16" x14ac:dyDescent="0.35">
      <c r="A8" s="22" t="s">
        <v>2549</v>
      </c>
      <c r="B8" s="22"/>
      <c r="C8" s="22">
        <v>45839</v>
      </c>
      <c r="D8" s="18">
        <v>33555</v>
      </c>
      <c r="E8" s="18" t="s">
        <v>2555</v>
      </c>
      <c r="F8" s="54" t="s">
        <v>3814</v>
      </c>
      <c r="G8" s="19">
        <v>15931.58</v>
      </c>
      <c r="K8" s="67" t="s">
        <v>4061</v>
      </c>
      <c r="M8" s="18" t="s">
        <v>4060</v>
      </c>
    </row>
    <row r="9" spans="1:16" x14ac:dyDescent="0.35">
      <c r="A9" s="22" t="s">
        <v>2549</v>
      </c>
      <c r="B9" s="22"/>
      <c r="C9" s="22">
        <v>45839</v>
      </c>
      <c r="D9" s="18" t="s">
        <v>2551</v>
      </c>
      <c r="E9" s="18" t="s">
        <v>2020</v>
      </c>
      <c r="F9" s="54" t="s">
        <v>3814</v>
      </c>
      <c r="G9" s="19">
        <v>1222</v>
      </c>
      <c r="O9" s="119" t="s">
        <v>4107</v>
      </c>
    </row>
    <row r="10" spans="1:16" x14ac:dyDescent="0.35">
      <c r="A10" s="22" t="s">
        <v>2549</v>
      </c>
      <c r="B10" s="22"/>
      <c r="C10" s="22">
        <v>45839</v>
      </c>
      <c r="D10" s="18" t="s">
        <v>2552</v>
      </c>
      <c r="E10" s="18" t="s">
        <v>2132</v>
      </c>
      <c r="F10" s="54" t="s">
        <v>3814</v>
      </c>
      <c r="G10" s="19">
        <v>0</v>
      </c>
      <c r="O10" s="104">
        <f>SUM(G5:G115)</f>
        <v>3404845.1499999994</v>
      </c>
      <c r="P10" s="105" t="s">
        <v>4048</v>
      </c>
    </row>
    <row r="11" spans="1:16" x14ac:dyDescent="0.35">
      <c r="A11" s="22" t="s">
        <v>2549</v>
      </c>
      <c r="B11" s="22"/>
      <c r="C11" s="22">
        <v>45839</v>
      </c>
      <c r="D11" s="18">
        <v>33984</v>
      </c>
      <c r="E11" s="18" t="s">
        <v>2547</v>
      </c>
      <c r="F11" s="54" t="s">
        <v>3814</v>
      </c>
      <c r="G11" s="19">
        <v>0</v>
      </c>
      <c r="O11" s="106">
        <f>SUM(G116:G140)</f>
        <v>178331.90999999995</v>
      </c>
      <c r="P11" s="105" t="s">
        <v>4049</v>
      </c>
    </row>
    <row r="12" spans="1:16" x14ac:dyDescent="0.35">
      <c r="A12" s="22" t="s">
        <v>2549</v>
      </c>
      <c r="B12" s="22"/>
      <c r="C12" s="22">
        <v>45839</v>
      </c>
      <c r="D12" s="18">
        <v>34076</v>
      </c>
      <c r="E12" s="18" t="s">
        <v>2562</v>
      </c>
      <c r="F12" s="54" t="s">
        <v>3814</v>
      </c>
      <c r="G12" s="19">
        <v>0</v>
      </c>
      <c r="O12" s="106">
        <f>SUM(G141:G145)</f>
        <v>67582.91</v>
      </c>
      <c r="P12" s="105" t="s">
        <v>4050</v>
      </c>
    </row>
    <row r="13" spans="1:16" x14ac:dyDescent="0.35">
      <c r="A13" s="22" t="s">
        <v>2549</v>
      </c>
      <c r="B13" s="22"/>
      <c r="C13" s="22">
        <v>45839</v>
      </c>
      <c r="D13" s="18" t="s">
        <v>2553</v>
      </c>
      <c r="E13" s="18" t="s">
        <v>2197</v>
      </c>
      <c r="F13" s="54" t="s">
        <v>3814</v>
      </c>
      <c r="G13" s="19">
        <v>0</v>
      </c>
      <c r="O13" s="104">
        <f>SUM(O10:O12)</f>
        <v>3650759.9699999997</v>
      </c>
      <c r="P13" s="105" t="s">
        <v>4051</v>
      </c>
    </row>
    <row r="14" spans="1:16" x14ac:dyDescent="0.35">
      <c r="A14" s="22" t="s">
        <v>2549</v>
      </c>
      <c r="B14" s="22"/>
      <c r="C14" s="22">
        <v>45839</v>
      </c>
      <c r="D14" s="18" t="s">
        <v>2554</v>
      </c>
      <c r="E14" s="18" t="s">
        <v>2033</v>
      </c>
      <c r="F14" s="54" t="s">
        <v>3814</v>
      </c>
      <c r="G14" s="19">
        <v>545</v>
      </c>
      <c r="O14" s="107" t="s">
        <v>4047</v>
      </c>
      <c r="P14" s="108"/>
    </row>
    <row r="15" spans="1:16" x14ac:dyDescent="0.35">
      <c r="A15" s="22" t="s">
        <v>2549</v>
      </c>
      <c r="B15" s="22"/>
      <c r="C15" s="22">
        <v>45839</v>
      </c>
      <c r="D15" s="18" t="s">
        <v>2556</v>
      </c>
      <c r="E15" s="18" t="s">
        <v>2575</v>
      </c>
      <c r="F15" s="54" t="s">
        <v>3814</v>
      </c>
      <c r="G15" s="19">
        <v>453.12</v>
      </c>
      <c r="O15" s="61"/>
    </row>
    <row r="16" spans="1:16" x14ac:dyDescent="0.35">
      <c r="A16" s="22" t="s">
        <v>2549</v>
      </c>
      <c r="B16" s="22"/>
      <c r="C16" s="22">
        <v>45839</v>
      </c>
      <c r="D16" s="18">
        <v>34967</v>
      </c>
      <c r="E16" s="18" t="s">
        <v>2079</v>
      </c>
      <c r="F16" s="54" t="s">
        <v>3814</v>
      </c>
      <c r="G16" s="19">
        <v>3736.32</v>
      </c>
    </row>
    <row r="17" spans="1:7" x14ac:dyDescent="0.35">
      <c r="A17" s="22" t="s">
        <v>2549</v>
      </c>
      <c r="B17" s="22"/>
      <c r="C17" s="22">
        <v>45839</v>
      </c>
      <c r="D17" s="18">
        <v>35518</v>
      </c>
      <c r="E17" s="18" t="s">
        <v>1549</v>
      </c>
      <c r="F17" s="54" t="s">
        <v>3814</v>
      </c>
      <c r="G17" s="19">
        <v>35954.480000000003</v>
      </c>
    </row>
    <row r="18" spans="1:7" x14ac:dyDescent="0.35">
      <c r="A18" s="22" t="s">
        <v>2549</v>
      </c>
      <c r="B18" s="22"/>
      <c r="C18" s="22">
        <v>45839</v>
      </c>
      <c r="D18" s="18">
        <v>36158</v>
      </c>
      <c r="E18" s="18" t="s">
        <v>301</v>
      </c>
      <c r="F18" s="54" t="s">
        <v>3814</v>
      </c>
      <c r="G18" s="19">
        <v>0</v>
      </c>
    </row>
    <row r="19" spans="1:7" x14ac:dyDescent="0.35">
      <c r="A19" s="22" t="s">
        <v>2549</v>
      </c>
      <c r="B19" s="22"/>
      <c r="C19" s="22">
        <v>45839</v>
      </c>
      <c r="D19" s="18" t="s">
        <v>2557</v>
      </c>
      <c r="E19" s="18" t="s">
        <v>301</v>
      </c>
      <c r="F19" s="54" t="s">
        <v>3814</v>
      </c>
      <c r="G19" s="19">
        <v>0</v>
      </c>
    </row>
    <row r="20" spans="1:7" x14ac:dyDescent="0.35">
      <c r="A20" s="22" t="s">
        <v>2549</v>
      </c>
      <c r="B20" s="22"/>
      <c r="C20" s="22">
        <v>45839</v>
      </c>
      <c r="D20" s="18">
        <v>36221</v>
      </c>
      <c r="E20" s="18" t="s">
        <v>1334</v>
      </c>
      <c r="F20" s="54" t="s">
        <v>3814</v>
      </c>
      <c r="G20" s="19">
        <v>0</v>
      </c>
    </row>
    <row r="21" spans="1:7" x14ac:dyDescent="0.35">
      <c r="A21" s="22" t="s">
        <v>2549</v>
      </c>
      <c r="B21" s="22"/>
      <c r="C21" s="22">
        <v>45839</v>
      </c>
      <c r="D21" s="18">
        <v>37217</v>
      </c>
      <c r="E21" s="18" t="s">
        <v>2603</v>
      </c>
      <c r="F21" s="54" t="s">
        <v>3814</v>
      </c>
      <c r="G21" s="19">
        <v>100</v>
      </c>
    </row>
    <row r="22" spans="1:7" x14ac:dyDescent="0.35">
      <c r="A22" s="22" t="s">
        <v>2549</v>
      </c>
      <c r="B22" s="22"/>
      <c r="C22" s="22">
        <v>45839</v>
      </c>
      <c r="D22" s="18" t="s">
        <v>2558</v>
      </c>
      <c r="E22" s="18" t="s">
        <v>1475</v>
      </c>
      <c r="F22" s="54" t="s">
        <v>3814</v>
      </c>
      <c r="G22" s="19">
        <v>30424.629999999997</v>
      </c>
    </row>
    <row r="23" spans="1:7" x14ac:dyDescent="0.35">
      <c r="A23" s="22" t="s">
        <v>2549</v>
      </c>
      <c r="B23" s="22"/>
      <c r="C23" s="22">
        <v>45839</v>
      </c>
      <c r="D23" s="18" t="s">
        <v>2559</v>
      </c>
      <c r="E23" s="18" t="s">
        <v>1426</v>
      </c>
      <c r="F23" s="54" t="s">
        <v>3814</v>
      </c>
      <c r="G23" s="19">
        <v>2591.0499999999997</v>
      </c>
    </row>
    <row r="24" spans="1:7" x14ac:dyDescent="0.35">
      <c r="A24" s="22" t="s">
        <v>2549</v>
      </c>
      <c r="B24" s="22"/>
      <c r="C24" s="22">
        <v>45839</v>
      </c>
      <c r="D24" s="18" t="s">
        <v>2560</v>
      </c>
      <c r="E24" s="18" t="s">
        <v>2220</v>
      </c>
      <c r="F24" s="54" t="s">
        <v>3814</v>
      </c>
      <c r="G24" s="19">
        <v>7846.31</v>
      </c>
    </row>
    <row r="25" spans="1:7" x14ac:dyDescent="0.35">
      <c r="A25" s="22" t="s">
        <v>2549</v>
      </c>
      <c r="B25" s="22"/>
      <c r="C25" s="22">
        <v>45839</v>
      </c>
      <c r="D25" s="18">
        <v>38130</v>
      </c>
      <c r="E25" s="18" t="s">
        <v>2276</v>
      </c>
      <c r="F25" s="54" t="s">
        <v>3814</v>
      </c>
      <c r="G25" s="19">
        <v>1166.8499999999999</v>
      </c>
    </row>
    <row r="26" spans="1:7" x14ac:dyDescent="0.35">
      <c r="A26" s="22" t="s">
        <v>2549</v>
      </c>
      <c r="B26" s="22"/>
      <c r="C26" s="22">
        <v>45845</v>
      </c>
      <c r="D26" s="18" t="s">
        <v>2561</v>
      </c>
      <c r="E26" s="18" t="s">
        <v>1475</v>
      </c>
      <c r="F26" s="54" t="s">
        <v>3814</v>
      </c>
      <c r="G26" s="19">
        <v>6661.5300000000007</v>
      </c>
    </row>
    <row r="27" spans="1:7" x14ac:dyDescent="0.35">
      <c r="A27" s="22" t="s">
        <v>2549</v>
      </c>
      <c r="B27" s="22"/>
      <c r="C27" s="22">
        <v>45845</v>
      </c>
      <c r="D27" s="18">
        <v>35807</v>
      </c>
      <c r="E27" s="18" t="s">
        <v>1475</v>
      </c>
      <c r="F27" s="54" t="s">
        <v>3814</v>
      </c>
      <c r="G27" s="19">
        <v>3871.21</v>
      </c>
    </row>
    <row r="28" spans="1:7" x14ac:dyDescent="0.35">
      <c r="A28" s="22" t="s">
        <v>2549</v>
      </c>
      <c r="B28" s="22"/>
      <c r="C28" s="22">
        <v>45845</v>
      </c>
      <c r="D28" s="18">
        <v>35808</v>
      </c>
      <c r="E28" s="18" t="s">
        <v>1475</v>
      </c>
      <c r="F28" s="54" t="s">
        <v>3814</v>
      </c>
      <c r="G28" s="19">
        <v>10157.980000000001</v>
      </c>
    </row>
    <row r="29" spans="1:7" x14ac:dyDescent="0.35">
      <c r="A29" s="22" t="s">
        <v>2549</v>
      </c>
      <c r="B29" s="22"/>
      <c r="C29" s="22">
        <v>45845</v>
      </c>
      <c r="D29" s="18">
        <v>35812</v>
      </c>
      <c r="E29" s="18" t="s">
        <v>1475</v>
      </c>
      <c r="F29" s="54" t="s">
        <v>3814</v>
      </c>
      <c r="G29" s="19">
        <v>34749.29</v>
      </c>
    </row>
    <row r="30" spans="1:7" x14ac:dyDescent="0.35">
      <c r="A30" s="22" t="s">
        <v>2549</v>
      </c>
      <c r="B30" s="22"/>
      <c r="C30" s="22">
        <v>45845</v>
      </c>
      <c r="D30" s="18" t="s">
        <v>2563</v>
      </c>
      <c r="E30" s="18" t="s">
        <v>1475</v>
      </c>
      <c r="F30" s="54" t="s">
        <v>3814</v>
      </c>
      <c r="G30" s="19">
        <v>419.36</v>
      </c>
    </row>
    <row r="31" spans="1:7" x14ac:dyDescent="0.35">
      <c r="A31" s="22" t="s">
        <v>2549</v>
      </c>
      <c r="B31" s="22"/>
      <c r="C31" s="22">
        <v>45845</v>
      </c>
      <c r="D31" s="18" t="s">
        <v>2564</v>
      </c>
      <c r="E31" s="18" t="s">
        <v>1582</v>
      </c>
      <c r="F31" s="54" t="s">
        <v>3814</v>
      </c>
      <c r="G31" s="19">
        <v>4176.01</v>
      </c>
    </row>
    <row r="32" spans="1:7" x14ac:dyDescent="0.35">
      <c r="A32" s="22" t="s">
        <v>2549</v>
      </c>
      <c r="B32" s="22"/>
      <c r="C32" s="22">
        <v>45845</v>
      </c>
      <c r="D32" s="18" t="s">
        <v>2565</v>
      </c>
      <c r="E32" s="18" t="s">
        <v>1269</v>
      </c>
      <c r="F32" s="54" t="s">
        <v>3814</v>
      </c>
      <c r="G32" s="19">
        <v>194.28</v>
      </c>
    </row>
    <row r="33" spans="1:7" x14ac:dyDescent="0.35">
      <c r="A33" s="22" t="s">
        <v>2549</v>
      </c>
      <c r="B33" s="22"/>
      <c r="C33" s="22">
        <v>45845</v>
      </c>
      <c r="D33" s="18" t="s">
        <v>2566</v>
      </c>
      <c r="E33" s="18" t="s">
        <v>1269</v>
      </c>
      <c r="F33" s="54" t="s">
        <v>3814</v>
      </c>
      <c r="G33" s="19">
        <v>0</v>
      </c>
    </row>
    <row r="34" spans="1:7" x14ac:dyDescent="0.35">
      <c r="A34" s="22" t="s">
        <v>2549</v>
      </c>
      <c r="B34" s="22"/>
      <c r="C34" s="22">
        <v>45845</v>
      </c>
      <c r="D34" s="18" t="s">
        <v>2567</v>
      </c>
      <c r="E34" s="18" t="s">
        <v>1269</v>
      </c>
      <c r="F34" s="54" t="s">
        <v>3814</v>
      </c>
      <c r="G34" s="19">
        <v>0</v>
      </c>
    </row>
    <row r="35" spans="1:7" x14ac:dyDescent="0.35">
      <c r="A35" s="22" t="s">
        <v>2549</v>
      </c>
      <c r="B35" s="22"/>
      <c r="C35" s="22">
        <v>45845</v>
      </c>
      <c r="D35" s="18" t="s">
        <v>2568</v>
      </c>
      <c r="E35" s="18" t="s">
        <v>1269</v>
      </c>
      <c r="F35" s="54" t="s">
        <v>3814</v>
      </c>
      <c r="G35" s="19">
        <v>4894.38</v>
      </c>
    </row>
    <row r="36" spans="1:7" x14ac:dyDescent="0.35">
      <c r="A36" s="22" t="s">
        <v>2549</v>
      </c>
      <c r="B36" s="22"/>
      <c r="C36" s="22">
        <v>45845</v>
      </c>
      <c r="D36" s="18">
        <v>38738</v>
      </c>
      <c r="E36" s="18" t="s">
        <v>1269</v>
      </c>
      <c r="F36" s="54" t="s">
        <v>3814</v>
      </c>
      <c r="G36" s="19">
        <v>0</v>
      </c>
    </row>
    <row r="37" spans="1:7" x14ac:dyDescent="0.35">
      <c r="A37" s="22" t="s">
        <v>2549</v>
      </c>
      <c r="B37" s="22"/>
      <c r="C37" s="22">
        <v>45846</v>
      </c>
      <c r="D37" s="18">
        <v>38187</v>
      </c>
      <c r="E37" s="18" t="s">
        <v>2626</v>
      </c>
      <c r="F37" s="54" t="s">
        <v>3814</v>
      </c>
      <c r="G37" s="19">
        <v>10341.06</v>
      </c>
    </row>
    <row r="38" spans="1:7" x14ac:dyDescent="0.35">
      <c r="A38" s="22" t="s">
        <v>2549</v>
      </c>
      <c r="B38" s="22"/>
      <c r="C38" s="22">
        <v>45846</v>
      </c>
      <c r="D38" s="18">
        <v>38196</v>
      </c>
      <c r="E38" s="18" t="s">
        <v>2626</v>
      </c>
      <c r="F38" s="54" t="s">
        <v>3814</v>
      </c>
      <c r="G38" s="19">
        <v>22465.59</v>
      </c>
    </row>
    <row r="39" spans="1:7" x14ac:dyDescent="0.35">
      <c r="A39" s="22" t="s">
        <v>2549</v>
      </c>
      <c r="B39" s="22"/>
      <c r="C39" s="22">
        <v>45846</v>
      </c>
      <c r="D39" s="18" t="s">
        <v>2569</v>
      </c>
      <c r="E39" s="18" t="s">
        <v>1269</v>
      </c>
      <c r="F39" s="54" t="s">
        <v>3814</v>
      </c>
      <c r="G39" s="19">
        <v>6359.54</v>
      </c>
    </row>
    <row r="40" spans="1:7" x14ac:dyDescent="0.35">
      <c r="A40" s="22" t="s">
        <v>2549</v>
      </c>
      <c r="B40" s="22"/>
      <c r="C40" s="22">
        <v>45846</v>
      </c>
      <c r="D40" s="18">
        <v>38396</v>
      </c>
      <c r="E40" s="18" t="s">
        <v>1269</v>
      </c>
      <c r="F40" s="54" t="s">
        <v>3814</v>
      </c>
      <c r="G40" s="19">
        <v>851.45</v>
      </c>
    </row>
    <row r="41" spans="1:7" x14ac:dyDescent="0.35">
      <c r="A41" s="22" t="s">
        <v>2549</v>
      </c>
      <c r="B41" s="22"/>
      <c r="C41" s="22">
        <v>45846</v>
      </c>
      <c r="D41" s="18">
        <v>38637</v>
      </c>
      <c r="E41" s="18" t="s">
        <v>1582</v>
      </c>
      <c r="F41" s="54" t="s">
        <v>3814</v>
      </c>
      <c r="G41" s="19">
        <v>24916.34</v>
      </c>
    </row>
    <row r="42" spans="1:7" x14ac:dyDescent="0.35">
      <c r="A42" s="22" t="s">
        <v>2549</v>
      </c>
      <c r="B42" s="22"/>
      <c r="C42" s="22">
        <v>45847</v>
      </c>
      <c r="D42" s="18" t="s">
        <v>2570</v>
      </c>
      <c r="E42" s="18" t="s">
        <v>1475</v>
      </c>
      <c r="F42" s="54" t="s">
        <v>3814</v>
      </c>
      <c r="G42" s="19">
        <v>60472.409999999996</v>
      </c>
    </row>
    <row r="43" spans="1:7" x14ac:dyDescent="0.35">
      <c r="A43" s="22" t="s">
        <v>2549</v>
      </c>
      <c r="B43" s="22"/>
      <c r="C43" s="22">
        <v>45847</v>
      </c>
      <c r="D43" s="18" t="s">
        <v>2571</v>
      </c>
      <c r="E43" s="18" t="s">
        <v>1475</v>
      </c>
      <c r="F43" s="54" t="s">
        <v>3814</v>
      </c>
      <c r="G43" s="19">
        <v>56713.200000000004</v>
      </c>
    </row>
    <row r="44" spans="1:7" x14ac:dyDescent="0.35">
      <c r="A44" s="22" t="s">
        <v>2549</v>
      </c>
      <c r="B44" s="22"/>
      <c r="C44" s="22">
        <v>45847</v>
      </c>
      <c r="D44" s="18" t="s">
        <v>2572</v>
      </c>
      <c r="E44" s="18" t="s">
        <v>1263</v>
      </c>
      <c r="F44" s="54" t="s">
        <v>3814</v>
      </c>
      <c r="G44" s="19">
        <v>210339.71</v>
      </c>
    </row>
    <row r="45" spans="1:7" x14ac:dyDescent="0.35">
      <c r="A45" s="22" t="s">
        <v>2549</v>
      </c>
      <c r="B45" s="22"/>
      <c r="C45" s="22">
        <v>45847</v>
      </c>
      <c r="D45" s="18" t="s">
        <v>2573</v>
      </c>
      <c r="E45" s="18" t="s">
        <v>1263</v>
      </c>
      <c r="F45" s="54" t="s">
        <v>3814</v>
      </c>
      <c r="G45" s="19">
        <v>0</v>
      </c>
    </row>
    <row r="46" spans="1:7" x14ac:dyDescent="0.35">
      <c r="A46" s="22" t="s">
        <v>2549</v>
      </c>
      <c r="B46" s="22"/>
      <c r="C46" s="22">
        <v>45848</v>
      </c>
      <c r="D46" s="18" t="s">
        <v>2574</v>
      </c>
      <c r="E46" s="18" t="s">
        <v>2627</v>
      </c>
      <c r="F46" s="54" t="s">
        <v>3814</v>
      </c>
      <c r="G46" s="19">
        <v>1407.79</v>
      </c>
    </row>
    <row r="47" spans="1:7" x14ac:dyDescent="0.35">
      <c r="A47" s="22" t="s">
        <v>2549</v>
      </c>
      <c r="B47" s="22"/>
      <c r="C47" s="22">
        <v>45849</v>
      </c>
      <c r="D47" s="18" t="s">
        <v>2576</v>
      </c>
      <c r="E47" s="18" t="s">
        <v>1757</v>
      </c>
      <c r="F47" s="54" t="s">
        <v>3814</v>
      </c>
      <c r="G47" s="19">
        <v>0</v>
      </c>
    </row>
    <row r="48" spans="1:7" x14ac:dyDescent="0.35">
      <c r="A48" s="22" t="s">
        <v>2549</v>
      </c>
      <c r="B48" s="22"/>
      <c r="C48" s="22">
        <v>45849</v>
      </c>
      <c r="D48" s="18" t="s">
        <v>2577</v>
      </c>
      <c r="E48" s="18" t="s">
        <v>1004</v>
      </c>
      <c r="F48" s="54" t="s">
        <v>3814</v>
      </c>
      <c r="G48" s="19">
        <v>8535.0400000000009</v>
      </c>
    </row>
    <row r="49" spans="1:7" x14ac:dyDescent="0.35">
      <c r="A49" s="22" t="s">
        <v>2549</v>
      </c>
      <c r="B49" s="22"/>
      <c r="C49" s="22">
        <v>45849</v>
      </c>
      <c r="D49" s="18" t="s">
        <v>2578</v>
      </c>
      <c r="E49" s="18" t="s">
        <v>1379</v>
      </c>
      <c r="F49" s="54" t="s">
        <v>3814</v>
      </c>
      <c r="G49" s="19">
        <v>66357.13</v>
      </c>
    </row>
    <row r="50" spans="1:7" x14ac:dyDescent="0.35">
      <c r="A50" s="22" t="s">
        <v>2549</v>
      </c>
      <c r="B50" s="22"/>
      <c r="C50" s="22">
        <v>45849</v>
      </c>
      <c r="D50" s="18" t="s">
        <v>2579</v>
      </c>
      <c r="E50" s="18" t="s">
        <v>2266</v>
      </c>
      <c r="F50" s="54" t="s">
        <v>3814</v>
      </c>
      <c r="G50" s="19">
        <v>2292.5100000000002</v>
      </c>
    </row>
    <row r="51" spans="1:7" x14ac:dyDescent="0.35">
      <c r="A51" s="22" t="s">
        <v>2549</v>
      </c>
      <c r="B51" s="22"/>
      <c r="C51" s="22">
        <v>45849</v>
      </c>
      <c r="D51" s="18" t="s">
        <v>2580</v>
      </c>
      <c r="E51" s="18" t="s">
        <v>2266</v>
      </c>
      <c r="F51" s="54" t="s">
        <v>3814</v>
      </c>
      <c r="G51" s="19">
        <v>2334.5100000000002</v>
      </c>
    </row>
    <row r="52" spans="1:7" x14ac:dyDescent="0.35">
      <c r="A52" s="22" t="s">
        <v>2549</v>
      </c>
      <c r="B52" s="22"/>
      <c r="C52" s="22">
        <v>45849</v>
      </c>
      <c r="D52" s="18" t="s">
        <v>2581</v>
      </c>
      <c r="E52" s="18" t="s">
        <v>2266</v>
      </c>
      <c r="F52" s="54" t="s">
        <v>3814</v>
      </c>
      <c r="G52" s="19">
        <v>1212</v>
      </c>
    </row>
    <row r="53" spans="1:7" x14ac:dyDescent="0.35">
      <c r="A53" s="22" t="s">
        <v>2549</v>
      </c>
      <c r="B53" s="22"/>
      <c r="C53" s="22">
        <v>45849</v>
      </c>
      <c r="D53" s="18" t="s">
        <v>2582</v>
      </c>
      <c r="E53" s="18" t="s">
        <v>1379</v>
      </c>
      <c r="F53" s="54" t="s">
        <v>3814</v>
      </c>
      <c r="G53" s="19">
        <v>0</v>
      </c>
    </row>
    <row r="54" spans="1:7" x14ac:dyDescent="0.35">
      <c r="A54" s="22" t="s">
        <v>2549</v>
      </c>
      <c r="B54" s="22"/>
      <c r="C54" s="22">
        <v>45852</v>
      </c>
      <c r="D54" s="18" t="s">
        <v>2583</v>
      </c>
      <c r="E54" s="18" t="s">
        <v>2291</v>
      </c>
      <c r="F54" s="54" t="s">
        <v>3814</v>
      </c>
      <c r="G54" s="19">
        <v>5237.2</v>
      </c>
    </row>
    <row r="55" spans="1:7" x14ac:dyDescent="0.35">
      <c r="A55" s="22" t="s">
        <v>2549</v>
      </c>
      <c r="B55" s="22"/>
      <c r="C55" s="22">
        <v>45852</v>
      </c>
      <c r="D55" s="18" t="s">
        <v>2584</v>
      </c>
      <c r="E55" s="18" t="s">
        <v>2291</v>
      </c>
      <c r="F55" s="54" t="s">
        <v>3814</v>
      </c>
      <c r="G55" s="19">
        <v>18562.18</v>
      </c>
    </row>
    <row r="56" spans="1:7" x14ac:dyDescent="0.35">
      <c r="A56" s="22" t="s">
        <v>2549</v>
      </c>
      <c r="B56" s="22"/>
      <c r="C56" s="22">
        <v>45852</v>
      </c>
      <c r="D56" s="18" t="s">
        <v>2585</v>
      </c>
      <c r="E56" s="18" t="s">
        <v>2291</v>
      </c>
      <c r="F56" s="54" t="s">
        <v>3814</v>
      </c>
      <c r="G56" s="19">
        <v>359.36</v>
      </c>
    </row>
    <row r="57" spans="1:7" x14ac:dyDescent="0.35">
      <c r="A57" s="22" t="s">
        <v>2549</v>
      </c>
      <c r="B57" s="22"/>
      <c r="C57" s="22">
        <v>45852</v>
      </c>
      <c r="D57" s="18" t="s">
        <v>2586</v>
      </c>
      <c r="E57" s="18" t="s">
        <v>2291</v>
      </c>
      <c r="F57" s="54" t="s">
        <v>3814</v>
      </c>
      <c r="G57" s="19">
        <v>15292.17</v>
      </c>
    </row>
    <row r="58" spans="1:7" x14ac:dyDescent="0.35">
      <c r="A58" s="22" t="s">
        <v>2549</v>
      </c>
      <c r="B58" s="22"/>
      <c r="C58" s="22">
        <v>45852</v>
      </c>
      <c r="D58" s="18" t="s">
        <v>2587</v>
      </c>
      <c r="E58" s="18" t="s">
        <v>2291</v>
      </c>
      <c r="F58" s="54" t="s">
        <v>3814</v>
      </c>
      <c r="G58" s="19">
        <v>2271.2399999999998</v>
      </c>
    </row>
    <row r="59" spans="1:7" x14ac:dyDescent="0.35">
      <c r="A59" s="22" t="s">
        <v>2549</v>
      </c>
      <c r="B59" s="22"/>
      <c r="C59" s="22">
        <v>45852</v>
      </c>
      <c r="D59" s="18" t="s">
        <v>2588</v>
      </c>
      <c r="E59" s="18" t="s">
        <v>1269</v>
      </c>
      <c r="F59" s="54" t="s">
        <v>3814</v>
      </c>
      <c r="G59" s="19">
        <v>132628.29</v>
      </c>
    </row>
    <row r="60" spans="1:7" x14ac:dyDescent="0.35">
      <c r="A60" s="22" t="s">
        <v>2549</v>
      </c>
      <c r="B60" s="22"/>
      <c r="C60" s="22">
        <v>45854</v>
      </c>
      <c r="D60" s="18" t="s">
        <v>2589</v>
      </c>
      <c r="E60" s="18" t="s">
        <v>1269</v>
      </c>
      <c r="F60" s="54" t="s">
        <v>3814</v>
      </c>
      <c r="G60" s="19">
        <v>39906.35</v>
      </c>
    </row>
    <row r="61" spans="1:7" x14ac:dyDescent="0.35">
      <c r="A61" s="22" t="s">
        <v>2549</v>
      </c>
      <c r="B61" s="22"/>
      <c r="C61" s="22">
        <v>45854</v>
      </c>
      <c r="D61" s="18" t="s">
        <v>2590</v>
      </c>
      <c r="E61" s="18" t="s">
        <v>1269</v>
      </c>
      <c r="F61" s="54" t="s">
        <v>3814</v>
      </c>
      <c r="G61" s="19">
        <v>7066.7800000000007</v>
      </c>
    </row>
    <row r="62" spans="1:7" x14ac:dyDescent="0.35">
      <c r="A62" s="22" t="s">
        <v>2549</v>
      </c>
      <c r="B62" s="22"/>
      <c r="C62" s="22">
        <v>45856</v>
      </c>
      <c r="D62" s="18" t="s">
        <v>2591</v>
      </c>
      <c r="E62" s="18" t="s">
        <v>1582</v>
      </c>
      <c r="F62" s="54" t="s">
        <v>3814</v>
      </c>
      <c r="G62" s="19">
        <v>49890.8</v>
      </c>
    </row>
    <row r="63" spans="1:7" x14ac:dyDescent="0.35">
      <c r="A63" s="22" t="s">
        <v>2549</v>
      </c>
      <c r="B63" s="22"/>
      <c r="C63" s="22">
        <v>45859</v>
      </c>
      <c r="D63" s="18" t="s">
        <v>2592</v>
      </c>
      <c r="E63" s="18" t="s">
        <v>1712</v>
      </c>
      <c r="F63" s="54" t="s">
        <v>3814</v>
      </c>
      <c r="G63" s="19">
        <v>1980</v>
      </c>
    </row>
    <row r="64" spans="1:7" x14ac:dyDescent="0.35">
      <c r="A64" s="22" t="s">
        <v>2549</v>
      </c>
      <c r="B64" s="22"/>
      <c r="C64" s="22">
        <v>45861</v>
      </c>
      <c r="D64" s="18" t="s">
        <v>2593</v>
      </c>
      <c r="E64" s="18" t="s">
        <v>1004</v>
      </c>
      <c r="F64" s="54" t="s">
        <v>3814</v>
      </c>
      <c r="G64" s="19">
        <v>0</v>
      </c>
    </row>
    <row r="65" spans="1:7" x14ac:dyDescent="0.35">
      <c r="A65" s="22" t="s">
        <v>2549</v>
      </c>
      <c r="B65" s="22"/>
      <c r="C65" s="22">
        <v>45862</v>
      </c>
      <c r="D65" s="18" t="s">
        <v>2594</v>
      </c>
      <c r="E65" s="18" t="s">
        <v>1263</v>
      </c>
      <c r="F65" s="54" t="s">
        <v>3814</v>
      </c>
      <c r="G65" s="19">
        <v>46400</v>
      </c>
    </row>
    <row r="66" spans="1:7" x14ac:dyDescent="0.35">
      <c r="A66" s="22" t="s">
        <v>2549</v>
      </c>
      <c r="B66" s="22"/>
      <c r="C66" s="22">
        <v>45863</v>
      </c>
      <c r="D66" s="18" t="s">
        <v>2595</v>
      </c>
      <c r="E66" s="18" t="s">
        <v>2628</v>
      </c>
      <c r="F66" s="54" t="s">
        <v>3814</v>
      </c>
      <c r="G66" s="19">
        <v>10327.25</v>
      </c>
    </row>
    <row r="67" spans="1:7" x14ac:dyDescent="0.35">
      <c r="A67" s="22" t="s">
        <v>2549</v>
      </c>
      <c r="B67" s="22"/>
      <c r="C67" s="22">
        <v>45863</v>
      </c>
      <c r="D67" s="18" t="s">
        <v>2596</v>
      </c>
      <c r="E67" s="18" t="s">
        <v>2628</v>
      </c>
      <c r="F67" s="54" t="s">
        <v>3814</v>
      </c>
      <c r="G67" s="19">
        <v>1994.6799999999998</v>
      </c>
    </row>
    <row r="68" spans="1:7" x14ac:dyDescent="0.35">
      <c r="A68" s="22" t="s">
        <v>2549</v>
      </c>
      <c r="B68" s="22"/>
      <c r="C68" s="22">
        <v>45863</v>
      </c>
      <c r="D68" s="18">
        <v>38332</v>
      </c>
      <c r="E68" s="18" t="s">
        <v>2629</v>
      </c>
      <c r="F68" s="54" t="s">
        <v>3814</v>
      </c>
      <c r="G68" s="19">
        <v>14089.22</v>
      </c>
    </row>
    <row r="69" spans="1:7" x14ac:dyDescent="0.35">
      <c r="A69" s="22" t="s">
        <v>2549</v>
      </c>
      <c r="B69" s="22"/>
      <c r="C69" s="22">
        <v>45864</v>
      </c>
      <c r="D69" s="18" t="s">
        <v>2597</v>
      </c>
      <c r="E69" s="18" t="s">
        <v>2628</v>
      </c>
      <c r="F69" s="54" t="s">
        <v>3814</v>
      </c>
      <c r="G69" s="19">
        <v>3435.2799999999997</v>
      </c>
    </row>
    <row r="70" spans="1:7" x14ac:dyDescent="0.35">
      <c r="A70" s="22" t="s">
        <v>2549</v>
      </c>
      <c r="B70" s="22"/>
      <c r="C70" s="22">
        <v>45864</v>
      </c>
      <c r="D70" s="18" t="s">
        <v>2598</v>
      </c>
      <c r="E70" s="18" t="s">
        <v>2628</v>
      </c>
      <c r="F70" s="54" t="s">
        <v>3814</v>
      </c>
      <c r="G70" s="19">
        <v>15808.25</v>
      </c>
    </row>
    <row r="71" spans="1:7" x14ac:dyDescent="0.35">
      <c r="A71" s="22" t="s">
        <v>2549</v>
      </c>
      <c r="B71" s="22"/>
      <c r="C71" s="22">
        <v>45864</v>
      </c>
      <c r="D71" s="18" t="s">
        <v>2599</v>
      </c>
      <c r="E71" s="18" t="s">
        <v>2628</v>
      </c>
      <c r="F71" s="54" t="s">
        <v>3814</v>
      </c>
      <c r="G71" s="19">
        <v>210</v>
      </c>
    </row>
    <row r="72" spans="1:7" x14ac:dyDescent="0.35">
      <c r="A72" s="22" t="s">
        <v>2549</v>
      </c>
      <c r="B72" s="22"/>
      <c r="C72" s="22">
        <v>45864</v>
      </c>
      <c r="D72" s="18" t="s">
        <v>2600</v>
      </c>
      <c r="E72" s="18" t="s">
        <v>2629</v>
      </c>
      <c r="F72" s="54" t="s">
        <v>3814</v>
      </c>
      <c r="G72" s="19">
        <v>2402.16</v>
      </c>
    </row>
    <row r="73" spans="1:7" x14ac:dyDescent="0.35">
      <c r="A73" s="22" t="s">
        <v>2549</v>
      </c>
      <c r="B73" s="22"/>
      <c r="C73" s="22">
        <v>45866</v>
      </c>
      <c r="D73" s="18" t="s">
        <v>2601</v>
      </c>
      <c r="E73" s="18" t="s">
        <v>2630</v>
      </c>
      <c r="F73" s="54" t="s">
        <v>3814</v>
      </c>
      <c r="G73" s="19">
        <v>-1550</v>
      </c>
    </row>
    <row r="74" spans="1:7" x14ac:dyDescent="0.35">
      <c r="A74" s="22" t="s">
        <v>2549</v>
      </c>
      <c r="B74" s="22"/>
      <c r="C74" s="22">
        <v>45868</v>
      </c>
      <c r="D74" s="18" t="s">
        <v>2602</v>
      </c>
      <c r="E74" s="18" t="s">
        <v>1608</v>
      </c>
      <c r="F74" s="54" t="s">
        <v>3814</v>
      </c>
      <c r="G74" s="19">
        <v>1421.04</v>
      </c>
    </row>
    <row r="75" spans="1:7" x14ac:dyDescent="0.35">
      <c r="A75" s="22" t="s">
        <v>2549</v>
      </c>
      <c r="B75" s="22"/>
      <c r="C75" s="22">
        <v>45868</v>
      </c>
      <c r="D75" s="18" t="s">
        <v>2604</v>
      </c>
      <c r="E75" s="18" t="s">
        <v>2291</v>
      </c>
      <c r="F75" s="54" t="s">
        <v>3814</v>
      </c>
      <c r="G75" s="19">
        <v>1020</v>
      </c>
    </row>
    <row r="76" spans="1:7" x14ac:dyDescent="0.35">
      <c r="A76" s="22" t="s">
        <v>2549</v>
      </c>
      <c r="B76" s="22"/>
      <c r="C76" s="22">
        <v>45868</v>
      </c>
      <c r="D76" s="18" t="s">
        <v>2605</v>
      </c>
      <c r="E76" s="18" t="s">
        <v>2291</v>
      </c>
      <c r="F76" s="54" t="s">
        <v>3814</v>
      </c>
      <c r="G76" s="19">
        <v>142.97999999999999</v>
      </c>
    </row>
    <row r="77" spans="1:7" x14ac:dyDescent="0.35">
      <c r="A77" s="22" t="s">
        <v>2549</v>
      </c>
      <c r="B77" s="22"/>
      <c r="C77" s="22">
        <v>45868</v>
      </c>
      <c r="D77" s="18" t="s">
        <v>2606</v>
      </c>
      <c r="E77" s="18" t="s">
        <v>2291</v>
      </c>
      <c r="F77" s="54" t="s">
        <v>3814</v>
      </c>
      <c r="G77" s="19">
        <v>14690.13</v>
      </c>
    </row>
    <row r="78" spans="1:7" x14ac:dyDescent="0.35">
      <c r="A78" s="22" t="s">
        <v>2549</v>
      </c>
      <c r="B78" s="22"/>
      <c r="C78" s="22">
        <v>45868</v>
      </c>
      <c r="D78" s="18">
        <v>36570</v>
      </c>
      <c r="E78" s="18" t="s">
        <v>2291</v>
      </c>
      <c r="F78" s="54" t="s">
        <v>3814</v>
      </c>
      <c r="G78" s="19">
        <v>32053.93</v>
      </c>
    </row>
    <row r="79" spans="1:7" x14ac:dyDescent="0.35">
      <c r="A79" s="22" t="s">
        <v>2549</v>
      </c>
      <c r="B79" s="22"/>
      <c r="C79" s="22">
        <v>45868</v>
      </c>
      <c r="D79" s="18" t="s">
        <v>2607</v>
      </c>
      <c r="E79" s="18" t="s">
        <v>2291</v>
      </c>
      <c r="F79" s="54" t="s">
        <v>3814</v>
      </c>
      <c r="G79" s="19">
        <v>4490.03</v>
      </c>
    </row>
    <row r="80" spans="1:7" x14ac:dyDescent="0.35">
      <c r="A80" s="22" t="s">
        <v>2549</v>
      </c>
      <c r="B80" s="22"/>
      <c r="C80" s="22">
        <v>45868</v>
      </c>
      <c r="D80" s="18" t="s">
        <v>2608</v>
      </c>
      <c r="E80" s="18" t="s">
        <v>2291</v>
      </c>
      <c r="F80" s="54" t="s">
        <v>3814</v>
      </c>
      <c r="G80" s="19">
        <v>1557.68</v>
      </c>
    </row>
    <row r="81" spans="1:7" x14ac:dyDescent="0.35">
      <c r="A81" s="22" t="s">
        <v>2549</v>
      </c>
      <c r="B81" s="22"/>
      <c r="C81" s="22">
        <v>45868</v>
      </c>
      <c r="D81" s="18">
        <v>36581</v>
      </c>
      <c r="E81" s="18" t="s">
        <v>2291</v>
      </c>
      <c r="F81" s="54" t="s">
        <v>3814</v>
      </c>
      <c r="G81" s="19">
        <v>3054.2900000000004</v>
      </c>
    </row>
    <row r="82" spans="1:7" x14ac:dyDescent="0.35">
      <c r="A82" s="22" t="s">
        <v>2549</v>
      </c>
      <c r="B82" s="22"/>
      <c r="C82" s="22">
        <v>45868</v>
      </c>
      <c r="D82" s="18" t="s">
        <v>2609</v>
      </c>
      <c r="E82" s="18" t="s">
        <v>2291</v>
      </c>
      <c r="F82" s="54" t="s">
        <v>3814</v>
      </c>
      <c r="G82" s="19">
        <v>3844.7999999999997</v>
      </c>
    </row>
    <row r="83" spans="1:7" x14ac:dyDescent="0.35">
      <c r="A83" s="22" t="s">
        <v>2549</v>
      </c>
      <c r="B83" s="22"/>
      <c r="C83" s="22">
        <v>45868</v>
      </c>
      <c r="D83" s="18" t="s">
        <v>2610</v>
      </c>
      <c r="E83" s="18" t="s">
        <v>1608</v>
      </c>
      <c r="F83" s="54" t="s">
        <v>3814</v>
      </c>
      <c r="G83" s="19">
        <v>835.71</v>
      </c>
    </row>
    <row r="84" spans="1:7" x14ac:dyDescent="0.35">
      <c r="A84" s="22" t="s">
        <v>2549</v>
      </c>
      <c r="B84" s="22"/>
      <c r="C84" s="22">
        <v>45868</v>
      </c>
      <c r="D84" s="18" t="s">
        <v>2611</v>
      </c>
      <c r="E84" s="18" t="s">
        <v>1582</v>
      </c>
      <c r="F84" s="54" t="s">
        <v>3814</v>
      </c>
      <c r="G84" s="19">
        <v>30480.129999999997</v>
      </c>
    </row>
    <row r="85" spans="1:7" x14ac:dyDescent="0.35">
      <c r="A85" s="22" t="s">
        <v>2549</v>
      </c>
      <c r="B85" s="22"/>
      <c r="C85" s="22">
        <v>45869</v>
      </c>
      <c r="D85" s="18" t="s">
        <v>2612</v>
      </c>
      <c r="E85" s="18" t="s">
        <v>1920</v>
      </c>
      <c r="F85" s="54" t="s">
        <v>3814</v>
      </c>
      <c r="G85" s="19">
        <v>6224</v>
      </c>
    </row>
    <row r="86" spans="1:7" x14ac:dyDescent="0.35">
      <c r="A86" s="22" t="s">
        <v>2549</v>
      </c>
      <c r="B86" s="22"/>
      <c r="C86" s="22">
        <v>45869</v>
      </c>
      <c r="D86" s="18">
        <v>35801</v>
      </c>
      <c r="E86" s="18" t="s">
        <v>1475</v>
      </c>
      <c r="F86" s="54" t="s">
        <v>3814</v>
      </c>
      <c r="G86" s="19">
        <v>54642.01</v>
      </c>
    </row>
    <row r="87" spans="1:7" x14ac:dyDescent="0.35">
      <c r="A87" s="22" t="s">
        <v>2549</v>
      </c>
      <c r="B87" s="22"/>
      <c r="C87" s="22">
        <v>45869</v>
      </c>
      <c r="D87" s="18">
        <v>35805</v>
      </c>
      <c r="E87" s="18" t="s">
        <v>1475</v>
      </c>
      <c r="F87" s="54" t="s">
        <v>3814</v>
      </c>
      <c r="G87" s="19">
        <v>66666.91</v>
      </c>
    </row>
    <row r="88" spans="1:7" x14ac:dyDescent="0.35">
      <c r="A88" s="22" t="s">
        <v>2549</v>
      </c>
      <c r="B88" s="22"/>
      <c r="C88" s="22">
        <v>45869</v>
      </c>
      <c r="D88" s="18" t="s">
        <v>2613</v>
      </c>
      <c r="E88" s="18" t="s">
        <v>2291</v>
      </c>
      <c r="F88" s="54" t="s">
        <v>3814</v>
      </c>
      <c r="G88" s="19">
        <v>2467.5</v>
      </c>
    </row>
    <row r="89" spans="1:7" x14ac:dyDescent="0.35">
      <c r="A89" s="22" t="s">
        <v>2549</v>
      </c>
      <c r="B89" s="22"/>
      <c r="C89" s="22">
        <v>45869</v>
      </c>
      <c r="D89" s="18">
        <v>36729</v>
      </c>
      <c r="E89" s="18" t="s">
        <v>1426</v>
      </c>
      <c r="F89" s="54" t="s">
        <v>3814</v>
      </c>
      <c r="G89" s="19">
        <v>2634.29</v>
      </c>
    </row>
    <row r="90" spans="1:7" x14ac:dyDescent="0.35">
      <c r="A90" s="22" t="s">
        <v>2549</v>
      </c>
      <c r="B90" s="22"/>
      <c r="C90" s="22">
        <v>45869</v>
      </c>
      <c r="D90" s="18" t="s">
        <v>2614</v>
      </c>
      <c r="E90" s="18" t="s">
        <v>1924</v>
      </c>
      <c r="F90" s="54" t="s">
        <v>3814</v>
      </c>
      <c r="G90" s="19">
        <v>661.82</v>
      </c>
    </row>
    <row r="91" spans="1:7" x14ac:dyDescent="0.35">
      <c r="A91" s="22" t="s">
        <v>2549</v>
      </c>
      <c r="B91" s="22"/>
      <c r="C91" s="22">
        <v>45869</v>
      </c>
      <c r="D91" s="18" t="s">
        <v>2615</v>
      </c>
      <c r="E91" s="18" t="s">
        <v>1924</v>
      </c>
      <c r="F91" s="54" t="s">
        <v>3814</v>
      </c>
      <c r="G91" s="19">
        <v>8545.64</v>
      </c>
    </row>
    <row r="92" spans="1:7" x14ac:dyDescent="0.35">
      <c r="A92" s="22" t="s">
        <v>2549</v>
      </c>
      <c r="B92" s="22"/>
      <c r="C92" s="22">
        <v>45869</v>
      </c>
      <c r="D92" s="18" t="s">
        <v>2616</v>
      </c>
      <c r="E92" s="18" t="s">
        <v>1272</v>
      </c>
      <c r="F92" s="54" t="s">
        <v>3814</v>
      </c>
      <c r="G92" s="19">
        <v>75546.240000000005</v>
      </c>
    </row>
    <row r="93" spans="1:7" x14ac:dyDescent="0.35">
      <c r="A93" s="22" t="s">
        <v>2549</v>
      </c>
      <c r="B93" s="22"/>
      <c r="C93" s="22">
        <v>45869</v>
      </c>
      <c r="D93" s="18">
        <v>37239</v>
      </c>
      <c r="E93" s="18" t="s">
        <v>1475</v>
      </c>
      <c r="F93" s="54" t="s">
        <v>3814</v>
      </c>
      <c r="G93" s="19">
        <v>0</v>
      </c>
    </row>
    <row r="94" spans="1:7" x14ac:dyDescent="0.35">
      <c r="A94" s="22" t="s">
        <v>2549</v>
      </c>
      <c r="B94" s="22"/>
      <c r="C94" s="22">
        <v>45869</v>
      </c>
      <c r="D94" s="18">
        <v>37283</v>
      </c>
      <c r="E94" s="18" t="s">
        <v>1924</v>
      </c>
      <c r="F94" s="54" t="s">
        <v>3814</v>
      </c>
      <c r="G94" s="19">
        <v>0</v>
      </c>
    </row>
    <row r="95" spans="1:7" x14ac:dyDescent="0.35">
      <c r="A95" s="22" t="s">
        <v>2549</v>
      </c>
      <c r="B95" s="22"/>
      <c r="C95" s="22">
        <v>45869</v>
      </c>
      <c r="D95" s="18">
        <v>37369</v>
      </c>
      <c r="E95" s="18" t="s">
        <v>992</v>
      </c>
      <c r="F95" s="54" t="s">
        <v>3814</v>
      </c>
      <c r="G95" s="19">
        <v>527.91999999999996</v>
      </c>
    </row>
    <row r="96" spans="1:7" x14ac:dyDescent="0.35">
      <c r="A96" s="22" t="s">
        <v>2549</v>
      </c>
      <c r="B96" s="22"/>
      <c r="C96" s="22">
        <v>45869</v>
      </c>
      <c r="D96" s="18" t="s">
        <v>2617</v>
      </c>
      <c r="E96" s="18" t="s">
        <v>1035</v>
      </c>
      <c r="F96" s="54" t="s">
        <v>3814</v>
      </c>
      <c r="G96" s="19">
        <v>0</v>
      </c>
    </row>
    <row r="97" spans="1:7" x14ac:dyDescent="0.35">
      <c r="A97" s="22" t="s">
        <v>2549</v>
      </c>
      <c r="B97" s="22"/>
      <c r="C97" s="22">
        <v>45869</v>
      </c>
      <c r="D97" s="18">
        <v>37682</v>
      </c>
      <c r="E97" s="18" t="s">
        <v>1263</v>
      </c>
      <c r="F97" s="54" t="s">
        <v>3814</v>
      </c>
      <c r="G97" s="19">
        <v>50982.97</v>
      </c>
    </row>
    <row r="98" spans="1:7" x14ac:dyDescent="0.35">
      <c r="A98" s="22" t="s">
        <v>2549</v>
      </c>
      <c r="B98" s="22"/>
      <c r="C98" s="22">
        <v>45869</v>
      </c>
      <c r="D98" s="18" t="s">
        <v>2618</v>
      </c>
      <c r="E98" s="18" t="s">
        <v>1426</v>
      </c>
      <c r="F98" s="54" t="s">
        <v>3814</v>
      </c>
      <c r="G98" s="19">
        <v>0</v>
      </c>
    </row>
    <row r="99" spans="1:7" x14ac:dyDescent="0.35">
      <c r="A99" s="22" t="s">
        <v>2549</v>
      </c>
      <c r="B99" s="22"/>
      <c r="C99" s="22">
        <v>45869</v>
      </c>
      <c r="D99" s="18" t="s">
        <v>2619</v>
      </c>
      <c r="E99" s="18" t="s">
        <v>1223</v>
      </c>
      <c r="F99" s="54" t="s">
        <v>3814</v>
      </c>
      <c r="G99" s="19">
        <v>82308.680000000008</v>
      </c>
    </row>
    <row r="100" spans="1:7" x14ac:dyDescent="0.35">
      <c r="A100" s="22" t="s">
        <v>2549</v>
      </c>
      <c r="B100" s="22"/>
      <c r="C100" s="22">
        <v>45869</v>
      </c>
      <c r="D100" s="18" t="s">
        <v>2620</v>
      </c>
      <c r="E100" s="18" t="s">
        <v>1223</v>
      </c>
      <c r="F100" s="54" t="s">
        <v>3814</v>
      </c>
      <c r="G100" s="19">
        <v>1444188.4900000002</v>
      </c>
    </row>
    <row r="101" spans="1:7" x14ac:dyDescent="0.35">
      <c r="A101" s="22" t="s">
        <v>2549</v>
      </c>
      <c r="B101" s="22"/>
      <c r="C101" s="22">
        <v>45869</v>
      </c>
      <c r="D101" s="18">
        <v>38362</v>
      </c>
      <c r="E101" s="18" t="s">
        <v>1223</v>
      </c>
      <c r="F101" s="54" t="s">
        <v>3814</v>
      </c>
      <c r="G101" s="19">
        <v>184356.52</v>
      </c>
    </row>
    <row r="102" spans="1:7" x14ac:dyDescent="0.35">
      <c r="A102" s="22" t="s">
        <v>2549</v>
      </c>
      <c r="B102" s="22"/>
      <c r="C102" s="22">
        <v>45869</v>
      </c>
      <c r="D102" s="18" t="s">
        <v>2621</v>
      </c>
      <c r="E102" s="18" t="s">
        <v>1223</v>
      </c>
      <c r="F102" s="54" t="s">
        <v>3814</v>
      </c>
      <c r="G102" s="19">
        <v>65372.56</v>
      </c>
    </row>
    <row r="103" spans="1:7" x14ac:dyDescent="0.35">
      <c r="A103" s="22" t="s">
        <v>2549</v>
      </c>
      <c r="B103" s="22"/>
      <c r="C103" s="22">
        <v>45869</v>
      </c>
      <c r="D103" s="18" t="s">
        <v>2622</v>
      </c>
      <c r="E103" s="18" t="s">
        <v>1223</v>
      </c>
      <c r="F103" s="54" t="s">
        <v>3814</v>
      </c>
      <c r="G103" s="19">
        <v>88431.1</v>
      </c>
    </row>
    <row r="104" spans="1:7" x14ac:dyDescent="0.35">
      <c r="A104" s="22" t="s">
        <v>2549</v>
      </c>
      <c r="B104" s="22"/>
      <c r="C104" s="22">
        <v>45869</v>
      </c>
      <c r="D104" s="18" t="s">
        <v>2623</v>
      </c>
      <c r="E104" s="18" t="s">
        <v>1223</v>
      </c>
      <c r="F104" s="54" t="s">
        <v>3814</v>
      </c>
      <c r="G104" s="19">
        <v>0</v>
      </c>
    </row>
    <row r="105" spans="1:7" x14ac:dyDescent="0.35">
      <c r="A105" s="22" t="s">
        <v>2549</v>
      </c>
      <c r="B105" s="22"/>
      <c r="C105" s="22">
        <v>45869</v>
      </c>
      <c r="D105" s="18" t="s">
        <v>2624</v>
      </c>
      <c r="E105" s="18" t="s">
        <v>1223</v>
      </c>
      <c r="F105" s="54" t="s">
        <v>3814</v>
      </c>
      <c r="G105" s="19">
        <v>44144.76</v>
      </c>
    </row>
    <row r="106" spans="1:7" x14ac:dyDescent="0.35">
      <c r="A106" s="22" t="s">
        <v>2549</v>
      </c>
      <c r="B106" s="22"/>
      <c r="C106" s="22">
        <v>45869</v>
      </c>
      <c r="D106" s="18">
        <v>38384</v>
      </c>
      <c r="E106" s="18" t="s">
        <v>1269</v>
      </c>
      <c r="F106" s="54" t="s">
        <v>3814</v>
      </c>
      <c r="G106" s="19">
        <v>11929.05</v>
      </c>
    </row>
    <row r="107" spans="1:7" x14ac:dyDescent="0.35">
      <c r="A107" s="22" t="s">
        <v>2549</v>
      </c>
      <c r="B107" s="22"/>
      <c r="C107" s="22">
        <v>45869</v>
      </c>
      <c r="D107" s="18" t="s">
        <v>2625</v>
      </c>
      <c r="E107" s="18" t="s">
        <v>1269</v>
      </c>
      <c r="F107" s="54" t="s">
        <v>3814</v>
      </c>
      <c r="G107" s="19">
        <v>19733.669999999998</v>
      </c>
    </row>
    <row r="108" spans="1:7" x14ac:dyDescent="0.35">
      <c r="A108" s="22" t="s">
        <v>2549</v>
      </c>
      <c r="B108" s="22"/>
      <c r="C108" s="22">
        <v>45869</v>
      </c>
      <c r="D108" s="18">
        <v>38400</v>
      </c>
      <c r="E108" s="18" t="s">
        <v>1269</v>
      </c>
      <c r="F108" s="54" t="s">
        <v>3814</v>
      </c>
      <c r="G108" s="19">
        <v>22091.87</v>
      </c>
    </row>
    <row r="109" spans="1:7" x14ac:dyDescent="0.35">
      <c r="A109" s="22" t="s">
        <v>2549</v>
      </c>
      <c r="B109" s="22"/>
      <c r="C109" s="22">
        <v>45869</v>
      </c>
      <c r="D109" s="18">
        <v>38623</v>
      </c>
      <c r="E109" s="18" t="s">
        <v>2456</v>
      </c>
      <c r="F109" s="54" t="s">
        <v>3814</v>
      </c>
      <c r="G109" s="19">
        <v>4720</v>
      </c>
    </row>
    <row r="110" spans="1:7" x14ac:dyDescent="0.35">
      <c r="A110" s="22" t="s">
        <v>2549</v>
      </c>
      <c r="B110" s="22"/>
      <c r="C110" s="22">
        <v>45869</v>
      </c>
      <c r="D110" s="18">
        <v>38724</v>
      </c>
      <c r="E110" s="18" t="s">
        <v>2631</v>
      </c>
      <c r="F110" s="54" t="s">
        <v>3814</v>
      </c>
      <c r="G110" s="19">
        <v>0</v>
      </c>
    </row>
    <row r="111" spans="1:7" x14ac:dyDescent="0.35">
      <c r="A111" s="22" t="s">
        <v>2549</v>
      </c>
      <c r="C111" s="32">
        <v>45839</v>
      </c>
      <c r="D111" s="33" t="s">
        <v>2558</v>
      </c>
      <c r="E111" s="18" t="s">
        <v>1475</v>
      </c>
      <c r="F111" s="54" t="s">
        <v>3815</v>
      </c>
      <c r="G111" s="21">
        <v>33690.51</v>
      </c>
    </row>
    <row r="112" spans="1:7" x14ac:dyDescent="0.35">
      <c r="A112" s="22" t="s">
        <v>2549</v>
      </c>
      <c r="C112" s="32">
        <v>45868</v>
      </c>
      <c r="D112" s="33">
        <v>36570</v>
      </c>
      <c r="E112" s="18" t="s">
        <v>2291</v>
      </c>
      <c r="F112" s="54" t="s">
        <v>3814</v>
      </c>
      <c r="G112" s="21">
        <v>16950</v>
      </c>
    </row>
    <row r="113" spans="1:7" x14ac:dyDescent="0.35">
      <c r="A113" s="22" t="s">
        <v>2549</v>
      </c>
      <c r="C113" s="32">
        <v>45868</v>
      </c>
      <c r="D113" s="33">
        <v>36581</v>
      </c>
      <c r="E113" s="18" t="s">
        <v>2291</v>
      </c>
      <c r="F113" s="54" t="s">
        <v>3814</v>
      </c>
      <c r="G113" s="21">
        <v>2850</v>
      </c>
    </row>
    <row r="114" spans="1:7" x14ac:dyDescent="0.35">
      <c r="A114" s="22" t="s">
        <v>2549</v>
      </c>
      <c r="C114" s="32">
        <v>45869</v>
      </c>
      <c r="D114" s="33" t="s">
        <v>2632</v>
      </c>
      <c r="E114" s="18" t="s">
        <v>1999</v>
      </c>
      <c r="F114" s="54" t="s">
        <v>3814</v>
      </c>
      <c r="G114" s="21">
        <v>5492.4</v>
      </c>
    </row>
    <row r="115" spans="1:7" x14ac:dyDescent="0.35">
      <c r="A115" s="22" t="s">
        <v>2549</v>
      </c>
      <c r="C115" s="32">
        <v>45869</v>
      </c>
      <c r="D115" s="33">
        <v>36729</v>
      </c>
      <c r="E115" s="18" t="s">
        <v>1426</v>
      </c>
      <c r="F115" s="54" t="s">
        <v>3814</v>
      </c>
      <c r="G115" s="21">
        <v>8600</v>
      </c>
    </row>
    <row r="116" spans="1:7" x14ac:dyDescent="0.35">
      <c r="A116" s="18" t="s">
        <v>2549</v>
      </c>
      <c r="C116" s="22">
        <v>45839</v>
      </c>
      <c r="D116" s="18">
        <v>33555</v>
      </c>
      <c r="E116" s="18" t="s">
        <v>2555</v>
      </c>
      <c r="F116" s="54" t="s">
        <v>3816</v>
      </c>
      <c r="G116" s="21">
        <v>3894.22</v>
      </c>
    </row>
    <row r="117" spans="1:7" x14ac:dyDescent="0.35">
      <c r="A117" s="18" t="s">
        <v>2549</v>
      </c>
      <c r="C117" s="22">
        <v>45839</v>
      </c>
      <c r="D117" s="18">
        <v>35518</v>
      </c>
      <c r="E117" s="18" t="s">
        <v>1549</v>
      </c>
      <c r="F117" s="54" t="s">
        <v>3816</v>
      </c>
      <c r="G117" s="21">
        <v>3631.49</v>
      </c>
    </row>
    <row r="118" spans="1:7" x14ac:dyDescent="0.35">
      <c r="A118" s="18" t="s">
        <v>2549</v>
      </c>
      <c r="C118" s="22">
        <v>45839</v>
      </c>
      <c r="D118" s="18">
        <v>36221</v>
      </c>
      <c r="E118" s="18" t="s">
        <v>1334</v>
      </c>
      <c r="F118" s="54" t="s">
        <v>3816</v>
      </c>
      <c r="G118" s="21">
        <v>0</v>
      </c>
    </row>
    <row r="119" spans="1:7" x14ac:dyDescent="0.35">
      <c r="A119" s="18" t="s">
        <v>2549</v>
      </c>
      <c r="C119" s="22">
        <v>45839</v>
      </c>
      <c r="D119" s="18" t="s">
        <v>2560</v>
      </c>
      <c r="E119" s="18" t="s">
        <v>2220</v>
      </c>
      <c r="F119" s="54" t="s">
        <v>3816</v>
      </c>
      <c r="G119" s="21">
        <v>2080.08</v>
      </c>
    </row>
    <row r="120" spans="1:7" x14ac:dyDescent="0.35">
      <c r="A120" s="18" t="s">
        <v>2549</v>
      </c>
      <c r="C120" s="22">
        <v>45839</v>
      </c>
      <c r="D120" s="18">
        <v>38130</v>
      </c>
      <c r="E120" s="18" t="s">
        <v>2276</v>
      </c>
      <c r="F120" s="54" t="s">
        <v>3816</v>
      </c>
      <c r="G120" s="21">
        <v>221.95</v>
      </c>
    </row>
    <row r="121" spans="1:7" x14ac:dyDescent="0.35">
      <c r="A121" s="18" t="s">
        <v>2549</v>
      </c>
      <c r="C121" s="22">
        <v>45846</v>
      </c>
      <c r="D121" s="18">
        <v>38187</v>
      </c>
      <c r="E121" s="18" t="s">
        <v>2626</v>
      </c>
      <c r="F121" s="54" t="s">
        <v>3816</v>
      </c>
      <c r="G121" s="21">
        <v>872.8</v>
      </c>
    </row>
    <row r="122" spans="1:7" x14ac:dyDescent="0.35">
      <c r="A122" s="18" t="s">
        <v>2549</v>
      </c>
      <c r="C122" s="22">
        <v>45846</v>
      </c>
      <c r="D122" s="18">
        <v>38196</v>
      </c>
      <c r="E122" s="18" t="s">
        <v>2626</v>
      </c>
      <c r="F122" s="54" t="s">
        <v>3816</v>
      </c>
      <c r="G122" s="21">
        <v>1896.1</v>
      </c>
    </row>
    <row r="123" spans="1:7" x14ac:dyDescent="0.35">
      <c r="A123" s="18" t="s">
        <v>2549</v>
      </c>
      <c r="C123" s="22">
        <v>45846</v>
      </c>
      <c r="D123" s="18">
        <v>38396</v>
      </c>
      <c r="E123" s="18" t="s">
        <v>1269</v>
      </c>
      <c r="F123" s="54" t="s">
        <v>3816</v>
      </c>
      <c r="G123" s="21">
        <v>102.17</v>
      </c>
    </row>
    <row r="124" spans="1:7" x14ac:dyDescent="0.35">
      <c r="A124" s="18" t="s">
        <v>2549</v>
      </c>
      <c r="C124" s="22">
        <v>45852</v>
      </c>
      <c r="D124" s="18" t="s">
        <v>2585</v>
      </c>
      <c r="E124" s="18" t="s">
        <v>2291</v>
      </c>
      <c r="F124" s="54" t="s">
        <v>3816</v>
      </c>
      <c r="G124" s="21">
        <v>2369.63</v>
      </c>
    </row>
    <row r="125" spans="1:7" x14ac:dyDescent="0.35">
      <c r="A125" s="18" t="s">
        <v>2549</v>
      </c>
      <c r="C125" s="22">
        <v>45852</v>
      </c>
      <c r="D125" s="18" t="s">
        <v>2586</v>
      </c>
      <c r="E125" s="18" t="s">
        <v>2291</v>
      </c>
      <c r="F125" s="54" t="s">
        <v>3816</v>
      </c>
      <c r="G125" s="21">
        <v>4586.59</v>
      </c>
    </row>
    <row r="126" spans="1:7" x14ac:dyDescent="0.35">
      <c r="A126" s="18" t="s">
        <v>2549</v>
      </c>
      <c r="C126" s="22">
        <v>45856</v>
      </c>
      <c r="D126" s="18" t="s">
        <v>2591</v>
      </c>
      <c r="E126" s="18" t="s">
        <v>1582</v>
      </c>
      <c r="F126" s="54" t="s">
        <v>3816</v>
      </c>
      <c r="G126" s="21">
        <v>47554.7</v>
      </c>
    </row>
    <row r="127" spans="1:7" x14ac:dyDescent="0.35">
      <c r="A127" s="18" t="s">
        <v>2549</v>
      </c>
      <c r="C127" s="22">
        <v>45863</v>
      </c>
      <c r="D127" s="18" t="s">
        <v>2595</v>
      </c>
      <c r="E127" s="18" t="s">
        <v>2628</v>
      </c>
      <c r="F127" s="54" t="s">
        <v>3816</v>
      </c>
      <c r="G127" s="21">
        <v>4629.84</v>
      </c>
    </row>
    <row r="128" spans="1:7" x14ac:dyDescent="0.35">
      <c r="A128" s="18" t="s">
        <v>2549</v>
      </c>
      <c r="C128" s="22">
        <v>45863</v>
      </c>
      <c r="D128" s="18" t="s">
        <v>2596</v>
      </c>
      <c r="E128" s="18" t="s">
        <v>2628</v>
      </c>
      <c r="F128" s="54" t="s">
        <v>3816</v>
      </c>
      <c r="G128" s="21">
        <v>523.51</v>
      </c>
    </row>
    <row r="129" spans="1:7" x14ac:dyDescent="0.35">
      <c r="A129" s="18" t="s">
        <v>2549</v>
      </c>
      <c r="C129" s="22">
        <v>45863</v>
      </c>
      <c r="D129" s="18">
        <v>38332</v>
      </c>
      <c r="E129" s="18" t="s">
        <v>2629</v>
      </c>
      <c r="F129" s="54" t="s">
        <v>3816</v>
      </c>
      <c r="G129" s="21">
        <v>1408.92</v>
      </c>
    </row>
    <row r="130" spans="1:7" x14ac:dyDescent="0.35">
      <c r="A130" s="18" t="s">
        <v>2549</v>
      </c>
      <c r="C130" s="22">
        <v>45868</v>
      </c>
      <c r="D130" s="18">
        <v>36570</v>
      </c>
      <c r="E130" s="18" t="s">
        <v>2291</v>
      </c>
      <c r="F130" s="54" t="s">
        <v>3816</v>
      </c>
      <c r="G130" s="21">
        <v>3205.43</v>
      </c>
    </row>
    <row r="131" spans="1:7" x14ac:dyDescent="0.35">
      <c r="A131" s="18" t="s">
        <v>2549</v>
      </c>
      <c r="C131" s="22">
        <v>45868</v>
      </c>
      <c r="D131" s="18">
        <v>36581</v>
      </c>
      <c r="E131" s="18" t="s">
        <v>2291</v>
      </c>
      <c r="F131" s="54" t="s">
        <v>3816</v>
      </c>
      <c r="G131" s="21">
        <v>305.43</v>
      </c>
    </row>
    <row r="132" spans="1:7" x14ac:dyDescent="0.35">
      <c r="A132" s="18" t="s">
        <v>2549</v>
      </c>
      <c r="C132" s="22">
        <v>45868</v>
      </c>
      <c r="D132" s="18" t="s">
        <v>2611</v>
      </c>
      <c r="E132" s="18" t="s">
        <v>1582</v>
      </c>
      <c r="F132" s="54" t="s">
        <v>3816</v>
      </c>
      <c r="G132" s="21">
        <v>12630.12</v>
      </c>
    </row>
    <row r="133" spans="1:7" x14ac:dyDescent="0.35">
      <c r="A133" s="18" t="s">
        <v>2549</v>
      </c>
      <c r="C133" s="22">
        <v>45869</v>
      </c>
      <c r="D133" s="18">
        <v>35801</v>
      </c>
      <c r="E133" s="18" t="s">
        <v>1475</v>
      </c>
      <c r="F133" s="54" t="s">
        <v>3816</v>
      </c>
      <c r="G133" s="21">
        <v>9350</v>
      </c>
    </row>
    <row r="134" spans="1:7" x14ac:dyDescent="0.35">
      <c r="A134" s="18" t="s">
        <v>2549</v>
      </c>
      <c r="C134" s="22">
        <v>45869</v>
      </c>
      <c r="D134" s="18">
        <v>35805</v>
      </c>
      <c r="E134" s="18" t="s">
        <v>1475</v>
      </c>
      <c r="F134" s="54" t="s">
        <v>3816</v>
      </c>
      <c r="G134" s="21">
        <v>14435.92</v>
      </c>
    </row>
    <row r="135" spans="1:7" x14ac:dyDescent="0.35">
      <c r="A135" s="18" t="s">
        <v>2549</v>
      </c>
      <c r="C135" s="22">
        <v>45869</v>
      </c>
      <c r="D135" s="18">
        <v>36729</v>
      </c>
      <c r="E135" s="18" t="s">
        <v>1426</v>
      </c>
      <c r="F135" s="54" t="s">
        <v>3816</v>
      </c>
      <c r="G135" s="21">
        <v>300.86</v>
      </c>
    </row>
    <row r="136" spans="1:7" x14ac:dyDescent="0.35">
      <c r="A136" s="18" t="s">
        <v>2549</v>
      </c>
      <c r="C136" s="22">
        <v>45869</v>
      </c>
      <c r="D136" s="18">
        <v>37682</v>
      </c>
      <c r="E136" s="18" t="s">
        <v>1263</v>
      </c>
      <c r="F136" s="54" t="s">
        <v>3816</v>
      </c>
      <c r="G136" s="21">
        <v>4893.4399999999996</v>
      </c>
    </row>
    <row r="137" spans="1:7" x14ac:dyDescent="0.35">
      <c r="A137" s="18" t="s">
        <v>2549</v>
      </c>
      <c r="C137" s="22">
        <v>45869</v>
      </c>
      <c r="D137" s="18">
        <v>38362</v>
      </c>
      <c r="E137" s="18" t="s">
        <v>1223</v>
      </c>
      <c r="F137" s="54" t="s">
        <v>3816</v>
      </c>
      <c r="G137" s="21">
        <v>34212.879999999997</v>
      </c>
    </row>
    <row r="138" spans="1:7" x14ac:dyDescent="0.35">
      <c r="A138" s="18" t="s">
        <v>2549</v>
      </c>
      <c r="C138" s="22">
        <v>45869</v>
      </c>
      <c r="D138" s="18">
        <v>38384</v>
      </c>
      <c r="E138" s="18" t="s">
        <v>1269</v>
      </c>
      <c r="F138" s="54" t="s">
        <v>3816</v>
      </c>
      <c r="G138" s="21">
        <v>3921.75</v>
      </c>
    </row>
    <row r="139" spans="1:7" x14ac:dyDescent="0.35">
      <c r="A139" s="18" t="s">
        <v>2549</v>
      </c>
      <c r="C139" s="22">
        <v>45869</v>
      </c>
      <c r="D139" s="18">
        <v>38400</v>
      </c>
      <c r="E139" s="18" t="s">
        <v>1269</v>
      </c>
      <c r="F139" s="54" t="s">
        <v>3816</v>
      </c>
      <c r="G139" s="21">
        <v>10904.08</v>
      </c>
    </row>
    <row r="140" spans="1:7" x14ac:dyDescent="0.35">
      <c r="A140" s="18" t="s">
        <v>2549</v>
      </c>
      <c r="C140" s="22">
        <v>45869</v>
      </c>
      <c r="D140" s="18">
        <v>38623</v>
      </c>
      <c r="E140" s="18" t="s">
        <v>2456</v>
      </c>
      <c r="F140" s="54" t="s">
        <v>3816</v>
      </c>
      <c r="G140" s="21">
        <v>10400</v>
      </c>
    </row>
    <row r="141" spans="1:7" x14ac:dyDescent="0.35">
      <c r="A141" s="18" t="s">
        <v>2549</v>
      </c>
      <c r="C141" s="22">
        <v>45839</v>
      </c>
      <c r="D141" s="18" t="s">
        <v>2558</v>
      </c>
      <c r="E141" s="18" t="s">
        <v>1475</v>
      </c>
      <c r="F141" s="62" t="s">
        <v>3815</v>
      </c>
      <c r="G141" s="21">
        <v>33690.51</v>
      </c>
    </row>
    <row r="142" spans="1:7" x14ac:dyDescent="0.35">
      <c r="A142" s="18" t="s">
        <v>2549</v>
      </c>
      <c r="C142" s="22">
        <v>45868</v>
      </c>
      <c r="D142" s="18">
        <v>36570</v>
      </c>
      <c r="E142" s="18" t="s">
        <v>2291</v>
      </c>
      <c r="F142" s="62" t="s">
        <v>3815</v>
      </c>
      <c r="G142" s="21">
        <v>16950</v>
      </c>
    </row>
    <row r="143" spans="1:7" x14ac:dyDescent="0.35">
      <c r="A143" s="18" t="s">
        <v>2549</v>
      </c>
      <c r="C143" s="22">
        <v>45868</v>
      </c>
      <c r="D143" s="18">
        <v>36581</v>
      </c>
      <c r="E143" s="18" t="s">
        <v>2291</v>
      </c>
      <c r="F143" s="62" t="s">
        <v>3815</v>
      </c>
      <c r="G143" s="21">
        <v>2850</v>
      </c>
    </row>
    <row r="144" spans="1:7" x14ac:dyDescent="0.35">
      <c r="A144" s="18" t="s">
        <v>2549</v>
      </c>
      <c r="C144" s="22">
        <v>45869</v>
      </c>
      <c r="D144" s="18" t="s">
        <v>2632</v>
      </c>
      <c r="E144" s="18" t="s">
        <v>1999</v>
      </c>
      <c r="F144" s="62" t="s">
        <v>3815</v>
      </c>
      <c r="G144" s="21">
        <v>5492.4</v>
      </c>
    </row>
    <row r="145" spans="1:8" x14ac:dyDescent="0.35">
      <c r="A145" s="18" t="s">
        <v>2549</v>
      </c>
      <c r="C145" s="22">
        <v>45869</v>
      </c>
      <c r="D145" s="18">
        <v>36729</v>
      </c>
      <c r="E145" s="18" t="s">
        <v>1426</v>
      </c>
      <c r="F145" s="62" t="s">
        <v>3815</v>
      </c>
      <c r="G145" s="21">
        <v>8600</v>
      </c>
    </row>
    <row r="146" spans="1:8" x14ac:dyDescent="0.35">
      <c r="A146" s="22"/>
      <c r="B146" s="22" t="s">
        <v>2550</v>
      </c>
      <c r="C146" s="22">
        <v>45839</v>
      </c>
      <c r="D146" s="18" t="s">
        <v>2548</v>
      </c>
      <c r="E146" s="18" t="s">
        <v>2197</v>
      </c>
      <c r="F146" s="54" t="s">
        <v>3814</v>
      </c>
      <c r="H146" s="19">
        <v>1382.35</v>
      </c>
    </row>
    <row r="147" spans="1:8" x14ac:dyDescent="0.35">
      <c r="A147" s="22"/>
      <c r="B147" s="22" t="s">
        <v>2550</v>
      </c>
      <c r="C147" s="22">
        <v>45839</v>
      </c>
      <c r="D147" s="18">
        <v>33555</v>
      </c>
      <c r="E147" s="18" t="s">
        <v>2555</v>
      </c>
      <c r="F147" s="54" t="s">
        <v>3814</v>
      </c>
      <c r="H147" s="19">
        <v>15931.58</v>
      </c>
    </row>
    <row r="148" spans="1:8" x14ac:dyDescent="0.35">
      <c r="A148" s="22"/>
      <c r="B148" s="22" t="s">
        <v>2550</v>
      </c>
      <c r="C148" s="22">
        <v>45839</v>
      </c>
      <c r="D148" s="18" t="s">
        <v>2551</v>
      </c>
      <c r="E148" s="18" t="s">
        <v>2020</v>
      </c>
      <c r="F148" s="54" t="s">
        <v>3814</v>
      </c>
      <c r="H148" s="19">
        <v>1222</v>
      </c>
    </row>
    <row r="149" spans="1:8" x14ac:dyDescent="0.35">
      <c r="A149" s="22"/>
      <c r="B149" s="22" t="s">
        <v>2550</v>
      </c>
      <c r="C149" s="22">
        <v>45839</v>
      </c>
      <c r="D149" s="18" t="s">
        <v>2552</v>
      </c>
      <c r="E149" s="18" t="s">
        <v>2132</v>
      </c>
      <c r="F149" s="54" t="s">
        <v>3814</v>
      </c>
      <c r="H149" s="19">
        <v>0</v>
      </c>
    </row>
    <row r="150" spans="1:8" x14ac:dyDescent="0.35">
      <c r="A150" s="22"/>
      <c r="B150" s="22" t="s">
        <v>2550</v>
      </c>
      <c r="C150" s="22">
        <v>45839</v>
      </c>
      <c r="D150" s="18">
        <v>33984</v>
      </c>
      <c r="E150" s="18" t="s">
        <v>2547</v>
      </c>
      <c r="F150" s="54" t="s">
        <v>3814</v>
      </c>
      <c r="H150" s="19">
        <v>0</v>
      </c>
    </row>
    <row r="151" spans="1:8" x14ac:dyDescent="0.35">
      <c r="A151" s="22"/>
      <c r="B151" s="22" t="s">
        <v>2550</v>
      </c>
      <c r="C151" s="22">
        <v>45839</v>
      </c>
      <c r="D151" s="18">
        <v>34076</v>
      </c>
      <c r="E151" s="18" t="s">
        <v>2562</v>
      </c>
      <c r="F151" s="54" t="s">
        <v>3814</v>
      </c>
      <c r="H151" s="19">
        <v>0</v>
      </c>
    </row>
    <row r="152" spans="1:8" x14ac:dyDescent="0.35">
      <c r="A152" s="22"/>
      <c r="B152" s="22" t="s">
        <v>2550</v>
      </c>
      <c r="C152" s="22">
        <v>45839</v>
      </c>
      <c r="D152" s="18" t="s">
        <v>2553</v>
      </c>
      <c r="E152" s="18" t="s">
        <v>2197</v>
      </c>
      <c r="F152" s="54" t="s">
        <v>3814</v>
      </c>
      <c r="H152" s="19">
        <v>0</v>
      </c>
    </row>
    <row r="153" spans="1:8" x14ac:dyDescent="0.35">
      <c r="A153" s="22"/>
      <c r="B153" s="22" t="s">
        <v>2550</v>
      </c>
      <c r="C153" s="22">
        <v>45839</v>
      </c>
      <c r="D153" s="18" t="s">
        <v>2554</v>
      </c>
      <c r="E153" s="18" t="s">
        <v>2033</v>
      </c>
      <c r="F153" s="54" t="s">
        <v>3814</v>
      </c>
      <c r="H153" s="19">
        <v>545</v>
      </c>
    </row>
    <row r="154" spans="1:8" x14ac:dyDescent="0.35">
      <c r="A154" s="22"/>
      <c r="B154" s="22" t="s">
        <v>2550</v>
      </c>
      <c r="C154" s="22">
        <v>45839</v>
      </c>
      <c r="D154" s="18" t="s">
        <v>2556</v>
      </c>
      <c r="E154" s="18" t="s">
        <v>2575</v>
      </c>
      <c r="F154" s="54" t="s">
        <v>3814</v>
      </c>
      <c r="H154" s="19">
        <v>453.12</v>
      </c>
    </row>
    <row r="155" spans="1:8" x14ac:dyDescent="0.35">
      <c r="A155" s="22"/>
      <c r="B155" s="22" t="s">
        <v>2550</v>
      </c>
      <c r="C155" s="22">
        <v>45839</v>
      </c>
      <c r="D155" s="18">
        <v>34967</v>
      </c>
      <c r="E155" s="18" t="s">
        <v>2079</v>
      </c>
      <c r="F155" s="54" t="s">
        <v>3814</v>
      </c>
      <c r="H155" s="19">
        <v>3736.32</v>
      </c>
    </row>
    <row r="156" spans="1:8" x14ac:dyDescent="0.35">
      <c r="A156" s="22"/>
      <c r="B156" s="22" t="s">
        <v>2550</v>
      </c>
      <c r="C156" s="22">
        <v>45839</v>
      </c>
      <c r="D156" s="18">
        <v>35518</v>
      </c>
      <c r="E156" s="18" t="s">
        <v>1549</v>
      </c>
      <c r="F156" s="54" t="s">
        <v>3814</v>
      </c>
      <c r="H156" s="19">
        <v>35954.480000000003</v>
      </c>
    </row>
    <row r="157" spans="1:8" x14ac:dyDescent="0.35">
      <c r="A157" s="22"/>
      <c r="B157" s="22" t="s">
        <v>2550</v>
      </c>
      <c r="C157" s="22">
        <v>45839</v>
      </c>
      <c r="D157" s="18">
        <v>36158</v>
      </c>
      <c r="E157" s="18" t="s">
        <v>301</v>
      </c>
      <c r="F157" s="54" t="s">
        <v>3814</v>
      </c>
      <c r="H157" s="19">
        <v>0</v>
      </c>
    </row>
    <row r="158" spans="1:8" x14ac:dyDescent="0.35">
      <c r="A158" s="22"/>
      <c r="B158" s="22" t="s">
        <v>2550</v>
      </c>
      <c r="C158" s="22">
        <v>45839</v>
      </c>
      <c r="D158" s="18" t="s">
        <v>2557</v>
      </c>
      <c r="E158" s="18" t="s">
        <v>301</v>
      </c>
      <c r="F158" s="54" t="s">
        <v>3814</v>
      </c>
      <c r="H158" s="19">
        <v>0</v>
      </c>
    </row>
    <row r="159" spans="1:8" x14ac:dyDescent="0.35">
      <c r="A159" s="22"/>
      <c r="B159" s="22" t="s">
        <v>2550</v>
      </c>
      <c r="C159" s="22">
        <v>45839</v>
      </c>
      <c r="D159" s="18">
        <v>36221</v>
      </c>
      <c r="E159" s="18" t="s">
        <v>1334</v>
      </c>
      <c r="F159" s="54" t="s">
        <v>3814</v>
      </c>
      <c r="H159" s="19">
        <v>0</v>
      </c>
    </row>
    <row r="160" spans="1:8" x14ac:dyDescent="0.35">
      <c r="A160" s="22"/>
      <c r="B160" s="22" t="s">
        <v>2550</v>
      </c>
      <c r="C160" s="22">
        <v>45839</v>
      </c>
      <c r="D160" s="18">
        <v>37217</v>
      </c>
      <c r="E160" s="18" t="s">
        <v>2603</v>
      </c>
      <c r="F160" s="54" t="s">
        <v>3814</v>
      </c>
      <c r="H160" s="19">
        <v>100</v>
      </c>
    </row>
    <row r="161" spans="1:8" x14ac:dyDescent="0.35">
      <c r="A161" s="22"/>
      <c r="B161" s="22" t="s">
        <v>2550</v>
      </c>
      <c r="C161" s="22">
        <v>45839</v>
      </c>
      <c r="D161" s="18" t="s">
        <v>2558</v>
      </c>
      <c r="E161" s="18" t="s">
        <v>1475</v>
      </c>
      <c r="F161" s="54" t="s">
        <v>3814</v>
      </c>
      <c r="H161" s="19">
        <v>30424.629999999997</v>
      </c>
    </row>
    <row r="162" spans="1:8" x14ac:dyDescent="0.35">
      <c r="A162" s="22"/>
      <c r="B162" s="22" t="s">
        <v>2550</v>
      </c>
      <c r="C162" s="22">
        <v>45839</v>
      </c>
      <c r="D162" s="18" t="s">
        <v>2559</v>
      </c>
      <c r="E162" s="18" t="s">
        <v>1426</v>
      </c>
      <c r="F162" s="54" t="s">
        <v>3814</v>
      </c>
      <c r="H162" s="19">
        <v>2591.0499999999997</v>
      </c>
    </row>
    <row r="163" spans="1:8" x14ac:dyDescent="0.35">
      <c r="A163" s="22"/>
      <c r="B163" s="22" t="s">
        <v>2550</v>
      </c>
      <c r="C163" s="22">
        <v>45839</v>
      </c>
      <c r="D163" s="18" t="s">
        <v>2560</v>
      </c>
      <c r="E163" s="18" t="s">
        <v>2220</v>
      </c>
      <c r="F163" s="54" t="s">
        <v>3814</v>
      </c>
      <c r="H163" s="19">
        <v>7846.31</v>
      </c>
    </row>
    <row r="164" spans="1:8" x14ac:dyDescent="0.35">
      <c r="A164" s="22"/>
      <c r="B164" s="22" t="s">
        <v>2550</v>
      </c>
      <c r="C164" s="22">
        <v>45839</v>
      </c>
      <c r="D164" s="18">
        <v>38130</v>
      </c>
      <c r="E164" s="18" t="s">
        <v>2276</v>
      </c>
      <c r="F164" s="54" t="s">
        <v>3814</v>
      </c>
      <c r="H164" s="19">
        <v>1166.8499999999999</v>
      </c>
    </row>
    <row r="165" spans="1:8" x14ac:dyDescent="0.35">
      <c r="A165" s="22"/>
      <c r="B165" s="22" t="s">
        <v>2550</v>
      </c>
      <c r="C165" s="22">
        <v>45845</v>
      </c>
      <c r="D165" s="18" t="s">
        <v>2561</v>
      </c>
      <c r="E165" s="18" t="s">
        <v>1475</v>
      </c>
      <c r="F165" s="54" t="s">
        <v>3814</v>
      </c>
      <c r="H165" s="19">
        <v>6661.5300000000007</v>
      </c>
    </row>
    <row r="166" spans="1:8" x14ac:dyDescent="0.35">
      <c r="A166" s="22"/>
      <c r="B166" s="22" t="s">
        <v>2550</v>
      </c>
      <c r="C166" s="22">
        <v>45845</v>
      </c>
      <c r="D166" s="18">
        <v>35807</v>
      </c>
      <c r="E166" s="18" t="s">
        <v>1475</v>
      </c>
      <c r="F166" s="54" t="s">
        <v>3814</v>
      </c>
      <c r="H166" s="19">
        <v>3871.21</v>
      </c>
    </row>
    <row r="167" spans="1:8" x14ac:dyDescent="0.35">
      <c r="A167" s="22"/>
      <c r="B167" s="22" t="s">
        <v>2550</v>
      </c>
      <c r="C167" s="22">
        <v>45845</v>
      </c>
      <c r="D167" s="18">
        <v>35808</v>
      </c>
      <c r="E167" s="18" t="s">
        <v>1475</v>
      </c>
      <c r="F167" s="54" t="s">
        <v>3814</v>
      </c>
      <c r="H167" s="19">
        <v>10157.980000000001</v>
      </c>
    </row>
    <row r="168" spans="1:8" x14ac:dyDescent="0.35">
      <c r="A168" s="22"/>
      <c r="B168" s="22" t="s">
        <v>2550</v>
      </c>
      <c r="C168" s="22">
        <v>45845</v>
      </c>
      <c r="D168" s="18">
        <v>35812</v>
      </c>
      <c r="E168" s="18" t="s">
        <v>1475</v>
      </c>
      <c r="F168" s="54" t="s">
        <v>3814</v>
      </c>
      <c r="H168" s="19">
        <v>34749.29</v>
      </c>
    </row>
    <row r="169" spans="1:8" x14ac:dyDescent="0.35">
      <c r="A169" s="22"/>
      <c r="B169" s="22" t="s">
        <v>2550</v>
      </c>
      <c r="C169" s="22">
        <v>45845</v>
      </c>
      <c r="D169" s="18" t="s">
        <v>2563</v>
      </c>
      <c r="E169" s="18" t="s">
        <v>1475</v>
      </c>
      <c r="F169" s="54" t="s">
        <v>3814</v>
      </c>
      <c r="H169" s="19">
        <v>419.36</v>
      </c>
    </row>
    <row r="170" spans="1:8" x14ac:dyDescent="0.35">
      <c r="A170" s="22"/>
      <c r="B170" s="22" t="s">
        <v>2550</v>
      </c>
      <c r="C170" s="22">
        <v>45845</v>
      </c>
      <c r="D170" s="18" t="s">
        <v>2564</v>
      </c>
      <c r="E170" s="18" t="s">
        <v>1582</v>
      </c>
      <c r="F170" s="54" t="s">
        <v>3814</v>
      </c>
      <c r="H170" s="19">
        <v>4176.01</v>
      </c>
    </row>
    <row r="171" spans="1:8" x14ac:dyDescent="0.35">
      <c r="A171" s="22"/>
      <c r="B171" s="22" t="s">
        <v>2550</v>
      </c>
      <c r="C171" s="22">
        <v>45845</v>
      </c>
      <c r="D171" s="18" t="s">
        <v>2565</v>
      </c>
      <c r="E171" s="18" t="s">
        <v>1269</v>
      </c>
      <c r="F171" s="54" t="s">
        <v>3814</v>
      </c>
      <c r="H171" s="19">
        <v>194.28</v>
      </c>
    </row>
    <row r="172" spans="1:8" x14ac:dyDescent="0.35">
      <c r="A172" s="22"/>
      <c r="B172" s="22" t="s">
        <v>2550</v>
      </c>
      <c r="C172" s="22">
        <v>45845</v>
      </c>
      <c r="D172" s="18" t="s">
        <v>2566</v>
      </c>
      <c r="E172" s="18" t="s">
        <v>1269</v>
      </c>
      <c r="F172" s="54" t="s">
        <v>3814</v>
      </c>
      <c r="H172" s="19">
        <v>0</v>
      </c>
    </row>
    <row r="173" spans="1:8" x14ac:dyDescent="0.35">
      <c r="A173" s="22"/>
      <c r="B173" s="22" t="s">
        <v>2550</v>
      </c>
      <c r="C173" s="22">
        <v>45845</v>
      </c>
      <c r="D173" s="18" t="s">
        <v>2567</v>
      </c>
      <c r="E173" s="18" t="s">
        <v>1269</v>
      </c>
      <c r="F173" s="54" t="s">
        <v>3814</v>
      </c>
      <c r="H173" s="19">
        <v>0</v>
      </c>
    </row>
    <row r="174" spans="1:8" x14ac:dyDescent="0.35">
      <c r="A174" s="22"/>
      <c r="B174" s="22" t="s">
        <v>2550</v>
      </c>
      <c r="C174" s="22">
        <v>45845</v>
      </c>
      <c r="D174" s="18" t="s">
        <v>2568</v>
      </c>
      <c r="E174" s="18" t="s">
        <v>1269</v>
      </c>
      <c r="F174" s="54" t="s">
        <v>3814</v>
      </c>
      <c r="H174" s="19">
        <v>4894.38</v>
      </c>
    </row>
    <row r="175" spans="1:8" x14ac:dyDescent="0.35">
      <c r="A175" s="22"/>
      <c r="B175" s="22" t="s">
        <v>2550</v>
      </c>
      <c r="C175" s="22">
        <v>45845</v>
      </c>
      <c r="D175" s="18">
        <v>38738</v>
      </c>
      <c r="E175" s="18" t="s">
        <v>1269</v>
      </c>
      <c r="F175" s="54" t="s">
        <v>3814</v>
      </c>
      <c r="H175" s="19">
        <v>0</v>
      </c>
    </row>
    <row r="176" spans="1:8" x14ac:dyDescent="0.35">
      <c r="A176" s="22"/>
      <c r="B176" s="22" t="s">
        <v>2550</v>
      </c>
      <c r="C176" s="22">
        <v>45846</v>
      </c>
      <c r="D176" s="18">
        <v>38187</v>
      </c>
      <c r="E176" s="18" t="s">
        <v>2626</v>
      </c>
      <c r="F176" s="54" t="s">
        <v>3814</v>
      </c>
      <c r="H176" s="19">
        <v>10341.06</v>
      </c>
    </row>
    <row r="177" spans="1:8" x14ac:dyDescent="0.35">
      <c r="A177" s="22"/>
      <c r="B177" s="22" t="s">
        <v>2550</v>
      </c>
      <c r="C177" s="22">
        <v>45846</v>
      </c>
      <c r="D177" s="18">
        <v>38196</v>
      </c>
      <c r="E177" s="18" t="s">
        <v>2626</v>
      </c>
      <c r="F177" s="54" t="s">
        <v>3814</v>
      </c>
      <c r="H177" s="19">
        <v>22465.59</v>
      </c>
    </row>
    <row r="178" spans="1:8" x14ac:dyDescent="0.35">
      <c r="A178" s="22"/>
      <c r="B178" s="22" t="s">
        <v>2550</v>
      </c>
      <c r="C178" s="22">
        <v>45846</v>
      </c>
      <c r="D178" s="18" t="s">
        <v>2569</v>
      </c>
      <c r="E178" s="18" t="s">
        <v>1269</v>
      </c>
      <c r="F178" s="54" t="s">
        <v>3814</v>
      </c>
      <c r="H178" s="19">
        <v>6359.54</v>
      </c>
    </row>
    <row r="179" spans="1:8" x14ac:dyDescent="0.35">
      <c r="A179" s="22"/>
      <c r="B179" s="22" t="s">
        <v>2550</v>
      </c>
      <c r="C179" s="22">
        <v>45846</v>
      </c>
      <c r="D179" s="18">
        <v>38396</v>
      </c>
      <c r="E179" s="18" t="s">
        <v>1269</v>
      </c>
      <c r="F179" s="54" t="s">
        <v>3814</v>
      </c>
      <c r="H179" s="19">
        <v>851.45</v>
      </c>
    </row>
    <row r="180" spans="1:8" x14ac:dyDescent="0.35">
      <c r="A180" s="22"/>
      <c r="B180" s="22" t="s">
        <v>2550</v>
      </c>
      <c r="C180" s="22">
        <v>45846</v>
      </c>
      <c r="D180" s="18">
        <v>38637</v>
      </c>
      <c r="E180" s="18" t="s">
        <v>1582</v>
      </c>
      <c r="F180" s="54" t="s">
        <v>3814</v>
      </c>
      <c r="H180" s="19">
        <v>24916.34</v>
      </c>
    </row>
    <row r="181" spans="1:8" x14ac:dyDescent="0.35">
      <c r="A181" s="22"/>
      <c r="B181" s="22" t="s">
        <v>2550</v>
      </c>
      <c r="C181" s="22">
        <v>45847</v>
      </c>
      <c r="D181" s="18" t="s">
        <v>2570</v>
      </c>
      <c r="E181" s="18" t="s">
        <v>1475</v>
      </c>
      <c r="F181" s="54" t="s">
        <v>3814</v>
      </c>
      <c r="H181" s="19">
        <v>60472.409999999996</v>
      </c>
    </row>
    <row r="182" spans="1:8" x14ac:dyDescent="0.35">
      <c r="A182" s="22"/>
      <c r="B182" s="22" t="s">
        <v>2550</v>
      </c>
      <c r="C182" s="22">
        <v>45847</v>
      </c>
      <c r="D182" s="18" t="s">
        <v>2571</v>
      </c>
      <c r="E182" s="18" t="s">
        <v>1475</v>
      </c>
      <c r="F182" s="54" t="s">
        <v>3814</v>
      </c>
      <c r="H182" s="19">
        <v>56713.200000000004</v>
      </c>
    </row>
    <row r="183" spans="1:8" x14ac:dyDescent="0.35">
      <c r="A183" s="22"/>
      <c r="B183" s="22" t="s">
        <v>2550</v>
      </c>
      <c r="C183" s="22">
        <v>45847</v>
      </c>
      <c r="D183" s="18" t="s">
        <v>2572</v>
      </c>
      <c r="E183" s="18" t="s">
        <v>1263</v>
      </c>
      <c r="F183" s="54" t="s">
        <v>3814</v>
      </c>
      <c r="H183" s="19">
        <v>210339.71</v>
      </c>
    </row>
    <row r="184" spans="1:8" x14ac:dyDescent="0.35">
      <c r="A184" s="22"/>
      <c r="B184" s="22" t="s">
        <v>2550</v>
      </c>
      <c r="C184" s="22">
        <v>45847</v>
      </c>
      <c r="D184" s="18" t="s">
        <v>2573</v>
      </c>
      <c r="E184" s="18" t="s">
        <v>1263</v>
      </c>
      <c r="F184" s="54" t="s">
        <v>3814</v>
      </c>
      <c r="H184" s="19">
        <v>0</v>
      </c>
    </row>
    <row r="185" spans="1:8" x14ac:dyDescent="0.35">
      <c r="A185" s="22"/>
      <c r="B185" s="22" t="s">
        <v>2550</v>
      </c>
      <c r="C185" s="22">
        <v>45848</v>
      </c>
      <c r="D185" s="18" t="s">
        <v>2574</v>
      </c>
      <c r="E185" s="18" t="s">
        <v>2627</v>
      </c>
      <c r="F185" s="54" t="s">
        <v>3814</v>
      </c>
      <c r="H185" s="19">
        <v>1407.79</v>
      </c>
    </row>
    <row r="186" spans="1:8" x14ac:dyDescent="0.35">
      <c r="A186" s="22"/>
      <c r="B186" s="22" t="s">
        <v>2550</v>
      </c>
      <c r="C186" s="22">
        <v>45849</v>
      </c>
      <c r="D186" s="18" t="s">
        <v>2576</v>
      </c>
      <c r="E186" s="18" t="s">
        <v>1757</v>
      </c>
      <c r="F186" s="54" t="s">
        <v>3814</v>
      </c>
      <c r="H186" s="19">
        <v>0</v>
      </c>
    </row>
    <row r="187" spans="1:8" x14ac:dyDescent="0.35">
      <c r="A187" s="22"/>
      <c r="B187" s="22" t="s">
        <v>2550</v>
      </c>
      <c r="C187" s="22">
        <v>45849</v>
      </c>
      <c r="D187" s="18" t="s">
        <v>2577</v>
      </c>
      <c r="E187" s="18" t="s">
        <v>1004</v>
      </c>
      <c r="F187" s="54" t="s">
        <v>3814</v>
      </c>
      <c r="H187" s="19">
        <v>8535.0400000000009</v>
      </c>
    </row>
    <row r="188" spans="1:8" x14ac:dyDescent="0.35">
      <c r="A188" s="22"/>
      <c r="B188" s="22" t="s">
        <v>2550</v>
      </c>
      <c r="C188" s="22">
        <v>45849</v>
      </c>
      <c r="D188" s="18" t="s">
        <v>2578</v>
      </c>
      <c r="E188" s="18" t="s">
        <v>1379</v>
      </c>
      <c r="F188" s="54" t="s">
        <v>3814</v>
      </c>
      <c r="H188" s="19">
        <v>66357.13</v>
      </c>
    </row>
    <row r="189" spans="1:8" x14ac:dyDescent="0.35">
      <c r="A189" s="22"/>
      <c r="B189" s="22" t="s">
        <v>2550</v>
      </c>
      <c r="C189" s="22">
        <v>45849</v>
      </c>
      <c r="D189" s="18" t="s">
        <v>2579</v>
      </c>
      <c r="E189" s="18" t="s">
        <v>2266</v>
      </c>
      <c r="F189" s="54" t="s">
        <v>3814</v>
      </c>
      <c r="H189" s="19">
        <v>2292.5100000000002</v>
      </c>
    </row>
    <row r="190" spans="1:8" x14ac:dyDescent="0.35">
      <c r="A190" s="22"/>
      <c r="B190" s="22" t="s">
        <v>2550</v>
      </c>
      <c r="C190" s="22">
        <v>45849</v>
      </c>
      <c r="D190" s="18" t="s">
        <v>2580</v>
      </c>
      <c r="E190" s="18" t="s">
        <v>2266</v>
      </c>
      <c r="F190" s="54" t="s">
        <v>3814</v>
      </c>
      <c r="H190" s="19">
        <v>2334.5100000000002</v>
      </c>
    </row>
    <row r="191" spans="1:8" x14ac:dyDescent="0.35">
      <c r="A191" s="22"/>
      <c r="B191" s="22" t="s">
        <v>2550</v>
      </c>
      <c r="C191" s="22">
        <v>45849</v>
      </c>
      <c r="D191" s="18" t="s">
        <v>2581</v>
      </c>
      <c r="E191" s="18" t="s">
        <v>2266</v>
      </c>
      <c r="F191" s="54" t="s">
        <v>3814</v>
      </c>
      <c r="H191" s="19">
        <v>1212</v>
      </c>
    </row>
    <row r="192" spans="1:8" x14ac:dyDescent="0.35">
      <c r="A192" s="22"/>
      <c r="B192" s="22" t="s">
        <v>2550</v>
      </c>
      <c r="C192" s="22">
        <v>45849</v>
      </c>
      <c r="D192" s="18" t="s">
        <v>2582</v>
      </c>
      <c r="E192" s="18" t="s">
        <v>1379</v>
      </c>
      <c r="F192" s="54" t="s">
        <v>3814</v>
      </c>
      <c r="H192" s="19">
        <v>0</v>
      </c>
    </row>
    <row r="193" spans="1:8" x14ac:dyDescent="0.35">
      <c r="A193" s="22"/>
      <c r="B193" s="22" t="s">
        <v>2550</v>
      </c>
      <c r="C193" s="22">
        <v>45852</v>
      </c>
      <c r="D193" s="18" t="s">
        <v>2583</v>
      </c>
      <c r="E193" s="18" t="s">
        <v>2291</v>
      </c>
      <c r="F193" s="54" t="s">
        <v>3814</v>
      </c>
      <c r="H193" s="19">
        <v>5237.2</v>
      </c>
    </row>
    <row r="194" spans="1:8" x14ac:dyDescent="0.35">
      <c r="A194" s="22"/>
      <c r="B194" s="22" t="s">
        <v>2550</v>
      </c>
      <c r="C194" s="22">
        <v>45852</v>
      </c>
      <c r="D194" s="18" t="s">
        <v>2584</v>
      </c>
      <c r="E194" s="18" t="s">
        <v>2291</v>
      </c>
      <c r="F194" s="54" t="s">
        <v>3814</v>
      </c>
      <c r="H194" s="19">
        <v>18562.18</v>
      </c>
    </row>
    <row r="195" spans="1:8" x14ac:dyDescent="0.35">
      <c r="A195" s="22"/>
      <c r="B195" s="22" t="s">
        <v>2550</v>
      </c>
      <c r="C195" s="22">
        <v>45852</v>
      </c>
      <c r="D195" s="18" t="s">
        <v>2585</v>
      </c>
      <c r="E195" s="18" t="s">
        <v>2291</v>
      </c>
      <c r="F195" s="54" t="s">
        <v>3814</v>
      </c>
      <c r="H195" s="19">
        <v>359.36</v>
      </c>
    </row>
    <row r="196" spans="1:8" x14ac:dyDescent="0.35">
      <c r="A196" s="22"/>
      <c r="B196" s="22" t="s">
        <v>2550</v>
      </c>
      <c r="C196" s="22">
        <v>45852</v>
      </c>
      <c r="D196" s="18" t="s">
        <v>2586</v>
      </c>
      <c r="E196" s="18" t="s">
        <v>2291</v>
      </c>
      <c r="F196" s="54" t="s">
        <v>3814</v>
      </c>
      <c r="H196" s="19">
        <v>15292.17</v>
      </c>
    </row>
    <row r="197" spans="1:8" x14ac:dyDescent="0.35">
      <c r="A197" s="22"/>
      <c r="B197" s="22" t="s">
        <v>2550</v>
      </c>
      <c r="C197" s="22">
        <v>45852</v>
      </c>
      <c r="D197" s="18" t="s">
        <v>2587</v>
      </c>
      <c r="E197" s="18" t="s">
        <v>2291</v>
      </c>
      <c r="F197" s="54" t="s">
        <v>3814</v>
      </c>
      <c r="H197" s="19">
        <v>2271.2399999999998</v>
      </c>
    </row>
    <row r="198" spans="1:8" x14ac:dyDescent="0.35">
      <c r="A198" s="22"/>
      <c r="B198" s="22" t="s">
        <v>2550</v>
      </c>
      <c r="C198" s="22">
        <v>45852</v>
      </c>
      <c r="D198" s="18" t="s">
        <v>2588</v>
      </c>
      <c r="E198" s="18" t="s">
        <v>1269</v>
      </c>
      <c r="F198" s="54" t="s">
        <v>3814</v>
      </c>
      <c r="H198" s="19">
        <v>132628.29</v>
      </c>
    </row>
    <row r="199" spans="1:8" x14ac:dyDescent="0.35">
      <c r="A199" s="22"/>
      <c r="B199" s="22" t="s">
        <v>2550</v>
      </c>
      <c r="C199" s="22">
        <v>45854</v>
      </c>
      <c r="D199" s="18" t="s">
        <v>2589</v>
      </c>
      <c r="E199" s="18" t="s">
        <v>1269</v>
      </c>
      <c r="F199" s="54" t="s">
        <v>3814</v>
      </c>
      <c r="H199" s="19">
        <v>39906.35</v>
      </c>
    </row>
    <row r="200" spans="1:8" x14ac:dyDescent="0.35">
      <c r="A200" s="22"/>
      <c r="B200" s="22" t="s">
        <v>2550</v>
      </c>
      <c r="C200" s="22">
        <v>45854</v>
      </c>
      <c r="D200" s="18" t="s">
        <v>2590</v>
      </c>
      <c r="E200" s="18" t="s">
        <v>1269</v>
      </c>
      <c r="F200" s="54" t="s">
        <v>3814</v>
      </c>
      <c r="H200" s="19">
        <v>7066.7800000000007</v>
      </c>
    </row>
    <row r="201" spans="1:8" x14ac:dyDescent="0.35">
      <c r="A201" s="22"/>
      <c r="B201" s="22" t="s">
        <v>2550</v>
      </c>
      <c r="C201" s="22">
        <v>45856</v>
      </c>
      <c r="D201" s="18" t="s">
        <v>2591</v>
      </c>
      <c r="E201" s="18" t="s">
        <v>1582</v>
      </c>
      <c r="F201" s="54" t="s">
        <v>3814</v>
      </c>
      <c r="H201" s="19">
        <v>49890.8</v>
      </c>
    </row>
    <row r="202" spans="1:8" x14ac:dyDescent="0.35">
      <c r="A202" s="22"/>
      <c r="B202" s="22" t="s">
        <v>2550</v>
      </c>
      <c r="C202" s="22">
        <v>45859</v>
      </c>
      <c r="D202" s="18" t="s">
        <v>2592</v>
      </c>
      <c r="E202" s="18" t="s">
        <v>1712</v>
      </c>
      <c r="F202" s="54" t="s">
        <v>3814</v>
      </c>
      <c r="H202" s="19">
        <v>1980</v>
      </c>
    </row>
    <row r="203" spans="1:8" x14ac:dyDescent="0.35">
      <c r="A203" s="22"/>
      <c r="B203" s="22" t="s">
        <v>2550</v>
      </c>
      <c r="C203" s="22">
        <v>45861</v>
      </c>
      <c r="D203" s="18" t="s">
        <v>2593</v>
      </c>
      <c r="E203" s="18" t="s">
        <v>1004</v>
      </c>
      <c r="F203" s="54" t="s">
        <v>3814</v>
      </c>
      <c r="H203" s="19">
        <v>0</v>
      </c>
    </row>
    <row r="204" spans="1:8" x14ac:dyDescent="0.35">
      <c r="A204" s="22"/>
      <c r="B204" s="22" t="s">
        <v>2550</v>
      </c>
      <c r="C204" s="22">
        <v>45862</v>
      </c>
      <c r="D204" s="18" t="s">
        <v>2594</v>
      </c>
      <c r="E204" s="18" t="s">
        <v>1263</v>
      </c>
      <c r="F204" s="54" t="s">
        <v>3814</v>
      </c>
      <c r="H204" s="19">
        <v>46400</v>
      </c>
    </row>
    <row r="205" spans="1:8" x14ac:dyDescent="0.35">
      <c r="A205" s="22"/>
      <c r="B205" s="22" t="s">
        <v>2550</v>
      </c>
      <c r="C205" s="22">
        <v>45863</v>
      </c>
      <c r="D205" s="18" t="s">
        <v>2595</v>
      </c>
      <c r="E205" s="18" t="s">
        <v>2628</v>
      </c>
      <c r="F205" s="54" t="s">
        <v>3814</v>
      </c>
      <c r="H205" s="19">
        <v>10327.25</v>
      </c>
    </row>
    <row r="206" spans="1:8" x14ac:dyDescent="0.35">
      <c r="A206" s="22"/>
      <c r="B206" s="22" t="s">
        <v>2550</v>
      </c>
      <c r="C206" s="22">
        <v>45863</v>
      </c>
      <c r="D206" s="18" t="s">
        <v>2596</v>
      </c>
      <c r="E206" s="18" t="s">
        <v>2628</v>
      </c>
      <c r="F206" s="54" t="s">
        <v>3814</v>
      </c>
      <c r="H206" s="19">
        <v>1994.6799999999998</v>
      </c>
    </row>
    <row r="207" spans="1:8" x14ac:dyDescent="0.35">
      <c r="A207" s="22"/>
      <c r="B207" s="22" t="s">
        <v>2550</v>
      </c>
      <c r="C207" s="22">
        <v>45863</v>
      </c>
      <c r="D207" s="18">
        <v>38332</v>
      </c>
      <c r="E207" s="18" t="s">
        <v>2629</v>
      </c>
      <c r="F207" s="54" t="s">
        <v>3814</v>
      </c>
      <c r="H207" s="19">
        <v>14089.22</v>
      </c>
    </row>
    <row r="208" spans="1:8" x14ac:dyDescent="0.35">
      <c r="A208" s="22"/>
      <c r="B208" s="22" t="s">
        <v>2550</v>
      </c>
      <c r="C208" s="22">
        <v>45864</v>
      </c>
      <c r="D208" s="18" t="s">
        <v>2597</v>
      </c>
      <c r="E208" s="18" t="s">
        <v>2628</v>
      </c>
      <c r="F208" s="54" t="s">
        <v>3814</v>
      </c>
      <c r="H208" s="19">
        <v>3435.2799999999997</v>
      </c>
    </row>
    <row r="209" spans="1:8" x14ac:dyDescent="0.35">
      <c r="A209" s="22"/>
      <c r="B209" s="22" t="s">
        <v>2550</v>
      </c>
      <c r="C209" s="22">
        <v>45864</v>
      </c>
      <c r="D209" s="18" t="s">
        <v>2598</v>
      </c>
      <c r="E209" s="18" t="s">
        <v>2628</v>
      </c>
      <c r="F209" s="54" t="s">
        <v>3814</v>
      </c>
      <c r="H209" s="19">
        <v>15808.25</v>
      </c>
    </row>
    <row r="210" spans="1:8" x14ac:dyDescent="0.35">
      <c r="A210" s="22"/>
      <c r="B210" s="22" t="s">
        <v>2550</v>
      </c>
      <c r="C210" s="22">
        <v>45864</v>
      </c>
      <c r="D210" s="18" t="s">
        <v>2599</v>
      </c>
      <c r="E210" s="18" t="s">
        <v>2628</v>
      </c>
      <c r="F210" s="54" t="s">
        <v>3814</v>
      </c>
      <c r="H210" s="19">
        <v>210</v>
      </c>
    </row>
    <row r="211" spans="1:8" x14ac:dyDescent="0.35">
      <c r="A211" s="22"/>
      <c r="B211" s="22" t="s">
        <v>2550</v>
      </c>
      <c r="C211" s="22">
        <v>45864</v>
      </c>
      <c r="D211" s="18" t="s">
        <v>2600</v>
      </c>
      <c r="E211" s="18" t="s">
        <v>2629</v>
      </c>
      <c r="F211" s="54" t="s">
        <v>3814</v>
      </c>
      <c r="H211" s="19">
        <v>2402.16</v>
      </c>
    </row>
    <row r="212" spans="1:8" x14ac:dyDescent="0.35">
      <c r="A212" s="22"/>
      <c r="B212" s="22" t="s">
        <v>2550</v>
      </c>
      <c r="C212" s="22">
        <v>45866</v>
      </c>
      <c r="D212" s="18" t="s">
        <v>2601</v>
      </c>
      <c r="E212" s="18" t="s">
        <v>2630</v>
      </c>
      <c r="F212" s="54" t="s">
        <v>3814</v>
      </c>
      <c r="H212" s="19">
        <v>-1550</v>
      </c>
    </row>
    <row r="213" spans="1:8" x14ac:dyDescent="0.35">
      <c r="A213" s="22"/>
      <c r="B213" s="22" t="s">
        <v>2550</v>
      </c>
      <c r="C213" s="22">
        <v>45868</v>
      </c>
      <c r="D213" s="18" t="s">
        <v>2602</v>
      </c>
      <c r="E213" s="18" t="s">
        <v>1608</v>
      </c>
      <c r="F213" s="54" t="s">
        <v>3814</v>
      </c>
      <c r="H213" s="19">
        <v>1421.04</v>
      </c>
    </row>
    <row r="214" spans="1:8" x14ac:dyDescent="0.35">
      <c r="A214" s="22"/>
      <c r="B214" s="22" t="s">
        <v>2550</v>
      </c>
      <c r="C214" s="22">
        <v>45868</v>
      </c>
      <c r="D214" s="18" t="s">
        <v>2604</v>
      </c>
      <c r="E214" s="18" t="s">
        <v>2291</v>
      </c>
      <c r="F214" s="54" t="s">
        <v>3814</v>
      </c>
      <c r="H214" s="19">
        <v>1020</v>
      </c>
    </row>
    <row r="215" spans="1:8" x14ac:dyDescent="0.35">
      <c r="A215" s="22"/>
      <c r="B215" s="22" t="s">
        <v>2550</v>
      </c>
      <c r="C215" s="22">
        <v>45868</v>
      </c>
      <c r="D215" s="18" t="s">
        <v>2605</v>
      </c>
      <c r="E215" s="18" t="s">
        <v>2291</v>
      </c>
      <c r="F215" s="54" t="s">
        <v>3814</v>
      </c>
      <c r="H215" s="19">
        <v>142.97999999999999</v>
      </c>
    </row>
    <row r="216" spans="1:8" x14ac:dyDescent="0.35">
      <c r="A216" s="22"/>
      <c r="B216" s="22" t="s">
        <v>2550</v>
      </c>
      <c r="C216" s="22">
        <v>45868</v>
      </c>
      <c r="D216" s="18" t="s">
        <v>2606</v>
      </c>
      <c r="E216" s="18" t="s">
        <v>2291</v>
      </c>
      <c r="F216" s="54" t="s">
        <v>3814</v>
      </c>
      <c r="H216" s="19">
        <v>14690.13</v>
      </c>
    </row>
    <row r="217" spans="1:8" x14ac:dyDescent="0.35">
      <c r="A217" s="22"/>
      <c r="B217" s="22" t="s">
        <v>2550</v>
      </c>
      <c r="C217" s="22">
        <v>45868</v>
      </c>
      <c r="D217" s="18">
        <v>36570</v>
      </c>
      <c r="E217" s="18" t="s">
        <v>2291</v>
      </c>
      <c r="F217" s="54" t="s">
        <v>3814</v>
      </c>
      <c r="H217" s="19">
        <v>32053.93</v>
      </c>
    </row>
    <row r="218" spans="1:8" x14ac:dyDescent="0.35">
      <c r="A218" s="22"/>
      <c r="B218" s="22" t="s">
        <v>2550</v>
      </c>
      <c r="C218" s="22">
        <v>45868</v>
      </c>
      <c r="D218" s="18" t="s">
        <v>2607</v>
      </c>
      <c r="E218" s="18" t="s">
        <v>2291</v>
      </c>
      <c r="F218" s="54" t="s">
        <v>3814</v>
      </c>
      <c r="H218" s="19">
        <v>4490.03</v>
      </c>
    </row>
    <row r="219" spans="1:8" x14ac:dyDescent="0.35">
      <c r="A219" s="22"/>
      <c r="B219" s="22" t="s">
        <v>2550</v>
      </c>
      <c r="C219" s="22">
        <v>45868</v>
      </c>
      <c r="D219" s="18" t="s">
        <v>2608</v>
      </c>
      <c r="E219" s="18" t="s">
        <v>2291</v>
      </c>
      <c r="F219" s="54" t="s">
        <v>3814</v>
      </c>
      <c r="H219" s="19">
        <v>1557.68</v>
      </c>
    </row>
    <row r="220" spans="1:8" x14ac:dyDescent="0.35">
      <c r="A220" s="22"/>
      <c r="B220" s="22" t="s">
        <v>2550</v>
      </c>
      <c r="C220" s="22">
        <v>45868</v>
      </c>
      <c r="D220" s="18">
        <v>36581</v>
      </c>
      <c r="E220" s="18" t="s">
        <v>2291</v>
      </c>
      <c r="F220" s="54" t="s">
        <v>3814</v>
      </c>
      <c r="H220" s="19">
        <v>3054.2900000000004</v>
      </c>
    </row>
    <row r="221" spans="1:8" x14ac:dyDescent="0.35">
      <c r="A221" s="22"/>
      <c r="B221" s="22" t="s">
        <v>2550</v>
      </c>
      <c r="C221" s="22">
        <v>45868</v>
      </c>
      <c r="D221" s="18" t="s">
        <v>2609</v>
      </c>
      <c r="E221" s="18" t="s">
        <v>2291</v>
      </c>
      <c r="F221" s="54" t="s">
        <v>3814</v>
      </c>
      <c r="H221" s="19">
        <v>3844.7999999999997</v>
      </c>
    </row>
    <row r="222" spans="1:8" x14ac:dyDescent="0.35">
      <c r="A222" s="22"/>
      <c r="B222" s="22" t="s">
        <v>2550</v>
      </c>
      <c r="C222" s="22">
        <v>45868</v>
      </c>
      <c r="D222" s="18" t="s">
        <v>2610</v>
      </c>
      <c r="E222" s="18" t="s">
        <v>1608</v>
      </c>
      <c r="F222" s="54" t="s">
        <v>3814</v>
      </c>
      <c r="H222" s="19">
        <v>835.71</v>
      </c>
    </row>
    <row r="223" spans="1:8" x14ac:dyDescent="0.35">
      <c r="A223" s="22"/>
      <c r="B223" s="22" t="s">
        <v>2550</v>
      </c>
      <c r="C223" s="22">
        <v>45868</v>
      </c>
      <c r="D223" s="18" t="s">
        <v>2611</v>
      </c>
      <c r="E223" s="18" t="s">
        <v>1582</v>
      </c>
      <c r="F223" s="54" t="s">
        <v>3814</v>
      </c>
      <c r="H223" s="19">
        <v>30480.129999999997</v>
      </c>
    </row>
    <row r="224" spans="1:8" x14ac:dyDescent="0.35">
      <c r="A224" s="22"/>
      <c r="B224" s="22" t="s">
        <v>2550</v>
      </c>
      <c r="C224" s="22">
        <v>45869</v>
      </c>
      <c r="D224" s="18" t="s">
        <v>2612</v>
      </c>
      <c r="E224" s="18" t="s">
        <v>1920</v>
      </c>
      <c r="F224" s="54" t="s">
        <v>3814</v>
      </c>
      <c r="H224" s="19">
        <v>6224</v>
      </c>
    </row>
    <row r="225" spans="1:8" x14ac:dyDescent="0.35">
      <c r="A225" s="22"/>
      <c r="B225" s="22" t="s">
        <v>2550</v>
      </c>
      <c r="C225" s="22">
        <v>45869</v>
      </c>
      <c r="D225" s="18">
        <v>35801</v>
      </c>
      <c r="E225" s="18" t="s">
        <v>1475</v>
      </c>
      <c r="F225" s="54" t="s">
        <v>3814</v>
      </c>
      <c r="H225" s="19">
        <v>54642.01</v>
      </c>
    </row>
    <row r="226" spans="1:8" x14ac:dyDescent="0.35">
      <c r="A226" s="22"/>
      <c r="B226" s="22" t="s">
        <v>2550</v>
      </c>
      <c r="C226" s="22">
        <v>45869</v>
      </c>
      <c r="D226" s="18">
        <v>35805</v>
      </c>
      <c r="E226" s="18" t="s">
        <v>1475</v>
      </c>
      <c r="F226" s="54" t="s">
        <v>3814</v>
      </c>
      <c r="H226" s="19">
        <v>66666.91</v>
      </c>
    </row>
    <row r="227" spans="1:8" x14ac:dyDescent="0.35">
      <c r="A227" s="22"/>
      <c r="B227" s="22" t="s">
        <v>2550</v>
      </c>
      <c r="C227" s="22">
        <v>45869</v>
      </c>
      <c r="D227" s="18" t="s">
        <v>2613</v>
      </c>
      <c r="E227" s="18" t="s">
        <v>2291</v>
      </c>
      <c r="F227" s="54" t="s">
        <v>3814</v>
      </c>
      <c r="H227" s="19">
        <v>2467.5</v>
      </c>
    </row>
    <row r="228" spans="1:8" x14ac:dyDescent="0.35">
      <c r="A228" s="22"/>
      <c r="B228" s="22" t="s">
        <v>2550</v>
      </c>
      <c r="C228" s="22">
        <v>45869</v>
      </c>
      <c r="D228" s="18">
        <v>36729</v>
      </c>
      <c r="E228" s="18" t="s">
        <v>1426</v>
      </c>
      <c r="F228" s="54" t="s">
        <v>3814</v>
      </c>
      <c r="H228" s="19">
        <v>2634.29</v>
      </c>
    </row>
    <row r="229" spans="1:8" x14ac:dyDescent="0.35">
      <c r="A229" s="22"/>
      <c r="B229" s="22" t="s">
        <v>2550</v>
      </c>
      <c r="C229" s="22">
        <v>45869</v>
      </c>
      <c r="D229" s="18" t="s">
        <v>2614</v>
      </c>
      <c r="E229" s="18" t="s">
        <v>1924</v>
      </c>
      <c r="F229" s="54" t="s">
        <v>3814</v>
      </c>
      <c r="H229" s="19">
        <v>661.82</v>
      </c>
    </row>
    <row r="230" spans="1:8" x14ac:dyDescent="0.35">
      <c r="A230" s="22"/>
      <c r="B230" s="22" t="s">
        <v>2550</v>
      </c>
      <c r="C230" s="22">
        <v>45869</v>
      </c>
      <c r="D230" s="18" t="s">
        <v>2615</v>
      </c>
      <c r="E230" s="18" t="s">
        <v>1924</v>
      </c>
      <c r="F230" s="54" t="s">
        <v>3814</v>
      </c>
      <c r="H230" s="19">
        <v>8545.64</v>
      </c>
    </row>
    <row r="231" spans="1:8" x14ac:dyDescent="0.35">
      <c r="A231" s="22"/>
      <c r="B231" s="22" t="s">
        <v>2550</v>
      </c>
      <c r="C231" s="22">
        <v>45869</v>
      </c>
      <c r="D231" s="18" t="s">
        <v>2616</v>
      </c>
      <c r="E231" s="18" t="s">
        <v>1272</v>
      </c>
      <c r="F231" s="54" t="s">
        <v>3814</v>
      </c>
      <c r="H231" s="19">
        <v>75546.240000000005</v>
      </c>
    </row>
    <row r="232" spans="1:8" x14ac:dyDescent="0.35">
      <c r="A232" s="22"/>
      <c r="B232" s="22" t="s">
        <v>2550</v>
      </c>
      <c r="C232" s="22">
        <v>45869</v>
      </c>
      <c r="D232" s="18">
        <v>37239</v>
      </c>
      <c r="E232" s="18" t="s">
        <v>1475</v>
      </c>
      <c r="F232" s="54" t="s">
        <v>3814</v>
      </c>
      <c r="H232" s="19">
        <v>0</v>
      </c>
    </row>
    <row r="233" spans="1:8" x14ac:dyDescent="0.35">
      <c r="A233" s="22"/>
      <c r="B233" s="22" t="s">
        <v>2550</v>
      </c>
      <c r="C233" s="22">
        <v>45869</v>
      </c>
      <c r="D233" s="18">
        <v>37283</v>
      </c>
      <c r="E233" s="18" t="s">
        <v>1924</v>
      </c>
      <c r="F233" s="54" t="s">
        <v>3814</v>
      </c>
      <c r="H233" s="19">
        <v>0</v>
      </c>
    </row>
    <row r="234" spans="1:8" x14ac:dyDescent="0.35">
      <c r="A234" s="22"/>
      <c r="B234" s="22" t="s">
        <v>2550</v>
      </c>
      <c r="C234" s="22">
        <v>45869</v>
      </c>
      <c r="D234" s="18">
        <v>37369</v>
      </c>
      <c r="E234" s="18" t="s">
        <v>992</v>
      </c>
      <c r="F234" s="54" t="s">
        <v>3814</v>
      </c>
      <c r="H234" s="19">
        <v>527.91999999999996</v>
      </c>
    </row>
    <row r="235" spans="1:8" x14ac:dyDescent="0.35">
      <c r="A235" s="22"/>
      <c r="B235" s="22" t="s">
        <v>2550</v>
      </c>
      <c r="C235" s="22">
        <v>45869</v>
      </c>
      <c r="D235" s="18" t="s">
        <v>2617</v>
      </c>
      <c r="E235" s="18" t="s">
        <v>1035</v>
      </c>
      <c r="F235" s="54" t="s">
        <v>3814</v>
      </c>
      <c r="H235" s="19">
        <v>0</v>
      </c>
    </row>
    <row r="236" spans="1:8" x14ac:dyDescent="0.35">
      <c r="A236" s="22"/>
      <c r="B236" s="22" t="s">
        <v>2550</v>
      </c>
      <c r="C236" s="22">
        <v>45869</v>
      </c>
      <c r="D236" s="18">
        <v>37682</v>
      </c>
      <c r="E236" s="18" t="s">
        <v>1263</v>
      </c>
      <c r="F236" s="54" t="s">
        <v>3814</v>
      </c>
      <c r="H236" s="19">
        <v>50982.97</v>
      </c>
    </row>
    <row r="237" spans="1:8" x14ac:dyDescent="0.35">
      <c r="A237" s="22"/>
      <c r="B237" s="22" t="s">
        <v>2550</v>
      </c>
      <c r="C237" s="22">
        <v>45869</v>
      </c>
      <c r="D237" s="18" t="s">
        <v>2618</v>
      </c>
      <c r="E237" s="18" t="s">
        <v>1426</v>
      </c>
      <c r="F237" s="54" t="s">
        <v>3814</v>
      </c>
      <c r="H237" s="19">
        <v>0</v>
      </c>
    </row>
    <row r="238" spans="1:8" x14ac:dyDescent="0.35">
      <c r="A238" s="22"/>
      <c r="B238" s="22" t="s">
        <v>2550</v>
      </c>
      <c r="C238" s="22">
        <v>45869</v>
      </c>
      <c r="D238" s="18" t="s">
        <v>2619</v>
      </c>
      <c r="E238" s="18" t="s">
        <v>1223</v>
      </c>
      <c r="F238" s="54" t="s">
        <v>3814</v>
      </c>
      <c r="H238" s="19">
        <v>82308.680000000008</v>
      </c>
    </row>
    <row r="239" spans="1:8" x14ac:dyDescent="0.35">
      <c r="A239" s="22"/>
      <c r="B239" s="22" t="s">
        <v>2550</v>
      </c>
      <c r="C239" s="22">
        <v>45869</v>
      </c>
      <c r="D239" s="18" t="s">
        <v>2620</v>
      </c>
      <c r="E239" s="18" t="s">
        <v>1223</v>
      </c>
      <c r="F239" s="54" t="s">
        <v>3814</v>
      </c>
      <c r="H239" s="19">
        <v>1444188.4900000002</v>
      </c>
    </row>
    <row r="240" spans="1:8" x14ac:dyDescent="0.35">
      <c r="A240" s="22"/>
      <c r="B240" s="22" t="s">
        <v>2550</v>
      </c>
      <c r="C240" s="22">
        <v>45869</v>
      </c>
      <c r="D240" s="18">
        <v>38362</v>
      </c>
      <c r="E240" s="18" t="s">
        <v>1223</v>
      </c>
      <c r="F240" s="54" t="s">
        <v>3814</v>
      </c>
      <c r="H240" s="19">
        <v>184356.52</v>
      </c>
    </row>
    <row r="241" spans="1:8" x14ac:dyDescent="0.35">
      <c r="A241" s="22"/>
      <c r="B241" s="22" t="s">
        <v>2550</v>
      </c>
      <c r="C241" s="22">
        <v>45869</v>
      </c>
      <c r="D241" s="18" t="s">
        <v>2621</v>
      </c>
      <c r="E241" s="18" t="s">
        <v>1223</v>
      </c>
      <c r="F241" s="54" t="s">
        <v>3814</v>
      </c>
      <c r="H241" s="19">
        <v>65372.56</v>
      </c>
    </row>
    <row r="242" spans="1:8" x14ac:dyDescent="0.35">
      <c r="A242" s="22"/>
      <c r="B242" s="22" t="s">
        <v>2550</v>
      </c>
      <c r="C242" s="22">
        <v>45869</v>
      </c>
      <c r="D242" s="18" t="s">
        <v>2622</v>
      </c>
      <c r="E242" s="18" t="s">
        <v>1223</v>
      </c>
      <c r="F242" s="54" t="s">
        <v>3814</v>
      </c>
      <c r="H242" s="19">
        <v>88431.1</v>
      </c>
    </row>
    <row r="243" spans="1:8" x14ac:dyDescent="0.35">
      <c r="A243" s="22"/>
      <c r="B243" s="22" t="s">
        <v>2550</v>
      </c>
      <c r="C243" s="22">
        <v>45869</v>
      </c>
      <c r="D243" s="18" t="s">
        <v>2623</v>
      </c>
      <c r="E243" s="18" t="s">
        <v>1223</v>
      </c>
      <c r="F243" s="54" t="s">
        <v>3814</v>
      </c>
      <c r="H243" s="19">
        <v>0</v>
      </c>
    </row>
    <row r="244" spans="1:8" x14ac:dyDescent="0.35">
      <c r="A244" s="22"/>
      <c r="B244" s="22" t="s">
        <v>2550</v>
      </c>
      <c r="C244" s="22">
        <v>45869</v>
      </c>
      <c r="D244" s="18" t="s">
        <v>2624</v>
      </c>
      <c r="E244" s="18" t="s">
        <v>1223</v>
      </c>
      <c r="F244" s="54" t="s">
        <v>3814</v>
      </c>
      <c r="H244" s="19">
        <v>44144.76</v>
      </c>
    </row>
    <row r="245" spans="1:8" x14ac:dyDescent="0.35">
      <c r="A245" s="22"/>
      <c r="B245" s="22" t="s">
        <v>2550</v>
      </c>
      <c r="C245" s="22">
        <v>45869</v>
      </c>
      <c r="D245" s="18">
        <v>38384</v>
      </c>
      <c r="E245" s="18" t="s">
        <v>1269</v>
      </c>
      <c r="F245" s="54" t="s">
        <v>3814</v>
      </c>
      <c r="H245" s="19">
        <v>11929.05</v>
      </c>
    </row>
    <row r="246" spans="1:8" x14ac:dyDescent="0.35">
      <c r="A246" s="22"/>
      <c r="B246" s="22" t="s">
        <v>2550</v>
      </c>
      <c r="C246" s="22">
        <v>45869</v>
      </c>
      <c r="D246" s="18" t="s">
        <v>2625</v>
      </c>
      <c r="E246" s="18" t="s">
        <v>1269</v>
      </c>
      <c r="F246" s="54" t="s">
        <v>3814</v>
      </c>
      <c r="H246" s="19">
        <v>19733.669999999998</v>
      </c>
    </row>
    <row r="247" spans="1:8" x14ac:dyDescent="0.35">
      <c r="A247" s="22"/>
      <c r="B247" s="22" t="s">
        <v>2550</v>
      </c>
      <c r="C247" s="22">
        <v>45869</v>
      </c>
      <c r="D247" s="18">
        <v>38400</v>
      </c>
      <c r="E247" s="18" t="s">
        <v>1269</v>
      </c>
      <c r="F247" s="54" t="s">
        <v>3814</v>
      </c>
      <c r="H247" s="19">
        <v>22091.87</v>
      </c>
    </row>
    <row r="248" spans="1:8" x14ac:dyDescent="0.35">
      <c r="A248" s="22"/>
      <c r="B248" s="22" t="s">
        <v>2550</v>
      </c>
      <c r="C248" s="22">
        <v>45869</v>
      </c>
      <c r="D248" s="18">
        <v>38623</v>
      </c>
      <c r="E248" s="18" t="s">
        <v>2456</v>
      </c>
      <c r="F248" s="54" t="s">
        <v>3814</v>
      </c>
      <c r="H248" s="19">
        <v>4720</v>
      </c>
    </row>
    <row r="249" spans="1:8" x14ac:dyDescent="0.35">
      <c r="A249" s="22"/>
      <c r="B249" s="22" t="s">
        <v>2550</v>
      </c>
      <c r="C249" s="22">
        <v>45869</v>
      </c>
      <c r="D249" s="18">
        <v>38724</v>
      </c>
      <c r="E249" s="18" t="s">
        <v>2631</v>
      </c>
      <c r="F249" s="54" t="s">
        <v>3814</v>
      </c>
      <c r="H249" s="19">
        <v>0</v>
      </c>
    </row>
    <row r="250" spans="1:8" x14ac:dyDescent="0.35">
      <c r="A250" s="22"/>
      <c r="B250" s="18" t="s">
        <v>2633</v>
      </c>
      <c r="C250" s="32">
        <v>45839</v>
      </c>
      <c r="D250" s="33" t="s">
        <v>2558</v>
      </c>
      <c r="E250" s="18" t="s">
        <v>1475</v>
      </c>
      <c r="F250" s="54" t="s">
        <v>3815</v>
      </c>
      <c r="H250" s="21">
        <v>33690.51</v>
      </c>
    </row>
    <row r="251" spans="1:8" x14ac:dyDescent="0.35">
      <c r="A251" s="22"/>
      <c r="B251" s="18" t="s">
        <v>2633</v>
      </c>
      <c r="C251" s="32">
        <v>45868</v>
      </c>
      <c r="D251" s="33">
        <v>36570</v>
      </c>
      <c r="E251" s="18" t="s">
        <v>2291</v>
      </c>
      <c r="F251" s="54" t="s">
        <v>3814</v>
      </c>
      <c r="H251" s="21">
        <v>16950</v>
      </c>
    </row>
    <row r="252" spans="1:8" x14ac:dyDescent="0.35">
      <c r="A252" s="22"/>
      <c r="B252" s="18" t="s">
        <v>2633</v>
      </c>
      <c r="C252" s="32">
        <v>45868</v>
      </c>
      <c r="D252" s="33">
        <v>36581</v>
      </c>
      <c r="E252" s="18" t="s">
        <v>2291</v>
      </c>
      <c r="F252" s="54" t="s">
        <v>3814</v>
      </c>
      <c r="H252" s="21">
        <v>2850</v>
      </c>
    </row>
    <row r="253" spans="1:8" x14ac:dyDescent="0.35">
      <c r="A253" s="22"/>
      <c r="B253" s="18" t="s">
        <v>2633</v>
      </c>
      <c r="C253" s="32">
        <v>45869</v>
      </c>
      <c r="D253" s="33" t="s">
        <v>2632</v>
      </c>
      <c r="E253" s="18" t="s">
        <v>1999</v>
      </c>
      <c r="F253" s="54" t="s">
        <v>3814</v>
      </c>
      <c r="H253" s="21">
        <v>5492.4</v>
      </c>
    </row>
    <row r="254" spans="1:8" x14ac:dyDescent="0.35">
      <c r="A254" s="22"/>
      <c r="B254" s="18" t="s">
        <v>2633</v>
      </c>
      <c r="C254" s="32">
        <v>45869</v>
      </c>
      <c r="D254" s="33">
        <v>36729</v>
      </c>
      <c r="E254" s="18" t="s">
        <v>1426</v>
      </c>
      <c r="F254" s="54" t="s">
        <v>3814</v>
      </c>
      <c r="H254" s="21">
        <v>8600</v>
      </c>
    </row>
    <row r="255" spans="1:8" x14ac:dyDescent="0.35">
      <c r="B255" s="18" t="s">
        <v>2634</v>
      </c>
      <c r="C255" s="22">
        <v>45839</v>
      </c>
      <c r="D255" s="18">
        <v>33555</v>
      </c>
      <c r="E255" s="18" t="s">
        <v>2555</v>
      </c>
      <c r="F255" s="54" t="s">
        <v>3816</v>
      </c>
      <c r="H255" s="21">
        <v>3894.22</v>
      </c>
    </row>
    <row r="256" spans="1:8" x14ac:dyDescent="0.35">
      <c r="B256" s="18" t="s">
        <v>2634</v>
      </c>
      <c r="C256" s="22">
        <v>45839</v>
      </c>
      <c r="D256" s="18">
        <v>35518</v>
      </c>
      <c r="E256" s="18" t="s">
        <v>1549</v>
      </c>
      <c r="F256" s="54" t="s">
        <v>3816</v>
      </c>
      <c r="H256" s="21">
        <v>3631.49</v>
      </c>
    </row>
    <row r="257" spans="2:8" x14ac:dyDescent="0.35">
      <c r="B257" s="18" t="s">
        <v>2634</v>
      </c>
      <c r="C257" s="22">
        <v>45839</v>
      </c>
      <c r="D257" s="18">
        <v>36221</v>
      </c>
      <c r="E257" s="18" t="s">
        <v>1334</v>
      </c>
      <c r="F257" s="54" t="s">
        <v>3816</v>
      </c>
      <c r="H257" s="21">
        <v>0</v>
      </c>
    </row>
    <row r="258" spans="2:8" x14ac:dyDescent="0.35">
      <c r="B258" s="18" t="s">
        <v>2634</v>
      </c>
      <c r="C258" s="22">
        <v>45839</v>
      </c>
      <c r="D258" s="18" t="s">
        <v>2560</v>
      </c>
      <c r="E258" s="18" t="s">
        <v>2220</v>
      </c>
      <c r="F258" s="54" t="s">
        <v>3816</v>
      </c>
      <c r="H258" s="21">
        <v>2080.08</v>
      </c>
    </row>
    <row r="259" spans="2:8" x14ac:dyDescent="0.35">
      <c r="B259" s="18" t="s">
        <v>2634</v>
      </c>
      <c r="C259" s="22">
        <v>45839</v>
      </c>
      <c r="D259" s="18">
        <v>38130</v>
      </c>
      <c r="E259" s="18" t="s">
        <v>2276</v>
      </c>
      <c r="F259" s="54" t="s">
        <v>3816</v>
      </c>
      <c r="H259" s="21">
        <v>221.95</v>
      </c>
    </row>
    <row r="260" spans="2:8" x14ac:dyDescent="0.35">
      <c r="B260" s="18" t="s">
        <v>2634</v>
      </c>
      <c r="C260" s="22">
        <v>45846</v>
      </c>
      <c r="D260" s="18">
        <v>38187</v>
      </c>
      <c r="E260" s="18" t="s">
        <v>2626</v>
      </c>
      <c r="F260" s="54" t="s">
        <v>3816</v>
      </c>
      <c r="H260" s="21">
        <v>872.8</v>
      </c>
    </row>
    <row r="261" spans="2:8" x14ac:dyDescent="0.35">
      <c r="B261" s="18" t="s">
        <v>2634</v>
      </c>
      <c r="C261" s="22">
        <v>45846</v>
      </c>
      <c r="D261" s="18">
        <v>38196</v>
      </c>
      <c r="E261" s="18" t="s">
        <v>2626</v>
      </c>
      <c r="F261" s="54" t="s">
        <v>3816</v>
      </c>
      <c r="H261" s="21">
        <v>1896.1</v>
      </c>
    </row>
    <row r="262" spans="2:8" x14ac:dyDescent="0.35">
      <c r="B262" s="18" t="s">
        <v>2634</v>
      </c>
      <c r="C262" s="22">
        <v>45846</v>
      </c>
      <c r="D262" s="18">
        <v>38396</v>
      </c>
      <c r="E262" s="18" t="s">
        <v>1269</v>
      </c>
      <c r="F262" s="54" t="s">
        <v>3816</v>
      </c>
      <c r="H262" s="21">
        <v>102.17</v>
      </c>
    </row>
    <row r="263" spans="2:8" x14ac:dyDescent="0.35">
      <c r="B263" s="18" t="s">
        <v>2634</v>
      </c>
      <c r="C263" s="22">
        <v>45852</v>
      </c>
      <c r="D263" s="18" t="s">
        <v>2585</v>
      </c>
      <c r="E263" s="18" t="s">
        <v>2291</v>
      </c>
      <c r="F263" s="54" t="s">
        <v>3816</v>
      </c>
      <c r="H263" s="21">
        <v>2369.63</v>
      </c>
    </row>
    <row r="264" spans="2:8" x14ac:dyDescent="0.35">
      <c r="B264" s="18" t="s">
        <v>2634</v>
      </c>
      <c r="C264" s="22">
        <v>45852</v>
      </c>
      <c r="D264" s="18" t="s">
        <v>2586</v>
      </c>
      <c r="E264" s="18" t="s">
        <v>2291</v>
      </c>
      <c r="F264" s="54" t="s">
        <v>3816</v>
      </c>
      <c r="H264" s="21">
        <v>4586.59</v>
      </c>
    </row>
    <row r="265" spans="2:8" x14ac:dyDescent="0.35">
      <c r="B265" s="18" t="s">
        <v>2634</v>
      </c>
      <c r="C265" s="22">
        <v>45856</v>
      </c>
      <c r="D265" s="18" t="s">
        <v>2591</v>
      </c>
      <c r="E265" s="18" t="s">
        <v>1582</v>
      </c>
      <c r="F265" s="54" t="s">
        <v>3816</v>
      </c>
      <c r="H265" s="21">
        <v>47554.7</v>
      </c>
    </row>
    <row r="266" spans="2:8" x14ac:dyDescent="0.35">
      <c r="B266" s="18" t="s">
        <v>2634</v>
      </c>
      <c r="C266" s="22">
        <v>45863</v>
      </c>
      <c r="D266" s="18" t="s">
        <v>2595</v>
      </c>
      <c r="E266" s="18" t="s">
        <v>2628</v>
      </c>
      <c r="F266" s="54" t="s">
        <v>3816</v>
      </c>
      <c r="H266" s="21">
        <v>4629.84</v>
      </c>
    </row>
    <row r="267" spans="2:8" x14ac:dyDescent="0.35">
      <c r="B267" s="18" t="s">
        <v>2634</v>
      </c>
      <c r="C267" s="22">
        <v>45863</v>
      </c>
      <c r="D267" s="18" t="s">
        <v>2596</v>
      </c>
      <c r="E267" s="18" t="s">
        <v>2628</v>
      </c>
      <c r="F267" s="54" t="s">
        <v>3816</v>
      </c>
      <c r="H267" s="21">
        <v>523.51</v>
      </c>
    </row>
    <row r="268" spans="2:8" x14ac:dyDescent="0.35">
      <c r="B268" s="18" t="s">
        <v>2634</v>
      </c>
      <c r="C268" s="22">
        <v>45863</v>
      </c>
      <c r="D268" s="18">
        <v>38332</v>
      </c>
      <c r="E268" s="18" t="s">
        <v>2629</v>
      </c>
      <c r="F268" s="54" t="s">
        <v>3816</v>
      </c>
      <c r="H268" s="21">
        <v>1408.92</v>
      </c>
    </row>
    <row r="269" spans="2:8" x14ac:dyDescent="0.35">
      <c r="B269" s="18" t="s">
        <v>2634</v>
      </c>
      <c r="C269" s="22">
        <v>45868</v>
      </c>
      <c r="D269" s="18">
        <v>36570</v>
      </c>
      <c r="E269" s="18" t="s">
        <v>2291</v>
      </c>
      <c r="F269" s="54" t="s">
        <v>3816</v>
      </c>
      <c r="H269" s="21">
        <v>3205.43</v>
      </c>
    </row>
    <row r="270" spans="2:8" x14ac:dyDescent="0.35">
      <c r="B270" s="18" t="s">
        <v>2634</v>
      </c>
      <c r="C270" s="22">
        <v>45868</v>
      </c>
      <c r="D270" s="18">
        <v>36581</v>
      </c>
      <c r="E270" s="18" t="s">
        <v>2291</v>
      </c>
      <c r="F270" s="54" t="s">
        <v>3816</v>
      </c>
      <c r="H270" s="21">
        <v>305.43</v>
      </c>
    </row>
    <row r="271" spans="2:8" x14ac:dyDescent="0.35">
      <c r="B271" s="18" t="s">
        <v>2634</v>
      </c>
      <c r="C271" s="22">
        <v>45868</v>
      </c>
      <c r="D271" s="18" t="s">
        <v>2611</v>
      </c>
      <c r="E271" s="18" t="s">
        <v>1582</v>
      </c>
      <c r="F271" s="54" t="s">
        <v>3816</v>
      </c>
      <c r="H271" s="21">
        <v>12630.12</v>
      </c>
    </row>
    <row r="272" spans="2:8" x14ac:dyDescent="0.35">
      <c r="B272" s="18" t="s">
        <v>2634</v>
      </c>
      <c r="C272" s="22">
        <v>45869</v>
      </c>
      <c r="D272" s="18">
        <v>35801</v>
      </c>
      <c r="E272" s="18" t="s">
        <v>1475</v>
      </c>
      <c r="F272" s="54" t="s">
        <v>3816</v>
      </c>
      <c r="H272" s="21">
        <v>9350</v>
      </c>
    </row>
    <row r="273" spans="2:8" x14ac:dyDescent="0.35">
      <c r="B273" s="18" t="s">
        <v>2634</v>
      </c>
      <c r="C273" s="22">
        <v>45869</v>
      </c>
      <c r="D273" s="18">
        <v>35805</v>
      </c>
      <c r="E273" s="18" t="s">
        <v>1475</v>
      </c>
      <c r="F273" s="54" t="s">
        <v>3816</v>
      </c>
      <c r="H273" s="21">
        <v>14435.92</v>
      </c>
    </row>
    <row r="274" spans="2:8" x14ac:dyDescent="0.35">
      <c r="B274" s="18" t="s">
        <v>2634</v>
      </c>
      <c r="C274" s="22">
        <v>45869</v>
      </c>
      <c r="D274" s="18">
        <v>36729</v>
      </c>
      <c r="E274" s="18" t="s">
        <v>1426</v>
      </c>
      <c r="F274" s="54" t="s">
        <v>3816</v>
      </c>
      <c r="H274" s="21">
        <v>300.86</v>
      </c>
    </row>
    <row r="275" spans="2:8" x14ac:dyDescent="0.35">
      <c r="B275" s="18" t="s">
        <v>2634</v>
      </c>
      <c r="C275" s="22">
        <v>45869</v>
      </c>
      <c r="D275" s="18">
        <v>37682</v>
      </c>
      <c r="E275" s="18" t="s">
        <v>1263</v>
      </c>
      <c r="F275" s="54" t="s">
        <v>3816</v>
      </c>
      <c r="H275" s="21">
        <v>4893.4399999999996</v>
      </c>
    </row>
    <row r="276" spans="2:8" x14ac:dyDescent="0.35">
      <c r="B276" s="18" t="s">
        <v>2634</v>
      </c>
      <c r="C276" s="22">
        <v>45869</v>
      </c>
      <c r="D276" s="18">
        <v>38362</v>
      </c>
      <c r="E276" s="18" t="s">
        <v>1223</v>
      </c>
      <c r="F276" s="54" t="s">
        <v>3816</v>
      </c>
      <c r="H276" s="21">
        <v>34212.879999999997</v>
      </c>
    </row>
    <row r="277" spans="2:8" x14ac:dyDescent="0.35">
      <c r="B277" s="18" t="s">
        <v>2634</v>
      </c>
      <c r="C277" s="22">
        <v>45869</v>
      </c>
      <c r="D277" s="18">
        <v>38384</v>
      </c>
      <c r="E277" s="18" t="s">
        <v>1269</v>
      </c>
      <c r="F277" s="54" t="s">
        <v>3816</v>
      </c>
      <c r="H277" s="21">
        <v>3921.75</v>
      </c>
    </row>
    <row r="278" spans="2:8" x14ac:dyDescent="0.35">
      <c r="B278" s="18" t="s">
        <v>2634</v>
      </c>
      <c r="C278" s="22">
        <v>45869</v>
      </c>
      <c r="D278" s="18">
        <v>38400</v>
      </c>
      <c r="E278" s="18" t="s">
        <v>1269</v>
      </c>
      <c r="F278" s="54" t="s">
        <v>3816</v>
      </c>
      <c r="H278" s="21">
        <v>10904.08</v>
      </c>
    </row>
    <row r="279" spans="2:8" x14ac:dyDescent="0.35">
      <c r="B279" s="18" t="s">
        <v>2634</v>
      </c>
      <c r="C279" s="22">
        <v>45869</v>
      </c>
      <c r="D279" s="18">
        <v>38623</v>
      </c>
      <c r="E279" s="18" t="s">
        <v>2456</v>
      </c>
      <c r="F279" s="54" t="s">
        <v>3816</v>
      </c>
      <c r="H279" s="21">
        <v>10400</v>
      </c>
    </row>
    <row r="280" spans="2:8" x14ac:dyDescent="0.35">
      <c r="B280" s="18" t="s">
        <v>2633</v>
      </c>
      <c r="C280" s="22">
        <v>45839</v>
      </c>
      <c r="D280" s="18" t="s">
        <v>2558</v>
      </c>
      <c r="E280" s="18" t="s">
        <v>1475</v>
      </c>
      <c r="F280" s="62" t="s">
        <v>3815</v>
      </c>
      <c r="H280" s="21">
        <v>33690.51</v>
      </c>
    </row>
    <row r="281" spans="2:8" x14ac:dyDescent="0.35">
      <c r="B281" s="18" t="s">
        <v>2633</v>
      </c>
      <c r="C281" s="22">
        <v>45868</v>
      </c>
      <c r="D281" s="18">
        <v>36570</v>
      </c>
      <c r="E281" s="18" t="s">
        <v>2291</v>
      </c>
      <c r="F281" s="62" t="s">
        <v>3815</v>
      </c>
      <c r="H281" s="21">
        <v>16950</v>
      </c>
    </row>
    <row r="282" spans="2:8" x14ac:dyDescent="0.35">
      <c r="B282" s="18" t="s">
        <v>2633</v>
      </c>
      <c r="C282" s="22">
        <v>45868</v>
      </c>
      <c r="D282" s="18">
        <v>36581</v>
      </c>
      <c r="E282" s="18" t="s">
        <v>2291</v>
      </c>
      <c r="F282" s="62" t="s">
        <v>3815</v>
      </c>
      <c r="H282" s="21">
        <v>2850</v>
      </c>
    </row>
    <row r="283" spans="2:8" x14ac:dyDescent="0.35">
      <c r="B283" s="18" t="s">
        <v>2633</v>
      </c>
      <c r="C283" s="22">
        <v>45869</v>
      </c>
      <c r="D283" s="18" t="s">
        <v>2632</v>
      </c>
      <c r="E283" s="18" t="s">
        <v>1999</v>
      </c>
      <c r="F283" s="62" t="s">
        <v>3815</v>
      </c>
      <c r="H283" s="21">
        <v>5492.4</v>
      </c>
    </row>
    <row r="284" spans="2:8" x14ac:dyDescent="0.35">
      <c r="B284" s="18" t="s">
        <v>2633</v>
      </c>
      <c r="C284" s="22">
        <v>45869</v>
      </c>
      <c r="D284" s="18">
        <v>36729</v>
      </c>
      <c r="E284" s="18" t="s">
        <v>1426</v>
      </c>
      <c r="F284" s="62" t="s">
        <v>3815</v>
      </c>
      <c r="H284" s="21">
        <v>8600</v>
      </c>
    </row>
  </sheetData>
  <hyperlinks>
    <hyperlink ref="A5" r:id="rId1" display="https://9607261.app.netsuite.com/app/reporting/reportrunner.nl?fromreport=320&amp;regtx,tranline,kacct,x,alltranline5,IN,x,x=950&amp;cr=293" xr:uid="{8D5201D5-1747-44D9-8917-AC8545E539A9}"/>
    <hyperlink ref="A7" r:id="rId2" display="https://9607261.app.netsuite.com/app/reporting/reportrunner.nl?fromreport=320&amp;regtx,tranline,kacct,x,alltranline5,IN,x,x=950&amp;cr=293" xr:uid="{ADEB0EE2-E185-4E84-B0C0-5141496189DE}"/>
    <hyperlink ref="A8" r:id="rId3" display="https://9607261.app.netsuite.com/app/reporting/reportrunner.nl?fromreport=320&amp;regtx,tranline,kacct,x,alltranline5,IN,x,x=950&amp;cr=293" xr:uid="{54BCEFBB-A00B-4FD3-97AE-288A157F5805}"/>
    <hyperlink ref="A9" r:id="rId4" display="https://9607261.app.netsuite.com/app/reporting/reportrunner.nl?fromreport=320&amp;regtx,tranline,kacct,x,alltranline5,IN,x,x=950&amp;cr=293" xr:uid="{FDE1ACAA-283E-40D3-AD5C-5EFA12A9FEBC}"/>
    <hyperlink ref="A10" r:id="rId5" display="https://9607261.app.netsuite.com/app/reporting/reportrunner.nl?fromreport=320&amp;regtx,tranline,kacct,x,alltranline5,IN,x,x=950&amp;cr=293" xr:uid="{C60F548E-FA13-4564-956E-DB41DEA3F6A2}"/>
    <hyperlink ref="A11" r:id="rId6" display="https://9607261.app.netsuite.com/app/reporting/reportrunner.nl?fromreport=320&amp;regtx,tranline,kacct,x,alltranline5,IN,x,x=950&amp;cr=293" xr:uid="{BF06D994-7630-42CF-8D0F-E604E95115E2}"/>
    <hyperlink ref="A12" r:id="rId7" display="https://9607261.app.netsuite.com/app/reporting/reportrunner.nl?fromreport=320&amp;regtx,tranline,kacct,x,alltranline5,IN,x,x=950&amp;cr=293" xr:uid="{5AC7E3BA-41B5-4EAE-BC2B-4E605DE1DE5B}"/>
    <hyperlink ref="A13" r:id="rId8" display="https://9607261.app.netsuite.com/app/reporting/reportrunner.nl?fromreport=320&amp;regtx,tranline,kacct,x,alltranline5,IN,x,x=950&amp;cr=293" xr:uid="{E1492FFC-A3E3-4848-813B-0055B673DFFC}"/>
    <hyperlink ref="A14" r:id="rId9" display="https://9607261.app.netsuite.com/app/reporting/reportrunner.nl?fromreport=320&amp;regtx,tranline,kacct,x,alltranline5,IN,x,x=950&amp;cr=293" xr:uid="{5A3CD8C4-9576-4AF9-80A8-37BAD1626E70}"/>
    <hyperlink ref="A15" r:id="rId10" display="https://9607261.app.netsuite.com/app/reporting/reportrunner.nl?fromreport=320&amp;regtx,tranline,kacct,x,alltranline5,IN,x,x=950&amp;cr=293" xr:uid="{F7C4BE65-097F-4D67-8DCD-E8AAD0E71916}"/>
    <hyperlink ref="A16" r:id="rId11" display="https://9607261.app.netsuite.com/app/reporting/reportrunner.nl?fromreport=320&amp;regtx,tranline,kacct,x,alltranline5,IN,x,x=950&amp;cr=293" xr:uid="{D8A7A047-7292-4B54-9CDB-254511AF61E7}"/>
    <hyperlink ref="A17" r:id="rId12" display="https://9607261.app.netsuite.com/app/reporting/reportrunner.nl?fromreport=320&amp;regtx,tranline,kacct,x,alltranline5,IN,x,x=950&amp;cr=293" xr:uid="{746881CF-A8FF-4940-84D0-827F0A2093D7}"/>
    <hyperlink ref="A18" r:id="rId13" display="https://9607261.app.netsuite.com/app/reporting/reportrunner.nl?fromreport=320&amp;regtx,tranline,kacct,x,alltranline5,IN,x,x=950&amp;cr=293" xr:uid="{36B3C76E-AA64-4E77-AA46-0B3776508E7B}"/>
    <hyperlink ref="A19" r:id="rId14" display="https://9607261.app.netsuite.com/app/reporting/reportrunner.nl?fromreport=320&amp;regtx,tranline,kacct,x,alltranline5,IN,x,x=950&amp;cr=293" xr:uid="{25457AAF-D0EE-4468-84AD-A1514D560FCE}"/>
    <hyperlink ref="A20" r:id="rId15" display="https://9607261.app.netsuite.com/app/reporting/reportrunner.nl?fromreport=320&amp;regtx,tranline,kacct,x,alltranline5,IN,x,x=950&amp;cr=293" xr:uid="{E0F99179-FB8B-4A49-B565-CAA8A5608F20}"/>
    <hyperlink ref="A21" r:id="rId16" display="https://9607261.app.netsuite.com/app/reporting/reportrunner.nl?fromreport=320&amp;regtx,tranline,kacct,x,alltranline5,IN,x,x=950&amp;cr=293" xr:uid="{A36FD007-A690-4FE0-BB29-9BE59E4658E5}"/>
    <hyperlink ref="A22" r:id="rId17" display="https://9607261.app.netsuite.com/app/reporting/reportrunner.nl?fromreport=320&amp;regtx,tranline,kacct,x,alltranline5,IN,x,x=950&amp;cr=293" xr:uid="{39022206-4A07-40F7-B56B-FF68D6507AE1}"/>
    <hyperlink ref="A23" r:id="rId18" display="https://9607261.app.netsuite.com/app/reporting/reportrunner.nl?fromreport=320&amp;regtx,tranline,kacct,x,alltranline5,IN,x,x=950&amp;cr=293" xr:uid="{EF0BF4ED-EF81-4048-A98B-91024D1726DB}"/>
    <hyperlink ref="A24" r:id="rId19" display="https://9607261.app.netsuite.com/app/reporting/reportrunner.nl?fromreport=320&amp;regtx,tranline,kacct,x,alltranline5,IN,x,x=950&amp;cr=293" xr:uid="{AD5C8BD7-ADC6-4672-A177-BC26DC4848BC}"/>
    <hyperlink ref="A25" r:id="rId20" display="https://9607261.app.netsuite.com/app/reporting/reportrunner.nl?fromreport=320&amp;regtx,tranline,kacct,x,alltranline5,IN,x,x=950&amp;cr=293" xr:uid="{65993638-F019-4005-9C96-6E5BBEBC2E74}"/>
    <hyperlink ref="A26" r:id="rId21" display="https://9607261.app.netsuite.com/app/reporting/reportrunner.nl?fromreport=320&amp;regtx,tranline,kacct,x,alltranline5,IN,x,x=950&amp;cr=293" xr:uid="{6391DFFB-ADEA-42C7-BFB6-D12EEB53FC0B}"/>
    <hyperlink ref="A27" r:id="rId22" display="https://9607261.app.netsuite.com/app/reporting/reportrunner.nl?fromreport=320&amp;regtx,tranline,kacct,x,alltranline5,IN,x,x=950&amp;cr=293" xr:uid="{4C5AC0B9-E046-4A1D-8A97-42A703B75121}"/>
    <hyperlink ref="A28" r:id="rId23" display="https://9607261.app.netsuite.com/app/reporting/reportrunner.nl?fromreport=320&amp;regtx,tranline,kacct,x,alltranline5,IN,x,x=950&amp;cr=293" xr:uid="{92F08917-593A-444A-AE6F-5020633DD42E}"/>
    <hyperlink ref="A29" r:id="rId24" display="https://9607261.app.netsuite.com/app/reporting/reportrunner.nl?fromreport=320&amp;regtx,tranline,kacct,x,alltranline5,IN,x,x=950&amp;cr=293" xr:uid="{E9AED6AF-F034-4FE8-B108-645ADE0AA5F0}"/>
    <hyperlink ref="A30" r:id="rId25" display="https://9607261.app.netsuite.com/app/reporting/reportrunner.nl?fromreport=320&amp;regtx,tranline,kacct,x,alltranline5,IN,x,x=950&amp;cr=293" xr:uid="{19637D63-9812-4A8D-92B7-ED2EB16F89E5}"/>
    <hyperlink ref="A31" r:id="rId26" display="https://9607261.app.netsuite.com/app/reporting/reportrunner.nl?fromreport=320&amp;regtx,tranline,kacct,x,alltranline5,IN,x,x=950&amp;cr=293" xr:uid="{35AAD0C3-F920-42E7-9037-55640FBC55F3}"/>
    <hyperlink ref="A32" r:id="rId27" display="https://9607261.app.netsuite.com/app/reporting/reportrunner.nl?fromreport=320&amp;regtx,tranline,kacct,x,alltranline5,IN,x,x=950&amp;cr=293" xr:uid="{6186CD47-E95D-4D09-8ED4-47136A2FCE7C}"/>
    <hyperlink ref="A33" r:id="rId28" display="https://9607261.app.netsuite.com/app/reporting/reportrunner.nl?fromreport=320&amp;regtx,tranline,kacct,x,alltranline5,IN,x,x=950&amp;cr=293" xr:uid="{CFE5D571-047A-4798-828C-7BE6A51368B5}"/>
    <hyperlink ref="A34" r:id="rId29" display="https://9607261.app.netsuite.com/app/reporting/reportrunner.nl?fromreport=320&amp;regtx,tranline,kacct,x,alltranline5,IN,x,x=950&amp;cr=293" xr:uid="{7B49A623-DA42-4E25-992D-EF42EC912C17}"/>
    <hyperlink ref="A35" r:id="rId30" display="https://9607261.app.netsuite.com/app/reporting/reportrunner.nl?fromreport=320&amp;regtx,tranline,kacct,x,alltranline5,IN,x,x=950&amp;cr=293" xr:uid="{FC2550A9-EFE2-474F-891F-37AB41560ED5}"/>
    <hyperlink ref="A36" r:id="rId31" display="https://9607261.app.netsuite.com/app/reporting/reportrunner.nl?fromreport=320&amp;regtx,tranline,kacct,x,alltranline5,IN,x,x=950&amp;cr=293" xr:uid="{009687D7-DC0E-4EB4-B6B7-522BACA10A4F}"/>
    <hyperlink ref="A37" r:id="rId32" display="https://9607261.app.netsuite.com/app/reporting/reportrunner.nl?fromreport=320&amp;regtx,tranline,kacct,x,alltranline5,IN,x,x=950&amp;cr=293" xr:uid="{D63D4571-DFB9-41CB-8257-4479C50978BE}"/>
    <hyperlink ref="A38" r:id="rId33" display="https://9607261.app.netsuite.com/app/reporting/reportrunner.nl?fromreport=320&amp;regtx,tranline,kacct,x,alltranline5,IN,x,x=950&amp;cr=293" xr:uid="{F8970A17-7C71-4CF6-ADD2-9A6F1EEFF00F}"/>
    <hyperlink ref="A39" r:id="rId34" display="https://9607261.app.netsuite.com/app/reporting/reportrunner.nl?fromreport=320&amp;regtx,tranline,kacct,x,alltranline5,IN,x,x=950&amp;cr=293" xr:uid="{9F92A75E-5872-4C26-9189-701E7A5F8421}"/>
    <hyperlink ref="A40" r:id="rId35" display="https://9607261.app.netsuite.com/app/reporting/reportrunner.nl?fromreport=320&amp;regtx,tranline,kacct,x,alltranline5,IN,x,x=950&amp;cr=293" xr:uid="{95FFC50C-CA07-4CE8-B82C-04F79A19DB58}"/>
    <hyperlink ref="A41" r:id="rId36" display="https://9607261.app.netsuite.com/app/reporting/reportrunner.nl?fromreport=320&amp;regtx,tranline,kacct,x,alltranline5,IN,x,x=950&amp;cr=293" xr:uid="{8C70B4AE-AA36-4EFE-96DB-07A6354D4820}"/>
    <hyperlink ref="A42" r:id="rId37" display="https://9607261.app.netsuite.com/app/reporting/reportrunner.nl?fromreport=320&amp;regtx,tranline,kacct,x,alltranline5,IN,x,x=950&amp;cr=293" xr:uid="{87B98FDC-6A6B-4103-8CA5-EF8371754F12}"/>
    <hyperlink ref="A43" r:id="rId38" display="https://9607261.app.netsuite.com/app/reporting/reportrunner.nl?fromreport=320&amp;regtx,tranline,kacct,x,alltranline5,IN,x,x=950&amp;cr=293" xr:uid="{CEEF8F86-487D-4250-BB39-784A3EF3C27C}"/>
    <hyperlink ref="A44" r:id="rId39" display="https://9607261.app.netsuite.com/app/reporting/reportrunner.nl?fromreport=320&amp;regtx,tranline,kacct,x,alltranline5,IN,x,x=950&amp;cr=293" xr:uid="{D5E77535-6299-4228-8955-65B36F6FD44C}"/>
    <hyperlink ref="A45" r:id="rId40" display="https://9607261.app.netsuite.com/app/reporting/reportrunner.nl?fromreport=320&amp;regtx,tranline,kacct,x,alltranline5,IN,x,x=950&amp;cr=293" xr:uid="{46D0E3E7-C4CB-4450-89D8-AB11CC1207DB}"/>
    <hyperlink ref="A46" r:id="rId41" display="https://9607261.app.netsuite.com/app/reporting/reportrunner.nl?fromreport=320&amp;regtx,tranline,kacct,x,alltranline5,IN,x,x=950&amp;cr=293" xr:uid="{5D7D220C-C835-46C3-8165-B04D5E82B0F6}"/>
    <hyperlink ref="A47" r:id="rId42" display="https://9607261.app.netsuite.com/app/reporting/reportrunner.nl?fromreport=320&amp;regtx,tranline,kacct,x,alltranline5,IN,x,x=950&amp;cr=293" xr:uid="{6E6C4671-028A-47F0-BACD-25E7DAE611AC}"/>
    <hyperlink ref="A48" r:id="rId43" display="https://9607261.app.netsuite.com/app/reporting/reportrunner.nl?fromreport=320&amp;regtx,tranline,kacct,x,alltranline5,IN,x,x=950&amp;cr=293" xr:uid="{6007D1FD-B13B-4BF1-8C1D-B6508921AD32}"/>
    <hyperlink ref="A49" r:id="rId44" display="https://9607261.app.netsuite.com/app/reporting/reportrunner.nl?fromreport=320&amp;regtx,tranline,kacct,x,alltranline5,IN,x,x=950&amp;cr=293" xr:uid="{5A4A6A8C-BE07-4536-AA80-EBD5359DB6F9}"/>
    <hyperlink ref="A50" r:id="rId45" display="https://9607261.app.netsuite.com/app/reporting/reportrunner.nl?fromreport=320&amp;regtx,tranline,kacct,x,alltranline5,IN,x,x=950&amp;cr=293" xr:uid="{91121CB2-4DE6-4A42-938F-CEE38B9C3428}"/>
    <hyperlink ref="A51" r:id="rId46" display="https://9607261.app.netsuite.com/app/reporting/reportrunner.nl?fromreport=320&amp;regtx,tranline,kacct,x,alltranline5,IN,x,x=950&amp;cr=293" xr:uid="{97960B4D-EF31-45DA-9BE3-F991BFC4BB0C}"/>
    <hyperlink ref="A52" r:id="rId47" display="https://9607261.app.netsuite.com/app/reporting/reportrunner.nl?fromreport=320&amp;regtx,tranline,kacct,x,alltranline5,IN,x,x=950&amp;cr=293" xr:uid="{A4009CE5-580F-4DB4-A5B3-0959B6F7646E}"/>
    <hyperlink ref="A53" r:id="rId48" display="https://9607261.app.netsuite.com/app/reporting/reportrunner.nl?fromreport=320&amp;regtx,tranline,kacct,x,alltranline5,IN,x,x=950&amp;cr=293" xr:uid="{CD094748-B345-4013-9E54-C929CE2C14D6}"/>
    <hyperlink ref="A54" r:id="rId49" display="https://9607261.app.netsuite.com/app/reporting/reportrunner.nl?fromreport=320&amp;regtx,tranline,kacct,x,alltranline5,IN,x,x=950&amp;cr=293" xr:uid="{5CB01C85-D456-4B43-8D67-DC7378048B08}"/>
    <hyperlink ref="A55" r:id="rId50" display="https://9607261.app.netsuite.com/app/reporting/reportrunner.nl?fromreport=320&amp;regtx,tranline,kacct,x,alltranline5,IN,x,x=950&amp;cr=293" xr:uid="{30980115-2FC2-4182-A25C-E087B33CD219}"/>
    <hyperlink ref="A56" r:id="rId51" display="https://9607261.app.netsuite.com/app/reporting/reportrunner.nl?fromreport=320&amp;regtx,tranline,kacct,x,alltranline5,IN,x,x=950&amp;cr=293" xr:uid="{91F6290E-ACE3-4A79-B0CC-7F08BD72139F}"/>
    <hyperlink ref="A57" r:id="rId52" display="https://9607261.app.netsuite.com/app/reporting/reportrunner.nl?fromreport=320&amp;regtx,tranline,kacct,x,alltranline5,IN,x,x=950&amp;cr=293" xr:uid="{70AAA7A3-D80B-4030-B479-E903C8F76802}"/>
    <hyperlink ref="A58" r:id="rId53" display="https://9607261.app.netsuite.com/app/reporting/reportrunner.nl?fromreport=320&amp;regtx,tranline,kacct,x,alltranline5,IN,x,x=950&amp;cr=293" xr:uid="{ECA08D8F-C0D6-470A-B95D-701E3C6C40E6}"/>
    <hyperlink ref="A59" r:id="rId54" display="https://9607261.app.netsuite.com/app/reporting/reportrunner.nl?fromreport=320&amp;regtx,tranline,kacct,x,alltranline5,IN,x,x=950&amp;cr=293" xr:uid="{70668AD8-87AA-4539-A747-6F2F56CB274C}"/>
    <hyperlink ref="A60" r:id="rId55" display="https://9607261.app.netsuite.com/app/reporting/reportrunner.nl?fromreport=320&amp;regtx,tranline,kacct,x,alltranline5,IN,x,x=950&amp;cr=293" xr:uid="{7B86BDE1-4618-4522-A865-A5111D978A1F}"/>
    <hyperlink ref="A61" r:id="rId56" display="https://9607261.app.netsuite.com/app/reporting/reportrunner.nl?fromreport=320&amp;regtx,tranline,kacct,x,alltranline5,IN,x,x=950&amp;cr=293" xr:uid="{9251131D-2C95-471A-BF1C-E7D6BDC6E298}"/>
    <hyperlink ref="A62" r:id="rId57" display="https://9607261.app.netsuite.com/app/reporting/reportrunner.nl?fromreport=320&amp;regtx,tranline,kacct,x,alltranline5,IN,x,x=950&amp;cr=293" xr:uid="{EA1F47C7-88E4-4736-98BA-19793908E9ED}"/>
    <hyperlink ref="A63" r:id="rId58" display="https://9607261.app.netsuite.com/app/reporting/reportrunner.nl?fromreport=320&amp;regtx,tranline,kacct,x,alltranline5,IN,x,x=950&amp;cr=293" xr:uid="{BDE77F4F-175B-4D10-AC07-21B3986B16E7}"/>
    <hyperlink ref="A64" r:id="rId59" display="https://9607261.app.netsuite.com/app/reporting/reportrunner.nl?fromreport=320&amp;regtx,tranline,kacct,x,alltranline5,IN,x,x=950&amp;cr=293" xr:uid="{973D2995-30B8-44D2-9C35-A6CF68002A23}"/>
    <hyperlink ref="A65" r:id="rId60" display="https://9607261.app.netsuite.com/app/reporting/reportrunner.nl?fromreport=320&amp;regtx,tranline,kacct,x,alltranline5,IN,x,x=950&amp;cr=293" xr:uid="{8315E5D4-A7FD-43DA-AE34-6AA7CE747C71}"/>
    <hyperlink ref="A66" r:id="rId61" display="https://9607261.app.netsuite.com/app/reporting/reportrunner.nl?fromreport=320&amp;regtx,tranline,kacct,x,alltranline5,IN,x,x=950&amp;cr=293" xr:uid="{16A6E93F-6D72-4875-9E39-A0ADA107E912}"/>
    <hyperlink ref="A67" r:id="rId62" display="https://9607261.app.netsuite.com/app/reporting/reportrunner.nl?fromreport=320&amp;regtx,tranline,kacct,x,alltranline5,IN,x,x=950&amp;cr=293" xr:uid="{9D03E3BB-154F-4295-8783-98634A779ED0}"/>
    <hyperlink ref="A68" r:id="rId63" display="https://9607261.app.netsuite.com/app/reporting/reportrunner.nl?fromreport=320&amp;regtx,tranline,kacct,x,alltranline5,IN,x,x=950&amp;cr=293" xr:uid="{DD839C4C-85C0-486E-AB2B-3AC6C29EAD81}"/>
    <hyperlink ref="A69" r:id="rId64" display="https://9607261.app.netsuite.com/app/reporting/reportrunner.nl?fromreport=320&amp;regtx,tranline,kacct,x,alltranline5,IN,x,x=950&amp;cr=293" xr:uid="{84F886D6-CFAD-41E3-A580-46766015E7DF}"/>
    <hyperlink ref="A70" r:id="rId65" display="https://9607261.app.netsuite.com/app/reporting/reportrunner.nl?fromreport=320&amp;regtx,tranline,kacct,x,alltranline5,IN,x,x=950&amp;cr=293" xr:uid="{82954F8F-460A-4591-9C34-0BFFD27F5DA7}"/>
    <hyperlink ref="A71" r:id="rId66" display="https://9607261.app.netsuite.com/app/reporting/reportrunner.nl?fromreport=320&amp;regtx,tranline,kacct,x,alltranline5,IN,x,x=950&amp;cr=293" xr:uid="{F1B1448F-E427-4BFB-A434-745A6A82E368}"/>
    <hyperlink ref="A72" r:id="rId67" display="https://9607261.app.netsuite.com/app/reporting/reportrunner.nl?fromreport=320&amp;regtx,tranline,kacct,x,alltranline5,IN,x,x=950&amp;cr=293" xr:uid="{43ADEEC0-C4BA-4636-B184-1E28D970F9A2}"/>
    <hyperlink ref="A73" r:id="rId68" display="https://9607261.app.netsuite.com/app/reporting/reportrunner.nl?fromreport=320&amp;regtx,tranline,kacct,x,alltranline5,IN,x,x=950&amp;cr=293" xr:uid="{82D93FB6-6847-44EA-BF9A-BF83FD9352F3}"/>
    <hyperlink ref="A74" r:id="rId69" display="https://9607261.app.netsuite.com/app/reporting/reportrunner.nl?fromreport=320&amp;regtx,tranline,kacct,x,alltranline5,IN,x,x=950&amp;cr=293" xr:uid="{22610BFE-4AE5-41B4-8839-B3D20868F0B0}"/>
    <hyperlink ref="A75" r:id="rId70" display="https://9607261.app.netsuite.com/app/reporting/reportrunner.nl?fromreport=320&amp;regtx,tranline,kacct,x,alltranline5,IN,x,x=950&amp;cr=293" xr:uid="{2FFE1B5D-9B39-496E-BC31-3C90AE43E664}"/>
    <hyperlink ref="A76" r:id="rId71" display="https://9607261.app.netsuite.com/app/reporting/reportrunner.nl?fromreport=320&amp;regtx,tranline,kacct,x,alltranline5,IN,x,x=950&amp;cr=293" xr:uid="{C4EB050D-5197-42B8-8799-917BDCED3061}"/>
    <hyperlink ref="A77" r:id="rId72" display="https://9607261.app.netsuite.com/app/reporting/reportrunner.nl?fromreport=320&amp;regtx,tranline,kacct,x,alltranline5,IN,x,x=950&amp;cr=293" xr:uid="{D5603FE3-FA74-4AC9-8E69-29FF8D1AC374}"/>
    <hyperlink ref="A78" r:id="rId73" display="https://9607261.app.netsuite.com/app/reporting/reportrunner.nl?fromreport=320&amp;regtx,tranline,kacct,x,alltranline5,IN,x,x=950&amp;cr=293" xr:uid="{7750A15D-A2DF-4FE8-8BBE-F45766BBBECD}"/>
    <hyperlink ref="A79" r:id="rId74" display="https://9607261.app.netsuite.com/app/reporting/reportrunner.nl?fromreport=320&amp;regtx,tranline,kacct,x,alltranline5,IN,x,x=950&amp;cr=293" xr:uid="{F7C96D90-DE32-4094-974C-BCA1B7C89306}"/>
    <hyperlink ref="A80" r:id="rId75" display="https://9607261.app.netsuite.com/app/reporting/reportrunner.nl?fromreport=320&amp;regtx,tranline,kacct,x,alltranline5,IN,x,x=950&amp;cr=293" xr:uid="{810696FE-F4EB-4317-9224-A4526E0A9ACC}"/>
    <hyperlink ref="A81" r:id="rId76" display="https://9607261.app.netsuite.com/app/reporting/reportrunner.nl?fromreport=320&amp;regtx,tranline,kacct,x,alltranline5,IN,x,x=950&amp;cr=293" xr:uid="{8C3F97DC-5567-42DD-9D03-AC2C6B40F846}"/>
    <hyperlink ref="A82" r:id="rId77" display="https://9607261.app.netsuite.com/app/reporting/reportrunner.nl?fromreport=320&amp;regtx,tranline,kacct,x,alltranline5,IN,x,x=950&amp;cr=293" xr:uid="{93618C54-B975-496F-BEAF-E0CBEE5AB446}"/>
    <hyperlink ref="A83" r:id="rId78" display="https://9607261.app.netsuite.com/app/reporting/reportrunner.nl?fromreport=320&amp;regtx,tranline,kacct,x,alltranline5,IN,x,x=950&amp;cr=293" xr:uid="{BB9FDF07-569E-4E2A-A748-6D23EAFCEE21}"/>
    <hyperlink ref="A84" r:id="rId79" display="https://9607261.app.netsuite.com/app/reporting/reportrunner.nl?fromreport=320&amp;regtx,tranline,kacct,x,alltranline5,IN,x,x=950&amp;cr=293" xr:uid="{C0EC211B-953F-481C-9DD8-DB476A921C63}"/>
    <hyperlink ref="A85" r:id="rId80" display="https://9607261.app.netsuite.com/app/reporting/reportrunner.nl?fromreport=320&amp;regtx,tranline,kacct,x,alltranline5,IN,x,x=950&amp;cr=293" xr:uid="{E524440D-57C4-4B6B-A48B-6020AD52540A}"/>
    <hyperlink ref="A86" r:id="rId81" display="https://9607261.app.netsuite.com/app/reporting/reportrunner.nl?fromreport=320&amp;regtx,tranline,kacct,x,alltranline5,IN,x,x=950&amp;cr=293" xr:uid="{50E22D19-3186-4FE2-A018-A030BC6BFDE7}"/>
    <hyperlink ref="A87" r:id="rId82" display="https://9607261.app.netsuite.com/app/reporting/reportrunner.nl?fromreport=320&amp;regtx,tranline,kacct,x,alltranline5,IN,x,x=950&amp;cr=293" xr:uid="{76BCB87A-C465-4442-A58C-8B99CC1B5BC5}"/>
    <hyperlink ref="A88" r:id="rId83" display="https://9607261.app.netsuite.com/app/reporting/reportrunner.nl?fromreport=320&amp;regtx,tranline,kacct,x,alltranline5,IN,x,x=950&amp;cr=293" xr:uid="{275568D1-47F6-499B-8CE2-B7BDD776CA83}"/>
    <hyperlink ref="A89" r:id="rId84" display="https://9607261.app.netsuite.com/app/reporting/reportrunner.nl?fromreport=320&amp;regtx,tranline,kacct,x,alltranline5,IN,x,x=950&amp;cr=293" xr:uid="{433985AF-031D-4CB6-800D-8475A39186BD}"/>
    <hyperlink ref="A90" r:id="rId85" display="https://9607261.app.netsuite.com/app/reporting/reportrunner.nl?fromreport=320&amp;regtx,tranline,kacct,x,alltranline5,IN,x,x=950&amp;cr=293" xr:uid="{102D56DC-A3F4-492E-9C51-C3B4116E3ABD}"/>
    <hyperlink ref="A91" r:id="rId86" display="https://9607261.app.netsuite.com/app/reporting/reportrunner.nl?fromreport=320&amp;regtx,tranline,kacct,x,alltranline5,IN,x,x=950&amp;cr=293" xr:uid="{C1ED68E4-7D30-43EF-BBCE-E0FA4A5AE026}"/>
    <hyperlink ref="A92" r:id="rId87" display="https://9607261.app.netsuite.com/app/reporting/reportrunner.nl?fromreport=320&amp;regtx,tranline,kacct,x,alltranline5,IN,x,x=950&amp;cr=293" xr:uid="{9731BB30-EF61-41C3-870F-8F04706CE663}"/>
    <hyperlink ref="A93" r:id="rId88" display="https://9607261.app.netsuite.com/app/reporting/reportrunner.nl?fromreport=320&amp;regtx,tranline,kacct,x,alltranline5,IN,x,x=950&amp;cr=293" xr:uid="{17E8FB52-88F5-41A6-A6B7-28447234449D}"/>
    <hyperlink ref="A94" r:id="rId89" display="https://9607261.app.netsuite.com/app/reporting/reportrunner.nl?fromreport=320&amp;regtx,tranline,kacct,x,alltranline5,IN,x,x=950&amp;cr=293" xr:uid="{63CD23DE-3E08-417E-A9DF-FB044C7235D5}"/>
    <hyperlink ref="A95" r:id="rId90" display="https://9607261.app.netsuite.com/app/reporting/reportrunner.nl?fromreport=320&amp;regtx,tranline,kacct,x,alltranline5,IN,x,x=950&amp;cr=293" xr:uid="{6FAD190C-29B5-44FC-9F54-036BE57D9A26}"/>
    <hyperlink ref="A96" r:id="rId91" display="https://9607261.app.netsuite.com/app/reporting/reportrunner.nl?fromreport=320&amp;regtx,tranline,kacct,x,alltranline5,IN,x,x=950&amp;cr=293" xr:uid="{E012599A-845E-4F47-BF1D-FD980BE9004C}"/>
    <hyperlink ref="A97" r:id="rId92" display="https://9607261.app.netsuite.com/app/reporting/reportrunner.nl?fromreport=320&amp;regtx,tranline,kacct,x,alltranline5,IN,x,x=950&amp;cr=293" xr:uid="{1B57D469-D9EA-4396-85DA-1B9748DD36C9}"/>
    <hyperlink ref="A98" r:id="rId93" display="https://9607261.app.netsuite.com/app/reporting/reportrunner.nl?fromreport=320&amp;regtx,tranline,kacct,x,alltranline5,IN,x,x=950&amp;cr=293" xr:uid="{AD1F273C-67AA-4A50-92F8-E2812D147C67}"/>
    <hyperlink ref="A99" r:id="rId94" display="https://9607261.app.netsuite.com/app/reporting/reportrunner.nl?fromreport=320&amp;regtx,tranline,kacct,x,alltranline5,IN,x,x=950&amp;cr=293" xr:uid="{BFC3026F-D754-427E-A691-42E321F9AAE9}"/>
    <hyperlink ref="A100" r:id="rId95" display="https://9607261.app.netsuite.com/app/reporting/reportrunner.nl?fromreport=320&amp;regtx,tranline,kacct,x,alltranline5,IN,x,x=950&amp;cr=293" xr:uid="{437F7712-9AAC-46DF-91E4-714B6DB0DB7F}"/>
    <hyperlink ref="A101" r:id="rId96" display="https://9607261.app.netsuite.com/app/reporting/reportrunner.nl?fromreport=320&amp;regtx,tranline,kacct,x,alltranline5,IN,x,x=950&amp;cr=293" xr:uid="{6C169C8C-9C5A-4F2E-9798-9D6FC2D71065}"/>
    <hyperlink ref="A102" r:id="rId97" display="https://9607261.app.netsuite.com/app/reporting/reportrunner.nl?fromreport=320&amp;regtx,tranline,kacct,x,alltranline5,IN,x,x=950&amp;cr=293" xr:uid="{B958A0B5-1378-44E4-B2AB-F90CB47BB14D}"/>
    <hyperlink ref="A103" r:id="rId98" display="https://9607261.app.netsuite.com/app/reporting/reportrunner.nl?fromreport=320&amp;regtx,tranline,kacct,x,alltranline5,IN,x,x=950&amp;cr=293" xr:uid="{36DD638F-0E23-404E-953F-BB7CE001DE10}"/>
    <hyperlink ref="A104" r:id="rId99" display="https://9607261.app.netsuite.com/app/reporting/reportrunner.nl?fromreport=320&amp;regtx,tranline,kacct,x,alltranline5,IN,x,x=950&amp;cr=293" xr:uid="{BBBE069F-80B0-407C-B459-C26B16EA0B86}"/>
    <hyperlink ref="A105" r:id="rId100" display="https://9607261.app.netsuite.com/app/reporting/reportrunner.nl?fromreport=320&amp;regtx,tranline,kacct,x,alltranline5,IN,x,x=950&amp;cr=293" xr:uid="{F3338194-D50C-44F2-A085-3D11230801B3}"/>
    <hyperlink ref="A106" r:id="rId101" display="https://9607261.app.netsuite.com/app/reporting/reportrunner.nl?fromreport=320&amp;regtx,tranline,kacct,x,alltranline5,IN,x,x=950&amp;cr=293" xr:uid="{2BF69E32-77B2-4CA0-9B7D-31AD694EF6AC}"/>
    <hyperlink ref="A107" r:id="rId102" display="https://9607261.app.netsuite.com/app/reporting/reportrunner.nl?fromreport=320&amp;regtx,tranline,kacct,x,alltranline5,IN,x,x=950&amp;cr=293" xr:uid="{D10DE857-BD21-4490-BB4D-FB09354F9BD7}"/>
    <hyperlink ref="A108" r:id="rId103" display="https://9607261.app.netsuite.com/app/reporting/reportrunner.nl?fromreport=320&amp;regtx,tranline,kacct,x,alltranline5,IN,x,x=950&amp;cr=293" xr:uid="{C1B81DE6-3F7F-497A-A45D-461912DA8120}"/>
    <hyperlink ref="A109" r:id="rId104" display="https://9607261.app.netsuite.com/app/reporting/reportrunner.nl?fromreport=320&amp;regtx,tranline,kacct,x,alltranline5,IN,x,x=950&amp;cr=293" xr:uid="{00446EB8-9856-4314-A426-643B5AC9A167}"/>
    <hyperlink ref="A110" r:id="rId105" display="https://9607261.app.netsuite.com/app/reporting/reportrunner.nl?fromreport=320&amp;regtx,tranline,kacct,x,alltranline5,IN,x,x=950&amp;cr=293" xr:uid="{FF2AE93E-B57B-4F2F-B874-F8324607D4A7}"/>
    <hyperlink ref="A111:A115" r:id="rId106" display="https://9607261.app.netsuite.com/app/reporting/reportrunner.nl?fromreport=320&amp;regtx,tranline,kacct,x,alltranline5,IN,x,x=950&amp;cr=293" xr:uid="{27F022F7-E8CB-477C-9D53-62028FBEC110}"/>
    <hyperlink ref="A117" r:id="rId107" display="https://9607261.app.netsuite.com/app/reporting/reportrunner.nl?fromreport=320&amp;regtx,tranline,kacct,x,alltranline5,IN,x,x=950&amp;cr=293" xr:uid="{A93FBA94-77EC-49E5-9108-16B94DC36BDC}"/>
    <hyperlink ref="A116" r:id="rId108" display="https://9607261.app.netsuite.com/app/reporting/reportrunner.nl?fromreport=320&amp;regtx,tranline,kacct,x,alltranline5,IN,x,x=950&amp;cr=293" xr:uid="{83CF7715-E555-47DB-83DC-BFABF961E3FE}"/>
    <hyperlink ref="A118" r:id="rId109" display="https://9607261.app.netsuite.com/app/reporting/reportrunner.nl?fromreport=320&amp;regtx,tranline,kacct,x,alltranline5,IN,x,x=950&amp;cr=293" xr:uid="{8218C30A-4F71-400D-BEAC-8AA8323E33E5}"/>
    <hyperlink ref="A119" r:id="rId110" display="https://9607261.app.netsuite.com/app/reporting/reportrunner.nl?fromreport=320&amp;regtx,tranline,kacct,x,alltranline5,IN,x,x=950&amp;cr=293" xr:uid="{95952730-6FCF-4534-8C06-9F1ACC90919F}"/>
    <hyperlink ref="A120" r:id="rId111" display="https://9607261.app.netsuite.com/app/reporting/reportrunner.nl?fromreport=320&amp;regtx,tranline,kacct,x,alltranline5,IN,x,x=950&amp;cr=293" xr:uid="{4C67DC62-7F9D-426B-9FDC-A20C2BDBF151}"/>
    <hyperlink ref="A121" r:id="rId112" display="https://9607261.app.netsuite.com/app/reporting/reportrunner.nl?fromreport=320&amp;regtx,tranline,kacct,x,alltranline5,IN,x,x=950&amp;cr=293" xr:uid="{8360CFF2-F8E2-4F34-9C6A-97B6B0BB5323}"/>
    <hyperlink ref="A122" r:id="rId113" display="https://9607261.app.netsuite.com/app/reporting/reportrunner.nl?fromreport=320&amp;regtx,tranline,kacct,x,alltranline5,IN,x,x=950&amp;cr=293" xr:uid="{513CBCE9-6D6A-446D-8741-3A77B5133C0B}"/>
    <hyperlink ref="A123" r:id="rId114" display="https://9607261.app.netsuite.com/app/reporting/reportrunner.nl?fromreport=320&amp;regtx,tranline,kacct,x,alltranline5,IN,x,x=950&amp;cr=293" xr:uid="{DE00DCAC-9D36-4A70-B504-6C1D93BCFD24}"/>
    <hyperlink ref="A124" r:id="rId115" display="https://9607261.app.netsuite.com/app/reporting/reportrunner.nl?fromreport=320&amp;regtx,tranline,kacct,x,alltranline5,IN,x,x=950&amp;cr=293" xr:uid="{F588CF23-9030-4293-9B42-C9B28FD7154B}"/>
    <hyperlink ref="A125" r:id="rId116" display="https://9607261.app.netsuite.com/app/reporting/reportrunner.nl?fromreport=320&amp;regtx,tranline,kacct,x,alltranline5,IN,x,x=950&amp;cr=293" xr:uid="{6CE4DBD9-8D0C-4131-9076-9C5E75243BA9}"/>
    <hyperlink ref="A126" r:id="rId117" display="https://9607261.app.netsuite.com/app/reporting/reportrunner.nl?fromreport=320&amp;regtx,tranline,kacct,x,alltranline5,IN,x,x=950&amp;cr=293" xr:uid="{25B3FE7A-370A-4C67-9D31-BC41DEDB7DD9}"/>
    <hyperlink ref="A127" r:id="rId118" display="https://9607261.app.netsuite.com/app/reporting/reportrunner.nl?fromreport=320&amp;regtx,tranline,kacct,x,alltranline5,IN,x,x=950&amp;cr=293" xr:uid="{CCE17088-1296-473F-B479-7FBA6AA13A37}"/>
    <hyperlink ref="A128" r:id="rId119" display="https://9607261.app.netsuite.com/app/reporting/reportrunner.nl?fromreport=320&amp;regtx,tranline,kacct,x,alltranline5,IN,x,x=950&amp;cr=293" xr:uid="{08CB4E60-7275-445A-9D61-EB1D362330C5}"/>
    <hyperlink ref="A129" r:id="rId120" display="https://9607261.app.netsuite.com/app/reporting/reportrunner.nl?fromreport=320&amp;regtx,tranline,kacct,x,alltranline5,IN,x,x=950&amp;cr=293" xr:uid="{DD352C4B-0B50-47FD-871B-E9FE8AF9B1BF}"/>
    <hyperlink ref="A130" r:id="rId121" display="https://9607261.app.netsuite.com/app/reporting/reportrunner.nl?fromreport=320&amp;regtx,tranline,kacct,x,alltranline5,IN,x,x=950&amp;cr=293" xr:uid="{5E3A2284-8302-43B4-B609-BDA70DCD685B}"/>
    <hyperlink ref="A131" r:id="rId122" display="https://9607261.app.netsuite.com/app/reporting/reportrunner.nl?fromreport=320&amp;regtx,tranline,kacct,x,alltranline5,IN,x,x=950&amp;cr=293" xr:uid="{D63C9FE6-881B-4E96-9E1E-47C2378C968C}"/>
    <hyperlink ref="A132" r:id="rId123" display="https://9607261.app.netsuite.com/app/reporting/reportrunner.nl?fromreport=320&amp;regtx,tranline,kacct,x,alltranline5,IN,x,x=950&amp;cr=293" xr:uid="{BB2C73AB-C4D4-4CF2-9561-5A27595BC2A9}"/>
    <hyperlink ref="A133" r:id="rId124" display="https://9607261.app.netsuite.com/app/reporting/reportrunner.nl?fromreport=320&amp;regtx,tranline,kacct,x,alltranline5,IN,x,x=950&amp;cr=293" xr:uid="{7FF7A51A-72C6-42DD-AFE9-BF6163BBAF19}"/>
    <hyperlink ref="A134" r:id="rId125" display="https://9607261.app.netsuite.com/app/reporting/reportrunner.nl?fromreport=320&amp;regtx,tranline,kacct,x,alltranline5,IN,x,x=950&amp;cr=293" xr:uid="{2EF48D6C-10C3-435C-99C0-CD86E91FDFB8}"/>
    <hyperlink ref="A135" r:id="rId126" display="https://9607261.app.netsuite.com/app/reporting/reportrunner.nl?fromreport=320&amp;regtx,tranline,kacct,x,alltranline5,IN,x,x=950&amp;cr=293" xr:uid="{6BF30898-3B0E-48E6-957B-A0613C38567B}"/>
    <hyperlink ref="A136" r:id="rId127" display="https://9607261.app.netsuite.com/app/reporting/reportrunner.nl?fromreport=320&amp;regtx,tranline,kacct,x,alltranline5,IN,x,x=950&amp;cr=293" xr:uid="{4F5016BB-D881-44DA-B451-D1F600A3EBFE}"/>
    <hyperlink ref="A137" r:id="rId128" display="https://9607261.app.netsuite.com/app/reporting/reportrunner.nl?fromreport=320&amp;regtx,tranline,kacct,x,alltranline5,IN,x,x=950&amp;cr=293" xr:uid="{854A5292-305E-43A6-AD70-A5C878581011}"/>
    <hyperlink ref="A138" r:id="rId129" display="https://9607261.app.netsuite.com/app/reporting/reportrunner.nl?fromreport=320&amp;regtx,tranline,kacct,x,alltranline5,IN,x,x=950&amp;cr=293" xr:uid="{2D3542BB-4C4B-4C65-8543-44E51BAB20A6}"/>
    <hyperlink ref="A139" r:id="rId130" display="https://9607261.app.netsuite.com/app/reporting/reportrunner.nl?fromreport=320&amp;regtx,tranline,kacct,x,alltranline5,IN,x,x=950&amp;cr=293" xr:uid="{51AE7FA0-2B0B-4D6C-82B0-02086D7077D2}"/>
    <hyperlink ref="A140" r:id="rId131" display="https://9607261.app.netsuite.com/app/reporting/reportrunner.nl?fromreport=320&amp;regtx,tranline,kacct,x,alltranline5,IN,x,x=950&amp;cr=293" xr:uid="{44A4E429-4844-43AF-833C-197157E31188}"/>
    <hyperlink ref="A141" r:id="rId132" display="https://9607261.app.netsuite.com/app/reporting/reportrunner.nl?fromreport=320&amp;regtx,tranline,kacct,x,alltranline5,IN,x,x=950&amp;cr=293" xr:uid="{F566135E-153E-4821-8DBE-1C7C7F6048B6}"/>
    <hyperlink ref="A142" r:id="rId133" display="https://9607261.app.netsuite.com/app/reporting/reportrunner.nl?fromreport=320&amp;regtx,tranline,kacct,x,alltranline5,IN,x,x=950&amp;cr=293" xr:uid="{D2A67CAA-1809-404B-9826-4AB102A0916C}"/>
    <hyperlink ref="A143" r:id="rId134" display="https://9607261.app.netsuite.com/app/reporting/reportrunner.nl?fromreport=320&amp;regtx,tranline,kacct,x,alltranline5,IN,x,x=950&amp;cr=293" xr:uid="{0C25C05A-6F00-4AC9-AA15-FD5200C609D2}"/>
    <hyperlink ref="A144" r:id="rId135" display="https://9607261.app.netsuite.com/app/reporting/reportrunner.nl?fromreport=320&amp;regtx,tranline,kacct,x,alltranline5,IN,x,x=950&amp;cr=293" xr:uid="{7525CB48-E7D8-402A-B4CD-AF4CB7DAD12E}"/>
    <hyperlink ref="A145" r:id="rId136" display="https://9607261.app.netsuite.com/app/reporting/reportrunner.nl?fromreport=320&amp;regtx,tranline,kacct,x,alltranline5,IN,x,x=950&amp;cr=293" xr:uid="{7FED74C8-D8E1-47D2-8E03-7E0113996682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1C0D-917D-41B0-9ECF-0F8D41FBA177}">
  <dimension ref="A1:N1257"/>
  <sheetViews>
    <sheetView topLeftCell="A955" workbookViewId="0">
      <selection activeCell="J1" sqref="J1:L4"/>
    </sheetView>
  </sheetViews>
  <sheetFormatPr defaultColWidth="8.83203125" defaultRowHeight="14.5" x14ac:dyDescent="0.35"/>
  <cols>
    <col min="1" max="1" width="32" style="25" customWidth="1"/>
    <col min="2" max="2" width="22" style="25" customWidth="1"/>
    <col min="3" max="3" width="12.08203125" style="25" customWidth="1"/>
    <col min="4" max="4" width="8.83203125" style="25"/>
    <col min="5" max="5" width="33.33203125" style="25" customWidth="1"/>
    <col min="6" max="6" width="29" style="25" customWidth="1"/>
    <col min="7" max="7" width="17.5" style="25" customWidth="1"/>
    <col min="8" max="10" width="8.83203125" style="25"/>
    <col min="11" max="11" width="11.4140625" style="25" bestFit="1" customWidth="1"/>
    <col min="12" max="16384" width="8.83203125" style="25"/>
  </cols>
  <sheetData>
    <row r="1" spans="1:14" x14ac:dyDescent="0.35">
      <c r="G1" s="34">
        <f>SUM(G4:G1671)</f>
        <v>7173186.1400000006</v>
      </c>
      <c r="J1" s="105" t="s">
        <v>4030</v>
      </c>
      <c r="K1" s="120">
        <f>SUM(G4:G1009)</f>
        <v>5816494.2000000039</v>
      </c>
      <c r="L1" s="105" t="s">
        <v>4048</v>
      </c>
      <c r="N1" s="97" t="s">
        <v>4083</v>
      </c>
    </row>
    <row r="2" spans="1:14" x14ac:dyDescent="0.35">
      <c r="A2" s="20" t="s">
        <v>2635</v>
      </c>
      <c r="B2" s="20" t="s">
        <v>3580</v>
      </c>
      <c r="C2" s="27" t="s">
        <v>2545</v>
      </c>
      <c r="D2" s="27" t="s">
        <v>957</v>
      </c>
      <c r="E2" s="27" t="s">
        <v>948</v>
      </c>
      <c r="F2" s="27" t="s">
        <v>3803</v>
      </c>
      <c r="G2" s="27" t="s">
        <v>2636</v>
      </c>
      <c r="J2" s="105" t="s">
        <v>4031</v>
      </c>
      <c r="K2" s="120">
        <f>SUM(G1010:G1090)</f>
        <v>295927.18000000005</v>
      </c>
      <c r="L2" s="105" t="s">
        <v>4049</v>
      </c>
      <c r="N2" s="98" t="s">
        <v>4078</v>
      </c>
    </row>
    <row r="3" spans="1:14" ht="14.4" customHeight="1" x14ac:dyDescent="0.35">
      <c r="A3" s="20" t="s">
        <v>3582</v>
      </c>
      <c r="B3" s="20" t="s">
        <v>3581</v>
      </c>
      <c r="J3" s="105" t="s">
        <v>4032</v>
      </c>
      <c r="K3" s="120">
        <f>SUM(G1091:G1257)</f>
        <v>1060764.76</v>
      </c>
      <c r="L3" s="105" t="s">
        <v>4050</v>
      </c>
      <c r="N3" s="98" t="s">
        <v>4079</v>
      </c>
    </row>
    <row r="4" spans="1:14" x14ac:dyDescent="0.35">
      <c r="A4" s="22" t="s">
        <v>2549</v>
      </c>
      <c r="B4" s="22" t="s">
        <v>2550</v>
      </c>
      <c r="C4" s="26">
        <v>45870</v>
      </c>
      <c r="D4" s="25" t="s">
        <v>2637</v>
      </c>
      <c r="E4" s="25" t="s">
        <v>1263</v>
      </c>
      <c r="F4" s="53" t="s">
        <v>3812</v>
      </c>
      <c r="G4" s="28">
        <v>38753.19</v>
      </c>
      <c r="J4" s="107" t="s">
        <v>4047</v>
      </c>
      <c r="K4" s="121"/>
      <c r="L4" s="105" t="s">
        <v>4051</v>
      </c>
      <c r="N4" s="98" t="s">
        <v>4082</v>
      </c>
    </row>
    <row r="5" spans="1:14" ht="43.5" x14ac:dyDescent="0.35">
      <c r="A5" s="22" t="s">
        <v>2549</v>
      </c>
      <c r="B5" s="22" t="s">
        <v>2550</v>
      </c>
      <c r="C5" s="26">
        <v>45873</v>
      </c>
      <c r="D5" s="25" t="s">
        <v>2638</v>
      </c>
      <c r="E5" s="25" t="s">
        <v>1475</v>
      </c>
      <c r="F5" s="53" t="s">
        <v>3812</v>
      </c>
      <c r="G5" s="28">
        <v>17770.829999999998</v>
      </c>
      <c r="J5" s="119" t="s">
        <v>4108</v>
      </c>
    </row>
    <row r="6" spans="1:14" x14ac:dyDescent="0.35">
      <c r="A6" s="22" t="s">
        <v>2549</v>
      </c>
      <c r="B6" s="22" t="s">
        <v>2550</v>
      </c>
      <c r="C6" s="26">
        <v>45873</v>
      </c>
      <c r="D6" s="25">
        <v>38633</v>
      </c>
      <c r="E6" s="25" t="s">
        <v>2644</v>
      </c>
      <c r="F6" s="53" t="s">
        <v>3812</v>
      </c>
      <c r="G6" s="28">
        <v>1066.07</v>
      </c>
    </row>
    <row r="7" spans="1:14" x14ac:dyDescent="0.35">
      <c r="A7" s="22" t="s">
        <v>2549</v>
      </c>
      <c r="B7" s="22" t="s">
        <v>2550</v>
      </c>
      <c r="C7" s="26">
        <v>45874</v>
      </c>
      <c r="D7" s="25" t="s">
        <v>2639</v>
      </c>
      <c r="E7" s="25" t="s">
        <v>1582</v>
      </c>
      <c r="F7" s="53" t="s">
        <v>3812</v>
      </c>
      <c r="G7" s="28">
        <v>11850.06</v>
      </c>
      <c r="J7" s="88"/>
    </row>
    <row r="8" spans="1:14" x14ac:dyDescent="0.35">
      <c r="A8" s="22" t="s">
        <v>2549</v>
      </c>
      <c r="B8" s="22" t="s">
        <v>2550</v>
      </c>
      <c r="C8" s="26">
        <v>45874</v>
      </c>
      <c r="D8" s="25" t="s">
        <v>2640</v>
      </c>
      <c r="E8" s="25" t="s">
        <v>2628</v>
      </c>
      <c r="F8" s="53" t="s">
        <v>3812</v>
      </c>
      <c r="G8" s="28">
        <v>13724.09</v>
      </c>
      <c r="J8" s="88"/>
    </row>
    <row r="9" spans="1:14" x14ac:dyDescent="0.35">
      <c r="A9" s="22" t="s">
        <v>2549</v>
      </c>
      <c r="B9" s="22" t="s">
        <v>2550</v>
      </c>
      <c r="C9" s="26">
        <v>45874</v>
      </c>
      <c r="D9" s="25" t="s">
        <v>2641</v>
      </c>
      <c r="E9" s="25" t="s">
        <v>2628</v>
      </c>
      <c r="F9" s="53" t="s">
        <v>3812</v>
      </c>
      <c r="G9" s="28">
        <v>8320.26</v>
      </c>
      <c r="J9" s="96"/>
    </row>
    <row r="10" spans="1:14" x14ac:dyDescent="0.35">
      <c r="A10" s="22" t="s">
        <v>2549</v>
      </c>
      <c r="B10" s="22" t="s">
        <v>2550</v>
      </c>
      <c r="C10" s="26">
        <v>45874</v>
      </c>
      <c r="D10" s="25" t="s">
        <v>2642</v>
      </c>
      <c r="E10" s="25" t="s">
        <v>2628</v>
      </c>
      <c r="F10" s="53" t="s">
        <v>3812</v>
      </c>
      <c r="G10" s="28">
        <v>1850</v>
      </c>
    </row>
    <row r="11" spans="1:14" x14ac:dyDescent="0.35">
      <c r="A11" s="22" t="s">
        <v>2549</v>
      </c>
      <c r="B11" s="22" t="s">
        <v>2550</v>
      </c>
      <c r="C11" s="26">
        <v>45876</v>
      </c>
      <c r="D11" s="25">
        <v>37687</v>
      </c>
      <c r="E11" s="25" t="s">
        <v>1263</v>
      </c>
      <c r="F11" s="53" t="s">
        <v>3812</v>
      </c>
      <c r="G11" s="28">
        <v>256</v>
      </c>
    </row>
    <row r="12" spans="1:14" x14ac:dyDescent="0.35">
      <c r="A12" s="22" t="s">
        <v>2549</v>
      </c>
      <c r="B12" s="22" t="s">
        <v>2550</v>
      </c>
      <c r="C12" s="26">
        <v>45876</v>
      </c>
      <c r="D12" s="25" t="s">
        <v>2643</v>
      </c>
      <c r="E12" s="25" t="s">
        <v>1263</v>
      </c>
      <c r="F12" s="53" t="s">
        <v>3812</v>
      </c>
      <c r="G12" s="28">
        <v>136.08000000000001</v>
      </c>
    </row>
    <row r="13" spans="1:14" x14ac:dyDescent="0.35">
      <c r="A13" s="22" t="s">
        <v>2549</v>
      </c>
      <c r="B13" s="22" t="s">
        <v>2550</v>
      </c>
      <c r="C13" s="26">
        <v>45876</v>
      </c>
      <c r="D13" s="25">
        <v>38661</v>
      </c>
      <c r="E13" s="25" t="s">
        <v>2650</v>
      </c>
      <c r="F13" s="53" t="s">
        <v>3812</v>
      </c>
      <c r="G13" s="28">
        <v>5066</v>
      </c>
    </row>
    <row r="14" spans="1:14" x14ac:dyDescent="0.35">
      <c r="A14" s="22" t="s">
        <v>2549</v>
      </c>
      <c r="B14" s="22" t="s">
        <v>2550</v>
      </c>
      <c r="C14" s="26">
        <v>45877</v>
      </c>
      <c r="D14" s="25">
        <v>36248</v>
      </c>
      <c r="E14" s="25" t="s">
        <v>1839</v>
      </c>
      <c r="F14" s="53" t="s">
        <v>3812</v>
      </c>
      <c r="G14" s="28">
        <v>36.36</v>
      </c>
    </row>
    <row r="15" spans="1:14" x14ac:dyDescent="0.35">
      <c r="A15" s="22" t="s">
        <v>2549</v>
      </c>
      <c r="B15" s="22" t="s">
        <v>2550</v>
      </c>
      <c r="C15" s="26">
        <v>45877</v>
      </c>
      <c r="D15" s="25">
        <v>36250</v>
      </c>
      <c r="E15" s="25" t="s">
        <v>1839</v>
      </c>
      <c r="F15" s="53" t="s">
        <v>3812</v>
      </c>
      <c r="G15" s="28">
        <v>11139.99</v>
      </c>
    </row>
    <row r="16" spans="1:14" x14ac:dyDescent="0.35">
      <c r="A16" s="22" t="s">
        <v>2549</v>
      </c>
      <c r="B16" s="22" t="s">
        <v>2550</v>
      </c>
      <c r="C16" s="26">
        <v>45877</v>
      </c>
      <c r="D16" s="25" t="s">
        <v>2645</v>
      </c>
      <c r="E16" s="25" t="s">
        <v>1035</v>
      </c>
      <c r="F16" s="53" t="s">
        <v>3812</v>
      </c>
      <c r="G16" s="28">
        <v>0</v>
      </c>
    </row>
    <row r="17" spans="1:7" x14ac:dyDescent="0.35">
      <c r="A17" s="22" t="s">
        <v>2549</v>
      </c>
      <c r="B17" s="22" t="s">
        <v>2550</v>
      </c>
      <c r="C17" s="26">
        <v>45877</v>
      </c>
      <c r="D17" s="25">
        <v>38292</v>
      </c>
      <c r="E17" s="25" t="s">
        <v>2662</v>
      </c>
      <c r="F17" s="53" t="s">
        <v>3812</v>
      </c>
      <c r="G17" s="28">
        <v>11678.810000000001</v>
      </c>
    </row>
    <row r="18" spans="1:7" x14ac:dyDescent="0.35">
      <c r="A18" s="22" t="s">
        <v>2549</v>
      </c>
      <c r="B18" s="22" t="s">
        <v>2550</v>
      </c>
      <c r="C18" s="26">
        <v>45877</v>
      </c>
      <c r="D18" s="25" t="s">
        <v>2646</v>
      </c>
      <c r="E18" s="25" t="s">
        <v>2662</v>
      </c>
      <c r="F18" s="53" t="s">
        <v>3812</v>
      </c>
      <c r="G18" s="28">
        <v>13696.2</v>
      </c>
    </row>
    <row r="19" spans="1:7" x14ac:dyDescent="0.35">
      <c r="A19" s="22" t="s">
        <v>2549</v>
      </c>
      <c r="B19" s="22" t="s">
        <v>2550</v>
      </c>
      <c r="C19" s="26">
        <v>45880</v>
      </c>
      <c r="D19" s="25" t="s">
        <v>2647</v>
      </c>
      <c r="E19" s="25" t="s">
        <v>1179</v>
      </c>
      <c r="F19" s="53" t="s">
        <v>3812</v>
      </c>
      <c r="G19" s="28">
        <v>338.1</v>
      </c>
    </row>
    <row r="20" spans="1:7" x14ac:dyDescent="0.35">
      <c r="A20" s="22" t="s">
        <v>2549</v>
      </c>
      <c r="B20" s="22" t="s">
        <v>2550</v>
      </c>
      <c r="C20" s="26">
        <v>45880</v>
      </c>
      <c r="D20" s="25">
        <v>38259</v>
      </c>
      <c r="E20" s="25" t="s">
        <v>2677</v>
      </c>
      <c r="F20" s="53" t="s">
        <v>3812</v>
      </c>
      <c r="G20" s="28">
        <v>326.43</v>
      </c>
    </row>
    <row r="21" spans="1:7" x14ac:dyDescent="0.35">
      <c r="A21" s="22" t="s">
        <v>2549</v>
      </c>
      <c r="B21" s="22" t="s">
        <v>2550</v>
      </c>
      <c r="C21" s="26">
        <v>45880</v>
      </c>
      <c r="D21" s="25">
        <v>38260</v>
      </c>
      <c r="E21" s="25" t="s">
        <v>2677</v>
      </c>
      <c r="F21" s="53" t="s">
        <v>3812</v>
      </c>
      <c r="G21" s="28">
        <v>5925.3899999999994</v>
      </c>
    </row>
    <row r="22" spans="1:7" x14ac:dyDescent="0.35">
      <c r="A22" s="22" t="s">
        <v>2549</v>
      </c>
      <c r="B22" s="22" t="s">
        <v>2550</v>
      </c>
      <c r="C22" s="26">
        <v>45880</v>
      </c>
      <c r="D22" s="25">
        <v>38579</v>
      </c>
      <c r="E22" s="25" t="s">
        <v>2205</v>
      </c>
      <c r="F22" s="53" t="s">
        <v>3812</v>
      </c>
      <c r="G22" s="28">
        <v>1350</v>
      </c>
    </row>
    <row r="23" spans="1:7" x14ac:dyDescent="0.35">
      <c r="A23" s="22" t="s">
        <v>2549</v>
      </c>
      <c r="B23" s="22" t="s">
        <v>2550</v>
      </c>
      <c r="C23" s="26">
        <v>45881</v>
      </c>
      <c r="D23" s="25" t="s">
        <v>2648</v>
      </c>
      <c r="E23" s="25" t="s">
        <v>1179</v>
      </c>
      <c r="F23" s="53" t="s">
        <v>3812</v>
      </c>
      <c r="G23" s="28">
        <v>0</v>
      </c>
    </row>
    <row r="24" spans="1:7" x14ac:dyDescent="0.35">
      <c r="A24" s="22" t="s">
        <v>2549</v>
      </c>
      <c r="B24" s="22" t="s">
        <v>2550</v>
      </c>
      <c r="C24" s="26">
        <v>45881</v>
      </c>
      <c r="D24" s="25" t="s">
        <v>2649</v>
      </c>
      <c r="E24" s="25" t="s">
        <v>1179</v>
      </c>
      <c r="F24" s="53" t="s">
        <v>3812</v>
      </c>
      <c r="G24" s="28">
        <v>0</v>
      </c>
    </row>
    <row r="25" spans="1:7" x14ac:dyDescent="0.35">
      <c r="A25" s="22" t="s">
        <v>2549</v>
      </c>
      <c r="B25" s="22" t="s">
        <v>2550</v>
      </c>
      <c r="C25" s="26">
        <v>45881</v>
      </c>
      <c r="D25" s="25" t="s">
        <v>2651</v>
      </c>
      <c r="E25" s="25" t="s">
        <v>1004</v>
      </c>
      <c r="F25" s="53" t="s">
        <v>3812</v>
      </c>
      <c r="G25" s="28">
        <v>0</v>
      </c>
    </row>
    <row r="26" spans="1:7" x14ac:dyDescent="0.35">
      <c r="A26" s="22" t="s">
        <v>2549</v>
      </c>
      <c r="B26" s="22" t="s">
        <v>2550</v>
      </c>
      <c r="C26" s="26">
        <v>45881</v>
      </c>
      <c r="D26" s="25" t="s">
        <v>2652</v>
      </c>
      <c r="E26" s="25" t="s">
        <v>1004</v>
      </c>
      <c r="F26" s="53" t="s">
        <v>3812</v>
      </c>
      <c r="G26" s="28">
        <v>6344.1100000000006</v>
      </c>
    </row>
    <row r="27" spans="1:7" x14ac:dyDescent="0.35">
      <c r="A27" s="22" t="s">
        <v>2549</v>
      </c>
      <c r="B27" s="22" t="s">
        <v>2550</v>
      </c>
      <c r="C27" s="26">
        <v>45881</v>
      </c>
      <c r="D27" s="25" t="s">
        <v>2653</v>
      </c>
      <c r="E27" s="25" t="s">
        <v>1004</v>
      </c>
      <c r="F27" s="53" t="s">
        <v>3812</v>
      </c>
      <c r="G27" s="28">
        <v>0</v>
      </c>
    </row>
    <row r="28" spans="1:7" x14ac:dyDescent="0.35">
      <c r="A28" s="22" t="s">
        <v>2549</v>
      </c>
      <c r="B28" s="22" t="s">
        <v>2550</v>
      </c>
      <c r="C28" s="26">
        <v>45881</v>
      </c>
      <c r="D28" s="25" t="s">
        <v>2654</v>
      </c>
      <c r="E28" s="25" t="s">
        <v>1263</v>
      </c>
      <c r="F28" s="53" t="s">
        <v>3812</v>
      </c>
      <c r="G28" s="28">
        <v>33360</v>
      </c>
    </row>
    <row r="29" spans="1:7" x14ac:dyDescent="0.35">
      <c r="A29" s="22" t="s">
        <v>2549</v>
      </c>
      <c r="B29" s="22" t="s">
        <v>2550</v>
      </c>
      <c r="C29" s="26">
        <v>45881</v>
      </c>
      <c r="D29" s="25" t="s">
        <v>2655</v>
      </c>
      <c r="E29" s="25" t="s">
        <v>1263</v>
      </c>
      <c r="F29" s="53" t="s">
        <v>3812</v>
      </c>
      <c r="G29" s="28">
        <v>29600.639999999999</v>
      </c>
    </row>
    <row r="30" spans="1:7" x14ac:dyDescent="0.35">
      <c r="A30" s="22" t="s">
        <v>2549</v>
      </c>
      <c r="B30" s="22" t="s">
        <v>2550</v>
      </c>
      <c r="C30" s="26">
        <v>45881</v>
      </c>
      <c r="D30" s="25" t="s">
        <v>2656</v>
      </c>
      <c r="E30" s="25" t="s">
        <v>1263</v>
      </c>
      <c r="F30" s="53" t="s">
        <v>3812</v>
      </c>
      <c r="G30" s="28">
        <v>1026</v>
      </c>
    </row>
    <row r="31" spans="1:7" x14ac:dyDescent="0.35">
      <c r="A31" s="22" t="s">
        <v>2549</v>
      </c>
      <c r="B31" s="22" t="s">
        <v>2550</v>
      </c>
      <c r="C31" s="26">
        <v>45881</v>
      </c>
      <c r="D31" s="25" t="s">
        <v>2657</v>
      </c>
      <c r="E31" s="25" t="s">
        <v>1263</v>
      </c>
      <c r="F31" s="53" t="s">
        <v>3812</v>
      </c>
      <c r="G31" s="28">
        <v>50080.54</v>
      </c>
    </row>
    <row r="32" spans="1:7" x14ac:dyDescent="0.35">
      <c r="A32" s="22" t="s">
        <v>2549</v>
      </c>
      <c r="B32" s="22" t="s">
        <v>2550</v>
      </c>
      <c r="C32" s="26">
        <v>45881</v>
      </c>
      <c r="D32" s="25" t="s">
        <v>2658</v>
      </c>
      <c r="E32" s="25" t="s">
        <v>1263</v>
      </c>
      <c r="F32" s="53" t="s">
        <v>3812</v>
      </c>
      <c r="G32" s="28">
        <v>50056.76</v>
      </c>
    </row>
    <row r="33" spans="1:7" x14ac:dyDescent="0.35">
      <c r="A33" s="22" t="s">
        <v>2549</v>
      </c>
      <c r="B33" s="22" t="s">
        <v>2550</v>
      </c>
      <c r="C33" s="26">
        <v>45881</v>
      </c>
      <c r="D33" s="25" t="s">
        <v>2659</v>
      </c>
      <c r="E33" s="25" t="s">
        <v>1263</v>
      </c>
      <c r="F33" s="53" t="s">
        <v>3812</v>
      </c>
      <c r="G33" s="28">
        <v>0</v>
      </c>
    </row>
    <row r="34" spans="1:7" x14ac:dyDescent="0.35">
      <c r="A34" s="22" t="s">
        <v>2549</v>
      </c>
      <c r="B34" s="22" t="s">
        <v>2550</v>
      </c>
      <c r="C34" s="26">
        <v>45881</v>
      </c>
      <c r="D34" s="25" t="s">
        <v>2660</v>
      </c>
      <c r="E34" s="25" t="s">
        <v>1263</v>
      </c>
      <c r="F34" s="53" t="s">
        <v>3812</v>
      </c>
      <c r="G34" s="28">
        <v>11383.099999999999</v>
      </c>
    </row>
    <row r="35" spans="1:7" x14ac:dyDescent="0.35">
      <c r="A35" s="22" t="s">
        <v>2549</v>
      </c>
      <c r="B35" s="22" t="s">
        <v>2550</v>
      </c>
      <c r="C35" s="26">
        <v>45881</v>
      </c>
      <c r="D35" s="25" t="s">
        <v>2661</v>
      </c>
      <c r="E35" s="25" t="s">
        <v>1263</v>
      </c>
      <c r="F35" s="53" t="s">
        <v>3812</v>
      </c>
      <c r="G35" s="28">
        <v>35342.19</v>
      </c>
    </row>
    <row r="36" spans="1:7" x14ac:dyDescent="0.35">
      <c r="A36" s="22" t="s">
        <v>2549</v>
      </c>
      <c r="B36" s="22" t="s">
        <v>2550</v>
      </c>
      <c r="C36" s="26">
        <v>45881</v>
      </c>
      <c r="D36" s="25" t="s">
        <v>2663</v>
      </c>
      <c r="E36" s="25" t="s">
        <v>1263</v>
      </c>
      <c r="F36" s="53" t="s">
        <v>3812</v>
      </c>
      <c r="G36" s="28">
        <v>0</v>
      </c>
    </row>
    <row r="37" spans="1:7" x14ac:dyDescent="0.35">
      <c r="A37" s="22" t="s">
        <v>2549</v>
      </c>
      <c r="B37" s="22" t="s">
        <v>2550</v>
      </c>
      <c r="C37" s="26">
        <v>45881</v>
      </c>
      <c r="D37" s="25" t="s">
        <v>2664</v>
      </c>
      <c r="E37" s="25" t="s">
        <v>1263</v>
      </c>
      <c r="F37" s="53" t="s">
        <v>3812</v>
      </c>
      <c r="G37" s="28">
        <v>2872</v>
      </c>
    </row>
    <row r="38" spans="1:7" x14ac:dyDescent="0.35">
      <c r="A38" s="22" t="s">
        <v>2549</v>
      </c>
      <c r="B38" s="22" t="s">
        <v>2550</v>
      </c>
      <c r="C38" s="26">
        <v>45881</v>
      </c>
      <c r="D38" s="25" t="s">
        <v>2665</v>
      </c>
      <c r="E38" s="25" t="s">
        <v>2677</v>
      </c>
      <c r="F38" s="53" t="s">
        <v>3812</v>
      </c>
      <c r="G38" s="28">
        <v>8905.2200000000012</v>
      </c>
    </row>
    <row r="39" spans="1:7" x14ac:dyDescent="0.35">
      <c r="A39" s="22" t="s">
        <v>2549</v>
      </c>
      <c r="B39" s="22" t="s">
        <v>2550</v>
      </c>
      <c r="C39" s="26">
        <v>45881</v>
      </c>
      <c r="D39" s="25" t="s">
        <v>2666</v>
      </c>
      <c r="E39" s="25" t="s">
        <v>2677</v>
      </c>
      <c r="F39" s="53" t="s">
        <v>3812</v>
      </c>
      <c r="G39" s="28">
        <v>177.14</v>
      </c>
    </row>
    <row r="40" spans="1:7" x14ac:dyDescent="0.35">
      <c r="A40" s="22" t="s">
        <v>2549</v>
      </c>
      <c r="B40" s="22" t="s">
        <v>2550</v>
      </c>
      <c r="C40" s="26">
        <v>45881</v>
      </c>
      <c r="D40" s="25" t="s">
        <v>2667</v>
      </c>
      <c r="E40" s="25" t="s">
        <v>2677</v>
      </c>
      <c r="F40" s="53" t="s">
        <v>3812</v>
      </c>
      <c r="G40" s="28">
        <v>5561.55</v>
      </c>
    </row>
    <row r="41" spans="1:7" x14ac:dyDescent="0.35">
      <c r="A41" s="22" t="s">
        <v>2549</v>
      </c>
      <c r="B41" s="22" t="s">
        <v>2550</v>
      </c>
      <c r="C41" s="26">
        <v>45881</v>
      </c>
      <c r="D41" s="25" t="s">
        <v>2668</v>
      </c>
      <c r="E41" s="25" t="s">
        <v>2677</v>
      </c>
      <c r="F41" s="53" t="s">
        <v>3812</v>
      </c>
      <c r="G41" s="28">
        <v>22730</v>
      </c>
    </row>
    <row r="42" spans="1:7" x14ac:dyDescent="0.35">
      <c r="A42" s="22" t="s">
        <v>2549</v>
      </c>
      <c r="B42" s="22" t="s">
        <v>2550</v>
      </c>
      <c r="C42" s="26">
        <v>45881</v>
      </c>
      <c r="D42" s="25">
        <v>38256</v>
      </c>
      <c r="E42" s="25" t="s">
        <v>2677</v>
      </c>
      <c r="F42" s="53" t="s">
        <v>3812</v>
      </c>
      <c r="G42" s="28">
        <v>8134</v>
      </c>
    </row>
    <row r="43" spans="1:7" x14ac:dyDescent="0.35">
      <c r="A43" s="22" t="s">
        <v>2549</v>
      </c>
      <c r="B43" s="22" t="s">
        <v>2550</v>
      </c>
      <c r="C43" s="26">
        <v>45881</v>
      </c>
      <c r="D43" s="25">
        <v>38257</v>
      </c>
      <c r="E43" s="25" t="s">
        <v>2677</v>
      </c>
      <c r="F43" s="53" t="s">
        <v>3812</v>
      </c>
      <c r="G43" s="28">
        <v>4373.4799999999996</v>
      </c>
    </row>
    <row r="44" spans="1:7" x14ac:dyDescent="0.35">
      <c r="A44" s="22" t="s">
        <v>2549</v>
      </c>
      <c r="B44" s="22" t="s">
        <v>2550</v>
      </c>
      <c r="C44" s="26">
        <v>45881</v>
      </c>
      <c r="D44" s="25">
        <v>38268</v>
      </c>
      <c r="E44" s="25" t="s">
        <v>2677</v>
      </c>
      <c r="F44" s="53" t="s">
        <v>3812</v>
      </c>
      <c r="G44" s="28">
        <v>460.68</v>
      </c>
    </row>
    <row r="45" spans="1:7" x14ac:dyDescent="0.35">
      <c r="A45" s="22" t="s">
        <v>2549</v>
      </c>
      <c r="B45" s="22" t="s">
        <v>2550</v>
      </c>
      <c r="C45" s="26">
        <v>45881</v>
      </c>
      <c r="D45" s="25">
        <v>38331</v>
      </c>
      <c r="E45" s="25" t="s">
        <v>2629</v>
      </c>
      <c r="F45" s="53" t="s">
        <v>3812</v>
      </c>
      <c r="G45" s="28">
        <v>7573.34</v>
      </c>
    </row>
    <row r="46" spans="1:7" x14ac:dyDescent="0.35">
      <c r="A46" s="22" t="s">
        <v>2549</v>
      </c>
      <c r="B46" s="22" t="s">
        <v>2550</v>
      </c>
      <c r="C46" s="26">
        <v>45881</v>
      </c>
      <c r="D46" s="25">
        <v>38375</v>
      </c>
      <c r="E46" s="25" t="s">
        <v>2677</v>
      </c>
      <c r="F46" s="53" t="s">
        <v>3812</v>
      </c>
      <c r="G46" s="28">
        <v>1185.5999999999999</v>
      </c>
    </row>
    <row r="47" spans="1:7" x14ac:dyDescent="0.35">
      <c r="A47" s="22" t="s">
        <v>2549</v>
      </c>
      <c r="B47" s="22" t="s">
        <v>2550</v>
      </c>
      <c r="C47" s="26">
        <v>45882</v>
      </c>
      <c r="D47" s="25" t="s">
        <v>2669</v>
      </c>
      <c r="E47" s="25" t="s">
        <v>2020</v>
      </c>
      <c r="F47" s="53" t="s">
        <v>3812</v>
      </c>
      <c r="G47" s="28">
        <v>966.86</v>
      </c>
    </row>
    <row r="48" spans="1:7" x14ac:dyDescent="0.35">
      <c r="A48" s="22" t="s">
        <v>2549</v>
      </c>
      <c r="B48" s="22" t="s">
        <v>2550</v>
      </c>
      <c r="C48" s="26">
        <v>45882</v>
      </c>
      <c r="D48" s="25" t="s">
        <v>2670</v>
      </c>
      <c r="E48" s="25" t="s">
        <v>2020</v>
      </c>
      <c r="F48" s="53" t="s">
        <v>3812</v>
      </c>
      <c r="G48" s="28">
        <v>0</v>
      </c>
    </row>
    <row r="49" spans="1:7" x14ac:dyDescent="0.35">
      <c r="A49" s="22" t="s">
        <v>2549</v>
      </c>
      <c r="B49" s="22" t="s">
        <v>2550</v>
      </c>
      <c r="C49" s="26">
        <v>45882</v>
      </c>
      <c r="D49" s="25" t="s">
        <v>2671</v>
      </c>
      <c r="E49" s="25" t="s">
        <v>1263</v>
      </c>
      <c r="F49" s="53" t="s">
        <v>3812</v>
      </c>
      <c r="G49" s="28">
        <v>7652.82</v>
      </c>
    </row>
    <row r="50" spans="1:7" x14ac:dyDescent="0.35">
      <c r="A50" s="22" t="s">
        <v>2549</v>
      </c>
      <c r="B50" s="22" t="s">
        <v>2550</v>
      </c>
      <c r="C50" s="26">
        <v>45882</v>
      </c>
      <c r="D50" s="25" t="s">
        <v>2672</v>
      </c>
      <c r="E50" s="25" t="s">
        <v>2626</v>
      </c>
      <c r="F50" s="53" t="s">
        <v>3812</v>
      </c>
      <c r="G50" s="28">
        <v>5142.8599999999997</v>
      </c>
    </row>
    <row r="51" spans="1:7" x14ac:dyDescent="0.35">
      <c r="A51" s="22" t="s">
        <v>2549</v>
      </c>
      <c r="B51" s="22" t="s">
        <v>2550</v>
      </c>
      <c r="C51" s="26">
        <v>45887</v>
      </c>
      <c r="D51" s="25">
        <v>38857</v>
      </c>
      <c r="E51" s="25" t="s">
        <v>2769</v>
      </c>
      <c r="F51" s="53" t="s">
        <v>3812</v>
      </c>
      <c r="G51" s="28">
        <v>12815.6</v>
      </c>
    </row>
    <row r="52" spans="1:7" x14ac:dyDescent="0.35">
      <c r="A52" s="22" t="s">
        <v>2549</v>
      </c>
      <c r="B52" s="22" t="s">
        <v>2550</v>
      </c>
      <c r="C52" s="26">
        <v>45890</v>
      </c>
      <c r="D52" s="25" t="s">
        <v>2673</v>
      </c>
      <c r="E52" s="25" t="s">
        <v>1475</v>
      </c>
      <c r="F52" s="53" t="s">
        <v>3812</v>
      </c>
      <c r="G52" s="28">
        <v>47953.5</v>
      </c>
    </row>
    <row r="53" spans="1:7" x14ac:dyDescent="0.35">
      <c r="A53" s="22" t="s">
        <v>2549</v>
      </c>
      <c r="B53" s="22" t="s">
        <v>2550</v>
      </c>
      <c r="C53" s="26">
        <v>45892</v>
      </c>
      <c r="D53" s="25" t="s">
        <v>2674</v>
      </c>
      <c r="E53" s="25" t="s">
        <v>1269</v>
      </c>
      <c r="F53" s="53" t="s">
        <v>3812</v>
      </c>
      <c r="G53" s="28">
        <v>40481.729999999996</v>
      </c>
    </row>
    <row r="54" spans="1:7" x14ac:dyDescent="0.35">
      <c r="A54" s="22" t="s">
        <v>2549</v>
      </c>
      <c r="B54" s="22" t="s">
        <v>2550</v>
      </c>
      <c r="C54" s="26">
        <v>45894</v>
      </c>
      <c r="D54" s="25" t="s">
        <v>2675</v>
      </c>
      <c r="E54" s="25" t="s">
        <v>2020</v>
      </c>
      <c r="F54" s="53" t="s">
        <v>3812</v>
      </c>
      <c r="G54" s="28">
        <v>7558.58</v>
      </c>
    </row>
    <row r="55" spans="1:7" x14ac:dyDescent="0.35">
      <c r="A55" s="22" t="s">
        <v>2549</v>
      </c>
      <c r="B55" s="22" t="s">
        <v>2550</v>
      </c>
      <c r="C55" s="26">
        <v>45894</v>
      </c>
      <c r="D55" s="25" t="s">
        <v>2676</v>
      </c>
      <c r="E55" s="25" t="s">
        <v>2020</v>
      </c>
      <c r="F55" s="53" t="s">
        <v>3812</v>
      </c>
      <c r="G55" s="28">
        <v>4209.92</v>
      </c>
    </row>
    <row r="56" spans="1:7" x14ac:dyDescent="0.35">
      <c r="A56" s="22" t="s">
        <v>2549</v>
      </c>
      <c r="B56" s="22" t="s">
        <v>2550</v>
      </c>
      <c r="C56" s="26">
        <v>45894</v>
      </c>
      <c r="D56" s="25" t="s">
        <v>2678</v>
      </c>
      <c r="E56" s="25" t="s">
        <v>2020</v>
      </c>
      <c r="F56" s="53" t="s">
        <v>3812</v>
      </c>
      <c r="G56" s="28">
        <v>123.63</v>
      </c>
    </row>
    <row r="57" spans="1:7" x14ac:dyDescent="0.35">
      <c r="A57" s="22" t="s">
        <v>2549</v>
      </c>
      <c r="B57" s="22" t="s">
        <v>2550</v>
      </c>
      <c r="C57" s="26">
        <v>45894</v>
      </c>
      <c r="D57" s="25" t="s">
        <v>2679</v>
      </c>
      <c r="E57" s="25" t="s">
        <v>2020</v>
      </c>
      <c r="F57" s="53" t="s">
        <v>3812</v>
      </c>
      <c r="G57" s="28">
        <v>1762.5</v>
      </c>
    </row>
    <row r="58" spans="1:7" x14ac:dyDescent="0.35">
      <c r="A58" s="22" t="s">
        <v>2549</v>
      </c>
      <c r="B58" s="22" t="s">
        <v>2550</v>
      </c>
      <c r="C58" s="26">
        <v>45894</v>
      </c>
      <c r="D58" s="25" t="s">
        <v>2680</v>
      </c>
      <c r="E58" s="25" t="s">
        <v>2020</v>
      </c>
      <c r="F58" s="53" t="s">
        <v>3812</v>
      </c>
      <c r="G58" s="28">
        <v>54337.630000000005</v>
      </c>
    </row>
    <row r="59" spans="1:7" x14ac:dyDescent="0.35">
      <c r="A59" s="22" t="s">
        <v>2549</v>
      </c>
      <c r="B59" s="22" t="s">
        <v>2550</v>
      </c>
      <c r="C59" s="26">
        <v>45894</v>
      </c>
      <c r="D59" s="25" t="s">
        <v>2681</v>
      </c>
      <c r="E59" s="25" t="s">
        <v>2020</v>
      </c>
      <c r="F59" s="53" t="s">
        <v>3812</v>
      </c>
      <c r="G59" s="28">
        <v>996.66000000000008</v>
      </c>
    </row>
    <row r="60" spans="1:7" x14ac:dyDescent="0.35">
      <c r="A60" s="22" t="s">
        <v>2549</v>
      </c>
      <c r="B60" s="22" t="s">
        <v>2550</v>
      </c>
      <c r="C60" s="26">
        <v>45894</v>
      </c>
      <c r="D60" s="25">
        <v>33571</v>
      </c>
      <c r="E60" s="25" t="s">
        <v>2020</v>
      </c>
      <c r="F60" s="53" t="s">
        <v>3812</v>
      </c>
      <c r="G60" s="28">
        <v>1602.25</v>
      </c>
    </row>
    <row r="61" spans="1:7" x14ac:dyDescent="0.35">
      <c r="A61" s="22" t="s">
        <v>2549</v>
      </c>
      <c r="B61" s="22" t="s">
        <v>2550</v>
      </c>
      <c r="C61" s="26">
        <v>45894</v>
      </c>
      <c r="D61" s="25" t="s">
        <v>2682</v>
      </c>
      <c r="E61" s="25" t="s">
        <v>2020</v>
      </c>
      <c r="F61" s="53" t="s">
        <v>3812</v>
      </c>
      <c r="G61" s="28">
        <v>38322.51</v>
      </c>
    </row>
    <row r="62" spans="1:7" x14ac:dyDescent="0.35">
      <c r="A62" s="22" t="s">
        <v>2549</v>
      </c>
      <c r="B62" s="22" t="s">
        <v>2550</v>
      </c>
      <c r="C62" s="26">
        <v>45894</v>
      </c>
      <c r="D62" s="25" t="s">
        <v>2683</v>
      </c>
      <c r="E62" s="25" t="s">
        <v>2020</v>
      </c>
      <c r="F62" s="53" t="s">
        <v>3812</v>
      </c>
      <c r="G62" s="28">
        <v>661.82</v>
      </c>
    </row>
    <row r="63" spans="1:7" x14ac:dyDescent="0.35">
      <c r="A63" s="22" t="s">
        <v>2549</v>
      </c>
      <c r="B63" s="22" t="s">
        <v>2550</v>
      </c>
      <c r="C63" s="26">
        <v>45894</v>
      </c>
      <c r="D63" s="25" t="s">
        <v>2684</v>
      </c>
      <c r="E63" s="25" t="s">
        <v>2020</v>
      </c>
      <c r="F63" s="53" t="s">
        <v>3812</v>
      </c>
      <c r="G63" s="28">
        <v>19066.870000000003</v>
      </c>
    </row>
    <row r="64" spans="1:7" x14ac:dyDescent="0.35">
      <c r="A64" s="22" t="s">
        <v>2549</v>
      </c>
      <c r="B64" s="22" t="s">
        <v>2550</v>
      </c>
      <c r="C64" s="26">
        <v>45894</v>
      </c>
      <c r="D64" s="25" t="s">
        <v>2685</v>
      </c>
      <c r="E64" s="25" t="s">
        <v>2020</v>
      </c>
      <c r="F64" s="53" t="s">
        <v>3812</v>
      </c>
      <c r="G64" s="28">
        <v>5030.2</v>
      </c>
    </row>
    <row r="65" spans="1:7" x14ac:dyDescent="0.35">
      <c r="A65" s="22" t="s">
        <v>2549</v>
      </c>
      <c r="B65" s="22" t="s">
        <v>2550</v>
      </c>
      <c r="C65" s="26">
        <v>45894</v>
      </c>
      <c r="D65" s="25">
        <v>33950</v>
      </c>
      <c r="E65" s="25" t="s">
        <v>2020</v>
      </c>
      <c r="F65" s="53" t="s">
        <v>3812</v>
      </c>
      <c r="G65" s="28">
        <v>0</v>
      </c>
    </row>
    <row r="66" spans="1:7" x14ac:dyDescent="0.35">
      <c r="A66" s="22" t="s">
        <v>2549</v>
      </c>
      <c r="B66" s="22" t="s">
        <v>2550</v>
      </c>
      <c r="C66" s="26">
        <v>45894</v>
      </c>
      <c r="D66" s="25" t="s">
        <v>2686</v>
      </c>
      <c r="E66" s="25" t="s">
        <v>2020</v>
      </c>
      <c r="F66" s="53" t="s">
        <v>3812</v>
      </c>
      <c r="G66" s="28">
        <v>145.35</v>
      </c>
    </row>
    <row r="67" spans="1:7" x14ac:dyDescent="0.35">
      <c r="A67" s="22" t="s">
        <v>2549</v>
      </c>
      <c r="B67" s="22" t="s">
        <v>2550</v>
      </c>
      <c r="C67" s="26">
        <v>45894</v>
      </c>
      <c r="D67" s="25" t="s">
        <v>2687</v>
      </c>
      <c r="E67" s="25" t="s">
        <v>2020</v>
      </c>
      <c r="F67" s="53" t="s">
        <v>3812</v>
      </c>
      <c r="G67" s="28">
        <v>560</v>
      </c>
    </row>
    <row r="68" spans="1:7" x14ac:dyDescent="0.35">
      <c r="A68" s="22" t="s">
        <v>2549</v>
      </c>
      <c r="B68" s="22" t="s">
        <v>2550</v>
      </c>
      <c r="C68" s="26">
        <v>45894</v>
      </c>
      <c r="D68" s="25" t="s">
        <v>2688</v>
      </c>
      <c r="E68" s="25" t="s">
        <v>2020</v>
      </c>
      <c r="F68" s="53" t="s">
        <v>3812</v>
      </c>
      <c r="G68" s="28">
        <v>1125</v>
      </c>
    </row>
    <row r="69" spans="1:7" x14ac:dyDescent="0.35">
      <c r="A69" s="22" t="s">
        <v>2549</v>
      </c>
      <c r="B69" s="22" t="s">
        <v>2550</v>
      </c>
      <c r="C69" s="26">
        <v>45894</v>
      </c>
      <c r="D69" s="25" t="s">
        <v>2689</v>
      </c>
      <c r="E69" s="25" t="s">
        <v>2020</v>
      </c>
      <c r="F69" s="53" t="s">
        <v>3812</v>
      </c>
      <c r="G69" s="28">
        <v>9155.869999999999</v>
      </c>
    </row>
    <row r="70" spans="1:7" x14ac:dyDescent="0.35">
      <c r="A70" s="22" t="s">
        <v>2549</v>
      </c>
      <c r="B70" s="22" t="s">
        <v>2550</v>
      </c>
      <c r="C70" s="26">
        <v>45894</v>
      </c>
      <c r="D70" s="25" t="s">
        <v>2690</v>
      </c>
      <c r="E70" s="25" t="s">
        <v>2020</v>
      </c>
      <c r="F70" s="53" t="s">
        <v>3812</v>
      </c>
      <c r="G70" s="28">
        <v>27246.81</v>
      </c>
    </row>
    <row r="71" spans="1:7" x14ac:dyDescent="0.35">
      <c r="A71" s="22" t="s">
        <v>2549</v>
      </c>
      <c r="B71" s="22" t="s">
        <v>2550</v>
      </c>
      <c r="C71" s="26">
        <v>45894</v>
      </c>
      <c r="D71" s="25" t="s">
        <v>2691</v>
      </c>
      <c r="E71" s="25" t="s">
        <v>2831</v>
      </c>
      <c r="F71" s="53" t="s">
        <v>3812</v>
      </c>
      <c r="G71" s="28">
        <v>0</v>
      </c>
    </row>
    <row r="72" spans="1:7" x14ac:dyDescent="0.35">
      <c r="A72" s="22" t="s">
        <v>2549</v>
      </c>
      <c r="B72" s="22" t="s">
        <v>2550</v>
      </c>
      <c r="C72" s="26">
        <v>45894</v>
      </c>
      <c r="D72" s="25">
        <v>36943</v>
      </c>
      <c r="E72" s="25" t="s">
        <v>1272</v>
      </c>
      <c r="F72" s="53" t="s">
        <v>3812</v>
      </c>
      <c r="G72" s="28">
        <v>20870.080000000002</v>
      </c>
    </row>
    <row r="73" spans="1:7" x14ac:dyDescent="0.35">
      <c r="A73" s="22" t="s">
        <v>2549</v>
      </c>
      <c r="B73" s="22" t="s">
        <v>2550</v>
      </c>
      <c r="C73" s="26">
        <v>45894</v>
      </c>
      <c r="D73" s="25" t="s">
        <v>2692</v>
      </c>
      <c r="E73" s="25" t="s">
        <v>1269</v>
      </c>
      <c r="F73" s="53" t="s">
        <v>3812</v>
      </c>
      <c r="G73" s="28">
        <v>10721.09</v>
      </c>
    </row>
    <row r="74" spans="1:7" x14ac:dyDescent="0.35">
      <c r="A74" s="22" t="s">
        <v>2549</v>
      </c>
      <c r="B74" s="22" t="s">
        <v>2550</v>
      </c>
      <c r="C74" s="26">
        <v>45895</v>
      </c>
      <c r="D74" s="25" t="s">
        <v>2693</v>
      </c>
      <c r="E74" s="25" t="s">
        <v>2020</v>
      </c>
      <c r="F74" s="53" t="s">
        <v>3812</v>
      </c>
      <c r="G74" s="28">
        <v>-2567.91</v>
      </c>
    </row>
    <row r="75" spans="1:7" x14ac:dyDescent="0.35">
      <c r="A75" s="22" t="s">
        <v>2549</v>
      </c>
      <c r="B75" s="22" t="s">
        <v>2550</v>
      </c>
      <c r="C75" s="26">
        <v>45895</v>
      </c>
      <c r="D75" s="25" t="s">
        <v>2694</v>
      </c>
      <c r="E75" s="25" t="s">
        <v>2846</v>
      </c>
      <c r="F75" s="53" t="s">
        <v>3812</v>
      </c>
      <c r="G75" s="28">
        <v>0</v>
      </c>
    </row>
    <row r="76" spans="1:7" x14ac:dyDescent="0.35">
      <c r="A76" s="22" t="s">
        <v>2549</v>
      </c>
      <c r="B76" s="22" t="s">
        <v>2550</v>
      </c>
      <c r="C76" s="26">
        <v>45896</v>
      </c>
      <c r="D76" s="25" t="s">
        <v>2695</v>
      </c>
      <c r="E76" s="25" t="s">
        <v>1035</v>
      </c>
      <c r="F76" s="53" t="s">
        <v>3812</v>
      </c>
      <c r="G76" s="28">
        <v>0</v>
      </c>
    </row>
    <row r="77" spans="1:7" x14ac:dyDescent="0.35">
      <c r="A77" s="22" t="s">
        <v>2549</v>
      </c>
      <c r="B77" s="22" t="s">
        <v>2550</v>
      </c>
      <c r="C77" s="26">
        <v>45897</v>
      </c>
      <c r="D77" s="25" t="s">
        <v>2696</v>
      </c>
      <c r="E77" s="25" t="s">
        <v>2854</v>
      </c>
      <c r="F77" s="53" t="s">
        <v>3812</v>
      </c>
      <c r="G77" s="28">
        <v>6300.16</v>
      </c>
    </row>
    <row r="78" spans="1:7" x14ac:dyDescent="0.35">
      <c r="A78" s="22" t="s">
        <v>2549</v>
      </c>
      <c r="B78" s="22" t="s">
        <v>2550</v>
      </c>
      <c r="C78" s="26">
        <v>45898</v>
      </c>
      <c r="D78" s="25" t="s">
        <v>2697</v>
      </c>
      <c r="E78" s="25" t="s">
        <v>2020</v>
      </c>
      <c r="F78" s="53" t="s">
        <v>3812</v>
      </c>
      <c r="G78" s="28">
        <v>0</v>
      </c>
    </row>
    <row r="79" spans="1:7" x14ac:dyDescent="0.35">
      <c r="A79" s="22" t="s">
        <v>2549</v>
      </c>
      <c r="B79" s="22" t="s">
        <v>2550</v>
      </c>
      <c r="C79" s="26">
        <v>45898</v>
      </c>
      <c r="D79" s="25" t="s">
        <v>2698</v>
      </c>
      <c r="E79" s="25" t="s">
        <v>2846</v>
      </c>
      <c r="F79" s="53" t="s">
        <v>3812</v>
      </c>
      <c r="G79" s="28">
        <v>0</v>
      </c>
    </row>
    <row r="80" spans="1:7" x14ac:dyDescent="0.35">
      <c r="A80" s="22" t="s">
        <v>2549</v>
      </c>
      <c r="B80" s="22" t="s">
        <v>2550</v>
      </c>
      <c r="C80" s="26">
        <v>45898</v>
      </c>
      <c r="D80" s="25" t="s">
        <v>2699</v>
      </c>
      <c r="E80" s="25" t="s">
        <v>1223</v>
      </c>
      <c r="F80" s="53" t="s">
        <v>3812</v>
      </c>
      <c r="G80" s="28">
        <v>0</v>
      </c>
    </row>
    <row r="81" spans="1:7" x14ac:dyDescent="0.35">
      <c r="A81" s="22" t="s">
        <v>2549</v>
      </c>
      <c r="B81" s="22" t="s">
        <v>2550</v>
      </c>
      <c r="C81" s="26">
        <v>45898</v>
      </c>
      <c r="D81" s="25" t="s">
        <v>2700</v>
      </c>
      <c r="E81" s="25" t="s">
        <v>1684</v>
      </c>
      <c r="F81" s="53" t="s">
        <v>3812</v>
      </c>
      <c r="G81" s="28">
        <v>6292.32</v>
      </c>
    </row>
    <row r="82" spans="1:7" x14ac:dyDescent="0.35">
      <c r="A82" s="22" t="s">
        <v>2549</v>
      </c>
      <c r="B82" s="22" t="s">
        <v>2550</v>
      </c>
      <c r="C82" s="26">
        <v>45898</v>
      </c>
      <c r="D82" s="25" t="s">
        <v>2701</v>
      </c>
      <c r="E82" s="25" t="s">
        <v>1085</v>
      </c>
      <c r="F82" s="53" t="s">
        <v>3812</v>
      </c>
      <c r="G82" s="28">
        <v>102.2</v>
      </c>
    </row>
    <row r="83" spans="1:7" x14ac:dyDescent="0.35">
      <c r="A83" s="22" t="s">
        <v>2549</v>
      </c>
      <c r="B83" s="22" t="s">
        <v>2550</v>
      </c>
      <c r="C83" s="26">
        <v>45898</v>
      </c>
      <c r="D83" s="25">
        <v>38185</v>
      </c>
      <c r="E83" s="25" t="s">
        <v>2626</v>
      </c>
      <c r="F83" s="53" t="s">
        <v>3812</v>
      </c>
      <c r="G83" s="28">
        <v>55072.05</v>
      </c>
    </row>
    <row r="84" spans="1:7" x14ac:dyDescent="0.35">
      <c r="A84" s="22" t="s">
        <v>2549</v>
      </c>
      <c r="B84" s="22" t="s">
        <v>2550</v>
      </c>
      <c r="C84" s="26">
        <v>45898</v>
      </c>
      <c r="D84" s="25">
        <v>38199</v>
      </c>
      <c r="E84" s="25" t="s">
        <v>2626</v>
      </c>
      <c r="F84" s="53" t="s">
        <v>3812</v>
      </c>
      <c r="G84" s="28">
        <v>48782.879999999997</v>
      </c>
    </row>
    <row r="85" spans="1:7" x14ac:dyDescent="0.35">
      <c r="A85" s="22" t="s">
        <v>2549</v>
      </c>
      <c r="B85" s="22" t="s">
        <v>2550</v>
      </c>
      <c r="C85" s="26">
        <v>45898</v>
      </c>
      <c r="D85" s="25" t="s">
        <v>2702</v>
      </c>
      <c r="E85" s="25" t="s">
        <v>2626</v>
      </c>
      <c r="F85" s="53" t="s">
        <v>3812</v>
      </c>
      <c r="G85" s="28">
        <v>40331.72</v>
      </c>
    </row>
    <row r="86" spans="1:7" x14ac:dyDescent="0.35">
      <c r="A86" s="22" t="s">
        <v>2549</v>
      </c>
      <c r="B86" s="22" t="s">
        <v>2550</v>
      </c>
      <c r="C86" s="26">
        <v>45898</v>
      </c>
      <c r="D86" s="25" t="s">
        <v>2703</v>
      </c>
      <c r="E86" s="25" t="s">
        <v>2631</v>
      </c>
      <c r="F86" s="53" t="s">
        <v>3812</v>
      </c>
      <c r="G86" s="28">
        <v>0</v>
      </c>
    </row>
    <row r="87" spans="1:7" x14ac:dyDescent="0.35">
      <c r="A87" s="22" t="s">
        <v>2549</v>
      </c>
      <c r="B87" s="22" t="s">
        <v>2550</v>
      </c>
      <c r="C87" s="26">
        <v>45898</v>
      </c>
      <c r="D87" s="25">
        <v>38832</v>
      </c>
      <c r="E87" s="25" t="s">
        <v>2662</v>
      </c>
      <c r="F87" s="53" t="s">
        <v>3812</v>
      </c>
      <c r="G87" s="28">
        <v>3360.5899999999997</v>
      </c>
    </row>
    <row r="88" spans="1:7" x14ac:dyDescent="0.35">
      <c r="A88" s="22" t="s">
        <v>2549</v>
      </c>
      <c r="B88" s="22" t="s">
        <v>2550</v>
      </c>
      <c r="C88" s="26">
        <v>45898</v>
      </c>
      <c r="D88" s="25">
        <v>38851</v>
      </c>
      <c r="E88" s="25" t="s">
        <v>2892</v>
      </c>
      <c r="F88" s="53" t="s">
        <v>3812</v>
      </c>
      <c r="G88" s="28">
        <v>126720</v>
      </c>
    </row>
    <row r="89" spans="1:7" x14ac:dyDescent="0.35">
      <c r="A89" s="22" t="s">
        <v>2549</v>
      </c>
      <c r="B89" s="22" t="s">
        <v>2550</v>
      </c>
      <c r="C89" s="26">
        <v>45898</v>
      </c>
      <c r="D89" s="25">
        <v>38881</v>
      </c>
      <c r="E89" s="25" t="s">
        <v>2894</v>
      </c>
      <c r="F89" s="53" t="s">
        <v>3812</v>
      </c>
      <c r="G89" s="28">
        <v>340</v>
      </c>
    </row>
    <row r="90" spans="1:7" x14ac:dyDescent="0.35">
      <c r="A90" s="22" t="s">
        <v>2549</v>
      </c>
      <c r="B90" s="22" t="s">
        <v>2550</v>
      </c>
      <c r="C90" s="26">
        <v>45898</v>
      </c>
      <c r="D90" s="25">
        <v>38893</v>
      </c>
      <c r="E90" s="25" t="s">
        <v>2894</v>
      </c>
      <c r="F90" s="53" t="s">
        <v>3812</v>
      </c>
      <c r="G90" s="28">
        <v>674.63999999999987</v>
      </c>
    </row>
    <row r="91" spans="1:7" x14ac:dyDescent="0.35">
      <c r="A91" s="22" t="s">
        <v>2549</v>
      </c>
      <c r="B91" s="22" t="s">
        <v>2550</v>
      </c>
      <c r="C91" s="26">
        <v>45899</v>
      </c>
      <c r="D91" s="25" t="s">
        <v>2704</v>
      </c>
      <c r="E91" s="25" t="s">
        <v>2575</v>
      </c>
      <c r="F91" s="53" t="s">
        <v>3812</v>
      </c>
      <c r="G91" s="28">
        <v>0</v>
      </c>
    </row>
    <row r="92" spans="1:7" x14ac:dyDescent="0.35">
      <c r="A92" s="22" t="s">
        <v>2549</v>
      </c>
      <c r="B92" s="22" t="s">
        <v>2550</v>
      </c>
      <c r="C92" s="26">
        <v>45899</v>
      </c>
      <c r="D92" s="25" t="s">
        <v>2705</v>
      </c>
      <c r="E92" s="25" t="s">
        <v>2462</v>
      </c>
      <c r="F92" s="53" t="s">
        <v>3812</v>
      </c>
      <c r="G92" s="28">
        <v>0</v>
      </c>
    </row>
    <row r="93" spans="1:7" x14ac:dyDescent="0.35">
      <c r="A93" s="22" t="s">
        <v>2549</v>
      </c>
      <c r="B93" s="22" t="s">
        <v>2550</v>
      </c>
      <c r="C93" s="26">
        <v>45899</v>
      </c>
      <c r="D93" s="25" t="s">
        <v>2706</v>
      </c>
      <c r="E93" s="25" t="s">
        <v>2462</v>
      </c>
      <c r="F93" s="53" t="s">
        <v>3812</v>
      </c>
      <c r="G93" s="28">
        <v>0</v>
      </c>
    </row>
    <row r="94" spans="1:7" x14ac:dyDescent="0.35">
      <c r="A94" s="22" t="s">
        <v>2549</v>
      </c>
      <c r="B94" s="22" t="s">
        <v>2550</v>
      </c>
      <c r="C94" s="26">
        <v>45899</v>
      </c>
      <c r="D94" s="25" t="s">
        <v>2707</v>
      </c>
      <c r="E94" s="25" t="s">
        <v>2547</v>
      </c>
      <c r="F94" s="53" t="s">
        <v>3812</v>
      </c>
      <c r="G94" s="28">
        <v>0</v>
      </c>
    </row>
    <row r="95" spans="1:7" x14ac:dyDescent="0.35">
      <c r="A95" s="22" t="s">
        <v>2549</v>
      </c>
      <c r="B95" s="22" t="s">
        <v>2550</v>
      </c>
      <c r="C95" s="26">
        <v>45899</v>
      </c>
      <c r="D95" s="25" t="s">
        <v>2708</v>
      </c>
      <c r="E95" s="25" t="s">
        <v>2904</v>
      </c>
      <c r="F95" s="53" t="s">
        <v>3812</v>
      </c>
      <c r="G95" s="28">
        <v>0</v>
      </c>
    </row>
    <row r="96" spans="1:7" x14ac:dyDescent="0.35">
      <c r="A96" s="22" t="s">
        <v>2549</v>
      </c>
      <c r="B96" s="22" t="s">
        <v>2550</v>
      </c>
      <c r="C96" s="26">
        <v>45899</v>
      </c>
      <c r="D96" s="25" t="s">
        <v>2709</v>
      </c>
      <c r="E96" s="25" t="s">
        <v>2906</v>
      </c>
      <c r="F96" s="53" t="s">
        <v>3812</v>
      </c>
      <c r="G96" s="28">
        <v>0</v>
      </c>
    </row>
    <row r="97" spans="1:7" x14ac:dyDescent="0.35">
      <c r="A97" s="22" t="s">
        <v>2549</v>
      </c>
      <c r="B97" s="22" t="s">
        <v>2550</v>
      </c>
      <c r="C97" s="26">
        <v>45899</v>
      </c>
      <c r="D97" s="25" t="s">
        <v>2710</v>
      </c>
      <c r="E97" s="25" t="s">
        <v>301</v>
      </c>
      <c r="F97" s="53" t="s">
        <v>3812</v>
      </c>
      <c r="G97" s="28">
        <v>0</v>
      </c>
    </row>
    <row r="98" spans="1:7" x14ac:dyDescent="0.35">
      <c r="A98" s="22" t="s">
        <v>2549</v>
      </c>
      <c r="B98" s="22" t="s">
        <v>2550</v>
      </c>
      <c r="C98" s="26">
        <v>45899</v>
      </c>
      <c r="D98" s="25" t="s">
        <v>2711</v>
      </c>
      <c r="E98" s="25" t="s">
        <v>301</v>
      </c>
      <c r="F98" s="53" t="s">
        <v>3812</v>
      </c>
      <c r="G98" s="28">
        <v>0</v>
      </c>
    </row>
    <row r="99" spans="1:7" x14ac:dyDescent="0.35">
      <c r="A99" s="22" t="s">
        <v>2549</v>
      </c>
      <c r="B99" s="22" t="s">
        <v>2550</v>
      </c>
      <c r="C99" s="26">
        <v>45899</v>
      </c>
      <c r="D99" s="25" t="s">
        <v>2712</v>
      </c>
      <c r="E99" s="25" t="s">
        <v>301</v>
      </c>
      <c r="F99" s="53" t="s">
        <v>3812</v>
      </c>
      <c r="G99" s="28">
        <v>0</v>
      </c>
    </row>
    <row r="100" spans="1:7" x14ac:dyDescent="0.35">
      <c r="A100" s="22" t="s">
        <v>2549</v>
      </c>
      <c r="B100" s="22" t="s">
        <v>2550</v>
      </c>
      <c r="C100" s="26">
        <v>45899</v>
      </c>
      <c r="D100" s="25" t="s">
        <v>2713</v>
      </c>
      <c r="E100" s="25" t="s">
        <v>1484</v>
      </c>
      <c r="F100" s="53" t="s">
        <v>3812</v>
      </c>
      <c r="G100" s="28">
        <v>3854.9700000000003</v>
      </c>
    </row>
    <row r="101" spans="1:7" x14ac:dyDescent="0.35">
      <c r="A101" s="22" t="s">
        <v>2549</v>
      </c>
      <c r="B101" s="22" t="s">
        <v>2550</v>
      </c>
      <c r="C101" s="26">
        <v>45899</v>
      </c>
      <c r="D101" s="25" t="s">
        <v>2714</v>
      </c>
      <c r="E101" s="25" t="s">
        <v>1251</v>
      </c>
      <c r="F101" s="53" t="s">
        <v>3812</v>
      </c>
      <c r="G101" s="28">
        <v>0</v>
      </c>
    </row>
    <row r="102" spans="1:7" x14ac:dyDescent="0.35">
      <c r="A102" s="22" t="s">
        <v>2549</v>
      </c>
      <c r="B102" s="22" t="s">
        <v>2550</v>
      </c>
      <c r="C102" s="26">
        <v>45899</v>
      </c>
      <c r="D102" s="25" t="s">
        <v>2715</v>
      </c>
      <c r="E102" s="25" t="s">
        <v>2921</v>
      </c>
      <c r="F102" s="53" t="s">
        <v>3812</v>
      </c>
      <c r="G102" s="28">
        <v>0</v>
      </c>
    </row>
    <row r="103" spans="1:7" x14ac:dyDescent="0.35">
      <c r="A103" s="22" t="s">
        <v>2549</v>
      </c>
      <c r="B103" s="22" t="s">
        <v>2550</v>
      </c>
      <c r="C103" s="26">
        <v>45899</v>
      </c>
      <c r="D103" s="25" t="s">
        <v>2716</v>
      </c>
      <c r="E103" s="25" t="s">
        <v>2923</v>
      </c>
      <c r="F103" s="53" t="s">
        <v>3812</v>
      </c>
      <c r="G103" s="28">
        <v>0</v>
      </c>
    </row>
    <row r="104" spans="1:7" x14ac:dyDescent="0.35">
      <c r="A104" s="22" t="s">
        <v>2549</v>
      </c>
      <c r="B104" s="22" t="s">
        <v>2550</v>
      </c>
      <c r="C104" s="26">
        <v>45899</v>
      </c>
      <c r="D104" s="25" t="s">
        <v>2717</v>
      </c>
      <c r="E104" s="25" t="s">
        <v>2067</v>
      </c>
      <c r="F104" s="53" t="s">
        <v>3812</v>
      </c>
      <c r="G104" s="28">
        <v>0</v>
      </c>
    </row>
    <row r="105" spans="1:7" x14ac:dyDescent="0.35">
      <c r="A105" s="22" t="s">
        <v>2549</v>
      </c>
      <c r="B105" s="22" t="s">
        <v>2550</v>
      </c>
      <c r="C105" s="26">
        <v>45899</v>
      </c>
      <c r="D105" s="25" t="s">
        <v>2718</v>
      </c>
      <c r="E105" s="25" t="s">
        <v>2926</v>
      </c>
      <c r="F105" s="53" t="s">
        <v>3812</v>
      </c>
      <c r="G105" s="28">
        <v>0</v>
      </c>
    </row>
    <row r="106" spans="1:7" x14ac:dyDescent="0.35">
      <c r="A106" s="22" t="s">
        <v>2549</v>
      </c>
      <c r="B106" s="22" t="s">
        <v>2550</v>
      </c>
      <c r="C106" s="26">
        <v>45899</v>
      </c>
      <c r="D106" s="25" t="s">
        <v>2719</v>
      </c>
      <c r="E106" s="25" t="s">
        <v>2926</v>
      </c>
      <c r="F106" s="53" t="s">
        <v>3812</v>
      </c>
      <c r="G106" s="28">
        <v>0</v>
      </c>
    </row>
    <row r="107" spans="1:7" x14ac:dyDescent="0.35">
      <c r="A107" s="22" t="s">
        <v>2549</v>
      </c>
      <c r="B107" s="22" t="s">
        <v>2550</v>
      </c>
      <c r="C107" s="26">
        <v>45899</v>
      </c>
      <c r="D107" s="25" t="s">
        <v>2720</v>
      </c>
      <c r="E107" s="25" t="s">
        <v>2462</v>
      </c>
      <c r="F107" s="53" t="s">
        <v>3812</v>
      </c>
      <c r="G107" s="28">
        <v>0</v>
      </c>
    </row>
    <row r="108" spans="1:7" x14ac:dyDescent="0.35">
      <c r="A108" s="22" t="s">
        <v>2549</v>
      </c>
      <c r="B108" s="22" t="s">
        <v>2550</v>
      </c>
      <c r="C108" s="26">
        <v>45899</v>
      </c>
      <c r="D108" s="25">
        <v>32888</v>
      </c>
      <c r="E108" s="25" t="s">
        <v>2931</v>
      </c>
      <c r="F108" s="53" t="s">
        <v>3812</v>
      </c>
      <c r="G108" s="28">
        <v>0</v>
      </c>
    </row>
    <row r="109" spans="1:7" x14ac:dyDescent="0.35">
      <c r="A109" s="22" t="s">
        <v>2549</v>
      </c>
      <c r="B109" s="22" t="s">
        <v>2550</v>
      </c>
      <c r="C109" s="26">
        <v>45899</v>
      </c>
      <c r="D109" s="25" t="s">
        <v>2721</v>
      </c>
      <c r="E109" s="25" t="s">
        <v>2931</v>
      </c>
      <c r="F109" s="53" t="s">
        <v>3812</v>
      </c>
      <c r="G109" s="28">
        <v>0</v>
      </c>
    </row>
    <row r="110" spans="1:7" x14ac:dyDescent="0.35">
      <c r="A110" s="22" t="s">
        <v>2549</v>
      </c>
      <c r="B110" s="22" t="s">
        <v>2550</v>
      </c>
      <c r="C110" s="26">
        <v>45899</v>
      </c>
      <c r="D110" s="25" t="s">
        <v>2722</v>
      </c>
      <c r="E110" s="25" t="s">
        <v>2970</v>
      </c>
      <c r="F110" s="53" t="s">
        <v>3812</v>
      </c>
      <c r="G110" s="28">
        <v>0</v>
      </c>
    </row>
    <row r="111" spans="1:7" x14ac:dyDescent="0.35">
      <c r="A111" s="22" t="s">
        <v>2549</v>
      </c>
      <c r="B111" s="22" t="s">
        <v>2550</v>
      </c>
      <c r="C111" s="26">
        <v>45899</v>
      </c>
      <c r="D111" s="25" t="s">
        <v>2723</v>
      </c>
      <c r="E111" s="25" t="s">
        <v>2970</v>
      </c>
      <c r="F111" s="53" t="s">
        <v>3812</v>
      </c>
      <c r="G111" s="28">
        <v>0</v>
      </c>
    </row>
    <row r="112" spans="1:7" x14ac:dyDescent="0.35">
      <c r="A112" s="22" t="s">
        <v>2549</v>
      </c>
      <c r="B112" s="22" t="s">
        <v>2550</v>
      </c>
      <c r="C112" s="26">
        <v>45899</v>
      </c>
      <c r="D112" s="25" t="s">
        <v>2724</v>
      </c>
      <c r="E112" s="25" t="s">
        <v>2973</v>
      </c>
      <c r="F112" s="53" t="s">
        <v>3812</v>
      </c>
      <c r="G112" s="28">
        <v>0</v>
      </c>
    </row>
    <row r="113" spans="1:7" x14ac:dyDescent="0.35">
      <c r="A113" s="22" t="s">
        <v>2549</v>
      </c>
      <c r="B113" s="22" t="s">
        <v>2550</v>
      </c>
      <c r="C113" s="26">
        <v>45899</v>
      </c>
      <c r="D113" s="25" t="s">
        <v>2725</v>
      </c>
      <c r="E113" s="25" t="s">
        <v>2973</v>
      </c>
      <c r="F113" s="53" t="s">
        <v>3812</v>
      </c>
      <c r="G113" s="28">
        <v>0</v>
      </c>
    </row>
    <row r="114" spans="1:7" x14ac:dyDescent="0.35">
      <c r="A114" s="22" t="s">
        <v>2549</v>
      </c>
      <c r="B114" s="22" t="s">
        <v>2550</v>
      </c>
      <c r="C114" s="26">
        <v>45899</v>
      </c>
      <c r="D114" s="25" t="s">
        <v>2726</v>
      </c>
      <c r="E114" s="25" t="s">
        <v>2575</v>
      </c>
      <c r="F114" s="53" t="s">
        <v>3812</v>
      </c>
      <c r="G114" s="28">
        <v>0</v>
      </c>
    </row>
    <row r="115" spans="1:7" x14ac:dyDescent="0.35">
      <c r="A115" s="22" t="s">
        <v>2549</v>
      </c>
      <c r="B115" s="22" t="s">
        <v>2550</v>
      </c>
      <c r="C115" s="26">
        <v>45899</v>
      </c>
      <c r="D115" s="25" t="s">
        <v>2727</v>
      </c>
      <c r="E115" s="25" t="s">
        <v>1283</v>
      </c>
      <c r="F115" s="53" t="s">
        <v>3812</v>
      </c>
      <c r="G115" s="28">
        <v>0</v>
      </c>
    </row>
    <row r="116" spans="1:7" x14ac:dyDescent="0.35">
      <c r="A116" s="22" t="s">
        <v>2549</v>
      </c>
      <c r="B116" s="22" t="s">
        <v>2550</v>
      </c>
      <c r="C116" s="26">
        <v>45899</v>
      </c>
      <c r="D116" s="25" t="s">
        <v>2728</v>
      </c>
      <c r="E116" s="25" t="s">
        <v>1283</v>
      </c>
      <c r="F116" s="53" t="s">
        <v>3812</v>
      </c>
      <c r="G116" s="28">
        <v>0</v>
      </c>
    </row>
    <row r="117" spans="1:7" x14ac:dyDescent="0.35">
      <c r="A117" s="22" t="s">
        <v>2549</v>
      </c>
      <c r="B117" s="22" t="s">
        <v>2550</v>
      </c>
      <c r="C117" s="26">
        <v>45899</v>
      </c>
      <c r="D117" s="25" t="s">
        <v>2729</v>
      </c>
      <c r="E117" s="25" t="s">
        <v>1283</v>
      </c>
      <c r="F117" s="53" t="s">
        <v>3812</v>
      </c>
      <c r="G117" s="28">
        <v>0</v>
      </c>
    </row>
    <row r="118" spans="1:7" x14ac:dyDescent="0.35">
      <c r="A118" s="22" t="s">
        <v>2549</v>
      </c>
      <c r="B118" s="22" t="s">
        <v>2550</v>
      </c>
      <c r="C118" s="26">
        <v>45899</v>
      </c>
      <c r="D118" s="25" t="s">
        <v>2730</v>
      </c>
      <c r="E118" s="25" t="s">
        <v>1283</v>
      </c>
      <c r="F118" s="53" t="s">
        <v>3812</v>
      </c>
      <c r="G118" s="28">
        <v>0</v>
      </c>
    </row>
    <row r="119" spans="1:7" x14ac:dyDescent="0.35">
      <c r="A119" s="22" t="s">
        <v>2549</v>
      </c>
      <c r="B119" s="22" t="s">
        <v>2550</v>
      </c>
      <c r="C119" s="26">
        <v>45899</v>
      </c>
      <c r="D119" s="25" t="s">
        <v>2731</v>
      </c>
      <c r="E119" s="25" t="s">
        <v>1283</v>
      </c>
      <c r="F119" s="53" t="s">
        <v>3812</v>
      </c>
      <c r="G119" s="28">
        <v>0</v>
      </c>
    </row>
    <row r="120" spans="1:7" x14ac:dyDescent="0.35">
      <c r="A120" s="22" t="s">
        <v>2549</v>
      </c>
      <c r="B120" s="22" t="s">
        <v>2550</v>
      </c>
      <c r="C120" s="26">
        <v>45899</v>
      </c>
      <c r="D120" s="25" t="s">
        <v>2732</v>
      </c>
      <c r="E120" s="25" t="s">
        <v>2092</v>
      </c>
      <c r="F120" s="53" t="s">
        <v>3812</v>
      </c>
      <c r="G120" s="28">
        <v>0</v>
      </c>
    </row>
    <row r="121" spans="1:7" x14ac:dyDescent="0.35">
      <c r="A121" s="22" t="s">
        <v>2549</v>
      </c>
      <c r="B121" s="22" t="s">
        <v>2550</v>
      </c>
      <c r="C121" s="26">
        <v>45899</v>
      </c>
      <c r="D121" s="25" t="s">
        <v>2733</v>
      </c>
      <c r="E121" s="25" t="s">
        <v>2144</v>
      </c>
      <c r="F121" s="53" t="s">
        <v>3812</v>
      </c>
      <c r="G121" s="28">
        <v>0</v>
      </c>
    </row>
    <row r="122" spans="1:7" x14ac:dyDescent="0.35">
      <c r="A122" s="22" t="s">
        <v>2549</v>
      </c>
      <c r="B122" s="22" t="s">
        <v>2550</v>
      </c>
      <c r="C122" s="26">
        <v>45899</v>
      </c>
      <c r="D122" s="25" t="s">
        <v>2734</v>
      </c>
      <c r="E122" s="25" t="s">
        <v>2144</v>
      </c>
      <c r="F122" s="53" t="s">
        <v>3812</v>
      </c>
      <c r="G122" s="28">
        <v>0</v>
      </c>
    </row>
    <row r="123" spans="1:7" x14ac:dyDescent="0.35">
      <c r="A123" s="22" t="s">
        <v>2549</v>
      </c>
      <c r="B123" s="22" t="s">
        <v>2550</v>
      </c>
      <c r="C123" s="26">
        <v>45899</v>
      </c>
      <c r="D123" s="25" t="s">
        <v>2735</v>
      </c>
      <c r="E123" s="25" t="s">
        <v>2189</v>
      </c>
      <c r="F123" s="53" t="s">
        <v>3812</v>
      </c>
      <c r="G123" s="28">
        <v>0</v>
      </c>
    </row>
    <row r="124" spans="1:7" x14ac:dyDescent="0.35">
      <c r="A124" s="22" t="s">
        <v>2549</v>
      </c>
      <c r="B124" s="22" t="s">
        <v>2550</v>
      </c>
      <c r="C124" s="26">
        <v>45899</v>
      </c>
      <c r="D124" s="25" t="s">
        <v>2736</v>
      </c>
      <c r="E124" s="25" t="s">
        <v>2189</v>
      </c>
      <c r="F124" s="53" t="s">
        <v>3812</v>
      </c>
      <c r="G124" s="28">
        <v>0</v>
      </c>
    </row>
    <row r="125" spans="1:7" x14ac:dyDescent="0.35">
      <c r="A125" s="22" t="s">
        <v>2549</v>
      </c>
      <c r="B125" s="22" t="s">
        <v>2550</v>
      </c>
      <c r="C125" s="26">
        <v>45899</v>
      </c>
      <c r="D125" s="25" t="s">
        <v>2737</v>
      </c>
      <c r="E125" s="25" t="s">
        <v>2987</v>
      </c>
      <c r="F125" s="53" t="s">
        <v>3812</v>
      </c>
      <c r="G125" s="28">
        <v>0</v>
      </c>
    </row>
    <row r="126" spans="1:7" x14ac:dyDescent="0.35">
      <c r="A126" s="22" t="s">
        <v>2549</v>
      </c>
      <c r="B126" s="22" t="s">
        <v>2550</v>
      </c>
      <c r="C126" s="26">
        <v>45899</v>
      </c>
      <c r="D126" s="25" t="s">
        <v>2738</v>
      </c>
      <c r="E126" s="25" t="s">
        <v>2989</v>
      </c>
      <c r="F126" s="53" t="s">
        <v>3812</v>
      </c>
      <c r="G126" s="28">
        <v>0</v>
      </c>
    </row>
    <row r="127" spans="1:7" x14ac:dyDescent="0.35">
      <c r="A127" s="22" t="s">
        <v>2549</v>
      </c>
      <c r="B127" s="22" t="s">
        <v>2550</v>
      </c>
      <c r="C127" s="26">
        <v>45899</v>
      </c>
      <c r="D127" s="25" t="s">
        <v>2739</v>
      </c>
      <c r="E127" s="25" t="s">
        <v>2989</v>
      </c>
      <c r="F127" s="53" t="s">
        <v>3812</v>
      </c>
      <c r="G127" s="28">
        <v>0</v>
      </c>
    </row>
    <row r="128" spans="1:7" x14ac:dyDescent="0.35">
      <c r="A128" s="22" t="s">
        <v>2549</v>
      </c>
      <c r="B128" s="22" t="s">
        <v>2550</v>
      </c>
      <c r="C128" s="26">
        <v>45899</v>
      </c>
      <c r="D128" s="25" t="s">
        <v>2740</v>
      </c>
      <c r="E128" s="25" t="s">
        <v>2197</v>
      </c>
      <c r="F128" s="53" t="s">
        <v>3812</v>
      </c>
      <c r="G128" s="28">
        <v>12589.500000000002</v>
      </c>
    </row>
    <row r="129" spans="1:7" x14ac:dyDescent="0.35">
      <c r="A129" s="22" t="s">
        <v>2549</v>
      </c>
      <c r="B129" s="22" t="s">
        <v>2550</v>
      </c>
      <c r="C129" s="26">
        <v>45899</v>
      </c>
      <c r="D129" s="25" t="s">
        <v>2741</v>
      </c>
      <c r="E129" s="25" t="s">
        <v>2555</v>
      </c>
      <c r="F129" s="53" t="s">
        <v>3812</v>
      </c>
      <c r="G129" s="28">
        <v>0</v>
      </c>
    </row>
    <row r="130" spans="1:7" x14ac:dyDescent="0.35">
      <c r="A130" s="22" t="s">
        <v>2549</v>
      </c>
      <c r="B130" s="22" t="s">
        <v>2550</v>
      </c>
      <c r="C130" s="26">
        <v>45899</v>
      </c>
      <c r="D130" s="25" t="s">
        <v>2742</v>
      </c>
      <c r="E130" s="25" t="s">
        <v>2555</v>
      </c>
      <c r="F130" s="53" t="s">
        <v>3812</v>
      </c>
      <c r="G130" s="28">
        <v>0</v>
      </c>
    </row>
    <row r="131" spans="1:7" x14ac:dyDescent="0.35">
      <c r="A131" s="22" t="s">
        <v>2549</v>
      </c>
      <c r="B131" s="22" t="s">
        <v>2550</v>
      </c>
      <c r="C131" s="26">
        <v>45899</v>
      </c>
      <c r="D131" s="25" t="s">
        <v>2743</v>
      </c>
      <c r="E131" s="25" t="s">
        <v>2555</v>
      </c>
      <c r="F131" s="53" t="s">
        <v>3812</v>
      </c>
      <c r="G131" s="28">
        <v>0</v>
      </c>
    </row>
    <row r="132" spans="1:7" x14ac:dyDescent="0.35">
      <c r="A132" s="22" t="s">
        <v>2549</v>
      </c>
      <c r="B132" s="22" t="s">
        <v>2550</v>
      </c>
      <c r="C132" s="26">
        <v>45899</v>
      </c>
      <c r="D132" s="25" t="s">
        <v>2744</v>
      </c>
      <c r="E132" s="25" t="s">
        <v>2555</v>
      </c>
      <c r="F132" s="53" t="s">
        <v>3812</v>
      </c>
      <c r="G132" s="28">
        <v>0</v>
      </c>
    </row>
    <row r="133" spans="1:7" x14ac:dyDescent="0.35">
      <c r="A133" s="22" t="s">
        <v>2549</v>
      </c>
      <c r="B133" s="22" t="s">
        <v>2550</v>
      </c>
      <c r="C133" s="26">
        <v>45899</v>
      </c>
      <c r="D133" s="25" t="s">
        <v>2745</v>
      </c>
      <c r="E133" s="25" t="s">
        <v>2020</v>
      </c>
      <c r="F133" s="53" t="s">
        <v>3812</v>
      </c>
      <c r="G133" s="28">
        <v>0</v>
      </c>
    </row>
    <row r="134" spans="1:7" x14ac:dyDescent="0.35">
      <c r="A134" s="22" t="s">
        <v>2549</v>
      </c>
      <c r="B134" s="22" t="s">
        <v>2550</v>
      </c>
      <c r="C134" s="26">
        <v>45899</v>
      </c>
      <c r="D134" s="25" t="s">
        <v>2746</v>
      </c>
      <c r="E134" s="25" t="s">
        <v>1283</v>
      </c>
      <c r="F134" s="53" t="s">
        <v>3812</v>
      </c>
      <c r="G134" s="28">
        <v>0</v>
      </c>
    </row>
    <row r="135" spans="1:7" x14ac:dyDescent="0.35">
      <c r="A135" s="22" t="s">
        <v>2549</v>
      </c>
      <c r="B135" s="22" t="s">
        <v>2550</v>
      </c>
      <c r="C135" s="26">
        <v>45899</v>
      </c>
      <c r="D135" s="25" t="s">
        <v>2747</v>
      </c>
      <c r="E135" s="25" t="s">
        <v>2132</v>
      </c>
      <c r="F135" s="53" t="s">
        <v>3812</v>
      </c>
      <c r="G135" s="28">
        <v>0</v>
      </c>
    </row>
    <row r="136" spans="1:7" x14ac:dyDescent="0.35">
      <c r="A136" s="22" t="s">
        <v>2549</v>
      </c>
      <c r="B136" s="22" t="s">
        <v>2550</v>
      </c>
      <c r="C136" s="26">
        <v>45899</v>
      </c>
      <c r="D136" s="25" t="s">
        <v>2748</v>
      </c>
      <c r="E136" s="25" t="s">
        <v>996</v>
      </c>
      <c r="F136" s="53" t="s">
        <v>3812</v>
      </c>
      <c r="G136" s="28">
        <v>0</v>
      </c>
    </row>
    <row r="137" spans="1:7" x14ac:dyDescent="0.35">
      <c r="A137" s="22" t="s">
        <v>2549</v>
      </c>
      <c r="B137" s="22" t="s">
        <v>2550</v>
      </c>
      <c r="C137" s="26">
        <v>45899</v>
      </c>
      <c r="D137" s="25" t="s">
        <v>2749</v>
      </c>
      <c r="E137" s="25" t="s">
        <v>3025</v>
      </c>
      <c r="F137" s="53" t="s">
        <v>3812</v>
      </c>
      <c r="G137" s="28">
        <v>0</v>
      </c>
    </row>
    <row r="138" spans="1:7" x14ac:dyDescent="0.35">
      <c r="A138" s="22" t="s">
        <v>2549</v>
      </c>
      <c r="B138" s="22" t="s">
        <v>2550</v>
      </c>
      <c r="C138" s="26">
        <v>45899</v>
      </c>
      <c r="D138" s="25" t="s">
        <v>2750</v>
      </c>
      <c r="E138" s="25" t="s">
        <v>2547</v>
      </c>
      <c r="F138" s="53" t="s">
        <v>3812</v>
      </c>
      <c r="G138" s="28">
        <v>0</v>
      </c>
    </row>
    <row r="139" spans="1:7" x14ac:dyDescent="0.35">
      <c r="A139" s="22" t="s">
        <v>2549</v>
      </c>
      <c r="B139" s="22" t="s">
        <v>2550</v>
      </c>
      <c r="C139" s="26">
        <v>45899</v>
      </c>
      <c r="D139" s="25" t="s">
        <v>2751</v>
      </c>
      <c r="E139" s="25" t="s">
        <v>301</v>
      </c>
      <c r="F139" s="53" t="s">
        <v>3812</v>
      </c>
      <c r="G139" s="28">
        <v>0</v>
      </c>
    </row>
    <row r="140" spans="1:7" x14ac:dyDescent="0.35">
      <c r="A140" s="22" t="s">
        <v>2549</v>
      </c>
      <c r="B140" s="22" t="s">
        <v>2550</v>
      </c>
      <c r="C140" s="26">
        <v>45899</v>
      </c>
      <c r="D140" s="25" t="s">
        <v>2752</v>
      </c>
      <c r="E140" s="25" t="s">
        <v>2020</v>
      </c>
      <c r="F140" s="53" t="s">
        <v>3812</v>
      </c>
      <c r="G140" s="28">
        <v>0</v>
      </c>
    </row>
    <row r="141" spans="1:7" x14ac:dyDescent="0.35">
      <c r="A141" s="22" t="s">
        <v>2549</v>
      </c>
      <c r="B141" s="22" t="s">
        <v>2550</v>
      </c>
      <c r="C141" s="26">
        <v>45899</v>
      </c>
      <c r="D141" s="25" t="s">
        <v>2753</v>
      </c>
      <c r="E141" s="25" t="s">
        <v>2020</v>
      </c>
      <c r="F141" s="53" t="s">
        <v>3812</v>
      </c>
      <c r="G141" s="28">
        <v>0</v>
      </c>
    </row>
    <row r="142" spans="1:7" x14ac:dyDescent="0.35">
      <c r="A142" s="22" t="s">
        <v>2549</v>
      </c>
      <c r="B142" s="22" t="s">
        <v>2550</v>
      </c>
      <c r="C142" s="26">
        <v>45899</v>
      </c>
      <c r="D142" s="25" t="s">
        <v>2754</v>
      </c>
      <c r="E142" s="25" t="s">
        <v>2020</v>
      </c>
      <c r="F142" s="53" t="s">
        <v>3812</v>
      </c>
      <c r="G142" s="28">
        <v>0</v>
      </c>
    </row>
    <row r="143" spans="1:7" x14ac:dyDescent="0.35">
      <c r="A143" s="22" t="s">
        <v>2549</v>
      </c>
      <c r="B143" s="22" t="s">
        <v>2550</v>
      </c>
      <c r="C143" s="26">
        <v>45899</v>
      </c>
      <c r="D143" s="25" t="s">
        <v>2755</v>
      </c>
      <c r="E143" s="25" t="s">
        <v>2020</v>
      </c>
      <c r="F143" s="53" t="s">
        <v>3812</v>
      </c>
      <c r="G143" s="28">
        <v>0</v>
      </c>
    </row>
    <row r="144" spans="1:7" x14ac:dyDescent="0.35">
      <c r="A144" s="22" t="s">
        <v>2549</v>
      </c>
      <c r="B144" s="22" t="s">
        <v>2550</v>
      </c>
      <c r="C144" s="26">
        <v>45899</v>
      </c>
      <c r="D144" s="25" t="s">
        <v>2756</v>
      </c>
      <c r="E144" s="25" t="s">
        <v>2020</v>
      </c>
      <c r="F144" s="53" t="s">
        <v>3812</v>
      </c>
      <c r="G144" s="28">
        <v>0</v>
      </c>
    </row>
    <row r="145" spans="1:7" x14ac:dyDescent="0.35">
      <c r="A145" s="22" t="s">
        <v>2549</v>
      </c>
      <c r="B145" s="22" t="s">
        <v>2550</v>
      </c>
      <c r="C145" s="26">
        <v>45899</v>
      </c>
      <c r="D145" s="25" t="s">
        <v>2757</v>
      </c>
      <c r="E145" s="25" t="s">
        <v>2020</v>
      </c>
      <c r="F145" s="53" t="s">
        <v>3812</v>
      </c>
      <c r="G145" s="28">
        <v>0</v>
      </c>
    </row>
    <row r="146" spans="1:7" x14ac:dyDescent="0.35">
      <c r="A146" s="22" t="s">
        <v>2549</v>
      </c>
      <c r="B146" s="22" t="s">
        <v>2550</v>
      </c>
      <c r="C146" s="26">
        <v>45899</v>
      </c>
      <c r="D146" s="25" t="s">
        <v>2758</v>
      </c>
      <c r="E146" s="25" t="s">
        <v>301</v>
      </c>
      <c r="F146" s="53" t="s">
        <v>3812</v>
      </c>
      <c r="G146" s="28">
        <v>0</v>
      </c>
    </row>
    <row r="147" spans="1:7" x14ac:dyDescent="0.35">
      <c r="A147" s="22" t="s">
        <v>2549</v>
      </c>
      <c r="B147" s="22" t="s">
        <v>2550</v>
      </c>
      <c r="C147" s="26">
        <v>45899</v>
      </c>
      <c r="D147" s="25" t="s">
        <v>2759</v>
      </c>
      <c r="E147" s="25" t="s">
        <v>3037</v>
      </c>
      <c r="F147" s="53" t="s">
        <v>3812</v>
      </c>
      <c r="G147" s="28">
        <v>0</v>
      </c>
    </row>
    <row r="148" spans="1:7" x14ac:dyDescent="0.35">
      <c r="A148" s="22" t="s">
        <v>2549</v>
      </c>
      <c r="B148" s="22" t="s">
        <v>2550</v>
      </c>
      <c r="C148" s="26">
        <v>45899</v>
      </c>
      <c r="D148" s="25" t="s">
        <v>2760</v>
      </c>
      <c r="E148" s="25" t="s">
        <v>2033</v>
      </c>
      <c r="F148" s="53" t="s">
        <v>3812</v>
      </c>
      <c r="G148" s="28">
        <v>0</v>
      </c>
    </row>
    <row r="149" spans="1:7" x14ac:dyDescent="0.35">
      <c r="A149" s="22" t="s">
        <v>2549</v>
      </c>
      <c r="B149" s="22" t="s">
        <v>2550</v>
      </c>
      <c r="C149" s="26">
        <v>45899</v>
      </c>
      <c r="D149" s="25" t="s">
        <v>2761</v>
      </c>
      <c r="E149" s="25" t="s">
        <v>2033</v>
      </c>
      <c r="F149" s="53" t="s">
        <v>3812</v>
      </c>
      <c r="G149" s="28">
        <v>0</v>
      </c>
    </row>
    <row r="150" spans="1:7" x14ac:dyDescent="0.35">
      <c r="A150" s="22" t="s">
        <v>2549</v>
      </c>
      <c r="B150" s="22" t="s">
        <v>2550</v>
      </c>
      <c r="C150" s="26">
        <v>45899</v>
      </c>
      <c r="D150" s="25" t="s">
        <v>2762</v>
      </c>
      <c r="E150" s="25" t="s">
        <v>2033</v>
      </c>
      <c r="F150" s="53" t="s">
        <v>3812</v>
      </c>
      <c r="G150" s="28">
        <v>0</v>
      </c>
    </row>
    <row r="151" spans="1:7" x14ac:dyDescent="0.35">
      <c r="A151" s="22" t="s">
        <v>2549</v>
      </c>
      <c r="B151" s="22" t="s">
        <v>2550</v>
      </c>
      <c r="C151" s="26">
        <v>45899</v>
      </c>
      <c r="D151" s="25" t="s">
        <v>2763</v>
      </c>
      <c r="E151" s="25" t="s">
        <v>1608</v>
      </c>
      <c r="F151" s="53" t="s">
        <v>3812</v>
      </c>
      <c r="G151" s="28">
        <v>0</v>
      </c>
    </row>
    <row r="152" spans="1:7" x14ac:dyDescent="0.35">
      <c r="A152" s="22" t="s">
        <v>2549</v>
      </c>
      <c r="B152" s="22" t="s">
        <v>2550</v>
      </c>
      <c r="C152" s="26">
        <v>45899</v>
      </c>
      <c r="D152" s="25" t="s">
        <v>2764</v>
      </c>
      <c r="E152" s="25" t="s">
        <v>2077</v>
      </c>
      <c r="F152" s="53" t="s">
        <v>3812</v>
      </c>
      <c r="G152" s="28">
        <v>0</v>
      </c>
    </row>
    <row r="153" spans="1:7" x14ac:dyDescent="0.35">
      <c r="A153" s="22" t="s">
        <v>2549</v>
      </c>
      <c r="B153" s="22" t="s">
        <v>2550</v>
      </c>
      <c r="C153" s="26">
        <v>45899</v>
      </c>
      <c r="D153" s="25" t="s">
        <v>2765</v>
      </c>
      <c r="E153" s="25" t="s">
        <v>1251</v>
      </c>
      <c r="F153" s="53" t="s">
        <v>3812</v>
      </c>
      <c r="G153" s="28">
        <v>0</v>
      </c>
    </row>
    <row r="154" spans="1:7" x14ac:dyDescent="0.35">
      <c r="A154" s="22" t="s">
        <v>2549</v>
      </c>
      <c r="B154" s="22" t="s">
        <v>2550</v>
      </c>
      <c r="C154" s="26">
        <v>45899</v>
      </c>
      <c r="D154" s="25" t="s">
        <v>2766</v>
      </c>
      <c r="E154" s="25" t="s">
        <v>2033</v>
      </c>
      <c r="F154" s="53" t="s">
        <v>3812</v>
      </c>
      <c r="G154" s="28">
        <v>9548.99</v>
      </c>
    </row>
    <row r="155" spans="1:7" x14ac:dyDescent="0.35">
      <c r="A155" s="22" t="s">
        <v>2549</v>
      </c>
      <c r="B155" s="22" t="s">
        <v>2550</v>
      </c>
      <c r="C155" s="26">
        <v>45899</v>
      </c>
      <c r="D155" s="25" t="s">
        <v>2767</v>
      </c>
      <c r="E155" s="25" t="s">
        <v>2144</v>
      </c>
      <c r="F155" s="53" t="s">
        <v>3812</v>
      </c>
      <c r="G155" s="28">
        <v>0</v>
      </c>
    </row>
    <row r="156" spans="1:7" x14ac:dyDescent="0.35">
      <c r="A156" s="22" t="s">
        <v>2549</v>
      </c>
      <c r="B156" s="22" t="s">
        <v>2550</v>
      </c>
      <c r="C156" s="26">
        <v>45899</v>
      </c>
      <c r="D156" s="25" t="s">
        <v>2768</v>
      </c>
      <c r="E156" s="25" t="s">
        <v>2144</v>
      </c>
      <c r="F156" s="53" t="s">
        <v>3812</v>
      </c>
      <c r="G156" s="28">
        <v>0</v>
      </c>
    </row>
    <row r="157" spans="1:7" x14ac:dyDescent="0.35">
      <c r="A157" s="22" t="s">
        <v>2549</v>
      </c>
      <c r="B157" s="22" t="s">
        <v>2550</v>
      </c>
      <c r="C157" s="26">
        <v>45899</v>
      </c>
      <c r="D157" s="25" t="s">
        <v>2770</v>
      </c>
      <c r="E157" s="25" t="s">
        <v>2144</v>
      </c>
      <c r="F157" s="53" t="s">
        <v>3812</v>
      </c>
      <c r="G157" s="28">
        <v>0</v>
      </c>
    </row>
    <row r="158" spans="1:7" x14ac:dyDescent="0.35">
      <c r="A158" s="22" t="s">
        <v>2549</v>
      </c>
      <c r="B158" s="22" t="s">
        <v>2550</v>
      </c>
      <c r="C158" s="26">
        <v>45899</v>
      </c>
      <c r="D158" s="25" t="s">
        <v>2771</v>
      </c>
      <c r="E158" s="25" t="s">
        <v>2144</v>
      </c>
      <c r="F158" s="53" t="s">
        <v>3812</v>
      </c>
      <c r="G158" s="28">
        <v>0</v>
      </c>
    </row>
    <row r="159" spans="1:7" x14ac:dyDescent="0.35">
      <c r="A159" s="22" t="s">
        <v>2549</v>
      </c>
      <c r="B159" s="22" t="s">
        <v>2550</v>
      </c>
      <c r="C159" s="26">
        <v>45899</v>
      </c>
      <c r="D159" s="25" t="s">
        <v>2772</v>
      </c>
      <c r="E159" s="25" t="s">
        <v>2144</v>
      </c>
      <c r="F159" s="53" t="s">
        <v>3812</v>
      </c>
      <c r="G159" s="28">
        <v>0</v>
      </c>
    </row>
    <row r="160" spans="1:7" x14ac:dyDescent="0.35">
      <c r="A160" s="22" t="s">
        <v>2549</v>
      </c>
      <c r="B160" s="22" t="s">
        <v>2550</v>
      </c>
      <c r="C160" s="26">
        <v>45899</v>
      </c>
      <c r="D160" s="25" t="s">
        <v>2773</v>
      </c>
      <c r="E160" s="25" t="s">
        <v>2575</v>
      </c>
      <c r="F160" s="53" t="s">
        <v>3812</v>
      </c>
      <c r="G160" s="28">
        <v>0</v>
      </c>
    </row>
    <row r="161" spans="1:7" x14ac:dyDescent="0.35">
      <c r="A161" s="22" t="s">
        <v>2549</v>
      </c>
      <c r="B161" s="22" t="s">
        <v>2550</v>
      </c>
      <c r="C161" s="26">
        <v>45899</v>
      </c>
      <c r="D161" s="25" t="s">
        <v>2774</v>
      </c>
      <c r="E161" s="25" t="s">
        <v>3061</v>
      </c>
      <c r="F161" s="53" t="s">
        <v>3812</v>
      </c>
      <c r="G161" s="28">
        <v>0</v>
      </c>
    </row>
    <row r="162" spans="1:7" x14ac:dyDescent="0.35">
      <c r="A162" s="22" t="s">
        <v>2549</v>
      </c>
      <c r="B162" s="22" t="s">
        <v>2550</v>
      </c>
      <c r="C162" s="26">
        <v>45899</v>
      </c>
      <c r="D162" s="25" t="s">
        <v>2775</v>
      </c>
      <c r="E162" s="25" t="s">
        <v>3061</v>
      </c>
      <c r="F162" s="53" t="s">
        <v>3812</v>
      </c>
      <c r="G162" s="28">
        <v>1120</v>
      </c>
    </row>
    <row r="163" spans="1:7" x14ac:dyDescent="0.35">
      <c r="A163" s="22" t="s">
        <v>2549</v>
      </c>
      <c r="B163" s="22" t="s">
        <v>2550</v>
      </c>
      <c r="C163" s="26">
        <v>45899</v>
      </c>
      <c r="D163" s="25" t="s">
        <v>2776</v>
      </c>
      <c r="E163" s="25" t="s">
        <v>2846</v>
      </c>
      <c r="F163" s="53" t="s">
        <v>3812</v>
      </c>
      <c r="G163" s="28">
        <v>0</v>
      </c>
    </row>
    <row r="164" spans="1:7" x14ac:dyDescent="0.35">
      <c r="A164" s="22" t="s">
        <v>2549</v>
      </c>
      <c r="B164" s="22" t="s">
        <v>2550</v>
      </c>
      <c r="C164" s="26">
        <v>45899</v>
      </c>
      <c r="D164" s="25" t="s">
        <v>2777</v>
      </c>
      <c r="E164" s="25" t="s">
        <v>2846</v>
      </c>
      <c r="F164" s="53" t="s">
        <v>3812</v>
      </c>
      <c r="G164" s="28">
        <v>0</v>
      </c>
    </row>
    <row r="165" spans="1:7" x14ac:dyDescent="0.35">
      <c r="A165" s="22" t="s">
        <v>2549</v>
      </c>
      <c r="B165" s="22" t="s">
        <v>2550</v>
      </c>
      <c r="C165" s="26">
        <v>45899</v>
      </c>
      <c r="D165" s="25" t="s">
        <v>2778</v>
      </c>
      <c r="E165" s="25" t="s">
        <v>2396</v>
      </c>
      <c r="F165" s="53" t="s">
        <v>3812</v>
      </c>
      <c r="G165" s="28">
        <v>0</v>
      </c>
    </row>
    <row r="166" spans="1:7" x14ac:dyDescent="0.35">
      <c r="A166" s="22" t="s">
        <v>2549</v>
      </c>
      <c r="B166" s="22" t="s">
        <v>2550</v>
      </c>
      <c r="C166" s="26">
        <v>45899</v>
      </c>
      <c r="D166" s="25" t="s">
        <v>2779</v>
      </c>
      <c r="E166" s="25" t="s">
        <v>2396</v>
      </c>
      <c r="F166" s="53" t="s">
        <v>3812</v>
      </c>
      <c r="G166" s="28">
        <v>0</v>
      </c>
    </row>
    <row r="167" spans="1:7" x14ac:dyDescent="0.35">
      <c r="A167" s="22" t="s">
        <v>2549</v>
      </c>
      <c r="B167" s="22" t="s">
        <v>2550</v>
      </c>
      <c r="C167" s="26">
        <v>45899</v>
      </c>
      <c r="D167" s="25" t="s">
        <v>2780</v>
      </c>
      <c r="E167" s="25" t="s">
        <v>2396</v>
      </c>
      <c r="F167" s="53" t="s">
        <v>3812</v>
      </c>
      <c r="G167" s="28">
        <v>0</v>
      </c>
    </row>
    <row r="168" spans="1:7" x14ac:dyDescent="0.35">
      <c r="A168" s="22" t="s">
        <v>2549</v>
      </c>
      <c r="B168" s="22" t="s">
        <v>2550</v>
      </c>
      <c r="C168" s="26">
        <v>45899</v>
      </c>
      <c r="D168" s="25" t="s">
        <v>2781</v>
      </c>
      <c r="E168" s="25" t="s">
        <v>2396</v>
      </c>
      <c r="F168" s="53" t="s">
        <v>3812</v>
      </c>
      <c r="G168" s="28">
        <v>0</v>
      </c>
    </row>
    <row r="169" spans="1:7" x14ac:dyDescent="0.35">
      <c r="A169" s="22" t="s">
        <v>2549</v>
      </c>
      <c r="B169" s="22" t="s">
        <v>2550</v>
      </c>
      <c r="C169" s="26">
        <v>45899</v>
      </c>
      <c r="D169" s="25" t="s">
        <v>2782</v>
      </c>
      <c r="E169" s="25" t="s">
        <v>2396</v>
      </c>
      <c r="F169" s="53" t="s">
        <v>3812</v>
      </c>
      <c r="G169" s="28">
        <v>0</v>
      </c>
    </row>
    <row r="170" spans="1:7" x14ac:dyDescent="0.35">
      <c r="A170" s="22" t="s">
        <v>2549</v>
      </c>
      <c r="B170" s="22" t="s">
        <v>2550</v>
      </c>
      <c r="C170" s="26">
        <v>45899</v>
      </c>
      <c r="D170" s="25" t="s">
        <v>2783</v>
      </c>
      <c r="E170" s="25" t="s">
        <v>1724</v>
      </c>
      <c r="F170" s="53" t="s">
        <v>3812</v>
      </c>
      <c r="G170" s="28">
        <v>0</v>
      </c>
    </row>
    <row r="171" spans="1:7" x14ac:dyDescent="0.35">
      <c r="A171" s="22" t="s">
        <v>2549</v>
      </c>
      <c r="B171" s="22" t="s">
        <v>2550</v>
      </c>
      <c r="C171" s="26">
        <v>45899</v>
      </c>
      <c r="D171" s="25" t="s">
        <v>2784</v>
      </c>
      <c r="E171" s="25" t="s">
        <v>1724</v>
      </c>
      <c r="F171" s="53" t="s">
        <v>3812</v>
      </c>
      <c r="G171" s="28">
        <v>0</v>
      </c>
    </row>
    <row r="172" spans="1:7" x14ac:dyDescent="0.35">
      <c r="A172" s="22" t="s">
        <v>2549</v>
      </c>
      <c r="B172" s="22" t="s">
        <v>2550</v>
      </c>
      <c r="C172" s="26">
        <v>45899</v>
      </c>
      <c r="D172" s="25" t="s">
        <v>2785</v>
      </c>
      <c r="E172" s="25" t="s">
        <v>2447</v>
      </c>
      <c r="F172" s="53" t="s">
        <v>3812</v>
      </c>
      <c r="G172" s="28">
        <v>0</v>
      </c>
    </row>
    <row r="173" spans="1:7" x14ac:dyDescent="0.35">
      <c r="A173" s="22" t="s">
        <v>2549</v>
      </c>
      <c r="B173" s="22" t="s">
        <v>2550</v>
      </c>
      <c r="C173" s="26">
        <v>45899</v>
      </c>
      <c r="D173" s="25" t="s">
        <v>2786</v>
      </c>
      <c r="E173" s="25" t="s">
        <v>2447</v>
      </c>
      <c r="F173" s="53" t="s">
        <v>3812</v>
      </c>
      <c r="G173" s="28">
        <v>0</v>
      </c>
    </row>
    <row r="174" spans="1:7" x14ac:dyDescent="0.35">
      <c r="A174" s="22" t="s">
        <v>2549</v>
      </c>
      <c r="B174" s="22" t="s">
        <v>2550</v>
      </c>
      <c r="C174" s="26">
        <v>45899</v>
      </c>
      <c r="D174" s="25" t="s">
        <v>2787</v>
      </c>
      <c r="E174" s="25" t="s">
        <v>1782</v>
      </c>
      <c r="F174" s="53" t="s">
        <v>3812</v>
      </c>
      <c r="G174" s="28">
        <v>0</v>
      </c>
    </row>
    <row r="175" spans="1:7" x14ac:dyDescent="0.35">
      <c r="A175" s="22" t="s">
        <v>2549</v>
      </c>
      <c r="B175" s="22" t="s">
        <v>2550</v>
      </c>
      <c r="C175" s="26">
        <v>45899</v>
      </c>
      <c r="D175" s="25" t="s">
        <v>2788</v>
      </c>
      <c r="E175" s="25" t="s">
        <v>1782</v>
      </c>
      <c r="F175" s="53" t="s">
        <v>3812</v>
      </c>
      <c r="G175" s="28">
        <v>0</v>
      </c>
    </row>
    <row r="176" spans="1:7" x14ac:dyDescent="0.35">
      <c r="A176" s="22" t="s">
        <v>2549</v>
      </c>
      <c r="B176" s="22" t="s">
        <v>2550</v>
      </c>
      <c r="C176" s="26">
        <v>45899</v>
      </c>
      <c r="D176" s="25" t="s">
        <v>2789</v>
      </c>
      <c r="E176" s="25" t="s">
        <v>1587</v>
      </c>
      <c r="F176" s="53" t="s">
        <v>3812</v>
      </c>
      <c r="G176" s="28">
        <v>0</v>
      </c>
    </row>
    <row r="177" spans="1:7" x14ac:dyDescent="0.35">
      <c r="A177" s="22" t="s">
        <v>2549</v>
      </c>
      <c r="B177" s="22" t="s">
        <v>2550</v>
      </c>
      <c r="C177" s="26">
        <v>45899</v>
      </c>
      <c r="D177" s="25" t="s">
        <v>2790</v>
      </c>
      <c r="E177" s="25" t="s">
        <v>1587</v>
      </c>
      <c r="F177" s="53" t="s">
        <v>3812</v>
      </c>
      <c r="G177" s="28">
        <v>343.59</v>
      </c>
    </row>
    <row r="178" spans="1:7" x14ac:dyDescent="0.35">
      <c r="A178" s="22" t="s">
        <v>2549</v>
      </c>
      <c r="B178" s="22" t="s">
        <v>2550</v>
      </c>
      <c r="C178" s="26">
        <v>45899</v>
      </c>
      <c r="D178" s="25" t="s">
        <v>2791</v>
      </c>
      <c r="E178" s="25" t="s">
        <v>1587</v>
      </c>
      <c r="F178" s="53" t="s">
        <v>3812</v>
      </c>
      <c r="G178" s="28">
        <v>0</v>
      </c>
    </row>
    <row r="179" spans="1:7" x14ac:dyDescent="0.35">
      <c r="A179" s="22" t="s">
        <v>2549</v>
      </c>
      <c r="B179" s="22" t="s">
        <v>2550</v>
      </c>
      <c r="C179" s="26">
        <v>45899</v>
      </c>
      <c r="D179" s="25" t="s">
        <v>2792</v>
      </c>
      <c r="E179" s="25" t="s">
        <v>1587</v>
      </c>
      <c r="F179" s="53" t="s">
        <v>3812</v>
      </c>
      <c r="G179" s="28">
        <v>0</v>
      </c>
    </row>
    <row r="180" spans="1:7" x14ac:dyDescent="0.35">
      <c r="A180" s="22" t="s">
        <v>2549</v>
      </c>
      <c r="B180" s="22" t="s">
        <v>2550</v>
      </c>
      <c r="C180" s="26">
        <v>45899</v>
      </c>
      <c r="D180" s="25" t="s">
        <v>2793</v>
      </c>
      <c r="E180" s="25" t="s">
        <v>1587</v>
      </c>
      <c r="F180" s="53" t="s">
        <v>3812</v>
      </c>
      <c r="G180" s="28">
        <v>0</v>
      </c>
    </row>
    <row r="181" spans="1:7" x14ac:dyDescent="0.35">
      <c r="A181" s="22" t="s">
        <v>2549</v>
      </c>
      <c r="B181" s="22" t="s">
        <v>2550</v>
      </c>
      <c r="C181" s="26">
        <v>45899</v>
      </c>
      <c r="D181" s="25" t="s">
        <v>2794</v>
      </c>
      <c r="E181" s="25" t="s">
        <v>1334</v>
      </c>
      <c r="F181" s="53" t="s">
        <v>3812</v>
      </c>
      <c r="G181" s="28">
        <v>0</v>
      </c>
    </row>
    <row r="182" spans="1:7" x14ac:dyDescent="0.35">
      <c r="A182" s="22" t="s">
        <v>2549</v>
      </c>
      <c r="B182" s="22" t="s">
        <v>2550</v>
      </c>
      <c r="C182" s="26">
        <v>45899</v>
      </c>
      <c r="D182" s="25" t="s">
        <v>2795</v>
      </c>
      <c r="E182" s="25" t="s">
        <v>1334</v>
      </c>
      <c r="F182" s="53" t="s">
        <v>3812</v>
      </c>
      <c r="G182" s="28">
        <v>0</v>
      </c>
    </row>
    <row r="183" spans="1:7" x14ac:dyDescent="0.35">
      <c r="A183" s="22" t="s">
        <v>2549</v>
      </c>
      <c r="B183" s="22" t="s">
        <v>2550</v>
      </c>
      <c r="C183" s="26">
        <v>45899</v>
      </c>
      <c r="D183" s="25" t="s">
        <v>2796</v>
      </c>
      <c r="E183" s="25" t="s">
        <v>1334</v>
      </c>
      <c r="F183" s="53" t="s">
        <v>3812</v>
      </c>
      <c r="G183" s="28">
        <v>0</v>
      </c>
    </row>
    <row r="184" spans="1:7" x14ac:dyDescent="0.35">
      <c r="A184" s="22" t="s">
        <v>2549</v>
      </c>
      <c r="B184" s="22" t="s">
        <v>2550</v>
      </c>
      <c r="C184" s="26">
        <v>45899</v>
      </c>
      <c r="D184" s="25" t="s">
        <v>2797</v>
      </c>
      <c r="E184" s="25" t="s">
        <v>3093</v>
      </c>
      <c r="F184" s="53" t="s">
        <v>3812</v>
      </c>
      <c r="G184" s="28">
        <v>0</v>
      </c>
    </row>
    <row r="185" spans="1:7" x14ac:dyDescent="0.35">
      <c r="A185" s="22" t="s">
        <v>2549</v>
      </c>
      <c r="B185" s="22" t="s">
        <v>2550</v>
      </c>
      <c r="C185" s="26">
        <v>45899</v>
      </c>
      <c r="D185" s="25" t="s">
        <v>2798</v>
      </c>
      <c r="E185" s="25" t="s">
        <v>3095</v>
      </c>
      <c r="F185" s="53" t="s">
        <v>3812</v>
      </c>
      <c r="G185" s="28">
        <v>0</v>
      </c>
    </row>
    <row r="186" spans="1:7" x14ac:dyDescent="0.35">
      <c r="A186" s="22" t="s">
        <v>2549</v>
      </c>
      <c r="B186" s="22" t="s">
        <v>2550</v>
      </c>
      <c r="C186" s="26">
        <v>45899</v>
      </c>
      <c r="D186" s="25" t="s">
        <v>2799</v>
      </c>
      <c r="E186" s="25" t="s">
        <v>2396</v>
      </c>
      <c r="F186" s="53" t="s">
        <v>3812</v>
      </c>
      <c r="G186" s="28">
        <v>0</v>
      </c>
    </row>
    <row r="187" spans="1:7" x14ac:dyDescent="0.35">
      <c r="A187" s="22" t="s">
        <v>2549</v>
      </c>
      <c r="B187" s="22" t="s">
        <v>2550</v>
      </c>
      <c r="C187" s="26">
        <v>45899</v>
      </c>
      <c r="D187" s="25" t="s">
        <v>2800</v>
      </c>
      <c r="E187" s="25" t="s">
        <v>2396</v>
      </c>
      <c r="F187" s="53" t="s">
        <v>3812</v>
      </c>
      <c r="G187" s="28">
        <v>0</v>
      </c>
    </row>
    <row r="188" spans="1:7" x14ac:dyDescent="0.35">
      <c r="A188" s="22" t="s">
        <v>2549</v>
      </c>
      <c r="B188" s="22" t="s">
        <v>2550</v>
      </c>
      <c r="C188" s="26">
        <v>45899</v>
      </c>
      <c r="D188" s="25" t="s">
        <v>2801</v>
      </c>
      <c r="E188" s="25" t="s">
        <v>2396</v>
      </c>
      <c r="F188" s="53" t="s">
        <v>3812</v>
      </c>
      <c r="G188" s="28">
        <v>0</v>
      </c>
    </row>
    <row r="189" spans="1:7" x14ac:dyDescent="0.35">
      <c r="A189" s="22" t="s">
        <v>2549</v>
      </c>
      <c r="B189" s="22" t="s">
        <v>2550</v>
      </c>
      <c r="C189" s="26">
        <v>45899</v>
      </c>
      <c r="D189" s="25" t="s">
        <v>2802</v>
      </c>
      <c r="E189" s="25" t="s">
        <v>2396</v>
      </c>
      <c r="F189" s="53" t="s">
        <v>3812</v>
      </c>
      <c r="G189" s="28">
        <v>0</v>
      </c>
    </row>
    <row r="190" spans="1:7" x14ac:dyDescent="0.35">
      <c r="A190" s="22" t="s">
        <v>2549</v>
      </c>
      <c r="B190" s="22" t="s">
        <v>2550</v>
      </c>
      <c r="C190" s="26">
        <v>45899</v>
      </c>
      <c r="D190" s="25" t="s">
        <v>2803</v>
      </c>
      <c r="E190" s="25" t="s">
        <v>2396</v>
      </c>
      <c r="F190" s="53" t="s">
        <v>3812</v>
      </c>
      <c r="G190" s="28">
        <v>0</v>
      </c>
    </row>
    <row r="191" spans="1:7" x14ac:dyDescent="0.35">
      <c r="A191" s="22" t="s">
        <v>2549</v>
      </c>
      <c r="B191" s="22" t="s">
        <v>2550</v>
      </c>
      <c r="C191" s="26">
        <v>45899</v>
      </c>
      <c r="D191" s="25" t="s">
        <v>2804</v>
      </c>
      <c r="E191" s="25" t="s">
        <v>2396</v>
      </c>
      <c r="F191" s="53" t="s">
        <v>3812</v>
      </c>
      <c r="G191" s="28">
        <v>0</v>
      </c>
    </row>
    <row r="192" spans="1:7" x14ac:dyDescent="0.35">
      <c r="A192" s="22" t="s">
        <v>2549</v>
      </c>
      <c r="B192" s="22" t="s">
        <v>2550</v>
      </c>
      <c r="C192" s="26">
        <v>45899</v>
      </c>
      <c r="D192" s="25">
        <v>34675</v>
      </c>
      <c r="E192" s="25" t="s">
        <v>1277</v>
      </c>
      <c r="F192" s="53" t="s">
        <v>3812</v>
      </c>
      <c r="G192" s="28">
        <v>0</v>
      </c>
    </row>
    <row r="193" spans="1:7" x14ac:dyDescent="0.35">
      <c r="A193" s="22" t="s">
        <v>2549</v>
      </c>
      <c r="B193" s="22" t="s">
        <v>2550</v>
      </c>
      <c r="C193" s="26">
        <v>45899</v>
      </c>
      <c r="D193" s="25" t="s">
        <v>2805</v>
      </c>
      <c r="E193" s="25" t="s">
        <v>1179</v>
      </c>
      <c r="F193" s="53" t="s">
        <v>3812</v>
      </c>
      <c r="G193" s="28">
        <v>0</v>
      </c>
    </row>
    <row r="194" spans="1:7" x14ac:dyDescent="0.35">
      <c r="A194" s="22" t="s">
        <v>2549</v>
      </c>
      <c r="B194" s="22" t="s">
        <v>2550</v>
      </c>
      <c r="C194" s="26">
        <v>45899</v>
      </c>
      <c r="D194" s="25" t="s">
        <v>2806</v>
      </c>
      <c r="E194" s="25" t="s">
        <v>1179</v>
      </c>
      <c r="F194" s="53" t="s">
        <v>3812</v>
      </c>
      <c r="G194" s="28">
        <v>0</v>
      </c>
    </row>
    <row r="195" spans="1:7" x14ac:dyDescent="0.35">
      <c r="A195" s="22" t="s">
        <v>2549</v>
      </c>
      <c r="B195" s="22" t="s">
        <v>2550</v>
      </c>
      <c r="C195" s="26">
        <v>45899</v>
      </c>
      <c r="D195" s="25" t="s">
        <v>2807</v>
      </c>
      <c r="E195" s="25" t="s">
        <v>1179</v>
      </c>
      <c r="F195" s="53" t="s">
        <v>3812</v>
      </c>
      <c r="G195" s="28">
        <v>0</v>
      </c>
    </row>
    <row r="196" spans="1:7" x14ac:dyDescent="0.35">
      <c r="A196" s="22" t="s">
        <v>2549</v>
      </c>
      <c r="B196" s="22" t="s">
        <v>2550</v>
      </c>
      <c r="C196" s="26">
        <v>45899</v>
      </c>
      <c r="D196" s="25" t="s">
        <v>2808</v>
      </c>
      <c r="E196" s="25" t="s">
        <v>1179</v>
      </c>
      <c r="F196" s="53" t="s">
        <v>3812</v>
      </c>
      <c r="G196" s="28">
        <v>0</v>
      </c>
    </row>
    <row r="197" spans="1:7" x14ac:dyDescent="0.35">
      <c r="A197" s="22" t="s">
        <v>2549</v>
      </c>
      <c r="B197" s="22" t="s">
        <v>2550</v>
      </c>
      <c r="C197" s="26">
        <v>45899</v>
      </c>
      <c r="D197" s="25" t="s">
        <v>2809</v>
      </c>
      <c r="E197" s="25" t="s">
        <v>1179</v>
      </c>
      <c r="F197" s="53" t="s">
        <v>3812</v>
      </c>
      <c r="G197" s="28">
        <v>0</v>
      </c>
    </row>
    <row r="198" spans="1:7" x14ac:dyDescent="0.35">
      <c r="A198" s="22" t="s">
        <v>2549</v>
      </c>
      <c r="B198" s="22" t="s">
        <v>2550</v>
      </c>
      <c r="C198" s="26">
        <v>45899</v>
      </c>
      <c r="D198" s="25" t="s">
        <v>2810</v>
      </c>
      <c r="E198" s="25" t="s">
        <v>1179</v>
      </c>
      <c r="F198" s="53" t="s">
        <v>3812</v>
      </c>
      <c r="G198" s="28">
        <v>0</v>
      </c>
    </row>
    <row r="199" spans="1:7" x14ac:dyDescent="0.35">
      <c r="A199" s="22" t="s">
        <v>2549</v>
      </c>
      <c r="B199" s="22" t="s">
        <v>2550</v>
      </c>
      <c r="C199" s="26">
        <v>45899</v>
      </c>
      <c r="D199" s="25" t="s">
        <v>2811</v>
      </c>
      <c r="E199" s="25" t="s">
        <v>1179</v>
      </c>
      <c r="F199" s="53" t="s">
        <v>3812</v>
      </c>
      <c r="G199" s="28">
        <v>0</v>
      </c>
    </row>
    <row r="200" spans="1:7" x14ac:dyDescent="0.35">
      <c r="A200" s="22" t="s">
        <v>2549</v>
      </c>
      <c r="B200" s="22" t="s">
        <v>2550</v>
      </c>
      <c r="C200" s="26">
        <v>45899</v>
      </c>
      <c r="D200" s="25" t="s">
        <v>2812</v>
      </c>
      <c r="E200" s="25" t="s">
        <v>1179</v>
      </c>
      <c r="F200" s="53" t="s">
        <v>3812</v>
      </c>
      <c r="G200" s="28">
        <v>0</v>
      </c>
    </row>
    <row r="201" spans="1:7" x14ac:dyDescent="0.35">
      <c r="A201" s="22" t="s">
        <v>2549</v>
      </c>
      <c r="B201" s="22" t="s">
        <v>2550</v>
      </c>
      <c r="C201" s="26">
        <v>45899</v>
      </c>
      <c r="D201" s="25" t="s">
        <v>2813</v>
      </c>
      <c r="E201" s="25" t="s">
        <v>1179</v>
      </c>
      <c r="F201" s="53" t="s">
        <v>3812</v>
      </c>
      <c r="G201" s="28">
        <v>0</v>
      </c>
    </row>
    <row r="202" spans="1:7" x14ac:dyDescent="0.35">
      <c r="A202" s="22" t="s">
        <v>2549</v>
      </c>
      <c r="B202" s="22" t="s">
        <v>2550</v>
      </c>
      <c r="C202" s="26">
        <v>45899</v>
      </c>
      <c r="D202" s="25" t="s">
        <v>2814</v>
      </c>
      <c r="E202" s="25" t="s">
        <v>3115</v>
      </c>
      <c r="F202" s="53" t="s">
        <v>3812</v>
      </c>
      <c r="G202" s="28">
        <v>0</v>
      </c>
    </row>
    <row r="203" spans="1:7" x14ac:dyDescent="0.35">
      <c r="A203" s="22" t="s">
        <v>2549</v>
      </c>
      <c r="B203" s="22" t="s">
        <v>2550</v>
      </c>
      <c r="C203" s="26">
        <v>45899</v>
      </c>
      <c r="D203" s="25" t="s">
        <v>2815</v>
      </c>
      <c r="E203" s="25" t="s">
        <v>2530</v>
      </c>
      <c r="F203" s="53" t="s">
        <v>3812</v>
      </c>
      <c r="G203" s="28">
        <v>0</v>
      </c>
    </row>
    <row r="204" spans="1:7" x14ac:dyDescent="0.35">
      <c r="A204" s="22" t="s">
        <v>2549</v>
      </c>
      <c r="B204" s="22" t="s">
        <v>2550</v>
      </c>
      <c r="C204" s="26">
        <v>45899</v>
      </c>
      <c r="D204" s="25" t="s">
        <v>2816</v>
      </c>
      <c r="E204" s="25" t="s">
        <v>301</v>
      </c>
      <c r="F204" s="53" t="s">
        <v>3812</v>
      </c>
      <c r="G204" s="28">
        <v>0</v>
      </c>
    </row>
    <row r="205" spans="1:7" x14ac:dyDescent="0.35">
      <c r="A205" s="22" t="s">
        <v>2549</v>
      </c>
      <c r="B205" s="22" t="s">
        <v>2550</v>
      </c>
      <c r="C205" s="26">
        <v>45899</v>
      </c>
      <c r="D205" s="25" t="s">
        <v>2817</v>
      </c>
      <c r="E205" s="25" t="s">
        <v>301</v>
      </c>
      <c r="F205" s="53" t="s">
        <v>3812</v>
      </c>
      <c r="G205" s="28">
        <v>0</v>
      </c>
    </row>
    <row r="206" spans="1:7" x14ac:dyDescent="0.35">
      <c r="A206" s="22" t="s">
        <v>2549</v>
      </c>
      <c r="B206" s="22" t="s">
        <v>2550</v>
      </c>
      <c r="C206" s="26">
        <v>45899</v>
      </c>
      <c r="D206" s="25" t="s">
        <v>2818</v>
      </c>
      <c r="E206" s="25" t="s">
        <v>1932</v>
      </c>
      <c r="F206" s="53" t="s">
        <v>3812</v>
      </c>
      <c r="G206" s="28">
        <v>0</v>
      </c>
    </row>
    <row r="207" spans="1:7" x14ac:dyDescent="0.35">
      <c r="A207" s="22" t="s">
        <v>2549</v>
      </c>
      <c r="B207" s="22" t="s">
        <v>2550</v>
      </c>
      <c r="C207" s="26">
        <v>45899</v>
      </c>
      <c r="D207" s="25" t="s">
        <v>2819</v>
      </c>
      <c r="E207" s="25" t="s">
        <v>1932</v>
      </c>
      <c r="F207" s="53" t="s">
        <v>3812</v>
      </c>
      <c r="G207" s="28">
        <v>0</v>
      </c>
    </row>
    <row r="208" spans="1:7" x14ac:dyDescent="0.35">
      <c r="A208" s="22" t="s">
        <v>2549</v>
      </c>
      <c r="B208" s="22" t="s">
        <v>2550</v>
      </c>
      <c r="C208" s="26">
        <v>45899</v>
      </c>
      <c r="D208" s="25" t="s">
        <v>2820</v>
      </c>
      <c r="E208" s="25" t="s">
        <v>1932</v>
      </c>
      <c r="F208" s="53" t="s">
        <v>3812</v>
      </c>
      <c r="G208" s="28">
        <v>0</v>
      </c>
    </row>
    <row r="209" spans="1:7" x14ac:dyDescent="0.35">
      <c r="A209" s="22" t="s">
        <v>2549</v>
      </c>
      <c r="B209" s="22" t="s">
        <v>2550</v>
      </c>
      <c r="C209" s="26">
        <v>45899</v>
      </c>
      <c r="D209" s="25" t="s">
        <v>2821</v>
      </c>
      <c r="E209" s="25" t="s">
        <v>2424</v>
      </c>
      <c r="F209" s="53" t="s">
        <v>3812</v>
      </c>
      <c r="G209" s="28">
        <v>0</v>
      </c>
    </row>
    <row r="210" spans="1:7" x14ac:dyDescent="0.35">
      <c r="A210" s="22" t="s">
        <v>2549</v>
      </c>
      <c r="B210" s="22" t="s">
        <v>2550</v>
      </c>
      <c r="C210" s="26">
        <v>45899</v>
      </c>
      <c r="D210" s="25" t="s">
        <v>2822</v>
      </c>
      <c r="E210" s="25" t="s">
        <v>1782</v>
      </c>
      <c r="F210" s="53" t="s">
        <v>3812</v>
      </c>
      <c r="G210" s="28">
        <v>0</v>
      </c>
    </row>
    <row r="211" spans="1:7" x14ac:dyDescent="0.35">
      <c r="A211" s="22" t="s">
        <v>2549</v>
      </c>
      <c r="B211" s="22" t="s">
        <v>2550</v>
      </c>
      <c r="C211" s="26">
        <v>45899</v>
      </c>
      <c r="D211" s="25" t="s">
        <v>2823</v>
      </c>
      <c r="E211" s="25" t="s">
        <v>1782</v>
      </c>
      <c r="F211" s="53" t="s">
        <v>3812</v>
      </c>
      <c r="G211" s="28">
        <v>0</v>
      </c>
    </row>
    <row r="212" spans="1:7" x14ac:dyDescent="0.35">
      <c r="A212" s="22" t="s">
        <v>2549</v>
      </c>
      <c r="B212" s="22" t="s">
        <v>2550</v>
      </c>
      <c r="C212" s="26">
        <v>45899</v>
      </c>
      <c r="D212" s="25" t="s">
        <v>2824</v>
      </c>
      <c r="E212" s="25" t="s">
        <v>2520</v>
      </c>
      <c r="F212" s="53" t="s">
        <v>3812</v>
      </c>
      <c r="G212" s="28">
        <v>0</v>
      </c>
    </row>
    <row r="213" spans="1:7" x14ac:dyDescent="0.35">
      <c r="A213" s="22" t="s">
        <v>2549</v>
      </c>
      <c r="B213" s="22" t="s">
        <v>2550</v>
      </c>
      <c r="C213" s="26">
        <v>45899</v>
      </c>
      <c r="D213" s="25" t="s">
        <v>2825</v>
      </c>
      <c r="E213" s="25" t="s">
        <v>2520</v>
      </c>
      <c r="F213" s="53" t="s">
        <v>3812</v>
      </c>
      <c r="G213" s="28">
        <v>0</v>
      </c>
    </row>
    <row r="214" spans="1:7" x14ac:dyDescent="0.35">
      <c r="A214" s="22" t="s">
        <v>2549</v>
      </c>
      <c r="B214" s="22" t="s">
        <v>2550</v>
      </c>
      <c r="C214" s="26">
        <v>45899</v>
      </c>
      <c r="D214" s="25">
        <v>34959</v>
      </c>
      <c r="E214" s="25" t="s">
        <v>1283</v>
      </c>
      <c r="F214" s="53" t="s">
        <v>3812</v>
      </c>
      <c r="G214" s="28">
        <v>0</v>
      </c>
    </row>
    <row r="215" spans="1:7" x14ac:dyDescent="0.35">
      <c r="A215" s="22" t="s">
        <v>2549</v>
      </c>
      <c r="B215" s="22" t="s">
        <v>2550</v>
      </c>
      <c r="C215" s="26">
        <v>45899</v>
      </c>
      <c r="D215" s="25" t="s">
        <v>2826</v>
      </c>
      <c r="E215" s="25" t="s">
        <v>2079</v>
      </c>
      <c r="F215" s="53" t="s">
        <v>3812</v>
      </c>
      <c r="G215" s="28">
        <v>0</v>
      </c>
    </row>
    <row r="216" spans="1:7" x14ac:dyDescent="0.35">
      <c r="A216" s="22" t="s">
        <v>2549</v>
      </c>
      <c r="B216" s="22" t="s">
        <v>2550</v>
      </c>
      <c r="C216" s="26">
        <v>45899</v>
      </c>
      <c r="D216" s="25" t="s">
        <v>2827</v>
      </c>
      <c r="E216" s="25" t="s">
        <v>1724</v>
      </c>
      <c r="F216" s="53" t="s">
        <v>3812</v>
      </c>
      <c r="G216" s="28">
        <v>0</v>
      </c>
    </row>
    <row r="217" spans="1:7" x14ac:dyDescent="0.35">
      <c r="A217" s="22" t="s">
        <v>2549</v>
      </c>
      <c r="B217" s="22" t="s">
        <v>2550</v>
      </c>
      <c r="C217" s="26">
        <v>45899</v>
      </c>
      <c r="D217" s="25" t="s">
        <v>2828</v>
      </c>
      <c r="E217" s="25" t="s">
        <v>3132</v>
      </c>
      <c r="F217" s="53" t="s">
        <v>3812</v>
      </c>
      <c r="G217" s="28">
        <v>0</v>
      </c>
    </row>
    <row r="218" spans="1:7" x14ac:dyDescent="0.35">
      <c r="A218" s="22" t="s">
        <v>2549</v>
      </c>
      <c r="B218" s="22" t="s">
        <v>2550</v>
      </c>
      <c r="C218" s="26">
        <v>45899</v>
      </c>
      <c r="D218" s="25" t="s">
        <v>2829</v>
      </c>
      <c r="E218" s="25" t="s">
        <v>1724</v>
      </c>
      <c r="F218" s="53" t="s">
        <v>3812</v>
      </c>
      <c r="G218" s="28">
        <v>0</v>
      </c>
    </row>
    <row r="219" spans="1:7" x14ac:dyDescent="0.35">
      <c r="A219" s="22" t="s">
        <v>2549</v>
      </c>
      <c r="B219" s="22" t="s">
        <v>2550</v>
      </c>
      <c r="C219" s="26">
        <v>45899</v>
      </c>
      <c r="D219" s="25" t="s">
        <v>2830</v>
      </c>
      <c r="E219" s="25" t="s">
        <v>1724</v>
      </c>
      <c r="F219" s="53" t="s">
        <v>3812</v>
      </c>
      <c r="G219" s="28">
        <v>0</v>
      </c>
    </row>
    <row r="220" spans="1:7" x14ac:dyDescent="0.35">
      <c r="A220" s="22" t="s">
        <v>2549</v>
      </c>
      <c r="B220" s="22" t="s">
        <v>2550</v>
      </c>
      <c r="C220" s="26">
        <v>45899</v>
      </c>
      <c r="D220" s="25" t="s">
        <v>2832</v>
      </c>
      <c r="E220" s="25" t="s">
        <v>1608</v>
      </c>
      <c r="F220" s="53" t="s">
        <v>3812</v>
      </c>
      <c r="G220" s="28">
        <v>0</v>
      </c>
    </row>
    <row r="221" spans="1:7" x14ac:dyDescent="0.35">
      <c r="A221" s="22" t="s">
        <v>2549</v>
      </c>
      <c r="B221" s="22" t="s">
        <v>2550</v>
      </c>
      <c r="C221" s="26">
        <v>45899</v>
      </c>
      <c r="D221" s="25" t="s">
        <v>2833</v>
      </c>
      <c r="E221" s="25" t="s">
        <v>3139</v>
      </c>
      <c r="F221" s="53" t="s">
        <v>3812</v>
      </c>
      <c r="G221" s="28">
        <v>0</v>
      </c>
    </row>
    <row r="222" spans="1:7" x14ac:dyDescent="0.35">
      <c r="A222" s="22" t="s">
        <v>2549</v>
      </c>
      <c r="B222" s="22" t="s">
        <v>2550</v>
      </c>
      <c r="C222" s="26">
        <v>45899</v>
      </c>
      <c r="D222" s="25" t="s">
        <v>2834</v>
      </c>
      <c r="E222" s="25" t="s">
        <v>3139</v>
      </c>
      <c r="F222" s="53" t="s">
        <v>3812</v>
      </c>
      <c r="G222" s="28">
        <v>0</v>
      </c>
    </row>
    <row r="223" spans="1:7" x14ac:dyDescent="0.35">
      <c r="A223" s="22" t="s">
        <v>2549</v>
      </c>
      <c r="B223" s="22" t="s">
        <v>2550</v>
      </c>
      <c r="C223" s="26">
        <v>45899</v>
      </c>
      <c r="D223" s="25" t="s">
        <v>2835</v>
      </c>
      <c r="E223" s="25" t="s">
        <v>3144</v>
      </c>
      <c r="F223" s="53" t="s">
        <v>3812</v>
      </c>
      <c r="G223" s="28">
        <v>0</v>
      </c>
    </row>
    <row r="224" spans="1:7" x14ac:dyDescent="0.35">
      <c r="A224" s="22" t="s">
        <v>2549</v>
      </c>
      <c r="B224" s="22" t="s">
        <v>2550</v>
      </c>
      <c r="C224" s="26">
        <v>45899</v>
      </c>
      <c r="D224" s="25" t="s">
        <v>2836</v>
      </c>
      <c r="E224" s="25" t="s">
        <v>3146</v>
      </c>
      <c r="F224" s="53" t="s">
        <v>3812</v>
      </c>
      <c r="G224" s="28">
        <v>267.47000000000003</v>
      </c>
    </row>
    <row r="225" spans="1:7" x14ac:dyDescent="0.35">
      <c r="A225" s="22" t="s">
        <v>2549</v>
      </c>
      <c r="B225" s="22" t="s">
        <v>2550</v>
      </c>
      <c r="C225" s="26">
        <v>45899</v>
      </c>
      <c r="D225" s="25" t="s">
        <v>2837</v>
      </c>
      <c r="E225" s="25" t="s">
        <v>3148</v>
      </c>
      <c r="F225" s="53" t="s">
        <v>3812</v>
      </c>
      <c r="G225" s="28">
        <v>0</v>
      </c>
    </row>
    <row r="226" spans="1:7" x14ac:dyDescent="0.35">
      <c r="A226" s="22" t="s">
        <v>2549</v>
      </c>
      <c r="B226" s="22" t="s">
        <v>2550</v>
      </c>
      <c r="C226" s="26">
        <v>45899</v>
      </c>
      <c r="D226" s="25" t="s">
        <v>2838</v>
      </c>
      <c r="E226" s="25" t="s">
        <v>3150</v>
      </c>
      <c r="F226" s="53" t="s">
        <v>3812</v>
      </c>
      <c r="G226" s="28">
        <v>0</v>
      </c>
    </row>
    <row r="227" spans="1:7" x14ac:dyDescent="0.35">
      <c r="A227" s="22" t="s">
        <v>2549</v>
      </c>
      <c r="B227" s="22" t="s">
        <v>2550</v>
      </c>
      <c r="C227" s="26">
        <v>45899</v>
      </c>
      <c r="D227" s="25" t="s">
        <v>2839</v>
      </c>
      <c r="E227" s="25" t="s">
        <v>3153</v>
      </c>
      <c r="F227" s="53" t="s">
        <v>3812</v>
      </c>
      <c r="G227" s="28">
        <v>0</v>
      </c>
    </row>
    <row r="228" spans="1:7" x14ac:dyDescent="0.35">
      <c r="A228" s="22" t="s">
        <v>2549</v>
      </c>
      <c r="B228" s="22" t="s">
        <v>2550</v>
      </c>
      <c r="C228" s="26">
        <v>45899</v>
      </c>
      <c r="D228" s="25" t="s">
        <v>2840</v>
      </c>
      <c r="E228" s="25" t="s">
        <v>3154</v>
      </c>
      <c r="F228" s="53" t="s">
        <v>3812</v>
      </c>
      <c r="G228" s="28">
        <v>0</v>
      </c>
    </row>
    <row r="229" spans="1:7" x14ac:dyDescent="0.35">
      <c r="A229" s="22" t="s">
        <v>2549</v>
      </c>
      <c r="B229" s="22" t="s">
        <v>2550</v>
      </c>
      <c r="C229" s="26">
        <v>45899</v>
      </c>
      <c r="D229" s="25" t="s">
        <v>2841</v>
      </c>
      <c r="E229" s="25" t="s">
        <v>1920</v>
      </c>
      <c r="F229" s="53" t="s">
        <v>3812</v>
      </c>
      <c r="G229" s="28">
        <v>0</v>
      </c>
    </row>
    <row r="230" spans="1:7" x14ac:dyDescent="0.35">
      <c r="A230" s="22" t="s">
        <v>2549</v>
      </c>
      <c r="B230" s="22" t="s">
        <v>2550</v>
      </c>
      <c r="C230" s="26">
        <v>45899</v>
      </c>
      <c r="D230" s="25" t="s">
        <v>2842</v>
      </c>
      <c r="E230" s="25" t="s">
        <v>1920</v>
      </c>
      <c r="F230" s="53" t="s">
        <v>3812</v>
      </c>
      <c r="G230" s="28">
        <v>0</v>
      </c>
    </row>
    <row r="231" spans="1:7" x14ac:dyDescent="0.35">
      <c r="A231" s="22" t="s">
        <v>2549</v>
      </c>
      <c r="B231" s="22" t="s">
        <v>2550</v>
      </c>
      <c r="C231" s="26">
        <v>45899</v>
      </c>
      <c r="D231" s="25" t="s">
        <v>2843</v>
      </c>
      <c r="E231" s="25" t="s">
        <v>1920</v>
      </c>
      <c r="F231" s="53" t="s">
        <v>3812</v>
      </c>
      <c r="G231" s="28">
        <v>10.48</v>
      </c>
    </row>
    <row r="232" spans="1:7" x14ac:dyDescent="0.35">
      <c r="A232" s="22" t="s">
        <v>2549</v>
      </c>
      <c r="B232" s="22" t="s">
        <v>2550</v>
      </c>
      <c r="C232" s="26">
        <v>45899</v>
      </c>
      <c r="D232" s="25" t="s">
        <v>2844</v>
      </c>
      <c r="E232" s="25" t="s">
        <v>1920</v>
      </c>
      <c r="F232" s="53" t="s">
        <v>3812</v>
      </c>
      <c r="G232" s="28">
        <v>0</v>
      </c>
    </row>
    <row r="233" spans="1:7" x14ac:dyDescent="0.35">
      <c r="A233" s="22" t="s">
        <v>2549</v>
      </c>
      <c r="B233" s="22" t="s">
        <v>2550</v>
      </c>
      <c r="C233" s="26">
        <v>45899</v>
      </c>
      <c r="D233" s="25" t="s">
        <v>2845</v>
      </c>
      <c r="E233" s="25" t="s">
        <v>1920</v>
      </c>
      <c r="F233" s="53" t="s">
        <v>3812</v>
      </c>
      <c r="G233" s="28">
        <v>0</v>
      </c>
    </row>
    <row r="234" spans="1:7" x14ac:dyDescent="0.35">
      <c r="A234" s="22" t="s">
        <v>2549</v>
      </c>
      <c r="B234" s="22" t="s">
        <v>2550</v>
      </c>
      <c r="C234" s="26">
        <v>45899</v>
      </c>
      <c r="D234" s="25" t="s">
        <v>2847</v>
      </c>
      <c r="E234" s="25" t="s">
        <v>1920</v>
      </c>
      <c r="F234" s="53" t="s">
        <v>3812</v>
      </c>
      <c r="G234" s="28">
        <v>0</v>
      </c>
    </row>
    <row r="235" spans="1:7" x14ac:dyDescent="0.35">
      <c r="A235" s="22" t="s">
        <v>2549</v>
      </c>
      <c r="B235" s="22" t="s">
        <v>2550</v>
      </c>
      <c r="C235" s="26">
        <v>45899</v>
      </c>
      <c r="D235" s="25" t="s">
        <v>2848</v>
      </c>
      <c r="E235" s="25" t="s">
        <v>301</v>
      </c>
      <c r="F235" s="53" t="s">
        <v>3812</v>
      </c>
      <c r="G235" s="28">
        <v>0</v>
      </c>
    </row>
    <row r="236" spans="1:7" x14ac:dyDescent="0.35">
      <c r="A236" s="22" t="s">
        <v>2549</v>
      </c>
      <c r="B236" s="22" t="s">
        <v>2550</v>
      </c>
      <c r="C236" s="26">
        <v>45899</v>
      </c>
      <c r="D236" s="25" t="s">
        <v>2849</v>
      </c>
      <c r="E236" s="25" t="s">
        <v>301</v>
      </c>
      <c r="F236" s="53" t="s">
        <v>3812</v>
      </c>
      <c r="G236" s="28">
        <v>0</v>
      </c>
    </row>
    <row r="237" spans="1:7" x14ac:dyDescent="0.35">
      <c r="A237" s="22" t="s">
        <v>2549</v>
      </c>
      <c r="B237" s="22" t="s">
        <v>2550</v>
      </c>
      <c r="C237" s="26">
        <v>45899</v>
      </c>
      <c r="D237" s="25" t="s">
        <v>2850</v>
      </c>
      <c r="E237" s="25" t="s">
        <v>1782</v>
      </c>
      <c r="F237" s="53" t="s">
        <v>3812</v>
      </c>
      <c r="G237" s="28">
        <v>2201.64</v>
      </c>
    </row>
    <row r="238" spans="1:7" x14ac:dyDescent="0.35">
      <c r="A238" s="22" t="s">
        <v>2549</v>
      </c>
      <c r="B238" s="22" t="s">
        <v>2550</v>
      </c>
      <c r="C238" s="26">
        <v>45899</v>
      </c>
      <c r="D238" s="25" t="s">
        <v>2851</v>
      </c>
      <c r="E238" s="25" t="s">
        <v>1223</v>
      </c>
      <c r="F238" s="53" t="s">
        <v>3812</v>
      </c>
      <c r="G238" s="28">
        <v>0</v>
      </c>
    </row>
    <row r="239" spans="1:7" x14ac:dyDescent="0.35">
      <c r="A239" s="22" t="s">
        <v>2549</v>
      </c>
      <c r="B239" s="22" t="s">
        <v>2550</v>
      </c>
      <c r="C239" s="26">
        <v>45899</v>
      </c>
      <c r="D239" s="25" t="s">
        <v>2852</v>
      </c>
      <c r="E239" s="25" t="s">
        <v>1035</v>
      </c>
      <c r="F239" s="53" t="s">
        <v>3812</v>
      </c>
      <c r="G239" s="28">
        <v>0</v>
      </c>
    </row>
    <row r="240" spans="1:7" x14ac:dyDescent="0.35">
      <c r="A240" s="22" t="s">
        <v>2549</v>
      </c>
      <c r="B240" s="22" t="s">
        <v>2550</v>
      </c>
      <c r="C240" s="26">
        <v>45899</v>
      </c>
      <c r="D240" s="25" t="s">
        <v>2853</v>
      </c>
      <c r="E240" s="25" t="s">
        <v>1035</v>
      </c>
      <c r="F240" s="53" t="s">
        <v>3812</v>
      </c>
      <c r="G240" s="28">
        <v>0</v>
      </c>
    </row>
    <row r="241" spans="1:7" x14ac:dyDescent="0.35">
      <c r="A241" s="22" t="s">
        <v>2549</v>
      </c>
      <c r="B241" s="22" t="s">
        <v>2550</v>
      </c>
      <c r="C241" s="26">
        <v>45899</v>
      </c>
      <c r="D241" s="25" t="s">
        <v>2855</v>
      </c>
      <c r="E241" s="25" t="s">
        <v>1343</v>
      </c>
      <c r="F241" s="53" t="s">
        <v>3812</v>
      </c>
      <c r="G241" s="28">
        <v>0</v>
      </c>
    </row>
    <row r="242" spans="1:7" x14ac:dyDescent="0.35">
      <c r="A242" s="22" t="s">
        <v>2549</v>
      </c>
      <c r="B242" s="22" t="s">
        <v>2550</v>
      </c>
      <c r="C242" s="26">
        <v>45899</v>
      </c>
      <c r="D242" s="25" t="s">
        <v>2856</v>
      </c>
      <c r="E242" s="25" t="s">
        <v>1343</v>
      </c>
      <c r="F242" s="53" t="s">
        <v>3812</v>
      </c>
      <c r="G242" s="28">
        <v>0</v>
      </c>
    </row>
    <row r="243" spans="1:7" x14ac:dyDescent="0.35">
      <c r="A243" s="22" t="s">
        <v>2549</v>
      </c>
      <c r="B243" s="22" t="s">
        <v>2550</v>
      </c>
      <c r="C243" s="26">
        <v>45899</v>
      </c>
      <c r="D243" s="25" t="s">
        <v>2857</v>
      </c>
      <c r="E243" s="25" t="s">
        <v>1343</v>
      </c>
      <c r="F243" s="53" t="s">
        <v>3812</v>
      </c>
      <c r="G243" s="28">
        <v>0</v>
      </c>
    </row>
    <row r="244" spans="1:7" x14ac:dyDescent="0.35">
      <c r="A244" s="22" t="s">
        <v>2549</v>
      </c>
      <c r="B244" s="22" t="s">
        <v>2550</v>
      </c>
      <c r="C244" s="26">
        <v>45899</v>
      </c>
      <c r="D244" s="25" t="s">
        <v>2858</v>
      </c>
      <c r="E244" s="25" t="s">
        <v>1223</v>
      </c>
      <c r="F244" s="53" t="s">
        <v>3812</v>
      </c>
      <c r="G244" s="28">
        <v>0</v>
      </c>
    </row>
    <row r="245" spans="1:7" x14ac:dyDescent="0.35">
      <c r="A245" s="22" t="s">
        <v>2549</v>
      </c>
      <c r="B245" s="22" t="s">
        <v>2550</v>
      </c>
      <c r="C245" s="26">
        <v>45899</v>
      </c>
      <c r="D245" s="25" t="s">
        <v>2859</v>
      </c>
      <c r="E245" s="25" t="s">
        <v>1223</v>
      </c>
      <c r="F245" s="53" t="s">
        <v>3812</v>
      </c>
      <c r="G245" s="28">
        <v>0</v>
      </c>
    </row>
    <row r="246" spans="1:7" x14ac:dyDescent="0.35">
      <c r="A246" s="22" t="s">
        <v>2549</v>
      </c>
      <c r="B246" s="22" t="s">
        <v>2550</v>
      </c>
      <c r="C246" s="26">
        <v>45899</v>
      </c>
      <c r="D246" s="25" t="s">
        <v>2860</v>
      </c>
      <c r="E246" s="25" t="s">
        <v>1663</v>
      </c>
      <c r="F246" s="53" t="s">
        <v>3812</v>
      </c>
      <c r="G246" s="28">
        <v>0</v>
      </c>
    </row>
    <row r="247" spans="1:7" x14ac:dyDescent="0.35">
      <c r="A247" s="22" t="s">
        <v>2549</v>
      </c>
      <c r="B247" s="22" t="s">
        <v>2550</v>
      </c>
      <c r="C247" s="26">
        <v>45899</v>
      </c>
      <c r="D247" s="25" t="s">
        <v>2861</v>
      </c>
      <c r="E247" s="25" t="s">
        <v>1663</v>
      </c>
      <c r="F247" s="53" t="s">
        <v>3812</v>
      </c>
      <c r="G247" s="28">
        <v>0</v>
      </c>
    </row>
    <row r="248" spans="1:7" x14ac:dyDescent="0.35">
      <c r="A248" s="22" t="s">
        <v>2549</v>
      </c>
      <c r="B248" s="22" t="s">
        <v>2550</v>
      </c>
      <c r="C248" s="26">
        <v>45899</v>
      </c>
      <c r="D248" s="25" t="s">
        <v>2862</v>
      </c>
      <c r="E248" s="25" t="s">
        <v>1757</v>
      </c>
      <c r="F248" s="53" t="s">
        <v>3812</v>
      </c>
      <c r="G248" s="28">
        <v>0</v>
      </c>
    </row>
    <row r="249" spans="1:7" x14ac:dyDescent="0.35">
      <c r="A249" s="22" t="s">
        <v>2549</v>
      </c>
      <c r="B249" s="22" t="s">
        <v>2550</v>
      </c>
      <c r="C249" s="26">
        <v>45899</v>
      </c>
      <c r="D249" s="25" t="s">
        <v>2863</v>
      </c>
      <c r="E249" s="25" t="s">
        <v>1757</v>
      </c>
      <c r="F249" s="53" t="s">
        <v>3812</v>
      </c>
      <c r="G249" s="28">
        <v>0</v>
      </c>
    </row>
    <row r="250" spans="1:7" x14ac:dyDescent="0.35">
      <c r="A250" s="22" t="s">
        <v>2549</v>
      </c>
      <c r="B250" s="22" t="s">
        <v>2550</v>
      </c>
      <c r="C250" s="26">
        <v>45899</v>
      </c>
      <c r="D250" s="25" t="s">
        <v>2864</v>
      </c>
      <c r="E250" s="25" t="s">
        <v>1757</v>
      </c>
      <c r="F250" s="53" t="s">
        <v>3812</v>
      </c>
      <c r="G250" s="28">
        <v>0</v>
      </c>
    </row>
    <row r="251" spans="1:7" x14ac:dyDescent="0.35">
      <c r="A251" s="22" t="s">
        <v>2549</v>
      </c>
      <c r="B251" s="22" t="s">
        <v>2550</v>
      </c>
      <c r="C251" s="26">
        <v>45899</v>
      </c>
      <c r="D251" s="25" t="s">
        <v>2865</v>
      </c>
      <c r="E251" s="25" t="s">
        <v>1757</v>
      </c>
      <c r="F251" s="53" t="s">
        <v>3812</v>
      </c>
      <c r="G251" s="28">
        <v>0</v>
      </c>
    </row>
    <row r="252" spans="1:7" x14ac:dyDescent="0.35">
      <c r="A252" s="22" t="s">
        <v>2549</v>
      </c>
      <c r="B252" s="22" t="s">
        <v>2550</v>
      </c>
      <c r="C252" s="26">
        <v>45899</v>
      </c>
      <c r="D252" s="25" t="s">
        <v>2866</v>
      </c>
      <c r="E252" s="25" t="s">
        <v>1757</v>
      </c>
      <c r="F252" s="53" t="s">
        <v>3812</v>
      </c>
      <c r="G252" s="28">
        <v>0</v>
      </c>
    </row>
    <row r="253" spans="1:7" x14ac:dyDescent="0.35">
      <c r="A253" s="22" t="s">
        <v>2549</v>
      </c>
      <c r="B253" s="22" t="s">
        <v>2550</v>
      </c>
      <c r="C253" s="26">
        <v>45899</v>
      </c>
      <c r="D253" s="25" t="s">
        <v>2867</v>
      </c>
      <c r="E253" s="25" t="s">
        <v>1757</v>
      </c>
      <c r="F253" s="53" t="s">
        <v>3812</v>
      </c>
      <c r="G253" s="28">
        <v>0</v>
      </c>
    </row>
    <row r="254" spans="1:7" x14ac:dyDescent="0.35">
      <c r="A254" s="22" t="s">
        <v>2549</v>
      </c>
      <c r="B254" s="22" t="s">
        <v>2550</v>
      </c>
      <c r="C254" s="26">
        <v>45899</v>
      </c>
      <c r="D254" s="25" t="s">
        <v>2868</v>
      </c>
      <c r="E254" s="25" t="s">
        <v>3212</v>
      </c>
      <c r="F254" s="53" t="s">
        <v>3812</v>
      </c>
      <c r="G254" s="28">
        <v>0</v>
      </c>
    </row>
    <row r="255" spans="1:7" x14ac:dyDescent="0.35">
      <c r="A255" s="22" t="s">
        <v>2549</v>
      </c>
      <c r="B255" s="22" t="s">
        <v>2550</v>
      </c>
      <c r="C255" s="26">
        <v>45899</v>
      </c>
      <c r="D255" s="25" t="s">
        <v>2869</v>
      </c>
      <c r="E255" s="25" t="s">
        <v>3218</v>
      </c>
      <c r="F255" s="53" t="s">
        <v>3812</v>
      </c>
      <c r="G255" s="28">
        <v>0</v>
      </c>
    </row>
    <row r="256" spans="1:7" x14ac:dyDescent="0.35">
      <c r="A256" s="22" t="s">
        <v>2549</v>
      </c>
      <c r="B256" s="22" t="s">
        <v>2550</v>
      </c>
      <c r="C256" s="26">
        <v>45899</v>
      </c>
      <c r="D256" s="25" t="s">
        <v>2870</v>
      </c>
      <c r="E256" s="25" t="s">
        <v>3218</v>
      </c>
      <c r="F256" s="53" t="s">
        <v>3812</v>
      </c>
      <c r="G256" s="28">
        <v>0</v>
      </c>
    </row>
    <row r="257" spans="1:7" x14ac:dyDescent="0.35">
      <c r="A257" s="22" t="s">
        <v>2549</v>
      </c>
      <c r="B257" s="22" t="s">
        <v>2550</v>
      </c>
      <c r="C257" s="26">
        <v>45899</v>
      </c>
      <c r="D257" s="25" t="s">
        <v>2871</v>
      </c>
      <c r="E257" s="25" t="s">
        <v>2926</v>
      </c>
      <c r="F257" s="53" t="s">
        <v>3812</v>
      </c>
      <c r="G257" s="28">
        <v>0</v>
      </c>
    </row>
    <row r="258" spans="1:7" x14ac:dyDescent="0.35">
      <c r="A258" s="22" t="s">
        <v>2549</v>
      </c>
      <c r="B258" s="22" t="s">
        <v>2550</v>
      </c>
      <c r="C258" s="26">
        <v>45899</v>
      </c>
      <c r="D258" s="25" t="s">
        <v>2872</v>
      </c>
      <c r="E258" s="25" t="s">
        <v>2514</v>
      </c>
      <c r="F258" s="53" t="s">
        <v>3812</v>
      </c>
      <c r="G258" s="28">
        <v>0</v>
      </c>
    </row>
    <row r="259" spans="1:7" x14ac:dyDescent="0.35">
      <c r="A259" s="22" t="s">
        <v>2549</v>
      </c>
      <c r="B259" s="22" t="s">
        <v>2550</v>
      </c>
      <c r="C259" s="26">
        <v>45899</v>
      </c>
      <c r="D259" s="25" t="s">
        <v>2873</v>
      </c>
      <c r="E259" s="25" t="s">
        <v>1035</v>
      </c>
      <c r="F259" s="53" t="s">
        <v>3812</v>
      </c>
      <c r="G259" s="28">
        <v>0</v>
      </c>
    </row>
    <row r="260" spans="1:7" x14ac:dyDescent="0.35">
      <c r="A260" s="22" t="s">
        <v>2549</v>
      </c>
      <c r="B260" s="22" t="s">
        <v>2550</v>
      </c>
      <c r="C260" s="26">
        <v>45899</v>
      </c>
      <c r="D260" s="25" t="s">
        <v>2874</v>
      </c>
      <c r="E260" s="25" t="s">
        <v>1035</v>
      </c>
      <c r="F260" s="53" t="s">
        <v>3812</v>
      </c>
      <c r="G260" s="28">
        <v>0</v>
      </c>
    </row>
    <row r="261" spans="1:7" x14ac:dyDescent="0.35">
      <c r="A261" s="22" t="s">
        <v>2549</v>
      </c>
      <c r="B261" s="22" t="s">
        <v>2550</v>
      </c>
      <c r="C261" s="26">
        <v>45899</v>
      </c>
      <c r="D261" s="25" t="s">
        <v>2875</v>
      </c>
      <c r="E261" s="25" t="s">
        <v>1035</v>
      </c>
      <c r="F261" s="53" t="s">
        <v>3812</v>
      </c>
      <c r="G261" s="28">
        <v>0</v>
      </c>
    </row>
    <row r="262" spans="1:7" x14ac:dyDescent="0.35">
      <c r="A262" s="22" t="s">
        <v>2549</v>
      </c>
      <c r="B262" s="22" t="s">
        <v>2550</v>
      </c>
      <c r="C262" s="26">
        <v>45899</v>
      </c>
      <c r="D262" s="25" t="s">
        <v>2876</v>
      </c>
      <c r="E262" s="25" t="s">
        <v>1035</v>
      </c>
      <c r="F262" s="53" t="s">
        <v>3812</v>
      </c>
      <c r="G262" s="28">
        <v>7.63</v>
      </c>
    </row>
    <row r="263" spans="1:7" x14ac:dyDescent="0.35">
      <c r="A263" s="22" t="s">
        <v>2549</v>
      </c>
      <c r="B263" s="22" t="s">
        <v>2550</v>
      </c>
      <c r="C263" s="26">
        <v>45899</v>
      </c>
      <c r="D263" s="25" t="s">
        <v>2877</v>
      </c>
      <c r="E263" s="25" t="s">
        <v>1035</v>
      </c>
      <c r="F263" s="53" t="s">
        <v>3812</v>
      </c>
      <c r="G263" s="28">
        <v>0</v>
      </c>
    </row>
    <row r="264" spans="1:7" x14ac:dyDescent="0.35">
      <c r="A264" s="22" t="s">
        <v>2549</v>
      </c>
      <c r="B264" s="22" t="s">
        <v>2550</v>
      </c>
      <c r="C264" s="26">
        <v>45899</v>
      </c>
      <c r="D264" s="25" t="s">
        <v>2878</v>
      </c>
      <c r="E264" s="25" t="s">
        <v>1035</v>
      </c>
      <c r="F264" s="53" t="s">
        <v>3812</v>
      </c>
      <c r="G264" s="28">
        <v>0</v>
      </c>
    </row>
    <row r="265" spans="1:7" x14ac:dyDescent="0.35">
      <c r="A265" s="22" t="s">
        <v>2549</v>
      </c>
      <c r="B265" s="22" t="s">
        <v>2550</v>
      </c>
      <c r="C265" s="26">
        <v>45899</v>
      </c>
      <c r="D265" s="25" t="s">
        <v>2879</v>
      </c>
      <c r="E265" s="25" t="s">
        <v>1035</v>
      </c>
      <c r="F265" s="53" t="s">
        <v>3812</v>
      </c>
      <c r="G265" s="28">
        <v>0</v>
      </c>
    </row>
    <row r="266" spans="1:7" x14ac:dyDescent="0.35">
      <c r="A266" s="22" t="s">
        <v>2549</v>
      </c>
      <c r="B266" s="22" t="s">
        <v>2550</v>
      </c>
      <c r="C266" s="26">
        <v>45899</v>
      </c>
      <c r="D266" s="25" t="s">
        <v>2880</v>
      </c>
      <c r="E266" s="25" t="s">
        <v>1035</v>
      </c>
      <c r="F266" s="53" t="s">
        <v>3812</v>
      </c>
      <c r="G266" s="28">
        <v>0</v>
      </c>
    </row>
    <row r="267" spans="1:7" x14ac:dyDescent="0.35">
      <c r="A267" s="22" t="s">
        <v>2549</v>
      </c>
      <c r="B267" s="22" t="s">
        <v>2550</v>
      </c>
      <c r="C267" s="26">
        <v>45899</v>
      </c>
      <c r="D267" s="25" t="s">
        <v>2881</v>
      </c>
      <c r="E267" s="25" t="s">
        <v>1035</v>
      </c>
      <c r="F267" s="53" t="s">
        <v>3812</v>
      </c>
      <c r="G267" s="28">
        <v>0</v>
      </c>
    </row>
    <row r="268" spans="1:7" x14ac:dyDescent="0.35">
      <c r="A268" s="22" t="s">
        <v>2549</v>
      </c>
      <c r="B268" s="22" t="s">
        <v>2550</v>
      </c>
      <c r="C268" s="26">
        <v>45899</v>
      </c>
      <c r="D268" s="25" t="s">
        <v>2882</v>
      </c>
      <c r="E268" s="25" t="s">
        <v>3230</v>
      </c>
      <c r="F268" s="53" t="s">
        <v>3812</v>
      </c>
      <c r="G268" s="28">
        <v>0</v>
      </c>
    </row>
    <row r="269" spans="1:7" x14ac:dyDescent="0.35">
      <c r="A269" s="22" t="s">
        <v>2549</v>
      </c>
      <c r="B269" s="22" t="s">
        <v>2550</v>
      </c>
      <c r="C269" s="26">
        <v>45899</v>
      </c>
      <c r="D269" s="25" t="s">
        <v>2883</v>
      </c>
      <c r="E269" s="25" t="s">
        <v>2144</v>
      </c>
      <c r="F269" s="53" t="s">
        <v>3812</v>
      </c>
      <c r="G269" s="28">
        <v>0</v>
      </c>
    </row>
    <row r="270" spans="1:7" x14ac:dyDescent="0.35">
      <c r="A270" s="22" t="s">
        <v>2549</v>
      </c>
      <c r="B270" s="22" t="s">
        <v>2550</v>
      </c>
      <c r="C270" s="26">
        <v>45899</v>
      </c>
      <c r="D270" s="25" t="s">
        <v>2884</v>
      </c>
      <c r="E270" s="25" t="s">
        <v>2144</v>
      </c>
      <c r="F270" s="53" t="s">
        <v>3812</v>
      </c>
      <c r="G270" s="28">
        <v>0</v>
      </c>
    </row>
    <row r="271" spans="1:7" x14ac:dyDescent="0.35">
      <c r="A271" s="22" t="s">
        <v>2549</v>
      </c>
      <c r="B271" s="22" t="s">
        <v>2550</v>
      </c>
      <c r="C271" s="26">
        <v>45899</v>
      </c>
      <c r="D271" s="25" t="s">
        <v>2885</v>
      </c>
      <c r="E271" s="25" t="s">
        <v>2144</v>
      </c>
      <c r="F271" s="53" t="s">
        <v>3812</v>
      </c>
      <c r="G271" s="28">
        <v>0</v>
      </c>
    </row>
    <row r="272" spans="1:7" x14ac:dyDescent="0.35">
      <c r="A272" s="22" t="s">
        <v>2549</v>
      </c>
      <c r="B272" s="22" t="s">
        <v>2550</v>
      </c>
      <c r="C272" s="26">
        <v>45899</v>
      </c>
      <c r="D272" s="25" t="s">
        <v>2886</v>
      </c>
      <c r="E272" s="25" t="s">
        <v>2144</v>
      </c>
      <c r="F272" s="53" t="s">
        <v>3812</v>
      </c>
      <c r="G272" s="28">
        <v>0</v>
      </c>
    </row>
    <row r="273" spans="1:7" x14ac:dyDescent="0.35">
      <c r="A273" s="22" t="s">
        <v>2549</v>
      </c>
      <c r="B273" s="22" t="s">
        <v>2550</v>
      </c>
      <c r="C273" s="26">
        <v>45899</v>
      </c>
      <c r="D273" s="25" t="s">
        <v>2887</v>
      </c>
      <c r="E273" s="25" t="s">
        <v>2144</v>
      </c>
      <c r="F273" s="53" t="s">
        <v>3812</v>
      </c>
      <c r="G273" s="28">
        <v>0</v>
      </c>
    </row>
    <row r="274" spans="1:7" x14ac:dyDescent="0.35">
      <c r="A274" s="22" t="s">
        <v>2549</v>
      </c>
      <c r="B274" s="22" t="s">
        <v>2550</v>
      </c>
      <c r="C274" s="26">
        <v>45899</v>
      </c>
      <c r="D274" s="25" t="s">
        <v>2888</v>
      </c>
      <c r="E274" s="25" t="s">
        <v>2539</v>
      </c>
      <c r="F274" s="53" t="s">
        <v>3812</v>
      </c>
      <c r="G274" s="28">
        <v>0</v>
      </c>
    </row>
    <row r="275" spans="1:7" x14ac:dyDescent="0.35">
      <c r="A275" s="22" t="s">
        <v>2549</v>
      </c>
      <c r="B275" s="22" t="s">
        <v>2550</v>
      </c>
      <c r="C275" s="26">
        <v>45899</v>
      </c>
      <c r="D275" s="25" t="s">
        <v>2889</v>
      </c>
      <c r="E275" s="25" t="s">
        <v>2539</v>
      </c>
      <c r="F275" s="53" t="s">
        <v>3812</v>
      </c>
      <c r="G275" s="28">
        <v>0</v>
      </c>
    </row>
    <row r="276" spans="1:7" x14ac:dyDescent="0.35">
      <c r="A276" s="22" t="s">
        <v>2549</v>
      </c>
      <c r="B276" s="22" t="s">
        <v>2550</v>
      </c>
      <c r="C276" s="26">
        <v>45899</v>
      </c>
      <c r="D276" s="25" t="s">
        <v>2890</v>
      </c>
      <c r="E276" s="25" t="s">
        <v>2539</v>
      </c>
      <c r="F276" s="53" t="s">
        <v>3812</v>
      </c>
      <c r="G276" s="28">
        <v>0</v>
      </c>
    </row>
    <row r="277" spans="1:7" x14ac:dyDescent="0.35">
      <c r="A277" s="22" t="s">
        <v>2549</v>
      </c>
      <c r="B277" s="22" t="s">
        <v>2550</v>
      </c>
      <c r="C277" s="26">
        <v>45899</v>
      </c>
      <c r="D277" s="25" t="s">
        <v>2891</v>
      </c>
      <c r="E277" s="25" t="s">
        <v>1071</v>
      </c>
      <c r="F277" s="53" t="s">
        <v>3812</v>
      </c>
      <c r="G277" s="28">
        <v>0</v>
      </c>
    </row>
    <row r="278" spans="1:7" x14ac:dyDescent="0.35">
      <c r="A278" s="22" t="s">
        <v>2549</v>
      </c>
      <c r="B278" s="22" t="s">
        <v>2550</v>
      </c>
      <c r="C278" s="26">
        <v>45899</v>
      </c>
      <c r="D278" s="25" t="s">
        <v>2893</v>
      </c>
      <c r="E278" s="25" t="s">
        <v>1060</v>
      </c>
      <c r="F278" s="53" t="s">
        <v>3812</v>
      </c>
      <c r="G278" s="28">
        <v>0</v>
      </c>
    </row>
    <row r="279" spans="1:7" x14ac:dyDescent="0.35">
      <c r="A279" s="22" t="s">
        <v>2549</v>
      </c>
      <c r="B279" s="22" t="s">
        <v>2550</v>
      </c>
      <c r="C279" s="26">
        <v>45899</v>
      </c>
      <c r="D279" s="25" t="s">
        <v>2895</v>
      </c>
      <c r="E279" s="25" t="s">
        <v>2144</v>
      </c>
      <c r="F279" s="53" t="s">
        <v>3812</v>
      </c>
      <c r="G279" s="28">
        <v>0</v>
      </c>
    </row>
    <row r="280" spans="1:7" x14ac:dyDescent="0.35">
      <c r="A280" s="22" t="s">
        <v>2549</v>
      </c>
      <c r="B280" s="22" t="s">
        <v>2550</v>
      </c>
      <c r="C280" s="26">
        <v>45899</v>
      </c>
      <c r="D280" s="25" t="s">
        <v>2896</v>
      </c>
      <c r="E280" s="25" t="s">
        <v>1060</v>
      </c>
      <c r="F280" s="53" t="s">
        <v>3812</v>
      </c>
      <c r="G280" s="28">
        <v>0</v>
      </c>
    </row>
    <row r="281" spans="1:7" x14ac:dyDescent="0.35">
      <c r="A281" s="22" t="s">
        <v>2549</v>
      </c>
      <c r="B281" s="22" t="s">
        <v>2550</v>
      </c>
      <c r="C281" s="26">
        <v>45899</v>
      </c>
      <c r="D281" s="25" t="s">
        <v>2897</v>
      </c>
      <c r="E281" s="25" t="s">
        <v>1999</v>
      </c>
      <c r="F281" s="53" t="s">
        <v>3812</v>
      </c>
      <c r="G281" s="28">
        <v>0</v>
      </c>
    </row>
    <row r="282" spans="1:7" x14ac:dyDescent="0.35">
      <c r="A282" s="22" t="s">
        <v>2549</v>
      </c>
      <c r="B282" s="22" t="s">
        <v>2550</v>
      </c>
      <c r="C282" s="26">
        <v>45899</v>
      </c>
      <c r="D282" s="25" t="s">
        <v>2898</v>
      </c>
      <c r="E282" s="25" t="s">
        <v>1999</v>
      </c>
      <c r="F282" s="53" t="s">
        <v>3812</v>
      </c>
      <c r="G282" s="28">
        <v>0</v>
      </c>
    </row>
    <row r="283" spans="1:7" x14ac:dyDescent="0.35">
      <c r="A283" s="22" t="s">
        <v>2549</v>
      </c>
      <c r="B283" s="22" t="s">
        <v>2550</v>
      </c>
      <c r="C283" s="26">
        <v>45899</v>
      </c>
      <c r="D283" s="25" t="s">
        <v>2899</v>
      </c>
      <c r="E283" s="25" t="s">
        <v>1999</v>
      </c>
      <c r="F283" s="53" t="s">
        <v>3812</v>
      </c>
      <c r="G283" s="28">
        <v>0</v>
      </c>
    </row>
    <row r="284" spans="1:7" x14ac:dyDescent="0.35">
      <c r="A284" s="22" t="s">
        <v>2549</v>
      </c>
      <c r="B284" s="22" t="s">
        <v>2550</v>
      </c>
      <c r="C284" s="26">
        <v>45899</v>
      </c>
      <c r="D284" s="25" t="s">
        <v>2900</v>
      </c>
      <c r="E284" s="25" t="s">
        <v>2396</v>
      </c>
      <c r="F284" s="53" t="s">
        <v>3812</v>
      </c>
      <c r="G284" s="28">
        <v>107465.38</v>
      </c>
    </row>
    <row r="285" spans="1:7" x14ac:dyDescent="0.35">
      <c r="A285" s="22" t="s">
        <v>2549</v>
      </c>
      <c r="B285" s="22" t="s">
        <v>2550</v>
      </c>
      <c r="C285" s="26">
        <v>45899</v>
      </c>
      <c r="D285" s="25" t="s">
        <v>2901</v>
      </c>
      <c r="E285" s="25" t="s">
        <v>2348</v>
      </c>
      <c r="F285" s="53" t="s">
        <v>3812</v>
      </c>
      <c r="G285" s="28">
        <v>0</v>
      </c>
    </row>
    <row r="286" spans="1:7" x14ac:dyDescent="0.35">
      <c r="A286" s="22" t="s">
        <v>2549</v>
      </c>
      <c r="B286" s="22" t="s">
        <v>2550</v>
      </c>
      <c r="C286" s="26">
        <v>45899</v>
      </c>
      <c r="D286" s="25" t="s">
        <v>2902</v>
      </c>
      <c r="E286" s="25" t="s">
        <v>1475</v>
      </c>
      <c r="F286" s="53" t="s">
        <v>3812</v>
      </c>
      <c r="G286" s="28">
        <v>571.46</v>
      </c>
    </row>
    <row r="287" spans="1:7" x14ac:dyDescent="0.35">
      <c r="A287" s="22" t="s">
        <v>2549</v>
      </c>
      <c r="B287" s="22" t="s">
        <v>2550</v>
      </c>
      <c r="C287" s="26">
        <v>45899</v>
      </c>
      <c r="D287" s="25" t="s">
        <v>2903</v>
      </c>
      <c r="E287" s="25" t="s">
        <v>1475</v>
      </c>
      <c r="F287" s="53" t="s">
        <v>3812</v>
      </c>
      <c r="G287" s="28">
        <v>0</v>
      </c>
    </row>
    <row r="288" spans="1:7" x14ac:dyDescent="0.35">
      <c r="A288" s="22" t="s">
        <v>2549</v>
      </c>
      <c r="B288" s="22" t="s">
        <v>2550</v>
      </c>
      <c r="C288" s="26">
        <v>45899</v>
      </c>
      <c r="D288" s="25" t="s">
        <v>2905</v>
      </c>
      <c r="E288" s="25" t="s">
        <v>1475</v>
      </c>
      <c r="F288" s="53" t="s">
        <v>3812</v>
      </c>
      <c r="G288" s="28">
        <v>1700.81</v>
      </c>
    </row>
    <row r="289" spans="1:7" x14ac:dyDescent="0.35">
      <c r="A289" s="22" t="s">
        <v>2549</v>
      </c>
      <c r="B289" s="22" t="s">
        <v>2550</v>
      </c>
      <c r="C289" s="26">
        <v>45899</v>
      </c>
      <c r="D289" s="25" t="s">
        <v>2907</v>
      </c>
      <c r="E289" s="25" t="s">
        <v>1475</v>
      </c>
      <c r="F289" s="53" t="s">
        <v>3812</v>
      </c>
      <c r="G289" s="28">
        <v>0</v>
      </c>
    </row>
    <row r="290" spans="1:7" x14ac:dyDescent="0.35">
      <c r="A290" s="22" t="s">
        <v>2549</v>
      </c>
      <c r="B290" s="22" t="s">
        <v>2550</v>
      </c>
      <c r="C290" s="26">
        <v>45899</v>
      </c>
      <c r="D290" s="25" t="s">
        <v>2908</v>
      </c>
      <c r="E290" s="25" t="s">
        <v>1475</v>
      </c>
      <c r="F290" s="53" t="s">
        <v>3812</v>
      </c>
      <c r="G290" s="28">
        <v>5696.98</v>
      </c>
    </row>
    <row r="291" spans="1:7" x14ac:dyDescent="0.35">
      <c r="A291" s="22" t="s">
        <v>2549</v>
      </c>
      <c r="B291" s="22" t="s">
        <v>2550</v>
      </c>
      <c r="C291" s="26">
        <v>45899</v>
      </c>
      <c r="D291" s="25" t="s">
        <v>2909</v>
      </c>
      <c r="E291" s="25" t="s">
        <v>1475</v>
      </c>
      <c r="F291" s="53" t="s">
        <v>3812</v>
      </c>
      <c r="G291" s="28">
        <v>0</v>
      </c>
    </row>
    <row r="292" spans="1:7" x14ac:dyDescent="0.35">
      <c r="A292" s="22" t="s">
        <v>2549</v>
      </c>
      <c r="B292" s="22" t="s">
        <v>2550</v>
      </c>
      <c r="C292" s="26">
        <v>45899</v>
      </c>
      <c r="D292" s="25" t="s">
        <v>2910</v>
      </c>
      <c r="E292" s="25" t="s">
        <v>1475</v>
      </c>
      <c r="F292" s="53" t="s">
        <v>3812</v>
      </c>
      <c r="G292" s="28">
        <v>0</v>
      </c>
    </row>
    <row r="293" spans="1:7" x14ac:dyDescent="0.35">
      <c r="A293" s="22" t="s">
        <v>2549</v>
      </c>
      <c r="B293" s="22" t="s">
        <v>2550</v>
      </c>
      <c r="C293" s="26">
        <v>45899</v>
      </c>
      <c r="D293" s="25" t="s">
        <v>2911</v>
      </c>
      <c r="E293" s="25" t="s">
        <v>1475</v>
      </c>
      <c r="F293" s="53" t="s">
        <v>3812</v>
      </c>
      <c r="G293" s="28">
        <v>13261.26</v>
      </c>
    </row>
    <row r="294" spans="1:7" x14ac:dyDescent="0.35">
      <c r="A294" s="22" t="s">
        <v>2549</v>
      </c>
      <c r="B294" s="22" t="s">
        <v>2550</v>
      </c>
      <c r="C294" s="26">
        <v>45899</v>
      </c>
      <c r="D294" s="25" t="s">
        <v>2912</v>
      </c>
      <c r="E294" s="25" t="s">
        <v>1475</v>
      </c>
      <c r="F294" s="53" t="s">
        <v>3812</v>
      </c>
      <c r="G294" s="28">
        <v>11728.64</v>
      </c>
    </row>
    <row r="295" spans="1:7" x14ac:dyDescent="0.35">
      <c r="A295" s="22" t="s">
        <v>2549</v>
      </c>
      <c r="B295" s="22" t="s">
        <v>2550</v>
      </c>
      <c r="C295" s="26">
        <v>45899</v>
      </c>
      <c r="D295" s="25" t="s">
        <v>2913</v>
      </c>
      <c r="E295" s="25" t="s">
        <v>1475</v>
      </c>
      <c r="F295" s="53" t="s">
        <v>3812</v>
      </c>
      <c r="G295" s="28">
        <v>0</v>
      </c>
    </row>
    <row r="296" spans="1:7" x14ac:dyDescent="0.35">
      <c r="A296" s="22" t="s">
        <v>2549</v>
      </c>
      <c r="B296" s="22" t="s">
        <v>2550</v>
      </c>
      <c r="C296" s="26">
        <v>45899</v>
      </c>
      <c r="D296" s="25" t="s">
        <v>2914</v>
      </c>
      <c r="E296" s="25" t="s">
        <v>1475</v>
      </c>
      <c r="F296" s="53" t="s">
        <v>3812</v>
      </c>
      <c r="G296" s="28">
        <v>1480.01</v>
      </c>
    </row>
    <row r="297" spans="1:7" x14ac:dyDescent="0.35">
      <c r="A297" s="22" t="s">
        <v>2549</v>
      </c>
      <c r="B297" s="22" t="s">
        <v>2550</v>
      </c>
      <c r="C297" s="26">
        <v>45899</v>
      </c>
      <c r="D297" s="25" t="s">
        <v>2915</v>
      </c>
      <c r="E297" s="25" t="s">
        <v>1475</v>
      </c>
      <c r="F297" s="53" t="s">
        <v>3812</v>
      </c>
      <c r="G297" s="28">
        <v>0</v>
      </c>
    </row>
    <row r="298" spans="1:7" x14ac:dyDescent="0.35">
      <c r="A298" s="22" t="s">
        <v>2549</v>
      </c>
      <c r="B298" s="22" t="s">
        <v>2550</v>
      </c>
      <c r="C298" s="26">
        <v>45899</v>
      </c>
      <c r="D298" s="25" t="s">
        <v>2916</v>
      </c>
      <c r="E298" s="25" t="s">
        <v>1475</v>
      </c>
      <c r="F298" s="53" t="s">
        <v>3812</v>
      </c>
      <c r="G298" s="28">
        <v>29501.14</v>
      </c>
    </row>
    <row r="299" spans="1:7" x14ac:dyDescent="0.35">
      <c r="A299" s="22" t="s">
        <v>2549</v>
      </c>
      <c r="B299" s="22" t="s">
        <v>2550</v>
      </c>
      <c r="C299" s="26">
        <v>45899</v>
      </c>
      <c r="D299" s="25" t="s">
        <v>2917</v>
      </c>
      <c r="E299" s="25" t="s">
        <v>1475</v>
      </c>
      <c r="F299" s="53" t="s">
        <v>3812</v>
      </c>
      <c r="G299" s="28">
        <v>0</v>
      </c>
    </row>
    <row r="300" spans="1:7" x14ac:dyDescent="0.35">
      <c r="A300" s="22" t="s">
        <v>2549</v>
      </c>
      <c r="B300" s="22" t="s">
        <v>2550</v>
      </c>
      <c r="C300" s="26">
        <v>45899</v>
      </c>
      <c r="D300" s="25" t="s">
        <v>2918</v>
      </c>
      <c r="E300" s="25" t="s">
        <v>1475</v>
      </c>
      <c r="F300" s="53" t="s">
        <v>3812</v>
      </c>
      <c r="G300" s="28">
        <v>16583</v>
      </c>
    </row>
    <row r="301" spans="1:7" x14ac:dyDescent="0.35">
      <c r="A301" s="22" t="s">
        <v>2549</v>
      </c>
      <c r="B301" s="22" t="s">
        <v>2550</v>
      </c>
      <c r="C301" s="26">
        <v>45899</v>
      </c>
      <c r="D301" s="25" t="s">
        <v>2919</v>
      </c>
      <c r="E301" s="25" t="s">
        <v>1475</v>
      </c>
      <c r="F301" s="53" t="s">
        <v>3812</v>
      </c>
      <c r="G301" s="28">
        <v>14094.32</v>
      </c>
    </row>
    <row r="302" spans="1:7" x14ac:dyDescent="0.35">
      <c r="A302" s="22" t="s">
        <v>2549</v>
      </c>
      <c r="B302" s="22" t="s">
        <v>2550</v>
      </c>
      <c r="C302" s="26">
        <v>45899</v>
      </c>
      <c r="D302" s="25" t="s">
        <v>2920</v>
      </c>
      <c r="E302" s="25" t="s">
        <v>1475</v>
      </c>
      <c r="F302" s="53" t="s">
        <v>3812</v>
      </c>
      <c r="G302" s="28">
        <v>0</v>
      </c>
    </row>
    <row r="303" spans="1:7" x14ac:dyDescent="0.35">
      <c r="A303" s="22" t="s">
        <v>2549</v>
      </c>
      <c r="B303" s="22" t="s">
        <v>2550</v>
      </c>
      <c r="C303" s="26">
        <v>45899</v>
      </c>
      <c r="D303" s="25" t="s">
        <v>2922</v>
      </c>
      <c r="E303" s="25" t="s">
        <v>1475</v>
      </c>
      <c r="F303" s="53" t="s">
        <v>3812</v>
      </c>
      <c r="G303" s="28">
        <v>0</v>
      </c>
    </row>
    <row r="304" spans="1:7" x14ac:dyDescent="0.35">
      <c r="A304" s="22" t="s">
        <v>2549</v>
      </c>
      <c r="B304" s="22" t="s">
        <v>2550</v>
      </c>
      <c r="C304" s="26">
        <v>45899</v>
      </c>
      <c r="D304" s="25" t="s">
        <v>2924</v>
      </c>
      <c r="E304" s="25" t="s">
        <v>1475</v>
      </c>
      <c r="F304" s="53" t="s">
        <v>3812</v>
      </c>
      <c r="G304" s="28">
        <v>1597.8899999999999</v>
      </c>
    </row>
    <row r="305" spans="1:7" x14ac:dyDescent="0.35">
      <c r="A305" s="22" t="s">
        <v>2549</v>
      </c>
      <c r="B305" s="22" t="s">
        <v>2550</v>
      </c>
      <c r="C305" s="26">
        <v>45899</v>
      </c>
      <c r="D305" s="25" t="s">
        <v>2925</v>
      </c>
      <c r="E305" s="25" t="s">
        <v>1475</v>
      </c>
      <c r="F305" s="53" t="s">
        <v>3812</v>
      </c>
      <c r="G305" s="28">
        <v>0</v>
      </c>
    </row>
    <row r="306" spans="1:7" x14ac:dyDescent="0.35">
      <c r="A306" s="22" t="s">
        <v>2549</v>
      </c>
      <c r="B306" s="22" t="s">
        <v>2550</v>
      </c>
      <c r="C306" s="26">
        <v>45899</v>
      </c>
      <c r="D306" s="25">
        <v>35818</v>
      </c>
      <c r="E306" s="25" t="s">
        <v>1277</v>
      </c>
      <c r="F306" s="53" t="s">
        <v>3812</v>
      </c>
      <c r="G306" s="28">
        <v>0</v>
      </c>
    </row>
    <row r="307" spans="1:7" x14ac:dyDescent="0.35">
      <c r="A307" s="22" t="s">
        <v>2549</v>
      </c>
      <c r="B307" s="22" t="s">
        <v>2550</v>
      </c>
      <c r="C307" s="26">
        <v>45899</v>
      </c>
      <c r="D307" s="25" t="s">
        <v>2927</v>
      </c>
      <c r="E307" s="25" t="s">
        <v>1277</v>
      </c>
      <c r="F307" s="53" t="s">
        <v>3812</v>
      </c>
      <c r="G307" s="28">
        <v>0</v>
      </c>
    </row>
    <row r="308" spans="1:7" x14ac:dyDescent="0.35">
      <c r="A308" s="22" t="s">
        <v>2549</v>
      </c>
      <c r="B308" s="22" t="s">
        <v>2550</v>
      </c>
      <c r="C308" s="26">
        <v>45899</v>
      </c>
      <c r="D308" s="25" t="s">
        <v>2928</v>
      </c>
      <c r="E308" s="25" t="s">
        <v>1947</v>
      </c>
      <c r="F308" s="53" t="s">
        <v>3812</v>
      </c>
      <c r="G308" s="28">
        <v>0</v>
      </c>
    </row>
    <row r="309" spans="1:7" x14ac:dyDescent="0.35">
      <c r="A309" s="22" t="s">
        <v>2549</v>
      </c>
      <c r="B309" s="22" t="s">
        <v>2550</v>
      </c>
      <c r="C309" s="26">
        <v>45899</v>
      </c>
      <c r="D309" s="25" t="s">
        <v>2929</v>
      </c>
      <c r="E309" s="25" t="s">
        <v>1947</v>
      </c>
      <c r="F309" s="53" t="s">
        <v>3812</v>
      </c>
      <c r="G309" s="28">
        <v>0</v>
      </c>
    </row>
    <row r="310" spans="1:7" x14ac:dyDescent="0.35">
      <c r="A310" s="22" t="s">
        <v>2549</v>
      </c>
      <c r="B310" s="22" t="s">
        <v>2550</v>
      </c>
      <c r="C310" s="26">
        <v>45899</v>
      </c>
      <c r="D310" s="25" t="s">
        <v>2930</v>
      </c>
      <c r="E310" s="25" t="s">
        <v>1947</v>
      </c>
      <c r="F310" s="53" t="s">
        <v>3812</v>
      </c>
      <c r="G310" s="28">
        <v>0</v>
      </c>
    </row>
    <row r="311" spans="1:7" x14ac:dyDescent="0.35">
      <c r="A311" s="22" t="s">
        <v>2549</v>
      </c>
      <c r="B311" s="22" t="s">
        <v>2550</v>
      </c>
      <c r="C311" s="26">
        <v>45899</v>
      </c>
      <c r="D311" s="25" t="s">
        <v>2932</v>
      </c>
      <c r="E311" s="25" t="s">
        <v>1947</v>
      </c>
      <c r="F311" s="53" t="s">
        <v>3812</v>
      </c>
      <c r="G311" s="28">
        <v>0</v>
      </c>
    </row>
    <row r="312" spans="1:7" x14ac:dyDescent="0.35">
      <c r="A312" s="22" t="s">
        <v>2549</v>
      </c>
      <c r="B312" s="22" t="s">
        <v>2550</v>
      </c>
      <c r="C312" s="26">
        <v>45899</v>
      </c>
      <c r="D312" s="25" t="s">
        <v>2933</v>
      </c>
      <c r="E312" s="25" t="s">
        <v>1947</v>
      </c>
      <c r="F312" s="53" t="s">
        <v>3812</v>
      </c>
      <c r="G312" s="28">
        <v>0</v>
      </c>
    </row>
    <row r="313" spans="1:7" x14ac:dyDescent="0.35">
      <c r="A313" s="22" t="s">
        <v>2549</v>
      </c>
      <c r="B313" s="22" t="s">
        <v>2550</v>
      </c>
      <c r="C313" s="26">
        <v>45899</v>
      </c>
      <c r="D313" s="25" t="s">
        <v>2934</v>
      </c>
      <c r="E313" s="25" t="s">
        <v>1947</v>
      </c>
      <c r="F313" s="53" t="s">
        <v>3812</v>
      </c>
      <c r="G313" s="28">
        <v>0</v>
      </c>
    </row>
    <row r="314" spans="1:7" x14ac:dyDescent="0.35">
      <c r="A314" s="22" t="s">
        <v>2549</v>
      </c>
      <c r="B314" s="22" t="s">
        <v>2550</v>
      </c>
      <c r="C314" s="26">
        <v>45899</v>
      </c>
      <c r="D314" s="25" t="s">
        <v>2935</v>
      </c>
      <c r="E314" s="25" t="s">
        <v>2086</v>
      </c>
      <c r="F314" s="53" t="s">
        <v>3812</v>
      </c>
      <c r="G314" s="28">
        <v>0</v>
      </c>
    </row>
    <row r="315" spans="1:7" x14ac:dyDescent="0.35">
      <c r="A315" s="22" t="s">
        <v>2549</v>
      </c>
      <c r="B315" s="22" t="s">
        <v>2550</v>
      </c>
      <c r="C315" s="26">
        <v>45899</v>
      </c>
      <c r="D315" s="25" t="s">
        <v>2936</v>
      </c>
      <c r="E315" s="25" t="s">
        <v>2086</v>
      </c>
      <c r="F315" s="53" t="s">
        <v>3812</v>
      </c>
      <c r="G315" s="28">
        <v>0</v>
      </c>
    </row>
    <row r="316" spans="1:7" x14ac:dyDescent="0.35">
      <c r="A316" s="22" t="s">
        <v>2549</v>
      </c>
      <c r="B316" s="22" t="s">
        <v>2550</v>
      </c>
      <c r="C316" s="26">
        <v>45899</v>
      </c>
      <c r="D316" s="25" t="s">
        <v>2937</v>
      </c>
      <c r="E316" s="25" t="s">
        <v>2424</v>
      </c>
      <c r="F316" s="53" t="s">
        <v>3812</v>
      </c>
      <c r="G316" s="28">
        <v>0</v>
      </c>
    </row>
    <row r="317" spans="1:7" x14ac:dyDescent="0.35">
      <c r="A317" s="22" t="s">
        <v>2549</v>
      </c>
      <c r="B317" s="22" t="s">
        <v>2550</v>
      </c>
      <c r="C317" s="26">
        <v>45899</v>
      </c>
      <c r="D317" s="25" t="s">
        <v>2938</v>
      </c>
      <c r="E317" s="25" t="s">
        <v>2424</v>
      </c>
      <c r="F317" s="53" t="s">
        <v>3812</v>
      </c>
      <c r="G317" s="28">
        <v>0</v>
      </c>
    </row>
    <row r="318" spans="1:7" x14ac:dyDescent="0.35">
      <c r="A318" s="22" t="s">
        <v>2549</v>
      </c>
      <c r="B318" s="22" t="s">
        <v>2550</v>
      </c>
      <c r="C318" s="26">
        <v>45899</v>
      </c>
      <c r="D318" s="25" t="s">
        <v>2939</v>
      </c>
      <c r="E318" s="25" t="s">
        <v>2424</v>
      </c>
      <c r="F318" s="53" t="s">
        <v>3812</v>
      </c>
      <c r="G318" s="28">
        <v>0</v>
      </c>
    </row>
    <row r="319" spans="1:7" x14ac:dyDescent="0.35">
      <c r="A319" s="22" t="s">
        <v>2549</v>
      </c>
      <c r="B319" s="22" t="s">
        <v>2550</v>
      </c>
      <c r="C319" s="26">
        <v>45899</v>
      </c>
      <c r="D319" s="25" t="s">
        <v>2940</v>
      </c>
      <c r="E319" s="25" t="s">
        <v>2424</v>
      </c>
      <c r="F319" s="53" t="s">
        <v>3812</v>
      </c>
      <c r="G319" s="28">
        <v>0</v>
      </c>
    </row>
    <row r="320" spans="1:7" x14ac:dyDescent="0.35">
      <c r="A320" s="22" t="s">
        <v>2549</v>
      </c>
      <c r="B320" s="22" t="s">
        <v>2550</v>
      </c>
      <c r="C320" s="26">
        <v>45899</v>
      </c>
      <c r="D320" s="25" t="s">
        <v>2941</v>
      </c>
      <c r="E320" s="25" t="s">
        <v>2424</v>
      </c>
      <c r="F320" s="53" t="s">
        <v>3812</v>
      </c>
      <c r="G320" s="28">
        <v>0</v>
      </c>
    </row>
    <row r="321" spans="1:7" x14ac:dyDescent="0.35">
      <c r="A321" s="22" t="s">
        <v>2549</v>
      </c>
      <c r="B321" s="22" t="s">
        <v>2550</v>
      </c>
      <c r="C321" s="26">
        <v>45899</v>
      </c>
      <c r="D321" s="25" t="s">
        <v>2942</v>
      </c>
      <c r="E321" s="25" t="s">
        <v>2424</v>
      </c>
      <c r="F321" s="53" t="s">
        <v>3812</v>
      </c>
      <c r="G321" s="28">
        <v>0</v>
      </c>
    </row>
    <row r="322" spans="1:7" x14ac:dyDescent="0.35">
      <c r="A322" s="22" t="s">
        <v>2549</v>
      </c>
      <c r="B322" s="22" t="s">
        <v>2550</v>
      </c>
      <c r="C322" s="26">
        <v>45899</v>
      </c>
      <c r="D322" s="25" t="s">
        <v>2943</v>
      </c>
      <c r="E322" s="25" t="s">
        <v>2424</v>
      </c>
      <c r="F322" s="53" t="s">
        <v>3812</v>
      </c>
      <c r="G322" s="28">
        <v>0</v>
      </c>
    </row>
    <row r="323" spans="1:7" x14ac:dyDescent="0.35">
      <c r="A323" s="22" t="s">
        <v>2549</v>
      </c>
      <c r="B323" s="22" t="s">
        <v>2550</v>
      </c>
      <c r="C323" s="26">
        <v>45899</v>
      </c>
      <c r="D323" s="25" t="s">
        <v>2944</v>
      </c>
      <c r="E323" s="25" t="s">
        <v>3356</v>
      </c>
      <c r="F323" s="53" t="s">
        <v>3812</v>
      </c>
      <c r="G323" s="28">
        <v>0</v>
      </c>
    </row>
    <row r="324" spans="1:7" x14ac:dyDescent="0.35">
      <c r="A324" s="22" t="s">
        <v>2549</v>
      </c>
      <c r="B324" s="22" t="s">
        <v>2550</v>
      </c>
      <c r="C324" s="26">
        <v>45899</v>
      </c>
      <c r="D324" s="25" t="s">
        <v>2945</v>
      </c>
      <c r="E324" s="25" t="s">
        <v>2462</v>
      </c>
      <c r="F324" s="53" t="s">
        <v>3812</v>
      </c>
      <c r="G324" s="28">
        <v>0</v>
      </c>
    </row>
    <row r="325" spans="1:7" x14ac:dyDescent="0.35">
      <c r="A325" s="22" t="s">
        <v>2549</v>
      </c>
      <c r="B325" s="22" t="s">
        <v>2550</v>
      </c>
      <c r="C325" s="26">
        <v>45899</v>
      </c>
      <c r="D325" s="25" t="s">
        <v>2946</v>
      </c>
      <c r="E325" s="25" t="s">
        <v>2462</v>
      </c>
      <c r="F325" s="53" t="s">
        <v>3812</v>
      </c>
      <c r="G325" s="28">
        <v>0</v>
      </c>
    </row>
    <row r="326" spans="1:7" x14ac:dyDescent="0.35">
      <c r="A326" s="22" t="s">
        <v>2549</v>
      </c>
      <c r="B326" s="22" t="s">
        <v>2550</v>
      </c>
      <c r="C326" s="26">
        <v>45899</v>
      </c>
      <c r="D326" s="25" t="s">
        <v>2947</v>
      </c>
      <c r="E326" s="25" t="s">
        <v>2541</v>
      </c>
      <c r="F326" s="53" t="s">
        <v>3812</v>
      </c>
      <c r="G326" s="28">
        <v>0</v>
      </c>
    </row>
    <row r="327" spans="1:7" x14ac:dyDescent="0.35">
      <c r="A327" s="22" t="s">
        <v>2549</v>
      </c>
      <c r="B327" s="22" t="s">
        <v>2550</v>
      </c>
      <c r="C327" s="26">
        <v>45899</v>
      </c>
      <c r="D327" s="25" t="s">
        <v>2948</v>
      </c>
      <c r="E327" s="25" t="s">
        <v>2541</v>
      </c>
      <c r="F327" s="53" t="s">
        <v>3812</v>
      </c>
      <c r="G327" s="28">
        <v>0</v>
      </c>
    </row>
    <row r="328" spans="1:7" x14ac:dyDescent="0.35">
      <c r="A328" s="22" t="s">
        <v>2549</v>
      </c>
      <c r="B328" s="22" t="s">
        <v>2550</v>
      </c>
      <c r="C328" s="26">
        <v>45899</v>
      </c>
      <c r="D328" s="25" t="s">
        <v>2949</v>
      </c>
      <c r="E328" s="25" t="s">
        <v>2541</v>
      </c>
      <c r="F328" s="53" t="s">
        <v>3812</v>
      </c>
      <c r="G328" s="28">
        <v>0</v>
      </c>
    </row>
    <row r="329" spans="1:7" x14ac:dyDescent="0.35">
      <c r="A329" s="22" t="s">
        <v>2549</v>
      </c>
      <c r="B329" s="22" t="s">
        <v>2550</v>
      </c>
      <c r="C329" s="26">
        <v>45899</v>
      </c>
      <c r="D329" s="25" t="s">
        <v>2950</v>
      </c>
      <c r="E329" s="25" t="s">
        <v>3148</v>
      </c>
      <c r="F329" s="53" t="s">
        <v>3812</v>
      </c>
      <c r="G329" s="28">
        <v>0</v>
      </c>
    </row>
    <row r="330" spans="1:7" x14ac:dyDescent="0.35">
      <c r="A330" s="22" t="s">
        <v>2549</v>
      </c>
      <c r="B330" s="22" t="s">
        <v>2550</v>
      </c>
      <c r="C330" s="26">
        <v>45899</v>
      </c>
      <c r="D330" s="25" t="s">
        <v>2951</v>
      </c>
      <c r="E330" s="25" t="s">
        <v>3148</v>
      </c>
      <c r="F330" s="53" t="s">
        <v>3812</v>
      </c>
      <c r="G330" s="28">
        <v>0</v>
      </c>
    </row>
    <row r="331" spans="1:7" x14ac:dyDescent="0.35">
      <c r="A331" s="22" t="s">
        <v>2549</v>
      </c>
      <c r="B331" s="22" t="s">
        <v>2550</v>
      </c>
      <c r="C331" s="26">
        <v>45899</v>
      </c>
      <c r="D331" s="25" t="s">
        <v>2952</v>
      </c>
      <c r="E331" s="25" t="s">
        <v>2462</v>
      </c>
      <c r="F331" s="53" t="s">
        <v>3812</v>
      </c>
      <c r="G331" s="28">
        <v>0</v>
      </c>
    </row>
    <row r="332" spans="1:7" x14ac:dyDescent="0.35">
      <c r="A332" s="22" t="s">
        <v>2549</v>
      </c>
      <c r="B332" s="22" t="s">
        <v>2550</v>
      </c>
      <c r="C332" s="26">
        <v>45899</v>
      </c>
      <c r="D332" s="25" t="s">
        <v>2953</v>
      </c>
      <c r="E332" s="25" t="s">
        <v>3359</v>
      </c>
      <c r="F332" s="53" t="s">
        <v>3812</v>
      </c>
      <c r="G332" s="28">
        <v>0</v>
      </c>
    </row>
    <row r="333" spans="1:7" x14ac:dyDescent="0.35">
      <c r="A333" s="22" t="s">
        <v>2549</v>
      </c>
      <c r="B333" s="22" t="s">
        <v>2550</v>
      </c>
      <c r="C333" s="26">
        <v>45899</v>
      </c>
      <c r="D333" s="25" t="s">
        <v>2954</v>
      </c>
      <c r="E333" s="25" t="s">
        <v>3359</v>
      </c>
      <c r="F333" s="53" t="s">
        <v>3812</v>
      </c>
      <c r="G333" s="28">
        <v>0</v>
      </c>
    </row>
    <row r="334" spans="1:7" x14ac:dyDescent="0.35">
      <c r="A334" s="22" t="s">
        <v>2549</v>
      </c>
      <c r="B334" s="22" t="s">
        <v>2550</v>
      </c>
      <c r="C334" s="26">
        <v>45899</v>
      </c>
      <c r="D334" s="25" t="s">
        <v>2955</v>
      </c>
      <c r="E334" s="25" t="s">
        <v>3359</v>
      </c>
      <c r="F334" s="53" t="s">
        <v>3812</v>
      </c>
      <c r="G334" s="28">
        <v>0</v>
      </c>
    </row>
    <row r="335" spans="1:7" x14ac:dyDescent="0.35">
      <c r="A335" s="22" t="s">
        <v>2549</v>
      </c>
      <c r="B335" s="22" t="s">
        <v>2550</v>
      </c>
      <c r="C335" s="26">
        <v>45899</v>
      </c>
      <c r="D335" s="25" t="s">
        <v>2956</v>
      </c>
      <c r="E335" s="25" t="s">
        <v>3359</v>
      </c>
      <c r="F335" s="53" t="s">
        <v>3812</v>
      </c>
      <c r="G335" s="28">
        <v>0</v>
      </c>
    </row>
    <row r="336" spans="1:7" x14ac:dyDescent="0.35">
      <c r="A336" s="22" t="s">
        <v>2549</v>
      </c>
      <c r="B336" s="22" t="s">
        <v>2550</v>
      </c>
      <c r="C336" s="26">
        <v>45899</v>
      </c>
      <c r="D336" s="25" t="s">
        <v>2957</v>
      </c>
      <c r="E336" s="25" t="s">
        <v>2487</v>
      </c>
      <c r="F336" s="53" t="s">
        <v>3812</v>
      </c>
      <c r="G336" s="28">
        <v>0</v>
      </c>
    </row>
    <row r="337" spans="1:7" x14ac:dyDescent="0.35">
      <c r="A337" s="22" t="s">
        <v>2549</v>
      </c>
      <c r="B337" s="22" t="s">
        <v>2550</v>
      </c>
      <c r="C337" s="26">
        <v>45899</v>
      </c>
      <c r="D337" s="25" t="s">
        <v>2958</v>
      </c>
      <c r="E337" s="25" t="s">
        <v>301</v>
      </c>
      <c r="F337" s="53" t="s">
        <v>3812</v>
      </c>
      <c r="G337" s="28">
        <v>0</v>
      </c>
    </row>
    <row r="338" spans="1:7" x14ac:dyDescent="0.35">
      <c r="A338" s="22" t="s">
        <v>2549</v>
      </c>
      <c r="B338" s="22" t="s">
        <v>2550</v>
      </c>
      <c r="C338" s="26">
        <v>45899</v>
      </c>
      <c r="D338" s="25" t="s">
        <v>2959</v>
      </c>
      <c r="E338" s="25" t="s">
        <v>301</v>
      </c>
      <c r="F338" s="53" t="s">
        <v>3812</v>
      </c>
      <c r="G338" s="28">
        <v>0</v>
      </c>
    </row>
    <row r="339" spans="1:7" x14ac:dyDescent="0.35">
      <c r="A339" s="22" t="s">
        <v>2549</v>
      </c>
      <c r="B339" s="22" t="s">
        <v>2550</v>
      </c>
      <c r="C339" s="26">
        <v>45899</v>
      </c>
      <c r="D339" s="25" t="s">
        <v>2960</v>
      </c>
      <c r="E339" s="25" t="s">
        <v>301</v>
      </c>
      <c r="F339" s="53" t="s">
        <v>3812</v>
      </c>
      <c r="G339" s="28">
        <v>0</v>
      </c>
    </row>
    <row r="340" spans="1:7" x14ac:dyDescent="0.35">
      <c r="A340" s="22" t="s">
        <v>2549</v>
      </c>
      <c r="B340" s="22" t="s">
        <v>2550</v>
      </c>
      <c r="C340" s="26">
        <v>45899</v>
      </c>
      <c r="D340" s="25" t="s">
        <v>2961</v>
      </c>
      <c r="E340" s="25" t="s">
        <v>301</v>
      </c>
      <c r="F340" s="53" t="s">
        <v>3812</v>
      </c>
      <c r="G340" s="28">
        <v>0</v>
      </c>
    </row>
    <row r="341" spans="1:7" x14ac:dyDescent="0.35">
      <c r="A341" s="22" t="s">
        <v>2549</v>
      </c>
      <c r="B341" s="22" t="s">
        <v>2550</v>
      </c>
      <c r="C341" s="26">
        <v>45899</v>
      </c>
      <c r="D341" s="25" t="s">
        <v>2962</v>
      </c>
      <c r="E341" s="25" t="s">
        <v>3369</v>
      </c>
      <c r="F341" s="53" t="s">
        <v>3812</v>
      </c>
      <c r="G341" s="28">
        <v>0</v>
      </c>
    </row>
    <row r="342" spans="1:7" x14ac:dyDescent="0.35">
      <c r="A342" s="22" t="s">
        <v>2549</v>
      </c>
      <c r="B342" s="22" t="s">
        <v>2550</v>
      </c>
      <c r="C342" s="26">
        <v>45899</v>
      </c>
      <c r="D342" s="25" t="s">
        <v>2963</v>
      </c>
      <c r="E342" s="25" t="s">
        <v>3371</v>
      </c>
      <c r="F342" s="53" t="s">
        <v>3812</v>
      </c>
      <c r="G342" s="28">
        <v>5.48</v>
      </c>
    </row>
    <row r="343" spans="1:7" x14ac:dyDescent="0.35">
      <c r="A343" s="22" t="s">
        <v>2549</v>
      </c>
      <c r="B343" s="22" t="s">
        <v>2550</v>
      </c>
      <c r="C343" s="26">
        <v>45899</v>
      </c>
      <c r="D343" s="25" t="s">
        <v>2964</v>
      </c>
      <c r="E343" s="25" t="s">
        <v>1757</v>
      </c>
      <c r="F343" s="53" t="s">
        <v>3812</v>
      </c>
      <c r="G343" s="28">
        <v>0</v>
      </c>
    </row>
    <row r="344" spans="1:7" x14ac:dyDescent="0.35">
      <c r="A344" s="22" t="s">
        <v>2549</v>
      </c>
      <c r="B344" s="22" t="s">
        <v>2550</v>
      </c>
      <c r="C344" s="26">
        <v>45899</v>
      </c>
      <c r="D344" s="25" t="s">
        <v>2965</v>
      </c>
      <c r="E344" s="25" t="s">
        <v>1757</v>
      </c>
      <c r="F344" s="53" t="s">
        <v>3812</v>
      </c>
      <c r="G344" s="28">
        <v>0</v>
      </c>
    </row>
    <row r="345" spans="1:7" x14ac:dyDescent="0.35">
      <c r="A345" s="22" t="s">
        <v>2549</v>
      </c>
      <c r="B345" s="22" t="s">
        <v>2550</v>
      </c>
      <c r="C345" s="26">
        <v>45899</v>
      </c>
      <c r="D345" s="25" t="s">
        <v>2966</v>
      </c>
      <c r="E345" s="25" t="s">
        <v>1839</v>
      </c>
      <c r="F345" s="53" t="s">
        <v>3812</v>
      </c>
      <c r="G345" s="28">
        <v>0</v>
      </c>
    </row>
    <row r="346" spans="1:7" x14ac:dyDescent="0.35">
      <c r="A346" s="22" t="s">
        <v>2549</v>
      </c>
      <c r="B346" s="22" t="s">
        <v>2550</v>
      </c>
      <c r="C346" s="26">
        <v>45899</v>
      </c>
      <c r="D346" s="25" t="s">
        <v>2967</v>
      </c>
      <c r="E346" s="25" t="s">
        <v>1839</v>
      </c>
      <c r="F346" s="53" t="s">
        <v>3812</v>
      </c>
      <c r="G346" s="28">
        <v>0</v>
      </c>
    </row>
    <row r="347" spans="1:7" x14ac:dyDescent="0.35">
      <c r="A347" s="22" t="s">
        <v>2549</v>
      </c>
      <c r="B347" s="22" t="s">
        <v>2550</v>
      </c>
      <c r="C347" s="26">
        <v>45899</v>
      </c>
      <c r="D347" s="25" t="s">
        <v>2968</v>
      </c>
      <c r="E347" s="25" t="s">
        <v>1839</v>
      </c>
      <c r="F347" s="53" t="s">
        <v>3812</v>
      </c>
      <c r="G347" s="28">
        <v>0</v>
      </c>
    </row>
    <row r="348" spans="1:7" x14ac:dyDescent="0.35">
      <c r="A348" s="22" t="s">
        <v>2549</v>
      </c>
      <c r="B348" s="22" t="s">
        <v>2550</v>
      </c>
      <c r="C348" s="26">
        <v>45899</v>
      </c>
      <c r="D348" s="25" t="s">
        <v>2969</v>
      </c>
      <c r="E348" s="25" t="s">
        <v>1839</v>
      </c>
      <c r="F348" s="53" t="s">
        <v>3812</v>
      </c>
      <c r="G348" s="28">
        <v>0</v>
      </c>
    </row>
    <row r="349" spans="1:7" x14ac:dyDescent="0.35">
      <c r="A349" s="22" t="s">
        <v>2549</v>
      </c>
      <c r="B349" s="22" t="s">
        <v>2550</v>
      </c>
      <c r="C349" s="26">
        <v>45899</v>
      </c>
      <c r="D349" s="25" t="s">
        <v>2971</v>
      </c>
      <c r="E349" s="25" t="s">
        <v>1839</v>
      </c>
      <c r="F349" s="53" t="s">
        <v>3812</v>
      </c>
      <c r="G349" s="28">
        <v>0</v>
      </c>
    </row>
    <row r="350" spans="1:7" x14ac:dyDescent="0.35">
      <c r="A350" s="22" t="s">
        <v>2549</v>
      </c>
      <c r="B350" s="22" t="s">
        <v>2550</v>
      </c>
      <c r="C350" s="26">
        <v>45899</v>
      </c>
      <c r="D350" s="25" t="s">
        <v>2972</v>
      </c>
      <c r="E350" s="25" t="s">
        <v>1839</v>
      </c>
      <c r="F350" s="53" t="s">
        <v>3812</v>
      </c>
      <c r="G350" s="28">
        <v>0</v>
      </c>
    </row>
    <row r="351" spans="1:7" x14ac:dyDescent="0.35">
      <c r="A351" s="22" t="s">
        <v>2549</v>
      </c>
      <c r="B351" s="22" t="s">
        <v>2550</v>
      </c>
      <c r="C351" s="26">
        <v>45899</v>
      </c>
      <c r="D351" s="25" t="s">
        <v>2974</v>
      </c>
      <c r="E351" s="25" t="s">
        <v>2027</v>
      </c>
      <c r="F351" s="53" t="s">
        <v>3812</v>
      </c>
      <c r="G351" s="28">
        <v>0</v>
      </c>
    </row>
    <row r="352" spans="1:7" x14ac:dyDescent="0.35">
      <c r="A352" s="22" t="s">
        <v>2549</v>
      </c>
      <c r="B352" s="22" t="s">
        <v>2550</v>
      </c>
      <c r="C352" s="26">
        <v>45899</v>
      </c>
      <c r="D352" s="25" t="s">
        <v>2975</v>
      </c>
      <c r="E352" s="25" t="s">
        <v>2027</v>
      </c>
      <c r="F352" s="53" t="s">
        <v>3812</v>
      </c>
      <c r="G352" s="28">
        <v>0</v>
      </c>
    </row>
    <row r="353" spans="1:7" x14ac:dyDescent="0.35">
      <c r="A353" s="22" t="s">
        <v>2549</v>
      </c>
      <c r="B353" s="22" t="s">
        <v>2550</v>
      </c>
      <c r="C353" s="26">
        <v>45899</v>
      </c>
      <c r="D353" s="25" t="s">
        <v>2976</v>
      </c>
      <c r="E353" s="25" t="s">
        <v>2027</v>
      </c>
      <c r="F353" s="53" t="s">
        <v>3812</v>
      </c>
      <c r="G353" s="28">
        <v>0</v>
      </c>
    </row>
    <row r="354" spans="1:7" x14ac:dyDescent="0.35">
      <c r="A354" s="22" t="s">
        <v>2549</v>
      </c>
      <c r="B354" s="22" t="s">
        <v>2550</v>
      </c>
      <c r="C354" s="26">
        <v>45899</v>
      </c>
      <c r="D354" s="25" t="s">
        <v>2977</v>
      </c>
      <c r="E354" s="25" t="s">
        <v>2027</v>
      </c>
      <c r="F354" s="53" t="s">
        <v>3812</v>
      </c>
      <c r="G354" s="28">
        <v>0</v>
      </c>
    </row>
    <row r="355" spans="1:7" x14ac:dyDescent="0.35">
      <c r="A355" s="22" t="s">
        <v>2549</v>
      </c>
      <c r="B355" s="22" t="s">
        <v>2550</v>
      </c>
      <c r="C355" s="26">
        <v>45899</v>
      </c>
      <c r="D355" s="25" t="s">
        <v>2978</v>
      </c>
      <c r="E355" s="25" t="s">
        <v>2027</v>
      </c>
      <c r="F355" s="53" t="s">
        <v>3812</v>
      </c>
      <c r="G355" s="28">
        <v>0</v>
      </c>
    </row>
    <row r="356" spans="1:7" x14ac:dyDescent="0.35">
      <c r="A356" s="22" t="s">
        <v>2549</v>
      </c>
      <c r="B356" s="22" t="s">
        <v>2550</v>
      </c>
      <c r="C356" s="26">
        <v>45899</v>
      </c>
      <c r="D356" s="25" t="s">
        <v>2979</v>
      </c>
      <c r="E356" s="25" t="s">
        <v>2027</v>
      </c>
      <c r="F356" s="53" t="s">
        <v>3812</v>
      </c>
      <c r="G356" s="28">
        <v>0</v>
      </c>
    </row>
    <row r="357" spans="1:7" x14ac:dyDescent="0.35">
      <c r="A357" s="22" t="s">
        <v>2549</v>
      </c>
      <c r="B357" s="22" t="s">
        <v>2550</v>
      </c>
      <c r="C357" s="26">
        <v>45899</v>
      </c>
      <c r="D357" s="25" t="s">
        <v>2980</v>
      </c>
      <c r="E357" s="25" t="s">
        <v>1568</v>
      </c>
      <c r="F357" s="53" t="s">
        <v>3812</v>
      </c>
      <c r="G357" s="28">
        <v>0</v>
      </c>
    </row>
    <row r="358" spans="1:7" x14ac:dyDescent="0.35">
      <c r="A358" s="22" t="s">
        <v>2549</v>
      </c>
      <c r="B358" s="22" t="s">
        <v>2550</v>
      </c>
      <c r="C358" s="26">
        <v>45899</v>
      </c>
      <c r="D358" s="25" t="s">
        <v>2981</v>
      </c>
      <c r="E358" s="25" t="s">
        <v>1568</v>
      </c>
      <c r="F358" s="53" t="s">
        <v>3812</v>
      </c>
      <c r="G358" s="28">
        <v>0</v>
      </c>
    </row>
    <row r="359" spans="1:7" x14ac:dyDescent="0.35">
      <c r="A359" s="22" t="s">
        <v>2549</v>
      </c>
      <c r="B359" s="22" t="s">
        <v>2550</v>
      </c>
      <c r="C359" s="26">
        <v>45899</v>
      </c>
      <c r="D359" s="25" t="s">
        <v>2982</v>
      </c>
      <c r="E359" s="25" t="s">
        <v>1568</v>
      </c>
      <c r="F359" s="53" t="s">
        <v>3812</v>
      </c>
      <c r="G359" s="28">
        <v>0</v>
      </c>
    </row>
    <row r="360" spans="1:7" x14ac:dyDescent="0.35">
      <c r="A360" s="22" t="s">
        <v>2549</v>
      </c>
      <c r="B360" s="22" t="s">
        <v>2550</v>
      </c>
      <c r="C360" s="26">
        <v>45899</v>
      </c>
      <c r="D360" s="25" t="s">
        <v>2983</v>
      </c>
      <c r="E360" s="25" t="s">
        <v>1371</v>
      </c>
      <c r="F360" s="53" t="s">
        <v>3812</v>
      </c>
      <c r="G360" s="28">
        <v>0</v>
      </c>
    </row>
    <row r="361" spans="1:7" x14ac:dyDescent="0.35">
      <c r="A361" s="22" t="s">
        <v>2549</v>
      </c>
      <c r="B361" s="22" t="s">
        <v>2550</v>
      </c>
      <c r="C361" s="26">
        <v>45899</v>
      </c>
      <c r="D361" s="25" t="s">
        <v>2984</v>
      </c>
      <c r="E361" s="25" t="s">
        <v>1371</v>
      </c>
      <c r="F361" s="53" t="s">
        <v>3812</v>
      </c>
      <c r="G361" s="28">
        <v>0</v>
      </c>
    </row>
    <row r="362" spans="1:7" x14ac:dyDescent="0.35">
      <c r="A362" s="22" t="s">
        <v>2549</v>
      </c>
      <c r="B362" s="22" t="s">
        <v>2550</v>
      </c>
      <c r="C362" s="26">
        <v>45899</v>
      </c>
      <c r="D362" s="25" t="s">
        <v>2985</v>
      </c>
      <c r="E362" s="25" t="s">
        <v>2831</v>
      </c>
      <c r="F362" s="53" t="s">
        <v>3812</v>
      </c>
      <c r="G362" s="28">
        <v>0</v>
      </c>
    </row>
    <row r="363" spans="1:7" x14ac:dyDescent="0.35">
      <c r="A363" s="22" t="s">
        <v>2549</v>
      </c>
      <c r="B363" s="22" t="s">
        <v>2550</v>
      </c>
      <c r="C363" s="26">
        <v>45899</v>
      </c>
      <c r="D363" s="25" t="s">
        <v>2986</v>
      </c>
      <c r="E363" s="25" t="s">
        <v>3393</v>
      </c>
      <c r="F363" s="53" t="s">
        <v>3812</v>
      </c>
      <c r="G363" s="28">
        <v>0</v>
      </c>
    </row>
    <row r="364" spans="1:7" x14ac:dyDescent="0.35">
      <c r="A364" s="22" t="s">
        <v>2549</v>
      </c>
      <c r="B364" s="22" t="s">
        <v>2550</v>
      </c>
      <c r="C364" s="26">
        <v>45899</v>
      </c>
      <c r="D364" s="25" t="s">
        <v>2988</v>
      </c>
      <c r="E364" s="25" t="s">
        <v>3393</v>
      </c>
      <c r="F364" s="53" t="s">
        <v>3812</v>
      </c>
      <c r="G364" s="28">
        <v>0</v>
      </c>
    </row>
    <row r="365" spans="1:7" x14ac:dyDescent="0.35">
      <c r="A365" s="22" t="s">
        <v>2549</v>
      </c>
      <c r="B365" s="22" t="s">
        <v>2550</v>
      </c>
      <c r="C365" s="26">
        <v>45899</v>
      </c>
      <c r="D365" s="25" t="s">
        <v>2990</v>
      </c>
      <c r="E365" s="25" t="s">
        <v>3393</v>
      </c>
      <c r="F365" s="53" t="s">
        <v>3812</v>
      </c>
      <c r="G365" s="28">
        <v>0</v>
      </c>
    </row>
    <row r="366" spans="1:7" x14ac:dyDescent="0.35">
      <c r="A366" s="22" t="s">
        <v>2549</v>
      </c>
      <c r="B366" s="22" t="s">
        <v>2550</v>
      </c>
      <c r="C366" s="26">
        <v>45899</v>
      </c>
      <c r="D366" s="25" t="s">
        <v>2991</v>
      </c>
      <c r="E366" s="25" t="s">
        <v>2079</v>
      </c>
      <c r="F366" s="53" t="s">
        <v>3812</v>
      </c>
      <c r="G366" s="28">
        <v>0</v>
      </c>
    </row>
    <row r="367" spans="1:7" x14ac:dyDescent="0.35">
      <c r="A367" s="22" t="s">
        <v>2549</v>
      </c>
      <c r="B367" s="22" t="s">
        <v>2550</v>
      </c>
      <c r="C367" s="26">
        <v>45899</v>
      </c>
      <c r="D367" s="25" t="s">
        <v>2992</v>
      </c>
      <c r="E367" s="25" t="s">
        <v>2079</v>
      </c>
      <c r="F367" s="53" t="s">
        <v>3812</v>
      </c>
      <c r="G367" s="28">
        <v>0</v>
      </c>
    </row>
    <row r="368" spans="1:7" x14ac:dyDescent="0.35">
      <c r="A368" s="22" t="s">
        <v>2549</v>
      </c>
      <c r="B368" s="22" t="s">
        <v>2550</v>
      </c>
      <c r="C368" s="26">
        <v>45899</v>
      </c>
      <c r="D368" s="25" t="s">
        <v>2993</v>
      </c>
      <c r="E368" s="25" t="s">
        <v>2027</v>
      </c>
      <c r="F368" s="53" t="s">
        <v>3812</v>
      </c>
      <c r="G368" s="28">
        <v>0</v>
      </c>
    </row>
    <row r="369" spans="1:7" x14ac:dyDescent="0.35">
      <c r="A369" s="22" t="s">
        <v>2549</v>
      </c>
      <c r="B369" s="22" t="s">
        <v>2550</v>
      </c>
      <c r="C369" s="26">
        <v>45899</v>
      </c>
      <c r="D369" s="25" t="s">
        <v>2994</v>
      </c>
      <c r="E369" s="25" t="s">
        <v>1639</v>
      </c>
      <c r="F369" s="53" t="s">
        <v>3812</v>
      </c>
      <c r="G369" s="28">
        <v>0</v>
      </c>
    </row>
    <row r="370" spans="1:7" x14ac:dyDescent="0.35">
      <c r="A370" s="22" t="s">
        <v>2549</v>
      </c>
      <c r="B370" s="22" t="s">
        <v>2550</v>
      </c>
      <c r="C370" s="26">
        <v>45899</v>
      </c>
      <c r="D370" s="25" t="s">
        <v>2995</v>
      </c>
      <c r="E370" s="25" t="s">
        <v>1639</v>
      </c>
      <c r="F370" s="53" t="s">
        <v>3812</v>
      </c>
      <c r="G370" s="28">
        <v>0</v>
      </c>
    </row>
    <row r="371" spans="1:7" x14ac:dyDescent="0.35">
      <c r="A371" s="22" t="s">
        <v>2549</v>
      </c>
      <c r="B371" s="22" t="s">
        <v>2550</v>
      </c>
      <c r="C371" s="26">
        <v>45899</v>
      </c>
      <c r="D371" s="25" t="s">
        <v>2996</v>
      </c>
      <c r="E371" s="25" t="s">
        <v>1639</v>
      </c>
      <c r="F371" s="53" t="s">
        <v>3812</v>
      </c>
      <c r="G371" s="28">
        <v>0</v>
      </c>
    </row>
    <row r="372" spans="1:7" x14ac:dyDescent="0.35">
      <c r="A372" s="22" t="s">
        <v>2549</v>
      </c>
      <c r="B372" s="22" t="s">
        <v>2550</v>
      </c>
      <c r="C372" s="26">
        <v>45899</v>
      </c>
      <c r="D372" s="25" t="s">
        <v>2997</v>
      </c>
      <c r="E372" s="25" t="s">
        <v>1639</v>
      </c>
      <c r="F372" s="53" t="s">
        <v>3812</v>
      </c>
      <c r="G372" s="28">
        <v>0</v>
      </c>
    </row>
    <row r="373" spans="1:7" x14ac:dyDescent="0.35">
      <c r="A373" s="22" t="s">
        <v>2549</v>
      </c>
      <c r="B373" s="22" t="s">
        <v>2550</v>
      </c>
      <c r="C373" s="26">
        <v>45899</v>
      </c>
      <c r="D373" s="25" t="s">
        <v>2998</v>
      </c>
      <c r="E373" s="25" t="s">
        <v>1639</v>
      </c>
      <c r="F373" s="53" t="s">
        <v>3812</v>
      </c>
      <c r="G373" s="28">
        <v>0</v>
      </c>
    </row>
    <row r="374" spans="1:7" x14ac:dyDescent="0.35">
      <c r="A374" s="22" t="s">
        <v>2549</v>
      </c>
      <c r="B374" s="22" t="s">
        <v>2550</v>
      </c>
      <c r="C374" s="26">
        <v>45899</v>
      </c>
      <c r="D374" s="25">
        <v>36512</v>
      </c>
      <c r="E374" s="25" t="s">
        <v>2231</v>
      </c>
      <c r="F374" s="53" t="s">
        <v>3812</v>
      </c>
      <c r="G374" s="28">
        <v>11839.48</v>
      </c>
    </row>
    <row r="375" spans="1:7" x14ac:dyDescent="0.35">
      <c r="A375" s="22" t="s">
        <v>2549</v>
      </c>
      <c r="B375" s="22" t="s">
        <v>2550</v>
      </c>
      <c r="C375" s="26">
        <v>45899</v>
      </c>
      <c r="D375" s="25" t="s">
        <v>2999</v>
      </c>
      <c r="E375" s="25" t="s">
        <v>2487</v>
      </c>
      <c r="F375" s="53" t="s">
        <v>3812</v>
      </c>
      <c r="G375" s="28">
        <v>0</v>
      </c>
    </row>
    <row r="376" spans="1:7" x14ac:dyDescent="0.35">
      <c r="A376" s="22" t="s">
        <v>2549</v>
      </c>
      <c r="B376" s="22" t="s">
        <v>2550</v>
      </c>
      <c r="C376" s="26">
        <v>45899</v>
      </c>
      <c r="D376" s="25" t="s">
        <v>3000</v>
      </c>
      <c r="E376" s="25" t="s">
        <v>2291</v>
      </c>
      <c r="F376" s="53" t="s">
        <v>3812</v>
      </c>
      <c r="G376" s="28">
        <v>0</v>
      </c>
    </row>
    <row r="377" spans="1:7" x14ac:dyDescent="0.35">
      <c r="A377" s="22" t="s">
        <v>2549</v>
      </c>
      <c r="B377" s="22" t="s">
        <v>2550</v>
      </c>
      <c r="C377" s="26">
        <v>45899</v>
      </c>
      <c r="D377" s="25" t="s">
        <v>3001</v>
      </c>
      <c r="E377" s="25" t="s">
        <v>2291</v>
      </c>
      <c r="F377" s="53" t="s">
        <v>3812</v>
      </c>
      <c r="G377" s="28">
        <v>0</v>
      </c>
    </row>
    <row r="378" spans="1:7" x14ac:dyDescent="0.35">
      <c r="A378" s="22" t="s">
        <v>2549</v>
      </c>
      <c r="B378" s="22" t="s">
        <v>2550</v>
      </c>
      <c r="C378" s="26">
        <v>45899</v>
      </c>
      <c r="D378" s="25" t="s">
        <v>3002</v>
      </c>
      <c r="E378" s="25" t="s">
        <v>2291</v>
      </c>
      <c r="F378" s="53" t="s">
        <v>3812</v>
      </c>
      <c r="G378" s="28">
        <v>0</v>
      </c>
    </row>
    <row r="379" spans="1:7" x14ac:dyDescent="0.35">
      <c r="A379" s="22" t="s">
        <v>2549</v>
      </c>
      <c r="B379" s="22" t="s">
        <v>2550</v>
      </c>
      <c r="C379" s="26">
        <v>45899</v>
      </c>
      <c r="D379" s="25" t="s">
        <v>3003</v>
      </c>
      <c r="E379" s="25" t="s">
        <v>2291</v>
      </c>
      <c r="F379" s="53" t="s">
        <v>3812</v>
      </c>
      <c r="G379" s="28">
        <v>0</v>
      </c>
    </row>
    <row r="380" spans="1:7" x14ac:dyDescent="0.35">
      <c r="A380" s="22" t="s">
        <v>2549</v>
      </c>
      <c r="B380" s="22" t="s">
        <v>2550</v>
      </c>
      <c r="C380" s="26">
        <v>45899</v>
      </c>
      <c r="D380" s="25" t="s">
        <v>3004</v>
      </c>
      <c r="E380" s="25" t="s">
        <v>2291</v>
      </c>
      <c r="F380" s="53" t="s">
        <v>3812</v>
      </c>
      <c r="G380" s="28">
        <v>0</v>
      </c>
    </row>
    <row r="381" spans="1:7" x14ac:dyDescent="0.35">
      <c r="A381" s="22" t="s">
        <v>2549</v>
      </c>
      <c r="B381" s="22" t="s">
        <v>2550</v>
      </c>
      <c r="C381" s="26">
        <v>45899</v>
      </c>
      <c r="D381" s="25" t="s">
        <v>3005</v>
      </c>
      <c r="E381" s="25" t="s">
        <v>2291</v>
      </c>
      <c r="F381" s="53" t="s">
        <v>3812</v>
      </c>
      <c r="G381" s="28">
        <v>0</v>
      </c>
    </row>
    <row r="382" spans="1:7" x14ac:dyDescent="0.35">
      <c r="A382" s="22" t="s">
        <v>2549</v>
      </c>
      <c r="B382" s="22" t="s">
        <v>2550</v>
      </c>
      <c r="C382" s="26">
        <v>45899</v>
      </c>
      <c r="D382" s="25" t="s">
        <v>3006</v>
      </c>
      <c r="E382" s="25" t="s">
        <v>2291</v>
      </c>
      <c r="F382" s="53" t="s">
        <v>3812</v>
      </c>
      <c r="G382" s="28">
        <v>0</v>
      </c>
    </row>
    <row r="383" spans="1:7" x14ac:dyDescent="0.35">
      <c r="A383" s="22" t="s">
        <v>2549</v>
      </c>
      <c r="B383" s="22" t="s">
        <v>2550</v>
      </c>
      <c r="C383" s="26">
        <v>45899</v>
      </c>
      <c r="D383" s="25" t="s">
        <v>3007</v>
      </c>
      <c r="E383" s="25" t="s">
        <v>2291</v>
      </c>
      <c r="F383" s="53" t="s">
        <v>3812</v>
      </c>
      <c r="G383" s="28">
        <v>0</v>
      </c>
    </row>
    <row r="384" spans="1:7" x14ac:dyDescent="0.35">
      <c r="A384" s="22" t="s">
        <v>2549</v>
      </c>
      <c r="B384" s="22" t="s">
        <v>2550</v>
      </c>
      <c r="C384" s="26">
        <v>45899</v>
      </c>
      <c r="D384" s="25" t="s">
        <v>3008</v>
      </c>
      <c r="E384" s="25" t="s">
        <v>2429</v>
      </c>
      <c r="F384" s="53" t="s">
        <v>3812</v>
      </c>
      <c r="G384" s="28">
        <v>0</v>
      </c>
    </row>
    <row r="385" spans="1:7" x14ac:dyDescent="0.35">
      <c r="A385" s="22" t="s">
        <v>2549</v>
      </c>
      <c r="B385" s="22" t="s">
        <v>2550</v>
      </c>
      <c r="C385" s="26">
        <v>45899</v>
      </c>
      <c r="D385" s="25" t="s">
        <v>3009</v>
      </c>
      <c r="E385" s="25" t="s">
        <v>2429</v>
      </c>
      <c r="F385" s="53" t="s">
        <v>3812</v>
      </c>
      <c r="G385" s="28">
        <v>0</v>
      </c>
    </row>
    <row r="386" spans="1:7" x14ac:dyDescent="0.35">
      <c r="A386" s="22" t="s">
        <v>2549</v>
      </c>
      <c r="B386" s="22" t="s">
        <v>2550</v>
      </c>
      <c r="C386" s="26">
        <v>45899</v>
      </c>
      <c r="D386" s="25" t="s">
        <v>3010</v>
      </c>
      <c r="E386" s="25" t="s">
        <v>2429</v>
      </c>
      <c r="F386" s="53" t="s">
        <v>3812</v>
      </c>
      <c r="G386" s="28">
        <v>0</v>
      </c>
    </row>
    <row r="387" spans="1:7" x14ac:dyDescent="0.35">
      <c r="A387" s="22" t="s">
        <v>2549</v>
      </c>
      <c r="B387" s="22" t="s">
        <v>2550</v>
      </c>
      <c r="C387" s="26">
        <v>45899</v>
      </c>
      <c r="D387" s="25" t="s">
        <v>3011</v>
      </c>
      <c r="E387" s="25" t="s">
        <v>1179</v>
      </c>
      <c r="F387" s="53" t="s">
        <v>3812</v>
      </c>
      <c r="G387" s="28">
        <v>0</v>
      </c>
    </row>
    <row r="388" spans="1:7" x14ac:dyDescent="0.35">
      <c r="A388" s="22" t="s">
        <v>2549</v>
      </c>
      <c r="B388" s="22" t="s">
        <v>2550</v>
      </c>
      <c r="C388" s="26">
        <v>45899</v>
      </c>
      <c r="D388" s="25" t="s">
        <v>3012</v>
      </c>
      <c r="E388" s="25" t="s">
        <v>1179</v>
      </c>
      <c r="F388" s="53" t="s">
        <v>3812</v>
      </c>
      <c r="G388" s="28">
        <v>0</v>
      </c>
    </row>
    <row r="389" spans="1:7" x14ac:dyDescent="0.35">
      <c r="A389" s="22" t="s">
        <v>2549</v>
      </c>
      <c r="B389" s="22" t="s">
        <v>2550</v>
      </c>
      <c r="C389" s="26">
        <v>45899</v>
      </c>
      <c r="D389" s="25" t="s">
        <v>3013</v>
      </c>
      <c r="E389" s="25" t="s">
        <v>1179</v>
      </c>
      <c r="F389" s="53" t="s">
        <v>3812</v>
      </c>
      <c r="G389" s="28">
        <v>0</v>
      </c>
    </row>
    <row r="390" spans="1:7" x14ac:dyDescent="0.35">
      <c r="A390" s="22" t="s">
        <v>2549</v>
      </c>
      <c r="B390" s="22" t="s">
        <v>2550</v>
      </c>
      <c r="C390" s="26">
        <v>45899</v>
      </c>
      <c r="D390" s="25" t="s">
        <v>3014</v>
      </c>
      <c r="E390" s="25" t="s">
        <v>1179</v>
      </c>
      <c r="F390" s="53" t="s">
        <v>3812</v>
      </c>
      <c r="G390" s="28">
        <v>0</v>
      </c>
    </row>
    <row r="391" spans="1:7" x14ac:dyDescent="0.35">
      <c r="A391" s="22" t="s">
        <v>2549</v>
      </c>
      <c r="B391" s="22" t="s">
        <v>2550</v>
      </c>
      <c r="C391" s="26">
        <v>45899</v>
      </c>
      <c r="D391" s="25" t="s">
        <v>3015</v>
      </c>
      <c r="E391" s="25" t="s">
        <v>1363</v>
      </c>
      <c r="F391" s="53" t="s">
        <v>3812</v>
      </c>
      <c r="G391" s="28">
        <v>0</v>
      </c>
    </row>
    <row r="392" spans="1:7" x14ac:dyDescent="0.35">
      <c r="A392" s="22" t="s">
        <v>2549</v>
      </c>
      <c r="B392" s="22" t="s">
        <v>2550</v>
      </c>
      <c r="C392" s="26">
        <v>45899</v>
      </c>
      <c r="D392" s="25" t="s">
        <v>3016</v>
      </c>
      <c r="E392" s="25" t="s">
        <v>1363</v>
      </c>
      <c r="F392" s="53" t="s">
        <v>3812</v>
      </c>
      <c r="G392" s="28">
        <v>0</v>
      </c>
    </row>
    <row r="393" spans="1:7" x14ac:dyDescent="0.35">
      <c r="A393" s="22" t="s">
        <v>2549</v>
      </c>
      <c r="B393" s="22" t="s">
        <v>2550</v>
      </c>
      <c r="C393" s="26">
        <v>45899</v>
      </c>
      <c r="D393" s="25" t="s">
        <v>3017</v>
      </c>
      <c r="E393" s="25" t="s">
        <v>1426</v>
      </c>
      <c r="F393" s="53" t="s">
        <v>3812</v>
      </c>
      <c r="G393" s="28">
        <v>0</v>
      </c>
    </row>
    <row r="394" spans="1:7" x14ac:dyDescent="0.35">
      <c r="A394" s="22" t="s">
        <v>2549</v>
      </c>
      <c r="B394" s="22" t="s">
        <v>2550</v>
      </c>
      <c r="C394" s="26">
        <v>45899</v>
      </c>
      <c r="D394" s="25" t="s">
        <v>3018</v>
      </c>
      <c r="E394" s="25" t="s">
        <v>1426</v>
      </c>
      <c r="F394" s="53" t="s">
        <v>3812</v>
      </c>
      <c r="G394" s="28">
        <v>0</v>
      </c>
    </row>
    <row r="395" spans="1:7" x14ac:dyDescent="0.35">
      <c r="A395" s="22" t="s">
        <v>2549</v>
      </c>
      <c r="B395" s="22" t="s">
        <v>2550</v>
      </c>
      <c r="C395" s="26">
        <v>45899</v>
      </c>
      <c r="D395" s="25" t="s">
        <v>3019</v>
      </c>
      <c r="E395" s="25" t="s">
        <v>1426</v>
      </c>
      <c r="F395" s="53" t="s">
        <v>3812</v>
      </c>
      <c r="G395" s="28">
        <v>0</v>
      </c>
    </row>
    <row r="396" spans="1:7" x14ac:dyDescent="0.35">
      <c r="A396" s="22" t="s">
        <v>2549</v>
      </c>
      <c r="B396" s="22" t="s">
        <v>2550</v>
      </c>
      <c r="C396" s="26">
        <v>45899</v>
      </c>
      <c r="D396" s="25" t="s">
        <v>3020</v>
      </c>
      <c r="E396" s="25" t="s">
        <v>1426</v>
      </c>
      <c r="F396" s="53" t="s">
        <v>3812</v>
      </c>
      <c r="G396" s="28">
        <v>0</v>
      </c>
    </row>
    <row r="397" spans="1:7" x14ac:dyDescent="0.35">
      <c r="A397" s="22" t="s">
        <v>2549</v>
      </c>
      <c r="B397" s="22" t="s">
        <v>2550</v>
      </c>
      <c r="C397" s="26">
        <v>45899</v>
      </c>
      <c r="D397" s="25" t="s">
        <v>3021</v>
      </c>
      <c r="E397" s="25" t="s">
        <v>1426</v>
      </c>
      <c r="F397" s="53" t="s">
        <v>3812</v>
      </c>
      <c r="G397" s="28">
        <v>0</v>
      </c>
    </row>
    <row r="398" spans="1:7" x14ac:dyDescent="0.35">
      <c r="A398" s="22" t="s">
        <v>2549</v>
      </c>
      <c r="B398" s="22" t="s">
        <v>2550</v>
      </c>
      <c r="C398" s="26">
        <v>45899</v>
      </c>
      <c r="D398" s="25" t="s">
        <v>3022</v>
      </c>
      <c r="E398" s="25" t="s">
        <v>1426</v>
      </c>
      <c r="F398" s="53" t="s">
        <v>3812</v>
      </c>
      <c r="G398" s="28">
        <v>0</v>
      </c>
    </row>
    <row r="399" spans="1:7" x14ac:dyDescent="0.35">
      <c r="A399" s="22" t="s">
        <v>2549</v>
      </c>
      <c r="B399" s="22" t="s">
        <v>2550</v>
      </c>
      <c r="C399" s="26">
        <v>45899</v>
      </c>
      <c r="D399" s="25" t="s">
        <v>3023</v>
      </c>
      <c r="E399" s="25" t="s">
        <v>1426</v>
      </c>
      <c r="F399" s="53" t="s">
        <v>3812</v>
      </c>
      <c r="G399" s="28">
        <v>0</v>
      </c>
    </row>
    <row r="400" spans="1:7" x14ac:dyDescent="0.35">
      <c r="A400" s="22" t="s">
        <v>2549</v>
      </c>
      <c r="B400" s="22" t="s">
        <v>2550</v>
      </c>
      <c r="C400" s="26">
        <v>45899</v>
      </c>
      <c r="D400" s="25" t="s">
        <v>3024</v>
      </c>
      <c r="E400" s="25" t="s">
        <v>1426</v>
      </c>
      <c r="F400" s="53" t="s">
        <v>3812</v>
      </c>
      <c r="G400" s="28">
        <v>0</v>
      </c>
    </row>
    <row r="401" spans="1:7" x14ac:dyDescent="0.35">
      <c r="A401" s="22" t="s">
        <v>2549</v>
      </c>
      <c r="B401" s="22" t="s">
        <v>2550</v>
      </c>
      <c r="C401" s="26">
        <v>45899</v>
      </c>
      <c r="D401" s="25" t="s">
        <v>3026</v>
      </c>
      <c r="E401" s="25" t="s">
        <v>1426</v>
      </c>
      <c r="F401" s="53" t="s">
        <v>3812</v>
      </c>
      <c r="G401" s="28">
        <v>0</v>
      </c>
    </row>
    <row r="402" spans="1:7" x14ac:dyDescent="0.35">
      <c r="A402" s="22" t="s">
        <v>2549</v>
      </c>
      <c r="B402" s="22" t="s">
        <v>2550</v>
      </c>
      <c r="C402" s="26">
        <v>45899</v>
      </c>
      <c r="D402" s="25" t="s">
        <v>3027</v>
      </c>
      <c r="E402" s="25" t="s">
        <v>1426</v>
      </c>
      <c r="F402" s="53" t="s">
        <v>3812</v>
      </c>
      <c r="G402" s="28">
        <v>0</v>
      </c>
    </row>
    <row r="403" spans="1:7" x14ac:dyDescent="0.35">
      <c r="A403" s="22" t="s">
        <v>2549</v>
      </c>
      <c r="B403" s="22" t="s">
        <v>2550</v>
      </c>
      <c r="C403" s="26">
        <v>45899</v>
      </c>
      <c r="D403" s="25" t="s">
        <v>3028</v>
      </c>
      <c r="E403" s="25" t="s">
        <v>1426</v>
      </c>
      <c r="F403" s="53" t="s">
        <v>3812</v>
      </c>
      <c r="G403" s="28">
        <v>0</v>
      </c>
    </row>
    <row r="404" spans="1:7" x14ac:dyDescent="0.35">
      <c r="A404" s="22" t="s">
        <v>2549</v>
      </c>
      <c r="B404" s="22" t="s">
        <v>2550</v>
      </c>
      <c r="C404" s="26">
        <v>45899</v>
      </c>
      <c r="D404" s="25" t="s">
        <v>3029</v>
      </c>
      <c r="E404" s="25" t="s">
        <v>1426</v>
      </c>
      <c r="F404" s="53" t="s">
        <v>3812</v>
      </c>
      <c r="G404" s="28">
        <v>0.56000000000000005</v>
      </c>
    </row>
    <row r="405" spans="1:7" x14ac:dyDescent="0.35">
      <c r="A405" s="22" t="s">
        <v>2549</v>
      </c>
      <c r="B405" s="22" t="s">
        <v>2550</v>
      </c>
      <c r="C405" s="26">
        <v>45899</v>
      </c>
      <c r="D405" s="25" t="s">
        <v>3030</v>
      </c>
      <c r="E405" s="25" t="s">
        <v>1426</v>
      </c>
      <c r="F405" s="53" t="s">
        <v>3812</v>
      </c>
      <c r="G405" s="28">
        <v>0</v>
      </c>
    </row>
    <row r="406" spans="1:7" x14ac:dyDescent="0.35">
      <c r="A406" s="22" t="s">
        <v>2549</v>
      </c>
      <c r="B406" s="22" t="s">
        <v>2550</v>
      </c>
      <c r="C406" s="26">
        <v>45899</v>
      </c>
      <c r="D406" s="25" t="s">
        <v>3031</v>
      </c>
      <c r="E406" s="25" t="s">
        <v>1924</v>
      </c>
      <c r="F406" s="53" t="s">
        <v>3812</v>
      </c>
      <c r="G406" s="28">
        <v>0</v>
      </c>
    </row>
    <row r="407" spans="1:7" x14ac:dyDescent="0.35">
      <c r="A407" s="22" t="s">
        <v>2549</v>
      </c>
      <c r="B407" s="22" t="s">
        <v>2550</v>
      </c>
      <c r="C407" s="26">
        <v>45899</v>
      </c>
      <c r="D407" s="25" t="s">
        <v>3032</v>
      </c>
      <c r="E407" s="25" t="s">
        <v>1924</v>
      </c>
      <c r="F407" s="53" t="s">
        <v>3812</v>
      </c>
      <c r="G407" s="28">
        <v>0</v>
      </c>
    </row>
    <row r="408" spans="1:7" x14ac:dyDescent="0.35">
      <c r="A408" s="22" t="s">
        <v>2549</v>
      </c>
      <c r="B408" s="22" t="s">
        <v>2550</v>
      </c>
      <c r="C408" s="26">
        <v>45899</v>
      </c>
      <c r="D408" s="25" t="s">
        <v>3033</v>
      </c>
      <c r="E408" s="25" t="s">
        <v>1924</v>
      </c>
      <c r="F408" s="53" t="s">
        <v>3812</v>
      </c>
      <c r="G408" s="28">
        <v>0</v>
      </c>
    </row>
    <row r="409" spans="1:7" x14ac:dyDescent="0.35">
      <c r="A409" s="22" t="s">
        <v>2549</v>
      </c>
      <c r="B409" s="22" t="s">
        <v>2550</v>
      </c>
      <c r="C409" s="26">
        <v>45899</v>
      </c>
      <c r="D409" s="25" t="s">
        <v>3034</v>
      </c>
      <c r="E409" s="25" t="s">
        <v>1924</v>
      </c>
      <c r="F409" s="53" t="s">
        <v>3812</v>
      </c>
      <c r="G409" s="28">
        <v>0</v>
      </c>
    </row>
    <row r="410" spans="1:7" x14ac:dyDescent="0.35">
      <c r="A410" s="22" t="s">
        <v>2549</v>
      </c>
      <c r="B410" s="22" t="s">
        <v>2550</v>
      </c>
      <c r="C410" s="26">
        <v>45899</v>
      </c>
      <c r="D410" s="25" t="s">
        <v>3035</v>
      </c>
      <c r="E410" s="25" t="s">
        <v>1924</v>
      </c>
      <c r="F410" s="53" t="s">
        <v>3812</v>
      </c>
      <c r="G410" s="28">
        <v>0</v>
      </c>
    </row>
    <row r="411" spans="1:7" x14ac:dyDescent="0.35">
      <c r="A411" s="22" t="s">
        <v>2549</v>
      </c>
      <c r="B411" s="22" t="s">
        <v>2550</v>
      </c>
      <c r="C411" s="26">
        <v>45899</v>
      </c>
      <c r="D411" s="25" t="s">
        <v>3036</v>
      </c>
      <c r="E411" s="25" t="s">
        <v>3452</v>
      </c>
      <c r="F411" s="53" t="s">
        <v>3812</v>
      </c>
      <c r="G411" s="28">
        <v>48.79</v>
      </c>
    </row>
    <row r="412" spans="1:7" x14ac:dyDescent="0.35">
      <c r="A412" s="22" t="s">
        <v>2549</v>
      </c>
      <c r="B412" s="22" t="s">
        <v>2550</v>
      </c>
      <c r="C412" s="26">
        <v>45899</v>
      </c>
      <c r="D412" s="25" t="s">
        <v>3038</v>
      </c>
      <c r="E412" s="25" t="s">
        <v>3452</v>
      </c>
      <c r="F412" s="53" t="s">
        <v>3812</v>
      </c>
      <c r="G412" s="28">
        <v>8.92</v>
      </c>
    </row>
    <row r="413" spans="1:7" x14ac:dyDescent="0.35">
      <c r="A413" s="22" t="s">
        <v>2549</v>
      </c>
      <c r="B413" s="22" t="s">
        <v>2550</v>
      </c>
      <c r="C413" s="26">
        <v>45899</v>
      </c>
      <c r="D413" s="25" t="s">
        <v>3039</v>
      </c>
      <c r="E413" s="25" t="s">
        <v>1004</v>
      </c>
      <c r="F413" s="53" t="s">
        <v>3812</v>
      </c>
      <c r="G413" s="28">
        <v>0</v>
      </c>
    </row>
    <row r="414" spans="1:7" x14ac:dyDescent="0.35">
      <c r="A414" s="22" t="s">
        <v>2549</v>
      </c>
      <c r="B414" s="22" t="s">
        <v>2550</v>
      </c>
      <c r="C414" s="26">
        <v>45899</v>
      </c>
      <c r="D414" s="25" t="s">
        <v>3040</v>
      </c>
      <c r="E414" s="25" t="s">
        <v>1004</v>
      </c>
      <c r="F414" s="53" t="s">
        <v>3812</v>
      </c>
      <c r="G414" s="28">
        <v>0</v>
      </c>
    </row>
    <row r="415" spans="1:7" x14ac:dyDescent="0.35">
      <c r="A415" s="22" t="s">
        <v>2549</v>
      </c>
      <c r="B415" s="22" t="s">
        <v>2550</v>
      </c>
      <c r="C415" s="26">
        <v>45899</v>
      </c>
      <c r="D415" s="25" t="s">
        <v>3041</v>
      </c>
      <c r="E415" s="25" t="s">
        <v>1004</v>
      </c>
      <c r="F415" s="53" t="s">
        <v>3812</v>
      </c>
      <c r="G415" s="28">
        <v>0</v>
      </c>
    </row>
    <row r="416" spans="1:7" x14ac:dyDescent="0.35">
      <c r="A416" s="22" t="s">
        <v>2549</v>
      </c>
      <c r="B416" s="22" t="s">
        <v>2550</v>
      </c>
      <c r="C416" s="26">
        <v>45899</v>
      </c>
      <c r="D416" s="25" t="s">
        <v>3042</v>
      </c>
      <c r="E416" s="25" t="s">
        <v>1684</v>
      </c>
      <c r="F416" s="53" t="s">
        <v>3812</v>
      </c>
      <c r="G416" s="28">
        <v>0</v>
      </c>
    </row>
    <row r="417" spans="1:7" x14ac:dyDescent="0.35">
      <c r="A417" s="22" t="s">
        <v>2549</v>
      </c>
      <c r="B417" s="22" t="s">
        <v>2550</v>
      </c>
      <c r="C417" s="26">
        <v>45899</v>
      </c>
      <c r="D417" s="25" t="s">
        <v>3043</v>
      </c>
      <c r="E417" s="25" t="s">
        <v>1684</v>
      </c>
      <c r="F417" s="53" t="s">
        <v>3812</v>
      </c>
      <c r="G417" s="28">
        <v>0</v>
      </c>
    </row>
    <row r="418" spans="1:7" x14ac:dyDescent="0.35">
      <c r="A418" s="22" t="s">
        <v>2549</v>
      </c>
      <c r="B418" s="22" t="s">
        <v>2550</v>
      </c>
      <c r="C418" s="26">
        <v>45899</v>
      </c>
      <c r="D418" s="25" t="s">
        <v>3044</v>
      </c>
      <c r="E418" s="25" t="s">
        <v>1684</v>
      </c>
      <c r="F418" s="53" t="s">
        <v>3812</v>
      </c>
      <c r="G418" s="28">
        <v>0</v>
      </c>
    </row>
    <row r="419" spans="1:7" x14ac:dyDescent="0.35">
      <c r="A419" s="22" t="s">
        <v>2549</v>
      </c>
      <c r="B419" s="22" t="s">
        <v>2550</v>
      </c>
      <c r="C419" s="26">
        <v>45899</v>
      </c>
      <c r="D419" s="25" t="s">
        <v>3045</v>
      </c>
      <c r="E419" s="25" t="s">
        <v>1358</v>
      </c>
      <c r="F419" s="53" t="s">
        <v>3812</v>
      </c>
      <c r="G419" s="28">
        <v>0</v>
      </c>
    </row>
    <row r="420" spans="1:7" x14ac:dyDescent="0.35">
      <c r="A420" s="22" t="s">
        <v>2549</v>
      </c>
      <c r="B420" s="22" t="s">
        <v>2550</v>
      </c>
      <c r="C420" s="26">
        <v>45899</v>
      </c>
      <c r="D420" s="25" t="s">
        <v>3046</v>
      </c>
      <c r="E420" s="25" t="s">
        <v>1358</v>
      </c>
      <c r="F420" s="53" t="s">
        <v>3812</v>
      </c>
      <c r="G420" s="28">
        <v>0</v>
      </c>
    </row>
    <row r="421" spans="1:7" x14ac:dyDescent="0.35">
      <c r="A421" s="22" t="s">
        <v>2549</v>
      </c>
      <c r="B421" s="22" t="s">
        <v>2550</v>
      </c>
      <c r="C421" s="26">
        <v>45899</v>
      </c>
      <c r="D421" s="25" t="s">
        <v>3047</v>
      </c>
      <c r="E421" s="25" t="s">
        <v>1358</v>
      </c>
      <c r="F421" s="53" t="s">
        <v>3812</v>
      </c>
      <c r="G421" s="28">
        <v>0</v>
      </c>
    </row>
    <row r="422" spans="1:7" x14ac:dyDescent="0.35">
      <c r="A422" s="22" t="s">
        <v>2549</v>
      </c>
      <c r="B422" s="22" t="s">
        <v>2550</v>
      </c>
      <c r="C422" s="26">
        <v>45899</v>
      </c>
      <c r="D422" s="25" t="s">
        <v>3048</v>
      </c>
      <c r="E422" s="25" t="s">
        <v>1358</v>
      </c>
      <c r="F422" s="53" t="s">
        <v>3812</v>
      </c>
      <c r="G422" s="28">
        <v>0</v>
      </c>
    </row>
    <row r="423" spans="1:7" x14ac:dyDescent="0.35">
      <c r="A423" s="22" t="s">
        <v>2549</v>
      </c>
      <c r="B423" s="22" t="s">
        <v>2550</v>
      </c>
      <c r="C423" s="26">
        <v>45899</v>
      </c>
      <c r="D423" s="25" t="s">
        <v>3049</v>
      </c>
      <c r="E423" s="25" t="s">
        <v>1085</v>
      </c>
      <c r="F423" s="53" t="s">
        <v>3812</v>
      </c>
      <c r="G423" s="28">
        <v>600</v>
      </c>
    </row>
    <row r="424" spans="1:7" x14ac:dyDescent="0.35">
      <c r="A424" s="22" t="s">
        <v>2549</v>
      </c>
      <c r="B424" s="22" t="s">
        <v>2550</v>
      </c>
      <c r="C424" s="26">
        <v>45899</v>
      </c>
      <c r="D424" s="25" t="s">
        <v>3050</v>
      </c>
      <c r="E424" s="25" t="s">
        <v>1085</v>
      </c>
      <c r="F424" s="53" t="s">
        <v>3812</v>
      </c>
      <c r="G424" s="28">
        <v>0</v>
      </c>
    </row>
    <row r="425" spans="1:7" x14ac:dyDescent="0.35">
      <c r="A425" s="22" t="s">
        <v>2549</v>
      </c>
      <c r="B425" s="22" t="s">
        <v>2550</v>
      </c>
      <c r="C425" s="26">
        <v>45899</v>
      </c>
      <c r="D425" s="25" t="s">
        <v>3051</v>
      </c>
      <c r="E425" s="25" t="s">
        <v>1085</v>
      </c>
      <c r="F425" s="53" t="s">
        <v>3812</v>
      </c>
      <c r="G425" s="28">
        <v>0</v>
      </c>
    </row>
    <row r="426" spans="1:7" x14ac:dyDescent="0.35">
      <c r="A426" s="22" t="s">
        <v>2549</v>
      </c>
      <c r="B426" s="22" t="s">
        <v>2550</v>
      </c>
      <c r="C426" s="26">
        <v>45899</v>
      </c>
      <c r="D426" s="25" t="s">
        <v>3052</v>
      </c>
      <c r="E426" s="25" t="s">
        <v>1085</v>
      </c>
      <c r="F426" s="53" t="s">
        <v>3812</v>
      </c>
      <c r="G426" s="28">
        <v>0</v>
      </c>
    </row>
    <row r="427" spans="1:7" x14ac:dyDescent="0.35">
      <c r="A427" s="22" t="s">
        <v>2549</v>
      </c>
      <c r="B427" s="22" t="s">
        <v>2550</v>
      </c>
      <c r="C427" s="26">
        <v>45899</v>
      </c>
      <c r="D427" s="25" t="s">
        <v>3053</v>
      </c>
      <c r="E427" s="25" t="s">
        <v>1085</v>
      </c>
      <c r="F427" s="53" t="s">
        <v>3812</v>
      </c>
      <c r="G427" s="28">
        <v>0</v>
      </c>
    </row>
    <row r="428" spans="1:7" x14ac:dyDescent="0.35">
      <c r="A428" s="22" t="s">
        <v>2549</v>
      </c>
      <c r="B428" s="22" t="s">
        <v>2550</v>
      </c>
      <c r="C428" s="26">
        <v>45899</v>
      </c>
      <c r="D428" s="25" t="s">
        <v>3054</v>
      </c>
      <c r="E428" s="25" t="s">
        <v>1085</v>
      </c>
      <c r="F428" s="53" t="s">
        <v>3812</v>
      </c>
      <c r="G428" s="28">
        <v>0</v>
      </c>
    </row>
    <row r="429" spans="1:7" x14ac:dyDescent="0.35">
      <c r="A429" s="22" t="s">
        <v>2549</v>
      </c>
      <c r="B429" s="22" t="s">
        <v>2550</v>
      </c>
      <c r="C429" s="26">
        <v>45899</v>
      </c>
      <c r="D429" s="25" t="s">
        <v>3055</v>
      </c>
      <c r="E429" s="25" t="s">
        <v>1085</v>
      </c>
      <c r="F429" s="53" t="s">
        <v>3812</v>
      </c>
      <c r="G429" s="28">
        <v>0</v>
      </c>
    </row>
    <row r="430" spans="1:7" x14ac:dyDescent="0.35">
      <c r="A430" s="22" t="s">
        <v>2549</v>
      </c>
      <c r="B430" s="22" t="s">
        <v>2550</v>
      </c>
      <c r="C430" s="26">
        <v>45899</v>
      </c>
      <c r="D430" s="25" t="s">
        <v>3056</v>
      </c>
      <c r="E430" s="25" t="s">
        <v>1085</v>
      </c>
      <c r="F430" s="53" t="s">
        <v>3812</v>
      </c>
      <c r="G430" s="28">
        <v>0</v>
      </c>
    </row>
    <row r="431" spans="1:7" x14ac:dyDescent="0.35">
      <c r="A431" s="22" t="s">
        <v>2549</v>
      </c>
      <c r="B431" s="22" t="s">
        <v>2550</v>
      </c>
      <c r="C431" s="26">
        <v>45899</v>
      </c>
      <c r="D431" s="25" t="s">
        <v>3057</v>
      </c>
      <c r="E431" s="25" t="s">
        <v>1085</v>
      </c>
      <c r="F431" s="53" t="s">
        <v>3812</v>
      </c>
      <c r="G431" s="28">
        <v>0</v>
      </c>
    </row>
    <row r="432" spans="1:7" x14ac:dyDescent="0.35">
      <c r="A432" s="22" t="s">
        <v>2549</v>
      </c>
      <c r="B432" s="22" t="s">
        <v>2550</v>
      </c>
      <c r="C432" s="26">
        <v>45899</v>
      </c>
      <c r="D432" s="25" t="s">
        <v>3058</v>
      </c>
      <c r="E432" s="25" t="s">
        <v>1085</v>
      </c>
      <c r="F432" s="53" t="s">
        <v>3812</v>
      </c>
      <c r="G432" s="28">
        <v>0</v>
      </c>
    </row>
    <row r="433" spans="1:7" x14ac:dyDescent="0.35">
      <c r="A433" s="22" t="s">
        <v>2549</v>
      </c>
      <c r="B433" s="22" t="s">
        <v>2550</v>
      </c>
      <c r="C433" s="26">
        <v>45899</v>
      </c>
      <c r="D433" s="25" t="s">
        <v>3059</v>
      </c>
      <c r="E433" s="25" t="s">
        <v>1272</v>
      </c>
      <c r="F433" s="53" t="s">
        <v>3812</v>
      </c>
      <c r="G433" s="28">
        <v>0</v>
      </c>
    </row>
    <row r="434" spans="1:7" x14ac:dyDescent="0.35">
      <c r="A434" s="22" t="s">
        <v>2549</v>
      </c>
      <c r="B434" s="22" t="s">
        <v>2550</v>
      </c>
      <c r="C434" s="26">
        <v>45899</v>
      </c>
      <c r="D434" s="25" t="s">
        <v>3060</v>
      </c>
      <c r="E434" s="25" t="s">
        <v>2247</v>
      </c>
      <c r="F434" s="53" t="s">
        <v>3812</v>
      </c>
      <c r="G434" s="28">
        <v>0</v>
      </c>
    </row>
    <row r="435" spans="1:7" x14ac:dyDescent="0.35">
      <c r="A435" s="22" t="s">
        <v>2549</v>
      </c>
      <c r="B435" s="22" t="s">
        <v>2550</v>
      </c>
      <c r="C435" s="26">
        <v>45899</v>
      </c>
      <c r="D435" s="25" t="s">
        <v>3062</v>
      </c>
      <c r="E435" s="25" t="s">
        <v>1426</v>
      </c>
      <c r="F435" s="53" t="s">
        <v>3812</v>
      </c>
      <c r="G435" s="28">
        <v>0</v>
      </c>
    </row>
    <row r="436" spans="1:7" x14ac:dyDescent="0.35">
      <c r="A436" s="22" t="s">
        <v>2549</v>
      </c>
      <c r="B436" s="22" t="s">
        <v>2550</v>
      </c>
      <c r="C436" s="26">
        <v>45899</v>
      </c>
      <c r="D436" s="25" t="s">
        <v>3063</v>
      </c>
      <c r="E436" s="25" t="s">
        <v>1272</v>
      </c>
      <c r="F436" s="53" t="s">
        <v>3812</v>
      </c>
      <c r="G436" s="28">
        <v>0</v>
      </c>
    </row>
    <row r="437" spans="1:7" x14ac:dyDescent="0.35">
      <c r="A437" s="22" t="s">
        <v>2549</v>
      </c>
      <c r="B437" s="22" t="s">
        <v>2550</v>
      </c>
      <c r="C437" s="26">
        <v>45899</v>
      </c>
      <c r="D437" s="25" t="s">
        <v>3064</v>
      </c>
      <c r="E437" s="25" t="s">
        <v>2480</v>
      </c>
      <c r="F437" s="53" t="s">
        <v>3812</v>
      </c>
      <c r="G437" s="28">
        <v>0</v>
      </c>
    </row>
    <row r="438" spans="1:7" x14ac:dyDescent="0.35">
      <c r="A438" s="22" t="s">
        <v>2549</v>
      </c>
      <c r="B438" s="22" t="s">
        <v>2550</v>
      </c>
      <c r="C438" s="26">
        <v>45899</v>
      </c>
      <c r="D438" s="25" t="s">
        <v>3065</v>
      </c>
      <c r="E438" s="25" t="s">
        <v>3230</v>
      </c>
      <c r="F438" s="53" t="s">
        <v>3812</v>
      </c>
      <c r="G438" s="28">
        <v>0</v>
      </c>
    </row>
    <row r="439" spans="1:7" x14ac:dyDescent="0.35">
      <c r="A439" s="22" t="s">
        <v>2549</v>
      </c>
      <c r="B439" s="22" t="s">
        <v>2550</v>
      </c>
      <c r="C439" s="26">
        <v>45899</v>
      </c>
      <c r="D439" s="25" t="s">
        <v>3066</v>
      </c>
      <c r="E439" s="25" t="s">
        <v>2631</v>
      </c>
      <c r="F439" s="53" t="s">
        <v>3812</v>
      </c>
      <c r="G439" s="28">
        <v>0</v>
      </c>
    </row>
    <row r="440" spans="1:7" x14ac:dyDescent="0.35">
      <c r="A440" s="22" t="s">
        <v>2549</v>
      </c>
      <c r="B440" s="22" t="s">
        <v>2550</v>
      </c>
      <c r="C440" s="26">
        <v>45899</v>
      </c>
      <c r="D440" s="25" t="s">
        <v>3067</v>
      </c>
      <c r="E440" s="25" t="s">
        <v>2631</v>
      </c>
      <c r="F440" s="53" t="s">
        <v>3812</v>
      </c>
      <c r="G440" s="28">
        <v>0</v>
      </c>
    </row>
    <row r="441" spans="1:7" x14ac:dyDescent="0.35">
      <c r="A441" s="22" t="s">
        <v>2549</v>
      </c>
      <c r="B441" s="22" t="s">
        <v>2550</v>
      </c>
      <c r="C441" s="26">
        <v>45899</v>
      </c>
      <c r="D441" s="25" t="s">
        <v>3068</v>
      </c>
      <c r="E441" s="25" t="s">
        <v>2631</v>
      </c>
      <c r="F441" s="53" t="s">
        <v>3812</v>
      </c>
      <c r="G441" s="28">
        <v>0</v>
      </c>
    </row>
    <row r="442" spans="1:7" x14ac:dyDescent="0.35">
      <c r="A442" s="22" t="s">
        <v>2549</v>
      </c>
      <c r="B442" s="22" t="s">
        <v>2550</v>
      </c>
      <c r="C442" s="26">
        <v>45899</v>
      </c>
      <c r="D442" s="25" t="s">
        <v>3069</v>
      </c>
      <c r="E442" s="25" t="s">
        <v>2631</v>
      </c>
      <c r="F442" s="53" t="s">
        <v>3812</v>
      </c>
      <c r="G442" s="28">
        <v>0</v>
      </c>
    </row>
    <row r="443" spans="1:7" x14ac:dyDescent="0.35">
      <c r="A443" s="22" t="s">
        <v>2549</v>
      </c>
      <c r="B443" s="22" t="s">
        <v>2550</v>
      </c>
      <c r="C443" s="26">
        <v>45899</v>
      </c>
      <c r="D443" s="25" t="s">
        <v>3070</v>
      </c>
      <c r="E443" s="25" t="s">
        <v>2631</v>
      </c>
      <c r="F443" s="53" t="s">
        <v>3812</v>
      </c>
      <c r="G443" s="28">
        <v>0</v>
      </c>
    </row>
    <row r="444" spans="1:7" x14ac:dyDescent="0.35">
      <c r="A444" s="22" t="s">
        <v>2549</v>
      </c>
      <c r="B444" s="22" t="s">
        <v>2550</v>
      </c>
      <c r="C444" s="26">
        <v>45899</v>
      </c>
      <c r="D444" s="25" t="s">
        <v>3071</v>
      </c>
      <c r="E444" s="25" t="s">
        <v>2631</v>
      </c>
      <c r="F444" s="53" t="s">
        <v>3812</v>
      </c>
      <c r="G444" s="28">
        <v>0</v>
      </c>
    </row>
    <row r="445" spans="1:7" x14ac:dyDescent="0.35">
      <c r="A445" s="22" t="s">
        <v>2549</v>
      </c>
      <c r="B445" s="22" t="s">
        <v>2550</v>
      </c>
      <c r="C445" s="26">
        <v>45899</v>
      </c>
      <c r="D445" s="25" t="s">
        <v>3072</v>
      </c>
      <c r="E445" s="25" t="s">
        <v>1379</v>
      </c>
      <c r="F445" s="53" t="s">
        <v>3812</v>
      </c>
      <c r="G445" s="28">
        <v>0</v>
      </c>
    </row>
    <row r="446" spans="1:7" x14ac:dyDescent="0.35">
      <c r="A446" s="22" t="s">
        <v>2549</v>
      </c>
      <c r="B446" s="22" t="s">
        <v>2550</v>
      </c>
      <c r="C446" s="26">
        <v>45899</v>
      </c>
      <c r="D446" s="25" t="s">
        <v>3073</v>
      </c>
      <c r="E446" s="25" t="s">
        <v>1379</v>
      </c>
      <c r="F446" s="53" t="s">
        <v>3812</v>
      </c>
      <c r="G446" s="28">
        <v>0</v>
      </c>
    </row>
    <row r="447" spans="1:7" x14ac:dyDescent="0.35">
      <c r="A447" s="22" t="s">
        <v>2549</v>
      </c>
      <c r="B447" s="22" t="s">
        <v>2550</v>
      </c>
      <c r="C447" s="26">
        <v>45899</v>
      </c>
      <c r="D447" s="25" t="s">
        <v>3074</v>
      </c>
      <c r="E447" s="25" t="s">
        <v>1379</v>
      </c>
      <c r="F447" s="53" t="s">
        <v>3812</v>
      </c>
      <c r="G447" s="28">
        <v>0</v>
      </c>
    </row>
    <row r="448" spans="1:7" x14ac:dyDescent="0.35">
      <c r="A448" s="22" t="s">
        <v>2549</v>
      </c>
      <c r="B448" s="22" t="s">
        <v>2550</v>
      </c>
      <c r="C448" s="26">
        <v>45899</v>
      </c>
      <c r="D448" s="25" t="s">
        <v>3075</v>
      </c>
      <c r="E448" s="25" t="s">
        <v>1379</v>
      </c>
      <c r="F448" s="53" t="s">
        <v>3812</v>
      </c>
      <c r="G448" s="28">
        <v>0</v>
      </c>
    </row>
    <row r="449" spans="1:7" x14ac:dyDescent="0.35">
      <c r="A449" s="22" t="s">
        <v>2549</v>
      </c>
      <c r="B449" s="22" t="s">
        <v>2550</v>
      </c>
      <c r="C449" s="26">
        <v>45899</v>
      </c>
      <c r="D449" s="25" t="s">
        <v>3076</v>
      </c>
      <c r="E449" s="25" t="s">
        <v>1379</v>
      </c>
      <c r="F449" s="53" t="s">
        <v>3812</v>
      </c>
      <c r="G449" s="28">
        <v>0</v>
      </c>
    </row>
    <row r="450" spans="1:7" x14ac:dyDescent="0.35">
      <c r="A450" s="22" t="s">
        <v>2549</v>
      </c>
      <c r="B450" s="22" t="s">
        <v>2550</v>
      </c>
      <c r="C450" s="26">
        <v>45899</v>
      </c>
      <c r="D450" s="25" t="s">
        <v>3077</v>
      </c>
      <c r="E450" s="25" t="s">
        <v>1379</v>
      </c>
      <c r="F450" s="53" t="s">
        <v>3812</v>
      </c>
      <c r="G450" s="28">
        <v>0</v>
      </c>
    </row>
    <row r="451" spans="1:7" x14ac:dyDescent="0.35">
      <c r="A451" s="22" t="s">
        <v>2549</v>
      </c>
      <c r="B451" s="22" t="s">
        <v>2550</v>
      </c>
      <c r="C451" s="26">
        <v>45899</v>
      </c>
      <c r="D451" s="25" t="s">
        <v>3078</v>
      </c>
      <c r="E451" s="25" t="s">
        <v>2212</v>
      </c>
      <c r="F451" s="53" t="s">
        <v>3812</v>
      </c>
      <c r="G451" s="28">
        <v>0</v>
      </c>
    </row>
    <row r="452" spans="1:7" x14ac:dyDescent="0.35">
      <c r="A452" s="22" t="s">
        <v>2549</v>
      </c>
      <c r="B452" s="22" t="s">
        <v>2550</v>
      </c>
      <c r="C452" s="26">
        <v>45899</v>
      </c>
      <c r="D452" s="25" t="s">
        <v>3079</v>
      </c>
      <c r="E452" s="25" t="s">
        <v>3468</v>
      </c>
      <c r="F452" s="53" t="s">
        <v>3812</v>
      </c>
      <c r="G452" s="28">
        <v>0</v>
      </c>
    </row>
    <row r="453" spans="1:7" x14ac:dyDescent="0.35">
      <c r="A453" s="22" t="s">
        <v>2549</v>
      </c>
      <c r="B453" s="22" t="s">
        <v>2550</v>
      </c>
      <c r="C453" s="26">
        <v>45899</v>
      </c>
      <c r="D453" s="25" t="s">
        <v>3080</v>
      </c>
      <c r="E453" s="25" t="s">
        <v>2541</v>
      </c>
      <c r="F453" s="53" t="s">
        <v>3812</v>
      </c>
      <c r="G453" s="28">
        <v>0</v>
      </c>
    </row>
    <row r="454" spans="1:7" x14ac:dyDescent="0.35">
      <c r="A454" s="22" t="s">
        <v>2549</v>
      </c>
      <c r="B454" s="22" t="s">
        <v>2550</v>
      </c>
      <c r="C454" s="26">
        <v>45899</v>
      </c>
      <c r="D454" s="25" t="s">
        <v>3081</v>
      </c>
      <c r="E454" s="25" t="s">
        <v>2846</v>
      </c>
      <c r="F454" s="53" t="s">
        <v>3812</v>
      </c>
      <c r="G454" s="28">
        <v>0</v>
      </c>
    </row>
    <row r="455" spans="1:7" x14ac:dyDescent="0.35">
      <c r="A455" s="22" t="s">
        <v>2549</v>
      </c>
      <c r="B455" s="22" t="s">
        <v>2550</v>
      </c>
      <c r="C455" s="26">
        <v>45899</v>
      </c>
      <c r="D455" s="25" t="s">
        <v>3082</v>
      </c>
      <c r="E455" s="25" t="s">
        <v>1358</v>
      </c>
      <c r="F455" s="53" t="s">
        <v>3812</v>
      </c>
      <c r="G455" s="28">
        <v>0</v>
      </c>
    </row>
    <row r="456" spans="1:7" x14ac:dyDescent="0.35">
      <c r="A456" s="22" t="s">
        <v>2549</v>
      </c>
      <c r="B456" s="22" t="s">
        <v>2550</v>
      </c>
      <c r="C456" s="26">
        <v>45899</v>
      </c>
      <c r="D456" s="25" t="s">
        <v>3083</v>
      </c>
      <c r="E456" s="25" t="s">
        <v>3469</v>
      </c>
      <c r="F456" s="53" t="s">
        <v>3812</v>
      </c>
      <c r="G456" s="28">
        <v>0</v>
      </c>
    </row>
    <row r="457" spans="1:7" x14ac:dyDescent="0.35">
      <c r="A457" s="22" t="s">
        <v>2549</v>
      </c>
      <c r="B457" s="22" t="s">
        <v>2550</v>
      </c>
      <c r="C457" s="26">
        <v>45899</v>
      </c>
      <c r="D457" s="25" t="s">
        <v>3084</v>
      </c>
      <c r="E457" s="25" t="s">
        <v>3469</v>
      </c>
      <c r="F457" s="53" t="s">
        <v>3812</v>
      </c>
      <c r="G457" s="28">
        <v>0</v>
      </c>
    </row>
    <row r="458" spans="1:7" x14ac:dyDescent="0.35">
      <c r="A458" s="22" t="s">
        <v>2549</v>
      </c>
      <c r="B458" s="22" t="s">
        <v>2550</v>
      </c>
      <c r="C458" s="26">
        <v>45899</v>
      </c>
      <c r="D458" s="25" t="s">
        <v>3085</v>
      </c>
      <c r="E458" s="25" t="s">
        <v>3469</v>
      </c>
      <c r="F458" s="53" t="s">
        <v>3812</v>
      </c>
      <c r="G458" s="28">
        <v>0</v>
      </c>
    </row>
    <row r="459" spans="1:7" x14ac:dyDescent="0.35">
      <c r="A459" s="22" t="s">
        <v>2549</v>
      </c>
      <c r="B459" s="22" t="s">
        <v>2550</v>
      </c>
      <c r="C459" s="26">
        <v>45899</v>
      </c>
      <c r="D459" s="25" t="s">
        <v>3086</v>
      </c>
      <c r="E459" s="25" t="s">
        <v>2520</v>
      </c>
      <c r="F459" s="53" t="s">
        <v>3812</v>
      </c>
      <c r="G459" s="28">
        <v>0</v>
      </c>
    </row>
    <row r="460" spans="1:7" x14ac:dyDescent="0.35">
      <c r="A460" s="22" t="s">
        <v>2549</v>
      </c>
      <c r="B460" s="22" t="s">
        <v>2550</v>
      </c>
      <c r="C460" s="26">
        <v>45899</v>
      </c>
      <c r="D460" s="25" t="s">
        <v>3087</v>
      </c>
      <c r="E460" s="25" t="s">
        <v>3470</v>
      </c>
      <c r="F460" s="53" t="s">
        <v>3812</v>
      </c>
      <c r="G460" s="28">
        <v>0</v>
      </c>
    </row>
    <row r="461" spans="1:7" x14ac:dyDescent="0.35">
      <c r="A461" s="22" t="s">
        <v>2549</v>
      </c>
      <c r="B461" s="22" t="s">
        <v>2550</v>
      </c>
      <c r="C461" s="26">
        <v>45899</v>
      </c>
      <c r="D461" s="25" t="s">
        <v>3088</v>
      </c>
      <c r="E461" s="25" t="s">
        <v>1639</v>
      </c>
      <c r="F461" s="53" t="s">
        <v>3812</v>
      </c>
      <c r="G461" s="28">
        <v>0</v>
      </c>
    </row>
    <row r="462" spans="1:7" x14ac:dyDescent="0.35">
      <c r="A462" s="22" t="s">
        <v>2549</v>
      </c>
      <c r="B462" s="22" t="s">
        <v>2550</v>
      </c>
      <c r="C462" s="26">
        <v>45899</v>
      </c>
      <c r="D462" s="25" t="s">
        <v>3089</v>
      </c>
      <c r="E462" s="25" t="s">
        <v>1639</v>
      </c>
      <c r="F462" s="53" t="s">
        <v>3812</v>
      </c>
      <c r="G462" s="28">
        <v>0</v>
      </c>
    </row>
    <row r="463" spans="1:7" x14ac:dyDescent="0.35">
      <c r="A463" s="22" t="s">
        <v>2549</v>
      </c>
      <c r="B463" s="22" t="s">
        <v>2550</v>
      </c>
      <c r="C463" s="26">
        <v>45899</v>
      </c>
      <c r="D463" s="25" t="s">
        <v>3090</v>
      </c>
      <c r="E463" s="25" t="s">
        <v>1639</v>
      </c>
      <c r="F463" s="53" t="s">
        <v>3812</v>
      </c>
      <c r="G463" s="28">
        <v>0</v>
      </c>
    </row>
    <row r="464" spans="1:7" x14ac:dyDescent="0.35">
      <c r="A464" s="22" t="s">
        <v>2549</v>
      </c>
      <c r="B464" s="22" t="s">
        <v>2550</v>
      </c>
      <c r="C464" s="26">
        <v>45899</v>
      </c>
      <c r="D464" s="25" t="s">
        <v>3091</v>
      </c>
      <c r="E464" s="25" t="s">
        <v>1475</v>
      </c>
      <c r="F464" s="53" t="s">
        <v>3812</v>
      </c>
      <c r="G464" s="28">
        <v>0</v>
      </c>
    </row>
    <row r="465" spans="1:7" x14ac:dyDescent="0.35">
      <c r="A465" s="22" t="s">
        <v>2549</v>
      </c>
      <c r="B465" s="22" t="s">
        <v>2550</v>
      </c>
      <c r="C465" s="26">
        <v>45899</v>
      </c>
      <c r="D465" s="25" t="s">
        <v>3092</v>
      </c>
      <c r="E465" s="25" t="s">
        <v>1999</v>
      </c>
      <c r="F465" s="53" t="s">
        <v>3812</v>
      </c>
      <c r="G465" s="28">
        <v>0</v>
      </c>
    </row>
    <row r="466" spans="1:7" x14ac:dyDescent="0.35">
      <c r="A466" s="22" t="s">
        <v>2549</v>
      </c>
      <c r="B466" s="22" t="s">
        <v>2550</v>
      </c>
      <c r="C466" s="26">
        <v>45899</v>
      </c>
      <c r="D466" s="25" t="s">
        <v>3094</v>
      </c>
      <c r="E466" s="25" t="s">
        <v>1999</v>
      </c>
      <c r="F466" s="53" t="s">
        <v>3812</v>
      </c>
      <c r="G466" s="28">
        <v>0</v>
      </c>
    </row>
    <row r="467" spans="1:7" x14ac:dyDescent="0.35">
      <c r="A467" s="22" t="s">
        <v>2549</v>
      </c>
      <c r="B467" s="22" t="s">
        <v>2550</v>
      </c>
      <c r="C467" s="26">
        <v>45899</v>
      </c>
      <c r="D467" s="25" t="s">
        <v>3096</v>
      </c>
      <c r="E467" s="25" t="s">
        <v>1999</v>
      </c>
      <c r="F467" s="53" t="s">
        <v>3812</v>
      </c>
      <c r="G467" s="28">
        <v>0</v>
      </c>
    </row>
    <row r="468" spans="1:7" x14ac:dyDescent="0.35">
      <c r="A468" s="22" t="s">
        <v>2549</v>
      </c>
      <c r="B468" s="22" t="s">
        <v>2550</v>
      </c>
      <c r="C468" s="26">
        <v>45899</v>
      </c>
      <c r="D468" s="25" t="s">
        <v>3097</v>
      </c>
      <c r="E468" s="25" t="s">
        <v>1999</v>
      </c>
      <c r="F468" s="53" t="s">
        <v>3812</v>
      </c>
      <c r="G468" s="28">
        <v>0</v>
      </c>
    </row>
    <row r="469" spans="1:7" x14ac:dyDescent="0.35">
      <c r="A469" s="22" t="s">
        <v>2549</v>
      </c>
      <c r="B469" s="22" t="s">
        <v>2550</v>
      </c>
      <c r="C469" s="26">
        <v>45899</v>
      </c>
      <c r="D469" s="25" t="s">
        <v>3098</v>
      </c>
      <c r="E469" s="25" t="s">
        <v>1999</v>
      </c>
      <c r="F469" s="53" t="s">
        <v>3812</v>
      </c>
      <c r="G469" s="28">
        <v>0</v>
      </c>
    </row>
    <row r="470" spans="1:7" x14ac:dyDescent="0.35">
      <c r="A470" s="22" t="s">
        <v>2549</v>
      </c>
      <c r="B470" s="22" t="s">
        <v>2550</v>
      </c>
      <c r="C470" s="26">
        <v>45899</v>
      </c>
      <c r="D470" s="25" t="s">
        <v>3099</v>
      </c>
      <c r="E470" s="25" t="s">
        <v>2266</v>
      </c>
      <c r="F470" s="53" t="s">
        <v>3812</v>
      </c>
      <c r="G470" s="28">
        <v>0</v>
      </c>
    </row>
    <row r="471" spans="1:7" x14ac:dyDescent="0.35">
      <c r="A471" s="22" t="s">
        <v>2549</v>
      </c>
      <c r="B471" s="22" t="s">
        <v>2550</v>
      </c>
      <c r="C471" s="26">
        <v>45899</v>
      </c>
      <c r="D471" s="25" t="s">
        <v>3100</v>
      </c>
      <c r="E471" s="25" t="s">
        <v>2266</v>
      </c>
      <c r="F471" s="53" t="s">
        <v>3812</v>
      </c>
      <c r="G471" s="28">
        <v>0</v>
      </c>
    </row>
    <row r="472" spans="1:7" x14ac:dyDescent="0.35">
      <c r="A472" s="22" t="s">
        <v>2549</v>
      </c>
      <c r="B472" s="22" t="s">
        <v>2550</v>
      </c>
      <c r="C472" s="26">
        <v>45899</v>
      </c>
      <c r="D472" s="25" t="s">
        <v>3101</v>
      </c>
      <c r="E472" s="25" t="s">
        <v>2266</v>
      </c>
      <c r="F472" s="53" t="s">
        <v>3812</v>
      </c>
      <c r="G472" s="28">
        <v>0</v>
      </c>
    </row>
    <row r="473" spans="1:7" x14ac:dyDescent="0.35">
      <c r="A473" s="22" t="s">
        <v>2549</v>
      </c>
      <c r="B473" s="22" t="s">
        <v>2550</v>
      </c>
      <c r="C473" s="26">
        <v>45899</v>
      </c>
      <c r="D473" s="25" t="s">
        <v>3102</v>
      </c>
      <c r="E473" s="25" t="s">
        <v>2677</v>
      </c>
      <c r="F473" s="53" t="s">
        <v>3812</v>
      </c>
      <c r="G473" s="28">
        <v>0</v>
      </c>
    </row>
    <row r="474" spans="1:7" x14ac:dyDescent="0.35">
      <c r="A474" s="22" t="s">
        <v>2549</v>
      </c>
      <c r="B474" s="22" t="s">
        <v>2550</v>
      </c>
      <c r="C474" s="26">
        <v>45899</v>
      </c>
      <c r="D474" s="25" t="s">
        <v>3103</v>
      </c>
      <c r="E474" s="25" t="s">
        <v>2266</v>
      </c>
      <c r="F474" s="53" t="s">
        <v>3812</v>
      </c>
      <c r="G474" s="28">
        <v>1750.43</v>
      </c>
    </row>
    <row r="475" spans="1:7" x14ac:dyDescent="0.35">
      <c r="A475" s="22" t="s">
        <v>2549</v>
      </c>
      <c r="B475" s="22" t="s">
        <v>2550</v>
      </c>
      <c r="C475" s="26">
        <v>45899</v>
      </c>
      <c r="D475" s="25" t="s">
        <v>3104</v>
      </c>
      <c r="E475" s="25" t="s">
        <v>2266</v>
      </c>
      <c r="F475" s="53" t="s">
        <v>3812</v>
      </c>
      <c r="G475" s="28">
        <v>0</v>
      </c>
    </row>
    <row r="476" spans="1:7" x14ac:dyDescent="0.35">
      <c r="A476" s="22" t="s">
        <v>2549</v>
      </c>
      <c r="B476" s="22" t="s">
        <v>2550</v>
      </c>
      <c r="C476" s="26">
        <v>45899</v>
      </c>
      <c r="D476" s="25" t="s">
        <v>3105</v>
      </c>
      <c r="E476" s="25" t="s">
        <v>2266</v>
      </c>
      <c r="F476" s="53" t="s">
        <v>3812</v>
      </c>
      <c r="G476" s="28">
        <v>0</v>
      </c>
    </row>
    <row r="477" spans="1:7" x14ac:dyDescent="0.35">
      <c r="A477" s="22" t="s">
        <v>2549</v>
      </c>
      <c r="B477" s="22" t="s">
        <v>2550</v>
      </c>
      <c r="C477" s="26">
        <v>45899</v>
      </c>
      <c r="D477" s="25" t="s">
        <v>3106</v>
      </c>
      <c r="E477" s="25" t="s">
        <v>1343</v>
      </c>
      <c r="F477" s="53" t="s">
        <v>3812</v>
      </c>
      <c r="G477" s="28">
        <v>0</v>
      </c>
    </row>
    <row r="478" spans="1:7" x14ac:dyDescent="0.35">
      <c r="A478" s="22" t="s">
        <v>2549</v>
      </c>
      <c r="B478" s="22" t="s">
        <v>2550</v>
      </c>
      <c r="C478" s="26">
        <v>45899</v>
      </c>
      <c r="D478" s="25" t="s">
        <v>3107</v>
      </c>
      <c r="E478" s="25" t="s">
        <v>3472</v>
      </c>
      <c r="F478" s="53" t="s">
        <v>3812</v>
      </c>
      <c r="G478" s="28">
        <v>0</v>
      </c>
    </row>
    <row r="479" spans="1:7" x14ac:dyDescent="0.35">
      <c r="A479" s="22" t="s">
        <v>2549</v>
      </c>
      <c r="B479" s="22" t="s">
        <v>2550</v>
      </c>
      <c r="C479" s="26">
        <v>45899</v>
      </c>
      <c r="D479" s="25" t="s">
        <v>3108</v>
      </c>
      <c r="E479" s="25" t="s">
        <v>3472</v>
      </c>
      <c r="F479" s="53" t="s">
        <v>3812</v>
      </c>
      <c r="G479" s="28">
        <v>0</v>
      </c>
    </row>
    <row r="480" spans="1:7" x14ac:dyDescent="0.35">
      <c r="A480" s="22" t="s">
        <v>2549</v>
      </c>
      <c r="B480" s="22" t="s">
        <v>2550</v>
      </c>
      <c r="C480" s="26">
        <v>45899</v>
      </c>
      <c r="D480" s="25" t="s">
        <v>3109</v>
      </c>
      <c r="E480" s="25" t="s">
        <v>3472</v>
      </c>
      <c r="F480" s="53" t="s">
        <v>3812</v>
      </c>
      <c r="G480" s="28">
        <v>0</v>
      </c>
    </row>
    <row r="481" spans="1:7" x14ac:dyDescent="0.35">
      <c r="A481" s="22" t="s">
        <v>2549</v>
      </c>
      <c r="B481" s="22" t="s">
        <v>2550</v>
      </c>
      <c r="C481" s="26">
        <v>45899</v>
      </c>
      <c r="D481" s="25" t="s">
        <v>3110</v>
      </c>
      <c r="E481" s="25" t="s">
        <v>1071</v>
      </c>
      <c r="F481" s="53" t="s">
        <v>3812</v>
      </c>
      <c r="G481" s="28">
        <v>0</v>
      </c>
    </row>
    <row r="482" spans="1:7" x14ac:dyDescent="0.35">
      <c r="A482" s="22" t="s">
        <v>2549</v>
      </c>
      <c r="B482" s="22" t="s">
        <v>2550</v>
      </c>
      <c r="C482" s="26">
        <v>45899</v>
      </c>
      <c r="D482" s="25" t="s">
        <v>3111</v>
      </c>
      <c r="E482" s="25" t="s">
        <v>2396</v>
      </c>
      <c r="F482" s="53" t="s">
        <v>3812</v>
      </c>
      <c r="G482" s="28">
        <v>0</v>
      </c>
    </row>
    <row r="483" spans="1:7" x14ac:dyDescent="0.35">
      <c r="A483" s="22" t="s">
        <v>2549</v>
      </c>
      <c r="B483" s="22" t="s">
        <v>2550</v>
      </c>
      <c r="C483" s="26">
        <v>45899</v>
      </c>
      <c r="D483" s="25" t="s">
        <v>3112</v>
      </c>
      <c r="E483" s="25" t="s">
        <v>989</v>
      </c>
      <c r="F483" s="53" t="s">
        <v>3812</v>
      </c>
      <c r="G483" s="28">
        <v>3097.55</v>
      </c>
    </row>
    <row r="484" spans="1:7" x14ac:dyDescent="0.35">
      <c r="A484" s="22" t="s">
        <v>2549</v>
      </c>
      <c r="B484" s="22" t="s">
        <v>2550</v>
      </c>
      <c r="C484" s="26">
        <v>45899</v>
      </c>
      <c r="D484" s="25" t="s">
        <v>3113</v>
      </c>
      <c r="E484" s="25" t="s">
        <v>2429</v>
      </c>
      <c r="F484" s="53" t="s">
        <v>3812</v>
      </c>
      <c r="G484" s="28">
        <v>0</v>
      </c>
    </row>
    <row r="485" spans="1:7" x14ac:dyDescent="0.35">
      <c r="A485" s="22" t="s">
        <v>2549</v>
      </c>
      <c r="B485" s="22" t="s">
        <v>2550</v>
      </c>
      <c r="C485" s="26">
        <v>45899</v>
      </c>
      <c r="D485" s="25" t="s">
        <v>3114</v>
      </c>
      <c r="E485" s="25" t="s">
        <v>2429</v>
      </c>
      <c r="F485" s="53" t="s">
        <v>3812</v>
      </c>
      <c r="G485" s="28">
        <v>0</v>
      </c>
    </row>
    <row r="486" spans="1:7" x14ac:dyDescent="0.35">
      <c r="A486" s="22" t="s">
        <v>2549</v>
      </c>
      <c r="B486" s="22" t="s">
        <v>2550</v>
      </c>
      <c r="C486" s="26">
        <v>45899</v>
      </c>
      <c r="D486" s="25" t="s">
        <v>3116</v>
      </c>
      <c r="E486" s="25" t="s">
        <v>2429</v>
      </c>
      <c r="F486" s="53" t="s">
        <v>3812</v>
      </c>
      <c r="G486" s="28">
        <v>0</v>
      </c>
    </row>
    <row r="487" spans="1:7" x14ac:dyDescent="0.35">
      <c r="A487" s="22" t="s">
        <v>2549</v>
      </c>
      <c r="B487" s="22" t="s">
        <v>2550</v>
      </c>
      <c r="C487" s="26">
        <v>45899</v>
      </c>
      <c r="D487" s="25" t="s">
        <v>3117</v>
      </c>
      <c r="E487" s="25" t="s">
        <v>2429</v>
      </c>
      <c r="F487" s="53" t="s">
        <v>3812</v>
      </c>
      <c r="G487" s="28">
        <v>0</v>
      </c>
    </row>
    <row r="488" spans="1:7" x14ac:dyDescent="0.35">
      <c r="A488" s="22" t="s">
        <v>2549</v>
      </c>
      <c r="B488" s="22" t="s">
        <v>2550</v>
      </c>
      <c r="C488" s="26">
        <v>45899</v>
      </c>
      <c r="D488" s="25" t="s">
        <v>3118</v>
      </c>
      <c r="E488" s="25" t="s">
        <v>3473</v>
      </c>
      <c r="F488" s="53" t="s">
        <v>3812</v>
      </c>
      <c r="G488" s="28">
        <v>0</v>
      </c>
    </row>
    <row r="489" spans="1:7" x14ac:dyDescent="0.35">
      <c r="A489" s="22" t="s">
        <v>2549</v>
      </c>
      <c r="B489" s="22" t="s">
        <v>2550</v>
      </c>
      <c r="C489" s="26">
        <v>45899</v>
      </c>
      <c r="D489" s="25" t="s">
        <v>3119</v>
      </c>
      <c r="E489" s="25" t="s">
        <v>3474</v>
      </c>
      <c r="F489" s="53" t="s">
        <v>3812</v>
      </c>
      <c r="G489" s="28">
        <v>0</v>
      </c>
    </row>
    <row r="490" spans="1:7" x14ac:dyDescent="0.35">
      <c r="A490" s="22" t="s">
        <v>2549</v>
      </c>
      <c r="B490" s="22" t="s">
        <v>2550</v>
      </c>
      <c r="C490" s="26">
        <v>45899</v>
      </c>
      <c r="D490" s="25" t="s">
        <v>3120</v>
      </c>
      <c r="E490" s="25" t="s">
        <v>3474</v>
      </c>
      <c r="F490" s="53" t="s">
        <v>3812</v>
      </c>
      <c r="G490" s="28">
        <v>0</v>
      </c>
    </row>
    <row r="491" spans="1:7" x14ac:dyDescent="0.35">
      <c r="A491" s="22" t="s">
        <v>2549</v>
      </c>
      <c r="B491" s="22" t="s">
        <v>2550</v>
      </c>
      <c r="C491" s="26">
        <v>45899</v>
      </c>
      <c r="D491" s="25" t="s">
        <v>3121</v>
      </c>
      <c r="E491" s="25" t="s">
        <v>3474</v>
      </c>
      <c r="F491" s="53" t="s">
        <v>3812</v>
      </c>
      <c r="G491" s="28">
        <v>0</v>
      </c>
    </row>
    <row r="492" spans="1:7" x14ac:dyDescent="0.35">
      <c r="A492" s="22" t="s">
        <v>2549</v>
      </c>
      <c r="B492" s="22" t="s">
        <v>2550</v>
      </c>
      <c r="C492" s="26">
        <v>45899</v>
      </c>
      <c r="D492" s="25" t="s">
        <v>3122</v>
      </c>
      <c r="E492" s="25" t="s">
        <v>3474</v>
      </c>
      <c r="F492" s="53" t="s">
        <v>3812</v>
      </c>
      <c r="G492" s="28">
        <v>0</v>
      </c>
    </row>
    <row r="493" spans="1:7" x14ac:dyDescent="0.35">
      <c r="A493" s="22" t="s">
        <v>2549</v>
      </c>
      <c r="B493" s="22" t="s">
        <v>2550</v>
      </c>
      <c r="C493" s="26">
        <v>45899</v>
      </c>
      <c r="D493" s="25" t="s">
        <v>3123</v>
      </c>
      <c r="E493" s="25" t="s">
        <v>3472</v>
      </c>
      <c r="F493" s="53" t="s">
        <v>3812</v>
      </c>
      <c r="G493" s="28">
        <v>0</v>
      </c>
    </row>
    <row r="494" spans="1:7" x14ac:dyDescent="0.35">
      <c r="A494" s="22" t="s">
        <v>2549</v>
      </c>
      <c r="B494" s="22" t="s">
        <v>2550</v>
      </c>
      <c r="C494" s="26">
        <v>45899</v>
      </c>
      <c r="D494" s="25" t="s">
        <v>3124</v>
      </c>
      <c r="E494" s="25" t="s">
        <v>3472</v>
      </c>
      <c r="F494" s="53" t="s">
        <v>3812</v>
      </c>
      <c r="G494" s="28">
        <v>0</v>
      </c>
    </row>
    <row r="495" spans="1:7" x14ac:dyDescent="0.35">
      <c r="A495" s="22" t="s">
        <v>2549</v>
      </c>
      <c r="B495" s="22" t="s">
        <v>2550</v>
      </c>
      <c r="C495" s="26">
        <v>45899</v>
      </c>
      <c r="D495" s="25" t="s">
        <v>3125</v>
      </c>
      <c r="E495" s="25" t="s">
        <v>3475</v>
      </c>
      <c r="F495" s="53" t="s">
        <v>3812</v>
      </c>
      <c r="G495" s="28">
        <v>622.25</v>
      </c>
    </row>
    <row r="496" spans="1:7" x14ac:dyDescent="0.35">
      <c r="A496" s="22" t="s">
        <v>2549</v>
      </c>
      <c r="B496" s="22" t="s">
        <v>2550</v>
      </c>
      <c r="C496" s="26">
        <v>45899</v>
      </c>
      <c r="D496" s="25" t="s">
        <v>3126</v>
      </c>
      <c r="E496" s="25" t="s">
        <v>3475</v>
      </c>
      <c r="F496" s="53" t="s">
        <v>3812</v>
      </c>
      <c r="G496" s="28">
        <v>0</v>
      </c>
    </row>
    <row r="497" spans="1:7" x14ac:dyDescent="0.35">
      <c r="A497" s="22" t="s">
        <v>2549</v>
      </c>
      <c r="B497" s="22" t="s">
        <v>2550</v>
      </c>
      <c r="C497" s="26">
        <v>45899</v>
      </c>
      <c r="D497" s="25" t="s">
        <v>3127</v>
      </c>
      <c r="E497" s="25" t="s">
        <v>1280</v>
      </c>
      <c r="F497" s="53" t="s">
        <v>3812</v>
      </c>
      <c r="G497" s="28">
        <v>0</v>
      </c>
    </row>
    <row r="498" spans="1:7" x14ac:dyDescent="0.35">
      <c r="A498" s="22" t="s">
        <v>2549</v>
      </c>
      <c r="B498" s="22" t="s">
        <v>2550</v>
      </c>
      <c r="C498" s="26">
        <v>45899</v>
      </c>
      <c r="D498" s="25" t="s">
        <v>3128</v>
      </c>
      <c r="E498" s="25" t="s">
        <v>3476</v>
      </c>
      <c r="F498" s="53" t="s">
        <v>3812</v>
      </c>
      <c r="G498" s="28">
        <v>0</v>
      </c>
    </row>
    <row r="499" spans="1:7" x14ac:dyDescent="0.35">
      <c r="A499" s="22" t="s">
        <v>2549</v>
      </c>
      <c r="B499" s="22" t="s">
        <v>2550</v>
      </c>
      <c r="C499" s="26">
        <v>45899</v>
      </c>
      <c r="D499" s="25" t="s">
        <v>3129</v>
      </c>
      <c r="E499" s="25" t="s">
        <v>1263</v>
      </c>
      <c r="F499" s="53" t="s">
        <v>3812</v>
      </c>
      <c r="G499" s="28">
        <v>0</v>
      </c>
    </row>
    <row r="500" spans="1:7" x14ac:dyDescent="0.35">
      <c r="A500" s="22" t="s">
        <v>2549</v>
      </c>
      <c r="B500" s="22" t="s">
        <v>2550</v>
      </c>
      <c r="C500" s="26">
        <v>45899</v>
      </c>
      <c r="D500" s="25" t="s">
        <v>3130</v>
      </c>
      <c r="E500" s="25" t="s">
        <v>1263</v>
      </c>
      <c r="F500" s="53" t="s">
        <v>3812</v>
      </c>
      <c r="G500" s="28">
        <v>0</v>
      </c>
    </row>
    <row r="501" spans="1:7" x14ac:dyDescent="0.35">
      <c r="A501" s="22" t="s">
        <v>2549</v>
      </c>
      <c r="B501" s="22" t="s">
        <v>2550</v>
      </c>
      <c r="C501" s="26">
        <v>45899</v>
      </c>
      <c r="D501" s="25" t="s">
        <v>3131</v>
      </c>
      <c r="E501" s="25" t="s">
        <v>1263</v>
      </c>
      <c r="F501" s="53" t="s">
        <v>3812</v>
      </c>
      <c r="G501" s="28">
        <v>0</v>
      </c>
    </row>
    <row r="502" spans="1:7" x14ac:dyDescent="0.35">
      <c r="A502" s="22" t="s">
        <v>2549</v>
      </c>
      <c r="B502" s="22" t="s">
        <v>2550</v>
      </c>
      <c r="C502" s="26">
        <v>45899</v>
      </c>
      <c r="D502" s="25" t="s">
        <v>3133</v>
      </c>
      <c r="E502" s="25" t="s">
        <v>1263</v>
      </c>
      <c r="F502" s="53" t="s">
        <v>3812</v>
      </c>
      <c r="G502" s="28">
        <v>0</v>
      </c>
    </row>
    <row r="503" spans="1:7" x14ac:dyDescent="0.35">
      <c r="A503" s="22" t="s">
        <v>2549</v>
      </c>
      <c r="B503" s="22" t="s">
        <v>2550</v>
      </c>
      <c r="C503" s="26">
        <v>45899</v>
      </c>
      <c r="D503" s="25" t="s">
        <v>3134</v>
      </c>
      <c r="E503" s="25" t="s">
        <v>1263</v>
      </c>
      <c r="F503" s="53" t="s">
        <v>3812</v>
      </c>
      <c r="G503" s="28">
        <v>0</v>
      </c>
    </row>
    <row r="504" spans="1:7" x14ac:dyDescent="0.35">
      <c r="A504" s="22" t="s">
        <v>2549</v>
      </c>
      <c r="B504" s="22" t="s">
        <v>2550</v>
      </c>
      <c r="C504" s="26">
        <v>45899</v>
      </c>
      <c r="D504" s="25" t="s">
        <v>3135</v>
      </c>
      <c r="E504" s="25" t="s">
        <v>1263</v>
      </c>
      <c r="F504" s="53" t="s">
        <v>3812</v>
      </c>
      <c r="G504" s="28">
        <v>0</v>
      </c>
    </row>
    <row r="505" spans="1:7" x14ac:dyDescent="0.35">
      <c r="A505" s="22" t="s">
        <v>2549</v>
      </c>
      <c r="B505" s="22" t="s">
        <v>2550</v>
      </c>
      <c r="C505" s="26">
        <v>45899</v>
      </c>
      <c r="D505" s="25" t="s">
        <v>3136</v>
      </c>
      <c r="E505" s="25" t="s">
        <v>1263</v>
      </c>
      <c r="F505" s="53" t="s">
        <v>3812</v>
      </c>
      <c r="G505" s="28">
        <v>0</v>
      </c>
    </row>
    <row r="506" spans="1:7" x14ac:dyDescent="0.35">
      <c r="A506" s="22" t="s">
        <v>2549</v>
      </c>
      <c r="B506" s="22" t="s">
        <v>2550</v>
      </c>
      <c r="C506" s="26">
        <v>45899</v>
      </c>
      <c r="D506" s="25" t="s">
        <v>3137</v>
      </c>
      <c r="E506" s="25" t="s">
        <v>1263</v>
      </c>
      <c r="F506" s="53" t="s">
        <v>3812</v>
      </c>
      <c r="G506" s="28">
        <v>0</v>
      </c>
    </row>
    <row r="507" spans="1:7" x14ac:dyDescent="0.35">
      <c r="A507" s="22" t="s">
        <v>2549</v>
      </c>
      <c r="B507" s="22" t="s">
        <v>2550</v>
      </c>
      <c r="C507" s="26">
        <v>45899</v>
      </c>
      <c r="D507" s="25" t="s">
        <v>3138</v>
      </c>
      <c r="E507" s="25" t="s">
        <v>1629</v>
      </c>
      <c r="F507" s="53" t="s">
        <v>3812</v>
      </c>
      <c r="G507" s="28">
        <v>0</v>
      </c>
    </row>
    <row r="508" spans="1:7" x14ac:dyDescent="0.35">
      <c r="A508" s="22" t="s">
        <v>2549</v>
      </c>
      <c r="B508" s="22" t="s">
        <v>2550</v>
      </c>
      <c r="C508" s="26">
        <v>45899</v>
      </c>
      <c r="D508" s="25" t="s">
        <v>3140</v>
      </c>
      <c r="E508" s="25" t="s">
        <v>3477</v>
      </c>
      <c r="F508" s="53" t="s">
        <v>3812</v>
      </c>
      <c r="G508" s="28">
        <v>0</v>
      </c>
    </row>
    <row r="509" spans="1:7" x14ac:dyDescent="0.35">
      <c r="A509" s="22" t="s">
        <v>2549</v>
      </c>
      <c r="B509" s="22" t="s">
        <v>2550</v>
      </c>
      <c r="C509" s="26">
        <v>45899</v>
      </c>
      <c r="D509" s="25" t="s">
        <v>3141</v>
      </c>
      <c r="E509" s="25" t="s">
        <v>2313</v>
      </c>
      <c r="F509" s="53" t="s">
        <v>3812</v>
      </c>
      <c r="G509" s="28">
        <v>0</v>
      </c>
    </row>
    <row r="510" spans="1:7" x14ac:dyDescent="0.35">
      <c r="A510" s="22" t="s">
        <v>2549</v>
      </c>
      <c r="B510" s="22" t="s">
        <v>2550</v>
      </c>
      <c r="C510" s="26">
        <v>45899</v>
      </c>
      <c r="D510" s="25" t="s">
        <v>3142</v>
      </c>
      <c r="E510" s="25" t="s">
        <v>2313</v>
      </c>
      <c r="F510" s="53" t="s">
        <v>3812</v>
      </c>
      <c r="G510" s="28">
        <v>0</v>
      </c>
    </row>
    <row r="511" spans="1:7" x14ac:dyDescent="0.35">
      <c r="A511" s="22" t="s">
        <v>2549</v>
      </c>
      <c r="B511" s="22" t="s">
        <v>2550</v>
      </c>
      <c r="C511" s="26">
        <v>45899</v>
      </c>
      <c r="D511" s="25" t="s">
        <v>3143</v>
      </c>
      <c r="E511" s="25" t="s">
        <v>2313</v>
      </c>
      <c r="F511" s="53" t="s">
        <v>3812</v>
      </c>
      <c r="G511" s="28">
        <v>0</v>
      </c>
    </row>
    <row r="512" spans="1:7" x14ac:dyDescent="0.35">
      <c r="A512" s="22" t="s">
        <v>2549</v>
      </c>
      <c r="B512" s="22" t="s">
        <v>2550</v>
      </c>
      <c r="C512" s="26">
        <v>45899</v>
      </c>
      <c r="D512" s="25" t="s">
        <v>3145</v>
      </c>
      <c r="E512" s="25" t="s">
        <v>2313</v>
      </c>
      <c r="F512" s="53" t="s">
        <v>3812</v>
      </c>
      <c r="G512" s="28">
        <v>0</v>
      </c>
    </row>
    <row r="513" spans="1:7" x14ac:dyDescent="0.35">
      <c r="A513" s="22" t="s">
        <v>2549</v>
      </c>
      <c r="B513" s="22" t="s">
        <v>2550</v>
      </c>
      <c r="C513" s="26">
        <v>45899</v>
      </c>
      <c r="D513" s="25" t="s">
        <v>3147</v>
      </c>
      <c r="E513" s="25" t="s">
        <v>2313</v>
      </c>
      <c r="F513" s="53" t="s">
        <v>3812</v>
      </c>
      <c r="G513" s="28">
        <v>0</v>
      </c>
    </row>
    <row r="514" spans="1:7" x14ac:dyDescent="0.35">
      <c r="A514" s="22" t="s">
        <v>2549</v>
      </c>
      <c r="B514" s="22" t="s">
        <v>2550</v>
      </c>
      <c r="C514" s="26">
        <v>45899</v>
      </c>
      <c r="D514" s="25" t="s">
        <v>3149</v>
      </c>
      <c r="E514" s="25" t="s">
        <v>2313</v>
      </c>
      <c r="F514" s="53" t="s">
        <v>3812</v>
      </c>
      <c r="G514" s="28">
        <v>0</v>
      </c>
    </row>
    <row r="515" spans="1:7" x14ac:dyDescent="0.35">
      <c r="A515" s="22" t="s">
        <v>2549</v>
      </c>
      <c r="B515" s="22" t="s">
        <v>2550</v>
      </c>
      <c r="C515" s="26">
        <v>45899</v>
      </c>
      <c r="D515" s="25" t="s">
        <v>3151</v>
      </c>
      <c r="E515" s="25" t="s">
        <v>2313</v>
      </c>
      <c r="F515" s="53" t="s">
        <v>3812</v>
      </c>
      <c r="G515" s="28">
        <v>0</v>
      </c>
    </row>
    <row r="516" spans="1:7" x14ac:dyDescent="0.35">
      <c r="A516" s="22" t="s">
        <v>2549</v>
      </c>
      <c r="B516" s="22" t="s">
        <v>2550</v>
      </c>
      <c r="C516" s="26">
        <v>45899</v>
      </c>
      <c r="D516" s="25" t="s">
        <v>3152</v>
      </c>
      <c r="E516" s="25" t="s">
        <v>2313</v>
      </c>
      <c r="F516" s="53" t="s">
        <v>3812</v>
      </c>
      <c r="G516" s="28">
        <v>0</v>
      </c>
    </row>
    <row r="517" spans="1:7" x14ac:dyDescent="0.35">
      <c r="A517" s="22" t="s">
        <v>2549</v>
      </c>
      <c r="B517" s="22" t="s">
        <v>2550</v>
      </c>
      <c r="C517" s="26">
        <v>45899</v>
      </c>
      <c r="D517" s="25">
        <v>37789</v>
      </c>
      <c r="E517" s="25" t="s">
        <v>301</v>
      </c>
      <c r="F517" s="53" t="s">
        <v>3812</v>
      </c>
      <c r="G517" s="28">
        <v>0</v>
      </c>
    </row>
    <row r="518" spans="1:7" x14ac:dyDescent="0.35">
      <c r="A518" s="22" t="s">
        <v>2549</v>
      </c>
      <c r="B518" s="22" t="s">
        <v>2550</v>
      </c>
      <c r="C518" s="26">
        <v>45899</v>
      </c>
      <c r="D518" s="25" t="s">
        <v>3155</v>
      </c>
      <c r="E518" s="25" t="s">
        <v>3470</v>
      </c>
      <c r="F518" s="53" t="s">
        <v>3812</v>
      </c>
      <c r="G518" s="28">
        <v>0</v>
      </c>
    </row>
    <row r="519" spans="1:7" x14ac:dyDescent="0.35">
      <c r="A519" s="22" t="s">
        <v>2549</v>
      </c>
      <c r="B519" s="22" t="s">
        <v>2550</v>
      </c>
      <c r="C519" s="26">
        <v>45899</v>
      </c>
      <c r="D519" s="25" t="s">
        <v>3156</v>
      </c>
      <c r="E519" s="25" t="s">
        <v>999</v>
      </c>
      <c r="F519" s="53" t="s">
        <v>3812</v>
      </c>
      <c r="G519" s="28">
        <v>0</v>
      </c>
    </row>
    <row r="520" spans="1:7" x14ac:dyDescent="0.35">
      <c r="A520" s="22" t="s">
        <v>2549</v>
      </c>
      <c r="B520" s="22" t="s">
        <v>2550</v>
      </c>
      <c r="C520" s="26">
        <v>45899</v>
      </c>
      <c r="D520" s="25" t="s">
        <v>3157</v>
      </c>
      <c r="E520" s="25" t="s">
        <v>999</v>
      </c>
      <c r="F520" s="53" t="s">
        <v>3812</v>
      </c>
      <c r="G520" s="28">
        <v>0</v>
      </c>
    </row>
    <row r="521" spans="1:7" x14ac:dyDescent="0.35">
      <c r="A521" s="22" t="s">
        <v>2549</v>
      </c>
      <c r="B521" s="22" t="s">
        <v>2550</v>
      </c>
      <c r="C521" s="26">
        <v>45899</v>
      </c>
      <c r="D521" s="25" t="s">
        <v>3158</v>
      </c>
      <c r="E521" s="25" t="s">
        <v>2449</v>
      </c>
      <c r="F521" s="53" t="s">
        <v>3812</v>
      </c>
      <c r="G521" s="28">
        <v>0</v>
      </c>
    </row>
    <row r="522" spans="1:7" x14ac:dyDescent="0.35">
      <c r="A522" s="22" t="s">
        <v>2549</v>
      </c>
      <c r="B522" s="22" t="s">
        <v>2550</v>
      </c>
      <c r="C522" s="26">
        <v>45899</v>
      </c>
      <c r="D522" s="25" t="s">
        <v>3159</v>
      </c>
      <c r="E522" s="25" t="s">
        <v>2449</v>
      </c>
      <c r="F522" s="53" t="s">
        <v>3812</v>
      </c>
      <c r="G522" s="28">
        <v>0</v>
      </c>
    </row>
    <row r="523" spans="1:7" x14ac:dyDescent="0.35">
      <c r="A523" s="22" t="s">
        <v>2549</v>
      </c>
      <c r="B523" s="22" t="s">
        <v>2550</v>
      </c>
      <c r="C523" s="26">
        <v>45899</v>
      </c>
      <c r="D523" s="25" t="s">
        <v>3160</v>
      </c>
      <c r="E523" s="25" t="s">
        <v>3478</v>
      </c>
      <c r="F523" s="53" t="s">
        <v>3812</v>
      </c>
      <c r="G523" s="28">
        <v>0</v>
      </c>
    </row>
    <row r="524" spans="1:7" x14ac:dyDescent="0.35">
      <c r="A524" s="22" t="s">
        <v>2549</v>
      </c>
      <c r="B524" s="22" t="s">
        <v>2550</v>
      </c>
      <c r="C524" s="26">
        <v>45899</v>
      </c>
      <c r="D524" s="25" t="s">
        <v>3161</v>
      </c>
      <c r="E524" s="25" t="s">
        <v>3478</v>
      </c>
      <c r="F524" s="53" t="s">
        <v>3812</v>
      </c>
      <c r="G524" s="28">
        <v>0</v>
      </c>
    </row>
    <row r="525" spans="1:7" x14ac:dyDescent="0.35">
      <c r="A525" s="22" t="s">
        <v>2549</v>
      </c>
      <c r="B525" s="22" t="s">
        <v>2550</v>
      </c>
      <c r="C525" s="26">
        <v>45899</v>
      </c>
      <c r="D525" s="25" t="s">
        <v>3162</v>
      </c>
      <c r="E525" s="25" t="s">
        <v>3478</v>
      </c>
      <c r="F525" s="53" t="s">
        <v>3812</v>
      </c>
      <c r="G525" s="28">
        <v>0</v>
      </c>
    </row>
    <row r="526" spans="1:7" x14ac:dyDescent="0.35">
      <c r="A526" s="22" t="s">
        <v>2549</v>
      </c>
      <c r="B526" s="22" t="s">
        <v>2550</v>
      </c>
      <c r="C526" s="26">
        <v>45899</v>
      </c>
      <c r="D526" s="25" t="s">
        <v>3163</v>
      </c>
      <c r="E526" s="25" t="s">
        <v>3478</v>
      </c>
      <c r="F526" s="53" t="s">
        <v>3812</v>
      </c>
      <c r="G526" s="28">
        <v>0</v>
      </c>
    </row>
    <row r="527" spans="1:7" x14ac:dyDescent="0.35">
      <c r="A527" s="22" t="s">
        <v>2549</v>
      </c>
      <c r="B527" s="22" t="s">
        <v>2550</v>
      </c>
      <c r="C527" s="26">
        <v>45899</v>
      </c>
      <c r="D527" s="25" t="s">
        <v>3164</v>
      </c>
      <c r="E527" s="25" t="s">
        <v>3478</v>
      </c>
      <c r="F527" s="53" t="s">
        <v>3812</v>
      </c>
      <c r="G527" s="28">
        <v>0</v>
      </c>
    </row>
    <row r="528" spans="1:7" x14ac:dyDescent="0.35">
      <c r="A528" s="22" t="s">
        <v>2549</v>
      </c>
      <c r="B528" s="22" t="s">
        <v>2550</v>
      </c>
      <c r="C528" s="26">
        <v>45899</v>
      </c>
      <c r="D528" s="25" t="s">
        <v>3165</v>
      </c>
      <c r="E528" s="25" t="s">
        <v>2144</v>
      </c>
      <c r="F528" s="53" t="s">
        <v>3812</v>
      </c>
      <c r="G528" s="28">
        <v>0</v>
      </c>
    </row>
    <row r="529" spans="1:7" x14ac:dyDescent="0.35">
      <c r="A529" s="22" t="s">
        <v>2549</v>
      </c>
      <c r="B529" s="22" t="s">
        <v>2550</v>
      </c>
      <c r="C529" s="26">
        <v>45899</v>
      </c>
      <c r="D529" s="25" t="s">
        <v>3166</v>
      </c>
      <c r="E529" s="25" t="s">
        <v>2205</v>
      </c>
      <c r="F529" s="53" t="s">
        <v>3812</v>
      </c>
      <c r="G529" s="28">
        <v>0</v>
      </c>
    </row>
    <row r="530" spans="1:7" x14ac:dyDescent="0.35">
      <c r="A530" s="22" t="s">
        <v>2549</v>
      </c>
      <c r="B530" s="22" t="s">
        <v>2550</v>
      </c>
      <c r="C530" s="26">
        <v>45899</v>
      </c>
      <c r="D530" s="25" t="s">
        <v>3167</v>
      </c>
      <c r="E530" s="25" t="s">
        <v>2205</v>
      </c>
      <c r="F530" s="53" t="s">
        <v>3812</v>
      </c>
      <c r="G530" s="28">
        <v>0</v>
      </c>
    </row>
    <row r="531" spans="1:7" x14ac:dyDescent="0.35">
      <c r="A531" s="22" t="s">
        <v>2549</v>
      </c>
      <c r="B531" s="22" t="s">
        <v>2550</v>
      </c>
      <c r="C531" s="26">
        <v>45899</v>
      </c>
      <c r="D531" s="25" t="s">
        <v>3168</v>
      </c>
      <c r="E531" s="25" t="s">
        <v>2205</v>
      </c>
      <c r="F531" s="53" t="s">
        <v>3812</v>
      </c>
      <c r="G531" s="28">
        <v>0</v>
      </c>
    </row>
    <row r="532" spans="1:7" x14ac:dyDescent="0.35">
      <c r="A532" s="22" t="s">
        <v>2549</v>
      </c>
      <c r="B532" s="22" t="s">
        <v>2550</v>
      </c>
      <c r="C532" s="26">
        <v>45899</v>
      </c>
      <c r="D532" s="25" t="s">
        <v>3169</v>
      </c>
      <c r="E532" s="25" t="s">
        <v>2392</v>
      </c>
      <c r="F532" s="53" t="s">
        <v>3812</v>
      </c>
      <c r="G532" s="28">
        <v>0</v>
      </c>
    </row>
    <row r="533" spans="1:7" x14ac:dyDescent="0.35">
      <c r="A533" s="22" t="s">
        <v>2549</v>
      </c>
      <c r="B533" s="22" t="s">
        <v>2550</v>
      </c>
      <c r="C533" s="26">
        <v>45899</v>
      </c>
      <c r="D533" s="25" t="s">
        <v>3170</v>
      </c>
      <c r="E533" s="25" t="s">
        <v>2392</v>
      </c>
      <c r="F533" s="53" t="s">
        <v>3812</v>
      </c>
      <c r="G533" s="28">
        <v>0</v>
      </c>
    </row>
    <row r="534" spans="1:7" x14ac:dyDescent="0.35">
      <c r="A534" s="22" t="s">
        <v>2549</v>
      </c>
      <c r="B534" s="22" t="s">
        <v>2550</v>
      </c>
      <c r="C534" s="26">
        <v>45899</v>
      </c>
      <c r="D534" s="25" t="s">
        <v>3171</v>
      </c>
      <c r="E534" s="25" t="s">
        <v>2392</v>
      </c>
      <c r="F534" s="53" t="s">
        <v>3812</v>
      </c>
      <c r="G534" s="28">
        <v>0</v>
      </c>
    </row>
    <row r="535" spans="1:7" x14ac:dyDescent="0.35">
      <c r="A535" s="22" t="s">
        <v>2549</v>
      </c>
      <c r="B535" s="22" t="s">
        <v>2550</v>
      </c>
      <c r="C535" s="26">
        <v>45899</v>
      </c>
      <c r="D535" s="25" t="s">
        <v>3172</v>
      </c>
      <c r="E535" s="25" t="s">
        <v>2392</v>
      </c>
      <c r="F535" s="53" t="s">
        <v>3812</v>
      </c>
      <c r="G535" s="28">
        <v>0</v>
      </c>
    </row>
    <row r="536" spans="1:7" x14ac:dyDescent="0.35">
      <c r="A536" s="22" t="s">
        <v>2549</v>
      </c>
      <c r="B536" s="22" t="s">
        <v>2550</v>
      </c>
      <c r="C536" s="26">
        <v>45899</v>
      </c>
      <c r="D536" s="25" t="s">
        <v>3173</v>
      </c>
      <c r="E536" s="25" t="s">
        <v>2392</v>
      </c>
      <c r="F536" s="53" t="s">
        <v>3812</v>
      </c>
      <c r="G536" s="28">
        <v>0</v>
      </c>
    </row>
    <row r="537" spans="1:7" x14ac:dyDescent="0.35">
      <c r="A537" s="22" t="s">
        <v>2549</v>
      </c>
      <c r="B537" s="22" t="s">
        <v>2550</v>
      </c>
      <c r="C537" s="26">
        <v>45899</v>
      </c>
      <c r="D537" s="25" t="s">
        <v>3174</v>
      </c>
      <c r="E537" s="25" t="s">
        <v>2392</v>
      </c>
      <c r="F537" s="53" t="s">
        <v>3812</v>
      </c>
      <c r="G537" s="28">
        <v>0</v>
      </c>
    </row>
    <row r="538" spans="1:7" x14ac:dyDescent="0.35">
      <c r="A538" s="22" t="s">
        <v>2549</v>
      </c>
      <c r="B538" s="22" t="s">
        <v>2550</v>
      </c>
      <c r="C538" s="26">
        <v>45899</v>
      </c>
      <c r="D538" s="25" t="s">
        <v>3175</v>
      </c>
      <c r="E538" s="25" t="s">
        <v>2392</v>
      </c>
      <c r="F538" s="53" t="s">
        <v>3812</v>
      </c>
      <c r="G538" s="28">
        <v>0</v>
      </c>
    </row>
    <row r="539" spans="1:7" x14ac:dyDescent="0.35">
      <c r="A539" s="22" t="s">
        <v>2549</v>
      </c>
      <c r="B539" s="22" t="s">
        <v>2550</v>
      </c>
      <c r="C539" s="26">
        <v>45899</v>
      </c>
      <c r="D539" s="25" t="s">
        <v>3176</v>
      </c>
      <c r="E539" s="25" t="s">
        <v>2437</v>
      </c>
      <c r="F539" s="53" t="s">
        <v>3812</v>
      </c>
      <c r="G539" s="28">
        <v>0</v>
      </c>
    </row>
    <row r="540" spans="1:7" x14ac:dyDescent="0.35">
      <c r="A540" s="22" t="s">
        <v>2549</v>
      </c>
      <c r="B540" s="22" t="s">
        <v>2550</v>
      </c>
      <c r="C540" s="26">
        <v>45899</v>
      </c>
      <c r="D540" s="25" t="s">
        <v>3177</v>
      </c>
      <c r="E540" s="25" t="s">
        <v>3479</v>
      </c>
      <c r="F540" s="53" t="s">
        <v>3812</v>
      </c>
      <c r="G540" s="28">
        <v>351.49</v>
      </c>
    </row>
    <row r="541" spans="1:7" x14ac:dyDescent="0.35">
      <c r="A541" s="22" t="s">
        <v>2549</v>
      </c>
      <c r="B541" s="22" t="s">
        <v>2550</v>
      </c>
      <c r="C541" s="26">
        <v>45899</v>
      </c>
      <c r="D541" s="25" t="s">
        <v>3178</v>
      </c>
      <c r="E541" s="25" t="s">
        <v>3480</v>
      </c>
      <c r="F541" s="53" t="s">
        <v>3812</v>
      </c>
      <c r="G541" s="28">
        <v>0</v>
      </c>
    </row>
    <row r="542" spans="1:7" x14ac:dyDescent="0.35">
      <c r="A542" s="22" t="s">
        <v>2549</v>
      </c>
      <c r="B542" s="22" t="s">
        <v>2550</v>
      </c>
      <c r="C542" s="26">
        <v>45899</v>
      </c>
      <c r="D542" s="25" t="s">
        <v>3179</v>
      </c>
      <c r="E542" s="25" t="s">
        <v>2437</v>
      </c>
      <c r="F542" s="53" t="s">
        <v>3812</v>
      </c>
      <c r="G542" s="28">
        <v>0</v>
      </c>
    </row>
    <row r="543" spans="1:7" x14ac:dyDescent="0.35">
      <c r="A543" s="22" t="s">
        <v>2549</v>
      </c>
      <c r="B543" s="22" t="s">
        <v>2550</v>
      </c>
      <c r="C543" s="26">
        <v>45899</v>
      </c>
      <c r="D543" s="25" t="s">
        <v>3180</v>
      </c>
      <c r="E543" s="25" t="s">
        <v>2437</v>
      </c>
      <c r="F543" s="53" t="s">
        <v>3812</v>
      </c>
      <c r="G543" s="28">
        <v>0</v>
      </c>
    </row>
    <row r="544" spans="1:7" x14ac:dyDescent="0.35">
      <c r="A544" s="22" t="s">
        <v>2549</v>
      </c>
      <c r="B544" s="22" t="s">
        <v>2550</v>
      </c>
      <c r="C544" s="26">
        <v>45899</v>
      </c>
      <c r="D544" s="25" t="s">
        <v>3181</v>
      </c>
      <c r="E544" s="25" t="s">
        <v>2437</v>
      </c>
      <c r="F544" s="53" t="s">
        <v>3812</v>
      </c>
      <c r="G544" s="28">
        <v>0</v>
      </c>
    </row>
    <row r="545" spans="1:7" x14ac:dyDescent="0.35">
      <c r="A545" s="22" t="s">
        <v>2549</v>
      </c>
      <c r="B545" s="22" t="s">
        <v>2550</v>
      </c>
      <c r="C545" s="26">
        <v>45899</v>
      </c>
      <c r="D545" s="25" t="s">
        <v>3182</v>
      </c>
      <c r="E545" s="25" t="s">
        <v>1608</v>
      </c>
      <c r="F545" s="53" t="s">
        <v>3812</v>
      </c>
      <c r="G545" s="28">
        <v>0</v>
      </c>
    </row>
    <row r="546" spans="1:7" x14ac:dyDescent="0.35">
      <c r="A546" s="22" t="s">
        <v>2549</v>
      </c>
      <c r="B546" s="22" t="s">
        <v>2550</v>
      </c>
      <c r="C546" s="26">
        <v>45899</v>
      </c>
      <c r="D546" s="25" t="s">
        <v>3183</v>
      </c>
      <c r="E546" s="25" t="s">
        <v>1608</v>
      </c>
      <c r="F546" s="53" t="s">
        <v>3812</v>
      </c>
      <c r="G546" s="28">
        <v>0</v>
      </c>
    </row>
    <row r="547" spans="1:7" x14ac:dyDescent="0.35">
      <c r="A547" s="22" t="s">
        <v>2549</v>
      </c>
      <c r="B547" s="22" t="s">
        <v>2550</v>
      </c>
      <c r="C547" s="26">
        <v>45899</v>
      </c>
      <c r="D547" s="25" t="s">
        <v>3184</v>
      </c>
      <c r="E547" s="25" t="s">
        <v>1608</v>
      </c>
      <c r="F547" s="53" t="s">
        <v>3812</v>
      </c>
      <c r="G547" s="28">
        <v>0</v>
      </c>
    </row>
    <row r="548" spans="1:7" x14ac:dyDescent="0.35">
      <c r="A548" s="22" t="s">
        <v>2549</v>
      </c>
      <c r="B548" s="22" t="s">
        <v>2550</v>
      </c>
      <c r="C548" s="26">
        <v>45899</v>
      </c>
      <c r="D548" s="25" t="s">
        <v>3185</v>
      </c>
      <c r="E548" s="25" t="s">
        <v>3481</v>
      </c>
      <c r="F548" s="53" t="s">
        <v>3812</v>
      </c>
      <c r="G548" s="28">
        <v>0</v>
      </c>
    </row>
    <row r="549" spans="1:7" x14ac:dyDescent="0.35">
      <c r="A549" s="22" t="s">
        <v>2549</v>
      </c>
      <c r="B549" s="22" t="s">
        <v>2550</v>
      </c>
      <c r="C549" s="26">
        <v>45899</v>
      </c>
      <c r="D549" s="25" t="s">
        <v>3186</v>
      </c>
      <c r="E549" s="25" t="s">
        <v>3481</v>
      </c>
      <c r="F549" s="53" t="s">
        <v>3812</v>
      </c>
      <c r="G549" s="28">
        <v>0</v>
      </c>
    </row>
    <row r="550" spans="1:7" x14ac:dyDescent="0.35">
      <c r="A550" s="22" t="s">
        <v>2549</v>
      </c>
      <c r="B550" s="22" t="s">
        <v>2550</v>
      </c>
      <c r="C550" s="26">
        <v>45899</v>
      </c>
      <c r="D550" s="25" t="s">
        <v>3187</v>
      </c>
      <c r="E550" s="25" t="s">
        <v>3481</v>
      </c>
      <c r="F550" s="53" t="s">
        <v>3812</v>
      </c>
      <c r="G550" s="28">
        <v>0</v>
      </c>
    </row>
    <row r="551" spans="1:7" x14ac:dyDescent="0.35">
      <c r="A551" s="22" t="s">
        <v>2549</v>
      </c>
      <c r="B551" s="22" t="s">
        <v>2550</v>
      </c>
      <c r="C551" s="26">
        <v>45899</v>
      </c>
      <c r="D551" s="25" t="s">
        <v>3188</v>
      </c>
      <c r="E551" s="25" t="s">
        <v>3482</v>
      </c>
      <c r="F551" s="53" t="s">
        <v>3812</v>
      </c>
      <c r="G551" s="28">
        <v>0</v>
      </c>
    </row>
    <row r="552" spans="1:7" x14ac:dyDescent="0.35">
      <c r="A552" s="22" t="s">
        <v>2549</v>
      </c>
      <c r="B552" s="22" t="s">
        <v>2550</v>
      </c>
      <c r="C552" s="26">
        <v>45899</v>
      </c>
      <c r="D552" s="25">
        <v>38034</v>
      </c>
      <c r="E552" s="25" t="s">
        <v>3483</v>
      </c>
      <c r="F552" s="53" t="s">
        <v>3812</v>
      </c>
      <c r="G552" s="28">
        <v>2645</v>
      </c>
    </row>
    <row r="553" spans="1:7" x14ac:dyDescent="0.35">
      <c r="A553" s="22" t="s">
        <v>2549</v>
      </c>
      <c r="B553" s="22" t="s">
        <v>2550</v>
      </c>
      <c r="C553" s="26">
        <v>45899</v>
      </c>
      <c r="D553" s="25" t="s">
        <v>3189</v>
      </c>
      <c r="E553" s="25" t="s">
        <v>3479</v>
      </c>
      <c r="F553" s="53" t="s">
        <v>3812</v>
      </c>
      <c r="G553" s="28">
        <v>0</v>
      </c>
    </row>
    <row r="554" spans="1:7" x14ac:dyDescent="0.35">
      <c r="A554" s="22" t="s">
        <v>2549</v>
      </c>
      <c r="B554" s="22" t="s">
        <v>2550</v>
      </c>
      <c r="C554" s="26">
        <v>45899</v>
      </c>
      <c r="D554" s="25" t="s">
        <v>3190</v>
      </c>
      <c r="E554" s="25" t="s">
        <v>2629</v>
      </c>
      <c r="F554" s="53" t="s">
        <v>3812</v>
      </c>
      <c r="G554" s="28">
        <v>0</v>
      </c>
    </row>
    <row r="555" spans="1:7" x14ac:dyDescent="0.35">
      <c r="A555" s="22" t="s">
        <v>2549</v>
      </c>
      <c r="B555" s="22" t="s">
        <v>2550</v>
      </c>
      <c r="C555" s="26">
        <v>45899</v>
      </c>
      <c r="D555" s="25" t="s">
        <v>3191</v>
      </c>
      <c r="E555" s="25" t="s">
        <v>2629</v>
      </c>
      <c r="F555" s="53" t="s">
        <v>3812</v>
      </c>
      <c r="G555" s="28">
        <v>0</v>
      </c>
    </row>
    <row r="556" spans="1:7" x14ac:dyDescent="0.35">
      <c r="A556" s="22" t="s">
        <v>2549</v>
      </c>
      <c r="B556" s="22" t="s">
        <v>2550</v>
      </c>
      <c r="C556" s="26">
        <v>45899</v>
      </c>
      <c r="D556" s="25" t="s">
        <v>3192</v>
      </c>
      <c r="E556" s="25" t="s">
        <v>2429</v>
      </c>
      <c r="F556" s="53" t="s">
        <v>3812</v>
      </c>
      <c r="G556" s="28">
        <v>0</v>
      </c>
    </row>
    <row r="557" spans="1:7" x14ac:dyDescent="0.35">
      <c r="A557" s="22" t="s">
        <v>2549</v>
      </c>
      <c r="B557" s="22" t="s">
        <v>2550</v>
      </c>
      <c r="C557" s="26">
        <v>45899</v>
      </c>
      <c r="D557" s="25" t="s">
        <v>3193</v>
      </c>
      <c r="E557" s="25" t="s">
        <v>2429</v>
      </c>
      <c r="F557" s="53" t="s">
        <v>3812</v>
      </c>
      <c r="G557" s="28">
        <v>0</v>
      </c>
    </row>
    <row r="558" spans="1:7" x14ac:dyDescent="0.35">
      <c r="A558" s="22" t="s">
        <v>2549</v>
      </c>
      <c r="B558" s="22" t="s">
        <v>2550</v>
      </c>
      <c r="C558" s="26">
        <v>45899</v>
      </c>
      <c r="D558" s="25">
        <v>38051</v>
      </c>
      <c r="E558" s="25" t="s">
        <v>3470</v>
      </c>
      <c r="F558" s="53" t="s">
        <v>3812</v>
      </c>
      <c r="G558" s="28">
        <v>54331.65</v>
      </c>
    </row>
    <row r="559" spans="1:7" x14ac:dyDescent="0.35">
      <c r="A559" s="22" t="s">
        <v>2549</v>
      </c>
      <c r="B559" s="22" t="s">
        <v>2550</v>
      </c>
      <c r="C559" s="26">
        <v>45899</v>
      </c>
      <c r="D559" s="25" t="s">
        <v>3194</v>
      </c>
      <c r="E559" s="25" t="s">
        <v>1695</v>
      </c>
      <c r="F559" s="53" t="s">
        <v>3812</v>
      </c>
      <c r="G559" s="28">
        <v>0</v>
      </c>
    </row>
    <row r="560" spans="1:7" x14ac:dyDescent="0.35">
      <c r="A560" s="22" t="s">
        <v>2549</v>
      </c>
      <c r="B560" s="22" t="s">
        <v>2550</v>
      </c>
      <c r="C560" s="26">
        <v>45899</v>
      </c>
      <c r="D560" s="25" t="s">
        <v>3195</v>
      </c>
      <c r="E560" s="25" t="s">
        <v>1695</v>
      </c>
      <c r="F560" s="53" t="s">
        <v>3812</v>
      </c>
      <c r="G560" s="28">
        <v>0</v>
      </c>
    </row>
    <row r="561" spans="1:7" x14ac:dyDescent="0.35">
      <c r="A561" s="22" t="s">
        <v>2549</v>
      </c>
      <c r="B561" s="22" t="s">
        <v>2550</v>
      </c>
      <c r="C561" s="26">
        <v>45899</v>
      </c>
      <c r="D561" s="25" t="s">
        <v>3196</v>
      </c>
      <c r="E561" s="25" t="s">
        <v>1695</v>
      </c>
      <c r="F561" s="53" t="s">
        <v>3812</v>
      </c>
      <c r="G561" s="28">
        <v>0</v>
      </c>
    </row>
    <row r="562" spans="1:7" x14ac:dyDescent="0.35">
      <c r="A562" s="22" t="s">
        <v>2549</v>
      </c>
      <c r="B562" s="22" t="s">
        <v>2550</v>
      </c>
      <c r="C562" s="26">
        <v>45899</v>
      </c>
      <c r="D562" s="25" t="s">
        <v>3197</v>
      </c>
      <c r="E562" s="25" t="s">
        <v>1695</v>
      </c>
      <c r="F562" s="53" t="s">
        <v>3812</v>
      </c>
      <c r="G562" s="28">
        <v>0</v>
      </c>
    </row>
    <row r="563" spans="1:7" x14ac:dyDescent="0.35">
      <c r="A563" s="22" t="s">
        <v>2549</v>
      </c>
      <c r="B563" s="22" t="s">
        <v>2550</v>
      </c>
      <c r="C563" s="26">
        <v>45899</v>
      </c>
      <c r="D563" s="25" t="s">
        <v>3198</v>
      </c>
      <c r="E563" s="25" t="s">
        <v>3484</v>
      </c>
      <c r="F563" s="53" t="s">
        <v>3812</v>
      </c>
      <c r="G563" s="28">
        <v>0</v>
      </c>
    </row>
    <row r="564" spans="1:7" x14ac:dyDescent="0.35">
      <c r="A564" s="22" t="s">
        <v>2549</v>
      </c>
      <c r="B564" s="22" t="s">
        <v>2550</v>
      </c>
      <c r="C564" s="26">
        <v>45899</v>
      </c>
      <c r="D564" s="25" t="s">
        <v>3199</v>
      </c>
      <c r="E564" s="25" t="s">
        <v>3484</v>
      </c>
      <c r="F564" s="53" t="s">
        <v>3812</v>
      </c>
      <c r="G564" s="28">
        <v>0</v>
      </c>
    </row>
    <row r="565" spans="1:7" x14ac:dyDescent="0.35">
      <c r="A565" s="22" t="s">
        <v>2549</v>
      </c>
      <c r="B565" s="22" t="s">
        <v>2550</v>
      </c>
      <c r="C565" s="26">
        <v>45899</v>
      </c>
      <c r="D565" s="25" t="s">
        <v>3200</v>
      </c>
      <c r="E565" s="25" t="s">
        <v>3485</v>
      </c>
      <c r="F565" s="53" t="s">
        <v>3812</v>
      </c>
      <c r="G565" s="28">
        <v>0</v>
      </c>
    </row>
    <row r="566" spans="1:7" x14ac:dyDescent="0.35">
      <c r="A566" s="22" t="s">
        <v>2549</v>
      </c>
      <c r="B566" s="22" t="s">
        <v>2550</v>
      </c>
      <c r="C566" s="26">
        <v>45899</v>
      </c>
      <c r="D566" s="25" t="s">
        <v>3201</v>
      </c>
      <c r="E566" s="25" t="s">
        <v>2212</v>
      </c>
      <c r="F566" s="53" t="s">
        <v>3812</v>
      </c>
      <c r="G566" s="28">
        <v>0</v>
      </c>
    </row>
    <row r="567" spans="1:7" x14ac:dyDescent="0.35">
      <c r="A567" s="22" t="s">
        <v>2549</v>
      </c>
      <c r="B567" s="22" t="s">
        <v>2550</v>
      </c>
      <c r="C567" s="26">
        <v>45899</v>
      </c>
      <c r="D567" s="25" t="s">
        <v>3202</v>
      </c>
      <c r="E567" s="25" t="s">
        <v>3486</v>
      </c>
      <c r="F567" s="53" t="s">
        <v>3812</v>
      </c>
      <c r="G567" s="28">
        <v>0</v>
      </c>
    </row>
    <row r="568" spans="1:7" x14ac:dyDescent="0.35">
      <c r="A568" s="22" t="s">
        <v>2549</v>
      </c>
      <c r="B568" s="22" t="s">
        <v>2550</v>
      </c>
      <c r="C568" s="26">
        <v>45899</v>
      </c>
      <c r="D568" s="25" t="s">
        <v>3203</v>
      </c>
      <c r="E568" s="25" t="s">
        <v>3486</v>
      </c>
      <c r="F568" s="53" t="s">
        <v>3812</v>
      </c>
      <c r="G568" s="28">
        <v>0</v>
      </c>
    </row>
    <row r="569" spans="1:7" x14ac:dyDescent="0.35">
      <c r="A569" s="22" t="s">
        <v>2549</v>
      </c>
      <c r="B569" s="22" t="s">
        <v>2550</v>
      </c>
      <c r="C569" s="26">
        <v>45899</v>
      </c>
      <c r="D569" s="25" t="s">
        <v>3204</v>
      </c>
      <c r="E569" s="25" t="s">
        <v>3486</v>
      </c>
      <c r="F569" s="53" t="s">
        <v>3812</v>
      </c>
      <c r="G569" s="28">
        <v>0</v>
      </c>
    </row>
    <row r="570" spans="1:7" x14ac:dyDescent="0.35">
      <c r="A570" s="22" t="s">
        <v>2549</v>
      </c>
      <c r="B570" s="22" t="s">
        <v>2550</v>
      </c>
      <c r="C570" s="26">
        <v>45899</v>
      </c>
      <c r="D570" s="25" t="s">
        <v>3205</v>
      </c>
      <c r="E570" s="25" t="s">
        <v>3486</v>
      </c>
      <c r="F570" s="53" t="s">
        <v>3812</v>
      </c>
      <c r="G570" s="28">
        <v>0</v>
      </c>
    </row>
    <row r="571" spans="1:7" x14ac:dyDescent="0.35">
      <c r="A571" s="22" t="s">
        <v>2549</v>
      </c>
      <c r="B571" s="22" t="s">
        <v>2550</v>
      </c>
      <c r="C571" s="26">
        <v>45899</v>
      </c>
      <c r="D571" s="25" t="s">
        <v>3206</v>
      </c>
      <c r="E571" s="25" t="s">
        <v>3486</v>
      </c>
      <c r="F571" s="53" t="s">
        <v>3812</v>
      </c>
      <c r="G571" s="28">
        <v>0</v>
      </c>
    </row>
    <row r="572" spans="1:7" x14ac:dyDescent="0.35">
      <c r="A572" s="22" t="s">
        <v>2549</v>
      </c>
      <c r="B572" s="22" t="s">
        <v>2550</v>
      </c>
      <c r="C572" s="26">
        <v>45899</v>
      </c>
      <c r="D572" s="25" t="s">
        <v>3207</v>
      </c>
      <c r="E572" s="25" t="s">
        <v>3486</v>
      </c>
      <c r="F572" s="53" t="s">
        <v>3812</v>
      </c>
      <c r="G572" s="28">
        <v>0</v>
      </c>
    </row>
    <row r="573" spans="1:7" x14ac:dyDescent="0.35">
      <c r="A573" s="22" t="s">
        <v>2549</v>
      </c>
      <c r="B573" s="22" t="s">
        <v>2550</v>
      </c>
      <c r="C573" s="26">
        <v>45899</v>
      </c>
      <c r="D573" s="25" t="s">
        <v>3208</v>
      </c>
      <c r="E573" s="25" t="s">
        <v>3486</v>
      </c>
      <c r="F573" s="53" t="s">
        <v>3812</v>
      </c>
      <c r="G573" s="28">
        <v>0</v>
      </c>
    </row>
    <row r="574" spans="1:7" x14ac:dyDescent="0.35">
      <c r="A574" s="22" t="s">
        <v>2549</v>
      </c>
      <c r="B574" s="22" t="s">
        <v>2550</v>
      </c>
      <c r="C574" s="26">
        <v>45899</v>
      </c>
      <c r="D574" s="25" t="s">
        <v>3209</v>
      </c>
      <c r="E574" s="25" t="s">
        <v>3486</v>
      </c>
      <c r="F574" s="53" t="s">
        <v>3812</v>
      </c>
      <c r="G574" s="28">
        <v>0</v>
      </c>
    </row>
    <row r="575" spans="1:7" x14ac:dyDescent="0.35">
      <c r="A575" s="22" t="s">
        <v>2549</v>
      </c>
      <c r="B575" s="22" t="s">
        <v>2550</v>
      </c>
      <c r="C575" s="26">
        <v>45899</v>
      </c>
      <c r="D575" s="25" t="s">
        <v>3210</v>
      </c>
      <c r="E575" s="25" t="s">
        <v>3486</v>
      </c>
      <c r="F575" s="53" t="s">
        <v>3812</v>
      </c>
      <c r="G575" s="28">
        <v>0</v>
      </c>
    </row>
    <row r="576" spans="1:7" x14ac:dyDescent="0.35">
      <c r="A576" s="22" t="s">
        <v>2549</v>
      </c>
      <c r="B576" s="22" t="s">
        <v>2550</v>
      </c>
      <c r="C576" s="26">
        <v>45899</v>
      </c>
      <c r="D576" s="25" t="s">
        <v>3211</v>
      </c>
      <c r="E576" s="25" t="s">
        <v>2027</v>
      </c>
      <c r="F576" s="53" t="s">
        <v>3812</v>
      </c>
      <c r="G576" s="28">
        <v>0</v>
      </c>
    </row>
    <row r="577" spans="1:7" x14ac:dyDescent="0.35">
      <c r="A577" s="22" t="s">
        <v>2549</v>
      </c>
      <c r="B577" s="22" t="s">
        <v>2550</v>
      </c>
      <c r="C577" s="26">
        <v>45899</v>
      </c>
      <c r="D577" s="25" t="s">
        <v>3213</v>
      </c>
      <c r="E577" s="25" t="s">
        <v>2846</v>
      </c>
      <c r="F577" s="53" t="s">
        <v>3812</v>
      </c>
      <c r="G577" s="28">
        <v>0</v>
      </c>
    </row>
    <row r="578" spans="1:7" x14ac:dyDescent="0.35">
      <c r="A578" s="22" t="s">
        <v>2549</v>
      </c>
      <c r="B578" s="22" t="s">
        <v>2550</v>
      </c>
      <c r="C578" s="26">
        <v>45899</v>
      </c>
      <c r="D578" s="25" t="s">
        <v>3214</v>
      </c>
      <c r="E578" s="25" t="s">
        <v>3154</v>
      </c>
      <c r="F578" s="53" t="s">
        <v>3812</v>
      </c>
      <c r="G578" s="28">
        <v>0</v>
      </c>
    </row>
    <row r="579" spans="1:7" x14ac:dyDescent="0.35">
      <c r="A579" s="22" t="s">
        <v>2549</v>
      </c>
      <c r="B579" s="22" t="s">
        <v>2550</v>
      </c>
      <c r="C579" s="26">
        <v>45899</v>
      </c>
      <c r="D579" s="25" t="s">
        <v>3215</v>
      </c>
      <c r="E579" s="25" t="s">
        <v>2442</v>
      </c>
      <c r="F579" s="53" t="s">
        <v>3812</v>
      </c>
      <c r="G579" s="28">
        <v>0</v>
      </c>
    </row>
    <row r="580" spans="1:7" x14ac:dyDescent="0.35">
      <c r="A580" s="22" t="s">
        <v>2549</v>
      </c>
      <c r="B580" s="22" t="s">
        <v>2550</v>
      </c>
      <c r="C580" s="26">
        <v>45899</v>
      </c>
      <c r="D580" s="25" t="s">
        <v>3216</v>
      </c>
      <c r="E580" s="25" t="s">
        <v>2442</v>
      </c>
      <c r="F580" s="53" t="s">
        <v>3812</v>
      </c>
      <c r="G580" s="28">
        <v>0</v>
      </c>
    </row>
    <row r="581" spans="1:7" x14ac:dyDescent="0.35">
      <c r="A581" s="22" t="s">
        <v>2549</v>
      </c>
      <c r="B581" s="22" t="s">
        <v>2550</v>
      </c>
      <c r="C581" s="26">
        <v>45899</v>
      </c>
      <c r="D581" s="25" t="s">
        <v>3217</v>
      </c>
      <c r="E581" s="25" t="s">
        <v>2626</v>
      </c>
      <c r="F581" s="53" t="s">
        <v>3812</v>
      </c>
      <c r="G581" s="28">
        <v>37.35</v>
      </c>
    </row>
    <row r="582" spans="1:7" x14ac:dyDescent="0.35">
      <c r="A582" s="22" t="s">
        <v>2549</v>
      </c>
      <c r="B582" s="22" t="s">
        <v>2550</v>
      </c>
      <c r="C582" s="26">
        <v>45899</v>
      </c>
      <c r="D582" s="25" t="s">
        <v>3219</v>
      </c>
      <c r="E582" s="25" t="s">
        <v>2626</v>
      </c>
      <c r="F582" s="53" t="s">
        <v>3812</v>
      </c>
      <c r="G582" s="28">
        <v>1200</v>
      </c>
    </row>
    <row r="583" spans="1:7" x14ac:dyDescent="0.35">
      <c r="A583" s="22" t="s">
        <v>2549</v>
      </c>
      <c r="B583" s="22" t="s">
        <v>2550</v>
      </c>
      <c r="C583" s="26">
        <v>45899</v>
      </c>
      <c r="D583" s="25" t="s">
        <v>3220</v>
      </c>
      <c r="E583" s="25" t="s">
        <v>2626</v>
      </c>
      <c r="F583" s="53" t="s">
        <v>3812</v>
      </c>
      <c r="G583" s="28">
        <v>0</v>
      </c>
    </row>
    <row r="584" spans="1:7" x14ac:dyDescent="0.35">
      <c r="A584" s="22" t="s">
        <v>2549</v>
      </c>
      <c r="B584" s="22" t="s">
        <v>2550</v>
      </c>
      <c r="C584" s="26">
        <v>45899</v>
      </c>
      <c r="D584" s="25" t="s">
        <v>3221</v>
      </c>
      <c r="E584" s="25" t="s">
        <v>2626</v>
      </c>
      <c r="F584" s="53" t="s">
        <v>3812</v>
      </c>
      <c r="G584" s="28">
        <v>0</v>
      </c>
    </row>
    <row r="585" spans="1:7" x14ac:dyDescent="0.35">
      <c r="A585" s="22" t="s">
        <v>2549</v>
      </c>
      <c r="B585" s="22" t="s">
        <v>2550</v>
      </c>
      <c r="C585" s="26">
        <v>45899</v>
      </c>
      <c r="D585" s="25" t="s">
        <v>3222</v>
      </c>
      <c r="E585" s="25" t="s">
        <v>2626</v>
      </c>
      <c r="F585" s="53" t="s">
        <v>3812</v>
      </c>
      <c r="G585" s="28">
        <v>0</v>
      </c>
    </row>
    <row r="586" spans="1:7" x14ac:dyDescent="0.35">
      <c r="A586" s="22" t="s">
        <v>2549</v>
      </c>
      <c r="B586" s="22" t="s">
        <v>2550</v>
      </c>
      <c r="C586" s="26">
        <v>45899</v>
      </c>
      <c r="D586" s="25" t="s">
        <v>3223</v>
      </c>
      <c r="E586" s="25" t="s">
        <v>2392</v>
      </c>
      <c r="F586" s="53" t="s">
        <v>3812</v>
      </c>
      <c r="G586" s="28">
        <v>0</v>
      </c>
    </row>
    <row r="587" spans="1:7" x14ac:dyDescent="0.35">
      <c r="A587" s="22" t="s">
        <v>2549</v>
      </c>
      <c r="B587" s="22" t="s">
        <v>2550</v>
      </c>
      <c r="C587" s="26">
        <v>45899</v>
      </c>
      <c r="D587" s="25">
        <v>38229</v>
      </c>
      <c r="E587" s="25" t="s">
        <v>1426</v>
      </c>
      <c r="F587" s="53" t="s">
        <v>3812</v>
      </c>
      <c r="G587" s="28">
        <v>0</v>
      </c>
    </row>
    <row r="588" spans="1:7" x14ac:dyDescent="0.35">
      <c r="A588" s="22" t="s">
        <v>2549</v>
      </c>
      <c r="B588" s="22" t="s">
        <v>2550</v>
      </c>
      <c r="C588" s="26">
        <v>45899</v>
      </c>
      <c r="D588" s="25">
        <v>38230</v>
      </c>
      <c r="E588" s="25" t="s">
        <v>3487</v>
      </c>
      <c r="F588" s="53" t="s">
        <v>3812</v>
      </c>
      <c r="G588" s="28">
        <v>24119</v>
      </c>
    </row>
    <row r="589" spans="1:7" x14ac:dyDescent="0.35">
      <c r="A589" s="22" t="s">
        <v>2549</v>
      </c>
      <c r="B589" s="22" t="s">
        <v>2550</v>
      </c>
      <c r="C589" s="26">
        <v>45899</v>
      </c>
      <c r="D589" s="25" t="s">
        <v>3224</v>
      </c>
      <c r="E589" s="25" t="s">
        <v>1582</v>
      </c>
      <c r="F589" s="53" t="s">
        <v>3812</v>
      </c>
      <c r="G589" s="28">
        <v>0</v>
      </c>
    </row>
    <row r="590" spans="1:7" x14ac:dyDescent="0.35">
      <c r="A590" s="22" t="s">
        <v>2549</v>
      </c>
      <c r="B590" s="22" t="s">
        <v>2550</v>
      </c>
      <c r="C590" s="26">
        <v>45899</v>
      </c>
      <c r="D590" s="25" t="s">
        <v>3225</v>
      </c>
      <c r="E590" s="25" t="s">
        <v>1582</v>
      </c>
      <c r="F590" s="53" t="s">
        <v>3812</v>
      </c>
      <c r="G590" s="28">
        <v>0</v>
      </c>
    </row>
    <row r="591" spans="1:7" x14ac:dyDescent="0.35">
      <c r="A591" s="22" t="s">
        <v>2549</v>
      </c>
      <c r="B591" s="22" t="s">
        <v>2550</v>
      </c>
      <c r="C591" s="26">
        <v>45899</v>
      </c>
      <c r="D591" s="25" t="s">
        <v>3226</v>
      </c>
      <c r="E591" s="25" t="s">
        <v>1582</v>
      </c>
      <c r="F591" s="53" t="s">
        <v>3812</v>
      </c>
      <c r="G591" s="28">
        <v>0</v>
      </c>
    </row>
    <row r="592" spans="1:7" x14ac:dyDescent="0.35">
      <c r="A592" s="22" t="s">
        <v>2549</v>
      </c>
      <c r="B592" s="22" t="s">
        <v>2550</v>
      </c>
      <c r="C592" s="26">
        <v>45899</v>
      </c>
      <c r="D592" s="25" t="s">
        <v>3227</v>
      </c>
      <c r="E592" s="25" t="s">
        <v>3488</v>
      </c>
      <c r="F592" s="53" t="s">
        <v>3812</v>
      </c>
      <c r="G592" s="28">
        <v>0</v>
      </c>
    </row>
    <row r="593" spans="1:7" x14ac:dyDescent="0.35">
      <c r="A593" s="22" t="s">
        <v>2549</v>
      </c>
      <c r="B593" s="22" t="s">
        <v>2550</v>
      </c>
      <c r="C593" s="26">
        <v>45899</v>
      </c>
      <c r="D593" s="25" t="s">
        <v>3228</v>
      </c>
      <c r="E593" s="25" t="s">
        <v>2677</v>
      </c>
      <c r="F593" s="53" t="s">
        <v>3812</v>
      </c>
      <c r="G593" s="28">
        <v>2494.5700000000002</v>
      </c>
    </row>
    <row r="594" spans="1:7" x14ac:dyDescent="0.35">
      <c r="A594" s="22" t="s">
        <v>2549</v>
      </c>
      <c r="B594" s="22" t="s">
        <v>2550</v>
      </c>
      <c r="C594" s="26">
        <v>45899</v>
      </c>
      <c r="D594" s="25" t="s">
        <v>3229</v>
      </c>
      <c r="E594" s="25" t="s">
        <v>2677</v>
      </c>
      <c r="F594" s="53" t="s">
        <v>3812</v>
      </c>
      <c r="G594" s="28">
        <v>4394.0499999999993</v>
      </c>
    </row>
    <row r="595" spans="1:7" x14ac:dyDescent="0.35">
      <c r="A595" s="22" t="s">
        <v>2549</v>
      </c>
      <c r="B595" s="22" t="s">
        <v>2550</v>
      </c>
      <c r="C595" s="26">
        <v>45899</v>
      </c>
      <c r="D595" s="25">
        <v>38254</v>
      </c>
      <c r="E595" s="25" t="s">
        <v>2677</v>
      </c>
      <c r="F595" s="53" t="s">
        <v>3812</v>
      </c>
      <c r="G595" s="28">
        <v>70206.000000000015</v>
      </c>
    </row>
    <row r="596" spans="1:7" x14ac:dyDescent="0.35">
      <c r="A596" s="22" t="s">
        <v>2549</v>
      </c>
      <c r="B596" s="22" t="s">
        <v>2550</v>
      </c>
      <c r="C596" s="26">
        <v>45899</v>
      </c>
      <c r="D596" s="25" t="s">
        <v>3231</v>
      </c>
      <c r="E596" s="25" t="s">
        <v>2677</v>
      </c>
      <c r="F596" s="53" t="s">
        <v>3812</v>
      </c>
      <c r="G596" s="28">
        <v>268894.41000000003</v>
      </c>
    </row>
    <row r="597" spans="1:7" x14ac:dyDescent="0.35">
      <c r="A597" s="22" t="s">
        <v>2549</v>
      </c>
      <c r="B597" s="22" t="s">
        <v>2550</v>
      </c>
      <c r="C597" s="26">
        <v>45899</v>
      </c>
      <c r="D597" s="25" t="s">
        <v>3232</v>
      </c>
      <c r="E597" s="25" t="s">
        <v>2677</v>
      </c>
      <c r="F597" s="53" t="s">
        <v>3812</v>
      </c>
      <c r="G597" s="28">
        <v>32981.75</v>
      </c>
    </row>
    <row r="598" spans="1:7" x14ac:dyDescent="0.35">
      <c r="A598" s="22" t="s">
        <v>2549</v>
      </c>
      <c r="B598" s="22" t="s">
        <v>2550</v>
      </c>
      <c r="C598" s="26">
        <v>45899</v>
      </c>
      <c r="D598" s="25" t="s">
        <v>3233</v>
      </c>
      <c r="E598" s="25" t="s">
        <v>2677</v>
      </c>
      <c r="F598" s="53" t="s">
        <v>3812</v>
      </c>
      <c r="G598" s="28">
        <v>72633.990000000005</v>
      </c>
    </row>
    <row r="599" spans="1:7" x14ac:dyDescent="0.35">
      <c r="A599" s="22" t="s">
        <v>2549</v>
      </c>
      <c r="B599" s="22" t="s">
        <v>2550</v>
      </c>
      <c r="C599" s="26">
        <v>45899</v>
      </c>
      <c r="D599" s="25" t="s">
        <v>3234</v>
      </c>
      <c r="E599" s="25" t="s">
        <v>2677</v>
      </c>
      <c r="F599" s="53" t="s">
        <v>3812</v>
      </c>
      <c r="G599" s="28">
        <v>0</v>
      </c>
    </row>
    <row r="600" spans="1:7" x14ac:dyDescent="0.35">
      <c r="A600" s="22" t="s">
        <v>2549</v>
      </c>
      <c r="B600" s="22" t="s">
        <v>2550</v>
      </c>
      <c r="C600" s="26">
        <v>45899</v>
      </c>
      <c r="D600" s="25" t="s">
        <v>3235</v>
      </c>
      <c r="E600" s="25" t="s">
        <v>2677</v>
      </c>
      <c r="F600" s="53" t="s">
        <v>3812</v>
      </c>
      <c r="G600" s="28">
        <v>2754.29</v>
      </c>
    </row>
    <row r="601" spans="1:7" x14ac:dyDescent="0.35">
      <c r="A601" s="22" t="s">
        <v>2549</v>
      </c>
      <c r="B601" s="22" t="s">
        <v>2550</v>
      </c>
      <c r="C601" s="26">
        <v>45899</v>
      </c>
      <c r="D601" s="25" t="s">
        <v>3236</v>
      </c>
      <c r="E601" s="25" t="s">
        <v>2677</v>
      </c>
      <c r="F601" s="53" t="s">
        <v>3812</v>
      </c>
      <c r="G601" s="28">
        <v>0</v>
      </c>
    </row>
    <row r="602" spans="1:7" x14ac:dyDescent="0.35">
      <c r="A602" s="22" t="s">
        <v>2549</v>
      </c>
      <c r="B602" s="22" t="s">
        <v>2550</v>
      </c>
      <c r="C602" s="26">
        <v>45899</v>
      </c>
      <c r="D602" s="25">
        <v>38263</v>
      </c>
      <c r="E602" s="25" t="s">
        <v>2677</v>
      </c>
      <c r="F602" s="53" t="s">
        <v>3812</v>
      </c>
      <c r="G602" s="28">
        <v>1203.22</v>
      </c>
    </row>
    <row r="603" spans="1:7" x14ac:dyDescent="0.35">
      <c r="A603" s="22" t="s">
        <v>2549</v>
      </c>
      <c r="B603" s="22" t="s">
        <v>2550</v>
      </c>
      <c r="C603" s="26">
        <v>45899</v>
      </c>
      <c r="D603" s="25" t="s">
        <v>3237</v>
      </c>
      <c r="E603" s="25" t="s">
        <v>2677</v>
      </c>
      <c r="F603" s="53" t="s">
        <v>3812</v>
      </c>
      <c r="G603" s="28">
        <v>0</v>
      </c>
    </row>
    <row r="604" spans="1:7" x14ac:dyDescent="0.35">
      <c r="A604" s="22" t="s">
        <v>2549</v>
      </c>
      <c r="B604" s="22" t="s">
        <v>2550</v>
      </c>
      <c r="C604" s="26">
        <v>45899</v>
      </c>
      <c r="D604" s="25" t="s">
        <v>3238</v>
      </c>
      <c r="E604" s="25" t="s">
        <v>2677</v>
      </c>
      <c r="F604" s="53" t="s">
        <v>3812</v>
      </c>
      <c r="G604" s="28">
        <v>0</v>
      </c>
    </row>
    <row r="605" spans="1:7" x14ac:dyDescent="0.35">
      <c r="A605" s="22" t="s">
        <v>2549</v>
      </c>
      <c r="B605" s="22" t="s">
        <v>2550</v>
      </c>
      <c r="C605" s="26">
        <v>45899</v>
      </c>
      <c r="D605" s="25">
        <v>38265</v>
      </c>
      <c r="E605" s="25" t="s">
        <v>2677</v>
      </c>
      <c r="F605" s="53" t="s">
        <v>3812</v>
      </c>
      <c r="G605" s="28">
        <v>21741</v>
      </c>
    </row>
    <row r="606" spans="1:7" x14ac:dyDescent="0.35">
      <c r="A606" s="22" t="s">
        <v>2549</v>
      </c>
      <c r="B606" s="22" t="s">
        <v>2550</v>
      </c>
      <c r="C606" s="26">
        <v>45899</v>
      </c>
      <c r="D606" s="25">
        <v>38266</v>
      </c>
      <c r="E606" s="25" t="s">
        <v>2677</v>
      </c>
      <c r="F606" s="53" t="s">
        <v>3812</v>
      </c>
      <c r="G606" s="28">
        <v>21848.110000000004</v>
      </c>
    </row>
    <row r="607" spans="1:7" x14ac:dyDescent="0.35">
      <c r="A607" s="22" t="s">
        <v>2549</v>
      </c>
      <c r="B607" s="22" t="s">
        <v>2550</v>
      </c>
      <c r="C607" s="26">
        <v>45899</v>
      </c>
      <c r="D607" s="25" t="s">
        <v>3239</v>
      </c>
      <c r="E607" s="25" t="s">
        <v>2144</v>
      </c>
      <c r="F607" s="53" t="s">
        <v>3812</v>
      </c>
      <c r="G607" s="28">
        <v>0</v>
      </c>
    </row>
    <row r="608" spans="1:7" x14ac:dyDescent="0.35">
      <c r="A608" s="22" t="s">
        <v>2549</v>
      </c>
      <c r="B608" s="22" t="s">
        <v>2550</v>
      </c>
      <c r="C608" s="26">
        <v>45899</v>
      </c>
      <c r="D608" s="25" t="s">
        <v>3240</v>
      </c>
      <c r="E608" s="25" t="s">
        <v>2144</v>
      </c>
      <c r="F608" s="53" t="s">
        <v>3812</v>
      </c>
      <c r="G608" s="28">
        <v>0</v>
      </c>
    </row>
    <row r="609" spans="1:7" x14ac:dyDescent="0.35">
      <c r="A609" s="22" t="s">
        <v>2549</v>
      </c>
      <c r="B609" s="22" t="s">
        <v>2550</v>
      </c>
      <c r="C609" s="26">
        <v>45899</v>
      </c>
      <c r="D609" s="25" t="s">
        <v>3241</v>
      </c>
      <c r="E609" s="25" t="s">
        <v>3489</v>
      </c>
      <c r="F609" s="53" t="s">
        <v>3812</v>
      </c>
      <c r="G609" s="28">
        <v>0</v>
      </c>
    </row>
    <row r="610" spans="1:7" x14ac:dyDescent="0.35">
      <c r="A610" s="22" t="s">
        <v>2549</v>
      </c>
      <c r="B610" s="22" t="s">
        <v>2550</v>
      </c>
      <c r="C610" s="26">
        <v>45899</v>
      </c>
      <c r="D610" s="25" t="s">
        <v>3242</v>
      </c>
      <c r="E610" s="25" t="s">
        <v>1459</v>
      </c>
      <c r="F610" s="53" t="s">
        <v>3812</v>
      </c>
      <c r="G610" s="28">
        <v>0</v>
      </c>
    </row>
    <row r="611" spans="1:7" x14ac:dyDescent="0.35">
      <c r="A611" s="22" t="s">
        <v>2549</v>
      </c>
      <c r="B611" s="22" t="s">
        <v>2550</v>
      </c>
      <c r="C611" s="26">
        <v>45899</v>
      </c>
      <c r="D611" s="25" t="s">
        <v>3243</v>
      </c>
      <c r="E611" s="25" t="s">
        <v>2313</v>
      </c>
      <c r="F611" s="53" t="s">
        <v>3812</v>
      </c>
      <c r="G611" s="28">
        <v>0</v>
      </c>
    </row>
    <row r="612" spans="1:7" x14ac:dyDescent="0.35">
      <c r="A612" s="22" t="s">
        <v>2549</v>
      </c>
      <c r="B612" s="22" t="s">
        <v>2550</v>
      </c>
      <c r="C612" s="26">
        <v>45899</v>
      </c>
      <c r="D612" s="25" t="s">
        <v>3244</v>
      </c>
      <c r="E612" s="25" t="s">
        <v>2313</v>
      </c>
      <c r="F612" s="53" t="s">
        <v>3812</v>
      </c>
      <c r="G612" s="28">
        <v>0</v>
      </c>
    </row>
    <row r="613" spans="1:7" x14ac:dyDescent="0.35">
      <c r="A613" s="22" t="s">
        <v>2549</v>
      </c>
      <c r="B613" s="22" t="s">
        <v>2550</v>
      </c>
      <c r="C613" s="26">
        <v>45899</v>
      </c>
      <c r="D613" s="25" t="s">
        <v>3245</v>
      </c>
      <c r="E613" s="25" t="s">
        <v>2628</v>
      </c>
      <c r="F613" s="53" t="s">
        <v>3812</v>
      </c>
      <c r="G613" s="28">
        <v>0</v>
      </c>
    </row>
    <row r="614" spans="1:7" x14ac:dyDescent="0.35">
      <c r="A614" s="22" t="s">
        <v>2549</v>
      </c>
      <c r="B614" s="22" t="s">
        <v>2550</v>
      </c>
      <c r="C614" s="26">
        <v>45899</v>
      </c>
      <c r="D614" s="25" t="s">
        <v>3246</v>
      </c>
      <c r="E614" s="25" t="s">
        <v>2628</v>
      </c>
      <c r="F614" s="53" t="s">
        <v>3812</v>
      </c>
      <c r="G614" s="28">
        <v>0</v>
      </c>
    </row>
    <row r="615" spans="1:7" x14ac:dyDescent="0.35">
      <c r="A615" s="22" t="s">
        <v>2549</v>
      </c>
      <c r="B615" s="22" t="s">
        <v>2550</v>
      </c>
      <c r="C615" s="26">
        <v>45899</v>
      </c>
      <c r="D615" s="25" t="s">
        <v>3247</v>
      </c>
      <c r="E615" s="25" t="s">
        <v>2628</v>
      </c>
      <c r="F615" s="53" t="s">
        <v>3812</v>
      </c>
      <c r="G615" s="28">
        <v>0</v>
      </c>
    </row>
    <row r="616" spans="1:7" x14ac:dyDescent="0.35">
      <c r="A616" s="22" t="s">
        <v>2549</v>
      </c>
      <c r="B616" s="22" t="s">
        <v>2550</v>
      </c>
      <c r="C616" s="26">
        <v>45899</v>
      </c>
      <c r="D616" s="25" t="s">
        <v>3248</v>
      </c>
      <c r="E616" s="25" t="s">
        <v>2628</v>
      </c>
      <c r="F616" s="53" t="s">
        <v>3812</v>
      </c>
      <c r="G616" s="28">
        <v>0</v>
      </c>
    </row>
    <row r="617" spans="1:7" x14ac:dyDescent="0.35">
      <c r="A617" s="22" t="s">
        <v>2549</v>
      </c>
      <c r="B617" s="22" t="s">
        <v>2550</v>
      </c>
      <c r="C617" s="26">
        <v>45899</v>
      </c>
      <c r="D617" s="25" t="s">
        <v>3249</v>
      </c>
      <c r="E617" s="25" t="s">
        <v>1371</v>
      </c>
      <c r="F617" s="53" t="s">
        <v>3812</v>
      </c>
      <c r="G617" s="28">
        <v>0</v>
      </c>
    </row>
    <row r="618" spans="1:7" x14ac:dyDescent="0.35">
      <c r="A618" s="22" t="s">
        <v>2549</v>
      </c>
      <c r="B618" s="22" t="s">
        <v>2550</v>
      </c>
      <c r="C618" s="26">
        <v>45899</v>
      </c>
      <c r="D618" s="25" t="s">
        <v>3250</v>
      </c>
      <c r="E618" s="25" t="s">
        <v>2629</v>
      </c>
      <c r="F618" s="53" t="s">
        <v>3812</v>
      </c>
      <c r="G618" s="28">
        <v>0</v>
      </c>
    </row>
    <row r="619" spans="1:7" x14ac:dyDescent="0.35">
      <c r="A619" s="22" t="s">
        <v>2549</v>
      </c>
      <c r="B619" s="22" t="s">
        <v>2550</v>
      </c>
      <c r="C619" s="26">
        <v>45899</v>
      </c>
      <c r="D619" s="25" t="s">
        <v>3251</v>
      </c>
      <c r="E619" s="25" t="s">
        <v>2629</v>
      </c>
      <c r="F619" s="53" t="s">
        <v>3812</v>
      </c>
      <c r="G619" s="28">
        <v>0</v>
      </c>
    </row>
    <row r="620" spans="1:7" x14ac:dyDescent="0.35">
      <c r="A620" s="22" t="s">
        <v>2549</v>
      </c>
      <c r="B620" s="22" t="s">
        <v>2550</v>
      </c>
      <c r="C620" s="26">
        <v>45899</v>
      </c>
      <c r="D620" s="25" t="s">
        <v>3252</v>
      </c>
      <c r="E620" s="25" t="s">
        <v>2629</v>
      </c>
      <c r="F620" s="53" t="s">
        <v>3812</v>
      </c>
      <c r="G620" s="28">
        <v>0</v>
      </c>
    </row>
    <row r="621" spans="1:7" x14ac:dyDescent="0.35">
      <c r="A621" s="22" t="s">
        <v>2549</v>
      </c>
      <c r="B621" s="22" t="s">
        <v>2550</v>
      </c>
      <c r="C621" s="26">
        <v>45899</v>
      </c>
      <c r="D621" s="25" t="s">
        <v>3253</v>
      </c>
      <c r="E621" s="25" t="s">
        <v>1223</v>
      </c>
      <c r="F621" s="53" t="s">
        <v>3812</v>
      </c>
      <c r="G621" s="28">
        <v>32435.98</v>
      </c>
    </row>
    <row r="622" spans="1:7" x14ac:dyDescent="0.35">
      <c r="A622" s="22" t="s">
        <v>2549</v>
      </c>
      <c r="B622" s="22" t="s">
        <v>2550</v>
      </c>
      <c r="C622" s="26">
        <v>45899</v>
      </c>
      <c r="D622" s="25" t="s">
        <v>3254</v>
      </c>
      <c r="E622" s="25" t="s">
        <v>1223</v>
      </c>
      <c r="F622" s="53" t="s">
        <v>3812</v>
      </c>
      <c r="G622" s="28">
        <v>0</v>
      </c>
    </row>
    <row r="623" spans="1:7" x14ac:dyDescent="0.35">
      <c r="A623" s="22" t="s">
        <v>2549</v>
      </c>
      <c r="B623" s="22" t="s">
        <v>2550</v>
      </c>
      <c r="C623" s="26">
        <v>45899</v>
      </c>
      <c r="D623" s="25" t="s">
        <v>3255</v>
      </c>
      <c r="E623" s="25" t="s">
        <v>1223</v>
      </c>
      <c r="F623" s="53" t="s">
        <v>3812</v>
      </c>
      <c r="G623" s="28">
        <v>0</v>
      </c>
    </row>
    <row r="624" spans="1:7" x14ac:dyDescent="0.35">
      <c r="A624" s="22" t="s">
        <v>2549</v>
      </c>
      <c r="B624" s="22" t="s">
        <v>2550</v>
      </c>
      <c r="C624" s="26">
        <v>45899</v>
      </c>
      <c r="D624" s="25" t="s">
        <v>3256</v>
      </c>
      <c r="E624" s="25" t="s">
        <v>1223</v>
      </c>
      <c r="F624" s="53" t="s">
        <v>3812</v>
      </c>
      <c r="G624" s="28">
        <v>0</v>
      </c>
    </row>
    <row r="625" spans="1:7" x14ac:dyDescent="0.35">
      <c r="A625" s="22" t="s">
        <v>2549</v>
      </c>
      <c r="B625" s="22" t="s">
        <v>2550</v>
      </c>
      <c r="C625" s="26">
        <v>45899</v>
      </c>
      <c r="D625" s="25" t="s">
        <v>3257</v>
      </c>
      <c r="E625" s="25" t="s">
        <v>1060</v>
      </c>
      <c r="F625" s="53" t="s">
        <v>3812</v>
      </c>
      <c r="G625" s="28">
        <v>0</v>
      </c>
    </row>
    <row r="626" spans="1:7" x14ac:dyDescent="0.35">
      <c r="A626" s="22" t="s">
        <v>2549</v>
      </c>
      <c r="B626" s="22" t="s">
        <v>2550</v>
      </c>
      <c r="C626" s="26">
        <v>45899</v>
      </c>
      <c r="D626" s="25" t="s">
        <v>3258</v>
      </c>
      <c r="E626" s="25" t="s">
        <v>1999</v>
      </c>
      <c r="F626" s="53" t="s">
        <v>3812</v>
      </c>
      <c r="G626" s="28">
        <v>0</v>
      </c>
    </row>
    <row r="627" spans="1:7" x14ac:dyDescent="0.35">
      <c r="A627" s="22" t="s">
        <v>2549</v>
      </c>
      <c r="B627" s="22" t="s">
        <v>2550</v>
      </c>
      <c r="C627" s="26">
        <v>45899</v>
      </c>
      <c r="D627" s="25" t="s">
        <v>3259</v>
      </c>
      <c r="E627" s="25" t="s">
        <v>1269</v>
      </c>
      <c r="F627" s="53" t="s">
        <v>3812</v>
      </c>
      <c r="G627" s="28">
        <v>0</v>
      </c>
    </row>
    <row r="628" spans="1:7" x14ac:dyDescent="0.35">
      <c r="A628" s="22" t="s">
        <v>2549</v>
      </c>
      <c r="B628" s="22" t="s">
        <v>2550</v>
      </c>
      <c r="C628" s="26">
        <v>45899</v>
      </c>
      <c r="D628" s="25" t="s">
        <v>3260</v>
      </c>
      <c r="E628" s="25" t="s">
        <v>1269</v>
      </c>
      <c r="F628" s="53" t="s">
        <v>3812</v>
      </c>
      <c r="G628" s="28">
        <v>0</v>
      </c>
    </row>
    <row r="629" spans="1:7" x14ac:dyDescent="0.35">
      <c r="A629" s="22" t="s">
        <v>2549</v>
      </c>
      <c r="B629" s="22" t="s">
        <v>2550</v>
      </c>
      <c r="C629" s="26">
        <v>45899</v>
      </c>
      <c r="D629" s="25" t="s">
        <v>3261</v>
      </c>
      <c r="E629" s="25" t="s">
        <v>1450</v>
      </c>
      <c r="F629" s="53" t="s">
        <v>3812</v>
      </c>
      <c r="G629" s="28">
        <v>0</v>
      </c>
    </row>
    <row r="630" spans="1:7" x14ac:dyDescent="0.35">
      <c r="A630" s="22" t="s">
        <v>2549</v>
      </c>
      <c r="B630" s="22" t="s">
        <v>2550</v>
      </c>
      <c r="C630" s="26">
        <v>45899</v>
      </c>
      <c r="D630" s="25" t="s">
        <v>3262</v>
      </c>
      <c r="E630" s="25" t="s">
        <v>1450</v>
      </c>
      <c r="F630" s="53" t="s">
        <v>3812</v>
      </c>
      <c r="G630" s="28">
        <v>0</v>
      </c>
    </row>
    <row r="631" spans="1:7" x14ac:dyDescent="0.35">
      <c r="A631" s="22" t="s">
        <v>2549</v>
      </c>
      <c r="B631" s="22" t="s">
        <v>2550</v>
      </c>
      <c r="C631" s="26">
        <v>45899</v>
      </c>
      <c r="D631" s="25" t="s">
        <v>3263</v>
      </c>
      <c r="E631" s="25" t="s">
        <v>1450</v>
      </c>
      <c r="F631" s="53" t="s">
        <v>3812</v>
      </c>
      <c r="G631" s="28">
        <v>0</v>
      </c>
    </row>
    <row r="632" spans="1:7" x14ac:dyDescent="0.35">
      <c r="A632" s="22" t="s">
        <v>2549</v>
      </c>
      <c r="B632" s="22" t="s">
        <v>2550</v>
      </c>
      <c r="C632" s="26">
        <v>45899</v>
      </c>
      <c r="D632" s="25" t="s">
        <v>3264</v>
      </c>
      <c r="E632" s="25" t="s">
        <v>1450</v>
      </c>
      <c r="F632" s="53" t="s">
        <v>3812</v>
      </c>
      <c r="G632" s="28">
        <v>0</v>
      </c>
    </row>
    <row r="633" spans="1:7" x14ac:dyDescent="0.35">
      <c r="A633" s="22" t="s">
        <v>2549</v>
      </c>
      <c r="B633" s="22" t="s">
        <v>2550</v>
      </c>
      <c r="C633" s="26">
        <v>45899</v>
      </c>
      <c r="D633" s="25" t="s">
        <v>3265</v>
      </c>
      <c r="E633" s="25" t="s">
        <v>1450</v>
      </c>
      <c r="F633" s="53" t="s">
        <v>3812</v>
      </c>
      <c r="G633" s="28">
        <v>0</v>
      </c>
    </row>
    <row r="634" spans="1:7" x14ac:dyDescent="0.35">
      <c r="A634" s="22" t="s">
        <v>2549</v>
      </c>
      <c r="B634" s="22" t="s">
        <v>2550</v>
      </c>
      <c r="C634" s="26">
        <v>45899</v>
      </c>
      <c r="D634" s="25" t="s">
        <v>3266</v>
      </c>
      <c r="E634" s="25" t="s">
        <v>1450</v>
      </c>
      <c r="F634" s="53" t="s">
        <v>3812</v>
      </c>
      <c r="G634" s="28">
        <v>0</v>
      </c>
    </row>
    <row r="635" spans="1:7" x14ac:dyDescent="0.35">
      <c r="A635" s="22" t="s">
        <v>2549</v>
      </c>
      <c r="B635" s="22" t="s">
        <v>2550</v>
      </c>
      <c r="C635" s="26">
        <v>45899</v>
      </c>
      <c r="D635" s="25" t="s">
        <v>3267</v>
      </c>
      <c r="E635" s="25" t="s">
        <v>3490</v>
      </c>
      <c r="F635" s="53" t="s">
        <v>3812</v>
      </c>
      <c r="G635" s="28">
        <v>0</v>
      </c>
    </row>
    <row r="636" spans="1:7" x14ac:dyDescent="0.35">
      <c r="A636" s="22" t="s">
        <v>2549</v>
      </c>
      <c r="B636" s="22" t="s">
        <v>2550</v>
      </c>
      <c r="C636" s="26">
        <v>45899</v>
      </c>
      <c r="D636" s="25" t="s">
        <v>3268</v>
      </c>
      <c r="E636" s="25" t="s">
        <v>1608</v>
      </c>
      <c r="F636" s="53" t="s">
        <v>3812</v>
      </c>
      <c r="G636" s="28">
        <v>0</v>
      </c>
    </row>
    <row r="637" spans="1:7" x14ac:dyDescent="0.35">
      <c r="A637" s="22" t="s">
        <v>2549</v>
      </c>
      <c r="B637" s="22" t="s">
        <v>2550</v>
      </c>
      <c r="C637" s="26">
        <v>45899</v>
      </c>
      <c r="D637" s="25" t="s">
        <v>3269</v>
      </c>
      <c r="E637" s="25" t="s">
        <v>1223</v>
      </c>
      <c r="F637" s="53" t="s">
        <v>3812</v>
      </c>
      <c r="G637" s="28">
        <v>0</v>
      </c>
    </row>
    <row r="638" spans="1:7" x14ac:dyDescent="0.35">
      <c r="A638" s="22" t="s">
        <v>2549</v>
      </c>
      <c r="B638" s="22" t="s">
        <v>2550</v>
      </c>
      <c r="C638" s="26">
        <v>45899</v>
      </c>
      <c r="D638" s="25" t="s">
        <v>3270</v>
      </c>
      <c r="E638" s="25" t="s">
        <v>3491</v>
      </c>
      <c r="F638" s="53" t="s">
        <v>3812</v>
      </c>
      <c r="G638" s="28">
        <v>0</v>
      </c>
    </row>
    <row r="639" spans="1:7" x14ac:dyDescent="0.35">
      <c r="A639" s="22" t="s">
        <v>2549</v>
      </c>
      <c r="B639" s="22" t="s">
        <v>2550</v>
      </c>
      <c r="C639" s="26">
        <v>45899</v>
      </c>
      <c r="D639" s="25" t="s">
        <v>3271</v>
      </c>
      <c r="E639" s="25" t="s">
        <v>3485</v>
      </c>
      <c r="F639" s="53" t="s">
        <v>3812</v>
      </c>
      <c r="G639" s="28">
        <v>0</v>
      </c>
    </row>
    <row r="640" spans="1:7" x14ac:dyDescent="0.35">
      <c r="A640" s="22" t="s">
        <v>2549</v>
      </c>
      <c r="B640" s="22" t="s">
        <v>2550</v>
      </c>
      <c r="C640" s="26">
        <v>45899</v>
      </c>
      <c r="D640" s="25">
        <v>38546</v>
      </c>
      <c r="E640" s="25" t="s">
        <v>2266</v>
      </c>
      <c r="F640" s="53" t="s">
        <v>3812</v>
      </c>
      <c r="G640" s="28">
        <v>42122.14</v>
      </c>
    </row>
    <row r="641" spans="1:7" x14ac:dyDescent="0.35">
      <c r="A641" s="22" t="s">
        <v>2549</v>
      </c>
      <c r="B641" s="22" t="s">
        <v>2550</v>
      </c>
      <c r="C641" s="26">
        <v>45899</v>
      </c>
      <c r="D641" s="25" t="s">
        <v>3272</v>
      </c>
      <c r="E641" s="25" t="s">
        <v>3492</v>
      </c>
      <c r="F641" s="53" t="s">
        <v>3812</v>
      </c>
      <c r="G641" s="28">
        <v>0</v>
      </c>
    </row>
    <row r="642" spans="1:7" x14ac:dyDescent="0.35">
      <c r="A642" s="22" t="s">
        <v>2549</v>
      </c>
      <c r="B642" s="22" t="s">
        <v>2550</v>
      </c>
      <c r="C642" s="26">
        <v>45899</v>
      </c>
      <c r="D642" s="25" t="s">
        <v>3273</v>
      </c>
      <c r="E642" s="25" t="s">
        <v>2205</v>
      </c>
      <c r="F642" s="53" t="s">
        <v>3812</v>
      </c>
      <c r="G642" s="28">
        <v>0</v>
      </c>
    </row>
    <row r="643" spans="1:7" x14ac:dyDescent="0.35">
      <c r="A643" s="22" t="s">
        <v>2549</v>
      </c>
      <c r="B643" s="22" t="s">
        <v>2550</v>
      </c>
      <c r="C643" s="26">
        <v>45899</v>
      </c>
      <c r="D643" s="25" t="s">
        <v>3274</v>
      </c>
      <c r="E643" s="25" t="s">
        <v>2205</v>
      </c>
      <c r="F643" s="53" t="s">
        <v>3812</v>
      </c>
      <c r="G643" s="28">
        <v>0</v>
      </c>
    </row>
    <row r="644" spans="1:7" x14ac:dyDescent="0.35">
      <c r="A644" s="22" t="s">
        <v>2549</v>
      </c>
      <c r="B644" s="22" t="s">
        <v>2550</v>
      </c>
      <c r="C644" s="26">
        <v>45899</v>
      </c>
      <c r="D644" s="25" t="s">
        <v>3275</v>
      </c>
      <c r="E644" s="25" t="s">
        <v>2205</v>
      </c>
      <c r="F644" s="53" t="s">
        <v>3812</v>
      </c>
      <c r="G644" s="28">
        <v>0</v>
      </c>
    </row>
    <row r="645" spans="1:7" x14ac:dyDescent="0.35">
      <c r="A645" s="22" t="s">
        <v>2549</v>
      </c>
      <c r="B645" s="22" t="s">
        <v>2550</v>
      </c>
      <c r="C645" s="26">
        <v>45899</v>
      </c>
      <c r="D645" s="25" t="s">
        <v>3276</v>
      </c>
      <c r="E645" s="25" t="s">
        <v>2205</v>
      </c>
      <c r="F645" s="53" t="s">
        <v>3812</v>
      </c>
      <c r="G645" s="28">
        <v>0</v>
      </c>
    </row>
    <row r="646" spans="1:7" x14ac:dyDescent="0.35">
      <c r="A646" s="22" t="s">
        <v>2549</v>
      </c>
      <c r="B646" s="22" t="s">
        <v>2550</v>
      </c>
      <c r="C646" s="26">
        <v>45899</v>
      </c>
      <c r="D646" s="25" t="s">
        <v>3277</v>
      </c>
      <c r="E646" s="25" t="s">
        <v>2205</v>
      </c>
      <c r="F646" s="53" t="s">
        <v>3812</v>
      </c>
      <c r="G646" s="28">
        <v>0</v>
      </c>
    </row>
    <row r="647" spans="1:7" x14ac:dyDescent="0.35">
      <c r="A647" s="22" t="s">
        <v>2549</v>
      </c>
      <c r="B647" s="22" t="s">
        <v>2550</v>
      </c>
      <c r="C647" s="26">
        <v>45899</v>
      </c>
      <c r="D647" s="25" t="s">
        <v>3278</v>
      </c>
      <c r="E647" s="25" t="s">
        <v>3472</v>
      </c>
      <c r="F647" s="53" t="s">
        <v>3812</v>
      </c>
      <c r="G647" s="28">
        <v>0</v>
      </c>
    </row>
    <row r="648" spans="1:7" x14ac:dyDescent="0.35">
      <c r="A648" s="22" t="s">
        <v>2549</v>
      </c>
      <c r="B648" s="22" t="s">
        <v>2550</v>
      </c>
      <c r="C648" s="26">
        <v>45899</v>
      </c>
      <c r="D648" s="25" t="s">
        <v>3279</v>
      </c>
      <c r="E648" s="25" t="s">
        <v>3472</v>
      </c>
      <c r="F648" s="53" t="s">
        <v>3812</v>
      </c>
      <c r="G648" s="28">
        <v>0</v>
      </c>
    </row>
    <row r="649" spans="1:7" x14ac:dyDescent="0.35">
      <c r="A649" s="22" t="s">
        <v>2549</v>
      </c>
      <c r="B649" s="22" t="s">
        <v>2550</v>
      </c>
      <c r="C649" s="26">
        <v>45899</v>
      </c>
      <c r="D649" s="25" t="s">
        <v>3280</v>
      </c>
      <c r="E649" s="25" t="s">
        <v>3148</v>
      </c>
      <c r="F649" s="53" t="s">
        <v>3812</v>
      </c>
      <c r="G649" s="28">
        <v>0</v>
      </c>
    </row>
    <row r="650" spans="1:7" x14ac:dyDescent="0.35">
      <c r="A650" s="22" t="s">
        <v>2549</v>
      </c>
      <c r="B650" s="22" t="s">
        <v>2550</v>
      </c>
      <c r="C650" s="26">
        <v>45899</v>
      </c>
      <c r="D650" s="25" t="s">
        <v>3281</v>
      </c>
      <c r="E650" s="25" t="s">
        <v>3493</v>
      </c>
      <c r="F650" s="53" t="s">
        <v>3812</v>
      </c>
      <c r="G650" s="28">
        <v>0</v>
      </c>
    </row>
    <row r="651" spans="1:7" x14ac:dyDescent="0.35">
      <c r="A651" s="22" t="s">
        <v>2549</v>
      </c>
      <c r="B651" s="22" t="s">
        <v>2550</v>
      </c>
      <c r="C651" s="26">
        <v>45899</v>
      </c>
      <c r="D651" s="25" t="s">
        <v>3282</v>
      </c>
      <c r="E651" s="25" t="s">
        <v>3493</v>
      </c>
      <c r="F651" s="53" t="s">
        <v>3812</v>
      </c>
      <c r="G651" s="28">
        <v>0</v>
      </c>
    </row>
    <row r="652" spans="1:7" x14ac:dyDescent="0.35">
      <c r="A652" s="22" t="s">
        <v>2549</v>
      </c>
      <c r="B652" s="22" t="s">
        <v>2550</v>
      </c>
      <c r="C652" s="26">
        <v>45899</v>
      </c>
      <c r="D652" s="25" t="s">
        <v>3283</v>
      </c>
      <c r="E652" s="25" t="s">
        <v>1223</v>
      </c>
      <c r="F652" s="53" t="s">
        <v>3812</v>
      </c>
      <c r="G652" s="28">
        <v>0</v>
      </c>
    </row>
    <row r="653" spans="1:7" x14ac:dyDescent="0.35">
      <c r="A653" s="22" t="s">
        <v>2549</v>
      </c>
      <c r="B653" s="22" t="s">
        <v>2550</v>
      </c>
      <c r="C653" s="26">
        <v>45899</v>
      </c>
      <c r="D653" s="25" t="s">
        <v>3284</v>
      </c>
      <c r="E653" s="25" t="s">
        <v>1223</v>
      </c>
      <c r="F653" s="53" t="s">
        <v>3812</v>
      </c>
      <c r="G653" s="28">
        <v>0</v>
      </c>
    </row>
    <row r="654" spans="1:7" x14ac:dyDescent="0.35">
      <c r="A654" s="22" t="s">
        <v>2549</v>
      </c>
      <c r="B654" s="22" t="s">
        <v>2550</v>
      </c>
      <c r="C654" s="26">
        <v>45899</v>
      </c>
      <c r="D654" s="25" t="s">
        <v>3285</v>
      </c>
      <c r="E654" s="25" t="s">
        <v>1223</v>
      </c>
      <c r="F654" s="53" t="s">
        <v>3812</v>
      </c>
      <c r="G654" s="28">
        <v>0</v>
      </c>
    </row>
    <row r="655" spans="1:7" x14ac:dyDescent="0.35">
      <c r="A655" s="22" t="s">
        <v>2549</v>
      </c>
      <c r="B655" s="22" t="s">
        <v>2550</v>
      </c>
      <c r="C655" s="26">
        <v>45899</v>
      </c>
      <c r="D655" s="25" t="s">
        <v>3286</v>
      </c>
      <c r="E655" s="25" t="s">
        <v>1223</v>
      </c>
      <c r="F655" s="53" t="s">
        <v>3812</v>
      </c>
      <c r="G655" s="28">
        <v>0</v>
      </c>
    </row>
    <row r="656" spans="1:7" x14ac:dyDescent="0.35">
      <c r="A656" s="22" t="s">
        <v>2549</v>
      </c>
      <c r="B656" s="22" t="s">
        <v>2550</v>
      </c>
      <c r="C656" s="26">
        <v>45899</v>
      </c>
      <c r="D656" s="25" t="s">
        <v>3287</v>
      </c>
      <c r="E656" s="25" t="s">
        <v>3494</v>
      </c>
      <c r="F656" s="53" t="s">
        <v>3812</v>
      </c>
      <c r="G656" s="28">
        <v>0</v>
      </c>
    </row>
    <row r="657" spans="1:7" x14ac:dyDescent="0.35">
      <c r="A657" s="22" t="s">
        <v>2549</v>
      </c>
      <c r="B657" s="22" t="s">
        <v>2550</v>
      </c>
      <c r="C657" s="26">
        <v>45899</v>
      </c>
      <c r="D657" s="25" t="s">
        <v>3288</v>
      </c>
      <c r="E657" s="25" t="s">
        <v>1582</v>
      </c>
      <c r="F657" s="53" t="s">
        <v>3812</v>
      </c>
      <c r="G657" s="28">
        <v>185760.69000000006</v>
      </c>
    </row>
    <row r="658" spans="1:7" x14ac:dyDescent="0.35">
      <c r="A658" s="22" t="s">
        <v>2549</v>
      </c>
      <c r="B658" s="22" t="s">
        <v>2550</v>
      </c>
      <c r="C658" s="26">
        <v>45899</v>
      </c>
      <c r="D658" s="25">
        <v>38651</v>
      </c>
      <c r="E658" s="25" t="s">
        <v>2231</v>
      </c>
      <c r="F658" s="53" t="s">
        <v>3812</v>
      </c>
      <c r="G658" s="28">
        <v>6400</v>
      </c>
    </row>
    <row r="659" spans="1:7" x14ac:dyDescent="0.35">
      <c r="A659" s="22" t="s">
        <v>2549</v>
      </c>
      <c r="B659" s="22" t="s">
        <v>2550</v>
      </c>
      <c r="C659" s="26">
        <v>45899</v>
      </c>
      <c r="D659" s="25" t="s">
        <v>3289</v>
      </c>
      <c r="E659" s="25" t="s">
        <v>3495</v>
      </c>
      <c r="F659" s="53" t="s">
        <v>3812</v>
      </c>
      <c r="G659" s="28">
        <v>0</v>
      </c>
    </row>
    <row r="660" spans="1:7" x14ac:dyDescent="0.35">
      <c r="A660" s="22" t="s">
        <v>2549</v>
      </c>
      <c r="B660" s="22" t="s">
        <v>2550</v>
      </c>
      <c r="C660" s="26">
        <v>45899</v>
      </c>
      <c r="D660" s="25" t="s">
        <v>3290</v>
      </c>
      <c r="E660" s="25" t="s">
        <v>2220</v>
      </c>
      <c r="F660" s="53" t="s">
        <v>3812</v>
      </c>
      <c r="G660" s="28">
        <v>55417.46</v>
      </c>
    </row>
    <row r="661" spans="1:7" x14ac:dyDescent="0.35">
      <c r="A661" s="22" t="s">
        <v>2549</v>
      </c>
      <c r="B661" s="22" t="s">
        <v>2550</v>
      </c>
      <c r="C661" s="26">
        <v>45899</v>
      </c>
      <c r="D661" s="25" t="s">
        <v>3291</v>
      </c>
      <c r="E661" s="25" t="s">
        <v>2220</v>
      </c>
      <c r="F661" s="53" t="s">
        <v>3812</v>
      </c>
      <c r="G661" s="28">
        <v>0</v>
      </c>
    </row>
    <row r="662" spans="1:7" x14ac:dyDescent="0.35">
      <c r="A662" s="22" t="s">
        <v>2549</v>
      </c>
      <c r="B662" s="22" t="s">
        <v>2550</v>
      </c>
      <c r="C662" s="26">
        <v>45899</v>
      </c>
      <c r="D662" s="25" t="s">
        <v>3292</v>
      </c>
      <c r="E662" s="25" t="s">
        <v>2392</v>
      </c>
      <c r="F662" s="53" t="s">
        <v>3812</v>
      </c>
      <c r="G662" s="28">
        <v>0</v>
      </c>
    </row>
    <row r="663" spans="1:7" x14ac:dyDescent="0.35">
      <c r="A663" s="22" t="s">
        <v>2549</v>
      </c>
      <c r="B663" s="22" t="s">
        <v>2550</v>
      </c>
      <c r="C663" s="26">
        <v>45899</v>
      </c>
      <c r="D663" s="25" t="s">
        <v>3293</v>
      </c>
      <c r="E663" s="25" t="s">
        <v>2392</v>
      </c>
      <c r="F663" s="53" t="s">
        <v>3812</v>
      </c>
      <c r="G663" s="28">
        <v>0</v>
      </c>
    </row>
    <row r="664" spans="1:7" x14ac:dyDescent="0.35">
      <c r="A664" s="22" t="s">
        <v>2549</v>
      </c>
      <c r="B664" s="22" t="s">
        <v>2550</v>
      </c>
      <c r="C664" s="26">
        <v>45899</v>
      </c>
      <c r="D664" s="25" t="s">
        <v>3294</v>
      </c>
      <c r="E664" s="25" t="s">
        <v>1269</v>
      </c>
      <c r="F664" s="53" t="s">
        <v>3812</v>
      </c>
      <c r="G664" s="28">
        <v>0</v>
      </c>
    </row>
    <row r="665" spans="1:7" x14ac:dyDescent="0.35">
      <c r="A665" s="22" t="s">
        <v>2549</v>
      </c>
      <c r="B665" s="22" t="s">
        <v>2550</v>
      </c>
      <c r="C665" s="26">
        <v>45899</v>
      </c>
      <c r="D665" s="25" t="s">
        <v>3295</v>
      </c>
      <c r="E665" s="25" t="s">
        <v>2629</v>
      </c>
      <c r="F665" s="53" t="s">
        <v>3812</v>
      </c>
      <c r="G665" s="28">
        <v>0</v>
      </c>
    </row>
    <row r="666" spans="1:7" x14ac:dyDescent="0.35">
      <c r="A666" s="22" t="s">
        <v>2549</v>
      </c>
      <c r="B666" s="22" t="s">
        <v>2550</v>
      </c>
      <c r="C666" s="26">
        <v>45899</v>
      </c>
      <c r="D666" s="25" t="s">
        <v>3296</v>
      </c>
      <c r="E666" s="25" t="s">
        <v>1223</v>
      </c>
      <c r="F666" s="53" t="s">
        <v>3812</v>
      </c>
      <c r="G666" s="28">
        <v>0</v>
      </c>
    </row>
    <row r="667" spans="1:7" x14ac:dyDescent="0.35">
      <c r="A667" s="22" t="s">
        <v>2549</v>
      </c>
      <c r="B667" s="22" t="s">
        <v>2550</v>
      </c>
      <c r="C667" s="26">
        <v>45899</v>
      </c>
      <c r="D667" s="25" t="s">
        <v>3297</v>
      </c>
      <c r="E667" s="25" t="s">
        <v>1631</v>
      </c>
      <c r="F667" s="53" t="s">
        <v>3812</v>
      </c>
      <c r="G667" s="28">
        <v>0</v>
      </c>
    </row>
    <row r="668" spans="1:7" x14ac:dyDescent="0.35">
      <c r="A668" s="22" t="s">
        <v>2549</v>
      </c>
      <c r="B668" s="22" t="s">
        <v>2550</v>
      </c>
      <c r="C668" s="26">
        <v>45899</v>
      </c>
      <c r="D668" s="25" t="s">
        <v>3298</v>
      </c>
      <c r="E668" s="25" t="s">
        <v>3492</v>
      </c>
      <c r="F668" s="53" t="s">
        <v>3812</v>
      </c>
      <c r="G668" s="28">
        <v>0</v>
      </c>
    </row>
    <row r="669" spans="1:7" x14ac:dyDescent="0.35">
      <c r="A669" s="22" t="s">
        <v>2549</v>
      </c>
      <c r="B669" s="22" t="s">
        <v>2550</v>
      </c>
      <c r="C669" s="26">
        <v>45899</v>
      </c>
      <c r="D669" s="25">
        <v>38791</v>
      </c>
      <c r="E669" s="25" t="s">
        <v>3496</v>
      </c>
      <c r="F669" s="53" t="s">
        <v>3812</v>
      </c>
      <c r="G669" s="28">
        <v>3128.97</v>
      </c>
    </row>
    <row r="670" spans="1:7" x14ac:dyDescent="0.35">
      <c r="A670" s="22" t="s">
        <v>2549</v>
      </c>
      <c r="B670" s="22" t="s">
        <v>2550</v>
      </c>
      <c r="C670" s="26">
        <v>45899</v>
      </c>
      <c r="D670" s="25">
        <v>38806</v>
      </c>
      <c r="E670" s="25" t="s">
        <v>3497</v>
      </c>
      <c r="F670" s="53" t="s">
        <v>3812</v>
      </c>
      <c r="G670" s="28">
        <v>90040</v>
      </c>
    </row>
    <row r="671" spans="1:7" x14ac:dyDescent="0.35">
      <c r="A671" s="22" t="s">
        <v>2549</v>
      </c>
      <c r="B671" s="22" t="s">
        <v>2550</v>
      </c>
      <c r="C671" s="26">
        <v>45899</v>
      </c>
      <c r="D671" s="25">
        <v>38817</v>
      </c>
      <c r="E671" s="25" t="s">
        <v>3498</v>
      </c>
      <c r="F671" s="53" t="s">
        <v>3812</v>
      </c>
      <c r="G671" s="28">
        <v>3338.15</v>
      </c>
    </row>
    <row r="672" spans="1:7" x14ac:dyDescent="0.35">
      <c r="A672" s="22" t="s">
        <v>2549</v>
      </c>
      <c r="B672" s="22" t="s">
        <v>2550</v>
      </c>
      <c r="C672" s="26">
        <v>45899</v>
      </c>
      <c r="D672" s="25">
        <v>38834</v>
      </c>
      <c r="E672" s="25" t="s">
        <v>3499</v>
      </c>
      <c r="F672" s="53" t="s">
        <v>3812</v>
      </c>
      <c r="G672" s="28">
        <v>29900</v>
      </c>
    </row>
    <row r="673" spans="1:7" x14ac:dyDescent="0.35">
      <c r="A673" s="22" t="s">
        <v>2549</v>
      </c>
      <c r="B673" s="22" t="s">
        <v>2550</v>
      </c>
      <c r="C673" s="26">
        <v>45899</v>
      </c>
      <c r="D673" s="25">
        <v>38839</v>
      </c>
      <c r="E673" s="25" t="s">
        <v>3500</v>
      </c>
      <c r="F673" s="53" t="s">
        <v>3812</v>
      </c>
      <c r="G673" s="28">
        <v>1498.38</v>
      </c>
    </row>
    <row r="674" spans="1:7" x14ac:dyDescent="0.35">
      <c r="A674" s="22" t="s">
        <v>2549</v>
      </c>
      <c r="B674" s="22" t="s">
        <v>2550</v>
      </c>
      <c r="C674" s="26">
        <v>45899</v>
      </c>
      <c r="D674" s="25">
        <v>38846</v>
      </c>
      <c r="E674" s="25" t="s">
        <v>3501</v>
      </c>
      <c r="F674" s="53" t="s">
        <v>3812</v>
      </c>
      <c r="G674" s="28">
        <v>5544.58</v>
      </c>
    </row>
    <row r="675" spans="1:7" x14ac:dyDescent="0.35">
      <c r="A675" s="22" t="s">
        <v>2549</v>
      </c>
      <c r="B675" s="22" t="s">
        <v>2550</v>
      </c>
      <c r="C675" s="26">
        <v>45899</v>
      </c>
      <c r="D675" s="25">
        <v>38850</v>
      </c>
      <c r="E675" s="25" t="s">
        <v>2892</v>
      </c>
      <c r="F675" s="53" t="s">
        <v>3812</v>
      </c>
      <c r="G675" s="28">
        <v>30081.78</v>
      </c>
    </row>
    <row r="676" spans="1:7" x14ac:dyDescent="0.35">
      <c r="A676" s="22" t="s">
        <v>2549</v>
      </c>
      <c r="B676" s="22" t="s">
        <v>2550</v>
      </c>
      <c r="C676" s="26">
        <v>45899</v>
      </c>
      <c r="D676" s="25">
        <v>38874</v>
      </c>
      <c r="E676" s="25" t="s">
        <v>3502</v>
      </c>
      <c r="F676" s="53" t="s">
        <v>3812</v>
      </c>
      <c r="G676" s="28">
        <v>705.25</v>
      </c>
    </row>
    <row r="677" spans="1:7" x14ac:dyDescent="0.35">
      <c r="A677" s="22" t="s">
        <v>2549</v>
      </c>
      <c r="B677" s="22" t="s">
        <v>2550</v>
      </c>
      <c r="C677" s="26">
        <v>45899</v>
      </c>
      <c r="D677" s="25">
        <v>38889</v>
      </c>
      <c r="E677" s="25" t="s">
        <v>2629</v>
      </c>
      <c r="F677" s="53" t="s">
        <v>3812</v>
      </c>
      <c r="G677" s="28">
        <v>2080.0300000000002</v>
      </c>
    </row>
    <row r="678" spans="1:7" x14ac:dyDescent="0.35">
      <c r="A678" s="22" t="s">
        <v>2549</v>
      </c>
      <c r="B678" s="22" t="s">
        <v>2550</v>
      </c>
      <c r="C678" s="26">
        <v>45899</v>
      </c>
      <c r="D678" s="25">
        <v>38953</v>
      </c>
      <c r="E678" s="25" t="s">
        <v>3496</v>
      </c>
      <c r="F678" s="53" t="s">
        <v>3812</v>
      </c>
      <c r="G678" s="28">
        <v>2254.2799999999997</v>
      </c>
    </row>
    <row r="679" spans="1:7" x14ac:dyDescent="0.35">
      <c r="A679" s="22" t="s">
        <v>2549</v>
      </c>
      <c r="B679" s="22" t="s">
        <v>2550</v>
      </c>
      <c r="C679" s="26">
        <v>45899</v>
      </c>
      <c r="D679" s="25">
        <v>38954</v>
      </c>
      <c r="E679" s="25" t="s">
        <v>3503</v>
      </c>
      <c r="F679" s="53" t="s">
        <v>3812</v>
      </c>
      <c r="G679" s="28">
        <v>10400</v>
      </c>
    </row>
    <row r="680" spans="1:7" x14ac:dyDescent="0.35">
      <c r="A680" s="22" t="s">
        <v>2549</v>
      </c>
      <c r="B680" s="22" t="s">
        <v>2550</v>
      </c>
      <c r="C680" s="26">
        <v>45899</v>
      </c>
      <c r="D680" s="25">
        <v>38970</v>
      </c>
      <c r="E680" s="25" t="s">
        <v>3504</v>
      </c>
      <c r="F680" s="53" t="s">
        <v>3812</v>
      </c>
      <c r="G680" s="28">
        <v>127.68</v>
      </c>
    </row>
    <row r="681" spans="1:7" x14ac:dyDescent="0.35">
      <c r="A681" s="22" t="s">
        <v>2549</v>
      </c>
      <c r="B681" s="22" t="s">
        <v>2550</v>
      </c>
      <c r="C681" s="26">
        <v>45899</v>
      </c>
      <c r="D681" s="25">
        <v>38981</v>
      </c>
      <c r="E681" s="25" t="s">
        <v>3496</v>
      </c>
      <c r="F681" s="53" t="s">
        <v>3812</v>
      </c>
      <c r="G681" s="28">
        <v>793.26</v>
      </c>
    </row>
    <row r="682" spans="1:7" x14ac:dyDescent="0.35">
      <c r="A682" s="22" t="s">
        <v>2549</v>
      </c>
      <c r="B682" s="22" t="s">
        <v>2550</v>
      </c>
      <c r="C682" s="26">
        <v>45899</v>
      </c>
      <c r="D682" s="25">
        <v>38983</v>
      </c>
      <c r="E682" s="25" t="s">
        <v>301</v>
      </c>
      <c r="F682" s="53" t="s">
        <v>3812</v>
      </c>
      <c r="G682" s="28">
        <v>23686.73</v>
      </c>
    </row>
    <row r="683" spans="1:7" x14ac:dyDescent="0.35">
      <c r="A683" s="22" t="s">
        <v>2549</v>
      </c>
      <c r="B683" s="22" t="s">
        <v>2550</v>
      </c>
      <c r="C683" s="26">
        <v>45899</v>
      </c>
      <c r="D683" s="25">
        <v>38993</v>
      </c>
      <c r="E683" s="25" t="s">
        <v>1475</v>
      </c>
      <c r="F683" s="53" t="s">
        <v>3812</v>
      </c>
      <c r="G683" s="28">
        <v>32760</v>
      </c>
    </row>
    <row r="684" spans="1:7" x14ac:dyDescent="0.35">
      <c r="A684" s="22" t="s">
        <v>2549</v>
      </c>
      <c r="B684" s="22" t="s">
        <v>2550</v>
      </c>
      <c r="C684" s="26">
        <v>45899</v>
      </c>
      <c r="D684" s="25">
        <v>38996</v>
      </c>
      <c r="E684" s="25" t="s">
        <v>1924</v>
      </c>
      <c r="F684" s="53" t="s">
        <v>3812</v>
      </c>
      <c r="G684" s="28">
        <v>1777.5</v>
      </c>
    </row>
    <row r="685" spans="1:7" x14ac:dyDescent="0.35">
      <c r="A685" s="22" t="s">
        <v>2549</v>
      </c>
      <c r="B685" s="22" t="s">
        <v>2550</v>
      </c>
      <c r="C685" s="26">
        <v>45899</v>
      </c>
      <c r="D685" s="25">
        <v>39002</v>
      </c>
      <c r="E685" s="25" t="s">
        <v>3505</v>
      </c>
      <c r="F685" s="53" t="s">
        <v>3812</v>
      </c>
      <c r="G685" s="28">
        <v>30800</v>
      </c>
    </row>
    <row r="686" spans="1:7" x14ac:dyDescent="0.35">
      <c r="A686" s="22" t="s">
        <v>2549</v>
      </c>
      <c r="B686" s="22" t="s">
        <v>2550</v>
      </c>
      <c r="C686" s="26">
        <v>45899</v>
      </c>
      <c r="D686" s="25">
        <v>39010</v>
      </c>
      <c r="E686" s="25" t="s">
        <v>3506</v>
      </c>
      <c r="F686" s="53" t="s">
        <v>3812</v>
      </c>
      <c r="G686" s="28">
        <v>709.87</v>
      </c>
    </row>
    <row r="687" spans="1:7" x14ac:dyDescent="0.35">
      <c r="A687" s="22" t="s">
        <v>2549</v>
      </c>
      <c r="B687" s="22" t="s">
        <v>2550</v>
      </c>
      <c r="C687" s="26">
        <v>45899</v>
      </c>
      <c r="D687" s="25" t="s">
        <v>3299</v>
      </c>
      <c r="E687" s="25" t="s">
        <v>2454</v>
      </c>
      <c r="F687" s="53" t="s">
        <v>3812</v>
      </c>
      <c r="G687" s="28">
        <v>0</v>
      </c>
    </row>
    <row r="688" spans="1:7" x14ac:dyDescent="0.35">
      <c r="A688" s="22" t="s">
        <v>2549</v>
      </c>
      <c r="B688" s="22" t="s">
        <v>2550</v>
      </c>
      <c r="C688" s="26">
        <v>45899</v>
      </c>
      <c r="D688" s="25" t="s">
        <v>3300</v>
      </c>
      <c r="E688" s="25" t="s">
        <v>1223</v>
      </c>
      <c r="F688" s="53" t="s">
        <v>3812</v>
      </c>
      <c r="G688" s="28">
        <v>0</v>
      </c>
    </row>
    <row r="689" spans="1:7" x14ac:dyDescent="0.35">
      <c r="A689" s="22" t="s">
        <v>2549</v>
      </c>
      <c r="B689" s="22" t="s">
        <v>2550</v>
      </c>
      <c r="C689" s="26">
        <v>45899</v>
      </c>
      <c r="D689" s="25">
        <v>39090</v>
      </c>
      <c r="E689" s="25" t="s">
        <v>3507</v>
      </c>
      <c r="F689" s="53" t="s">
        <v>3812</v>
      </c>
      <c r="G689" s="28">
        <v>0</v>
      </c>
    </row>
    <row r="690" spans="1:7" x14ac:dyDescent="0.35">
      <c r="A690" s="22" t="s">
        <v>2549</v>
      </c>
      <c r="B690" s="22" t="s">
        <v>2550</v>
      </c>
      <c r="C690" s="26">
        <v>45899</v>
      </c>
      <c r="D690" s="25">
        <v>39123</v>
      </c>
      <c r="E690" s="25" t="s">
        <v>3508</v>
      </c>
      <c r="F690" s="53" t="s">
        <v>3812</v>
      </c>
      <c r="G690" s="28">
        <v>0</v>
      </c>
    </row>
    <row r="691" spans="1:7" x14ac:dyDescent="0.35">
      <c r="A691" s="22" t="s">
        <v>2549</v>
      </c>
      <c r="B691" s="22" t="s">
        <v>2550</v>
      </c>
      <c r="C691" s="26">
        <v>45900</v>
      </c>
      <c r="D691" s="25" t="s">
        <v>3301</v>
      </c>
      <c r="E691" s="25" t="s">
        <v>2603</v>
      </c>
      <c r="F691" s="53" t="s">
        <v>3812</v>
      </c>
      <c r="G691" s="28">
        <v>0</v>
      </c>
    </row>
    <row r="692" spans="1:7" x14ac:dyDescent="0.35">
      <c r="A692" s="22" t="s">
        <v>2549</v>
      </c>
      <c r="B692" s="22" t="s">
        <v>2550</v>
      </c>
      <c r="C692" s="26">
        <v>45900</v>
      </c>
      <c r="D692" s="25" t="s">
        <v>3302</v>
      </c>
      <c r="E692" s="25" t="s">
        <v>2474</v>
      </c>
      <c r="F692" s="53" t="s">
        <v>3812</v>
      </c>
      <c r="G692" s="28">
        <v>0</v>
      </c>
    </row>
    <row r="693" spans="1:7" x14ac:dyDescent="0.35">
      <c r="A693" s="22" t="s">
        <v>2549</v>
      </c>
      <c r="B693" s="22" t="s">
        <v>2550</v>
      </c>
      <c r="C693" s="26">
        <v>45900</v>
      </c>
      <c r="D693" s="25" t="s">
        <v>3303</v>
      </c>
      <c r="E693" s="25" t="s">
        <v>2904</v>
      </c>
      <c r="F693" s="53" t="s">
        <v>3812</v>
      </c>
      <c r="G693" s="28">
        <v>1421.79</v>
      </c>
    </row>
    <row r="694" spans="1:7" x14ac:dyDescent="0.35">
      <c r="A694" s="22" t="s">
        <v>2549</v>
      </c>
      <c r="B694" s="22" t="s">
        <v>2550</v>
      </c>
      <c r="C694" s="26">
        <v>45900</v>
      </c>
      <c r="D694" s="25" t="s">
        <v>3304</v>
      </c>
      <c r="E694" s="25" t="s">
        <v>1484</v>
      </c>
      <c r="F694" s="53" t="s">
        <v>3812</v>
      </c>
      <c r="G694" s="28">
        <v>92649.31</v>
      </c>
    </row>
    <row r="695" spans="1:7" x14ac:dyDescent="0.35">
      <c r="A695" s="22" t="s">
        <v>2549</v>
      </c>
      <c r="B695" s="22" t="s">
        <v>2550</v>
      </c>
      <c r="C695" s="26">
        <v>45900</v>
      </c>
      <c r="D695" s="25" t="s">
        <v>3305</v>
      </c>
      <c r="E695" s="25" t="s">
        <v>1484</v>
      </c>
      <c r="F695" s="53" t="s">
        <v>3812</v>
      </c>
      <c r="G695" s="28">
        <v>77496.3</v>
      </c>
    </row>
    <row r="696" spans="1:7" x14ac:dyDescent="0.35">
      <c r="A696" s="22" t="s">
        <v>2549</v>
      </c>
      <c r="B696" s="22" t="s">
        <v>2550</v>
      </c>
      <c r="C696" s="26">
        <v>45900</v>
      </c>
      <c r="D696" s="25" t="s">
        <v>3306</v>
      </c>
      <c r="E696" s="25" t="s">
        <v>1484</v>
      </c>
      <c r="F696" s="53" t="s">
        <v>3812</v>
      </c>
      <c r="G696" s="28">
        <v>158263.4</v>
      </c>
    </row>
    <row r="697" spans="1:7" x14ac:dyDescent="0.35">
      <c r="A697" s="22" t="s">
        <v>2549</v>
      </c>
      <c r="B697" s="22" t="s">
        <v>2550</v>
      </c>
      <c r="C697" s="26">
        <v>45900</v>
      </c>
      <c r="D697" s="25" t="s">
        <v>3307</v>
      </c>
      <c r="E697" s="25" t="s">
        <v>1484</v>
      </c>
      <c r="F697" s="53" t="s">
        <v>3812</v>
      </c>
      <c r="G697" s="28">
        <v>24326.89</v>
      </c>
    </row>
    <row r="698" spans="1:7" x14ac:dyDescent="0.35">
      <c r="A698" s="22" t="s">
        <v>2549</v>
      </c>
      <c r="B698" s="22" t="s">
        <v>2550</v>
      </c>
      <c r="C698" s="26">
        <v>45900</v>
      </c>
      <c r="D698" s="25" t="s">
        <v>3308</v>
      </c>
      <c r="E698" s="25" t="s">
        <v>301</v>
      </c>
      <c r="F698" s="53" t="s">
        <v>3812</v>
      </c>
      <c r="G698" s="28">
        <v>0</v>
      </c>
    </row>
    <row r="699" spans="1:7" x14ac:dyDescent="0.35">
      <c r="A699" s="22" t="s">
        <v>2549</v>
      </c>
      <c r="B699" s="22" t="s">
        <v>2550</v>
      </c>
      <c r="C699" s="26">
        <v>45900</v>
      </c>
      <c r="D699" s="25">
        <v>32212</v>
      </c>
      <c r="E699" s="25" t="s">
        <v>1484</v>
      </c>
      <c r="F699" s="53" t="s">
        <v>3812</v>
      </c>
      <c r="G699" s="28">
        <v>0</v>
      </c>
    </row>
    <row r="700" spans="1:7" x14ac:dyDescent="0.35">
      <c r="A700" s="22" t="s">
        <v>2549</v>
      </c>
      <c r="B700" s="22" t="s">
        <v>2550</v>
      </c>
      <c r="C700" s="26">
        <v>45900</v>
      </c>
      <c r="D700" s="25" t="s">
        <v>3309</v>
      </c>
      <c r="E700" s="25" t="s">
        <v>1484</v>
      </c>
      <c r="F700" s="53" t="s">
        <v>3812</v>
      </c>
      <c r="G700" s="28">
        <v>2127.5100000000002</v>
      </c>
    </row>
    <row r="701" spans="1:7" x14ac:dyDescent="0.35">
      <c r="A701" s="22" t="s">
        <v>2549</v>
      </c>
      <c r="B701" s="22" t="s">
        <v>2550</v>
      </c>
      <c r="C701" s="26">
        <v>45900</v>
      </c>
      <c r="D701" s="25" t="s">
        <v>3310</v>
      </c>
      <c r="E701" s="25" t="s">
        <v>1484</v>
      </c>
      <c r="F701" s="53" t="s">
        <v>3812</v>
      </c>
      <c r="G701" s="28">
        <v>32809.47</v>
      </c>
    </row>
    <row r="702" spans="1:7" x14ac:dyDescent="0.35">
      <c r="A702" s="22" t="s">
        <v>2549</v>
      </c>
      <c r="B702" s="22" t="s">
        <v>2550</v>
      </c>
      <c r="C702" s="26">
        <v>45900</v>
      </c>
      <c r="D702" s="25" t="s">
        <v>3311</v>
      </c>
      <c r="E702" s="25" t="s">
        <v>301</v>
      </c>
      <c r="F702" s="53" t="s">
        <v>3812</v>
      </c>
      <c r="G702" s="28">
        <v>0</v>
      </c>
    </row>
    <row r="703" spans="1:7" x14ac:dyDescent="0.35">
      <c r="A703" s="22" t="s">
        <v>2549</v>
      </c>
      <c r="B703" s="22" t="s">
        <v>2550</v>
      </c>
      <c r="C703" s="26">
        <v>45900</v>
      </c>
      <c r="D703" s="25" t="s">
        <v>3312</v>
      </c>
      <c r="E703" s="25" t="s">
        <v>301</v>
      </c>
      <c r="F703" s="53" t="s">
        <v>3812</v>
      </c>
      <c r="G703" s="28">
        <v>0</v>
      </c>
    </row>
    <row r="704" spans="1:7" x14ac:dyDescent="0.35">
      <c r="A704" s="22" t="s">
        <v>2549</v>
      </c>
      <c r="B704" s="22" t="s">
        <v>2550</v>
      </c>
      <c r="C704" s="26">
        <v>45900</v>
      </c>
      <c r="D704" s="25" t="s">
        <v>3313</v>
      </c>
      <c r="E704" s="25" t="s">
        <v>2926</v>
      </c>
      <c r="F704" s="53" t="s">
        <v>3812</v>
      </c>
      <c r="G704" s="28">
        <v>0</v>
      </c>
    </row>
    <row r="705" spans="1:7" x14ac:dyDescent="0.35">
      <c r="A705" s="22" t="s">
        <v>2549</v>
      </c>
      <c r="B705" s="22" t="s">
        <v>2550</v>
      </c>
      <c r="C705" s="26">
        <v>45900</v>
      </c>
      <c r="D705" s="25" t="s">
        <v>3314</v>
      </c>
      <c r="E705" s="25" t="s">
        <v>301</v>
      </c>
      <c r="F705" s="53" t="s">
        <v>3812</v>
      </c>
      <c r="G705" s="28">
        <v>0</v>
      </c>
    </row>
    <row r="706" spans="1:7" x14ac:dyDescent="0.35">
      <c r="A706" s="22" t="s">
        <v>2549</v>
      </c>
      <c r="B706" s="22" t="s">
        <v>2550</v>
      </c>
      <c r="C706" s="26">
        <v>45900</v>
      </c>
      <c r="D706" s="25" t="s">
        <v>3315</v>
      </c>
      <c r="E706" s="25" t="s">
        <v>2555</v>
      </c>
      <c r="F706" s="53" t="s">
        <v>3812</v>
      </c>
      <c r="G706" s="28">
        <v>3259.34</v>
      </c>
    </row>
    <row r="707" spans="1:7" x14ac:dyDescent="0.35">
      <c r="A707" s="22" t="s">
        <v>2549</v>
      </c>
      <c r="B707" s="22" t="s">
        <v>2550</v>
      </c>
      <c r="C707" s="26">
        <v>45900</v>
      </c>
      <c r="D707" s="25" t="s">
        <v>3316</v>
      </c>
      <c r="E707" s="25" t="s">
        <v>2555</v>
      </c>
      <c r="F707" s="53" t="s">
        <v>3812</v>
      </c>
      <c r="G707" s="28">
        <v>2593.4</v>
      </c>
    </row>
    <row r="708" spans="1:7" x14ac:dyDescent="0.35">
      <c r="A708" s="22" t="s">
        <v>2549</v>
      </c>
      <c r="B708" s="22" t="s">
        <v>2550</v>
      </c>
      <c r="C708" s="26">
        <v>45900</v>
      </c>
      <c r="D708" s="25" t="s">
        <v>3317</v>
      </c>
      <c r="E708" s="25" t="s">
        <v>2555</v>
      </c>
      <c r="F708" s="53" t="s">
        <v>3812</v>
      </c>
      <c r="G708" s="28">
        <v>9081.1</v>
      </c>
    </row>
    <row r="709" spans="1:7" x14ac:dyDescent="0.35">
      <c r="A709" s="22" t="s">
        <v>2549</v>
      </c>
      <c r="B709" s="22" t="s">
        <v>2550</v>
      </c>
      <c r="C709" s="26">
        <v>45900</v>
      </c>
      <c r="D709" s="25" t="s">
        <v>3318</v>
      </c>
      <c r="E709" s="25" t="s">
        <v>2555</v>
      </c>
      <c r="F709" s="53" t="s">
        <v>3812</v>
      </c>
      <c r="G709" s="28">
        <v>5745.5599999999995</v>
      </c>
    </row>
    <row r="710" spans="1:7" x14ac:dyDescent="0.35">
      <c r="A710" s="22" t="s">
        <v>2549</v>
      </c>
      <c r="B710" s="22" t="s">
        <v>2550</v>
      </c>
      <c r="C710" s="26">
        <v>45900</v>
      </c>
      <c r="D710" s="25" t="s">
        <v>3319</v>
      </c>
      <c r="E710" s="25" t="s">
        <v>2555</v>
      </c>
      <c r="F710" s="53" t="s">
        <v>3812</v>
      </c>
      <c r="G710" s="28">
        <v>0</v>
      </c>
    </row>
    <row r="711" spans="1:7" x14ac:dyDescent="0.35">
      <c r="A711" s="22" t="s">
        <v>2549</v>
      </c>
      <c r="B711" s="22" t="s">
        <v>2550</v>
      </c>
      <c r="C711" s="26">
        <v>45900</v>
      </c>
      <c r="D711" s="25" t="s">
        <v>3320</v>
      </c>
      <c r="E711" s="25" t="s">
        <v>2555</v>
      </c>
      <c r="F711" s="53" t="s">
        <v>3812</v>
      </c>
      <c r="G711" s="28">
        <v>2083.1799999999998</v>
      </c>
    </row>
    <row r="712" spans="1:7" x14ac:dyDescent="0.35">
      <c r="A712" s="22" t="s">
        <v>2549</v>
      </c>
      <c r="B712" s="22" t="s">
        <v>2550</v>
      </c>
      <c r="C712" s="26">
        <v>45900</v>
      </c>
      <c r="D712" s="25" t="s">
        <v>3321</v>
      </c>
      <c r="E712" s="25" t="s">
        <v>2555</v>
      </c>
      <c r="F712" s="53" t="s">
        <v>3812</v>
      </c>
      <c r="G712" s="28">
        <v>2578.21</v>
      </c>
    </row>
    <row r="713" spans="1:7" x14ac:dyDescent="0.35">
      <c r="A713" s="22" t="s">
        <v>2549</v>
      </c>
      <c r="B713" s="22" t="s">
        <v>2550</v>
      </c>
      <c r="C713" s="26">
        <v>45900</v>
      </c>
      <c r="D713" s="25" t="s">
        <v>3322</v>
      </c>
      <c r="E713" s="25" t="s">
        <v>2555</v>
      </c>
      <c r="F713" s="53" t="s">
        <v>3812</v>
      </c>
      <c r="G713" s="28">
        <v>3036.2499999999995</v>
      </c>
    </row>
    <row r="714" spans="1:7" x14ac:dyDescent="0.35">
      <c r="A714" s="22" t="s">
        <v>2549</v>
      </c>
      <c r="B714" s="22" t="s">
        <v>2550</v>
      </c>
      <c r="C714" s="26">
        <v>45900</v>
      </c>
      <c r="D714" s="25" t="s">
        <v>3323</v>
      </c>
      <c r="E714" s="25" t="s">
        <v>301</v>
      </c>
      <c r="F714" s="53" t="s">
        <v>3812</v>
      </c>
      <c r="G714" s="28">
        <v>0</v>
      </c>
    </row>
    <row r="715" spans="1:7" x14ac:dyDescent="0.35">
      <c r="A715" s="22" t="s">
        <v>2549</v>
      </c>
      <c r="B715" s="22" t="s">
        <v>2550</v>
      </c>
      <c r="C715" s="26">
        <v>45900</v>
      </c>
      <c r="D715" s="25" t="s">
        <v>3324</v>
      </c>
      <c r="E715" s="25" t="s">
        <v>301</v>
      </c>
      <c r="F715" s="53" t="s">
        <v>3812</v>
      </c>
      <c r="G715" s="28">
        <v>0</v>
      </c>
    </row>
    <row r="716" spans="1:7" x14ac:dyDescent="0.35">
      <c r="A716" s="22" t="s">
        <v>2549</v>
      </c>
      <c r="B716" s="22" t="s">
        <v>2550</v>
      </c>
      <c r="C716" s="26">
        <v>45900</v>
      </c>
      <c r="D716" s="25" t="s">
        <v>3325</v>
      </c>
      <c r="E716" s="25" t="s">
        <v>2132</v>
      </c>
      <c r="F716" s="53" t="s">
        <v>3812</v>
      </c>
      <c r="G716" s="28">
        <v>1863.21</v>
      </c>
    </row>
    <row r="717" spans="1:7" x14ac:dyDescent="0.35">
      <c r="A717" s="22" t="s">
        <v>2549</v>
      </c>
      <c r="B717" s="22" t="s">
        <v>2550</v>
      </c>
      <c r="C717" s="26">
        <v>45900</v>
      </c>
      <c r="D717" s="25">
        <v>33826</v>
      </c>
      <c r="E717" s="25" t="s">
        <v>301</v>
      </c>
      <c r="F717" s="53" t="s">
        <v>3812</v>
      </c>
      <c r="G717" s="28">
        <v>0</v>
      </c>
    </row>
    <row r="718" spans="1:7" x14ac:dyDescent="0.35">
      <c r="A718" s="22" t="s">
        <v>2549</v>
      </c>
      <c r="B718" s="22" t="s">
        <v>2550</v>
      </c>
      <c r="C718" s="26">
        <v>45900</v>
      </c>
      <c r="D718" s="25" t="s">
        <v>3326</v>
      </c>
      <c r="E718" s="25" t="s">
        <v>301</v>
      </c>
      <c r="F718" s="53" t="s">
        <v>3812</v>
      </c>
      <c r="G718" s="28">
        <v>0</v>
      </c>
    </row>
    <row r="719" spans="1:7" x14ac:dyDescent="0.35">
      <c r="A719" s="22" t="s">
        <v>2549</v>
      </c>
      <c r="B719" s="22" t="s">
        <v>2550</v>
      </c>
      <c r="C719" s="26">
        <v>45900</v>
      </c>
      <c r="D719" s="25" t="s">
        <v>3327</v>
      </c>
      <c r="E719" s="25" t="s">
        <v>301</v>
      </c>
      <c r="F719" s="53" t="s">
        <v>3812</v>
      </c>
      <c r="G719" s="28">
        <v>0</v>
      </c>
    </row>
    <row r="720" spans="1:7" x14ac:dyDescent="0.35">
      <c r="A720" s="22" t="s">
        <v>2549</v>
      </c>
      <c r="B720" s="22" t="s">
        <v>2550</v>
      </c>
      <c r="C720" s="26">
        <v>45900</v>
      </c>
      <c r="D720" s="25" t="s">
        <v>3328</v>
      </c>
      <c r="E720" s="25" t="s">
        <v>301</v>
      </c>
      <c r="F720" s="53" t="s">
        <v>3812</v>
      </c>
      <c r="G720" s="28">
        <v>0</v>
      </c>
    </row>
    <row r="721" spans="1:7" x14ac:dyDescent="0.35">
      <c r="A721" s="22" t="s">
        <v>2549</v>
      </c>
      <c r="B721" s="22" t="s">
        <v>2550</v>
      </c>
      <c r="C721" s="26">
        <v>45900</v>
      </c>
      <c r="D721" s="25" t="s">
        <v>3329</v>
      </c>
      <c r="E721" s="25" t="s">
        <v>301</v>
      </c>
      <c r="F721" s="53" t="s">
        <v>3812</v>
      </c>
      <c r="G721" s="28">
        <v>0</v>
      </c>
    </row>
    <row r="722" spans="1:7" x14ac:dyDescent="0.35">
      <c r="A722" s="22" t="s">
        <v>2549</v>
      </c>
      <c r="B722" s="22" t="s">
        <v>2550</v>
      </c>
      <c r="C722" s="26">
        <v>45900</v>
      </c>
      <c r="D722" s="25" t="s">
        <v>3330</v>
      </c>
      <c r="E722" s="25" t="s">
        <v>301</v>
      </c>
      <c r="F722" s="53" t="s">
        <v>3812</v>
      </c>
      <c r="G722" s="28">
        <v>0</v>
      </c>
    </row>
    <row r="723" spans="1:7" x14ac:dyDescent="0.35">
      <c r="A723" s="22" t="s">
        <v>2549</v>
      </c>
      <c r="B723" s="22" t="s">
        <v>2550</v>
      </c>
      <c r="C723" s="26">
        <v>45900</v>
      </c>
      <c r="D723" s="25">
        <v>33967</v>
      </c>
      <c r="E723" s="25" t="s">
        <v>301</v>
      </c>
      <c r="F723" s="53" t="s">
        <v>3812</v>
      </c>
      <c r="G723" s="28">
        <v>0</v>
      </c>
    </row>
    <row r="724" spans="1:7" x14ac:dyDescent="0.35">
      <c r="A724" s="22" t="s">
        <v>2549</v>
      </c>
      <c r="B724" s="22" t="s">
        <v>2550</v>
      </c>
      <c r="C724" s="26">
        <v>45900</v>
      </c>
      <c r="D724" s="25">
        <v>33968</v>
      </c>
      <c r="E724" s="25" t="s">
        <v>301</v>
      </c>
      <c r="F724" s="53" t="s">
        <v>3812</v>
      </c>
      <c r="G724" s="28">
        <v>0</v>
      </c>
    </row>
    <row r="725" spans="1:7" x14ac:dyDescent="0.35">
      <c r="A725" s="22" t="s">
        <v>2549</v>
      </c>
      <c r="B725" s="22" t="s">
        <v>2550</v>
      </c>
      <c r="C725" s="26">
        <v>45900</v>
      </c>
      <c r="D725" s="25" t="s">
        <v>3331</v>
      </c>
      <c r="E725" s="25" t="s">
        <v>2033</v>
      </c>
      <c r="F725" s="53" t="s">
        <v>3812</v>
      </c>
      <c r="G725" s="28">
        <v>9207.6</v>
      </c>
    </row>
    <row r="726" spans="1:7" x14ac:dyDescent="0.35">
      <c r="A726" s="22" t="s">
        <v>2549</v>
      </c>
      <c r="B726" s="22" t="s">
        <v>2550</v>
      </c>
      <c r="C726" s="26">
        <v>45900</v>
      </c>
      <c r="D726" s="25" t="s">
        <v>3332</v>
      </c>
      <c r="E726" s="25" t="s">
        <v>2033</v>
      </c>
      <c r="F726" s="53" t="s">
        <v>3812</v>
      </c>
      <c r="G726" s="28">
        <v>2790</v>
      </c>
    </row>
    <row r="727" spans="1:7" x14ac:dyDescent="0.35">
      <c r="A727" s="22" t="s">
        <v>2549</v>
      </c>
      <c r="B727" s="22" t="s">
        <v>2550</v>
      </c>
      <c r="C727" s="26">
        <v>45900</v>
      </c>
      <c r="D727" s="25" t="s">
        <v>3333</v>
      </c>
      <c r="E727" s="25" t="s">
        <v>2033</v>
      </c>
      <c r="F727" s="53" t="s">
        <v>3812</v>
      </c>
      <c r="G727" s="28">
        <v>18662.900000000001</v>
      </c>
    </row>
    <row r="728" spans="1:7" x14ac:dyDescent="0.35">
      <c r="A728" s="22" t="s">
        <v>2549</v>
      </c>
      <c r="B728" s="22" t="s">
        <v>2550</v>
      </c>
      <c r="C728" s="26">
        <v>45900</v>
      </c>
      <c r="D728" s="25">
        <v>33999</v>
      </c>
      <c r="E728" s="25" t="s">
        <v>301</v>
      </c>
      <c r="F728" s="53" t="s">
        <v>3812</v>
      </c>
      <c r="G728" s="28">
        <v>0</v>
      </c>
    </row>
    <row r="729" spans="1:7" x14ac:dyDescent="0.35">
      <c r="A729" s="22" t="s">
        <v>2549</v>
      </c>
      <c r="B729" s="22" t="s">
        <v>2550</v>
      </c>
      <c r="C729" s="26">
        <v>45900</v>
      </c>
      <c r="D729" s="25" t="s">
        <v>3334</v>
      </c>
      <c r="E729" s="25" t="s">
        <v>2033</v>
      </c>
      <c r="F729" s="53" t="s">
        <v>3812</v>
      </c>
      <c r="G729" s="28">
        <v>14593.32</v>
      </c>
    </row>
    <row r="730" spans="1:7" x14ac:dyDescent="0.35">
      <c r="A730" s="22" t="s">
        <v>2549</v>
      </c>
      <c r="B730" s="22" t="s">
        <v>2550</v>
      </c>
      <c r="C730" s="26">
        <v>45900</v>
      </c>
      <c r="D730" s="25" t="s">
        <v>3335</v>
      </c>
      <c r="E730" s="25" t="s">
        <v>2033</v>
      </c>
      <c r="F730" s="53" t="s">
        <v>3812</v>
      </c>
      <c r="G730" s="28">
        <v>3598.88</v>
      </c>
    </row>
    <row r="731" spans="1:7" x14ac:dyDescent="0.35">
      <c r="A731" s="22" t="s">
        <v>2549</v>
      </c>
      <c r="B731" s="22" t="s">
        <v>2550</v>
      </c>
      <c r="C731" s="26">
        <v>45900</v>
      </c>
      <c r="D731" s="25">
        <v>34128</v>
      </c>
      <c r="E731" s="25" t="s">
        <v>301</v>
      </c>
      <c r="F731" s="53" t="s">
        <v>3812</v>
      </c>
      <c r="G731" s="28">
        <v>0</v>
      </c>
    </row>
    <row r="732" spans="1:7" x14ac:dyDescent="0.35">
      <c r="A732" s="22" t="s">
        <v>2549</v>
      </c>
      <c r="B732" s="22" t="s">
        <v>2550</v>
      </c>
      <c r="C732" s="26">
        <v>45900</v>
      </c>
      <c r="D732" s="25" t="s">
        <v>3336</v>
      </c>
      <c r="E732" s="25" t="s">
        <v>2467</v>
      </c>
      <c r="F732" s="53" t="s">
        <v>3812</v>
      </c>
      <c r="G732" s="28">
        <v>1738.9900000000002</v>
      </c>
    </row>
    <row r="733" spans="1:7" x14ac:dyDescent="0.35">
      <c r="A733" s="22" t="s">
        <v>2549</v>
      </c>
      <c r="B733" s="22" t="s">
        <v>2550</v>
      </c>
      <c r="C733" s="26">
        <v>45900</v>
      </c>
      <c r="D733" s="25" t="s">
        <v>3337</v>
      </c>
      <c r="E733" s="25" t="s">
        <v>1724</v>
      </c>
      <c r="F733" s="53" t="s">
        <v>3812</v>
      </c>
      <c r="G733" s="28">
        <v>0</v>
      </c>
    </row>
    <row r="734" spans="1:7" x14ac:dyDescent="0.35">
      <c r="A734" s="22" t="s">
        <v>2549</v>
      </c>
      <c r="B734" s="22" t="s">
        <v>2550</v>
      </c>
      <c r="C734" s="26">
        <v>45900</v>
      </c>
      <c r="D734" s="25" t="s">
        <v>3338</v>
      </c>
      <c r="E734" s="25" t="s">
        <v>1782</v>
      </c>
      <c r="F734" s="53" t="s">
        <v>3812</v>
      </c>
      <c r="G734" s="28">
        <v>0</v>
      </c>
    </row>
    <row r="735" spans="1:7" x14ac:dyDescent="0.35">
      <c r="A735" s="22" t="s">
        <v>2549</v>
      </c>
      <c r="B735" s="22" t="s">
        <v>2550</v>
      </c>
      <c r="C735" s="26">
        <v>45900</v>
      </c>
      <c r="D735" s="25">
        <v>34529</v>
      </c>
      <c r="E735" s="25" t="s">
        <v>301</v>
      </c>
      <c r="F735" s="53" t="s">
        <v>3812</v>
      </c>
      <c r="G735" s="28">
        <v>0</v>
      </c>
    </row>
    <row r="736" spans="1:7" x14ac:dyDescent="0.35">
      <c r="A736" s="22" t="s">
        <v>2549</v>
      </c>
      <c r="B736" s="22" t="s">
        <v>2550</v>
      </c>
      <c r="C736" s="26">
        <v>45900</v>
      </c>
      <c r="D736" s="25">
        <v>34753</v>
      </c>
      <c r="E736" s="25" t="s">
        <v>301</v>
      </c>
      <c r="F736" s="53" t="s">
        <v>3812</v>
      </c>
      <c r="G736" s="28">
        <v>0</v>
      </c>
    </row>
    <row r="737" spans="1:7" x14ac:dyDescent="0.35">
      <c r="A737" s="22" t="s">
        <v>2549</v>
      </c>
      <c r="B737" s="22" t="s">
        <v>2550</v>
      </c>
      <c r="C737" s="26">
        <v>45900</v>
      </c>
      <c r="D737" s="25" t="s">
        <v>3339</v>
      </c>
      <c r="E737" s="25" t="s">
        <v>965</v>
      </c>
      <c r="F737" s="53" t="s">
        <v>3812</v>
      </c>
      <c r="G737" s="28">
        <v>0</v>
      </c>
    </row>
    <row r="738" spans="1:7" x14ac:dyDescent="0.35">
      <c r="A738" s="22" t="s">
        <v>2549</v>
      </c>
      <c r="B738" s="22" t="s">
        <v>2550</v>
      </c>
      <c r="C738" s="26">
        <v>45900</v>
      </c>
      <c r="D738" s="25" t="s">
        <v>3340</v>
      </c>
      <c r="E738" s="25" t="s">
        <v>301</v>
      </c>
      <c r="F738" s="53" t="s">
        <v>3812</v>
      </c>
      <c r="G738" s="28">
        <v>0</v>
      </c>
    </row>
    <row r="739" spans="1:7" x14ac:dyDescent="0.35">
      <c r="A739" s="22" t="s">
        <v>2549</v>
      </c>
      <c r="B739" s="22" t="s">
        <v>2550</v>
      </c>
      <c r="C739" s="26">
        <v>45900</v>
      </c>
      <c r="D739" s="25">
        <v>34768</v>
      </c>
      <c r="E739" s="25" t="s">
        <v>301</v>
      </c>
      <c r="F739" s="53" t="s">
        <v>3812</v>
      </c>
      <c r="G739" s="28">
        <v>0</v>
      </c>
    </row>
    <row r="740" spans="1:7" x14ac:dyDescent="0.35">
      <c r="A740" s="22" t="s">
        <v>2549</v>
      </c>
      <c r="B740" s="22" t="s">
        <v>2550</v>
      </c>
      <c r="C740" s="26">
        <v>45900</v>
      </c>
      <c r="D740" s="25">
        <v>34769</v>
      </c>
      <c r="E740" s="25" t="s">
        <v>301</v>
      </c>
      <c r="F740" s="53" t="s">
        <v>3812</v>
      </c>
      <c r="G740" s="28">
        <v>0</v>
      </c>
    </row>
    <row r="741" spans="1:7" x14ac:dyDescent="0.35">
      <c r="A741" s="22" t="s">
        <v>2549</v>
      </c>
      <c r="B741" s="22" t="s">
        <v>2550</v>
      </c>
      <c r="C741" s="26">
        <v>45900</v>
      </c>
      <c r="D741" s="25" t="s">
        <v>3341</v>
      </c>
      <c r="E741" s="25" t="s">
        <v>1932</v>
      </c>
      <c r="F741" s="53" t="s">
        <v>3812</v>
      </c>
      <c r="G741" s="28">
        <v>350</v>
      </c>
    </row>
    <row r="742" spans="1:7" x14ac:dyDescent="0.35">
      <c r="A742" s="22" t="s">
        <v>2549</v>
      </c>
      <c r="B742" s="22" t="s">
        <v>2550</v>
      </c>
      <c r="C742" s="26">
        <v>45900</v>
      </c>
      <c r="D742" s="25" t="s">
        <v>3342</v>
      </c>
      <c r="E742" s="25" t="s">
        <v>301</v>
      </c>
      <c r="F742" s="53" t="s">
        <v>3812</v>
      </c>
      <c r="G742" s="28">
        <v>0</v>
      </c>
    </row>
    <row r="743" spans="1:7" x14ac:dyDescent="0.35">
      <c r="A743" s="22" t="s">
        <v>2549</v>
      </c>
      <c r="B743" s="22" t="s">
        <v>2550</v>
      </c>
      <c r="C743" s="26">
        <v>45900</v>
      </c>
      <c r="D743" s="25" t="s">
        <v>3343</v>
      </c>
      <c r="E743" s="25" t="s">
        <v>3144</v>
      </c>
      <c r="F743" s="53" t="s">
        <v>3812</v>
      </c>
      <c r="G743" s="28">
        <v>9627.86</v>
      </c>
    </row>
    <row r="744" spans="1:7" x14ac:dyDescent="0.35">
      <c r="A744" s="22" t="s">
        <v>2549</v>
      </c>
      <c r="B744" s="22" t="s">
        <v>2550</v>
      </c>
      <c r="C744" s="26">
        <v>45900</v>
      </c>
      <c r="D744" s="25" t="s">
        <v>3344</v>
      </c>
      <c r="E744" s="25" t="s">
        <v>3144</v>
      </c>
      <c r="F744" s="53" t="s">
        <v>3812</v>
      </c>
      <c r="G744" s="28">
        <v>12464.64</v>
      </c>
    </row>
    <row r="745" spans="1:7" x14ac:dyDescent="0.35">
      <c r="A745" s="22" t="s">
        <v>2549</v>
      </c>
      <c r="B745" s="22" t="s">
        <v>2550</v>
      </c>
      <c r="C745" s="26">
        <v>45900</v>
      </c>
      <c r="D745" s="25" t="s">
        <v>3345</v>
      </c>
      <c r="E745" s="25" t="s">
        <v>2079</v>
      </c>
      <c r="F745" s="53" t="s">
        <v>3812</v>
      </c>
      <c r="G745" s="28">
        <v>0</v>
      </c>
    </row>
    <row r="746" spans="1:7" x14ac:dyDescent="0.35">
      <c r="A746" s="22" t="s">
        <v>2549</v>
      </c>
      <c r="B746" s="22" t="s">
        <v>2550</v>
      </c>
      <c r="C746" s="26">
        <v>45900</v>
      </c>
      <c r="D746" s="25" t="s">
        <v>3346</v>
      </c>
      <c r="E746" s="25" t="s">
        <v>301</v>
      </c>
      <c r="F746" s="53" t="s">
        <v>3812</v>
      </c>
      <c r="G746" s="28">
        <v>0</v>
      </c>
    </row>
    <row r="747" spans="1:7" x14ac:dyDescent="0.35">
      <c r="A747" s="22" t="s">
        <v>2549</v>
      </c>
      <c r="B747" s="22" t="s">
        <v>2550</v>
      </c>
      <c r="C747" s="26">
        <v>45900</v>
      </c>
      <c r="D747" s="25" t="s">
        <v>3347</v>
      </c>
      <c r="E747" s="25" t="s">
        <v>301</v>
      </c>
      <c r="F747" s="53" t="s">
        <v>3812</v>
      </c>
      <c r="G747" s="28">
        <v>0</v>
      </c>
    </row>
    <row r="748" spans="1:7" x14ac:dyDescent="0.35">
      <c r="A748" s="22" t="s">
        <v>2549</v>
      </c>
      <c r="B748" s="22" t="s">
        <v>2550</v>
      </c>
      <c r="C748" s="26">
        <v>45900</v>
      </c>
      <c r="D748" s="25" t="s">
        <v>3348</v>
      </c>
      <c r="E748" s="25" t="s">
        <v>301</v>
      </c>
      <c r="F748" s="53" t="s">
        <v>3812</v>
      </c>
      <c r="G748" s="28">
        <v>0</v>
      </c>
    </row>
    <row r="749" spans="1:7" x14ac:dyDescent="0.35">
      <c r="A749" s="22" t="s">
        <v>2549</v>
      </c>
      <c r="B749" s="22" t="s">
        <v>2550</v>
      </c>
      <c r="C749" s="26">
        <v>45900</v>
      </c>
      <c r="D749" s="25" t="s">
        <v>3349</v>
      </c>
      <c r="E749" s="25" t="s">
        <v>301</v>
      </c>
      <c r="F749" s="53" t="s">
        <v>3812</v>
      </c>
      <c r="G749" s="28">
        <v>0</v>
      </c>
    </row>
    <row r="750" spans="1:7" x14ac:dyDescent="0.35">
      <c r="A750" s="22" t="s">
        <v>2549</v>
      </c>
      <c r="B750" s="22" t="s">
        <v>2550</v>
      </c>
      <c r="C750" s="26">
        <v>45900</v>
      </c>
      <c r="D750" s="25" t="s">
        <v>3350</v>
      </c>
      <c r="E750" s="25" t="s">
        <v>301</v>
      </c>
      <c r="F750" s="53" t="s">
        <v>3812</v>
      </c>
      <c r="G750" s="28">
        <v>0</v>
      </c>
    </row>
    <row r="751" spans="1:7" x14ac:dyDescent="0.35">
      <c r="A751" s="22" t="s">
        <v>2549</v>
      </c>
      <c r="B751" s="22" t="s">
        <v>2550</v>
      </c>
      <c r="C751" s="26">
        <v>45900</v>
      </c>
      <c r="D751" s="25" t="s">
        <v>3351</v>
      </c>
      <c r="E751" s="25" t="s">
        <v>301</v>
      </c>
      <c r="F751" s="53" t="s">
        <v>3812</v>
      </c>
      <c r="G751" s="28">
        <v>0</v>
      </c>
    </row>
    <row r="752" spans="1:7" x14ac:dyDescent="0.35">
      <c r="A752" s="22" t="s">
        <v>2549</v>
      </c>
      <c r="B752" s="22" t="s">
        <v>2550</v>
      </c>
      <c r="C752" s="26">
        <v>45900</v>
      </c>
      <c r="D752" s="25" t="s">
        <v>3352</v>
      </c>
      <c r="E752" s="25" t="s">
        <v>301</v>
      </c>
      <c r="F752" s="53" t="s">
        <v>3812</v>
      </c>
      <c r="G752" s="28">
        <v>0</v>
      </c>
    </row>
    <row r="753" spans="1:7" x14ac:dyDescent="0.35">
      <c r="A753" s="22" t="s">
        <v>2549</v>
      </c>
      <c r="B753" s="22" t="s">
        <v>2550</v>
      </c>
      <c r="C753" s="26">
        <v>45900</v>
      </c>
      <c r="D753" s="25" t="s">
        <v>3353</v>
      </c>
      <c r="E753" s="25" t="s">
        <v>3476</v>
      </c>
      <c r="F753" s="53" t="s">
        <v>3812</v>
      </c>
      <c r="G753" s="28">
        <v>1106.25</v>
      </c>
    </row>
    <row r="754" spans="1:7" x14ac:dyDescent="0.35">
      <c r="A754" s="22" t="s">
        <v>2549</v>
      </c>
      <c r="B754" s="22" t="s">
        <v>2550</v>
      </c>
      <c r="C754" s="26">
        <v>45900</v>
      </c>
      <c r="D754" s="25" t="s">
        <v>3354</v>
      </c>
      <c r="E754" s="25" t="s">
        <v>2467</v>
      </c>
      <c r="F754" s="53" t="s">
        <v>3812</v>
      </c>
      <c r="G754" s="28">
        <v>0</v>
      </c>
    </row>
    <row r="755" spans="1:7" x14ac:dyDescent="0.35">
      <c r="A755" s="22" t="s">
        <v>2549</v>
      </c>
      <c r="B755" s="22" t="s">
        <v>2550</v>
      </c>
      <c r="C755" s="26">
        <v>45900</v>
      </c>
      <c r="D755" s="25">
        <v>35410</v>
      </c>
      <c r="E755" s="25" t="s">
        <v>3509</v>
      </c>
      <c r="F755" s="53" t="s">
        <v>3812</v>
      </c>
      <c r="G755" s="28">
        <v>0</v>
      </c>
    </row>
    <row r="756" spans="1:7" x14ac:dyDescent="0.35">
      <c r="A756" s="22" t="s">
        <v>2549</v>
      </c>
      <c r="B756" s="22" t="s">
        <v>2550</v>
      </c>
      <c r="C756" s="26">
        <v>45900</v>
      </c>
      <c r="D756" s="25">
        <v>35411</v>
      </c>
      <c r="E756" s="25" t="s">
        <v>3509</v>
      </c>
      <c r="F756" s="53" t="s">
        <v>3812</v>
      </c>
      <c r="G756" s="28">
        <v>0</v>
      </c>
    </row>
    <row r="757" spans="1:7" x14ac:dyDescent="0.35">
      <c r="A757" s="22" t="s">
        <v>2549</v>
      </c>
      <c r="B757" s="22" t="s">
        <v>2550</v>
      </c>
      <c r="C757" s="26">
        <v>45900</v>
      </c>
      <c r="D757" s="25" t="s">
        <v>3355</v>
      </c>
      <c r="E757" s="25" t="s">
        <v>3509</v>
      </c>
      <c r="F757" s="53" t="s">
        <v>3812</v>
      </c>
      <c r="G757" s="28">
        <v>0</v>
      </c>
    </row>
    <row r="758" spans="1:7" x14ac:dyDescent="0.35">
      <c r="A758" s="22" t="s">
        <v>2549</v>
      </c>
      <c r="B758" s="22" t="s">
        <v>2550</v>
      </c>
      <c r="C758" s="26">
        <v>45900</v>
      </c>
      <c r="D758" s="25">
        <v>35413</v>
      </c>
      <c r="E758" s="25" t="s">
        <v>3509</v>
      </c>
      <c r="F758" s="53" t="s">
        <v>3812</v>
      </c>
      <c r="G758" s="28">
        <v>0</v>
      </c>
    </row>
    <row r="759" spans="1:7" x14ac:dyDescent="0.35">
      <c r="A759" s="22" t="s">
        <v>2549</v>
      </c>
      <c r="B759" s="22" t="s">
        <v>2550</v>
      </c>
      <c r="C759" s="26">
        <v>45900</v>
      </c>
      <c r="D759" s="25">
        <v>35414</v>
      </c>
      <c r="E759" s="25" t="s">
        <v>3509</v>
      </c>
      <c r="F759" s="53" t="s">
        <v>3812</v>
      </c>
      <c r="G759" s="28">
        <v>0</v>
      </c>
    </row>
    <row r="760" spans="1:7" x14ac:dyDescent="0.35">
      <c r="A760" s="22" t="s">
        <v>2549</v>
      </c>
      <c r="B760" s="22" t="s">
        <v>2550</v>
      </c>
      <c r="C760" s="26">
        <v>45900</v>
      </c>
      <c r="D760" s="25">
        <v>35415</v>
      </c>
      <c r="E760" s="25" t="s">
        <v>3509</v>
      </c>
      <c r="F760" s="53" t="s">
        <v>3812</v>
      </c>
      <c r="G760" s="28">
        <v>0</v>
      </c>
    </row>
    <row r="761" spans="1:7" x14ac:dyDescent="0.35">
      <c r="A761" s="22" t="s">
        <v>2549</v>
      </c>
      <c r="B761" s="22" t="s">
        <v>2550</v>
      </c>
      <c r="C761" s="26">
        <v>45900</v>
      </c>
      <c r="D761" s="25">
        <v>35416</v>
      </c>
      <c r="E761" s="25" t="s">
        <v>3509</v>
      </c>
      <c r="F761" s="53" t="s">
        <v>3812</v>
      </c>
      <c r="G761" s="28">
        <v>0</v>
      </c>
    </row>
    <row r="762" spans="1:7" x14ac:dyDescent="0.35">
      <c r="A762" s="22" t="s">
        <v>2549</v>
      </c>
      <c r="B762" s="22" t="s">
        <v>2550</v>
      </c>
      <c r="C762" s="26">
        <v>45900</v>
      </c>
      <c r="D762" s="25">
        <v>35417</v>
      </c>
      <c r="E762" s="25" t="s">
        <v>3509</v>
      </c>
      <c r="F762" s="53" t="s">
        <v>3812</v>
      </c>
      <c r="G762" s="28">
        <v>0</v>
      </c>
    </row>
    <row r="763" spans="1:7" x14ac:dyDescent="0.35">
      <c r="A763" s="22" t="s">
        <v>2549</v>
      </c>
      <c r="B763" s="22" t="s">
        <v>2550</v>
      </c>
      <c r="C763" s="26">
        <v>45900</v>
      </c>
      <c r="D763" s="25">
        <v>35418</v>
      </c>
      <c r="E763" s="25" t="s">
        <v>3509</v>
      </c>
      <c r="F763" s="53" t="s">
        <v>3812</v>
      </c>
      <c r="G763" s="28">
        <v>0</v>
      </c>
    </row>
    <row r="764" spans="1:7" x14ac:dyDescent="0.35">
      <c r="A764" s="22" t="s">
        <v>2549</v>
      </c>
      <c r="B764" s="22" t="s">
        <v>2550</v>
      </c>
      <c r="C764" s="26">
        <v>45900</v>
      </c>
      <c r="D764" s="25">
        <v>35419</v>
      </c>
      <c r="E764" s="25" t="s">
        <v>3509</v>
      </c>
      <c r="F764" s="53" t="s">
        <v>3812</v>
      </c>
      <c r="G764" s="28">
        <v>0</v>
      </c>
    </row>
    <row r="765" spans="1:7" x14ac:dyDescent="0.35">
      <c r="A765" s="22" t="s">
        <v>2549</v>
      </c>
      <c r="B765" s="22" t="s">
        <v>2550</v>
      </c>
      <c r="C765" s="26">
        <v>45900</v>
      </c>
      <c r="D765" s="25">
        <v>35420</v>
      </c>
      <c r="E765" s="25" t="s">
        <v>3509</v>
      </c>
      <c r="F765" s="53" t="s">
        <v>3812</v>
      </c>
      <c r="G765" s="28">
        <v>0</v>
      </c>
    </row>
    <row r="766" spans="1:7" x14ac:dyDescent="0.35">
      <c r="A766" s="22" t="s">
        <v>2549</v>
      </c>
      <c r="B766" s="22" t="s">
        <v>2550</v>
      </c>
      <c r="C766" s="26">
        <v>45900</v>
      </c>
      <c r="D766" s="25">
        <v>35421</v>
      </c>
      <c r="E766" s="25" t="s">
        <v>3509</v>
      </c>
      <c r="F766" s="53" t="s">
        <v>3812</v>
      </c>
      <c r="G766" s="28">
        <v>0</v>
      </c>
    </row>
    <row r="767" spans="1:7" x14ac:dyDescent="0.35">
      <c r="A767" s="22" t="s">
        <v>2549</v>
      </c>
      <c r="B767" s="22" t="s">
        <v>2550</v>
      </c>
      <c r="C767" s="26">
        <v>45900</v>
      </c>
      <c r="D767" s="25" t="s">
        <v>3357</v>
      </c>
      <c r="E767" s="25" t="s">
        <v>3509</v>
      </c>
      <c r="F767" s="53" t="s">
        <v>3812</v>
      </c>
      <c r="G767" s="28">
        <v>0</v>
      </c>
    </row>
    <row r="768" spans="1:7" x14ac:dyDescent="0.35">
      <c r="A768" s="22" t="s">
        <v>2549</v>
      </c>
      <c r="B768" s="22" t="s">
        <v>2550</v>
      </c>
      <c r="C768" s="26">
        <v>45900</v>
      </c>
      <c r="D768" s="25" t="s">
        <v>3358</v>
      </c>
      <c r="E768" s="25" t="s">
        <v>1757</v>
      </c>
      <c r="F768" s="53" t="s">
        <v>3812</v>
      </c>
      <c r="G768" s="28">
        <v>52357.24</v>
      </c>
    </row>
    <row r="769" spans="1:7" x14ac:dyDescent="0.35">
      <c r="A769" s="22" t="s">
        <v>2549</v>
      </c>
      <c r="B769" s="22" t="s">
        <v>2550</v>
      </c>
      <c r="C769" s="26">
        <v>45900</v>
      </c>
      <c r="D769" s="25">
        <v>35434</v>
      </c>
      <c r="E769" s="25" t="s">
        <v>1757</v>
      </c>
      <c r="F769" s="53" t="s">
        <v>3812</v>
      </c>
      <c r="G769" s="28">
        <v>13892.579999999998</v>
      </c>
    </row>
    <row r="770" spans="1:7" x14ac:dyDescent="0.35">
      <c r="A770" s="22" t="s">
        <v>2549</v>
      </c>
      <c r="B770" s="22" t="s">
        <v>2550</v>
      </c>
      <c r="C770" s="26">
        <v>45900</v>
      </c>
      <c r="D770" s="25" t="s">
        <v>3360</v>
      </c>
      <c r="E770" s="25" t="s">
        <v>1757</v>
      </c>
      <c r="F770" s="53" t="s">
        <v>3812</v>
      </c>
      <c r="G770" s="28">
        <v>946.14</v>
      </c>
    </row>
    <row r="771" spans="1:7" x14ac:dyDescent="0.35">
      <c r="A771" s="22" t="s">
        <v>2549</v>
      </c>
      <c r="B771" s="22" t="s">
        <v>2550</v>
      </c>
      <c r="C771" s="26">
        <v>45900</v>
      </c>
      <c r="D771" s="25" t="s">
        <v>3361</v>
      </c>
      <c r="E771" s="25" t="s">
        <v>1757</v>
      </c>
      <c r="F771" s="53" t="s">
        <v>3812</v>
      </c>
      <c r="G771" s="28">
        <v>332.38</v>
      </c>
    </row>
    <row r="772" spans="1:7" x14ac:dyDescent="0.35">
      <c r="A772" s="22" t="s">
        <v>2549</v>
      </c>
      <c r="B772" s="22" t="s">
        <v>2550</v>
      </c>
      <c r="C772" s="26">
        <v>45900</v>
      </c>
      <c r="D772" s="25" t="s">
        <v>3362</v>
      </c>
      <c r="E772" s="25" t="s">
        <v>1757</v>
      </c>
      <c r="F772" s="53" t="s">
        <v>3812</v>
      </c>
      <c r="G772" s="28">
        <v>0</v>
      </c>
    </row>
    <row r="773" spans="1:7" x14ac:dyDescent="0.35">
      <c r="A773" s="22" t="s">
        <v>2549</v>
      </c>
      <c r="B773" s="22" t="s">
        <v>2550</v>
      </c>
      <c r="C773" s="26">
        <v>45900</v>
      </c>
      <c r="D773" s="25" t="s">
        <v>3363</v>
      </c>
      <c r="E773" s="25" t="s">
        <v>1757</v>
      </c>
      <c r="F773" s="53" t="s">
        <v>3812</v>
      </c>
      <c r="G773" s="28">
        <v>43962.13</v>
      </c>
    </row>
    <row r="774" spans="1:7" x14ac:dyDescent="0.35">
      <c r="A774" s="22" t="s">
        <v>2549</v>
      </c>
      <c r="B774" s="22" t="s">
        <v>2550</v>
      </c>
      <c r="C774" s="26">
        <v>45900</v>
      </c>
      <c r="D774" s="25" t="s">
        <v>3364</v>
      </c>
      <c r="E774" s="25" t="s">
        <v>1757</v>
      </c>
      <c r="F774" s="53" t="s">
        <v>3812</v>
      </c>
      <c r="G774" s="28">
        <v>435.65</v>
      </c>
    </row>
    <row r="775" spans="1:7" x14ac:dyDescent="0.35">
      <c r="A775" s="22" t="s">
        <v>2549</v>
      </c>
      <c r="B775" s="22" t="s">
        <v>2550</v>
      </c>
      <c r="C775" s="26">
        <v>45900</v>
      </c>
      <c r="D775" s="25" t="s">
        <v>3365</v>
      </c>
      <c r="E775" s="25" t="s">
        <v>1757</v>
      </c>
      <c r="F775" s="53" t="s">
        <v>3812</v>
      </c>
      <c r="G775" s="28">
        <v>1342.06</v>
      </c>
    </row>
    <row r="776" spans="1:7" x14ac:dyDescent="0.35">
      <c r="A776" s="22" t="s">
        <v>2549</v>
      </c>
      <c r="B776" s="22" t="s">
        <v>2550</v>
      </c>
      <c r="C776" s="26">
        <v>45900</v>
      </c>
      <c r="D776" s="25" t="s">
        <v>3366</v>
      </c>
      <c r="E776" s="25" t="s">
        <v>1757</v>
      </c>
      <c r="F776" s="53" t="s">
        <v>3812</v>
      </c>
      <c r="G776" s="28">
        <v>3793.79</v>
      </c>
    </row>
    <row r="777" spans="1:7" x14ac:dyDescent="0.35">
      <c r="A777" s="22" t="s">
        <v>2549</v>
      </c>
      <c r="B777" s="22" t="s">
        <v>2550</v>
      </c>
      <c r="C777" s="26">
        <v>45900</v>
      </c>
      <c r="D777" s="25" t="s">
        <v>3367</v>
      </c>
      <c r="E777" s="25" t="s">
        <v>1757</v>
      </c>
      <c r="F777" s="53" t="s">
        <v>3812</v>
      </c>
      <c r="G777" s="28">
        <v>0</v>
      </c>
    </row>
    <row r="778" spans="1:7" x14ac:dyDescent="0.35">
      <c r="A778" s="22" t="s">
        <v>2549</v>
      </c>
      <c r="B778" s="22" t="s">
        <v>2550</v>
      </c>
      <c r="C778" s="26">
        <v>45900</v>
      </c>
      <c r="D778" s="25" t="s">
        <v>3368</v>
      </c>
      <c r="E778" s="25" t="s">
        <v>1757</v>
      </c>
      <c r="F778" s="53" t="s">
        <v>3812</v>
      </c>
      <c r="G778" s="28">
        <v>9777.1999999999989</v>
      </c>
    </row>
    <row r="779" spans="1:7" x14ac:dyDescent="0.35">
      <c r="A779" s="22" t="s">
        <v>2549</v>
      </c>
      <c r="B779" s="22" t="s">
        <v>2550</v>
      </c>
      <c r="C779" s="26">
        <v>45900</v>
      </c>
      <c r="D779" s="25" t="s">
        <v>3370</v>
      </c>
      <c r="E779" s="25" t="s">
        <v>3212</v>
      </c>
      <c r="F779" s="53" t="s">
        <v>3812</v>
      </c>
      <c r="G779" s="28">
        <v>9000</v>
      </c>
    </row>
    <row r="780" spans="1:7" x14ac:dyDescent="0.35">
      <c r="A780" s="22" t="s">
        <v>2549</v>
      </c>
      <c r="B780" s="22" t="s">
        <v>2550</v>
      </c>
      <c r="C780" s="26">
        <v>45900</v>
      </c>
      <c r="D780" s="25" t="s">
        <v>3372</v>
      </c>
      <c r="E780" s="25" t="s">
        <v>3218</v>
      </c>
      <c r="F780" s="53" t="s">
        <v>3812</v>
      </c>
      <c r="G780" s="28">
        <v>0</v>
      </c>
    </row>
    <row r="781" spans="1:7" x14ac:dyDescent="0.35">
      <c r="A781" s="22" t="s">
        <v>2549</v>
      </c>
      <c r="B781" s="22" t="s">
        <v>2550</v>
      </c>
      <c r="C781" s="26">
        <v>45900</v>
      </c>
      <c r="D781" s="25">
        <v>35494</v>
      </c>
      <c r="E781" s="25" t="s">
        <v>3218</v>
      </c>
      <c r="F781" s="53" t="s">
        <v>3812</v>
      </c>
      <c r="G781" s="28">
        <v>94</v>
      </c>
    </row>
    <row r="782" spans="1:7" x14ac:dyDescent="0.35">
      <c r="A782" s="22" t="s">
        <v>2549</v>
      </c>
      <c r="B782" s="22" t="s">
        <v>2550</v>
      </c>
      <c r="C782" s="26">
        <v>45900</v>
      </c>
      <c r="D782" s="25" t="s">
        <v>3373</v>
      </c>
      <c r="E782" s="25" t="s">
        <v>2514</v>
      </c>
      <c r="F782" s="53" t="s">
        <v>3812</v>
      </c>
      <c r="G782" s="28">
        <v>1073.28</v>
      </c>
    </row>
    <row r="783" spans="1:7" x14ac:dyDescent="0.35">
      <c r="A783" s="22" t="s">
        <v>2549</v>
      </c>
      <c r="B783" s="22" t="s">
        <v>2550</v>
      </c>
      <c r="C783" s="26">
        <v>45900</v>
      </c>
      <c r="D783" s="25" t="s">
        <v>3374</v>
      </c>
      <c r="E783" s="25" t="s">
        <v>2514</v>
      </c>
      <c r="F783" s="53" t="s">
        <v>3812</v>
      </c>
      <c r="G783" s="28">
        <v>1505.52</v>
      </c>
    </row>
    <row r="784" spans="1:7" x14ac:dyDescent="0.35">
      <c r="A784" s="22" t="s">
        <v>2549</v>
      </c>
      <c r="B784" s="22" t="s">
        <v>2550</v>
      </c>
      <c r="C784" s="26">
        <v>45900</v>
      </c>
      <c r="D784" s="25" t="s">
        <v>3375</v>
      </c>
      <c r="E784" s="25" t="s">
        <v>2514</v>
      </c>
      <c r="F784" s="53" t="s">
        <v>3812</v>
      </c>
      <c r="G784" s="28">
        <v>20938.5</v>
      </c>
    </row>
    <row r="785" spans="1:7" x14ac:dyDescent="0.35">
      <c r="A785" s="22" t="s">
        <v>2549</v>
      </c>
      <c r="B785" s="22" t="s">
        <v>2550</v>
      </c>
      <c r="C785" s="26">
        <v>45900</v>
      </c>
      <c r="D785" s="25" t="s">
        <v>3376</v>
      </c>
      <c r="E785" s="25" t="s">
        <v>2514</v>
      </c>
      <c r="F785" s="53" t="s">
        <v>3812</v>
      </c>
      <c r="G785" s="28">
        <v>45</v>
      </c>
    </row>
    <row r="786" spans="1:7" x14ac:dyDescent="0.35">
      <c r="A786" s="22" t="s">
        <v>2549</v>
      </c>
      <c r="B786" s="22" t="s">
        <v>2550</v>
      </c>
      <c r="C786" s="26">
        <v>45900</v>
      </c>
      <c r="D786" s="25" t="s">
        <v>3377</v>
      </c>
      <c r="E786" s="25" t="s">
        <v>2514</v>
      </c>
      <c r="F786" s="53" t="s">
        <v>3812</v>
      </c>
      <c r="G786" s="28">
        <v>0</v>
      </c>
    </row>
    <row r="787" spans="1:7" x14ac:dyDescent="0.35">
      <c r="A787" s="22" t="s">
        <v>2549</v>
      </c>
      <c r="B787" s="22" t="s">
        <v>2550</v>
      </c>
      <c r="C787" s="26">
        <v>45900</v>
      </c>
      <c r="D787" s="25" t="s">
        <v>3378</v>
      </c>
      <c r="E787" s="25" t="s">
        <v>2514</v>
      </c>
      <c r="F787" s="53" t="s">
        <v>3812</v>
      </c>
      <c r="G787" s="28">
        <v>2044.7199999999998</v>
      </c>
    </row>
    <row r="788" spans="1:7" x14ac:dyDescent="0.35">
      <c r="A788" s="22" t="s">
        <v>2549</v>
      </c>
      <c r="B788" s="22" t="s">
        <v>2550</v>
      </c>
      <c r="C788" s="26">
        <v>45900</v>
      </c>
      <c r="D788" s="25" t="s">
        <v>3379</v>
      </c>
      <c r="E788" s="25" t="s">
        <v>2514</v>
      </c>
      <c r="F788" s="53" t="s">
        <v>3812</v>
      </c>
      <c r="G788" s="28">
        <v>7436.4</v>
      </c>
    </row>
    <row r="789" spans="1:7" x14ac:dyDescent="0.35">
      <c r="A789" s="22" t="s">
        <v>2549</v>
      </c>
      <c r="B789" s="22" t="s">
        <v>2550</v>
      </c>
      <c r="C789" s="26">
        <v>45900</v>
      </c>
      <c r="D789" s="25" t="s">
        <v>3380</v>
      </c>
      <c r="E789" s="25" t="s">
        <v>2514</v>
      </c>
      <c r="F789" s="53" t="s">
        <v>3812</v>
      </c>
      <c r="G789" s="28">
        <v>24.28</v>
      </c>
    </row>
    <row r="790" spans="1:7" x14ac:dyDescent="0.35">
      <c r="A790" s="22" t="s">
        <v>2549</v>
      </c>
      <c r="B790" s="22" t="s">
        <v>2550</v>
      </c>
      <c r="C790" s="26">
        <v>45900</v>
      </c>
      <c r="D790" s="25" t="s">
        <v>3381</v>
      </c>
      <c r="E790" s="25" t="s">
        <v>2514</v>
      </c>
      <c r="F790" s="53" t="s">
        <v>3812</v>
      </c>
      <c r="G790" s="28">
        <v>2101.1999999999998</v>
      </c>
    </row>
    <row r="791" spans="1:7" x14ac:dyDescent="0.35">
      <c r="A791" s="22" t="s">
        <v>2549</v>
      </c>
      <c r="B791" s="22" t="s">
        <v>2550</v>
      </c>
      <c r="C791" s="26">
        <v>45900</v>
      </c>
      <c r="D791" s="25" t="s">
        <v>3382</v>
      </c>
      <c r="E791" s="25" t="s">
        <v>2514</v>
      </c>
      <c r="F791" s="53" t="s">
        <v>3812</v>
      </c>
      <c r="G791" s="28">
        <v>727.28</v>
      </c>
    </row>
    <row r="792" spans="1:7" x14ac:dyDescent="0.35">
      <c r="A792" s="22" t="s">
        <v>2549</v>
      </c>
      <c r="B792" s="22" t="s">
        <v>2550</v>
      </c>
      <c r="C792" s="26">
        <v>45900</v>
      </c>
      <c r="D792" s="25" t="s">
        <v>3383</v>
      </c>
      <c r="E792" s="25" t="s">
        <v>2514</v>
      </c>
      <c r="F792" s="53" t="s">
        <v>3812</v>
      </c>
      <c r="G792" s="28">
        <v>1873.33</v>
      </c>
    </row>
    <row r="793" spans="1:7" x14ac:dyDescent="0.35">
      <c r="A793" s="22" t="s">
        <v>2549</v>
      </c>
      <c r="B793" s="22" t="s">
        <v>2550</v>
      </c>
      <c r="C793" s="26">
        <v>45900</v>
      </c>
      <c r="D793" s="25" t="s">
        <v>3384</v>
      </c>
      <c r="E793" s="25" t="s">
        <v>1035</v>
      </c>
      <c r="F793" s="53" t="s">
        <v>3812</v>
      </c>
      <c r="G793" s="28">
        <v>2215.38</v>
      </c>
    </row>
    <row r="794" spans="1:7" x14ac:dyDescent="0.35">
      <c r="A794" s="22" t="s">
        <v>2549</v>
      </c>
      <c r="B794" s="22" t="s">
        <v>2550</v>
      </c>
      <c r="C794" s="26">
        <v>45900</v>
      </c>
      <c r="D794" s="25" t="s">
        <v>3385</v>
      </c>
      <c r="E794" s="25" t="s">
        <v>2396</v>
      </c>
      <c r="F794" s="53" t="s">
        <v>3812</v>
      </c>
      <c r="G794" s="28">
        <v>36902.449999999997</v>
      </c>
    </row>
    <row r="795" spans="1:7" x14ac:dyDescent="0.35">
      <c r="A795" s="22" t="s">
        <v>2549</v>
      </c>
      <c r="B795" s="22" t="s">
        <v>2550</v>
      </c>
      <c r="C795" s="26">
        <v>45900</v>
      </c>
      <c r="D795" s="25" t="s">
        <v>3386</v>
      </c>
      <c r="E795" s="25" t="s">
        <v>1475</v>
      </c>
      <c r="F795" s="53" t="s">
        <v>3812</v>
      </c>
      <c r="G795" s="28">
        <v>43790.32</v>
      </c>
    </row>
    <row r="796" spans="1:7" x14ac:dyDescent="0.35">
      <c r="A796" s="22" t="s">
        <v>2549</v>
      </c>
      <c r="B796" s="22" t="s">
        <v>2550</v>
      </c>
      <c r="C796" s="26">
        <v>45900</v>
      </c>
      <c r="D796" s="25" t="s">
        <v>3387</v>
      </c>
      <c r="E796" s="25" t="s">
        <v>1475</v>
      </c>
      <c r="F796" s="53" t="s">
        <v>3812</v>
      </c>
      <c r="G796" s="28">
        <v>302922.93</v>
      </c>
    </row>
    <row r="797" spans="1:7" x14ac:dyDescent="0.35">
      <c r="A797" s="22" t="s">
        <v>2549</v>
      </c>
      <c r="B797" s="22" t="s">
        <v>2550</v>
      </c>
      <c r="C797" s="26">
        <v>45900</v>
      </c>
      <c r="D797" s="25" t="s">
        <v>3388</v>
      </c>
      <c r="E797" s="25" t="s">
        <v>1475</v>
      </c>
      <c r="F797" s="53" t="s">
        <v>3812</v>
      </c>
      <c r="G797" s="28">
        <v>72755.139999999985</v>
      </c>
    </row>
    <row r="798" spans="1:7" x14ac:dyDescent="0.35">
      <c r="A798" s="22" t="s">
        <v>2549</v>
      </c>
      <c r="B798" s="22" t="s">
        <v>2550</v>
      </c>
      <c r="C798" s="26">
        <v>45900</v>
      </c>
      <c r="D798" s="25">
        <v>35797</v>
      </c>
      <c r="E798" s="25" t="s">
        <v>1475</v>
      </c>
      <c r="F798" s="53" t="s">
        <v>3812</v>
      </c>
      <c r="G798" s="28">
        <v>32609.54</v>
      </c>
    </row>
    <row r="799" spans="1:7" x14ac:dyDescent="0.35">
      <c r="A799" s="22" t="s">
        <v>2549</v>
      </c>
      <c r="B799" s="22" t="s">
        <v>2550</v>
      </c>
      <c r="C799" s="26">
        <v>45900</v>
      </c>
      <c r="D799" s="25">
        <v>35799</v>
      </c>
      <c r="E799" s="25" t="s">
        <v>1475</v>
      </c>
      <c r="F799" s="53" t="s">
        <v>3812</v>
      </c>
      <c r="G799" s="28">
        <v>0</v>
      </c>
    </row>
    <row r="800" spans="1:7" x14ac:dyDescent="0.35">
      <c r="A800" s="22" t="s">
        <v>2549</v>
      </c>
      <c r="B800" s="22" t="s">
        <v>2550</v>
      </c>
      <c r="C800" s="26">
        <v>45900</v>
      </c>
      <c r="D800" s="25" t="s">
        <v>3389</v>
      </c>
      <c r="E800" s="25" t="s">
        <v>1475</v>
      </c>
      <c r="F800" s="53" t="s">
        <v>3812</v>
      </c>
      <c r="G800" s="28">
        <v>43846.5</v>
      </c>
    </row>
    <row r="801" spans="1:7" x14ac:dyDescent="0.35">
      <c r="A801" s="22" t="s">
        <v>2549</v>
      </c>
      <c r="B801" s="22" t="s">
        <v>2550</v>
      </c>
      <c r="C801" s="26">
        <v>45900</v>
      </c>
      <c r="D801" s="25" t="s">
        <v>3390</v>
      </c>
      <c r="E801" s="25" t="s">
        <v>1475</v>
      </c>
      <c r="F801" s="53" t="s">
        <v>3812</v>
      </c>
      <c r="G801" s="28">
        <v>7530.8700000000008</v>
      </c>
    </row>
    <row r="802" spans="1:7" x14ac:dyDescent="0.35">
      <c r="A802" s="22" t="s">
        <v>2549</v>
      </c>
      <c r="B802" s="22" t="s">
        <v>2550</v>
      </c>
      <c r="C802" s="26">
        <v>45900</v>
      </c>
      <c r="D802" s="25">
        <v>35806</v>
      </c>
      <c r="E802" s="25" t="s">
        <v>1475</v>
      </c>
      <c r="F802" s="53" t="s">
        <v>3812</v>
      </c>
      <c r="G802" s="28">
        <v>9294.6599999999944</v>
      </c>
    </row>
    <row r="803" spans="1:7" x14ac:dyDescent="0.35">
      <c r="A803" s="22" t="s">
        <v>2549</v>
      </c>
      <c r="B803" s="22" t="s">
        <v>2550</v>
      </c>
      <c r="C803" s="26">
        <v>45900</v>
      </c>
      <c r="D803" s="25" t="s">
        <v>3391</v>
      </c>
      <c r="E803" s="25" t="s">
        <v>1475</v>
      </c>
      <c r="F803" s="53" t="s">
        <v>3812</v>
      </c>
      <c r="G803" s="28">
        <v>159237.71</v>
      </c>
    </row>
    <row r="804" spans="1:7" x14ac:dyDescent="0.35">
      <c r="A804" s="22" t="s">
        <v>2549</v>
      </c>
      <c r="B804" s="22" t="s">
        <v>2550</v>
      </c>
      <c r="C804" s="26">
        <v>45900</v>
      </c>
      <c r="D804" s="25" t="s">
        <v>3392</v>
      </c>
      <c r="E804" s="25" t="s">
        <v>1475</v>
      </c>
      <c r="F804" s="53" t="s">
        <v>3812</v>
      </c>
      <c r="G804" s="28">
        <v>32921.159999999996</v>
      </c>
    </row>
    <row r="805" spans="1:7" x14ac:dyDescent="0.35">
      <c r="A805" s="22" t="s">
        <v>2549</v>
      </c>
      <c r="B805" s="22" t="s">
        <v>2550</v>
      </c>
      <c r="C805" s="26">
        <v>45900</v>
      </c>
      <c r="D805" s="25">
        <v>35811</v>
      </c>
      <c r="E805" s="25" t="s">
        <v>1475</v>
      </c>
      <c r="F805" s="53" t="s">
        <v>3812</v>
      </c>
      <c r="G805" s="28">
        <v>80186.399999999994</v>
      </c>
    </row>
    <row r="806" spans="1:7" x14ac:dyDescent="0.35">
      <c r="A806" s="22" t="s">
        <v>2549</v>
      </c>
      <c r="B806" s="22" t="s">
        <v>2550</v>
      </c>
      <c r="C806" s="26">
        <v>45900</v>
      </c>
      <c r="D806" s="25" t="s">
        <v>3394</v>
      </c>
      <c r="E806" s="25" t="s">
        <v>1475</v>
      </c>
      <c r="F806" s="53" t="s">
        <v>3812</v>
      </c>
      <c r="G806" s="28">
        <v>10482.630000000001</v>
      </c>
    </row>
    <row r="807" spans="1:7" x14ac:dyDescent="0.35">
      <c r="A807" s="22" t="s">
        <v>2549</v>
      </c>
      <c r="B807" s="22" t="s">
        <v>2550</v>
      </c>
      <c r="C807" s="26">
        <v>45900</v>
      </c>
      <c r="D807" s="25" t="s">
        <v>3395</v>
      </c>
      <c r="E807" s="25" t="s">
        <v>2459</v>
      </c>
      <c r="F807" s="53" t="s">
        <v>3812</v>
      </c>
      <c r="G807" s="28">
        <v>106.95</v>
      </c>
    </row>
    <row r="808" spans="1:7" x14ac:dyDescent="0.35">
      <c r="A808" s="22" t="s">
        <v>2549</v>
      </c>
      <c r="B808" s="22" t="s">
        <v>2550</v>
      </c>
      <c r="C808" s="26">
        <v>45900</v>
      </c>
      <c r="D808" s="25" t="s">
        <v>3396</v>
      </c>
      <c r="E808" s="25" t="s">
        <v>2462</v>
      </c>
      <c r="F808" s="53" t="s">
        <v>3812</v>
      </c>
      <c r="G808" s="28">
        <v>195091.02999999997</v>
      </c>
    </row>
    <row r="809" spans="1:7" x14ac:dyDescent="0.35">
      <c r="A809" s="22" t="s">
        <v>2549</v>
      </c>
      <c r="B809" s="22" t="s">
        <v>2550</v>
      </c>
      <c r="C809" s="26">
        <v>45900</v>
      </c>
      <c r="D809" s="25" t="s">
        <v>3397</v>
      </c>
      <c r="E809" s="25" t="s">
        <v>3359</v>
      </c>
      <c r="F809" s="53" t="s">
        <v>3812</v>
      </c>
      <c r="G809" s="28">
        <v>0</v>
      </c>
    </row>
    <row r="810" spans="1:7" x14ac:dyDescent="0.35">
      <c r="A810" s="22" t="s">
        <v>2549</v>
      </c>
      <c r="B810" s="22" t="s">
        <v>2550</v>
      </c>
      <c r="C810" s="26">
        <v>45900</v>
      </c>
      <c r="D810" s="25" t="s">
        <v>3398</v>
      </c>
      <c r="E810" s="25" t="s">
        <v>301</v>
      </c>
      <c r="F810" s="53" t="s">
        <v>3812</v>
      </c>
      <c r="G810" s="28">
        <v>0</v>
      </c>
    </row>
    <row r="811" spans="1:7" x14ac:dyDescent="0.35">
      <c r="A811" s="22" t="s">
        <v>2549</v>
      </c>
      <c r="B811" s="22" t="s">
        <v>2550</v>
      </c>
      <c r="C811" s="26">
        <v>45900</v>
      </c>
      <c r="D811" s="25" t="s">
        <v>3399</v>
      </c>
      <c r="E811" s="25" t="s">
        <v>301</v>
      </c>
      <c r="F811" s="53" t="s">
        <v>3812</v>
      </c>
      <c r="G811" s="28">
        <v>0</v>
      </c>
    </row>
    <row r="812" spans="1:7" x14ac:dyDescent="0.35">
      <c r="A812" s="22" t="s">
        <v>2549</v>
      </c>
      <c r="B812" s="22" t="s">
        <v>2550</v>
      </c>
      <c r="C812" s="26">
        <v>45900</v>
      </c>
      <c r="D812" s="25" t="s">
        <v>3400</v>
      </c>
      <c r="E812" s="25" t="s">
        <v>301</v>
      </c>
      <c r="F812" s="53" t="s">
        <v>3812</v>
      </c>
      <c r="G812" s="28">
        <v>0</v>
      </c>
    </row>
    <row r="813" spans="1:7" x14ac:dyDescent="0.35">
      <c r="A813" s="22" t="s">
        <v>2549</v>
      </c>
      <c r="B813" s="22" t="s">
        <v>2550</v>
      </c>
      <c r="C813" s="26">
        <v>45900</v>
      </c>
      <c r="D813" s="25" t="s">
        <v>3401</v>
      </c>
      <c r="E813" s="25" t="s">
        <v>301</v>
      </c>
      <c r="F813" s="53" t="s">
        <v>3812</v>
      </c>
      <c r="G813" s="28">
        <v>0</v>
      </c>
    </row>
    <row r="814" spans="1:7" x14ac:dyDescent="0.35">
      <c r="A814" s="22" t="s">
        <v>2549</v>
      </c>
      <c r="B814" s="22" t="s">
        <v>2550</v>
      </c>
      <c r="C814" s="26">
        <v>45900</v>
      </c>
      <c r="D814" s="25" t="s">
        <v>3402</v>
      </c>
      <c r="E814" s="25" t="s">
        <v>3369</v>
      </c>
      <c r="F814" s="53" t="s">
        <v>3812</v>
      </c>
      <c r="G814" s="28">
        <v>340</v>
      </c>
    </row>
    <row r="815" spans="1:7" x14ac:dyDescent="0.35">
      <c r="A815" s="22" t="s">
        <v>2549</v>
      </c>
      <c r="B815" s="22" t="s">
        <v>2550</v>
      </c>
      <c r="C815" s="26">
        <v>45900</v>
      </c>
      <c r="D815" s="25">
        <v>36196</v>
      </c>
      <c r="E815" s="25" t="s">
        <v>301</v>
      </c>
      <c r="F815" s="53" t="s">
        <v>3812</v>
      </c>
      <c r="G815" s="28">
        <v>0</v>
      </c>
    </row>
    <row r="816" spans="1:7" x14ac:dyDescent="0.35">
      <c r="A816" s="22" t="s">
        <v>2549</v>
      </c>
      <c r="B816" s="22" t="s">
        <v>2550</v>
      </c>
      <c r="C816" s="26">
        <v>45900</v>
      </c>
      <c r="D816" s="25" t="s">
        <v>3403</v>
      </c>
      <c r="E816" s="25" t="s">
        <v>3371</v>
      </c>
      <c r="F816" s="53" t="s">
        <v>3812</v>
      </c>
      <c r="G816" s="28">
        <v>4260</v>
      </c>
    </row>
    <row r="817" spans="1:7" x14ac:dyDescent="0.35">
      <c r="A817" s="22" t="s">
        <v>2549</v>
      </c>
      <c r="B817" s="22" t="s">
        <v>2550</v>
      </c>
      <c r="C817" s="26">
        <v>45900</v>
      </c>
      <c r="D817" s="25">
        <v>36303</v>
      </c>
      <c r="E817" s="25" t="s">
        <v>301</v>
      </c>
      <c r="F817" s="53" t="s">
        <v>3812</v>
      </c>
      <c r="G817" s="28">
        <v>0</v>
      </c>
    </row>
    <row r="818" spans="1:7" x14ac:dyDescent="0.35">
      <c r="A818" s="22" t="s">
        <v>2549</v>
      </c>
      <c r="B818" s="22" t="s">
        <v>2550</v>
      </c>
      <c r="C818" s="26">
        <v>45900</v>
      </c>
      <c r="D818" s="25" t="s">
        <v>3404</v>
      </c>
      <c r="E818" s="25" t="s">
        <v>2027</v>
      </c>
      <c r="F818" s="53" t="s">
        <v>3812</v>
      </c>
      <c r="G818" s="28">
        <v>0</v>
      </c>
    </row>
    <row r="819" spans="1:7" x14ac:dyDescent="0.35">
      <c r="A819" s="22" t="s">
        <v>2549</v>
      </c>
      <c r="B819" s="22" t="s">
        <v>2550</v>
      </c>
      <c r="C819" s="26">
        <v>45900</v>
      </c>
      <c r="D819" s="25" t="s">
        <v>3405</v>
      </c>
      <c r="E819" s="25" t="s">
        <v>301</v>
      </c>
      <c r="F819" s="53" t="s">
        <v>3812</v>
      </c>
      <c r="G819" s="28">
        <v>0</v>
      </c>
    </row>
    <row r="820" spans="1:7" x14ac:dyDescent="0.35">
      <c r="A820" s="22" t="s">
        <v>2549</v>
      </c>
      <c r="B820" s="22" t="s">
        <v>2550</v>
      </c>
      <c r="C820" s="26">
        <v>45900</v>
      </c>
      <c r="D820" s="25">
        <v>36477</v>
      </c>
      <c r="E820" s="25" t="s">
        <v>301</v>
      </c>
      <c r="F820" s="53" t="s">
        <v>3812</v>
      </c>
      <c r="G820" s="28">
        <v>0</v>
      </c>
    </row>
    <row r="821" spans="1:7" x14ac:dyDescent="0.35">
      <c r="A821" s="22" t="s">
        <v>2549</v>
      </c>
      <c r="B821" s="22" t="s">
        <v>2550</v>
      </c>
      <c r="C821" s="26">
        <v>45900</v>
      </c>
      <c r="D821" s="25">
        <v>36478</v>
      </c>
      <c r="E821" s="25" t="s">
        <v>301</v>
      </c>
      <c r="F821" s="53" t="s">
        <v>3812</v>
      </c>
      <c r="G821" s="28">
        <v>0</v>
      </c>
    </row>
    <row r="822" spans="1:7" x14ac:dyDescent="0.35">
      <c r="A822" s="22" t="s">
        <v>2549</v>
      </c>
      <c r="B822" s="22" t="s">
        <v>2550</v>
      </c>
      <c r="C822" s="26">
        <v>45900</v>
      </c>
      <c r="D822" s="25">
        <v>36479</v>
      </c>
      <c r="E822" s="25" t="s">
        <v>301</v>
      </c>
      <c r="F822" s="53" t="s">
        <v>3812</v>
      </c>
      <c r="G822" s="28">
        <v>0</v>
      </c>
    </row>
    <row r="823" spans="1:7" x14ac:dyDescent="0.35">
      <c r="A823" s="22" t="s">
        <v>2549</v>
      </c>
      <c r="B823" s="22" t="s">
        <v>2550</v>
      </c>
      <c r="C823" s="26">
        <v>45900</v>
      </c>
      <c r="D823" s="25">
        <v>36509</v>
      </c>
      <c r="E823" s="25" t="s">
        <v>301</v>
      </c>
      <c r="F823" s="53" t="s">
        <v>3812</v>
      </c>
      <c r="G823" s="28">
        <v>0</v>
      </c>
    </row>
    <row r="824" spans="1:7" x14ac:dyDescent="0.35">
      <c r="A824" s="22" t="s">
        <v>2549</v>
      </c>
      <c r="B824" s="22" t="s">
        <v>2550</v>
      </c>
      <c r="C824" s="26">
        <v>45900</v>
      </c>
      <c r="D824" s="25">
        <v>36628</v>
      </c>
      <c r="E824" s="25" t="s">
        <v>301</v>
      </c>
      <c r="F824" s="53" t="s">
        <v>3812</v>
      </c>
      <c r="G824" s="28">
        <v>0</v>
      </c>
    </row>
    <row r="825" spans="1:7" x14ac:dyDescent="0.35">
      <c r="A825" s="22" t="s">
        <v>2549</v>
      </c>
      <c r="B825" s="22" t="s">
        <v>2550</v>
      </c>
      <c r="C825" s="26">
        <v>45900</v>
      </c>
      <c r="D825" s="25">
        <v>36643</v>
      </c>
      <c r="E825" s="25" t="s">
        <v>1757</v>
      </c>
      <c r="F825" s="53" t="s">
        <v>3812</v>
      </c>
      <c r="G825" s="28">
        <v>346.5</v>
      </c>
    </row>
    <row r="826" spans="1:7" x14ac:dyDescent="0.35">
      <c r="A826" s="22" t="s">
        <v>2549</v>
      </c>
      <c r="B826" s="22" t="s">
        <v>2550</v>
      </c>
      <c r="C826" s="26">
        <v>45900</v>
      </c>
      <c r="D826" s="25" t="s">
        <v>3406</v>
      </c>
      <c r="E826" s="25" t="s">
        <v>2429</v>
      </c>
      <c r="F826" s="53" t="s">
        <v>3812</v>
      </c>
      <c r="G826" s="28">
        <v>1271.3599999999999</v>
      </c>
    </row>
    <row r="827" spans="1:7" x14ac:dyDescent="0.35">
      <c r="A827" s="22" t="s">
        <v>2549</v>
      </c>
      <c r="B827" s="22" t="s">
        <v>2550</v>
      </c>
      <c r="C827" s="26">
        <v>45900</v>
      </c>
      <c r="D827" s="25" t="s">
        <v>3407</v>
      </c>
      <c r="E827" s="25" t="s">
        <v>2429</v>
      </c>
      <c r="F827" s="53" t="s">
        <v>3812</v>
      </c>
      <c r="G827" s="28">
        <v>54.3</v>
      </c>
    </row>
    <row r="828" spans="1:7" x14ac:dyDescent="0.35">
      <c r="A828" s="22" t="s">
        <v>2549</v>
      </c>
      <c r="B828" s="22" t="s">
        <v>2550</v>
      </c>
      <c r="C828" s="26">
        <v>45900</v>
      </c>
      <c r="D828" s="25" t="s">
        <v>3408</v>
      </c>
      <c r="E828" s="25" t="s">
        <v>1426</v>
      </c>
      <c r="F828" s="53" t="s">
        <v>3812</v>
      </c>
      <c r="G828" s="28">
        <v>16476.370000000003</v>
      </c>
    </row>
    <row r="829" spans="1:7" x14ac:dyDescent="0.35">
      <c r="A829" s="22" t="s">
        <v>2549</v>
      </c>
      <c r="B829" s="22" t="s">
        <v>2550</v>
      </c>
      <c r="C829" s="26">
        <v>45900</v>
      </c>
      <c r="D829" s="25" t="s">
        <v>3409</v>
      </c>
      <c r="E829" s="25" t="s">
        <v>1712</v>
      </c>
      <c r="F829" s="53" t="s">
        <v>3812</v>
      </c>
      <c r="G829" s="28">
        <v>5445</v>
      </c>
    </row>
    <row r="830" spans="1:7" x14ac:dyDescent="0.35">
      <c r="A830" s="22" t="s">
        <v>2549</v>
      </c>
      <c r="B830" s="22" t="s">
        <v>2550</v>
      </c>
      <c r="C830" s="26">
        <v>45900</v>
      </c>
      <c r="D830" s="25">
        <v>36928</v>
      </c>
      <c r="E830" s="25" t="s">
        <v>301</v>
      </c>
      <c r="F830" s="53" t="s">
        <v>3812</v>
      </c>
      <c r="G830" s="28">
        <v>0</v>
      </c>
    </row>
    <row r="831" spans="1:7" x14ac:dyDescent="0.35">
      <c r="A831" s="22" t="s">
        <v>2549</v>
      </c>
      <c r="B831" s="22" t="s">
        <v>2550</v>
      </c>
      <c r="C831" s="26">
        <v>45900</v>
      </c>
      <c r="D831" s="25" t="s">
        <v>3410</v>
      </c>
      <c r="E831" s="25" t="s">
        <v>3510</v>
      </c>
      <c r="F831" s="53" t="s">
        <v>3812</v>
      </c>
      <c r="G831" s="28">
        <v>191.36</v>
      </c>
    </row>
    <row r="832" spans="1:7" x14ac:dyDescent="0.35">
      <c r="A832" s="22" t="s">
        <v>2549</v>
      </c>
      <c r="B832" s="22" t="s">
        <v>2550</v>
      </c>
      <c r="C832" s="26">
        <v>45900</v>
      </c>
      <c r="D832" s="25" t="s">
        <v>3411</v>
      </c>
      <c r="E832" s="25" t="s">
        <v>992</v>
      </c>
      <c r="F832" s="53" t="s">
        <v>3812</v>
      </c>
      <c r="G832" s="28">
        <v>1014.75</v>
      </c>
    </row>
    <row r="833" spans="1:7" x14ac:dyDescent="0.35">
      <c r="A833" s="22" t="s">
        <v>2549</v>
      </c>
      <c r="B833" s="22" t="s">
        <v>2550</v>
      </c>
      <c r="C833" s="26">
        <v>45900</v>
      </c>
      <c r="D833" s="25" t="s">
        <v>3412</v>
      </c>
      <c r="E833" s="25" t="s">
        <v>1999</v>
      </c>
      <c r="F833" s="53" t="s">
        <v>3812</v>
      </c>
      <c r="G833" s="28">
        <v>64142.18</v>
      </c>
    </row>
    <row r="834" spans="1:7" x14ac:dyDescent="0.35">
      <c r="A834" s="22" t="s">
        <v>2549</v>
      </c>
      <c r="B834" s="22" t="s">
        <v>2550</v>
      </c>
      <c r="C834" s="26">
        <v>45900</v>
      </c>
      <c r="D834" s="25" t="s">
        <v>3413</v>
      </c>
      <c r="E834" s="25" t="s">
        <v>301</v>
      </c>
      <c r="F834" s="53" t="s">
        <v>3812</v>
      </c>
      <c r="G834" s="28">
        <v>0</v>
      </c>
    </row>
    <row r="835" spans="1:7" x14ac:dyDescent="0.35">
      <c r="A835" s="22" t="s">
        <v>2549</v>
      </c>
      <c r="B835" s="22" t="s">
        <v>2550</v>
      </c>
      <c r="C835" s="26">
        <v>45900</v>
      </c>
      <c r="D835" s="25" t="s">
        <v>3414</v>
      </c>
      <c r="E835" s="25" t="s">
        <v>301</v>
      </c>
      <c r="F835" s="53" t="s">
        <v>3812</v>
      </c>
      <c r="G835" s="28">
        <v>0</v>
      </c>
    </row>
    <row r="836" spans="1:7" x14ac:dyDescent="0.35">
      <c r="A836" s="22" t="s">
        <v>2549</v>
      </c>
      <c r="B836" s="22" t="s">
        <v>2550</v>
      </c>
      <c r="C836" s="26">
        <v>45900</v>
      </c>
      <c r="D836" s="25" t="s">
        <v>3415</v>
      </c>
      <c r="E836" s="25" t="s">
        <v>301</v>
      </c>
      <c r="F836" s="53" t="s">
        <v>3812</v>
      </c>
      <c r="G836" s="28">
        <v>0</v>
      </c>
    </row>
    <row r="837" spans="1:7" x14ac:dyDescent="0.35">
      <c r="A837" s="22" t="s">
        <v>2549</v>
      </c>
      <c r="B837" s="22" t="s">
        <v>2550</v>
      </c>
      <c r="C837" s="26">
        <v>45900</v>
      </c>
      <c r="D837" s="25" t="s">
        <v>3416</v>
      </c>
      <c r="E837" s="25" t="s">
        <v>301</v>
      </c>
      <c r="F837" s="53" t="s">
        <v>3812</v>
      </c>
      <c r="G837" s="28">
        <v>0</v>
      </c>
    </row>
    <row r="838" spans="1:7" x14ac:dyDescent="0.35">
      <c r="A838" s="22" t="s">
        <v>2549</v>
      </c>
      <c r="B838" s="22" t="s">
        <v>2550</v>
      </c>
      <c r="C838" s="26">
        <v>45900</v>
      </c>
      <c r="D838" s="25">
        <v>37354</v>
      </c>
      <c r="E838" s="25" t="s">
        <v>3511</v>
      </c>
      <c r="F838" s="53" t="s">
        <v>3812</v>
      </c>
      <c r="G838" s="28">
        <v>6882</v>
      </c>
    </row>
    <row r="839" spans="1:7" x14ac:dyDescent="0.35">
      <c r="A839" s="22" t="s">
        <v>2549</v>
      </c>
      <c r="B839" s="22" t="s">
        <v>2550</v>
      </c>
      <c r="C839" s="26">
        <v>45900</v>
      </c>
      <c r="D839" s="25" t="s">
        <v>3417</v>
      </c>
      <c r="E839" s="25" t="s">
        <v>2396</v>
      </c>
      <c r="F839" s="53" t="s">
        <v>3812</v>
      </c>
      <c r="G839" s="28">
        <v>0</v>
      </c>
    </row>
    <row r="840" spans="1:7" x14ac:dyDescent="0.35">
      <c r="A840" s="22" t="s">
        <v>2549</v>
      </c>
      <c r="B840" s="22" t="s">
        <v>2550</v>
      </c>
      <c r="C840" s="26">
        <v>45900</v>
      </c>
      <c r="D840" s="25" t="s">
        <v>3418</v>
      </c>
      <c r="E840" s="25" t="s">
        <v>1757</v>
      </c>
      <c r="F840" s="53" t="s">
        <v>3812</v>
      </c>
      <c r="G840" s="28">
        <v>2085.5700000000002</v>
      </c>
    </row>
    <row r="841" spans="1:7" x14ac:dyDescent="0.35">
      <c r="A841" s="22" t="s">
        <v>2549</v>
      </c>
      <c r="B841" s="22" t="s">
        <v>2550</v>
      </c>
      <c r="C841" s="26">
        <v>45900</v>
      </c>
      <c r="D841" s="25">
        <v>37625</v>
      </c>
      <c r="E841" s="25" t="s">
        <v>1280</v>
      </c>
      <c r="F841" s="53" t="s">
        <v>3812</v>
      </c>
      <c r="G841" s="28">
        <v>2450.48</v>
      </c>
    </row>
    <row r="842" spans="1:7" x14ac:dyDescent="0.35">
      <c r="A842" s="22" t="s">
        <v>2549</v>
      </c>
      <c r="B842" s="22" t="s">
        <v>2550</v>
      </c>
      <c r="C842" s="26">
        <v>45900</v>
      </c>
      <c r="D842" s="25" t="s">
        <v>3419</v>
      </c>
      <c r="E842" s="25" t="s">
        <v>1280</v>
      </c>
      <c r="F842" s="53" t="s">
        <v>3812</v>
      </c>
      <c r="G842" s="28">
        <v>2989.9700000000003</v>
      </c>
    </row>
    <row r="843" spans="1:7" x14ac:dyDescent="0.35">
      <c r="A843" s="22" t="s">
        <v>2549</v>
      </c>
      <c r="B843" s="22" t="s">
        <v>2550</v>
      </c>
      <c r="C843" s="26">
        <v>45900</v>
      </c>
      <c r="D843" s="25">
        <v>37644</v>
      </c>
      <c r="E843" s="25" t="s">
        <v>1280</v>
      </c>
      <c r="F843" s="53" t="s">
        <v>3812</v>
      </c>
      <c r="G843" s="28">
        <v>17455.420000000002</v>
      </c>
    </row>
    <row r="844" spans="1:7" x14ac:dyDescent="0.35">
      <c r="A844" s="22" t="s">
        <v>2549</v>
      </c>
      <c r="B844" s="22" t="s">
        <v>2550</v>
      </c>
      <c r="C844" s="26">
        <v>45900</v>
      </c>
      <c r="D844" s="25" t="s">
        <v>3420</v>
      </c>
      <c r="E844" s="25" t="s">
        <v>1280</v>
      </c>
      <c r="F844" s="53" t="s">
        <v>3812</v>
      </c>
      <c r="G844" s="28">
        <v>1963.93</v>
      </c>
    </row>
    <row r="845" spans="1:7" x14ac:dyDescent="0.35">
      <c r="A845" s="22" t="s">
        <v>2549</v>
      </c>
      <c r="B845" s="22" t="s">
        <v>2550</v>
      </c>
      <c r="C845" s="26">
        <v>45900</v>
      </c>
      <c r="D845" s="25" t="s">
        <v>3421</v>
      </c>
      <c r="E845" s="25" t="s">
        <v>1280</v>
      </c>
      <c r="F845" s="53" t="s">
        <v>3812</v>
      </c>
      <c r="G845" s="28">
        <v>2638.99</v>
      </c>
    </row>
    <row r="846" spans="1:7" x14ac:dyDescent="0.35">
      <c r="A846" s="22" t="s">
        <v>2549</v>
      </c>
      <c r="B846" s="22" t="s">
        <v>2550</v>
      </c>
      <c r="C846" s="26">
        <v>45900</v>
      </c>
      <c r="D846" s="25" t="s">
        <v>3422</v>
      </c>
      <c r="E846" s="25" t="s">
        <v>3491</v>
      </c>
      <c r="F846" s="53" t="s">
        <v>3812</v>
      </c>
      <c r="G846" s="28">
        <v>0</v>
      </c>
    </row>
    <row r="847" spans="1:7" x14ac:dyDescent="0.35">
      <c r="A847" s="22" t="s">
        <v>2549</v>
      </c>
      <c r="B847" s="22" t="s">
        <v>2550</v>
      </c>
      <c r="C847" s="26">
        <v>45900</v>
      </c>
      <c r="D847" s="25" t="s">
        <v>3423</v>
      </c>
      <c r="E847" s="25" t="s">
        <v>3491</v>
      </c>
      <c r="F847" s="53" t="s">
        <v>3812</v>
      </c>
      <c r="G847" s="28">
        <v>0</v>
      </c>
    </row>
    <row r="848" spans="1:7" x14ac:dyDescent="0.35">
      <c r="A848" s="22" t="s">
        <v>2549</v>
      </c>
      <c r="B848" s="22" t="s">
        <v>2550</v>
      </c>
      <c r="C848" s="26">
        <v>45900</v>
      </c>
      <c r="D848" s="25" t="s">
        <v>3424</v>
      </c>
      <c r="E848" s="25" t="s">
        <v>2313</v>
      </c>
      <c r="F848" s="53" t="s">
        <v>3812</v>
      </c>
      <c r="G848" s="28">
        <v>19528.2</v>
      </c>
    </row>
    <row r="849" spans="1:7" x14ac:dyDescent="0.35">
      <c r="A849" s="22" t="s">
        <v>2549</v>
      </c>
      <c r="B849" s="22" t="s">
        <v>2550</v>
      </c>
      <c r="C849" s="26">
        <v>45900</v>
      </c>
      <c r="D849" s="25" t="s">
        <v>3425</v>
      </c>
      <c r="E849" s="25" t="s">
        <v>2313</v>
      </c>
      <c r="F849" s="53" t="s">
        <v>3812</v>
      </c>
      <c r="G849" s="28">
        <v>6266.52</v>
      </c>
    </row>
    <row r="850" spans="1:7" x14ac:dyDescent="0.35">
      <c r="A850" s="22" t="s">
        <v>2549</v>
      </c>
      <c r="B850" s="22" t="s">
        <v>2550</v>
      </c>
      <c r="C850" s="26">
        <v>45900</v>
      </c>
      <c r="D850" s="25" t="s">
        <v>3426</v>
      </c>
      <c r="E850" s="25" t="s">
        <v>2313</v>
      </c>
      <c r="F850" s="53" t="s">
        <v>3812</v>
      </c>
      <c r="G850" s="28">
        <v>645.04999999999995</v>
      </c>
    </row>
    <row r="851" spans="1:7" x14ac:dyDescent="0.35">
      <c r="A851" s="22" t="s">
        <v>2549</v>
      </c>
      <c r="B851" s="22" t="s">
        <v>2550</v>
      </c>
      <c r="C851" s="26">
        <v>45900</v>
      </c>
      <c r="D851" s="25" t="s">
        <v>3427</v>
      </c>
      <c r="E851" s="25" t="s">
        <v>2313</v>
      </c>
      <c r="F851" s="53" t="s">
        <v>3812</v>
      </c>
      <c r="G851" s="28">
        <v>500</v>
      </c>
    </row>
    <row r="852" spans="1:7" x14ac:dyDescent="0.35">
      <c r="A852" s="22" t="s">
        <v>2549</v>
      </c>
      <c r="B852" s="22" t="s">
        <v>2550</v>
      </c>
      <c r="C852" s="26">
        <v>45900</v>
      </c>
      <c r="D852" s="25">
        <v>37776</v>
      </c>
      <c r="E852" s="25" t="s">
        <v>2313</v>
      </c>
      <c r="F852" s="53" t="s">
        <v>3812</v>
      </c>
      <c r="G852" s="28">
        <v>288</v>
      </c>
    </row>
    <row r="853" spans="1:7" x14ac:dyDescent="0.35">
      <c r="A853" s="22" t="s">
        <v>2549</v>
      </c>
      <c r="B853" s="22" t="s">
        <v>2550</v>
      </c>
      <c r="C853" s="26">
        <v>45900</v>
      </c>
      <c r="D853" s="25" t="s">
        <v>3428</v>
      </c>
      <c r="E853" s="25" t="s">
        <v>2313</v>
      </c>
      <c r="F853" s="53" t="s">
        <v>3812</v>
      </c>
      <c r="G853" s="28">
        <v>54.54</v>
      </c>
    </row>
    <row r="854" spans="1:7" x14ac:dyDescent="0.35">
      <c r="A854" s="22" t="s">
        <v>2549</v>
      </c>
      <c r="B854" s="22" t="s">
        <v>2550</v>
      </c>
      <c r="C854" s="26">
        <v>45900</v>
      </c>
      <c r="D854" s="25">
        <v>37903</v>
      </c>
      <c r="E854" s="25" t="s">
        <v>2144</v>
      </c>
      <c r="F854" s="53" t="s">
        <v>3812</v>
      </c>
      <c r="G854" s="28">
        <v>945</v>
      </c>
    </row>
    <row r="855" spans="1:7" x14ac:dyDescent="0.35">
      <c r="A855" s="22" t="s">
        <v>2549</v>
      </c>
      <c r="B855" s="22" t="s">
        <v>2550</v>
      </c>
      <c r="C855" s="26">
        <v>45900</v>
      </c>
      <c r="D855" s="25" t="s">
        <v>3429</v>
      </c>
      <c r="E855" s="25" t="s">
        <v>2144</v>
      </c>
      <c r="F855" s="53" t="s">
        <v>3812</v>
      </c>
      <c r="G855" s="28">
        <v>153267.85999999999</v>
      </c>
    </row>
    <row r="856" spans="1:7" x14ac:dyDescent="0.35">
      <c r="A856" s="22" t="s">
        <v>2549</v>
      </c>
      <c r="B856" s="22" t="s">
        <v>2550</v>
      </c>
      <c r="C856" s="26">
        <v>45900</v>
      </c>
      <c r="D856" s="25" t="s">
        <v>3430</v>
      </c>
      <c r="E856" s="25" t="s">
        <v>2220</v>
      </c>
      <c r="F856" s="53" t="s">
        <v>3812</v>
      </c>
      <c r="G856" s="28">
        <v>32292</v>
      </c>
    </row>
    <row r="857" spans="1:7" x14ac:dyDescent="0.35">
      <c r="A857" s="22" t="s">
        <v>2549</v>
      </c>
      <c r="B857" s="22" t="s">
        <v>2550</v>
      </c>
      <c r="C857" s="26">
        <v>45900</v>
      </c>
      <c r="D857" s="25" t="s">
        <v>3431</v>
      </c>
      <c r="E857" s="25" t="s">
        <v>2220</v>
      </c>
      <c r="F857" s="53" t="s">
        <v>3812</v>
      </c>
      <c r="G857" s="28">
        <v>0</v>
      </c>
    </row>
    <row r="858" spans="1:7" x14ac:dyDescent="0.35">
      <c r="A858" s="22" t="s">
        <v>2549</v>
      </c>
      <c r="B858" s="22" t="s">
        <v>2550</v>
      </c>
      <c r="C858" s="26">
        <v>45900</v>
      </c>
      <c r="D858" s="25" t="s">
        <v>3432</v>
      </c>
      <c r="E858" s="25" t="s">
        <v>2220</v>
      </c>
      <c r="F858" s="53" t="s">
        <v>3812</v>
      </c>
      <c r="G858" s="28">
        <v>6113.98</v>
      </c>
    </row>
    <row r="859" spans="1:7" x14ac:dyDescent="0.35">
      <c r="A859" s="22" t="s">
        <v>2549</v>
      </c>
      <c r="B859" s="22" t="s">
        <v>2550</v>
      </c>
      <c r="C859" s="26">
        <v>45900</v>
      </c>
      <c r="D859" s="25" t="s">
        <v>3433</v>
      </c>
      <c r="E859" s="25" t="s">
        <v>2220</v>
      </c>
      <c r="F859" s="53" t="s">
        <v>3812</v>
      </c>
      <c r="G859" s="28">
        <v>29035.5</v>
      </c>
    </row>
    <row r="860" spans="1:7" x14ac:dyDescent="0.35">
      <c r="A860" s="22" t="s">
        <v>2549</v>
      </c>
      <c r="B860" s="22" t="s">
        <v>2550</v>
      </c>
      <c r="C860" s="26">
        <v>45900</v>
      </c>
      <c r="D860" s="25" t="s">
        <v>3434</v>
      </c>
      <c r="E860" s="25" t="s">
        <v>2220</v>
      </c>
      <c r="F860" s="53" t="s">
        <v>3812</v>
      </c>
      <c r="G860" s="28">
        <v>0</v>
      </c>
    </row>
    <row r="861" spans="1:7" x14ac:dyDescent="0.35">
      <c r="A861" s="22" t="s">
        <v>2549</v>
      </c>
      <c r="B861" s="22" t="s">
        <v>2550</v>
      </c>
      <c r="C861" s="26">
        <v>45900</v>
      </c>
      <c r="D861" s="25" t="s">
        <v>3435</v>
      </c>
      <c r="E861" s="25" t="s">
        <v>2220</v>
      </c>
      <c r="F861" s="53" t="s">
        <v>3812</v>
      </c>
      <c r="G861" s="28">
        <v>70297.64</v>
      </c>
    </row>
    <row r="862" spans="1:7" x14ac:dyDescent="0.35">
      <c r="A862" s="22" t="s">
        <v>2549</v>
      </c>
      <c r="B862" s="22" t="s">
        <v>2550</v>
      </c>
      <c r="C862" s="26">
        <v>45900</v>
      </c>
      <c r="D862" s="25" t="s">
        <v>3436</v>
      </c>
      <c r="E862" s="25" t="s">
        <v>2220</v>
      </c>
      <c r="F862" s="53" t="s">
        <v>3812</v>
      </c>
      <c r="G862" s="28">
        <v>0</v>
      </c>
    </row>
    <row r="863" spans="1:7" x14ac:dyDescent="0.35">
      <c r="A863" s="22" t="s">
        <v>2549</v>
      </c>
      <c r="B863" s="22" t="s">
        <v>2550</v>
      </c>
      <c r="C863" s="26">
        <v>45900</v>
      </c>
      <c r="D863" s="25" t="s">
        <v>3437</v>
      </c>
      <c r="E863" s="25" t="s">
        <v>2220</v>
      </c>
      <c r="F863" s="53" t="s">
        <v>3812</v>
      </c>
      <c r="G863" s="28">
        <v>1199.97</v>
      </c>
    </row>
    <row r="864" spans="1:7" x14ac:dyDescent="0.35">
      <c r="A864" s="22" t="s">
        <v>2549</v>
      </c>
      <c r="B864" s="22" t="s">
        <v>2550</v>
      </c>
      <c r="C864" s="26">
        <v>45900</v>
      </c>
      <c r="D864" s="25" t="s">
        <v>3438</v>
      </c>
      <c r="E864" s="25" t="s">
        <v>2220</v>
      </c>
      <c r="F864" s="53" t="s">
        <v>3812</v>
      </c>
      <c r="G864" s="28">
        <v>4182.88</v>
      </c>
    </row>
    <row r="865" spans="1:7" x14ac:dyDescent="0.35">
      <c r="A865" s="22" t="s">
        <v>2549</v>
      </c>
      <c r="B865" s="22" t="s">
        <v>2550</v>
      </c>
      <c r="C865" s="26">
        <v>45900</v>
      </c>
      <c r="D865" s="25" t="s">
        <v>3439</v>
      </c>
      <c r="E865" s="25" t="s">
        <v>3512</v>
      </c>
      <c r="F865" s="53" t="s">
        <v>3812</v>
      </c>
      <c r="G865" s="28">
        <v>250</v>
      </c>
    </row>
    <row r="866" spans="1:7" x14ac:dyDescent="0.35">
      <c r="A866" s="22" t="s">
        <v>2549</v>
      </c>
      <c r="B866" s="22" t="s">
        <v>2550</v>
      </c>
      <c r="C866" s="26">
        <v>45900</v>
      </c>
      <c r="D866" s="25">
        <v>38055</v>
      </c>
      <c r="E866" s="25" t="s">
        <v>301</v>
      </c>
      <c r="F866" s="53" t="s">
        <v>3812</v>
      </c>
      <c r="G866" s="28">
        <v>0</v>
      </c>
    </row>
    <row r="867" spans="1:7" x14ac:dyDescent="0.35">
      <c r="A867" s="22" t="s">
        <v>2549</v>
      </c>
      <c r="B867" s="22" t="s">
        <v>2550</v>
      </c>
      <c r="C867" s="26">
        <v>45900</v>
      </c>
      <c r="D867" s="25" t="s">
        <v>3440</v>
      </c>
      <c r="E867" s="25" t="s">
        <v>2276</v>
      </c>
      <c r="F867" s="53" t="s">
        <v>3812</v>
      </c>
      <c r="G867" s="28">
        <v>4610.8999999999996</v>
      </c>
    </row>
    <row r="868" spans="1:7" x14ac:dyDescent="0.35">
      <c r="A868" s="22" t="s">
        <v>2549</v>
      </c>
      <c r="B868" s="22" t="s">
        <v>2550</v>
      </c>
      <c r="C868" s="26">
        <v>45900</v>
      </c>
      <c r="D868" s="25">
        <v>38172</v>
      </c>
      <c r="E868" s="25" t="s">
        <v>301</v>
      </c>
      <c r="F868" s="53" t="s">
        <v>3812</v>
      </c>
      <c r="G868" s="28">
        <v>0</v>
      </c>
    </row>
    <row r="869" spans="1:7" x14ac:dyDescent="0.35">
      <c r="A869" s="22" t="s">
        <v>2549</v>
      </c>
      <c r="B869" s="22" t="s">
        <v>2550</v>
      </c>
      <c r="C869" s="26">
        <v>45900</v>
      </c>
      <c r="D869" s="25" t="s">
        <v>3441</v>
      </c>
      <c r="E869" s="25" t="s">
        <v>301</v>
      </c>
      <c r="F869" s="53" t="s">
        <v>3812</v>
      </c>
      <c r="G869" s="28">
        <v>0</v>
      </c>
    </row>
    <row r="870" spans="1:7" x14ac:dyDescent="0.35">
      <c r="A870" s="22" t="s">
        <v>2549</v>
      </c>
      <c r="B870" s="22" t="s">
        <v>2550</v>
      </c>
      <c r="C870" s="26">
        <v>45900</v>
      </c>
      <c r="D870" s="25" t="s">
        <v>3442</v>
      </c>
      <c r="E870" s="25" t="s">
        <v>301</v>
      </c>
      <c r="F870" s="53" t="s">
        <v>3812</v>
      </c>
      <c r="G870" s="28">
        <v>0</v>
      </c>
    </row>
    <row r="871" spans="1:7" x14ac:dyDescent="0.35">
      <c r="A871" s="22" t="s">
        <v>2549</v>
      </c>
      <c r="B871" s="22" t="s">
        <v>2550</v>
      </c>
      <c r="C871" s="26">
        <v>45900</v>
      </c>
      <c r="D871" s="25" t="s">
        <v>3443</v>
      </c>
      <c r="E871" s="25" t="s">
        <v>301</v>
      </c>
      <c r="F871" s="53" t="s">
        <v>3812</v>
      </c>
      <c r="G871" s="28">
        <v>0</v>
      </c>
    </row>
    <row r="872" spans="1:7" x14ac:dyDescent="0.35">
      <c r="A872" s="22" t="s">
        <v>2549</v>
      </c>
      <c r="B872" s="22" t="s">
        <v>2550</v>
      </c>
      <c r="C872" s="26">
        <v>45900</v>
      </c>
      <c r="D872" s="25" t="s">
        <v>3444</v>
      </c>
      <c r="E872" s="25" t="s">
        <v>301</v>
      </c>
      <c r="F872" s="53" t="s">
        <v>3812</v>
      </c>
      <c r="G872" s="28">
        <v>0</v>
      </c>
    </row>
    <row r="873" spans="1:7" x14ac:dyDescent="0.35">
      <c r="A873" s="22" t="s">
        <v>2549</v>
      </c>
      <c r="B873" s="22" t="s">
        <v>2550</v>
      </c>
      <c r="C873" s="26">
        <v>45900</v>
      </c>
      <c r="D873" s="25">
        <v>38215</v>
      </c>
      <c r="E873" s="25" t="s">
        <v>3513</v>
      </c>
      <c r="F873" s="53" t="s">
        <v>3812</v>
      </c>
      <c r="G873" s="28">
        <v>7903.98</v>
      </c>
    </row>
    <row r="874" spans="1:7" x14ac:dyDescent="0.35">
      <c r="A874" s="22" t="s">
        <v>2549</v>
      </c>
      <c r="B874" s="22" t="s">
        <v>2550</v>
      </c>
      <c r="C874" s="26">
        <v>45900</v>
      </c>
      <c r="D874" s="25" t="s">
        <v>3445</v>
      </c>
      <c r="E874" s="25" t="s">
        <v>301</v>
      </c>
      <c r="F874" s="53" t="s">
        <v>3812</v>
      </c>
      <c r="G874" s="28">
        <v>0</v>
      </c>
    </row>
    <row r="875" spans="1:7" x14ac:dyDescent="0.35">
      <c r="A875" s="22" t="s">
        <v>2549</v>
      </c>
      <c r="B875" s="22" t="s">
        <v>2550</v>
      </c>
      <c r="C875" s="26">
        <v>45900</v>
      </c>
      <c r="D875" s="25" t="s">
        <v>3446</v>
      </c>
      <c r="E875" s="25" t="s">
        <v>301</v>
      </c>
      <c r="F875" s="53" t="s">
        <v>3812</v>
      </c>
      <c r="G875" s="28">
        <v>0</v>
      </c>
    </row>
    <row r="876" spans="1:7" x14ac:dyDescent="0.35">
      <c r="A876" s="22" t="s">
        <v>2549</v>
      </c>
      <c r="B876" s="22" t="s">
        <v>2550</v>
      </c>
      <c r="C876" s="26">
        <v>45900</v>
      </c>
      <c r="D876" s="25" t="s">
        <v>3447</v>
      </c>
      <c r="E876" s="25" t="s">
        <v>301</v>
      </c>
      <c r="F876" s="53" t="s">
        <v>3812</v>
      </c>
      <c r="G876" s="28">
        <v>0</v>
      </c>
    </row>
    <row r="877" spans="1:7" x14ac:dyDescent="0.35">
      <c r="A877" s="22" t="s">
        <v>2549</v>
      </c>
      <c r="B877" s="22" t="s">
        <v>2550</v>
      </c>
      <c r="C877" s="26">
        <v>45900</v>
      </c>
      <c r="D877" s="25" t="s">
        <v>3448</v>
      </c>
      <c r="E877" s="25" t="s">
        <v>301</v>
      </c>
      <c r="F877" s="53" t="s">
        <v>3812</v>
      </c>
      <c r="G877" s="28">
        <v>0</v>
      </c>
    </row>
    <row r="878" spans="1:7" x14ac:dyDescent="0.35">
      <c r="A878" s="22" t="s">
        <v>2549</v>
      </c>
      <c r="B878" s="22" t="s">
        <v>2550</v>
      </c>
      <c r="C878" s="26">
        <v>45900</v>
      </c>
      <c r="D878" s="25" t="s">
        <v>3449</v>
      </c>
      <c r="E878" s="25" t="s">
        <v>301</v>
      </c>
      <c r="F878" s="53" t="s">
        <v>3812</v>
      </c>
      <c r="G878" s="28">
        <v>0</v>
      </c>
    </row>
    <row r="879" spans="1:7" x14ac:dyDescent="0.35">
      <c r="A879" s="22" t="s">
        <v>2549</v>
      </c>
      <c r="B879" s="22" t="s">
        <v>2550</v>
      </c>
      <c r="C879" s="26">
        <v>45900</v>
      </c>
      <c r="D879" s="25">
        <v>38262</v>
      </c>
      <c r="E879" s="25" t="s">
        <v>2677</v>
      </c>
      <c r="F879" s="53" t="s">
        <v>3812</v>
      </c>
      <c r="G879" s="28">
        <v>2800.02</v>
      </c>
    </row>
    <row r="880" spans="1:7" x14ac:dyDescent="0.35">
      <c r="A880" s="22" t="s">
        <v>2549</v>
      </c>
      <c r="B880" s="22" t="s">
        <v>2550</v>
      </c>
      <c r="C880" s="26">
        <v>45900</v>
      </c>
      <c r="D880" s="25" t="s">
        <v>3450</v>
      </c>
      <c r="E880" s="25" t="s">
        <v>2677</v>
      </c>
      <c r="F880" s="53" t="s">
        <v>3812</v>
      </c>
      <c r="G880" s="28">
        <v>19600.199999999997</v>
      </c>
    </row>
    <row r="881" spans="1:7" x14ac:dyDescent="0.35">
      <c r="A881" s="22" t="s">
        <v>2549</v>
      </c>
      <c r="B881" s="22" t="s">
        <v>2550</v>
      </c>
      <c r="C881" s="26">
        <v>45900</v>
      </c>
      <c r="D881" s="25">
        <v>38267</v>
      </c>
      <c r="E881" s="25" t="s">
        <v>2677</v>
      </c>
      <c r="F881" s="53" t="s">
        <v>3812</v>
      </c>
      <c r="G881" s="28">
        <v>7385.8899999999994</v>
      </c>
    </row>
    <row r="882" spans="1:7" x14ac:dyDescent="0.35">
      <c r="A882" s="22" t="s">
        <v>2549</v>
      </c>
      <c r="B882" s="22" t="s">
        <v>2550</v>
      </c>
      <c r="C882" s="26">
        <v>45900</v>
      </c>
      <c r="D882" s="25">
        <v>38317</v>
      </c>
      <c r="E882" s="25" t="s">
        <v>3514</v>
      </c>
      <c r="F882" s="53" t="s">
        <v>3812</v>
      </c>
      <c r="G882" s="28">
        <v>43245.59</v>
      </c>
    </row>
    <row r="883" spans="1:7" x14ac:dyDescent="0.35">
      <c r="A883" s="22" t="s">
        <v>2549</v>
      </c>
      <c r="B883" s="22" t="s">
        <v>2550</v>
      </c>
      <c r="C883" s="26">
        <v>45900</v>
      </c>
      <c r="D883" s="25" t="s">
        <v>3451</v>
      </c>
      <c r="E883" s="25" t="s">
        <v>2079</v>
      </c>
      <c r="F883" s="53" t="s">
        <v>3812</v>
      </c>
      <c r="G883" s="28">
        <v>747.5</v>
      </c>
    </row>
    <row r="884" spans="1:7" x14ac:dyDescent="0.35">
      <c r="A884" s="22" t="s">
        <v>2549</v>
      </c>
      <c r="B884" s="22" t="s">
        <v>2550</v>
      </c>
      <c r="C884" s="26">
        <v>45900</v>
      </c>
      <c r="D884" s="25" t="s">
        <v>3453</v>
      </c>
      <c r="E884" s="25" t="s">
        <v>2079</v>
      </c>
      <c r="F884" s="53" t="s">
        <v>3812</v>
      </c>
      <c r="G884" s="28">
        <v>813.28</v>
      </c>
    </row>
    <row r="885" spans="1:7" x14ac:dyDescent="0.35">
      <c r="A885" s="22" t="s">
        <v>2549</v>
      </c>
      <c r="B885" s="22" t="s">
        <v>2550</v>
      </c>
      <c r="C885" s="26">
        <v>45900</v>
      </c>
      <c r="D885" s="25">
        <v>38407</v>
      </c>
      <c r="E885" s="25" t="s">
        <v>2220</v>
      </c>
      <c r="F885" s="53" t="s">
        <v>3812</v>
      </c>
      <c r="G885" s="28">
        <v>0</v>
      </c>
    </row>
    <row r="886" spans="1:7" x14ac:dyDescent="0.35">
      <c r="A886" s="22" t="s">
        <v>2549</v>
      </c>
      <c r="B886" s="22" t="s">
        <v>2550</v>
      </c>
      <c r="C886" s="26">
        <v>45900</v>
      </c>
      <c r="D886" s="25">
        <v>38473</v>
      </c>
      <c r="E886" s="25" t="s">
        <v>1637</v>
      </c>
      <c r="F886" s="53" t="s">
        <v>3812</v>
      </c>
      <c r="G886" s="28">
        <v>17076.490000000002</v>
      </c>
    </row>
    <row r="887" spans="1:7" x14ac:dyDescent="0.35">
      <c r="A887" s="22" t="s">
        <v>2549</v>
      </c>
      <c r="B887" s="22" t="s">
        <v>2550</v>
      </c>
      <c r="C887" s="26">
        <v>45900</v>
      </c>
      <c r="D887" s="25" t="s">
        <v>3454</v>
      </c>
      <c r="E887" s="25" t="s">
        <v>301</v>
      </c>
      <c r="F887" s="53" t="s">
        <v>3812</v>
      </c>
      <c r="G887" s="28">
        <v>0</v>
      </c>
    </row>
    <row r="888" spans="1:7" x14ac:dyDescent="0.35">
      <c r="A888" s="22" t="s">
        <v>2549</v>
      </c>
      <c r="B888" s="22" t="s">
        <v>2550</v>
      </c>
      <c r="C888" s="26">
        <v>45900</v>
      </c>
      <c r="D888" s="25" t="s">
        <v>3455</v>
      </c>
      <c r="E888" s="25" t="s">
        <v>3515</v>
      </c>
      <c r="F888" s="53" t="s">
        <v>3812</v>
      </c>
      <c r="G888" s="28">
        <v>0</v>
      </c>
    </row>
    <row r="889" spans="1:7" x14ac:dyDescent="0.35">
      <c r="A889" s="22" t="s">
        <v>2549</v>
      </c>
      <c r="B889" s="22" t="s">
        <v>2550</v>
      </c>
      <c r="C889" s="26">
        <v>45900</v>
      </c>
      <c r="D889" s="25" t="s">
        <v>3456</v>
      </c>
      <c r="E889" s="25" t="s">
        <v>3516</v>
      </c>
      <c r="F889" s="53" t="s">
        <v>3812</v>
      </c>
      <c r="G889" s="28">
        <v>523.35</v>
      </c>
    </row>
    <row r="890" spans="1:7" x14ac:dyDescent="0.35">
      <c r="A890" s="22" t="s">
        <v>2549</v>
      </c>
      <c r="B890" s="22" t="s">
        <v>2550</v>
      </c>
      <c r="C890" s="26">
        <v>45900</v>
      </c>
      <c r="D890" s="25" t="s">
        <v>3457</v>
      </c>
      <c r="E890" s="25" t="s">
        <v>3517</v>
      </c>
      <c r="F890" s="53" t="s">
        <v>3812</v>
      </c>
      <c r="G890" s="28">
        <v>14924.64</v>
      </c>
    </row>
    <row r="891" spans="1:7" x14ac:dyDescent="0.35">
      <c r="A891" s="22" t="s">
        <v>2549</v>
      </c>
      <c r="B891" s="22" t="s">
        <v>2550</v>
      </c>
      <c r="C891" s="26">
        <v>45900</v>
      </c>
      <c r="D891" s="25">
        <v>38527</v>
      </c>
      <c r="E891" s="25" t="s">
        <v>3518</v>
      </c>
      <c r="F891" s="53" t="s">
        <v>3812</v>
      </c>
      <c r="G891" s="28">
        <v>2040</v>
      </c>
    </row>
    <row r="892" spans="1:7" x14ac:dyDescent="0.35">
      <c r="A892" s="22" t="s">
        <v>2549</v>
      </c>
      <c r="B892" s="22" t="s">
        <v>2550</v>
      </c>
      <c r="C892" s="26">
        <v>45900</v>
      </c>
      <c r="D892" s="25" t="s">
        <v>3458</v>
      </c>
      <c r="E892" s="25" t="s">
        <v>1920</v>
      </c>
      <c r="F892" s="53" t="s">
        <v>3812</v>
      </c>
      <c r="G892" s="28">
        <v>0</v>
      </c>
    </row>
    <row r="893" spans="1:7" x14ac:dyDescent="0.35">
      <c r="A893" s="22" t="s">
        <v>2549</v>
      </c>
      <c r="B893" s="22" t="s">
        <v>2550</v>
      </c>
      <c r="C893" s="26">
        <v>45900</v>
      </c>
      <c r="D893" s="25" t="s">
        <v>3459</v>
      </c>
      <c r="E893" s="25" t="s">
        <v>1920</v>
      </c>
      <c r="F893" s="53" t="s">
        <v>3812</v>
      </c>
      <c r="G893" s="28">
        <v>0</v>
      </c>
    </row>
    <row r="894" spans="1:7" x14ac:dyDescent="0.35">
      <c r="A894" s="22" t="s">
        <v>2549</v>
      </c>
      <c r="B894" s="22" t="s">
        <v>2550</v>
      </c>
      <c r="C894" s="26">
        <v>45900</v>
      </c>
      <c r="D894" s="25" t="s">
        <v>3460</v>
      </c>
      <c r="E894" s="25" t="s">
        <v>1920</v>
      </c>
      <c r="F894" s="53" t="s">
        <v>3812</v>
      </c>
      <c r="G894" s="28">
        <v>0</v>
      </c>
    </row>
    <row r="895" spans="1:7" x14ac:dyDescent="0.35">
      <c r="A895" s="22" t="s">
        <v>2549</v>
      </c>
      <c r="B895" s="22" t="s">
        <v>2550</v>
      </c>
      <c r="C895" s="26">
        <v>45900</v>
      </c>
      <c r="D895" s="25">
        <v>38553</v>
      </c>
      <c r="E895" s="25" t="s">
        <v>301</v>
      </c>
      <c r="F895" s="53" t="s">
        <v>3812</v>
      </c>
      <c r="G895" s="28">
        <v>0</v>
      </c>
    </row>
    <row r="896" spans="1:7" x14ac:dyDescent="0.35">
      <c r="A896" s="22" t="s">
        <v>2549</v>
      </c>
      <c r="B896" s="22" t="s">
        <v>2550</v>
      </c>
      <c r="C896" s="26">
        <v>45900</v>
      </c>
      <c r="D896" s="25" t="s">
        <v>3461</v>
      </c>
      <c r="E896" s="25" t="s">
        <v>301</v>
      </c>
      <c r="F896" s="53" t="s">
        <v>3812</v>
      </c>
      <c r="G896" s="28">
        <v>0</v>
      </c>
    </row>
    <row r="897" spans="1:7" x14ac:dyDescent="0.35">
      <c r="A897" s="22" t="s">
        <v>2549</v>
      </c>
      <c r="B897" s="22" t="s">
        <v>2550</v>
      </c>
      <c r="C897" s="26">
        <v>45900</v>
      </c>
      <c r="D897" s="25">
        <v>38557</v>
      </c>
      <c r="E897" s="25" t="s">
        <v>301</v>
      </c>
      <c r="F897" s="53" t="s">
        <v>3812</v>
      </c>
      <c r="G897" s="28">
        <v>1981.1000000000001</v>
      </c>
    </row>
    <row r="898" spans="1:7" x14ac:dyDescent="0.35">
      <c r="A898" s="22" t="s">
        <v>2549</v>
      </c>
      <c r="B898" s="22" t="s">
        <v>2550</v>
      </c>
      <c r="C898" s="26">
        <v>45900</v>
      </c>
      <c r="D898" s="25">
        <v>38603</v>
      </c>
      <c r="E898" s="25" t="s">
        <v>3519</v>
      </c>
      <c r="F898" s="53" t="s">
        <v>3812</v>
      </c>
      <c r="G898" s="28">
        <v>1025.79</v>
      </c>
    </row>
    <row r="899" spans="1:7" x14ac:dyDescent="0.35">
      <c r="A899" s="22" t="s">
        <v>2549</v>
      </c>
      <c r="B899" s="22" t="s">
        <v>2550</v>
      </c>
      <c r="C899" s="26">
        <v>45900</v>
      </c>
      <c r="D899" s="25" t="s">
        <v>3462</v>
      </c>
      <c r="E899" s="25" t="s">
        <v>1484</v>
      </c>
      <c r="F899" s="53" t="s">
        <v>3812</v>
      </c>
      <c r="G899" s="28">
        <v>900</v>
      </c>
    </row>
    <row r="900" spans="1:7" x14ac:dyDescent="0.35">
      <c r="A900" s="22" t="s">
        <v>2549</v>
      </c>
      <c r="B900" s="22" t="s">
        <v>2550</v>
      </c>
      <c r="C900" s="26">
        <v>45900</v>
      </c>
      <c r="D900" s="25">
        <v>38607</v>
      </c>
      <c r="E900" s="25" t="s">
        <v>3514</v>
      </c>
      <c r="F900" s="53" t="s">
        <v>3812</v>
      </c>
      <c r="G900" s="28">
        <v>4616.5</v>
      </c>
    </row>
    <row r="901" spans="1:7" x14ac:dyDescent="0.35">
      <c r="A901" s="22" t="s">
        <v>2549</v>
      </c>
      <c r="B901" s="22" t="s">
        <v>2550</v>
      </c>
      <c r="C901" s="26">
        <v>45900</v>
      </c>
      <c r="D901" s="25">
        <v>38621</v>
      </c>
      <c r="E901" s="25" t="s">
        <v>2459</v>
      </c>
      <c r="F901" s="53" t="s">
        <v>3812</v>
      </c>
      <c r="G901" s="28">
        <v>18109.689999999999</v>
      </c>
    </row>
    <row r="902" spans="1:7" x14ac:dyDescent="0.35">
      <c r="A902" s="22" t="s">
        <v>2549</v>
      </c>
      <c r="B902" s="22" t="s">
        <v>2550</v>
      </c>
      <c r="C902" s="26">
        <v>45900</v>
      </c>
      <c r="D902" s="25">
        <v>38627</v>
      </c>
      <c r="E902" s="25" t="s">
        <v>2144</v>
      </c>
      <c r="F902" s="53" t="s">
        <v>3812</v>
      </c>
      <c r="G902" s="28">
        <v>3668.16</v>
      </c>
    </row>
    <row r="903" spans="1:7" x14ac:dyDescent="0.35">
      <c r="A903" s="22" t="s">
        <v>2549</v>
      </c>
      <c r="B903" s="22" t="s">
        <v>2550</v>
      </c>
      <c r="C903" s="26">
        <v>45900</v>
      </c>
      <c r="D903" s="25">
        <v>38636</v>
      </c>
      <c r="E903" s="25" t="s">
        <v>3494</v>
      </c>
      <c r="F903" s="53" t="s">
        <v>3812</v>
      </c>
      <c r="G903" s="28">
        <v>6920</v>
      </c>
    </row>
    <row r="904" spans="1:7" x14ac:dyDescent="0.35">
      <c r="A904" s="22" t="s">
        <v>2549</v>
      </c>
      <c r="B904" s="22" t="s">
        <v>2550</v>
      </c>
      <c r="C904" s="26">
        <v>45900</v>
      </c>
      <c r="D904" s="25">
        <v>38670</v>
      </c>
      <c r="E904" s="25" t="s">
        <v>2386</v>
      </c>
      <c r="F904" s="53" t="s">
        <v>3812</v>
      </c>
      <c r="G904" s="28">
        <v>157976</v>
      </c>
    </row>
    <row r="905" spans="1:7" x14ac:dyDescent="0.35">
      <c r="A905" s="22" t="s">
        <v>2549</v>
      </c>
      <c r="B905" s="22" t="s">
        <v>2550</v>
      </c>
      <c r="C905" s="26">
        <v>45900</v>
      </c>
      <c r="D905" s="25">
        <v>38671</v>
      </c>
      <c r="E905" s="25" t="s">
        <v>2220</v>
      </c>
      <c r="F905" s="53" t="s">
        <v>3812</v>
      </c>
      <c r="G905" s="28">
        <v>28395.789999999997</v>
      </c>
    </row>
    <row r="906" spans="1:7" x14ac:dyDescent="0.35">
      <c r="A906" s="22" t="s">
        <v>2549</v>
      </c>
      <c r="B906" s="22" t="s">
        <v>2550</v>
      </c>
      <c r="C906" s="26">
        <v>45900</v>
      </c>
      <c r="D906" s="25" t="s">
        <v>3463</v>
      </c>
      <c r="E906" s="25" t="s">
        <v>2220</v>
      </c>
      <c r="F906" s="53" t="s">
        <v>3812</v>
      </c>
      <c r="G906" s="28">
        <v>57659.76</v>
      </c>
    </row>
    <row r="907" spans="1:7" x14ac:dyDescent="0.35">
      <c r="A907" s="22" t="s">
        <v>2549</v>
      </c>
      <c r="B907" s="22" t="s">
        <v>2550</v>
      </c>
      <c r="C907" s="26">
        <v>45900</v>
      </c>
      <c r="D907" s="25">
        <v>38674</v>
      </c>
      <c r="E907" s="25" t="s">
        <v>3520</v>
      </c>
      <c r="F907" s="53" t="s">
        <v>3812</v>
      </c>
      <c r="G907" s="28">
        <v>151</v>
      </c>
    </row>
    <row r="908" spans="1:7" x14ac:dyDescent="0.35">
      <c r="A908" s="22" t="s">
        <v>2549</v>
      </c>
      <c r="B908" s="22" t="s">
        <v>2550</v>
      </c>
      <c r="C908" s="26">
        <v>45900</v>
      </c>
      <c r="D908" s="25">
        <v>38701</v>
      </c>
      <c r="E908" s="25" t="s">
        <v>3502</v>
      </c>
      <c r="F908" s="53" t="s">
        <v>3812</v>
      </c>
      <c r="G908" s="28">
        <v>634.73</v>
      </c>
    </row>
    <row r="909" spans="1:7" x14ac:dyDescent="0.35">
      <c r="A909" s="22" t="s">
        <v>2549</v>
      </c>
      <c r="B909" s="22" t="s">
        <v>2550</v>
      </c>
      <c r="C909" s="26">
        <v>45900</v>
      </c>
      <c r="D909" s="25">
        <v>38718</v>
      </c>
      <c r="E909" s="25" t="s">
        <v>3521</v>
      </c>
      <c r="F909" s="53" t="s">
        <v>3812</v>
      </c>
      <c r="G909" s="28">
        <v>1247.75</v>
      </c>
    </row>
    <row r="910" spans="1:7" x14ac:dyDescent="0.35">
      <c r="A910" s="22" t="s">
        <v>2549</v>
      </c>
      <c r="B910" s="22" t="s">
        <v>2550</v>
      </c>
      <c r="C910" s="26">
        <v>45900</v>
      </c>
      <c r="D910" s="25">
        <v>38721</v>
      </c>
      <c r="E910" s="25" t="s">
        <v>3522</v>
      </c>
      <c r="F910" s="53" t="s">
        <v>3812</v>
      </c>
      <c r="G910" s="28">
        <v>200</v>
      </c>
    </row>
    <row r="911" spans="1:7" x14ac:dyDescent="0.35">
      <c r="A911" s="22" t="s">
        <v>2549</v>
      </c>
      <c r="B911" s="22" t="s">
        <v>2550</v>
      </c>
      <c r="C911" s="26">
        <v>45900</v>
      </c>
      <c r="D911" s="25">
        <v>38726</v>
      </c>
      <c r="E911" s="25" t="s">
        <v>3523</v>
      </c>
      <c r="F911" s="53" t="s">
        <v>3812</v>
      </c>
      <c r="G911" s="28">
        <v>1800</v>
      </c>
    </row>
    <row r="912" spans="1:7" x14ac:dyDescent="0.35">
      <c r="A912" s="22" t="s">
        <v>2549</v>
      </c>
      <c r="B912" s="22" t="s">
        <v>2550</v>
      </c>
      <c r="C912" s="26">
        <v>45900</v>
      </c>
      <c r="D912" s="25" t="s">
        <v>3464</v>
      </c>
      <c r="E912" s="25" t="s">
        <v>3524</v>
      </c>
      <c r="F912" s="53" t="s">
        <v>3812</v>
      </c>
      <c r="G912" s="28">
        <v>433.65</v>
      </c>
    </row>
    <row r="913" spans="1:7" x14ac:dyDescent="0.35">
      <c r="A913" s="22" t="s">
        <v>2549</v>
      </c>
      <c r="B913" s="22" t="s">
        <v>2550</v>
      </c>
      <c r="C913" s="26">
        <v>45900</v>
      </c>
      <c r="D913" s="25">
        <v>38744</v>
      </c>
      <c r="E913" s="25" t="s">
        <v>3525</v>
      </c>
      <c r="F913" s="53" t="s">
        <v>3812</v>
      </c>
      <c r="G913" s="28">
        <v>1900.32</v>
      </c>
    </row>
    <row r="914" spans="1:7" x14ac:dyDescent="0.35">
      <c r="A914" s="22" t="s">
        <v>2549</v>
      </c>
      <c r="B914" s="22" t="s">
        <v>2550</v>
      </c>
      <c r="C914" s="26">
        <v>45900</v>
      </c>
      <c r="D914" s="25">
        <v>38749</v>
      </c>
      <c r="E914" s="25" t="s">
        <v>2480</v>
      </c>
      <c r="F914" s="53" t="s">
        <v>3812</v>
      </c>
      <c r="G914" s="28">
        <v>0</v>
      </c>
    </row>
    <row r="915" spans="1:7" x14ac:dyDescent="0.35">
      <c r="A915" s="22" t="s">
        <v>2549</v>
      </c>
      <c r="B915" s="22" t="s">
        <v>2550</v>
      </c>
      <c r="C915" s="26">
        <v>45900</v>
      </c>
      <c r="D915" s="25">
        <v>38758</v>
      </c>
      <c r="E915" s="25" t="s">
        <v>3475</v>
      </c>
      <c r="F915" s="53" t="s">
        <v>3812</v>
      </c>
      <c r="G915" s="28">
        <v>328.57</v>
      </c>
    </row>
    <row r="916" spans="1:7" x14ac:dyDescent="0.35">
      <c r="A916" s="22" t="s">
        <v>2549</v>
      </c>
      <c r="B916" s="22" t="s">
        <v>2550</v>
      </c>
      <c r="C916" s="26">
        <v>45900</v>
      </c>
      <c r="D916" s="25">
        <v>38785</v>
      </c>
      <c r="E916" s="25" t="s">
        <v>3526</v>
      </c>
      <c r="F916" s="53" t="s">
        <v>3812</v>
      </c>
      <c r="G916" s="28">
        <v>2604</v>
      </c>
    </row>
    <row r="917" spans="1:7" x14ac:dyDescent="0.35">
      <c r="A917" s="22" t="s">
        <v>2549</v>
      </c>
      <c r="B917" s="22" t="s">
        <v>2550</v>
      </c>
      <c r="C917" s="26">
        <v>45900</v>
      </c>
      <c r="D917" s="25">
        <v>38793</v>
      </c>
      <c r="E917" s="25" t="s">
        <v>2189</v>
      </c>
      <c r="F917" s="53" t="s">
        <v>3812</v>
      </c>
      <c r="G917" s="28">
        <v>200</v>
      </c>
    </row>
    <row r="918" spans="1:7" x14ac:dyDescent="0.35">
      <c r="A918" s="22" t="s">
        <v>2549</v>
      </c>
      <c r="B918" s="22" t="s">
        <v>2550</v>
      </c>
      <c r="C918" s="26">
        <v>45900</v>
      </c>
      <c r="D918" s="25">
        <v>38795</v>
      </c>
      <c r="E918" s="25" t="s">
        <v>3527</v>
      </c>
      <c r="F918" s="53" t="s">
        <v>3812</v>
      </c>
      <c r="G918" s="28">
        <v>162.78</v>
      </c>
    </row>
    <row r="919" spans="1:7" x14ac:dyDescent="0.35">
      <c r="A919" s="22" t="s">
        <v>2549</v>
      </c>
      <c r="B919" s="22" t="s">
        <v>2550</v>
      </c>
      <c r="C919" s="26">
        <v>45900</v>
      </c>
      <c r="D919" s="25">
        <v>38796</v>
      </c>
      <c r="E919" s="25" t="s">
        <v>3528</v>
      </c>
      <c r="F919" s="53" t="s">
        <v>3812</v>
      </c>
      <c r="G919" s="28">
        <v>465</v>
      </c>
    </row>
    <row r="920" spans="1:7" x14ac:dyDescent="0.35">
      <c r="A920" s="22" t="s">
        <v>2549</v>
      </c>
      <c r="B920" s="22" t="s">
        <v>2550</v>
      </c>
      <c r="C920" s="26">
        <v>45900</v>
      </c>
      <c r="D920" s="25">
        <v>38799</v>
      </c>
      <c r="E920" s="25" t="s">
        <v>3529</v>
      </c>
      <c r="F920" s="53" t="s">
        <v>3812</v>
      </c>
      <c r="G920" s="28">
        <v>2740</v>
      </c>
    </row>
    <row r="921" spans="1:7" x14ac:dyDescent="0.35">
      <c r="A921" s="22" t="s">
        <v>2549</v>
      </c>
      <c r="B921" s="22" t="s">
        <v>2550</v>
      </c>
      <c r="C921" s="26">
        <v>45900</v>
      </c>
      <c r="D921" s="25">
        <v>38800</v>
      </c>
      <c r="E921" s="25" t="s">
        <v>3530</v>
      </c>
      <c r="F921" s="53" t="s">
        <v>3812</v>
      </c>
      <c r="G921" s="28">
        <v>15750</v>
      </c>
    </row>
    <row r="922" spans="1:7" x14ac:dyDescent="0.35">
      <c r="A922" s="22" t="s">
        <v>2549</v>
      </c>
      <c r="B922" s="22" t="s">
        <v>2550</v>
      </c>
      <c r="C922" s="26">
        <v>45900</v>
      </c>
      <c r="D922" s="25">
        <v>38801</v>
      </c>
      <c r="E922" s="25" t="s">
        <v>3531</v>
      </c>
      <c r="F922" s="53" t="s">
        <v>3812</v>
      </c>
      <c r="G922" s="28">
        <v>900</v>
      </c>
    </row>
    <row r="923" spans="1:7" x14ac:dyDescent="0.35">
      <c r="A923" s="22" t="s">
        <v>2549</v>
      </c>
      <c r="B923" s="22" t="s">
        <v>2550</v>
      </c>
      <c r="C923" s="26">
        <v>45900</v>
      </c>
      <c r="D923" s="25">
        <v>38803</v>
      </c>
      <c r="E923" s="25" t="s">
        <v>3532</v>
      </c>
      <c r="F923" s="53" t="s">
        <v>3812</v>
      </c>
      <c r="G923" s="28">
        <v>3216</v>
      </c>
    </row>
    <row r="924" spans="1:7" x14ac:dyDescent="0.35">
      <c r="A924" s="22" t="s">
        <v>2549</v>
      </c>
      <c r="B924" s="22" t="s">
        <v>2550</v>
      </c>
      <c r="C924" s="26">
        <v>45900</v>
      </c>
      <c r="D924" s="25" t="s">
        <v>3465</v>
      </c>
      <c r="E924" s="25" t="s">
        <v>3533</v>
      </c>
      <c r="F924" s="53" t="s">
        <v>3812</v>
      </c>
      <c r="G924" s="28">
        <v>0.06</v>
      </c>
    </row>
    <row r="925" spans="1:7" x14ac:dyDescent="0.35">
      <c r="A925" s="22" t="s">
        <v>2549</v>
      </c>
      <c r="B925" s="22" t="s">
        <v>2550</v>
      </c>
      <c r="C925" s="26">
        <v>45900</v>
      </c>
      <c r="D925" s="25">
        <v>38809</v>
      </c>
      <c r="E925" s="25" t="s">
        <v>3534</v>
      </c>
      <c r="F925" s="53" t="s">
        <v>3812</v>
      </c>
      <c r="G925" s="28">
        <v>7476.6999999999989</v>
      </c>
    </row>
    <row r="926" spans="1:7" x14ac:dyDescent="0.35">
      <c r="A926" s="22" t="s">
        <v>2549</v>
      </c>
      <c r="B926" s="22" t="s">
        <v>2550</v>
      </c>
      <c r="C926" s="26">
        <v>45900</v>
      </c>
      <c r="D926" s="25">
        <v>38815</v>
      </c>
      <c r="E926" s="25" t="s">
        <v>3535</v>
      </c>
      <c r="F926" s="53" t="s">
        <v>3812</v>
      </c>
      <c r="G926" s="28">
        <v>1708</v>
      </c>
    </row>
    <row r="927" spans="1:7" x14ac:dyDescent="0.35">
      <c r="A927" s="22" t="s">
        <v>2549</v>
      </c>
      <c r="B927" s="22" t="s">
        <v>2550</v>
      </c>
      <c r="C927" s="26">
        <v>45900</v>
      </c>
      <c r="D927" s="25">
        <v>38818</v>
      </c>
      <c r="E927" s="25" t="s">
        <v>3536</v>
      </c>
      <c r="F927" s="53" t="s">
        <v>3812</v>
      </c>
      <c r="G927" s="28">
        <v>775</v>
      </c>
    </row>
    <row r="928" spans="1:7" x14ac:dyDescent="0.35">
      <c r="A928" s="22" t="s">
        <v>2549</v>
      </c>
      <c r="B928" s="22" t="s">
        <v>2550</v>
      </c>
      <c r="C928" s="26">
        <v>45900</v>
      </c>
      <c r="D928" s="25">
        <v>38820</v>
      </c>
      <c r="E928" s="25" t="s">
        <v>3537</v>
      </c>
      <c r="F928" s="53" t="s">
        <v>3812</v>
      </c>
      <c r="G928" s="28">
        <v>102500.28000000001</v>
      </c>
    </row>
    <row r="929" spans="1:7" x14ac:dyDescent="0.35">
      <c r="A929" s="22" t="s">
        <v>2549</v>
      </c>
      <c r="B929" s="22" t="s">
        <v>2550</v>
      </c>
      <c r="C929" s="26">
        <v>45900</v>
      </c>
      <c r="D929" s="25" t="s">
        <v>3466</v>
      </c>
      <c r="E929" s="25" t="s">
        <v>3537</v>
      </c>
      <c r="F929" s="53" t="s">
        <v>3812</v>
      </c>
      <c r="G929" s="28">
        <v>0</v>
      </c>
    </row>
    <row r="930" spans="1:7" x14ac:dyDescent="0.35">
      <c r="A930" s="22" t="s">
        <v>2549</v>
      </c>
      <c r="B930" s="22" t="s">
        <v>2550</v>
      </c>
      <c r="C930" s="26">
        <v>45900</v>
      </c>
      <c r="D930" s="25" t="s">
        <v>3467</v>
      </c>
      <c r="E930" s="25" t="s">
        <v>3537</v>
      </c>
      <c r="F930" s="53" t="s">
        <v>3812</v>
      </c>
      <c r="G930" s="28">
        <v>403.22</v>
      </c>
    </row>
    <row r="931" spans="1:7" x14ac:dyDescent="0.35">
      <c r="A931" s="22" t="s">
        <v>2549</v>
      </c>
      <c r="B931" s="22" t="s">
        <v>2550</v>
      </c>
      <c r="C931" s="26">
        <v>45900</v>
      </c>
      <c r="D931" s="25">
        <v>38824</v>
      </c>
      <c r="E931" s="25" t="s">
        <v>3538</v>
      </c>
      <c r="F931" s="53" t="s">
        <v>3812</v>
      </c>
      <c r="G931" s="28">
        <v>687.5</v>
      </c>
    </row>
    <row r="932" spans="1:7" x14ac:dyDescent="0.35">
      <c r="A932" s="22" t="s">
        <v>2549</v>
      </c>
      <c r="B932" s="22" t="s">
        <v>2550</v>
      </c>
      <c r="C932" s="26">
        <v>45900</v>
      </c>
      <c r="D932" s="25">
        <v>38835</v>
      </c>
      <c r="E932" s="25" t="s">
        <v>3539</v>
      </c>
      <c r="F932" s="53" t="s">
        <v>3812</v>
      </c>
      <c r="G932" s="28">
        <v>1756.69</v>
      </c>
    </row>
    <row r="933" spans="1:7" x14ac:dyDescent="0.35">
      <c r="A933" s="22" t="s">
        <v>2549</v>
      </c>
      <c r="B933" s="22" t="s">
        <v>2550</v>
      </c>
      <c r="C933" s="26">
        <v>45900</v>
      </c>
      <c r="D933" s="25">
        <v>38842</v>
      </c>
      <c r="E933" s="25" t="s">
        <v>3540</v>
      </c>
      <c r="F933" s="53" t="s">
        <v>3812</v>
      </c>
      <c r="G933" s="28">
        <v>58630</v>
      </c>
    </row>
    <row r="934" spans="1:7" x14ac:dyDescent="0.35">
      <c r="A934" s="22" t="s">
        <v>2549</v>
      </c>
      <c r="B934" s="22" t="s">
        <v>2550</v>
      </c>
      <c r="C934" s="26">
        <v>45900</v>
      </c>
      <c r="D934" s="25">
        <v>38843</v>
      </c>
      <c r="E934" s="25" t="s">
        <v>3497</v>
      </c>
      <c r="F934" s="53" t="s">
        <v>3812</v>
      </c>
      <c r="G934" s="28">
        <v>625</v>
      </c>
    </row>
    <row r="935" spans="1:7" x14ac:dyDescent="0.35">
      <c r="A935" s="22" t="s">
        <v>2549</v>
      </c>
      <c r="B935" s="22" t="s">
        <v>2550</v>
      </c>
      <c r="C935" s="26">
        <v>45900</v>
      </c>
      <c r="D935" s="25">
        <v>38849</v>
      </c>
      <c r="E935" s="25" t="s">
        <v>3541</v>
      </c>
      <c r="F935" s="53" t="s">
        <v>3812</v>
      </c>
      <c r="G935" s="28">
        <v>33300</v>
      </c>
    </row>
    <row r="936" spans="1:7" x14ac:dyDescent="0.35">
      <c r="A936" s="22" t="s">
        <v>2549</v>
      </c>
      <c r="B936" s="22" t="s">
        <v>2550</v>
      </c>
      <c r="C936" s="26">
        <v>45900</v>
      </c>
      <c r="D936" s="25">
        <v>38853</v>
      </c>
      <c r="E936" s="25" t="s">
        <v>3542</v>
      </c>
      <c r="F936" s="53" t="s">
        <v>3812</v>
      </c>
      <c r="G936" s="28">
        <v>1209.6099999999999</v>
      </c>
    </row>
    <row r="937" spans="1:7" x14ac:dyDescent="0.35">
      <c r="A937" s="22" t="s">
        <v>2549</v>
      </c>
      <c r="B937" s="22" t="s">
        <v>2550</v>
      </c>
      <c r="C937" s="26">
        <v>45900</v>
      </c>
      <c r="D937" s="25">
        <v>38854</v>
      </c>
      <c r="E937" s="25" t="s">
        <v>3543</v>
      </c>
      <c r="F937" s="53" t="s">
        <v>3812</v>
      </c>
      <c r="G937" s="28">
        <v>31500</v>
      </c>
    </row>
    <row r="938" spans="1:7" x14ac:dyDescent="0.35">
      <c r="A938" s="22" t="s">
        <v>2549</v>
      </c>
      <c r="B938" s="22" t="s">
        <v>2550</v>
      </c>
      <c r="C938" s="26">
        <v>45900</v>
      </c>
      <c r="D938" s="25">
        <v>38855</v>
      </c>
      <c r="E938" s="25" t="s">
        <v>3544</v>
      </c>
      <c r="F938" s="53" t="s">
        <v>3812</v>
      </c>
      <c r="G938" s="28">
        <v>15800</v>
      </c>
    </row>
    <row r="939" spans="1:7" x14ac:dyDescent="0.35">
      <c r="A939" s="22" t="s">
        <v>2549</v>
      </c>
      <c r="B939" s="22" t="s">
        <v>2550</v>
      </c>
      <c r="C939" s="26">
        <v>45900</v>
      </c>
      <c r="D939" s="25">
        <v>38856</v>
      </c>
      <c r="E939" s="25" t="s">
        <v>3545</v>
      </c>
      <c r="F939" s="53" t="s">
        <v>3812</v>
      </c>
      <c r="G939" s="28">
        <v>900</v>
      </c>
    </row>
    <row r="940" spans="1:7" x14ac:dyDescent="0.35">
      <c r="A940" s="22" t="s">
        <v>2549</v>
      </c>
      <c r="B940" s="22" t="s">
        <v>2550</v>
      </c>
      <c r="C940" s="26">
        <v>45900</v>
      </c>
      <c r="D940" s="25">
        <v>38865</v>
      </c>
      <c r="E940" s="25" t="s">
        <v>3546</v>
      </c>
      <c r="F940" s="53" t="s">
        <v>3812</v>
      </c>
      <c r="G940" s="28">
        <v>350</v>
      </c>
    </row>
    <row r="941" spans="1:7" x14ac:dyDescent="0.35">
      <c r="A941" s="22" t="s">
        <v>2549</v>
      </c>
      <c r="B941" s="22" t="s">
        <v>2550</v>
      </c>
      <c r="C941" s="26">
        <v>45900</v>
      </c>
      <c r="D941" s="25">
        <v>38867</v>
      </c>
      <c r="E941" s="25" t="s">
        <v>3547</v>
      </c>
      <c r="F941" s="53" t="s">
        <v>3812</v>
      </c>
      <c r="G941" s="28">
        <v>413.1</v>
      </c>
    </row>
    <row r="942" spans="1:7" x14ac:dyDescent="0.35">
      <c r="A942" s="22" t="s">
        <v>2549</v>
      </c>
      <c r="B942" s="22" t="s">
        <v>2550</v>
      </c>
      <c r="C942" s="26">
        <v>45900</v>
      </c>
      <c r="D942" s="25">
        <v>38868</v>
      </c>
      <c r="E942" s="25" t="s">
        <v>3548</v>
      </c>
      <c r="F942" s="53" t="s">
        <v>3812</v>
      </c>
      <c r="G942" s="28">
        <v>2306.2399999999998</v>
      </c>
    </row>
    <row r="943" spans="1:7" x14ac:dyDescent="0.35">
      <c r="A943" s="22" t="s">
        <v>2549</v>
      </c>
      <c r="B943" s="22" t="s">
        <v>2550</v>
      </c>
      <c r="C943" s="26">
        <v>45900</v>
      </c>
      <c r="D943" s="25">
        <v>38871</v>
      </c>
      <c r="E943" s="25" t="s">
        <v>3500</v>
      </c>
      <c r="F943" s="53" t="s">
        <v>3812</v>
      </c>
      <c r="G943" s="28">
        <v>4169.7</v>
      </c>
    </row>
    <row r="944" spans="1:7" x14ac:dyDescent="0.35">
      <c r="A944" s="22" t="s">
        <v>2549</v>
      </c>
      <c r="B944" s="22" t="s">
        <v>2550</v>
      </c>
      <c r="C944" s="26">
        <v>45900</v>
      </c>
      <c r="D944" s="25">
        <v>38873</v>
      </c>
      <c r="E944" s="25" t="s">
        <v>3536</v>
      </c>
      <c r="F944" s="53" t="s">
        <v>3812</v>
      </c>
      <c r="G944" s="28">
        <v>759.24</v>
      </c>
    </row>
    <row r="945" spans="1:7" x14ac:dyDescent="0.35">
      <c r="A945" s="22" t="s">
        <v>2549</v>
      </c>
      <c r="B945" s="22" t="s">
        <v>2550</v>
      </c>
      <c r="C945" s="26">
        <v>45900</v>
      </c>
      <c r="D945" s="25">
        <v>38880</v>
      </c>
      <c r="E945" s="25" t="s">
        <v>1656</v>
      </c>
      <c r="F945" s="53" t="s">
        <v>3812</v>
      </c>
      <c r="G945" s="28">
        <v>1234.24</v>
      </c>
    </row>
    <row r="946" spans="1:7" x14ac:dyDescent="0.35">
      <c r="A946" s="22" t="s">
        <v>2549</v>
      </c>
      <c r="B946" s="22" t="s">
        <v>2550</v>
      </c>
      <c r="C946" s="26">
        <v>45900</v>
      </c>
      <c r="D946" s="25">
        <v>38884</v>
      </c>
      <c r="E946" s="25" t="s">
        <v>3545</v>
      </c>
      <c r="F946" s="53" t="s">
        <v>3812</v>
      </c>
      <c r="G946" s="28">
        <v>450</v>
      </c>
    </row>
    <row r="947" spans="1:7" x14ac:dyDescent="0.35">
      <c r="A947" s="22" t="s">
        <v>2549</v>
      </c>
      <c r="B947" s="22" t="s">
        <v>2550</v>
      </c>
      <c r="C947" s="26">
        <v>45900</v>
      </c>
      <c r="D947" s="25">
        <v>38904</v>
      </c>
      <c r="E947" s="25" t="s">
        <v>3549</v>
      </c>
      <c r="F947" s="53" t="s">
        <v>3812</v>
      </c>
      <c r="G947" s="28">
        <v>1247.75</v>
      </c>
    </row>
    <row r="948" spans="1:7" x14ac:dyDescent="0.35">
      <c r="A948" s="22" t="s">
        <v>2549</v>
      </c>
      <c r="B948" s="22" t="s">
        <v>2550</v>
      </c>
      <c r="C948" s="26">
        <v>45900</v>
      </c>
      <c r="D948" s="25">
        <v>38909</v>
      </c>
      <c r="E948" s="25" t="s">
        <v>3550</v>
      </c>
      <c r="F948" s="53" t="s">
        <v>3812</v>
      </c>
      <c r="G948" s="28">
        <v>10907.779999999999</v>
      </c>
    </row>
    <row r="949" spans="1:7" x14ac:dyDescent="0.35">
      <c r="A949" s="22" t="s">
        <v>2549</v>
      </c>
      <c r="B949" s="22" t="s">
        <v>2550</v>
      </c>
      <c r="C949" s="26">
        <v>45900</v>
      </c>
      <c r="D949" s="25">
        <v>38911</v>
      </c>
      <c r="E949" s="25" t="s">
        <v>3551</v>
      </c>
      <c r="F949" s="53" t="s">
        <v>3812</v>
      </c>
      <c r="G949" s="28">
        <v>880</v>
      </c>
    </row>
    <row r="950" spans="1:7" x14ac:dyDescent="0.35">
      <c r="A950" s="22" t="s">
        <v>2549</v>
      </c>
      <c r="B950" s="22" t="s">
        <v>2550</v>
      </c>
      <c r="C950" s="26">
        <v>45900</v>
      </c>
      <c r="D950" s="25">
        <v>38912</v>
      </c>
      <c r="E950" s="25" t="s">
        <v>3552</v>
      </c>
      <c r="F950" s="53" t="s">
        <v>3812</v>
      </c>
      <c r="G950" s="28">
        <v>23482</v>
      </c>
    </row>
    <row r="951" spans="1:7" x14ac:dyDescent="0.35">
      <c r="A951" s="22" t="s">
        <v>2549</v>
      </c>
      <c r="B951" s="22" t="s">
        <v>2550</v>
      </c>
      <c r="C951" s="26">
        <v>45900</v>
      </c>
      <c r="D951" s="25">
        <v>38913</v>
      </c>
      <c r="E951" s="25" t="s">
        <v>3553</v>
      </c>
      <c r="F951" s="53" t="s">
        <v>3812</v>
      </c>
      <c r="G951" s="28">
        <v>200</v>
      </c>
    </row>
    <row r="952" spans="1:7" x14ac:dyDescent="0.35">
      <c r="A952" s="22" t="s">
        <v>2549</v>
      </c>
      <c r="B952" s="22" t="s">
        <v>2550</v>
      </c>
      <c r="C952" s="26">
        <v>45900</v>
      </c>
      <c r="D952" s="25">
        <v>38915</v>
      </c>
      <c r="E952" s="25" t="s">
        <v>3554</v>
      </c>
      <c r="F952" s="53" t="s">
        <v>3812</v>
      </c>
      <c r="G952" s="28">
        <v>177.19</v>
      </c>
    </row>
    <row r="953" spans="1:7" x14ac:dyDescent="0.35">
      <c r="A953" s="22" t="s">
        <v>2549</v>
      </c>
      <c r="B953" s="22" t="s">
        <v>2550</v>
      </c>
      <c r="C953" s="26">
        <v>45900</v>
      </c>
      <c r="D953" s="25">
        <v>38916</v>
      </c>
      <c r="E953" s="25" t="s">
        <v>3555</v>
      </c>
      <c r="F953" s="53" t="s">
        <v>3812</v>
      </c>
      <c r="G953" s="28">
        <v>108.5</v>
      </c>
    </row>
    <row r="954" spans="1:7" x14ac:dyDescent="0.35">
      <c r="A954" s="22" t="s">
        <v>2549</v>
      </c>
      <c r="B954" s="22" t="s">
        <v>2550</v>
      </c>
      <c r="C954" s="26">
        <v>45900</v>
      </c>
      <c r="D954" s="25">
        <v>38921</v>
      </c>
      <c r="E954" s="25" t="s">
        <v>3556</v>
      </c>
      <c r="F954" s="53" t="s">
        <v>3812</v>
      </c>
      <c r="G954" s="28">
        <v>54.25</v>
      </c>
    </row>
    <row r="955" spans="1:7" x14ac:dyDescent="0.35">
      <c r="A955" s="22" t="s">
        <v>2549</v>
      </c>
      <c r="B955" s="22" t="s">
        <v>2550</v>
      </c>
      <c r="C955" s="26">
        <v>45900</v>
      </c>
      <c r="D955" s="25">
        <v>38942</v>
      </c>
      <c r="E955" s="25" t="s">
        <v>3557</v>
      </c>
      <c r="F955" s="53" t="s">
        <v>3812</v>
      </c>
      <c r="G955" s="28">
        <v>462.5</v>
      </c>
    </row>
    <row r="956" spans="1:7" x14ac:dyDescent="0.35">
      <c r="A956" s="22" t="s">
        <v>2549</v>
      </c>
      <c r="B956" s="22" t="s">
        <v>2550</v>
      </c>
      <c r="C956" s="26">
        <v>45900</v>
      </c>
      <c r="D956" s="25">
        <v>38946</v>
      </c>
      <c r="E956" s="25" t="s">
        <v>3558</v>
      </c>
      <c r="F956" s="53" t="s">
        <v>3812</v>
      </c>
      <c r="G956" s="28">
        <v>2800</v>
      </c>
    </row>
    <row r="957" spans="1:7" x14ac:dyDescent="0.35">
      <c r="A957" s="22" t="s">
        <v>2549</v>
      </c>
      <c r="B957" s="22" t="s">
        <v>2550</v>
      </c>
      <c r="C957" s="26">
        <v>45900</v>
      </c>
      <c r="D957" s="25">
        <v>38957</v>
      </c>
      <c r="E957" s="25" t="s">
        <v>3559</v>
      </c>
      <c r="F957" s="53" t="s">
        <v>3812</v>
      </c>
      <c r="G957" s="28">
        <v>569.63</v>
      </c>
    </row>
    <row r="958" spans="1:7" x14ac:dyDescent="0.35">
      <c r="A958" s="22" t="s">
        <v>2549</v>
      </c>
      <c r="B958" s="22" t="s">
        <v>2550</v>
      </c>
      <c r="C958" s="26">
        <v>45900</v>
      </c>
      <c r="D958" s="25">
        <v>38962</v>
      </c>
      <c r="E958" s="25" t="s">
        <v>3560</v>
      </c>
      <c r="F958" s="53" t="s">
        <v>3812</v>
      </c>
      <c r="G958" s="28">
        <v>92.4</v>
      </c>
    </row>
    <row r="959" spans="1:7" x14ac:dyDescent="0.35">
      <c r="A959" s="22" t="s">
        <v>2549</v>
      </c>
      <c r="B959" s="22" t="s">
        <v>2550</v>
      </c>
      <c r="C959" s="26">
        <v>45900</v>
      </c>
      <c r="D959" s="25">
        <v>38963</v>
      </c>
      <c r="E959" s="25" t="s">
        <v>3561</v>
      </c>
      <c r="F959" s="53" t="s">
        <v>3812</v>
      </c>
      <c r="G959" s="28">
        <v>103.27</v>
      </c>
    </row>
    <row r="960" spans="1:7" x14ac:dyDescent="0.35">
      <c r="A960" s="22" t="s">
        <v>2549</v>
      </c>
      <c r="B960" s="22" t="s">
        <v>2550</v>
      </c>
      <c r="C960" s="26">
        <v>45900</v>
      </c>
      <c r="D960" s="25">
        <v>38965</v>
      </c>
      <c r="E960" s="25" t="s">
        <v>3562</v>
      </c>
      <c r="F960" s="53" t="s">
        <v>3812</v>
      </c>
      <c r="G960" s="28">
        <v>350</v>
      </c>
    </row>
    <row r="961" spans="1:7" x14ac:dyDescent="0.35">
      <c r="A961" s="22" t="s">
        <v>2549</v>
      </c>
      <c r="B961" s="22" t="s">
        <v>2550</v>
      </c>
      <c r="C961" s="26">
        <v>45900</v>
      </c>
      <c r="D961" s="25">
        <v>38974</v>
      </c>
      <c r="E961" s="25" t="s">
        <v>3563</v>
      </c>
      <c r="F961" s="53" t="s">
        <v>3812</v>
      </c>
      <c r="G961" s="28">
        <v>450</v>
      </c>
    </row>
    <row r="962" spans="1:7" x14ac:dyDescent="0.35">
      <c r="A962" s="22" t="s">
        <v>2549</v>
      </c>
      <c r="B962" s="22" t="s">
        <v>2550</v>
      </c>
      <c r="C962" s="26">
        <v>45900</v>
      </c>
      <c r="D962" s="25">
        <v>38984</v>
      </c>
      <c r="E962" s="25" t="s">
        <v>1840</v>
      </c>
      <c r="F962" s="53" t="s">
        <v>3812</v>
      </c>
      <c r="G962" s="28">
        <v>1984</v>
      </c>
    </row>
    <row r="963" spans="1:7" x14ac:dyDescent="0.35">
      <c r="A963" s="22" t="s">
        <v>2549</v>
      </c>
      <c r="B963" s="22" t="s">
        <v>2550</v>
      </c>
      <c r="C963" s="26">
        <v>45900</v>
      </c>
      <c r="D963" s="25">
        <v>38985</v>
      </c>
      <c r="E963" s="25" t="s">
        <v>3564</v>
      </c>
      <c r="F963" s="53" t="s">
        <v>3812</v>
      </c>
      <c r="G963" s="28">
        <v>2248</v>
      </c>
    </row>
    <row r="964" spans="1:7" x14ac:dyDescent="0.35">
      <c r="A964" s="22" t="s">
        <v>2549</v>
      </c>
      <c r="B964" s="22" t="s">
        <v>2550</v>
      </c>
      <c r="C964" s="26">
        <v>45900</v>
      </c>
      <c r="D964" s="25">
        <v>38992</v>
      </c>
      <c r="E964" s="25" t="s">
        <v>2258</v>
      </c>
      <c r="F964" s="53" t="s">
        <v>3812</v>
      </c>
      <c r="G964" s="28">
        <v>14079.71</v>
      </c>
    </row>
    <row r="965" spans="1:7" x14ac:dyDescent="0.35">
      <c r="A965" s="22" t="s">
        <v>2549</v>
      </c>
      <c r="B965" s="22" t="s">
        <v>2550</v>
      </c>
      <c r="C965" s="26">
        <v>45900</v>
      </c>
      <c r="D965" s="25">
        <v>38997</v>
      </c>
      <c r="E965" s="25" t="s">
        <v>1924</v>
      </c>
      <c r="F965" s="53" t="s">
        <v>3812</v>
      </c>
      <c r="G965" s="28">
        <v>15560</v>
      </c>
    </row>
    <row r="966" spans="1:7" x14ac:dyDescent="0.35">
      <c r="A966" s="22" t="s">
        <v>2549</v>
      </c>
      <c r="B966" s="22" t="s">
        <v>2550</v>
      </c>
      <c r="C966" s="26">
        <v>45900</v>
      </c>
      <c r="D966" s="25">
        <v>38998</v>
      </c>
      <c r="E966" s="25" t="s">
        <v>3565</v>
      </c>
      <c r="F966" s="53" t="s">
        <v>3812</v>
      </c>
      <c r="G966" s="28">
        <v>697.5</v>
      </c>
    </row>
    <row r="967" spans="1:7" x14ac:dyDescent="0.35">
      <c r="A967" s="22" t="s">
        <v>2549</v>
      </c>
      <c r="B967" s="22" t="s">
        <v>2550</v>
      </c>
      <c r="C967" s="26">
        <v>45900</v>
      </c>
      <c r="D967" s="25">
        <v>39003</v>
      </c>
      <c r="E967" s="25" t="s">
        <v>3566</v>
      </c>
      <c r="F967" s="53" t="s">
        <v>3812</v>
      </c>
      <c r="G967" s="28">
        <v>11883.55</v>
      </c>
    </row>
    <row r="968" spans="1:7" x14ac:dyDescent="0.35">
      <c r="A968" s="22" t="s">
        <v>2549</v>
      </c>
      <c r="B968" s="22" t="s">
        <v>2550</v>
      </c>
      <c r="C968" s="26">
        <v>45900</v>
      </c>
      <c r="D968" s="25">
        <v>39009</v>
      </c>
      <c r="E968" s="25" t="s">
        <v>3565</v>
      </c>
      <c r="F968" s="53" t="s">
        <v>3812</v>
      </c>
      <c r="G968" s="28">
        <v>4500</v>
      </c>
    </row>
    <row r="969" spans="1:7" x14ac:dyDescent="0.35">
      <c r="A969" s="22" t="s">
        <v>2549</v>
      </c>
      <c r="B969" s="22" t="s">
        <v>2550</v>
      </c>
      <c r="C969" s="26">
        <v>45900</v>
      </c>
      <c r="D969" s="25">
        <v>39063</v>
      </c>
      <c r="E969" s="25" t="s">
        <v>3567</v>
      </c>
      <c r="F969" s="53" t="s">
        <v>3812</v>
      </c>
      <c r="G969" s="28">
        <v>4464</v>
      </c>
    </row>
    <row r="970" spans="1:7" x14ac:dyDescent="0.35">
      <c r="A970" s="22" t="s">
        <v>2549</v>
      </c>
      <c r="B970" s="22" t="s">
        <v>2550</v>
      </c>
      <c r="C970" s="26">
        <v>45900</v>
      </c>
      <c r="D970" s="25">
        <v>39073</v>
      </c>
      <c r="E970" s="25" t="s">
        <v>3544</v>
      </c>
      <c r="F970" s="53" t="s">
        <v>3812</v>
      </c>
      <c r="G970" s="28">
        <v>13200</v>
      </c>
    </row>
    <row r="971" spans="1:7" x14ac:dyDescent="0.35">
      <c r="A971" s="22" t="s">
        <v>2549</v>
      </c>
      <c r="B971" s="22" t="s">
        <v>2550</v>
      </c>
      <c r="C971" s="26">
        <v>45900</v>
      </c>
      <c r="D971" s="25">
        <v>39074</v>
      </c>
      <c r="E971" s="25" t="s">
        <v>3544</v>
      </c>
      <c r="F971" s="53" t="s">
        <v>3812</v>
      </c>
      <c r="G971" s="28">
        <v>10200</v>
      </c>
    </row>
    <row r="972" spans="1:7" x14ac:dyDescent="0.35">
      <c r="A972" s="22" t="s">
        <v>2549</v>
      </c>
      <c r="B972" s="22" t="s">
        <v>2550</v>
      </c>
      <c r="C972" s="26">
        <v>45900</v>
      </c>
      <c r="D972" s="25">
        <v>39084</v>
      </c>
      <c r="E972" s="25" t="s">
        <v>2459</v>
      </c>
      <c r="F972" s="53" t="s">
        <v>3812</v>
      </c>
      <c r="G972" s="28">
        <v>12023.44</v>
      </c>
    </row>
    <row r="973" spans="1:7" x14ac:dyDescent="0.35">
      <c r="A973" s="22" t="s">
        <v>2549</v>
      </c>
      <c r="B973" s="22" t="s">
        <v>2550</v>
      </c>
      <c r="C973" s="26">
        <v>45900</v>
      </c>
      <c r="D973" s="25">
        <v>39086</v>
      </c>
      <c r="E973" s="25" t="s">
        <v>301</v>
      </c>
      <c r="F973" s="53" t="s">
        <v>3812</v>
      </c>
      <c r="G973" s="28">
        <v>0</v>
      </c>
    </row>
    <row r="974" spans="1:7" x14ac:dyDescent="0.35">
      <c r="A974" s="22" t="s">
        <v>2549</v>
      </c>
      <c r="B974" s="22" t="s">
        <v>2550</v>
      </c>
      <c r="C974" s="26">
        <v>45900</v>
      </c>
      <c r="D974" s="25" t="s">
        <v>3471</v>
      </c>
      <c r="E974" s="25" t="s">
        <v>301</v>
      </c>
      <c r="F974" s="53" t="s">
        <v>3812</v>
      </c>
      <c r="G974" s="28">
        <v>0</v>
      </c>
    </row>
    <row r="975" spans="1:7" x14ac:dyDescent="0.35">
      <c r="A975" s="22" t="s">
        <v>2549</v>
      </c>
      <c r="B975" s="22" t="s">
        <v>2550</v>
      </c>
      <c r="C975" s="26">
        <v>45900</v>
      </c>
      <c r="D975" s="25">
        <v>39088</v>
      </c>
      <c r="E975" s="25" t="s">
        <v>3568</v>
      </c>
      <c r="F975" s="53" t="s">
        <v>3812</v>
      </c>
      <c r="G975" s="28">
        <v>6417</v>
      </c>
    </row>
    <row r="976" spans="1:7" x14ac:dyDescent="0.35">
      <c r="A976" s="22" t="s">
        <v>2549</v>
      </c>
      <c r="B976" s="22" t="s">
        <v>2550</v>
      </c>
      <c r="C976" s="26">
        <v>45900</v>
      </c>
      <c r="D976" s="25">
        <v>39089</v>
      </c>
      <c r="E976" s="25" t="s">
        <v>3500</v>
      </c>
      <c r="F976" s="53" t="s">
        <v>3812</v>
      </c>
      <c r="G976" s="28">
        <v>355.95</v>
      </c>
    </row>
    <row r="977" spans="1:7" x14ac:dyDescent="0.35">
      <c r="A977" s="22" t="s">
        <v>2549</v>
      </c>
      <c r="B977" s="22" t="s">
        <v>2550</v>
      </c>
      <c r="C977" s="26">
        <v>45900</v>
      </c>
      <c r="D977" s="25">
        <v>39091</v>
      </c>
      <c r="E977" s="25" t="s">
        <v>992</v>
      </c>
      <c r="F977" s="53" t="s">
        <v>3812</v>
      </c>
      <c r="G977" s="28">
        <v>44.55</v>
      </c>
    </row>
    <row r="978" spans="1:7" x14ac:dyDescent="0.35">
      <c r="A978" s="22" t="s">
        <v>2549</v>
      </c>
      <c r="B978" s="22" t="s">
        <v>2550</v>
      </c>
      <c r="C978" s="26">
        <v>45900</v>
      </c>
      <c r="D978" s="25">
        <v>39092</v>
      </c>
      <c r="E978" s="25" t="s">
        <v>3481</v>
      </c>
      <c r="F978" s="53" t="s">
        <v>3812</v>
      </c>
      <c r="G978" s="28">
        <v>29496.36</v>
      </c>
    </row>
    <row r="979" spans="1:7" x14ac:dyDescent="0.35">
      <c r="A979" s="22" t="s">
        <v>2549</v>
      </c>
      <c r="B979" s="22" t="s">
        <v>2550</v>
      </c>
      <c r="C979" s="26">
        <v>45900</v>
      </c>
      <c r="D979" s="25">
        <v>39093</v>
      </c>
      <c r="E979" s="25" t="s">
        <v>2892</v>
      </c>
      <c r="F979" s="53" t="s">
        <v>3812</v>
      </c>
      <c r="G979" s="28">
        <v>1050.5</v>
      </c>
    </row>
    <row r="980" spans="1:7" x14ac:dyDescent="0.35">
      <c r="A980" s="22" t="s">
        <v>2549</v>
      </c>
      <c r="B980" s="22" t="s">
        <v>2550</v>
      </c>
      <c r="C980" s="26">
        <v>45900</v>
      </c>
      <c r="D980" s="25">
        <v>39094</v>
      </c>
      <c r="E980" s="25" t="s">
        <v>1334</v>
      </c>
      <c r="F980" s="53" t="s">
        <v>3812</v>
      </c>
      <c r="G980" s="28">
        <v>7871.44</v>
      </c>
    </row>
    <row r="981" spans="1:7" x14ac:dyDescent="0.35">
      <c r="A981" s="22" t="s">
        <v>2549</v>
      </c>
      <c r="B981" s="22" t="s">
        <v>2550</v>
      </c>
      <c r="C981" s="26">
        <v>45900</v>
      </c>
      <c r="D981" s="25">
        <v>39095</v>
      </c>
      <c r="E981" s="25" t="s">
        <v>1358</v>
      </c>
      <c r="F981" s="53" t="s">
        <v>3812</v>
      </c>
      <c r="G981" s="28">
        <v>458.63</v>
      </c>
    </row>
    <row r="982" spans="1:7" x14ac:dyDescent="0.35">
      <c r="A982" s="22" t="s">
        <v>2549</v>
      </c>
      <c r="B982" s="22" t="s">
        <v>2550</v>
      </c>
      <c r="C982" s="26">
        <v>45900</v>
      </c>
      <c r="D982" s="25">
        <v>39096</v>
      </c>
      <c r="E982" s="25" t="s">
        <v>1371</v>
      </c>
      <c r="F982" s="53" t="s">
        <v>3812</v>
      </c>
      <c r="G982" s="28">
        <v>2244.7600000000002</v>
      </c>
    </row>
    <row r="983" spans="1:7" x14ac:dyDescent="0.35">
      <c r="A983" s="22" t="s">
        <v>2549</v>
      </c>
      <c r="B983" s="22" t="s">
        <v>2550</v>
      </c>
      <c r="C983" s="26">
        <v>45900</v>
      </c>
      <c r="D983" s="25">
        <v>39097</v>
      </c>
      <c r="E983" s="25" t="s">
        <v>1376</v>
      </c>
      <c r="F983" s="53" t="s">
        <v>3812</v>
      </c>
      <c r="G983" s="28">
        <v>12.82</v>
      </c>
    </row>
    <row r="984" spans="1:7" x14ac:dyDescent="0.35">
      <c r="A984" s="22" t="s">
        <v>2549</v>
      </c>
      <c r="B984" s="22" t="s">
        <v>2550</v>
      </c>
      <c r="C984" s="26">
        <v>45900</v>
      </c>
      <c r="D984" s="25">
        <v>39098</v>
      </c>
      <c r="E984" s="25" t="s">
        <v>1426</v>
      </c>
      <c r="F984" s="53" t="s">
        <v>3812</v>
      </c>
      <c r="G984" s="28">
        <v>6125.19</v>
      </c>
    </row>
    <row r="985" spans="1:7" x14ac:dyDescent="0.35">
      <c r="A985" s="22" t="s">
        <v>2549</v>
      </c>
      <c r="B985" s="22" t="s">
        <v>2550</v>
      </c>
      <c r="C985" s="26">
        <v>45900</v>
      </c>
      <c r="D985" s="25">
        <v>39099</v>
      </c>
      <c r="E985" s="25" t="s">
        <v>3474</v>
      </c>
      <c r="F985" s="53" t="s">
        <v>3812</v>
      </c>
      <c r="G985" s="28">
        <v>8009.75</v>
      </c>
    </row>
    <row r="986" spans="1:7" x14ac:dyDescent="0.35">
      <c r="A986" s="22" t="s">
        <v>2549</v>
      </c>
      <c r="B986" s="22" t="s">
        <v>2550</v>
      </c>
      <c r="C986" s="26">
        <v>45900</v>
      </c>
      <c r="D986" s="25">
        <v>39100</v>
      </c>
      <c r="E986" s="25" t="s">
        <v>3569</v>
      </c>
      <c r="F986" s="53" t="s">
        <v>3812</v>
      </c>
      <c r="G986" s="28">
        <v>613.85</v>
      </c>
    </row>
    <row r="987" spans="1:7" x14ac:dyDescent="0.35">
      <c r="A987" s="22" t="s">
        <v>2549</v>
      </c>
      <c r="B987" s="22" t="s">
        <v>2550</v>
      </c>
      <c r="C987" s="26">
        <v>45900</v>
      </c>
      <c r="D987" s="25">
        <v>39101</v>
      </c>
      <c r="E987" s="25" t="s">
        <v>3554</v>
      </c>
      <c r="F987" s="53" t="s">
        <v>3812</v>
      </c>
      <c r="G987" s="28">
        <v>18.72</v>
      </c>
    </row>
    <row r="988" spans="1:7" x14ac:dyDescent="0.35">
      <c r="A988" s="22" t="s">
        <v>2549</v>
      </c>
      <c r="B988" s="22" t="s">
        <v>2550</v>
      </c>
      <c r="C988" s="26">
        <v>45900</v>
      </c>
      <c r="D988" s="25">
        <v>39102</v>
      </c>
      <c r="E988" s="25" t="s">
        <v>3570</v>
      </c>
      <c r="F988" s="53" t="s">
        <v>3812</v>
      </c>
      <c r="G988" s="28">
        <v>4326.6000000000004</v>
      </c>
    </row>
    <row r="989" spans="1:7" x14ac:dyDescent="0.35">
      <c r="A989" s="22" t="s">
        <v>2549</v>
      </c>
      <c r="B989" s="22" t="s">
        <v>2550</v>
      </c>
      <c r="C989" s="26">
        <v>45900</v>
      </c>
      <c r="D989" s="25">
        <v>39103</v>
      </c>
      <c r="E989" s="25" t="s">
        <v>1656</v>
      </c>
      <c r="F989" s="53" t="s">
        <v>3812</v>
      </c>
      <c r="G989" s="28">
        <v>9360</v>
      </c>
    </row>
    <row r="990" spans="1:7" x14ac:dyDescent="0.35">
      <c r="A990" s="22" t="s">
        <v>2549</v>
      </c>
      <c r="B990" s="22" t="s">
        <v>2550</v>
      </c>
      <c r="C990" s="26">
        <v>45900</v>
      </c>
      <c r="D990" s="25">
        <v>39104</v>
      </c>
      <c r="E990" s="25" t="s">
        <v>2906</v>
      </c>
      <c r="F990" s="53" t="s">
        <v>3812</v>
      </c>
      <c r="G990" s="28">
        <v>1254.52</v>
      </c>
    </row>
    <row r="991" spans="1:7" x14ac:dyDescent="0.35">
      <c r="A991" s="22" t="s">
        <v>2549</v>
      </c>
      <c r="B991" s="22" t="s">
        <v>2550</v>
      </c>
      <c r="C991" s="26">
        <v>45900</v>
      </c>
      <c r="D991" s="25">
        <v>39105</v>
      </c>
      <c r="E991" s="25" t="s">
        <v>3534</v>
      </c>
      <c r="F991" s="53" t="s">
        <v>3812</v>
      </c>
      <c r="G991" s="28">
        <v>1125.1500000000001</v>
      </c>
    </row>
    <row r="992" spans="1:7" x14ac:dyDescent="0.35">
      <c r="A992" s="22" t="s">
        <v>2549</v>
      </c>
      <c r="B992" s="22" t="s">
        <v>2550</v>
      </c>
      <c r="C992" s="26">
        <v>45900</v>
      </c>
      <c r="D992" s="25">
        <v>39106</v>
      </c>
      <c r="E992" s="25" t="s">
        <v>3571</v>
      </c>
      <c r="F992" s="53" t="s">
        <v>3812</v>
      </c>
      <c r="G992" s="28">
        <v>93.11</v>
      </c>
    </row>
    <row r="993" spans="1:7" x14ac:dyDescent="0.35">
      <c r="A993" s="22" t="s">
        <v>2549</v>
      </c>
      <c r="B993" s="22" t="s">
        <v>2550</v>
      </c>
      <c r="C993" s="26">
        <v>45900</v>
      </c>
      <c r="D993" s="25">
        <v>39107</v>
      </c>
      <c r="E993" s="25" t="s">
        <v>3230</v>
      </c>
      <c r="F993" s="53" t="s">
        <v>3812</v>
      </c>
      <c r="G993" s="28">
        <v>117734.84</v>
      </c>
    </row>
    <row r="994" spans="1:7" x14ac:dyDescent="0.35">
      <c r="A994" s="22" t="s">
        <v>2549</v>
      </c>
      <c r="B994" s="22" t="s">
        <v>2550</v>
      </c>
      <c r="C994" s="26">
        <v>45900</v>
      </c>
      <c r="D994" s="25">
        <v>39108</v>
      </c>
      <c r="E994" s="25" t="s">
        <v>2467</v>
      </c>
      <c r="F994" s="53" t="s">
        <v>3812</v>
      </c>
      <c r="G994" s="28">
        <v>29470.66</v>
      </c>
    </row>
    <row r="995" spans="1:7" x14ac:dyDescent="0.35">
      <c r="A995" s="22" t="s">
        <v>2549</v>
      </c>
      <c r="B995" s="22" t="s">
        <v>2550</v>
      </c>
      <c r="C995" s="26">
        <v>45900</v>
      </c>
      <c r="D995" s="25">
        <v>39109</v>
      </c>
      <c r="E995" s="25" t="s">
        <v>1839</v>
      </c>
      <c r="F995" s="53" t="s">
        <v>3812</v>
      </c>
      <c r="G995" s="28">
        <v>5470.79</v>
      </c>
    </row>
    <row r="996" spans="1:7" x14ac:dyDescent="0.35">
      <c r="A996" s="22" t="s">
        <v>2549</v>
      </c>
      <c r="B996" s="22" t="s">
        <v>2550</v>
      </c>
      <c r="C996" s="26">
        <v>45900</v>
      </c>
      <c r="D996" s="25">
        <v>39110</v>
      </c>
      <c r="E996" s="25" t="s">
        <v>1919</v>
      </c>
      <c r="F996" s="53" t="s">
        <v>3812</v>
      </c>
      <c r="G996" s="28">
        <v>359.32</v>
      </c>
    </row>
    <row r="997" spans="1:7" x14ac:dyDescent="0.35">
      <c r="A997" s="22" t="s">
        <v>2549</v>
      </c>
      <c r="B997" s="22" t="s">
        <v>2550</v>
      </c>
      <c r="C997" s="26">
        <v>45900</v>
      </c>
      <c r="D997" s="25">
        <v>39111</v>
      </c>
      <c r="E997" s="25" t="s">
        <v>1999</v>
      </c>
      <c r="F997" s="53" t="s">
        <v>3812</v>
      </c>
      <c r="G997" s="28">
        <v>44417.43</v>
      </c>
    </row>
    <row r="998" spans="1:7" x14ac:dyDescent="0.35">
      <c r="A998" s="22" t="s">
        <v>2549</v>
      </c>
      <c r="B998" s="22" t="s">
        <v>2550</v>
      </c>
      <c r="C998" s="26">
        <v>45900</v>
      </c>
      <c r="D998" s="25">
        <v>39112</v>
      </c>
      <c r="E998" s="25" t="s">
        <v>2555</v>
      </c>
      <c r="F998" s="53" t="s">
        <v>3812</v>
      </c>
      <c r="G998" s="28">
        <v>8081.07</v>
      </c>
    </row>
    <row r="999" spans="1:7" x14ac:dyDescent="0.35">
      <c r="A999" s="22" t="s">
        <v>2549</v>
      </c>
      <c r="B999" s="22" t="s">
        <v>2550</v>
      </c>
      <c r="C999" s="26">
        <v>45900</v>
      </c>
      <c r="D999" s="25">
        <v>39113</v>
      </c>
      <c r="E999" s="25" t="s">
        <v>2846</v>
      </c>
      <c r="F999" s="53" t="s">
        <v>3812</v>
      </c>
      <c r="G999" s="28">
        <v>4721.4400000000005</v>
      </c>
    </row>
    <row r="1000" spans="1:7" x14ac:dyDescent="0.35">
      <c r="A1000" s="22" t="s">
        <v>2549</v>
      </c>
      <c r="B1000" s="22" t="s">
        <v>2550</v>
      </c>
      <c r="C1000" s="26">
        <v>45900</v>
      </c>
      <c r="D1000" s="25">
        <v>39114</v>
      </c>
      <c r="E1000" s="25" t="s">
        <v>2027</v>
      </c>
      <c r="F1000" s="53" t="s">
        <v>3812</v>
      </c>
      <c r="G1000" s="28">
        <v>22883.119999999999</v>
      </c>
    </row>
    <row r="1001" spans="1:7" x14ac:dyDescent="0.35">
      <c r="A1001" s="22" t="s">
        <v>2549</v>
      </c>
      <c r="B1001" s="22" t="s">
        <v>2550</v>
      </c>
      <c r="C1001" s="26">
        <v>45900</v>
      </c>
      <c r="D1001" s="25">
        <v>39115</v>
      </c>
      <c r="E1001" s="25" t="s">
        <v>2067</v>
      </c>
      <c r="F1001" s="53" t="s">
        <v>3812</v>
      </c>
      <c r="G1001" s="28">
        <v>29074.390000000003</v>
      </c>
    </row>
    <row r="1002" spans="1:7" x14ac:dyDescent="0.35">
      <c r="A1002" s="22" t="s">
        <v>2549</v>
      </c>
      <c r="B1002" s="22" t="s">
        <v>2550</v>
      </c>
      <c r="C1002" s="26">
        <v>45900</v>
      </c>
      <c r="D1002" s="25">
        <v>39116</v>
      </c>
      <c r="E1002" s="25" t="s">
        <v>2575</v>
      </c>
      <c r="F1002" s="53" t="s">
        <v>3812</v>
      </c>
      <c r="G1002" s="28">
        <v>235.88</v>
      </c>
    </row>
    <row r="1003" spans="1:7" x14ac:dyDescent="0.35">
      <c r="A1003" s="22" t="s">
        <v>2549</v>
      </c>
      <c r="B1003" s="22" t="s">
        <v>2550</v>
      </c>
      <c r="C1003" s="26">
        <v>45900</v>
      </c>
      <c r="D1003" s="25">
        <v>39117</v>
      </c>
      <c r="E1003" s="25" t="s">
        <v>2144</v>
      </c>
      <c r="F1003" s="53" t="s">
        <v>3812</v>
      </c>
      <c r="G1003" s="28">
        <v>11048.619999999999</v>
      </c>
    </row>
    <row r="1004" spans="1:7" x14ac:dyDescent="0.35">
      <c r="A1004" s="22" t="s">
        <v>2549</v>
      </c>
      <c r="B1004" s="22" t="s">
        <v>2550</v>
      </c>
      <c r="C1004" s="26">
        <v>45900</v>
      </c>
      <c r="D1004" s="25">
        <v>39118</v>
      </c>
      <c r="E1004" s="25" t="s">
        <v>2629</v>
      </c>
      <c r="F1004" s="53" t="s">
        <v>3812</v>
      </c>
      <c r="G1004" s="28">
        <v>8730.48</v>
      </c>
    </row>
    <row r="1005" spans="1:7" x14ac:dyDescent="0.35">
      <c r="A1005" s="22" t="s">
        <v>2549</v>
      </c>
      <c r="B1005" s="22" t="s">
        <v>2550</v>
      </c>
      <c r="C1005" s="26">
        <v>45900</v>
      </c>
      <c r="D1005" s="25">
        <v>39119</v>
      </c>
      <c r="E1005" s="25" t="s">
        <v>3476</v>
      </c>
      <c r="F1005" s="53" t="s">
        <v>3812</v>
      </c>
      <c r="G1005" s="28">
        <v>768.7</v>
      </c>
    </row>
    <row r="1006" spans="1:7" x14ac:dyDescent="0.35">
      <c r="A1006" s="22" t="s">
        <v>2549</v>
      </c>
      <c r="B1006" s="22" t="s">
        <v>2550</v>
      </c>
      <c r="C1006" s="26">
        <v>45900</v>
      </c>
      <c r="D1006" s="25">
        <v>39120</v>
      </c>
      <c r="E1006" s="25" t="s">
        <v>3572</v>
      </c>
      <c r="F1006" s="53" t="s">
        <v>3812</v>
      </c>
      <c r="G1006" s="28">
        <v>181.41</v>
      </c>
    </row>
    <row r="1007" spans="1:7" x14ac:dyDescent="0.35">
      <c r="A1007" s="22" t="s">
        <v>2549</v>
      </c>
      <c r="B1007" s="22" t="s">
        <v>2550</v>
      </c>
      <c r="C1007" s="26">
        <v>45900</v>
      </c>
      <c r="D1007" s="25">
        <v>39121</v>
      </c>
      <c r="E1007" s="25" t="s">
        <v>3144</v>
      </c>
      <c r="F1007" s="53" t="s">
        <v>3812</v>
      </c>
      <c r="G1007" s="28">
        <v>330.77</v>
      </c>
    </row>
    <row r="1008" spans="1:7" x14ac:dyDescent="0.35">
      <c r="A1008" s="22" t="s">
        <v>2549</v>
      </c>
      <c r="B1008" s="22" t="s">
        <v>2550</v>
      </c>
      <c r="C1008" s="26">
        <v>45900</v>
      </c>
      <c r="D1008" s="25">
        <v>39122</v>
      </c>
      <c r="E1008" s="25" t="s">
        <v>2459</v>
      </c>
      <c r="F1008" s="53" t="s">
        <v>3812</v>
      </c>
      <c r="G1008" s="28">
        <v>4462.1899999999996</v>
      </c>
    </row>
    <row r="1009" spans="1:7" x14ac:dyDescent="0.35">
      <c r="A1009" s="22" t="s">
        <v>2549</v>
      </c>
      <c r="B1009" s="22" t="s">
        <v>2550</v>
      </c>
      <c r="C1009" s="26">
        <v>45900</v>
      </c>
      <c r="D1009" s="25">
        <v>39124</v>
      </c>
      <c r="E1009" s="25" t="s">
        <v>2392</v>
      </c>
      <c r="F1009" s="53" t="s">
        <v>3812</v>
      </c>
      <c r="G1009" s="28">
        <v>10792.45</v>
      </c>
    </row>
    <row r="1010" spans="1:7" x14ac:dyDescent="0.35">
      <c r="A1010" s="22" t="s">
        <v>2549</v>
      </c>
      <c r="B1010" s="18" t="s">
        <v>2633</v>
      </c>
      <c r="C1010" s="26">
        <v>45877</v>
      </c>
      <c r="D1010" s="35" t="s">
        <v>2646</v>
      </c>
      <c r="E1010" s="25" t="s">
        <v>2662</v>
      </c>
      <c r="F1010" s="53" t="s">
        <v>3813</v>
      </c>
      <c r="G1010" s="28">
        <v>120</v>
      </c>
    </row>
    <row r="1011" spans="1:7" x14ac:dyDescent="0.35">
      <c r="A1011" s="22" t="s">
        <v>2549</v>
      </c>
      <c r="B1011" s="18" t="s">
        <v>2633</v>
      </c>
      <c r="C1011" s="26">
        <v>45881</v>
      </c>
      <c r="D1011" s="25" t="s">
        <v>2658</v>
      </c>
      <c r="E1011" s="25" t="s">
        <v>1263</v>
      </c>
      <c r="F1011" s="53" t="s">
        <v>3813</v>
      </c>
      <c r="G1011" s="28">
        <v>1955</v>
      </c>
    </row>
    <row r="1012" spans="1:7" x14ac:dyDescent="0.35">
      <c r="A1012" s="22" t="s">
        <v>2549</v>
      </c>
      <c r="B1012" s="18" t="s">
        <v>2633</v>
      </c>
      <c r="C1012" s="26">
        <v>45895</v>
      </c>
      <c r="D1012" s="25" t="s">
        <v>3573</v>
      </c>
      <c r="E1012" s="25" t="s">
        <v>2020</v>
      </c>
      <c r="F1012" s="53" t="s">
        <v>3813</v>
      </c>
      <c r="G1012" s="28">
        <v>-18900</v>
      </c>
    </row>
    <row r="1013" spans="1:7" x14ac:dyDescent="0.35">
      <c r="A1013" s="22" t="s">
        <v>2549</v>
      </c>
      <c r="B1013" s="18" t="s">
        <v>2633</v>
      </c>
      <c r="C1013" s="26">
        <v>45898</v>
      </c>
      <c r="D1013" s="25">
        <v>38881</v>
      </c>
      <c r="E1013" s="25" t="s">
        <v>2894</v>
      </c>
      <c r="F1013" s="53" t="s">
        <v>3813</v>
      </c>
      <c r="G1013" s="28">
        <v>16.97</v>
      </c>
    </row>
    <row r="1014" spans="1:7" x14ac:dyDescent="0.35">
      <c r="A1014" s="22" t="s">
        <v>2549</v>
      </c>
      <c r="B1014" s="18" t="s">
        <v>2633</v>
      </c>
      <c r="C1014" s="26">
        <v>45899</v>
      </c>
      <c r="D1014" s="25">
        <v>32888</v>
      </c>
      <c r="E1014" s="25" t="s">
        <v>2931</v>
      </c>
      <c r="F1014" s="53" t="s">
        <v>3813</v>
      </c>
      <c r="G1014" s="28">
        <v>0</v>
      </c>
    </row>
    <row r="1015" spans="1:7" x14ac:dyDescent="0.35">
      <c r="A1015" s="22" t="s">
        <v>2549</v>
      </c>
      <c r="B1015" s="18" t="s">
        <v>2633</v>
      </c>
      <c r="C1015" s="26">
        <v>45899</v>
      </c>
      <c r="D1015" s="25" t="s">
        <v>2740</v>
      </c>
      <c r="E1015" s="25" t="s">
        <v>2197</v>
      </c>
      <c r="F1015" s="53" t="s">
        <v>3813</v>
      </c>
      <c r="G1015" s="28">
        <v>0</v>
      </c>
    </row>
    <row r="1016" spans="1:7" x14ac:dyDescent="0.35">
      <c r="A1016" s="22" t="s">
        <v>2549</v>
      </c>
      <c r="B1016" s="18" t="s">
        <v>2633</v>
      </c>
      <c r="C1016" s="26">
        <v>45899</v>
      </c>
      <c r="D1016" s="25" t="s">
        <v>2850</v>
      </c>
      <c r="E1016" s="25" t="s">
        <v>1782</v>
      </c>
      <c r="F1016" s="53" t="s">
        <v>3813</v>
      </c>
      <c r="G1016" s="28">
        <v>484.5</v>
      </c>
    </row>
    <row r="1017" spans="1:7" x14ac:dyDescent="0.35">
      <c r="A1017" s="22" t="s">
        <v>2549</v>
      </c>
      <c r="B1017" s="18" t="s">
        <v>2633</v>
      </c>
      <c r="C1017" s="26">
        <v>45899</v>
      </c>
      <c r="D1017" s="25" t="s">
        <v>2900</v>
      </c>
      <c r="E1017" s="25" t="s">
        <v>2396</v>
      </c>
      <c r="F1017" s="53" t="s">
        <v>3813</v>
      </c>
      <c r="G1017" s="28">
        <v>22888.74</v>
      </c>
    </row>
    <row r="1018" spans="1:7" x14ac:dyDescent="0.35">
      <c r="A1018" s="22" t="s">
        <v>2549</v>
      </c>
      <c r="B1018" s="18" t="s">
        <v>2633</v>
      </c>
      <c r="C1018" s="26">
        <v>45899</v>
      </c>
      <c r="D1018" s="25" t="s">
        <v>2908</v>
      </c>
      <c r="E1018" s="25" t="s">
        <v>1475</v>
      </c>
      <c r="F1018" s="53" t="s">
        <v>3813</v>
      </c>
      <c r="G1018" s="28">
        <v>9987.5</v>
      </c>
    </row>
    <row r="1019" spans="1:7" x14ac:dyDescent="0.35">
      <c r="A1019" s="22" t="s">
        <v>2549</v>
      </c>
      <c r="B1019" s="18" t="s">
        <v>2633</v>
      </c>
      <c r="C1019" s="26">
        <v>45899</v>
      </c>
      <c r="D1019" s="25" t="s">
        <v>2918</v>
      </c>
      <c r="E1019" s="25" t="s">
        <v>1475</v>
      </c>
      <c r="F1019" s="53" t="s">
        <v>3813</v>
      </c>
      <c r="G1019" s="28">
        <v>56736.619999999995</v>
      </c>
    </row>
    <row r="1020" spans="1:7" x14ac:dyDescent="0.35">
      <c r="A1020" s="22" t="s">
        <v>2549</v>
      </c>
      <c r="B1020" s="18" t="s">
        <v>2633</v>
      </c>
      <c r="C1020" s="26">
        <v>45899</v>
      </c>
      <c r="D1020" s="25">
        <v>36512</v>
      </c>
      <c r="E1020" s="25" t="s">
        <v>2231</v>
      </c>
      <c r="F1020" s="53" t="s">
        <v>3813</v>
      </c>
      <c r="G1020" s="28">
        <v>355</v>
      </c>
    </row>
    <row r="1021" spans="1:7" x14ac:dyDescent="0.35">
      <c r="A1021" s="22" t="s">
        <v>2549</v>
      </c>
      <c r="B1021" s="18" t="s">
        <v>2633</v>
      </c>
      <c r="C1021" s="26">
        <v>45899</v>
      </c>
      <c r="D1021" s="25" t="s">
        <v>3178</v>
      </c>
      <c r="E1021" s="25" t="s">
        <v>3480</v>
      </c>
      <c r="F1021" s="53" t="s">
        <v>3813</v>
      </c>
      <c r="G1021" s="28">
        <v>0</v>
      </c>
    </row>
    <row r="1022" spans="1:7" x14ac:dyDescent="0.35">
      <c r="A1022" s="22" t="s">
        <v>2549</v>
      </c>
      <c r="B1022" s="18" t="s">
        <v>2633</v>
      </c>
      <c r="C1022" s="26">
        <v>45899</v>
      </c>
      <c r="D1022" s="25">
        <v>38051</v>
      </c>
      <c r="E1022" s="25" t="s">
        <v>3470</v>
      </c>
      <c r="F1022" s="53" t="s">
        <v>3813</v>
      </c>
      <c r="G1022" s="28">
        <v>680</v>
      </c>
    </row>
    <row r="1023" spans="1:7" x14ac:dyDescent="0.35">
      <c r="A1023" s="22" t="s">
        <v>2549</v>
      </c>
      <c r="B1023" s="18" t="s">
        <v>2633</v>
      </c>
      <c r="C1023" s="26">
        <v>45899</v>
      </c>
      <c r="D1023" s="25">
        <v>38230</v>
      </c>
      <c r="E1023" s="25" t="s">
        <v>3487</v>
      </c>
      <c r="F1023" s="53" t="s">
        <v>3813</v>
      </c>
      <c r="G1023" s="28">
        <v>85</v>
      </c>
    </row>
    <row r="1024" spans="1:7" x14ac:dyDescent="0.35">
      <c r="A1024" s="22" t="s">
        <v>2549</v>
      </c>
      <c r="B1024" s="18" t="s">
        <v>2633</v>
      </c>
      <c r="C1024" s="26">
        <v>45899</v>
      </c>
      <c r="D1024" s="25">
        <v>38254</v>
      </c>
      <c r="E1024" s="25" t="s">
        <v>2677</v>
      </c>
      <c r="F1024" s="53" t="s">
        <v>3813</v>
      </c>
      <c r="G1024" s="28">
        <v>9650</v>
      </c>
    </row>
    <row r="1025" spans="1:7" x14ac:dyDescent="0.35">
      <c r="A1025" s="22" t="s">
        <v>2549</v>
      </c>
      <c r="B1025" s="18" t="s">
        <v>2633</v>
      </c>
      <c r="C1025" s="26">
        <v>45899</v>
      </c>
      <c r="D1025" s="25" t="s">
        <v>3232</v>
      </c>
      <c r="E1025" s="25" t="s">
        <v>2677</v>
      </c>
      <c r="F1025" s="53" t="s">
        <v>3813</v>
      </c>
      <c r="G1025" s="28">
        <v>7155.75</v>
      </c>
    </row>
    <row r="1026" spans="1:7" x14ac:dyDescent="0.35">
      <c r="A1026" s="22" t="s">
        <v>2549</v>
      </c>
      <c r="B1026" s="18" t="s">
        <v>2633</v>
      </c>
      <c r="C1026" s="26">
        <v>45899</v>
      </c>
      <c r="D1026" s="25" t="s">
        <v>3233</v>
      </c>
      <c r="E1026" s="25" t="s">
        <v>2677</v>
      </c>
      <c r="F1026" s="53" t="s">
        <v>3813</v>
      </c>
      <c r="G1026" s="28">
        <v>9270.7800000000007</v>
      </c>
    </row>
    <row r="1027" spans="1:7" x14ac:dyDescent="0.35">
      <c r="A1027" s="22" t="s">
        <v>2549</v>
      </c>
      <c r="B1027" s="18" t="s">
        <v>2633</v>
      </c>
      <c r="C1027" s="26">
        <v>45899</v>
      </c>
      <c r="D1027" s="25">
        <v>38546</v>
      </c>
      <c r="E1027" s="25" t="s">
        <v>2266</v>
      </c>
      <c r="F1027" s="53" t="s">
        <v>3813</v>
      </c>
      <c r="G1027" s="28">
        <v>0</v>
      </c>
    </row>
    <row r="1028" spans="1:7" x14ac:dyDescent="0.35">
      <c r="A1028" s="22" t="s">
        <v>2549</v>
      </c>
      <c r="B1028" s="18" t="s">
        <v>2633</v>
      </c>
      <c r="C1028" s="26">
        <v>45899</v>
      </c>
      <c r="D1028" s="25">
        <v>38651</v>
      </c>
      <c r="E1028" s="25" t="s">
        <v>2231</v>
      </c>
      <c r="F1028" s="53" t="s">
        <v>3813</v>
      </c>
      <c r="G1028" s="28">
        <v>450</v>
      </c>
    </row>
    <row r="1029" spans="1:7" x14ac:dyDescent="0.35">
      <c r="A1029" s="22" t="s">
        <v>2549</v>
      </c>
      <c r="B1029" s="18" t="s">
        <v>2633</v>
      </c>
      <c r="C1029" s="26">
        <v>45899</v>
      </c>
      <c r="D1029" s="25" t="s">
        <v>3290</v>
      </c>
      <c r="E1029" s="25" t="s">
        <v>2220</v>
      </c>
      <c r="F1029" s="53" t="s">
        <v>3813</v>
      </c>
      <c r="G1029" s="28">
        <v>983.73</v>
      </c>
    </row>
    <row r="1030" spans="1:7" x14ac:dyDescent="0.35">
      <c r="A1030" s="22" t="s">
        <v>2549</v>
      </c>
      <c r="B1030" s="18" t="s">
        <v>2633</v>
      </c>
      <c r="C1030" s="26">
        <v>45899</v>
      </c>
      <c r="D1030" s="25">
        <v>38806</v>
      </c>
      <c r="E1030" s="25" t="s">
        <v>3497</v>
      </c>
      <c r="F1030" s="53" t="s">
        <v>3813</v>
      </c>
      <c r="G1030" s="28">
        <v>750</v>
      </c>
    </row>
    <row r="1031" spans="1:7" x14ac:dyDescent="0.35">
      <c r="A1031" s="22" t="s">
        <v>2549</v>
      </c>
      <c r="B1031" s="18" t="s">
        <v>2633</v>
      </c>
      <c r="C1031" s="26">
        <v>45899</v>
      </c>
      <c r="D1031" s="25">
        <v>38817</v>
      </c>
      <c r="E1031" s="25" t="s">
        <v>3498</v>
      </c>
      <c r="F1031" s="53" t="s">
        <v>3813</v>
      </c>
      <c r="G1031" s="28">
        <v>110.1</v>
      </c>
    </row>
    <row r="1032" spans="1:7" x14ac:dyDescent="0.35">
      <c r="A1032" s="22" t="s">
        <v>2549</v>
      </c>
      <c r="B1032" s="18" t="s">
        <v>2633</v>
      </c>
      <c r="C1032" s="26">
        <v>45899</v>
      </c>
      <c r="D1032" s="25">
        <v>38846</v>
      </c>
      <c r="E1032" s="25" t="s">
        <v>3501</v>
      </c>
      <c r="F1032" s="53" t="s">
        <v>3813</v>
      </c>
      <c r="G1032" s="28">
        <v>209.05</v>
      </c>
    </row>
    <row r="1033" spans="1:7" x14ac:dyDescent="0.35">
      <c r="A1033" s="22" t="s">
        <v>2549</v>
      </c>
      <c r="B1033" s="18" t="s">
        <v>2633</v>
      </c>
      <c r="C1033" s="26">
        <v>45899</v>
      </c>
      <c r="D1033" s="25">
        <v>38889</v>
      </c>
      <c r="E1033" s="25" t="s">
        <v>2629</v>
      </c>
      <c r="F1033" s="53" t="s">
        <v>3813</v>
      </c>
      <c r="G1033" s="28">
        <v>118.52</v>
      </c>
    </row>
    <row r="1034" spans="1:7" x14ac:dyDescent="0.35">
      <c r="A1034" s="22" t="s">
        <v>2549</v>
      </c>
      <c r="B1034" s="18" t="s">
        <v>2633</v>
      </c>
      <c r="C1034" s="26">
        <v>45899</v>
      </c>
      <c r="D1034" s="25">
        <v>38954</v>
      </c>
      <c r="E1034" s="25" t="s">
        <v>3503</v>
      </c>
      <c r="F1034" s="53" t="s">
        <v>3813</v>
      </c>
      <c r="G1034" s="28">
        <v>455</v>
      </c>
    </row>
    <row r="1035" spans="1:7" x14ac:dyDescent="0.35">
      <c r="A1035" s="22" t="s">
        <v>2549</v>
      </c>
      <c r="B1035" s="18" t="s">
        <v>2633</v>
      </c>
      <c r="C1035" s="26">
        <v>45900</v>
      </c>
      <c r="D1035" s="25" t="s">
        <v>3311</v>
      </c>
      <c r="E1035" s="25" t="s">
        <v>301</v>
      </c>
      <c r="F1035" s="53" t="s">
        <v>3813</v>
      </c>
      <c r="G1035" s="28">
        <v>0</v>
      </c>
    </row>
    <row r="1036" spans="1:7" x14ac:dyDescent="0.35">
      <c r="A1036" s="22" t="s">
        <v>2549</v>
      </c>
      <c r="B1036" s="18" t="s">
        <v>2633</v>
      </c>
      <c r="C1036" s="26">
        <v>45900</v>
      </c>
      <c r="D1036" s="25" t="s">
        <v>3574</v>
      </c>
      <c r="E1036" s="25" t="s">
        <v>3508</v>
      </c>
      <c r="F1036" s="53" t="s">
        <v>3813</v>
      </c>
      <c r="G1036" s="28">
        <v>2907.31</v>
      </c>
    </row>
    <row r="1037" spans="1:7" x14ac:dyDescent="0.35">
      <c r="A1037" s="22" t="s">
        <v>2549</v>
      </c>
      <c r="B1037" s="18" t="s">
        <v>2633</v>
      </c>
      <c r="C1037" s="26">
        <v>45900</v>
      </c>
      <c r="D1037" s="25" t="s">
        <v>3324</v>
      </c>
      <c r="E1037" s="25" t="s">
        <v>301</v>
      </c>
      <c r="F1037" s="53" t="s">
        <v>3813</v>
      </c>
      <c r="G1037" s="28">
        <v>0</v>
      </c>
    </row>
    <row r="1038" spans="1:7" x14ac:dyDescent="0.35">
      <c r="A1038" s="22" t="s">
        <v>2549</v>
      </c>
      <c r="B1038" s="18" t="s">
        <v>2633</v>
      </c>
      <c r="C1038" s="26">
        <v>45900</v>
      </c>
      <c r="D1038" s="25" t="s">
        <v>3326</v>
      </c>
      <c r="E1038" s="25" t="s">
        <v>301</v>
      </c>
      <c r="F1038" s="53" t="s">
        <v>3813</v>
      </c>
      <c r="G1038" s="28">
        <v>0</v>
      </c>
    </row>
    <row r="1039" spans="1:7" x14ac:dyDescent="0.35">
      <c r="A1039" s="22" t="s">
        <v>2549</v>
      </c>
      <c r="B1039" s="18" t="s">
        <v>2633</v>
      </c>
      <c r="C1039" s="26">
        <v>45900</v>
      </c>
      <c r="D1039" s="25" t="s">
        <v>3327</v>
      </c>
      <c r="E1039" s="25" t="s">
        <v>301</v>
      </c>
      <c r="F1039" s="53" t="s">
        <v>3813</v>
      </c>
      <c r="G1039" s="28">
        <v>0</v>
      </c>
    </row>
    <row r="1040" spans="1:7" x14ac:dyDescent="0.35">
      <c r="A1040" s="22" t="s">
        <v>2549</v>
      </c>
      <c r="B1040" s="18" t="s">
        <v>2633</v>
      </c>
      <c r="C1040" s="26">
        <v>45900</v>
      </c>
      <c r="D1040" s="25" t="s">
        <v>3328</v>
      </c>
      <c r="E1040" s="25" t="s">
        <v>301</v>
      </c>
      <c r="F1040" s="53" t="s">
        <v>3813</v>
      </c>
      <c r="G1040" s="28">
        <v>0</v>
      </c>
    </row>
    <row r="1041" spans="1:7" x14ac:dyDescent="0.35">
      <c r="A1041" s="22" t="s">
        <v>2549</v>
      </c>
      <c r="B1041" s="18" t="s">
        <v>2633</v>
      </c>
      <c r="C1041" s="26">
        <v>45900</v>
      </c>
      <c r="D1041" s="25" t="s">
        <v>3329</v>
      </c>
      <c r="E1041" s="25" t="s">
        <v>301</v>
      </c>
      <c r="F1041" s="53" t="s">
        <v>3813</v>
      </c>
      <c r="G1041" s="28">
        <v>0</v>
      </c>
    </row>
    <row r="1042" spans="1:7" x14ac:dyDescent="0.35">
      <c r="A1042" s="22" t="s">
        <v>2549</v>
      </c>
      <c r="B1042" s="18" t="s">
        <v>2633</v>
      </c>
      <c r="C1042" s="26">
        <v>45900</v>
      </c>
      <c r="D1042" s="25" t="s">
        <v>3350</v>
      </c>
      <c r="E1042" s="25" t="s">
        <v>301</v>
      </c>
      <c r="F1042" s="53" t="s">
        <v>3813</v>
      </c>
      <c r="G1042" s="28">
        <v>0</v>
      </c>
    </row>
    <row r="1043" spans="1:7" x14ac:dyDescent="0.35">
      <c r="A1043" s="22" t="s">
        <v>2549</v>
      </c>
      <c r="B1043" s="18" t="s">
        <v>2633</v>
      </c>
      <c r="C1043" s="26">
        <v>45900</v>
      </c>
      <c r="D1043" s="25" t="s">
        <v>3357</v>
      </c>
      <c r="E1043" s="25" t="s">
        <v>3509</v>
      </c>
      <c r="F1043" s="53" t="s">
        <v>3813</v>
      </c>
      <c r="G1043" s="28">
        <v>0</v>
      </c>
    </row>
    <row r="1044" spans="1:7" x14ac:dyDescent="0.35">
      <c r="A1044" s="22" t="s">
        <v>2549</v>
      </c>
      <c r="B1044" s="18" t="s">
        <v>2633</v>
      </c>
      <c r="C1044" s="26">
        <v>45900</v>
      </c>
      <c r="D1044" s="25" t="s">
        <v>3358</v>
      </c>
      <c r="E1044" s="25" t="s">
        <v>1757</v>
      </c>
      <c r="F1044" s="53" t="s">
        <v>3813</v>
      </c>
      <c r="G1044" s="28">
        <v>8003.78</v>
      </c>
    </row>
    <row r="1045" spans="1:7" x14ac:dyDescent="0.35">
      <c r="A1045" s="22" t="s">
        <v>2549</v>
      </c>
      <c r="B1045" s="18" t="s">
        <v>2633</v>
      </c>
      <c r="C1045" s="26">
        <v>45900</v>
      </c>
      <c r="D1045" s="25" t="s">
        <v>3365</v>
      </c>
      <c r="E1045" s="25" t="s">
        <v>1757</v>
      </c>
      <c r="F1045" s="53" t="s">
        <v>3813</v>
      </c>
      <c r="G1045" s="28">
        <v>3603.25</v>
      </c>
    </row>
    <row r="1046" spans="1:7" x14ac:dyDescent="0.35">
      <c r="A1046" s="22" t="s">
        <v>2549</v>
      </c>
      <c r="B1046" s="18" t="s">
        <v>2633</v>
      </c>
      <c r="C1046" s="26">
        <v>45900</v>
      </c>
      <c r="D1046" s="25" t="s">
        <v>3377</v>
      </c>
      <c r="E1046" s="25" t="s">
        <v>2514</v>
      </c>
      <c r="F1046" s="53" t="s">
        <v>3813</v>
      </c>
      <c r="G1046" s="28">
        <v>121.39</v>
      </c>
    </row>
    <row r="1047" spans="1:7" x14ac:dyDescent="0.35">
      <c r="A1047" s="22" t="s">
        <v>2549</v>
      </c>
      <c r="B1047" s="18" t="s">
        <v>2633</v>
      </c>
      <c r="C1047" s="26">
        <v>45900</v>
      </c>
      <c r="D1047" s="25" t="s">
        <v>3395</v>
      </c>
      <c r="E1047" s="25" t="s">
        <v>2459</v>
      </c>
      <c r="F1047" s="53" t="s">
        <v>3813</v>
      </c>
      <c r="G1047" s="28">
        <v>300</v>
      </c>
    </row>
    <row r="1048" spans="1:7" x14ac:dyDescent="0.35">
      <c r="A1048" s="22" t="s">
        <v>2549</v>
      </c>
      <c r="B1048" s="18" t="s">
        <v>2633</v>
      </c>
      <c r="C1048" s="26">
        <v>45900</v>
      </c>
      <c r="D1048" s="25" t="s">
        <v>3575</v>
      </c>
      <c r="E1048" s="25" t="s">
        <v>3576</v>
      </c>
      <c r="F1048" s="53" t="s">
        <v>3813</v>
      </c>
      <c r="G1048" s="28">
        <v>7000</v>
      </c>
    </row>
    <row r="1049" spans="1:7" x14ac:dyDescent="0.35">
      <c r="A1049" s="22" t="s">
        <v>2549</v>
      </c>
      <c r="B1049" s="18" t="s">
        <v>2633</v>
      </c>
      <c r="C1049" s="26">
        <v>45900</v>
      </c>
      <c r="D1049" s="25" t="s">
        <v>3398</v>
      </c>
      <c r="E1049" s="25" t="s">
        <v>301</v>
      </c>
      <c r="F1049" s="53" t="s">
        <v>3813</v>
      </c>
      <c r="G1049" s="28">
        <v>0</v>
      </c>
    </row>
    <row r="1050" spans="1:7" x14ac:dyDescent="0.35">
      <c r="A1050" s="22" t="s">
        <v>2549</v>
      </c>
      <c r="B1050" s="18" t="s">
        <v>2633</v>
      </c>
      <c r="C1050" s="26">
        <v>45900</v>
      </c>
      <c r="D1050" s="25" t="s">
        <v>3399</v>
      </c>
      <c r="E1050" s="25" t="s">
        <v>301</v>
      </c>
      <c r="F1050" s="53" t="s">
        <v>3813</v>
      </c>
      <c r="G1050" s="28">
        <v>0</v>
      </c>
    </row>
    <row r="1051" spans="1:7" x14ac:dyDescent="0.35">
      <c r="A1051" s="22" t="s">
        <v>2549</v>
      </c>
      <c r="B1051" s="18" t="s">
        <v>2633</v>
      </c>
      <c r="C1051" s="26">
        <v>45900</v>
      </c>
      <c r="D1051" s="25" t="s">
        <v>3400</v>
      </c>
      <c r="E1051" s="25" t="s">
        <v>301</v>
      </c>
      <c r="F1051" s="53" t="s">
        <v>3813</v>
      </c>
      <c r="G1051" s="28">
        <v>0</v>
      </c>
    </row>
    <row r="1052" spans="1:7" x14ac:dyDescent="0.35">
      <c r="A1052" s="22" t="s">
        <v>2549</v>
      </c>
      <c r="B1052" s="18" t="s">
        <v>2633</v>
      </c>
      <c r="C1052" s="26">
        <v>45900</v>
      </c>
      <c r="D1052" s="25" t="s">
        <v>3401</v>
      </c>
      <c r="E1052" s="25" t="s">
        <v>301</v>
      </c>
      <c r="F1052" s="53" t="s">
        <v>3813</v>
      </c>
      <c r="G1052" s="28">
        <v>0</v>
      </c>
    </row>
    <row r="1053" spans="1:7" x14ac:dyDescent="0.35">
      <c r="A1053" s="22" t="s">
        <v>2549</v>
      </c>
      <c r="B1053" s="18" t="s">
        <v>2633</v>
      </c>
      <c r="C1053" s="26">
        <v>45900</v>
      </c>
      <c r="D1053" s="25" t="s">
        <v>3412</v>
      </c>
      <c r="E1053" s="25" t="s">
        <v>1999</v>
      </c>
      <c r="F1053" s="53" t="s">
        <v>3813</v>
      </c>
      <c r="G1053" s="28">
        <v>3099.25</v>
      </c>
    </row>
    <row r="1054" spans="1:7" x14ac:dyDescent="0.35">
      <c r="A1054" s="22" t="s">
        <v>2549</v>
      </c>
      <c r="B1054" s="18" t="s">
        <v>2633</v>
      </c>
      <c r="C1054" s="26">
        <v>45900</v>
      </c>
      <c r="D1054" s="25" t="s">
        <v>3416</v>
      </c>
      <c r="E1054" s="25" t="s">
        <v>301</v>
      </c>
      <c r="F1054" s="53" t="s">
        <v>3813</v>
      </c>
      <c r="G1054" s="28">
        <v>0</v>
      </c>
    </row>
    <row r="1055" spans="1:7" x14ac:dyDescent="0.35">
      <c r="A1055" s="22" t="s">
        <v>2549</v>
      </c>
      <c r="B1055" s="18" t="s">
        <v>2633</v>
      </c>
      <c r="C1055" s="26">
        <v>45900</v>
      </c>
      <c r="D1055" s="25">
        <v>37354</v>
      </c>
      <c r="E1055" s="25" t="s">
        <v>3511</v>
      </c>
      <c r="F1055" s="53" t="s">
        <v>3813</v>
      </c>
      <c r="G1055" s="28">
        <v>400</v>
      </c>
    </row>
    <row r="1056" spans="1:7" x14ac:dyDescent="0.35">
      <c r="A1056" s="22" t="s">
        <v>2549</v>
      </c>
      <c r="B1056" s="18" t="s">
        <v>2633</v>
      </c>
      <c r="C1056" s="26">
        <v>45900</v>
      </c>
      <c r="D1056" s="25" t="s">
        <v>3429</v>
      </c>
      <c r="E1056" s="25" t="s">
        <v>2144</v>
      </c>
      <c r="F1056" s="53" t="s">
        <v>3813</v>
      </c>
      <c r="G1056" s="28">
        <v>15488.2</v>
      </c>
    </row>
    <row r="1057" spans="1:7" x14ac:dyDescent="0.35">
      <c r="A1057" s="22" t="s">
        <v>2549</v>
      </c>
      <c r="B1057" s="18" t="s">
        <v>2633</v>
      </c>
      <c r="C1057" s="26">
        <v>45900</v>
      </c>
      <c r="D1057" s="25" t="s">
        <v>3435</v>
      </c>
      <c r="E1057" s="25" t="s">
        <v>2220</v>
      </c>
      <c r="F1057" s="53" t="s">
        <v>3813</v>
      </c>
      <c r="G1057" s="28">
        <v>78228.36</v>
      </c>
    </row>
    <row r="1058" spans="1:7" x14ac:dyDescent="0.35">
      <c r="A1058" s="22" t="s">
        <v>2549</v>
      </c>
      <c r="B1058" s="18" t="s">
        <v>2633</v>
      </c>
      <c r="C1058" s="26">
        <v>45900</v>
      </c>
      <c r="D1058" s="25" t="s">
        <v>3445</v>
      </c>
      <c r="E1058" s="25" t="s">
        <v>301</v>
      </c>
      <c r="F1058" s="53" t="s">
        <v>3813</v>
      </c>
      <c r="G1058" s="28">
        <v>0</v>
      </c>
    </row>
    <row r="1059" spans="1:7" x14ac:dyDescent="0.35">
      <c r="A1059" s="22" t="s">
        <v>2549</v>
      </c>
      <c r="B1059" s="18" t="s">
        <v>2633</v>
      </c>
      <c r="C1059" s="26">
        <v>45900</v>
      </c>
      <c r="D1059" s="25">
        <v>38262</v>
      </c>
      <c r="E1059" s="25" t="s">
        <v>2677</v>
      </c>
      <c r="F1059" s="53" t="s">
        <v>3813</v>
      </c>
      <c r="G1059" s="28">
        <v>9650</v>
      </c>
    </row>
    <row r="1060" spans="1:7" x14ac:dyDescent="0.35">
      <c r="A1060" s="22" t="s">
        <v>2549</v>
      </c>
      <c r="B1060" s="18" t="s">
        <v>2633</v>
      </c>
      <c r="C1060" s="26">
        <v>45900</v>
      </c>
      <c r="D1060" s="25" t="s">
        <v>3450</v>
      </c>
      <c r="E1060" s="25" t="s">
        <v>2677</v>
      </c>
      <c r="F1060" s="53" t="s">
        <v>3813</v>
      </c>
      <c r="G1060" s="28">
        <v>3395.46</v>
      </c>
    </row>
    <row r="1061" spans="1:7" x14ac:dyDescent="0.35">
      <c r="A1061" s="22" t="s">
        <v>2549</v>
      </c>
      <c r="B1061" s="18" t="s">
        <v>2633</v>
      </c>
      <c r="C1061" s="26">
        <v>45900</v>
      </c>
      <c r="D1061" s="25">
        <v>38527</v>
      </c>
      <c r="E1061" s="25" t="s">
        <v>3518</v>
      </c>
      <c r="F1061" s="53" t="s">
        <v>3813</v>
      </c>
      <c r="G1061" s="28">
        <v>500</v>
      </c>
    </row>
    <row r="1062" spans="1:7" x14ac:dyDescent="0.35">
      <c r="A1062" s="22" t="s">
        <v>2549</v>
      </c>
      <c r="B1062" s="18" t="s">
        <v>2633</v>
      </c>
      <c r="C1062" s="26">
        <v>45900</v>
      </c>
      <c r="D1062" s="25">
        <v>38557</v>
      </c>
      <c r="E1062" s="25" t="s">
        <v>301</v>
      </c>
      <c r="F1062" s="53" t="s">
        <v>3813</v>
      </c>
      <c r="G1062" s="28">
        <v>4381.5</v>
      </c>
    </row>
    <row r="1063" spans="1:7" x14ac:dyDescent="0.35">
      <c r="A1063" s="22" t="s">
        <v>2549</v>
      </c>
      <c r="B1063" s="18" t="s">
        <v>2633</v>
      </c>
      <c r="C1063" s="26">
        <v>45900</v>
      </c>
      <c r="D1063" s="25">
        <v>38621</v>
      </c>
      <c r="E1063" s="25" t="s">
        <v>2459</v>
      </c>
      <c r="F1063" s="53" t="s">
        <v>3813</v>
      </c>
      <c r="G1063" s="28">
        <v>600</v>
      </c>
    </row>
    <row r="1064" spans="1:7" x14ac:dyDescent="0.35">
      <c r="A1064" s="22" t="s">
        <v>2549</v>
      </c>
      <c r="B1064" s="18" t="s">
        <v>2633</v>
      </c>
      <c r="C1064" s="26">
        <v>45900</v>
      </c>
      <c r="D1064" s="25">
        <v>38726</v>
      </c>
      <c r="E1064" s="25" t="s">
        <v>3523</v>
      </c>
      <c r="F1064" s="53" t="s">
        <v>3813</v>
      </c>
      <c r="G1064" s="28">
        <v>170</v>
      </c>
    </row>
    <row r="1065" spans="1:7" x14ac:dyDescent="0.35">
      <c r="A1065" s="22" t="s">
        <v>2549</v>
      </c>
      <c r="B1065" s="18" t="s">
        <v>2633</v>
      </c>
      <c r="C1065" s="26">
        <v>45900</v>
      </c>
      <c r="D1065" s="25">
        <v>38744</v>
      </c>
      <c r="E1065" s="25" t="s">
        <v>3525</v>
      </c>
      <c r="F1065" s="53" t="s">
        <v>3813</v>
      </c>
      <c r="G1065" s="28">
        <v>650</v>
      </c>
    </row>
    <row r="1066" spans="1:7" x14ac:dyDescent="0.35">
      <c r="A1066" s="22" t="s">
        <v>2549</v>
      </c>
      <c r="B1066" s="18" t="s">
        <v>2633</v>
      </c>
      <c r="C1066" s="26">
        <v>45900</v>
      </c>
      <c r="D1066" s="25">
        <v>38758</v>
      </c>
      <c r="E1066" s="25" t="s">
        <v>3475</v>
      </c>
      <c r="F1066" s="53" t="s">
        <v>3813</v>
      </c>
      <c r="G1066" s="28">
        <v>16.260000000000002</v>
      </c>
    </row>
    <row r="1067" spans="1:7" x14ac:dyDescent="0.35">
      <c r="A1067" s="22" t="s">
        <v>2549</v>
      </c>
      <c r="B1067" s="18" t="s">
        <v>2633</v>
      </c>
      <c r="C1067" s="26">
        <v>45900</v>
      </c>
      <c r="D1067" s="25">
        <v>38800</v>
      </c>
      <c r="E1067" s="25" t="s">
        <v>3530</v>
      </c>
      <c r="F1067" s="53" t="s">
        <v>3813</v>
      </c>
      <c r="G1067" s="28">
        <v>534.33000000000004</v>
      </c>
    </row>
    <row r="1068" spans="1:7" x14ac:dyDescent="0.35">
      <c r="A1068" s="22" t="s">
        <v>2549</v>
      </c>
      <c r="B1068" s="18" t="s">
        <v>2633</v>
      </c>
      <c r="C1068" s="26">
        <v>45900</v>
      </c>
      <c r="D1068" s="25">
        <v>38801</v>
      </c>
      <c r="E1068" s="25" t="s">
        <v>3531</v>
      </c>
      <c r="F1068" s="53" t="s">
        <v>3813</v>
      </c>
      <c r="G1068" s="28">
        <v>44.73</v>
      </c>
    </row>
    <row r="1069" spans="1:7" x14ac:dyDescent="0.35">
      <c r="A1069" s="22" t="s">
        <v>2549</v>
      </c>
      <c r="B1069" s="18" t="s">
        <v>2633</v>
      </c>
      <c r="C1069" s="26">
        <v>45900</v>
      </c>
      <c r="D1069" s="25">
        <v>38803</v>
      </c>
      <c r="E1069" s="25" t="s">
        <v>3532</v>
      </c>
      <c r="F1069" s="53" t="s">
        <v>3813</v>
      </c>
      <c r="G1069" s="28">
        <v>250</v>
      </c>
    </row>
    <row r="1070" spans="1:7" x14ac:dyDescent="0.35">
      <c r="A1070" s="22" t="s">
        <v>2549</v>
      </c>
      <c r="B1070" s="18" t="s">
        <v>2633</v>
      </c>
      <c r="C1070" s="26">
        <v>45900</v>
      </c>
      <c r="D1070" s="25">
        <v>38807</v>
      </c>
      <c r="E1070" s="25" t="s">
        <v>3577</v>
      </c>
      <c r="F1070" s="53" t="s">
        <v>3813</v>
      </c>
      <c r="G1070" s="28">
        <v>9967.1999999999989</v>
      </c>
    </row>
    <row r="1071" spans="1:7" x14ac:dyDescent="0.35">
      <c r="A1071" s="22" t="s">
        <v>2549</v>
      </c>
      <c r="B1071" s="18" t="s">
        <v>2633</v>
      </c>
      <c r="C1071" s="26">
        <v>45900</v>
      </c>
      <c r="D1071" s="25">
        <v>38820</v>
      </c>
      <c r="E1071" s="25" t="s">
        <v>3537</v>
      </c>
      <c r="F1071" s="53" t="s">
        <v>3813</v>
      </c>
      <c r="G1071" s="28">
        <v>-50000</v>
      </c>
    </row>
    <row r="1072" spans="1:7" x14ac:dyDescent="0.35">
      <c r="A1072" s="22" t="s">
        <v>2549</v>
      </c>
      <c r="B1072" s="18" t="s">
        <v>2633</v>
      </c>
      <c r="C1072" s="26">
        <v>45900</v>
      </c>
      <c r="D1072" s="25">
        <v>38822</v>
      </c>
      <c r="E1072" s="25" t="s">
        <v>3578</v>
      </c>
      <c r="F1072" s="53" t="s">
        <v>3813</v>
      </c>
      <c r="G1072" s="28">
        <v>4332.9799999999996</v>
      </c>
    </row>
    <row r="1073" spans="1:7" x14ac:dyDescent="0.35">
      <c r="A1073" s="22" t="s">
        <v>2549</v>
      </c>
      <c r="B1073" s="18" t="s">
        <v>2633</v>
      </c>
      <c r="C1073" s="26">
        <v>45900</v>
      </c>
      <c r="D1073" s="25">
        <v>38835</v>
      </c>
      <c r="E1073" s="25" t="s">
        <v>3539</v>
      </c>
      <c r="F1073" s="53" t="s">
        <v>3813</v>
      </c>
      <c r="G1073" s="28">
        <v>51.69</v>
      </c>
    </row>
    <row r="1074" spans="1:7" x14ac:dyDescent="0.35">
      <c r="A1074" s="22" t="s">
        <v>2549</v>
      </c>
      <c r="B1074" s="18" t="s">
        <v>2633</v>
      </c>
      <c r="C1074" s="26">
        <v>45900</v>
      </c>
      <c r="D1074" s="25">
        <v>38843</v>
      </c>
      <c r="E1074" s="25" t="s">
        <v>3497</v>
      </c>
      <c r="F1074" s="53" t="s">
        <v>3813</v>
      </c>
      <c r="G1074" s="28">
        <v>17.18</v>
      </c>
    </row>
    <row r="1075" spans="1:7" x14ac:dyDescent="0.35">
      <c r="A1075" s="22" t="s">
        <v>2549</v>
      </c>
      <c r="B1075" s="18" t="s">
        <v>2633</v>
      </c>
      <c r="C1075" s="26">
        <v>45900</v>
      </c>
      <c r="D1075" s="25">
        <v>38852</v>
      </c>
      <c r="E1075" s="25" t="s">
        <v>3492</v>
      </c>
      <c r="F1075" s="53" t="s">
        <v>3813</v>
      </c>
      <c r="G1075" s="28">
        <v>2894.52</v>
      </c>
    </row>
    <row r="1076" spans="1:7" x14ac:dyDescent="0.35">
      <c r="A1076" s="22" t="s">
        <v>2549</v>
      </c>
      <c r="B1076" s="18" t="s">
        <v>2633</v>
      </c>
      <c r="C1076" s="26">
        <v>45900</v>
      </c>
      <c r="D1076" s="25">
        <v>38853</v>
      </c>
      <c r="E1076" s="25" t="s">
        <v>3542</v>
      </c>
      <c r="F1076" s="53" t="s">
        <v>3813</v>
      </c>
      <c r="G1076" s="28">
        <v>55</v>
      </c>
    </row>
    <row r="1077" spans="1:7" x14ac:dyDescent="0.35">
      <c r="A1077" s="22" t="s">
        <v>2549</v>
      </c>
      <c r="B1077" s="18" t="s">
        <v>2633</v>
      </c>
      <c r="C1077" s="26">
        <v>45900</v>
      </c>
      <c r="D1077" s="25">
        <v>38854</v>
      </c>
      <c r="E1077" s="25" t="s">
        <v>3543</v>
      </c>
      <c r="F1077" s="53" t="s">
        <v>3813</v>
      </c>
      <c r="G1077" s="28">
        <v>189.46</v>
      </c>
    </row>
    <row r="1078" spans="1:7" x14ac:dyDescent="0.35">
      <c r="A1078" s="22" t="s">
        <v>2549</v>
      </c>
      <c r="B1078" s="18" t="s">
        <v>2633</v>
      </c>
      <c r="C1078" s="26">
        <v>45900</v>
      </c>
      <c r="D1078" s="25">
        <v>38865</v>
      </c>
      <c r="E1078" s="25" t="s">
        <v>3546</v>
      </c>
      <c r="F1078" s="53" t="s">
        <v>3813</v>
      </c>
      <c r="G1078" s="28">
        <v>10.41</v>
      </c>
    </row>
    <row r="1079" spans="1:7" x14ac:dyDescent="0.35">
      <c r="A1079" s="22" t="s">
        <v>2549</v>
      </c>
      <c r="B1079" s="18" t="s">
        <v>2633</v>
      </c>
      <c r="C1079" s="26">
        <v>45900</v>
      </c>
      <c r="D1079" s="25">
        <v>38884</v>
      </c>
      <c r="E1079" s="25" t="s">
        <v>3545</v>
      </c>
      <c r="F1079" s="53" t="s">
        <v>3813</v>
      </c>
      <c r="G1079" s="28">
        <v>13.39</v>
      </c>
    </row>
    <row r="1080" spans="1:7" x14ac:dyDescent="0.35">
      <c r="A1080" s="22" t="s">
        <v>2549</v>
      </c>
      <c r="B1080" s="18" t="s">
        <v>2633</v>
      </c>
      <c r="C1080" s="26">
        <v>45900</v>
      </c>
      <c r="D1080" s="25">
        <v>38905</v>
      </c>
      <c r="E1080" s="25" t="s">
        <v>3579</v>
      </c>
      <c r="F1080" s="53" t="s">
        <v>3813</v>
      </c>
      <c r="G1080" s="28">
        <v>45000</v>
      </c>
    </row>
    <row r="1081" spans="1:7" x14ac:dyDescent="0.35">
      <c r="A1081" s="22" t="s">
        <v>2549</v>
      </c>
      <c r="B1081" s="18" t="s">
        <v>2633</v>
      </c>
      <c r="C1081" s="26">
        <v>45900</v>
      </c>
      <c r="D1081" s="25">
        <v>38942</v>
      </c>
      <c r="E1081" s="25" t="s">
        <v>3557</v>
      </c>
      <c r="F1081" s="53" t="s">
        <v>3813</v>
      </c>
      <c r="G1081" s="28">
        <v>14.91</v>
      </c>
    </row>
    <row r="1082" spans="1:7" x14ac:dyDescent="0.35">
      <c r="A1082" s="22" t="s">
        <v>2549</v>
      </c>
      <c r="B1082" s="18" t="s">
        <v>2633</v>
      </c>
      <c r="C1082" s="26">
        <v>45900</v>
      </c>
      <c r="D1082" s="25">
        <v>38959</v>
      </c>
      <c r="E1082" s="25" t="s">
        <v>2854</v>
      </c>
      <c r="F1082" s="53" t="s">
        <v>3813</v>
      </c>
      <c r="G1082" s="28">
        <v>1415.38</v>
      </c>
    </row>
    <row r="1083" spans="1:7" x14ac:dyDescent="0.35">
      <c r="A1083" s="22" t="s">
        <v>2549</v>
      </c>
      <c r="B1083" s="18" t="s">
        <v>2633</v>
      </c>
      <c r="C1083" s="26">
        <v>45900</v>
      </c>
      <c r="D1083" s="25">
        <v>38987</v>
      </c>
      <c r="E1083" s="25" t="s">
        <v>2906</v>
      </c>
      <c r="F1083" s="53" t="s">
        <v>3813</v>
      </c>
      <c r="G1083" s="28">
        <v>514.48</v>
      </c>
    </row>
    <row r="1084" spans="1:7" x14ac:dyDescent="0.35">
      <c r="A1084" s="22" t="s">
        <v>2549</v>
      </c>
      <c r="B1084" s="18" t="s">
        <v>2633</v>
      </c>
      <c r="C1084" s="26">
        <v>45900</v>
      </c>
      <c r="D1084" s="25">
        <v>38997</v>
      </c>
      <c r="E1084" s="25" t="s">
        <v>1924</v>
      </c>
      <c r="F1084" s="53" t="s">
        <v>3813</v>
      </c>
      <c r="G1084" s="28">
        <v>1094.5</v>
      </c>
    </row>
    <row r="1085" spans="1:7" x14ac:dyDescent="0.35">
      <c r="A1085" s="22" t="s">
        <v>2549</v>
      </c>
      <c r="B1085" s="18" t="s">
        <v>2633</v>
      </c>
      <c r="C1085" s="26">
        <v>45900</v>
      </c>
      <c r="D1085" s="25">
        <v>39012</v>
      </c>
      <c r="E1085" s="25" t="s">
        <v>3497</v>
      </c>
      <c r="F1085" s="53" t="s">
        <v>3813</v>
      </c>
      <c r="G1085" s="28">
        <v>36000</v>
      </c>
    </row>
    <row r="1086" spans="1:7" x14ac:dyDescent="0.35">
      <c r="A1086" s="22" t="s">
        <v>2549</v>
      </c>
      <c r="B1086" s="18" t="s">
        <v>2633</v>
      </c>
      <c r="C1086" s="26">
        <v>45900</v>
      </c>
      <c r="D1086" s="25">
        <v>39073</v>
      </c>
      <c r="E1086" s="25" t="s">
        <v>3544</v>
      </c>
      <c r="F1086" s="53" t="s">
        <v>3813</v>
      </c>
      <c r="G1086" s="28">
        <v>425</v>
      </c>
    </row>
    <row r="1087" spans="1:7" x14ac:dyDescent="0.35">
      <c r="A1087" s="22" t="s">
        <v>2549</v>
      </c>
      <c r="B1087" s="18" t="s">
        <v>2633</v>
      </c>
      <c r="C1087" s="26">
        <v>45900</v>
      </c>
      <c r="D1087" s="25">
        <v>39074</v>
      </c>
      <c r="E1087" s="25" t="s">
        <v>3544</v>
      </c>
      <c r="F1087" s="53" t="s">
        <v>3813</v>
      </c>
      <c r="G1087" s="28">
        <v>425</v>
      </c>
    </row>
    <row r="1088" spans="1:7" x14ac:dyDescent="0.35">
      <c r="A1088" s="22" t="s">
        <v>2549</v>
      </c>
      <c r="B1088" s="18" t="s">
        <v>2633</v>
      </c>
      <c r="C1088" s="26">
        <v>45900</v>
      </c>
      <c r="D1088" s="25">
        <v>39084</v>
      </c>
      <c r="E1088" s="25" t="s">
        <v>2459</v>
      </c>
      <c r="F1088" s="53" t="s">
        <v>3813</v>
      </c>
      <c r="G1088" s="28">
        <v>600</v>
      </c>
    </row>
    <row r="1089" spans="1:7" x14ac:dyDescent="0.35">
      <c r="A1089" s="22" t="s">
        <v>2549</v>
      </c>
      <c r="B1089" s="18" t="s">
        <v>2633</v>
      </c>
      <c r="C1089" s="26">
        <v>45900</v>
      </c>
      <c r="D1089" s="25">
        <v>39086</v>
      </c>
      <c r="E1089" s="25" t="s">
        <v>301</v>
      </c>
      <c r="F1089" s="53" t="s">
        <v>3813</v>
      </c>
      <c r="G1089" s="28">
        <v>0</v>
      </c>
    </row>
    <row r="1090" spans="1:7" x14ac:dyDescent="0.35">
      <c r="A1090" s="22" t="s">
        <v>2549</v>
      </c>
      <c r="B1090" s="18" t="s">
        <v>2633</v>
      </c>
      <c r="C1090" s="26">
        <v>45900</v>
      </c>
      <c r="D1090" s="25" t="s">
        <v>3471</v>
      </c>
      <c r="E1090" s="25" t="s">
        <v>301</v>
      </c>
      <c r="F1090" s="53" t="s">
        <v>3813</v>
      </c>
      <c r="G1090" s="28">
        <v>0</v>
      </c>
    </row>
    <row r="1091" spans="1:7" x14ac:dyDescent="0.35">
      <c r="A1091" s="22" t="s">
        <v>2549</v>
      </c>
      <c r="B1091" s="25" t="s">
        <v>2634</v>
      </c>
      <c r="C1091" s="26">
        <v>45873</v>
      </c>
      <c r="D1091" s="25" t="s">
        <v>2638</v>
      </c>
      <c r="E1091" s="25" t="s">
        <v>1475</v>
      </c>
      <c r="F1091" s="60" t="s">
        <v>4052</v>
      </c>
      <c r="G1091" s="28">
        <v>22599.1</v>
      </c>
    </row>
    <row r="1092" spans="1:7" x14ac:dyDescent="0.35">
      <c r="A1092" s="22" t="s">
        <v>2549</v>
      </c>
      <c r="B1092" s="25" t="s">
        <v>2634</v>
      </c>
      <c r="C1092" s="26">
        <v>45873</v>
      </c>
      <c r="D1092" s="25">
        <v>38633</v>
      </c>
      <c r="E1092" s="25" t="s">
        <v>2644</v>
      </c>
      <c r="F1092" s="60" t="s">
        <v>4052</v>
      </c>
      <c r="G1092" s="28">
        <v>257.11</v>
      </c>
    </row>
    <row r="1093" spans="1:7" x14ac:dyDescent="0.35">
      <c r="A1093" s="22" t="s">
        <v>2549</v>
      </c>
      <c r="B1093" s="25" t="s">
        <v>2634</v>
      </c>
      <c r="C1093" s="26">
        <v>45876</v>
      </c>
      <c r="D1093" s="25">
        <v>37687</v>
      </c>
      <c r="E1093" s="25" t="s">
        <v>1263</v>
      </c>
      <c r="F1093" s="60" t="s">
        <v>4052</v>
      </c>
      <c r="G1093" s="28">
        <v>50.4</v>
      </c>
    </row>
    <row r="1094" spans="1:7" x14ac:dyDescent="0.35">
      <c r="A1094" s="22" t="s">
        <v>2549</v>
      </c>
      <c r="B1094" s="25" t="s">
        <v>2634</v>
      </c>
      <c r="C1094" s="26">
        <v>45876</v>
      </c>
      <c r="D1094" s="25">
        <v>38661</v>
      </c>
      <c r="E1094" s="25" t="s">
        <v>2650</v>
      </c>
      <c r="F1094" s="60" t="s">
        <v>4052</v>
      </c>
      <c r="G1094" s="28">
        <v>2100</v>
      </c>
    </row>
    <row r="1095" spans="1:7" x14ac:dyDescent="0.35">
      <c r="A1095" s="22" t="s">
        <v>2549</v>
      </c>
      <c r="B1095" s="25" t="s">
        <v>2634</v>
      </c>
      <c r="C1095" s="26">
        <v>45877</v>
      </c>
      <c r="D1095" s="25">
        <v>36248</v>
      </c>
      <c r="E1095" s="25" t="s">
        <v>1839</v>
      </c>
      <c r="F1095" s="60" t="s">
        <v>4052</v>
      </c>
      <c r="G1095" s="28">
        <v>7.28</v>
      </c>
    </row>
    <row r="1096" spans="1:7" x14ac:dyDescent="0.35">
      <c r="A1096" s="22" t="s">
        <v>2549</v>
      </c>
      <c r="B1096" s="25" t="s">
        <v>2634</v>
      </c>
      <c r="C1096" s="26">
        <v>45877</v>
      </c>
      <c r="D1096" s="25">
        <v>36250</v>
      </c>
      <c r="E1096" s="25" t="s">
        <v>1839</v>
      </c>
      <c r="F1096" s="60" t="s">
        <v>4052</v>
      </c>
      <c r="G1096" s="28">
        <v>1499.88</v>
      </c>
    </row>
    <row r="1097" spans="1:7" x14ac:dyDescent="0.35">
      <c r="A1097" s="22" t="s">
        <v>2549</v>
      </c>
      <c r="B1097" s="25" t="s">
        <v>2634</v>
      </c>
      <c r="C1097" s="26">
        <v>45880</v>
      </c>
      <c r="D1097" s="25">
        <v>38260</v>
      </c>
      <c r="E1097" s="25" t="s">
        <v>2677</v>
      </c>
      <c r="F1097" s="60" t="s">
        <v>4052</v>
      </c>
      <c r="G1097" s="28">
        <v>770.3</v>
      </c>
    </row>
    <row r="1098" spans="1:7" x14ac:dyDescent="0.35">
      <c r="A1098" s="22" t="s">
        <v>2549</v>
      </c>
      <c r="B1098" s="25" t="s">
        <v>2634</v>
      </c>
      <c r="C1098" s="26">
        <v>45880</v>
      </c>
      <c r="D1098" s="25">
        <v>38579</v>
      </c>
      <c r="E1098" s="25" t="s">
        <v>2205</v>
      </c>
      <c r="F1098" s="60" t="s">
        <v>4052</v>
      </c>
      <c r="G1098" s="28">
        <v>1455</v>
      </c>
    </row>
    <row r="1099" spans="1:7" x14ac:dyDescent="0.35">
      <c r="A1099" s="22" t="s">
        <v>2549</v>
      </c>
      <c r="B1099" s="25" t="s">
        <v>2634</v>
      </c>
      <c r="C1099" s="26">
        <v>45881</v>
      </c>
      <c r="D1099" s="25" t="s">
        <v>2661</v>
      </c>
      <c r="E1099" s="25" t="s">
        <v>1263</v>
      </c>
      <c r="F1099" s="60" t="s">
        <v>4052</v>
      </c>
      <c r="G1099" s="28">
        <v>4433.1099999999997</v>
      </c>
    </row>
    <row r="1100" spans="1:7" x14ac:dyDescent="0.35">
      <c r="A1100" s="22" t="s">
        <v>2549</v>
      </c>
      <c r="B1100" s="25" t="s">
        <v>2634</v>
      </c>
      <c r="C1100" s="26">
        <v>45881</v>
      </c>
      <c r="D1100" s="25" t="s">
        <v>2667</v>
      </c>
      <c r="E1100" s="25" t="s">
        <v>2677</v>
      </c>
      <c r="F1100" s="60" t="s">
        <v>4052</v>
      </c>
      <c r="G1100" s="28">
        <v>3119.06</v>
      </c>
    </row>
    <row r="1101" spans="1:7" x14ac:dyDescent="0.35">
      <c r="A1101" s="22" t="s">
        <v>2549</v>
      </c>
      <c r="B1101" s="25" t="s">
        <v>2634</v>
      </c>
      <c r="C1101" s="26">
        <v>45881</v>
      </c>
      <c r="D1101" s="25">
        <v>38268</v>
      </c>
      <c r="E1101" s="25" t="s">
        <v>2677</v>
      </c>
      <c r="F1101" s="60" t="s">
        <v>4052</v>
      </c>
      <c r="G1101" s="28">
        <v>59.89</v>
      </c>
    </row>
    <row r="1102" spans="1:7" x14ac:dyDescent="0.35">
      <c r="A1102" s="22" t="s">
        <v>2549</v>
      </c>
      <c r="B1102" s="25" t="s">
        <v>2634</v>
      </c>
      <c r="C1102" s="26">
        <v>45882</v>
      </c>
      <c r="D1102" s="25" t="s">
        <v>2672</v>
      </c>
      <c r="E1102" s="25" t="s">
        <v>2626</v>
      </c>
      <c r="F1102" s="60" t="s">
        <v>4052</v>
      </c>
      <c r="G1102" s="28">
        <v>538.21</v>
      </c>
    </row>
    <row r="1103" spans="1:7" x14ac:dyDescent="0.35">
      <c r="A1103" s="22" t="s">
        <v>2549</v>
      </c>
      <c r="B1103" s="25" t="s">
        <v>2634</v>
      </c>
      <c r="C1103" s="26">
        <v>45887</v>
      </c>
      <c r="D1103" s="25">
        <v>38857</v>
      </c>
      <c r="E1103" s="25" t="s">
        <v>2769</v>
      </c>
      <c r="F1103" s="60" t="s">
        <v>4052</v>
      </c>
      <c r="G1103" s="28">
        <v>1820</v>
      </c>
    </row>
    <row r="1104" spans="1:7" x14ac:dyDescent="0.35">
      <c r="A1104" s="22" t="s">
        <v>2549</v>
      </c>
      <c r="B1104" s="25" t="s">
        <v>2634</v>
      </c>
      <c r="C1104" s="26">
        <v>45894</v>
      </c>
      <c r="D1104" s="25">
        <v>33571</v>
      </c>
      <c r="E1104" s="25" t="s">
        <v>2020</v>
      </c>
      <c r="F1104" s="60" t="s">
        <v>4052</v>
      </c>
      <c r="G1104" s="28">
        <v>109.04</v>
      </c>
    </row>
    <row r="1105" spans="1:7" x14ac:dyDescent="0.35">
      <c r="A1105" s="22" t="s">
        <v>2549</v>
      </c>
      <c r="B1105" s="25" t="s">
        <v>2634</v>
      </c>
      <c r="C1105" s="26">
        <v>45894</v>
      </c>
      <c r="D1105" s="25" t="s">
        <v>4033</v>
      </c>
      <c r="E1105" s="25" t="s">
        <v>2020</v>
      </c>
      <c r="F1105" s="60" t="s">
        <v>4052</v>
      </c>
      <c r="G1105" s="28">
        <v>1.83</v>
      </c>
    </row>
    <row r="1106" spans="1:7" x14ac:dyDescent="0.35">
      <c r="A1106" s="22" t="s">
        <v>2549</v>
      </c>
      <c r="B1106" s="25" t="s">
        <v>2634</v>
      </c>
      <c r="C1106" s="26">
        <v>45894</v>
      </c>
      <c r="D1106" s="25" t="s">
        <v>2685</v>
      </c>
      <c r="E1106" s="25" t="s">
        <v>2020</v>
      </c>
      <c r="F1106" s="60" t="s">
        <v>4052</v>
      </c>
      <c r="G1106" s="28">
        <v>5434.29</v>
      </c>
    </row>
    <row r="1107" spans="1:7" x14ac:dyDescent="0.35">
      <c r="A1107" s="22" t="s">
        <v>2549</v>
      </c>
      <c r="B1107" s="25" t="s">
        <v>2634</v>
      </c>
      <c r="C1107" s="26">
        <v>45894</v>
      </c>
      <c r="D1107" s="25" t="s">
        <v>2689</v>
      </c>
      <c r="E1107" s="25" t="s">
        <v>2020</v>
      </c>
      <c r="F1107" s="60" t="s">
        <v>4052</v>
      </c>
      <c r="G1107" s="28">
        <v>13225.78</v>
      </c>
    </row>
    <row r="1108" spans="1:7" x14ac:dyDescent="0.35">
      <c r="A1108" s="22" t="s">
        <v>2549</v>
      </c>
      <c r="B1108" s="25" t="s">
        <v>2634</v>
      </c>
      <c r="C1108" s="26">
        <v>45894</v>
      </c>
      <c r="D1108" s="25">
        <v>36943</v>
      </c>
      <c r="E1108" s="25" t="s">
        <v>1272</v>
      </c>
      <c r="F1108" s="60" t="s">
        <v>4052</v>
      </c>
      <c r="G1108" s="28">
        <v>0</v>
      </c>
    </row>
    <row r="1109" spans="1:7" x14ac:dyDescent="0.35">
      <c r="A1109" s="22" t="s">
        <v>2549</v>
      </c>
      <c r="B1109" s="25" t="s">
        <v>2634</v>
      </c>
      <c r="C1109" s="26">
        <v>45898</v>
      </c>
      <c r="D1109" s="25">
        <v>38185</v>
      </c>
      <c r="E1109" s="25" t="s">
        <v>2626</v>
      </c>
      <c r="F1109" s="60" t="s">
        <v>4052</v>
      </c>
      <c r="G1109" s="28">
        <v>4800.01</v>
      </c>
    </row>
    <row r="1110" spans="1:7" x14ac:dyDescent="0.35">
      <c r="A1110" s="22" t="s">
        <v>2549</v>
      </c>
      <c r="B1110" s="25" t="s">
        <v>2634</v>
      </c>
      <c r="C1110" s="26">
        <v>45898</v>
      </c>
      <c r="D1110" s="25">
        <v>38199</v>
      </c>
      <c r="E1110" s="25" t="s">
        <v>2626</v>
      </c>
      <c r="F1110" s="60" t="s">
        <v>4052</v>
      </c>
      <c r="G1110" s="28">
        <v>5718.88</v>
      </c>
    </row>
    <row r="1111" spans="1:7" x14ac:dyDescent="0.35">
      <c r="A1111" s="22" t="s">
        <v>2549</v>
      </c>
      <c r="B1111" s="25" t="s">
        <v>2634</v>
      </c>
      <c r="C1111" s="26">
        <v>45898</v>
      </c>
      <c r="D1111" s="25" t="s">
        <v>2702</v>
      </c>
      <c r="E1111" s="25" t="s">
        <v>2626</v>
      </c>
      <c r="F1111" s="60" t="s">
        <v>4052</v>
      </c>
      <c r="G1111" s="28">
        <v>4539.33</v>
      </c>
    </row>
    <row r="1112" spans="1:7" x14ac:dyDescent="0.35">
      <c r="A1112" s="22" t="s">
        <v>2549</v>
      </c>
      <c r="B1112" s="25" t="s">
        <v>2634</v>
      </c>
      <c r="C1112" s="26">
        <v>45898</v>
      </c>
      <c r="D1112" s="25">
        <v>38851</v>
      </c>
      <c r="E1112" s="25" t="s">
        <v>2892</v>
      </c>
      <c r="F1112" s="60" t="s">
        <v>4052</v>
      </c>
      <c r="G1112" s="28">
        <v>4550</v>
      </c>
    </row>
    <row r="1113" spans="1:7" x14ac:dyDescent="0.35">
      <c r="A1113" s="22" t="s">
        <v>2549</v>
      </c>
      <c r="B1113" s="25" t="s">
        <v>2634</v>
      </c>
      <c r="C1113" s="26">
        <v>45898</v>
      </c>
      <c r="D1113" s="25">
        <v>38881</v>
      </c>
      <c r="E1113" s="25" t="s">
        <v>2894</v>
      </c>
      <c r="F1113" s="60" t="s">
        <v>4052</v>
      </c>
      <c r="G1113" s="28">
        <v>250</v>
      </c>
    </row>
    <row r="1114" spans="1:7" x14ac:dyDescent="0.35">
      <c r="A1114" s="22" t="s">
        <v>2549</v>
      </c>
      <c r="B1114" s="25" t="s">
        <v>2634</v>
      </c>
      <c r="C1114" s="26">
        <v>45898</v>
      </c>
      <c r="D1114" s="25">
        <v>38893</v>
      </c>
      <c r="E1114" s="25" t="s">
        <v>2894</v>
      </c>
      <c r="F1114" s="60" t="s">
        <v>4052</v>
      </c>
      <c r="G1114" s="28">
        <v>887</v>
      </c>
    </row>
    <row r="1115" spans="1:7" x14ac:dyDescent="0.35">
      <c r="A1115" s="22" t="s">
        <v>2549</v>
      </c>
      <c r="B1115" s="25" t="s">
        <v>2634</v>
      </c>
      <c r="C1115" s="26">
        <v>45898</v>
      </c>
      <c r="D1115" s="25">
        <v>39125</v>
      </c>
      <c r="E1115" s="25" t="s">
        <v>1223</v>
      </c>
      <c r="F1115" s="60" t="s">
        <v>4052</v>
      </c>
      <c r="G1115" s="28">
        <v>509579.86</v>
      </c>
    </row>
    <row r="1116" spans="1:7" x14ac:dyDescent="0.35">
      <c r="A1116" s="22" t="s">
        <v>2549</v>
      </c>
      <c r="B1116" s="25" t="s">
        <v>2634</v>
      </c>
      <c r="C1116" s="26">
        <v>45899</v>
      </c>
      <c r="D1116" s="25">
        <v>35818</v>
      </c>
      <c r="E1116" s="25" t="s">
        <v>1277</v>
      </c>
      <c r="F1116" s="60" t="s">
        <v>4052</v>
      </c>
      <c r="G1116" s="28">
        <v>7735.76</v>
      </c>
    </row>
    <row r="1117" spans="1:7" x14ac:dyDescent="0.35">
      <c r="A1117" s="22" t="s">
        <v>2549</v>
      </c>
      <c r="B1117" s="25" t="s">
        <v>2634</v>
      </c>
      <c r="C1117" s="26">
        <v>45899</v>
      </c>
      <c r="D1117" s="25">
        <v>36512</v>
      </c>
      <c r="E1117" s="25" t="s">
        <v>2231</v>
      </c>
      <c r="F1117" s="60" t="s">
        <v>4052</v>
      </c>
      <c r="G1117" s="28">
        <v>2472.11</v>
      </c>
    </row>
    <row r="1118" spans="1:7" x14ac:dyDescent="0.35">
      <c r="A1118" s="22" t="s">
        <v>2549</v>
      </c>
      <c r="B1118" s="25" t="s">
        <v>2634</v>
      </c>
      <c r="C1118" s="26">
        <v>45899</v>
      </c>
      <c r="D1118" s="25" t="s">
        <v>3112</v>
      </c>
      <c r="E1118" s="25" t="s">
        <v>989</v>
      </c>
      <c r="F1118" s="60" t="s">
        <v>4052</v>
      </c>
      <c r="G1118" s="28">
        <v>632.30999999999995</v>
      </c>
    </row>
    <row r="1119" spans="1:7" x14ac:dyDescent="0.35">
      <c r="A1119" s="22" t="s">
        <v>2549</v>
      </c>
      <c r="B1119" s="25" t="s">
        <v>2634</v>
      </c>
      <c r="C1119" s="26">
        <v>45899</v>
      </c>
      <c r="D1119" s="25">
        <v>38051</v>
      </c>
      <c r="E1119" s="25" t="s">
        <v>3470</v>
      </c>
      <c r="F1119" s="60" t="s">
        <v>4052</v>
      </c>
      <c r="G1119" s="28">
        <v>2440</v>
      </c>
    </row>
    <row r="1120" spans="1:7" x14ac:dyDescent="0.35">
      <c r="A1120" s="22" t="s">
        <v>2549</v>
      </c>
      <c r="B1120" s="25" t="s">
        <v>2634</v>
      </c>
      <c r="C1120" s="26">
        <v>45899</v>
      </c>
      <c r="D1120" s="25">
        <v>38229</v>
      </c>
      <c r="E1120" s="25" t="s">
        <v>1426</v>
      </c>
      <c r="F1120" s="60" t="s">
        <v>4052</v>
      </c>
      <c r="G1120" s="28">
        <v>749.08</v>
      </c>
    </row>
    <row r="1121" spans="1:7" x14ac:dyDescent="0.35">
      <c r="A1121" s="22" t="s">
        <v>2549</v>
      </c>
      <c r="B1121" s="25" t="s">
        <v>2634</v>
      </c>
      <c r="C1121" s="26">
        <v>45899</v>
      </c>
      <c r="D1121" s="25">
        <v>38230</v>
      </c>
      <c r="E1121" s="25" t="s">
        <v>3487</v>
      </c>
      <c r="F1121" s="60" t="s">
        <v>4052</v>
      </c>
      <c r="G1121" s="28">
        <v>1725</v>
      </c>
    </row>
    <row r="1122" spans="1:7" x14ac:dyDescent="0.35">
      <c r="A1122" s="22" t="s">
        <v>2549</v>
      </c>
      <c r="B1122" s="25" t="s">
        <v>2634</v>
      </c>
      <c r="C1122" s="26">
        <v>45899</v>
      </c>
      <c r="D1122" s="25" t="s">
        <v>3229</v>
      </c>
      <c r="E1122" s="25" t="s">
        <v>2677</v>
      </c>
      <c r="F1122" s="60" t="s">
        <v>4052</v>
      </c>
      <c r="G1122" s="28">
        <v>3894.55</v>
      </c>
    </row>
    <row r="1123" spans="1:7" x14ac:dyDescent="0.35">
      <c r="A1123" s="22" t="s">
        <v>2549</v>
      </c>
      <c r="B1123" s="25" t="s">
        <v>2634</v>
      </c>
      <c r="C1123" s="26">
        <v>45899</v>
      </c>
      <c r="D1123" s="25">
        <v>38254</v>
      </c>
      <c r="E1123" s="25" t="s">
        <v>2677</v>
      </c>
      <c r="F1123" s="60" t="s">
        <v>4052</v>
      </c>
      <c r="G1123" s="28">
        <v>9126.7800000000007</v>
      </c>
    </row>
    <row r="1124" spans="1:7" x14ac:dyDescent="0.35">
      <c r="A1124" s="22" t="s">
        <v>2549</v>
      </c>
      <c r="B1124" s="25" t="s">
        <v>2634</v>
      </c>
      <c r="C1124" s="26">
        <v>45899</v>
      </c>
      <c r="D1124" s="25" t="s">
        <v>3231</v>
      </c>
      <c r="E1124" s="25" t="s">
        <v>2677</v>
      </c>
      <c r="F1124" s="60" t="s">
        <v>4052</v>
      </c>
      <c r="G1124" s="28">
        <v>36013.69</v>
      </c>
    </row>
    <row r="1125" spans="1:7" x14ac:dyDescent="0.35">
      <c r="A1125" s="22" t="s">
        <v>2549</v>
      </c>
      <c r="B1125" s="25" t="s">
        <v>2634</v>
      </c>
      <c r="C1125" s="26">
        <v>45899</v>
      </c>
      <c r="D1125" s="25" t="s">
        <v>3232</v>
      </c>
      <c r="E1125" s="25" t="s">
        <v>2677</v>
      </c>
      <c r="F1125" s="60" t="s">
        <v>4052</v>
      </c>
      <c r="G1125" s="28">
        <v>3623.9</v>
      </c>
    </row>
    <row r="1126" spans="1:7" x14ac:dyDescent="0.35">
      <c r="A1126" s="22" t="s">
        <v>2549</v>
      </c>
      <c r="B1126" s="25" t="s">
        <v>2634</v>
      </c>
      <c r="C1126" s="26">
        <v>45899</v>
      </c>
      <c r="D1126" s="25" t="s">
        <v>3233</v>
      </c>
      <c r="E1126" s="25" t="s">
        <v>2677</v>
      </c>
      <c r="F1126" s="60" t="s">
        <v>4052</v>
      </c>
      <c r="G1126" s="28">
        <v>15172</v>
      </c>
    </row>
    <row r="1127" spans="1:7" x14ac:dyDescent="0.35">
      <c r="A1127" s="22" t="s">
        <v>2549</v>
      </c>
      <c r="B1127" s="25" t="s">
        <v>2634</v>
      </c>
      <c r="C1127" s="26">
        <v>45899</v>
      </c>
      <c r="D1127" s="25">
        <v>38263</v>
      </c>
      <c r="E1127" s="25" t="s">
        <v>2677</v>
      </c>
      <c r="F1127" s="60" t="s">
        <v>4052</v>
      </c>
      <c r="G1127" s="28">
        <v>156.41999999999999</v>
      </c>
    </row>
    <row r="1128" spans="1:7" x14ac:dyDescent="0.35">
      <c r="A1128" s="22" t="s">
        <v>2549</v>
      </c>
      <c r="B1128" s="25" t="s">
        <v>2634</v>
      </c>
      <c r="C1128" s="26">
        <v>45899</v>
      </c>
      <c r="D1128" s="25">
        <v>38265</v>
      </c>
      <c r="E1128" s="25" t="s">
        <v>2677</v>
      </c>
      <c r="F1128" s="60" t="s">
        <v>4052</v>
      </c>
      <c r="G1128" s="28">
        <v>2826.34</v>
      </c>
    </row>
    <row r="1129" spans="1:7" x14ac:dyDescent="0.35">
      <c r="A1129" s="22" t="s">
        <v>2549</v>
      </c>
      <c r="B1129" s="25" t="s">
        <v>2634</v>
      </c>
      <c r="C1129" s="26">
        <v>45899</v>
      </c>
      <c r="D1129" s="25">
        <v>38266</v>
      </c>
      <c r="E1129" s="25" t="s">
        <v>2677</v>
      </c>
      <c r="F1129" s="60" t="s">
        <v>4052</v>
      </c>
      <c r="G1129" s="28">
        <v>2840.25</v>
      </c>
    </row>
    <row r="1130" spans="1:7" x14ac:dyDescent="0.35">
      <c r="A1130" s="22" t="s">
        <v>2549</v>
      </c>
      <c r="B1130" s="25" t="s">
        <v>2634</v>
      </c>
      <c r="C1130" s="26">
        <v>45899</v>
      </c>
      <c r="D1130" s="25">
        <v>38546</v>
      </c>
      <c r="E1130" s="25" t="s">
        <v>2266</v>
      </c>
      <c r="F1130" s="60" t="s">
        <v>4052</v>
      </c>
      <c r="G1130" s="28">
        <v>2018</v>
      </c>
    </row>
    <row r="1131" spans="1:7" x14ac:dyDescent="0.35">
      <c r="A1131" s="22" t="s">
        <v>2549</v>
      </c>
      <c r="B1131" s="25" t="s">
        <v>2634</v>
      </c>
      <c r="C1131" s="26">
        <v>45899</v>
      </c>
      <c r="D1131" s="25" t="s">
        <v>3288</v>
      </c>
      <c r="E1131" s="25" t="s">
        <v>1582</v>
      </c>
      <c r="F1131" s="60" t="s">
        <v>4052</v>
      </c>
      <c r="G1131" s="28">
        <v>26382.55</v>
      </c>
    </row>
    <row r="1132" spans="1:7" x14ac:dyDescent="0.35">
      <c r="A1132" s="22" t="s">
        <v>2549</v>
      </c>
      <c r="B1132" s="25" t="s">
        <v>2634</v>
      </c>
      <c r="C1132" s="26">
        <v>45899</v>
      </c>
      <c r="D1132" s="25">
        <v>38651</v>
      </c>
      <c r="E1132" s="25" t="s">
        <v>2231</v>
      </c>
      <c r="F1132" s="60" t="s">
        <v>4052</v>
      </c>
      <c r="G1132" s="28">
        <v>2064.11</v>
      </c>
    </row>
    <row r="1133" spans="1:7" x14ac:dyDescent="0.35">
      <c r="A1133" s="22" t="s">
        <v>2549</v>
      </c>
      <c r="B1133" s="25" t="s">
        <v>2634</v>
      </c>
      <c r="C1133" s="26">
        <v>45899</v>
      </c>
      <c r="D1133" s="25">
        <v>38791</v>
      </c>
      <c r="E1133" s="25" t="s">
        <v>3496</v>
      </c>
      <c r="F1133" s="60" t="s">
        <v>4052</v>
      </c>
      <c r="G1133" s="28">
        <v>847.22</v>
      </c>
    </row>
    <row r="1134" spans="1:7" x14ac:dyDescent="0.35">
      <c r="A1134" s="22" t="s">
        <v>2549</v>
      </c>
      <c r="B1134" s="25" t="s">
        <v>2634</v>
      </c>
      <c r="C1134" s="26">
        <v>45899</v>
      </c>
      <c r="D1134" s="25">
        <v>38817</v>
      </c>
      <c r="E1134" s="25" t="s">
        <v>3498</v>
      </c>
      <c r="F1134" s="60" t="s">
        <v>4052</v>
      </c>
      <c r="G1134" s="28">
        <v>665.5</v>
      </c>
    </row>
    <row r="1135" spans="1:7" x14ac:dyDescent="0.35">
      <c r="A1135" s="22" t="s">
        <v>2549</v>
      </c>
      <c r="B1135" s="25" t="s">
        <v>2634</v>
      </c>
      <c r="C1135" s="26">
        <v>45899</v>
      </c>
      <c r="D1135" s="25">
        <v>38834</v>
      </c>
      <c r="E1135" s="25" t="s">
        <v>3499</v>
      </c>
      <c r="F1135" s="60" t="s">
        <v>4052</v>
      </c>
      <c r="G1135" s="28">
        <v>4313.13</v>
      </c>
    </row>
    <row r="1136" spans="1:7" x14ac:dyDescent="0.35">
      <c r="A1136" s="22" t="s">
        <v>2549</v>
      </c>
      <c r="B1136" s="25" t="s">
        <v>2634</v>
      </c>
      <c r="C1136" s="26">
        <v>45899</v>
      </c>
      <c r="D1136" s="25">
        <v>38839</v>
      </c>
      <c r="E1136" s="25" t="s">
        <v>3500</v>
      </c>
      <c r="F1136" s="60" t="s">
        <v>4052</v>
      </c>
      <c r="G1136" s="28">
        <v>500</v>
      </c>
    </row>
    <row r="1137" spans="1:7" x14ac:dyDescent="0.35">
      <c r="A1137" s="22" t="s">
        <v>2549</v>
      </c>
      <c r="B1137" s="25" t="s">
        <v>2634</v>
      </c>
      <c r="C1137" s="26">
        <v>45899</v>
      </c>
      <c r="D1137" s="25">
        <v>38846</v>
      </c>
      <c r="E1137" s="25" t="s">
        <v>3501</v>
      </c>
      <c r="F1137" s="60" t="s">
        <v>4052</v>
      </c>
      <c r="G1137" s="28">
        <v>1600</v>
      </c>
    </row>
    <row r="1138" spans="1:7" x14ac:dyDescent="0.35">
      <c r="A1138" s="22" t="s">
        <v>2549</v>
      </c>
      <c r="B1138" s="25" t="s">
        <v>2634</v>
      </c>
      <c r="C1138" s="26">
        <v>45899</v>
      </c>
      <c r="D1138" s="25">
        <v>38874</v>
      </c>
      <c r="E1138" s="25" t="s">
        <v>3502</v>
      </c>
      <c r="F1138" s="60" t="s">
        <v>4052</v>
      </c>
      <c r="G1138" s="28">
        <v>2200</v>
      </c>
    </row>
    <row r="1139" spans="1:7" x14ac:dyDescent="0.35">
      <c r="A1139" s="22" t="s">
        <v>2549</v>
      </c>
      <c r="B1139" s="25" t="s">
        <v>2634</v>
      </c>
      <c r="C1139" s="26">
        <v>45899</v>
      </c>
      <c r="D1139" s="25">
        <v>38889</v>
      </c>
      <c r="E1139" s="25" t="s">
        <v>2629</v>
      </c>
      <c r="F1139" s="60" t="s">
        <v>4052</v>
      </c>
      <c r="G1139" s="28">
        <v>2057.27</v>
      </c>
    </row>
    <row r="1140" spans="1:7" x14ac:dyDescent="0.35">
      <c r="A1140" s="22" t="s">
        <v>2549</v>
      </c>
      <c r="B1140" s="25" t="s">
        <v>2634</v>
      </c>
      <c r="C1140" s="26">
        <v>45899</v>
      </c>
      <c r="D1140" s="25">
        <v>38953</v>
      </c>
      <c r="E1140" s="25" t="s">
        <v>3496</v>
      </c>
      <c r="F1140" s="60" t="s">
        <v>4052</v>
      </c>
      <c r="G1140" s="28">
        <v>600</v>
      </c>
    </row>
    <row r="1141" spans="1:7" x14ac:dyDescent="0.35">
      <c r="A1141" s="22" t="s">
        <v>2549</v>
      </c>
      <c r="B1141" s="25" t="s">
        <v>2634</v>
      </c>
      <c r="C1141" s="26">
        <v>45899</v>
      </c>
      <c r="D1141" s="25">
        <v>38954</v>
      </c>
      <c r="E1141" s="25" t="s">
        <v>3503</v>
      </c>
      <c r="F1141" s="60" t="s">
        <v>4052</v>
      </c>
      <c r="G1141" s="28">
        <v>350</v>
      </c>
    </row>
    <row r="1142" spans="1:7" x14ac:dyDescent="0.35">
      <c r="A1142" s="22" t="s">
        <v>2549</v>
      </c>
      <c r="B1142" s="25" t="s">
        <v>2634</v>
      </c>
      <c r="C1142" s="26">
        <v>45899</v>
      </c>
      <c r="D1142" s="25">
        <v>38970</v>
      </c>
      <c r="E1142" s="25" t="s">
        <v>3504</v>
      </c>
      <c r="F1142" s="60" t="s">
        <v>4052</v>
      </c>
      <c r="G1142" s="28">
        <v>350</v>
      </c>
    </row>
    <row r="1143" spans="1:7" x14ac:dyDescent="0.35">
      <c r="A1143" s="22" t="s">
        <v>2549</v>
      </c>
      <c r="B1143" s="25" t="s">
        <v>2634</v>
      </c>
      <c r="C1143" s="26">
        <v>45899</v>
      </c>
      <c r="D1143" s="25">
        <v>38981</v>
      </c>
      <c r="E1143" s="25" t="s">
        <v>3496</v>
      </c>
      <c r="F1143" s="60" t="s">
        <v>4052</v>
      </c>
      <c r="G1143" s="28">
        <v>370</v>
      </c>
    </row>
    <row r="1144" spans="1:7" x14ac:dyDescent="0.35">
      <c r="A1144" s="22" t="s">
        <v>2549</v>
      </c>
      <c r="B1144" s="25" t="s">
        <v>2634</v>
      </c>
      <c r="C1144" s="26">
        <v>45899</v>
      </c>
      <c r="D1144" s="25">
        <v>38993</v>
      </c>
      <c r="E1144" s="25" t="s">
        <v>1475</v>
      </c>
      <c r="F1144" s="60" t="s">
        <v>4052</v>
      </c>
      <c r="G1144" s="28">
        <v>6712.5</v>
      </c>
    </row>
    <row r="1145" spans="1:7" x14ac:dyDescent="0.35">
      <c r="A1145" s="22" t="s">
        <v>2549</v>
      </c>
      <c r="B1145" s="25" t="s">
        <v>2634</v>
      </c>
      <c r="C1145" s="26">
        <v>45899</v>
      </c>
      <c r="D1145" s="25">
        <v>38996</v>
      </c>
      <c r="E1145" s="25" t="s">
        <v>1924</v>
      </c>
      <c r="F1145" s="60" t="s">
        <v>4052</v>
      </c>
      <c r="G1145" s="28">
        <v>350</v>
      </c>
    </row>
    <row r="1146" spans="1:7" x14ac:dyDescent="0.35">
      <c r="A1146" s="22" t="s">
        <v>2549</v>
      </c>
      <c r="B1146" s="25" t="s">
        <v>2634</v>
      </c>
      <c r="C1146" s="26">
        <v>45899</v>
      </c>
      <c r="D1146" s="25">
        <v>39002</v>
      </c>
      <c r="E1146" s="25" t="s">
        <v>3505</v>
      </c>
      <c r="F1146" s="60" t="s">
        <v>4052</v>
      </c>
      <c r="G1146" s="28">
        <v>1900</v>
      </c>
    </row>
    <row r="1147" spans="1:7" x14ac:dyDescent="0.35">
      <c r="A1147" s="22" t="s">
        <v>2549</v>
      </c>
      <c r="B1147" s="25" t="s">
        <v>2634</v>
      </c>
      <c r="C1147" s="26">
        <v>45899</v>
      </c>
      <c r="D1147" s="25">
        <v>39010</v>
      </c>
      <c r="E1147" s="25" t="s">
        <v>3506</v>
      </c>
      <c r="F1147" s="60" t="s">
        <v>4052</v>
      </c>
      <c r="G1147" s="28">
        <v>693</v>
      </c>
    </row>
    <row r="1148" spans="1:7" x14ac:dyDescent="0.35">
      <c r="A1148" s="22" t="s">
        <v>2549</v>
      </c>
      <c r="B1148" s="25" t="s">
        <v>2634</v>
      </c>
      <c r="C1148" s="26">
        <v>45900</v>
      </c>
      <c r="D1148" s="25" t="s">
        <v>4035</v>
      </c>
      <c r="E1148" s="25" t="s">
        <v>4034</v>
      </c>
      <c r="F1148" s="60" t="s">
        <v>4052</v>
      </c>
      <c r="G1148" s="28">
        <v>541.25</v>
      </c>
    </row>
    <row r="1149" spans="1:7" x14ac:dyDescent="0.35">
      <c r="A1149" s="22" t="s">
        <v>2549</v>
      </c>
      <c r="B1149" s="25" t="s">
        <v>2634</v>
      </c>
      <c r="C1149" s="26">
        <v>45900</v>
      </c>
      <c r="D1149" s="25" t="s">
        <v>3322</v>
      </c>
      <c r="E1149" s="25" t="s">
        <v>2555</v>
      </c>
      <c r="F1149" s="60" t="s">
        <v>4052</v>
      </c>
      <c r="G1149" s="28">
        <v>730.89</v>
      </c>
    </row>
    <row r="1150" spans="1:7" x14ac:dyDescent="0.35">
      <c r="A1150" s="22" t="s">
        <v>2549</v>
      </c>
      <c r="B1150" s="25" t="s">
        <v>2634</v>
      </c>
      <c r="C1150" s="26">
        <v>45900</v>
      </c>
      <c r="D1150" s="25">
        <v>33967</v>
      </c>
      <c r="E1150" s="25" t="s">
        <v>301</v>
      </c>
      <c r="F1150" s="60" t="s">
        <v>4052</v>
      </c>
      <c r="G1150" s="28">
        <v>0</v>
      </c>
    </row>
    <row r="1151" spans="1:7" x14ac:dyDescent="0.35">
      <c r="A1151" s="22" t="s">
        <v>2549</v>
      </c>
      <c r="B1151" s="25" t="s">
        <v>2634</v>
      </c>
      <c r="C1151" s="26">
        <v>45900</v>
      </c>
      <c r="D1151" s="25" t="s">
        <v>3334</v>
      </c>
      <c r="E1151" s="25" t="s">
        <v>2033</v>
      </c>
      <c r="F1151" s="60" t="s">
        <v>4052</v>
      </c>
      <c r="G1151" s="28">
        <v>7230.75</v>
      </c>
    </row>
    <row r="1152" spans="1:7" x14ac:dyDescent="0.35">
      <c r="A1152" s="22" t="s">
        <v>2549</v>
      </c>
      <c r="B1152" s="25" t="s">
        <v>2634</v>
      </c>
      <c r="C1152" s="26">
        <v>45900</v>
      </c>
      <c r="D1152" s="25">
        <v>34382</v>
      </c>
      <c r="E1152" s="25" t="s">
        <v>301</v>
      </c>
      <c r="F1152" s="60" t="s">
        <v>4052</v>
      </c>
      <c r="G1152" s="28">
        <v>0</v>
      </c>
    </row>
    <row r="1153" spans="1:7" x14ac:dyDescent="0.35">
      <c r="A1153" s="22" t="s">
        <v>2549</v>
      </c>
      <c r="B1153" s="25" t="s">
        <v>2634</v>
      </c>
      <c r="C1153" s="26">
        <v>45900</v>
      </c>
      <c r="D1153" s="25" t="s">
        <v>4036</v>
      </c>
      <c r="E1153" s="25" t="s">
        <v>3139</v>
      </c>
      <c r="F1153" s="60" t="s">
        <v>4052</v>
      </c>
      <c r="G1153" s="28">
        <v>0.28000000000000003</v>
      </c>
    </row>
    <row r="1154" spans="1:7" x14ac:dyDescent="0.35">
      <c r="A1154" s="22" t="s">
        <v>2549</v>
      </c>
      <c r="B1154" s="25" t="s">
        <v>2634</v>
      </c>
      <c r="C1154" s="26">
        <v>45900</v>
      </c>
      <c r="D1154" s="25" t="s">
        <v>3343</v>
      </c>
      <c r="E1154" s="25" t="s">
        <v>3144</v>
      </c>
      <c r="F1154" s="60" t="s">
        <v>4052</v>
      </c>
      <c r="G1154" s="28">
        <v>13366.38</v>
      </c>
    </row>
    <row r="1155" spans="1:7" x14ac:dyDescent="0.35">
      <c r="A1155" s="22" t="s">
        <v>2549</v>
      </c>
      <c r="B1155" s="25" t="s">
        <v>2634</v>
      </c>
      <c r="C1155" s="26">
        <v>45900</v>
      </c>
      <c r="D1155" s="25" t="s">
        <v>3358</v>
      </c>
      <c r="E1155" s="25" t="s">
        <v>1757</v>
      </c>
      <c r="F1155" s="60" t="s">
        <v>4052</v>
      </c>
      <c r="G1155" s="28">
        <v>12512.58</v>
      </c>
    </row>
    <row r="1156" spans="1:7" x14ac:dyDescent="0.35">
      <c r="A1156" s="22" t="s">
        <v>2549</v>
      </c>
      <c r="B1156" s="25" t="s">
        <v>2634</v>
      </c>
      <c r="C1156" s="26">
        <v>45900</v>
      </c>
      <c r="D1156" s="25">
        <v>35434</v>
      </c>
      <c r="E1156" s="25" t="s">
        <v>1757</v>
      </c>
      <c r="F1156" s="60" t="s">
        <v>4052</v>
      </c>
      <c r="G1156" s="28">
        <v>1847.68</v>
      </c>
    </row>
    <row r="1157" spans="1:7" x14ac:dyDescent="0.35">
      <c r="A1157" s="22" t="s">
        <v>2549</v>
      </c>
      <c r="B1157" s="25" t="s">
        <v>2634</v>
      </c>
      <c r="C1157" s="26">
        <v>45900</v>
      </c>
      <c r="D1157" s="25" t="s">
        <v>3368</v>
      </c>
      <c r="E1157" s="25" t="s">
        <v>1757</v>
      </c>
      <c r="F1157" s="60" t="s">
        <v>4052</v>
      </c>
      <c r="G1157" s="28">
        <v>1471.5</v>
      </c>
    </row>
    <row r="1158" spans="1:7" x14ac:dyDescent="0.35">
      <c r="A1158" s="22" t="s">
        <v>2549</v>
      </c>
      <c r="B1158" s="25" t="s">
        <v>2634</v>
      </c>
      <c r="C1158" s="26">
        <v>45900</v>
      </c>
      <c r="D1158" s="25">
        <v>35494</v>
      </c>
      <c r="E1158" s="25" t="s">
        <v>3218</v>
      </c>
      <c r="F1158" s="60" t="s">
        <v>4052</v>
      </c>
      <c r="G1158" s="28">
        <v>292.52</v>
      </c>
    </row>
    <row r="1159" spans="1:7" x14ac:dyDescent="0.35">
      <c r="A1159" s="22" t="s">
        <v>2549</v>
      </c>
      <c r="B1159" s="25" t="s">
        <v>2634</v>
      </c>
      <c r="C1159" s="26">
        <v>45900</v>
      </c>
      <c r="D1159" s="25" t="s">
        <v>3377</v>
      </c>
      <c r="E1159" s="25" t="s">
        <v>2514</v>
      </c>
      <c r="F1159" s="60" t="s">
        <v>4052</v>
      </c>
      <c r="G1159" s="28">
        <v>4315.75</v>
      </c>
    </row>
    <row r="1160" spans="1:7" x14ac:dyDescent="0.35">
      <c r="A1160" s="22" t="s">
        <v>2549</v>
      </c>
      <c r="B1160" s="25" t="s">
        <v>2634</v>
      </c>
      <c r="C1160" s="26">
        <v>45900</v>
      </c>
      <c r="D1160" s="25" t="s">
        <v>3379</v>
      </c>
      <c r="E1160" s="25" t="s">
        <v>2514</v>
      </c>
      <c r="F1160" s="60" t="s">
        <v>4052</v>
      </c>
      <c r="G1160" s="28">
        <v>1194.6300000000001</v>
      </c>
    </row>
    <row r="1161" spans="1:7" x14ac:dyDescent="0.35">
      <c r="A1161" s="22" t="s">
        <v>2549</v>
      </c>
      <c r="B1161" s="25" t="s">
        <v>2634</v>
      </c>
      <c r="C1161" s="26">
        <v>45900</v>
      </c>
      <c r="D1161" s="25" t="s">
        <v>3386</v>
      </c>
      <c r="E1161" s="25" t="s">
        <v>1475</v>
      </c>
      <c r="F1161" s="60" t="s">
        <v>4052</v>
      </c>
      <c r="G1161" s="28">
        <v>4817.0200000000004</v>
      </c>
    </row>
    <row r="1162" spans="1:7" x14ac:dyDescent="0.35">
      <c r="A1162" s="22" t="s">
        <v>2549</v>
      </c>
      <c r="B1162" s="25" t="s">
        <v>2634</v>
      </c>
      <c r="C1162" s="26">
        <v>45900</v>
      </c>
      <c r="D1162" s="25" t="s">
        <v>3388</v>
      </c>
      <c r="E1162" s="25" t="s">
        <v>1475</v>
      </c>
      <c r="F1162" s="60" t="s">
        <v>4052</v>
      </c>
      <c r="G1162" s="28">
        <v>9505.74</v>
      </c>
    </row>
    <row r="1163" spans="1:7" x14ac:dyDescent="0.35">
      <c r="A1163" s="22" t="s">
        <v>2549</v>
      </c>
      <c r="B1163" s="25" t="s">
        <v>2634</v>
      </c>
      <c r="C1163" s="26">
        <v>45900</v>
      </c>
      <c r="D1163" s="25">
        <v>35797</v>
      </c>
      <c r="E1163" s="25" t="s">
        <v>1475</v>
      </c>
      <c r="F1163" s="60" t="s">
        <v>4052</v>
      </c>
      <c r="G1163" s="28">
        <v>10327.44</v>
      </c>
    </row>
    <row r="1164" spans="1:7" x14ac:dyDescent="0.35">
      <c r="A1164" s="22" t="s">
        <v>2549</v>
      </c>
      <c r="B1164" s="25" t="s">
        <v>2634</v>
      </c>
      <c r="C1164" s="26">
        <v>45900</v>
      </c>
      <c r="D1164" s="25" t="s">
        <v>3389</v>
      </c>
      <c r="E1164" s="25" t="s">
        <v>1475</v>
      </c>
      <c r="F1164" s="60" t="s">
        <v>4052</v>
      </c>
      <c r="G1164" s="28">
        <v>8252.7000000000007</v>
      </c>
    </row>
    <row r="1165" spans="1:7" x14ac:dyDescent="0.35">
      <c r="A1165" s="22" t="s">
        <v>2549</v>
      </c>
      <c r="B1165" s="25" t="s">
        <v>2634</v>
      </c>
      <c r="C1165" s="26">
        <v>45900</v>
      </c>
      <c r="D1165" s="25" t="s">
        <v>3390</v>
      </c>
      <c r="E1165" s="25" t="s">
        <v>1475</v>
      </c>
      <c r="F1165" s="60" t="s">
        <v>4052</v>
      </c>
      <c r="G1165" s="28">
        <v>11819.71</v>
      </c>
    </row>
    <row r="1166" spans="1:7" x14ac:dyDescent="0.35">
      <c r="A1166" s="22" t="s">
        <v>2549</v>
      </c>
      <c r="B1166" s="25" t="s">
        <v>2634</v>
      </c>
      <c r="C1166" s="26">
        <v>45900</v>
      </c>
      <c r="D1166" s="25">
        <v>35806</v>
      </c>
      <c r="E1166" s="25" t="s">
        <v>1475</v>
      </c>
      <c r="F1166" s="60" t="s">
        <v>4052</v>
      </c>
      <c r="G1166" s="28">
        <v>1022.42</v>
      </c>
    </row>
    <row r="1167" spans="1:7" x14ac:dyDescent="0.35">
      <c r="A1167" s="22" t="s">
        <v>2549</v>
      </c>
      <c r="B1167" s="25" t="s">
        <v>2634</v>
      </c>
      <c r="C1167" s="26">
        <v>45900</v>
      </c>
      <c r="D1167" s="25" t="s">
        <v>3391</v>
      </c>
      <c r="E1167" s="25" t="s">
        <v>1475</v>
      </c>
      <c r="F1167" s="60" t="s">
        <v>4052</v>
      </c>
      <c r="G1167" s="28">
        <v>19232.13</v>
      </c>
    </row>
    <row r="1168" spans="1:7" x14ac:dyDescent="0.35">
      <c r="A1168" s="22" t="s">
        <v>2549</v>
      </c>
      <c r="B1168" s="25" t="s">
        <v>2634</v>
      </c>
      <c r="C1168" s="26">
        <v>45900</v>
      </c>
      <c r="D1168" s="25" t="s">
        <v>3392</v>
      </c>
      <c r="E1168" s="25" t="s">
        <v>1475</v>
      </c>
      <c r="F1168" s="60" t="s">
        <v>4052</v>
      </c>
      <c r="G1168" s="28">
        <v>4901.51</v>
      </c>
    </row>
    <row r="1169" spans="1:7" x14ac:dyDescent="0.35">
      <c r="A1169" s="22" t="s">
        <v>2549</v>
      </c>
      <c r="B1169" s="25" t="s">
        <v>2634</v>
      </c>
      <c r="C1169" s="26">
        <v>45900</v>
      </c>
      <c r="D1169" s="25">
        <v>35811</v>
      </c>
      <c r="E1169" s="25" t="s">
        <v>1475</v>
      </c>
      <c r="F1169" s="60" t="s">
        <v>4052</v>
      </c>
      <c r="G1169" s="28">
        <v>16880.89</v>
      </c>
    </row>
    <row r="1170" spans="1:7" x14ac:dyDescent="0.35">
      <c r="A1170" s="22" t="s">
        <v>2549</v>
      </c>
      <c r="B1170" s="25" t="s">
        <v>2634</v>
      </c>
      <c r="C1170" s="26">
        <v>45900</v>
      </c>
      <c r="D1170" s="25" t="s">
        <v>3394</v>
      </c>
      <c r="E1170" s="25" t="s">
        <v>1475</v>
      </c>
      <c r="F1170" s="60" t="s">
        <v>4052</v>
      </c>
      <c r="G1170" s="28">
        <v>7960.82</v>
      </c>
    </row>
    <row r="1171" spans="1:7" x14ac:dyDescent="0.35">
      <c r="A1171" s="22" t="s">
        <v>2549</v>
      </c>
      <c r="B1171" s="25" t="s">
        <v>2634</v>
      </c>
      <c r="C1171" s="26">
        <v>45900</v>
      </c>
      <c r="D1171" s="25" t="s">
        <v>3395</v>
      </c>
      <c r="E1171" s="25" t="s">
        <v>2459</v>
      </c>
      <c r="F1171" s="60" t="s">
        <v>4052</v>
      </c>
      <c r="G1171" s="28">
        <v>-500</v>
      </c>
    </row>
    <row r="1172" spans="1:7" x14ac:dyDescent="0.35">
      <c r="A1172" s="22" t="s">
        <v>2549</v>
      </c>
      <c r="B1172" s="25" t="s">
        <v>2634</v>
      </c>
      <c r="C1172" s="26">
        <v>45900</v>
      </c>
      <c r="D1172" s="25" t="s">
        <v>3575</v>
      </c>
      <c r="E1172" s="25" t="s">
        <v>3576</v>
      </c>
      <c r="F1172" s="60" t="s">
        <v>4052</v>
      </c>
      <c r="G1172" s="28">
        <v>4923</v>
      </c>
    </row>
    <row r="1173" spans="1:7" x14ac:dyDescent="0.35">
      <c r="A1173" s="22" t="s">
        <v>2549</v>
      </c>
      <c r="B1173" s="25" t="s">
        <v>2634</v>
      </c>
      <c r="C1173" s="26">
        <v>45900</v>
      </c>
      <c r="D1173" s="25" t="s">
        <v>4037</v>
      </c>
      <c r="E1173" s="25" t="s">
        <v>2831</v>
      </c>
      <c r="F1173" s="60" t="s">
        <v>4052</v>
      </c>
      <c r="G1173" s="28">
        <v>0.01</v>
      </c>
    </row>
    <row r="1174" spans="1:7" x14ac:dyDescent="0.35">
      <c r="A1174" s="22" t="s">
        <v>2549</v>
      </c>
      <c r="B1174" s="25" t="s">
        <v>2634</v>
      </c>
      <c r="C1174" s="26">
        <v>45900</v>
      </c>
      <c r="D1174" s="25" t="s">
        <v>3408</v>
      </c>
      <c r="E1174" s="25" t="s">
        <v>1426</v>
      </c>
      <c r="F1174" s="60" t="s">
        <v>4052</v>
      </c>
      <c r="G1174" s="28">
        <v>4729.99</v>
      </c>
    </row>
    <row r="1175" spans="1:7" x14ac:dyDescent="0.35">
      <c r="A1175" s="22" t="s">
        <v>2549</v>
      </c>
      <c r="B1175" s="25" t="s">
        <v>2634</v>
      </c>
      <c r="C1175" s="26">
        <v>45900</v>
      </c>
      <c r="D1175" s="25" t="s">
        <v>3410</v>
      </c>
      <c r="E1175" s="25" t="s">
        <v>3510</v>
      </c>
      <c r="F1175" s="60" t="s">
        <v>4052</v>
      </c>
      <c r="G1175" s="28">
        <v>1162.5899999999999</v>
      </c>
    </row>
    <row r="1176" spans="1:7" x14ac:dyDescent="0.35">
      <c r="A1176" s="22" t="s">
        <v>2549</v>
      </c>
      <c r="B1176" s="25" t="s">
        <v>2634</v>
      </c>
      <c r="C1176" s="26">
        <v>45900</v>
      </c>
      <c r="D1176" s="25" t="s">
        <v>4038</v>
      </c>
      <c r="E1176" s="25" t="s">
        <v>2541</v>
      </c>
      <c r="F1176" s="60" t="s">
        <v>4052</v>
      </c>
      <c r="G1176" s="28">
        <v>1</v>
      </c>
    </row>
    <row r="1177" spans="1:7" x14ac:dyDescent="0.35">
      <c r="A1177" s="22" t="s">
        <v>2549</v>
      </c>
      <c r="B1177" s="25" t="s">
        <v>2634</v>
      </c>
      <c r="C1177" s="26">
        <v>45900</v>
      </c>
      <c r="D1177" s="25">
        <v>37354</v>
      </c>
      <c r="E1177" s="25" t="s">
        <v>3511</v>
      </c>
      <c r="F1177" s="60" t="s">
        <v>4052</v>
      </c>
      <c r="G1177" s="28">
        <v>4000</v>
      </c>
    </row>
    <row r="1178" spans="1:7" x14ac:dyDescent="0.35">
      <c r="A1178" s="22" t="s">
        <v>2549</v>
      </c>
      <c r="B1178" s="25" t="s">
        <v>2634</v>
      </c>
      <c r="C1178" s="26">
        <v>45900</v>
      </c>
      <c r="D1178" s="25">
        <v>37625</v>
      </c>
      <c r="E1178" s="25" t="s">
        <v>1280</v>
      </c>
      <c r="F1178" s="60" t="s">
        <v>4052</v>
      </c>
      <c r="G1178" s="28">
        <v>15690.18</v>
      </c>
    </row>
    <row r="1179" spans="1:7" x14ac:dyDescent="0.35">
      <c r="A1179" s="22" t="s">
        <v>2549</v>
      </c>
      <c r="B1179" s="25" t="s">
        <v>2634</v>
      </c>
      <c r="C1179" s="26">
        <v>45900</v>
      </c>
      <c r="D1179" s="25">
        <v>37644</v>
      </c>
      <c r="E1179" s="25" t="s">
        <v>1280</v>
      </c>
      <c r="F1179" s="60" t="s">
        <v>4052</v>
      </c>
      <c r="G1179" s="28">
        <v>3264.14</v>
      </c>
    </row>
    <row r="1180" spans="1:7" x14ac:dyDescent="0.35">
      <c r="A1180" s="22" t="s">
        <v>2549</v>
      </c>
      <c r="B1180" s="25" t="s">
        <v>2634</v>
      </c>
      <c r="C1180" s="26">
        <v>45900</v>
      </c>
      <c r="D1180" s="25">
        <v>37776</v>
      </c>
      <c r="E1180" s="25" t="s">
        <v>2313</v>
      </c>
      <c r="F1180" s="60" t="s">
        <v>4052</v>
      </c>
      <c r="G1180" s="28">
        <v>86.73</v>
      </c>
    </row>
    <row r="1181" spans="1:7" x14ac:dyDescent="0.35">
      <c r="A1181" s="22" t="s">
        <v>2549</v>
      </c>
      <c r="B1181" s="25" t="s">
        <v>2634</v>
      </c>
      <c r="C1181" s="26">
        <v>45900</v>
      </c>
      <c r="D1181" s="25">
        <v>37903</v>
      </c>
      <c r="E1181" s="25" t="s">
        <v>2144</v>
      </c>
      <c r="F1181" s="60" t="s">
        <v>4052</v>
      </c>
      <c r="G1181" s="28">
        <v>1050</v>
      </c>
    </row>
    <row r="1182" spans="1:7" x14ac:dyDescent="0.35">
      <c r="A1182" s="22" t="s">
        <v>2549</v>
      </c>
      <c r="B1182" s="25" t="s">
        <v>2634</v>
      </c>
      <c r="C1182" s="26">
        <v>45900</v>
      </c>
      <c r="D1182" s="25" t="s">
        <v>3430</v>
      </c>
      <c r="E1182" s="25" t="s">
        <v>2220</v>
      </c>
      <c r="F1182" s="60" t="s">
        <v>4052</v>
      </c>
      <c r="G1182" s="28">
        <v>8195.0400000000009</v>
      </c>
    </row>
    <row r="1183" spans="1:7" x14ac:dyDescent="0.35">
      <c r="A1183" s="22" t="s">
        <v>2549</v>
      </c>
      <c r="B1183" s="25" t="s">
        <v>2634</v>
      </c>
      <c r="C1183" s="26">
        <v>45900</v>
      </c>
      <c r="D1183" s="25" t="s">
        <v>3435</v>
      </c>
      <c r="E1183" s="25" t="s">
        <v>2220</v>
      </c>
      <c r="F1183" s="60" t="s">
        <v>4052</v>
      </c>
      <c r="G1183" s="28">
        <v>18305.29</v>
      </c>
    </row>
    <row r="1184" spans="1:7" x14ac:dyDescent="0.35">
      <c r="A1184" s="22" t="s">
        <v>2549</v>
      </c>
      <c r="B1184" s="25" t="s">
        <v>2634</v>
      </c>
      <c r="C1184" s="26">
        <v>45900</v>
      </c>
      <c r="D1184" s="25" t="s">
        <v>3437</v>
      </c>
      <c r="E1184" s="25" t="s">
        <v>2220</v>
      </c>
      <c r="F1184" s="60" t="s">
        <v>4052</v>
      </c>
      <c r="G1184" s="28">
        <v>1711.96</v>
      </c>
    </row>
    <row r="1185" spans="1:7" x14ac:dyDescent="0.35">
      <c r="A1185" s="22" t="s">
        <v>2549</v>
      </c>
      <c r="B1185" s="25" t="s">
        <v>2634</v>
      </c>
      <c r="C1185" s="26">
        <v>45900</v>
      </c>
      <c r="D1185" s="25" t="s">
        <v>4040</v>
      </c>
      <c r="E1185" s="25" t="s">
        <v>4039</v>
      </c>
      <c r="F1185" s="60" t="s">
        <v>4052</v>
      </c>
      <c r="G1185" s="28">
        <v>0.02</v>
      </c>
    </row>
    <row r="1186" spans="1:7" x14ac:dyDescent="0.35">
      <c r="A1186" s="22" t="s">
        <v>2549</v>
      </c>
      <c r="B1186" s="25" t="s">
        <v>2634</v>
      </c>
      <c r="C1186" s="26">
        <v>45900</v>
      </c>
      <c r="D1186" s="25" t="s">
        <v>4042</v>
      </c>
      <c r="E1186" s="25" t="s">
        <v>4041</v>
      </c>
      <c r="F1186" s="60" t="s">
        <v>4052</v>
      </c>
      <c r="G1186" s="28">
        <v>114.07</v>
      </c>
    </row>
    <row r="1187" spans="1:7" x14ac:dyDescent="0.35">
      <c r="A1187" s="22" t="s">
        <v>2549</v>
      </c>
      <c r="B1187" s="25" t="s">
        <v>2634</v>
      </c>
      <c r="C1187" s="26">
        <v>45900</v>
      </c>
      <c r="D1187" s="25">
        <v>38215</v>
      </c>
      <c r="E1187" s="25" t="s">
        <v>3513</v>
      </c>
      <c r="F1187" s="60" t="s">
        <v>4052</v>
      </c>
      <c r="G1187" s="28">
        <v>2513.25</v>
      </c>
    </row>
    <row r="1188" spans="1:7" x14ac:dyDescent="0.35">
      <c r="A1188" s="22" t="s">
        <v>2549</v>
      </c>
      <c r="B1188" s="25" t="s">
        <v>2634</v>
      </c>
      <c r="C1188" s="26">
        <v>45900</v>
      </c>
      <c r="D1188" s="25">
        <v>38262</v>
      </c>
      <c r="E1188" s="25" t="s">
        <v>2677</v>
      </c>
      <c r="F1188" s="60" t="s">
        <v>4052</v>
      </c>
      <c r="G1188" s="28">
        <v>364</v>
      </c>
    </row>
    <row r="1189" spans="1:7" x14ac:dyDescent="0.35">
      <c r="A1189" s="22" t="s">
        <v>2549</v>
      </c>
      <c r="B1189" s="25" t="s">
        <v>2634</v>
      </c>
      <c r="C1189" s="26">
        <v>45900</v>
      </c>
      <c r="D1189" s="25" t="s">
        <v>3450</v>
      </c>
      <c r="E1189" s="25" t="s">
        <v>2677</v>
      </c>
      <c r="F1189" s="60" t="s">
        <v>4052</v>
      </c>
      <c r="G1189" s="28">
        <v>7850.61</v>
      </c>
    </row>
    <row r="1190" spans="1:7" x14ac:dyDescent="0.35">
      <c r="A1190" s="22" t="s">
        <v>2549</v>
      </c>
      <c r="B1190" s="25" t="s">
        <v>2634</v>
      </c>
      <c r="C1190" s="26">
        <v>45900</v>
      </c>
      <c r="D1190" s="25">
        <v>38267</v>
      </c>
      <c r="E1190" s="25" t="s">
        <v>2677</v>
      </c>
      <c r="F1190" s="60" t="s">
        <v>4052</v>
      </c>
      <c r="G1190" s="28">
        <v>960.17</v>
      </c>
    </row>
    <row r="1191" spans="1:7" x14ac:dyDescent="0.35">
      <c r="A1191" s="22" t="s">
        <v>2549</v>
      </c>
      <c r="B1191" s="25" t="s">
        <v>2634</v>
      </c>
      <c r="C1191" s="26">
        <v>45900</v>
      </c>
      <c r="D1191" s="25">
        <v>38317</v>
      </c>
      <c r="E1191" s="25" t="s">
        <v>3514</v>
      </c>
      <c r="F1191" s="60" t="s">
        <v>4052</v>
      </c>
      <c r="G1191" s="28">
        <v>2500</v>
      </c>
    </row>
    <row r="1192" spans="1:7" x14ac:dyDescent="0.35">
      <c r="A1192" s="22" t="s">
        <v>2549</v>
      </c>
      <c r="B1192" s="25" t="s">
        <v>2634</v>
      </c>
      <c r="C1192" s="26">
        <v>45900</v>
      </c>
      <c r="D1192" s="25">
        <v>38473</v>
      </c>
      <c r="E1192" s="25" t="s">
        <v>1637</v>
      </c>
      <c r="F1192" s="60" t="s">
        <v>4052</v>
      </c>
      <c r="G1192" s="28">
        <v>8645</v>
      </c>
    </row>
    <row r="1193" spans="1:7" x14ac:dyDescent="0.35">
      <c r="A1193" s="22" t="s">
        <v>2549</v>
      </c>
      <c r="B1193" s="25" t="s">
        <v>2634</v>
      </c>
      <c r="C1193" s="26">
        <v>45900</v>
      </c>
      <c r="D1193" s="25" t="s">
        <v>3462</v>
      </c>
      <c r="E1193" s="25" t="s">
        <v>1484</v>
      </c>
      <c r="F1193" s="60" t="s">
        <v>4052</v>
      </c>
      <c r="G1193" s="28">
        <v>135</v>
      </c>
    </row>
    <row r="1194" spans="1:7" x14ac:dyDescent="0.35">
      <c r="A1194" s="22" t="s">
        <v>2549</v>
      </c>
      <c r="B1194" s="25" t="s">
        <v>2634</v>
      </c>
      <c r="C1194" s="26">
        <v>45900</v>
      </c>
      <c r="D1194" s="25">
        <v>38607</v>
      </c>
      <c r="E1194" s="25" t="s">
        <v>3514</v>
      </c>
      <c r="F1194" s="60" t="s">
        <v>4052</v>
      </c>
      <c r="G1194" s="28">
        <v>1400</v>
      </c>
    </row>
    <row r="1195" spans="1:7" x14ac:dyDescent="0.35">
      <c r="A1195" s="22" t="s">
        <v>2549</v>
      </c>
      <c r="B1195" s="25" t="s">
        <v>2634</v>
      </c>
      <c r="C1195" s="26">
        <v>45900</v>
      </c>
      <c r="D1195" s="25">
        <v>38621</v>
      </c>
      <c r="E1195" s="25" t="s">
        <v>2459</v>
      </c>
      <c r="F1195" s="60" t="s">
        <v>4052</v>
      </c>
      <c r="G1195" s="28">
        <v>5537.5</v>
      </c>
    </row>
    <row r="1196" spans="1:7" x14ac:dyDescent="0.35">
      <c r="A1196" s="22" t="s">
        <v>2549</v>
      </c>
      <c r="B1196" s="25" t="s">
        <v>2634</v>
      </c>
      <c r="C1196" s="26">
        <v>45900</v>
      </c>
      <c r="D1196" s="25">
        <v>38627</v>
      </c>
      <c r="E1196" s="25" t="s">
        <v>2144</v>
      </c>
      <c r="F1196" s="60" t="s">
        <v>4052</v>
      </c>
      <c r="G1196" s="28">
        <v>307.20999999999998</v>
      </c>
    </row>
    <row r="1197" spans="1:7" x14ac:dyDescent="0.35">
      <c r="A1197" s="22" t="s">
        <v>2549</v>
      </c>
      <c r="B1197" s="25" t="s">
        <v>2634</v>
      </c>
      <c r="C1197" s="26">
        <v>45900</v>
      </c>
      <c r="D1197" s="25">
        <v>38636</v>
      </c>
      <c r="E1197" s="25" t="s">
        <v>3494</v>
      </c>
      <c r="F1197" s="60" t="s">
        <v>4052</v>
      </c>
      <c r="G1197" s="28">
        <v>1850</v>
      </c>
    </row>
    <row r="1198" spans="1:7" x14ac:dyDescent="0.35">
      <c r="A1198" s="22" t="s">
        <v>2549</v>
      </c>
      <c r="B1198" s="25" t="s">
        <v>2634</v>
      </c>
      <c r="C1198" s="26">
        <v>45900</v>
      </c>
      <c r="D1198" s="25" t="s">
        <v>4043</v>
      </c>
      <c r="E1198" s="25" t="s">
        <v>2854</v>
      </c>
      <c r="F1198" s="60" t="s">
        <v>4052</v>
      </c>
      <c r="G1198" s="28">
        <v>2700</v>
      </c>
    </row>
    <row r="1199" spans="1:7" x14ac:dyDescent="0.35">
      <c r="A1199" s="22" t="s">
        <v>2549</v>
      </c>
      <c r="B1199" s="25" t="s">
        <v>2634</v>
      </c>
      <c r="C1199" s="26">
        <v>45900</v>
      </c>
      <c r="D1199" s="25">
        <v>38670</v>
      </c>
      <c r="E1199" s="25" t="s">
        <v>2386</v>
      </c>
      <c r="F1199" s="60" t="s">
        <v>4052</v>
      </c>
      <c r="G1199" s="28">
        <v>0</v>
      </c>
    </row>
    <row r="1200" spans="1:7" x14ac:dyDescent="0.35">
      <c r="A1200" s="22" t="s">
        <v>2549</v>
      </c>
      <c r="B1200" s="25" t="s">
        <v>2634</v>
      </c>
      <c r="C1200" s="26">
        <v>45900</v>
      </c>
      <c r="D1200" s="25" t="s">
        <v>3463</v>
      </c>
      <c r="E1200" s="25" t="s">
        <v>2220</v>
      </c>
      <c r="F1200" s="60" t="s">
        <v>4052</v>
      </c>
      <c r="G1200" s="28">
        <v>25843.3</v>
      </c>
    </row>
    <row r="1201" spans="1:7" x14ac:dyDescent="0.35">
      <c r="A1201" s="22" t="s">
        <v>2549</v>
      </c>
      <c r="B1201" s="25" t="s">
        <v>2634</v>
      </c>
      <c r="C1201" s="26">
        <v>45900</v>
      </c>
      <c r="D1201" s="25" t="s">
        <v>4045</v>
      </c>
      <c r="E1201" s="25" t="s">
        <v>4044</v>
      </c>
      <c r="F1201" s="60" t="s">
        <v>4052</v>
      </c>
      <c r="G1201" s="28">
        <v>0.01</v>
      </c>
    </row>
    <row r="1202" spans="1:7" x14ac:dyDescent="0.35">
      <c r="A1202" s="22" t="s">
        <v>2549</v>
      </c>
      <c r="B1202" s="25" t="s">
        <v>2634</v>
      </c>
      <c r="C1202" s="26">
        <v>45900</v>
      </c>
      <c r="D1202" s="25">
        <v>38701</v>
      </c>
      <c r="E1202" s="25" t="s">
        <v>3502</v>
      </c>
      <c r="F1202" s="60" t="s">
        <v>4052</v>
      </c>
      <c r="G1202" s="28">
        <v>1975</v>
      </c>
    </row>
    <row r="1203" spans="1:7" x14ac:dyDescent="0.35">
      <c r="A1203" s="22" t="s">
        <v>2549</v>
      </c>
      <c r="B1203" s="25" t="s">
        <v>2634</v>
      </c>
      <c r="C1203" s="26">
        <v>45900</v>
      </c>
      <c r="D1203" s="25">
        <v>38718</v>
      </c>
      <c r="E1203" s="25" t="s">
        <v>3521</v>
      </c>
      <c r="F1203" s="60" t="s">
        <v>4052</v>
      </c>
      <c r="G1203" s="28">
        <v>750</v>
      </c>
    </row>
    <row r="1204" spans="1:7" x14ac:dyDescent="0.35">
      <c r="A1204" s="22" t="s">
        <v>2549</v>
      </c>
      <c r="B1204" s="25" t="s">
        <v>2634</v>
      </c>
      <c r="C1204" s="26">
        <v>45900</v>
      </c>
      <c r="D1204" s="25">
        <v>38726</v>
      </c>
      <c r="E1204" s="25" t="s">
        <v>3523</v>
      </c>
      <c r="F1204" s="60" t="s">
        <v>4052</v>
      </c>
      <c r="G1204" s="28">
        <v>1250</v>
      </c>
    </row>
    <row r="1205" spans="1:7" x14ac:dyDescent="0.35">
      <c r="A1205" s="22" t="s">
        <v>2549</v>
      </c>
      <c r="B1205" s="25" t="s">
        <v>2634</v>
      </c>
      <c r="C1205" s="26">
        <v>45900</v>
      </c>
      <c r="D1205" s="25">
        <v>38758</v>
      </c>
      <c r="E1205" s="25" t="s">
        <v>3475</v>
      </c>
      <c r="F1205" s="60" t="s">
        <v>4052</v>
      </c>
      <c r="G1205" s="28">
        <v>700</v>
      </c>
    </row>
    <row r="1206" spans="1:7" x14ac:dyDescent="0.35">
      <c r="A1206" s="22" t="s">
        <v>2549</v>
      </c>
      <c r="B1206" s="25" t="s">
        <v>2634</v>
      </c>
      <c r="C1206" s="26">
        <v>45900</v>
      </c>
      <c r="D1206" s="25">
        <v>38785</v>
      </c>
      <c r="E1206" s="25" t="s">
        <v>3526</v>
      </c>
      <c r="F1206" s="60" t="s">
        <v>4052</v>
      </c>
      <c r="G1206" s="28">
        <v>857.38</v>
      </c>
    </row>
    <row r="1207" spans="1:7" x14ac:dyDescent="0.35">
      <c r="A1207" s="22" t="s">
        <v>2549</v>
      </c>
      <c r="B1207" s="25" t="s">
        <v>2634</v>
      </c>
      <c r="C1207" s="26">
        <v>45900</v>
      </c>
      <c r="D1207" s="25">
        <v>38793</v>
      </c>
      <c r="E1207" s="25" t="s">
        <v>2189</v>
      </c>
      <c r="F1207" s="60" t="s">
        <v>4052</v>
      </c>
      <c r="G1207" s="28">
        <v>25</v>
      </c>
    </row>
    <row r="1208" spans="1:7" x14ac:dyDescent="0.35">
      <c r="A1208" s="22" t="s">
        <v>2549</v>
      </c>
      <c r="B1208" s="25" t="s">
        <v>2634</v>
      </c>
      <c r="C1208" s="26">
        <v>45900</v>
      </c>
      <c r="D1208" s="25">
        <v>38795</v>
      </c>
      <c r="E1208" s="25" t="s">
        <v>3527</v>
      </c>
      <c r="F1208" s="60" t="s">
        <v>4052</v>
      </c>
      <c r="G1208" s="28">
        <v>286.63</v>
      </c>
    </row>
    <row r="1209" spans="1:7" x14ac:dyDescent="0.35">
      <c r="A1209" s="22" t="s">
        <v>2549</v>
      </c>
      <c r="B1209" s="25" t="s">
        <v>2634</v>
      </c>
      <c r="C1209" s="26">
        <v>45900</v>
      </c>
      <c r="D1209" s="25">
        <v>38796</v>
      </c>
      <c r="E1209" s="25" t="s">
        <v>3528</v>
      </c>
      <c r="F1209" s="60" t="s">
        <v>4052</v>
      </c>
      <c r="G1209" s="28">
        <v>285</v>
      </c>
    </row>
    <row r="1210" spans="1:7" x14ac:dyDescent="0.35">
      <c r="A1210" s="22" t="s">
        <v>2549</v>
      </c>
      <c r="B1210" s="25" t="s">
        <v>2634</v>
      </c>
      <c r="C1210" s="26">
        <v>45900</v>
      </c>
      <c r="D1210" s="25">
        <v>38799</v>
      </c>
      <c r="E1210" s="25" t="s">
        <v>3529</v>
      </c>
      <c r="F1210" s="60" t="s">
        <v>4052</v>
      </c>
      <c r="G1210" s="28">
        <v>75.34</v>
      </c>
    </row>
    <row r="1211" spans="1:7" x14ac:dyDescent="0.35">
      <c r="A1211" s="22" t="s">
        <v>2549</v>
      </c>
      <c r="B1211" s="25" t="s">
        <v>2634</v>
      </c>
      <c r="C1211" s="26">
        <v>45900</v>
      </c>
      <c r="D1211" s="25">
        <v>38800</v>
      </c>
      <c r="E1211" s="25" t="s">
        <v>3530</v>
      </c>
      <c r="F1211" s="60" t="s">
        <v>4052</v>
      </c>
      <c r="G1211" s="28">
        <v>3170</v>
      </c>
    </row>
    <row r="1212" spans="1:7" x14ac:dyDescent="0.35">
      <c r="A1212" s="22" t="s">
        <v>2549</v>
      </c>
      <c r="B1212" s="25" t="s">
        <v>2634</v>
      </c>
      <c r="C1212" s="26">
        <v>45900</v>
      </c>
      <c r="D1212" s="25">
        <v>38801</v>
      </c>
      <c r="E1212" s="25" t="s">
        <v>3531</v>
      </c>
      <c r="F1212" s="60" t="s">
        <v>4052</v>
      </c>
      <c r="G1212" s="28">
        <v>652.53</v>
      </c>
    </row>
    <row r="1213" spans="1:7" x14ac:dyDescent="0.35">
      <c r="A1213" s="22" t="s">
        <v>2549</v>
      </c>
      <c r="B1213" s="25" t="s">
        <v>2634</v>
      </c>
      <c r="C1213" s="26">
        <v>45900</v>
      </c>
      <c r="D1213" s="25">
        <v>38803</v>
      </c>
      <c r="E1213" s="25" t="s">
        <v>3532</v>
      </c>
      <c r="F1213" s="60" t="s">
        <v>4052</v>
      </c>
      <c r="G1213" s="28">
        <v>1616.6</v>
      </c>
    </row>
    <row r="1214" spans="1:7" x14ac:dyDescent="0.35">
      <c r="A1214" s="22" t="s">
        <v>2549</v>
      </c>
      <c r="B1214" s="25" t="s">
        <v>2634</v>
      </c>
      <c r="C1214" s="26">
        <v>45900</v>
      </c>
      <c r="D1214" s="25">
        <v>38809</v>
      </c>
      <c r="E1214" s="25" t="s">
        <v>3534</v>
      </c>
      <c r="F1214" s="60" t="s">
        <v>4052</v>
      </c>
      <c r="G1214" s="28">
        <v>1529.19</v>
      </c>
    </row>
    <row r="1215" spans="1:7" x14ac:dyDescent="0.35">
      <c r="A1215" s="22" t="s">
        <v>2549</v>
      </c>
      <c r="B1215" s="25" t="s">
        <v>2634</v>
      </c>
      <c r="C1215" s="26">
        <v>45900</v>
      </c>
      <c r="D1215" s="25">
        <v>38815</v>
      </c>
      <c r="E1215" s="25" t="s">
        <v>3535</v>
      </c>
      <c r="F1215" s="60" t="s">
        <v>4052</v>
      </c>
      <c r="G1215" s="28">
        <v>2180</v>
      </c>
    </row>
    <row r="1216" spans="1:7" x14ac:dyDescent="0.35">
      <c r="A1216" s="22" t="s">
        <v>2549</v>
      </c>
      <c r="B1216" s="25" t="s">
        <v>2634</v>
      </c>
      <c r="C1216" s="26">
        <v>45900</v>
      </c>
      <c r="D1216" s="25">
        <v>38820</v>
      </c>
      <c r="E1216" s="25" t="s">
        <v>3537</v>
      </c>
      <c r="F1216" s="60" t="s">
        <v>4052</v>
      </c>
      <c r="G1216" s="28">
        <v>9000</v>
      </c>
    </row>
    <row r="1217" spans="1:7" x14ac:dyDescent="0.35">
      <c r="A1217" s="22" t="s">
        <v>2549</v>
      </c>
      <c r="B1217" s="25" t="s">
        <v>2634</v>
      </c>
      <c r="C1217" s="26">
        <v>45900</v>
      </c>
      <c r="D1217" s="25">
        <v>38822</v>
      </c>
      <c r="E1217" s="25" t="s">
        <v>3578</v>
      </c>
      <c r="F1217" s="60" t="s">
        <v>4052</v>
      </c>
      <c r="G1217" s="28">
        <v>325.02999999999997</v>
      </c>
    </row>
    <row r="1218" spans="1:7" x14ac:dyDescent="0.35">
      <c r="A1218" s="22" t="s">
        <v>2549</v>
      </c>
      <c r="B1218" s="25" t="s">
        <v>2634</v>
      </c>
      <c r="C1218" s="26">
        <v>45900</v>
      </c>
      <c r="D1218" s="25">
        <v>38853</v>
      </c>
      <c r="E1218" s="25" t="s">
        <v>3542</v>
      </c>
      <c r="F1218" s="60" t="s">
        <v>4052</v>
      </c>
      <c r="G1218" s="28">
        <v>672.97</v>
      </c>
    </row>
    <row r="1219" spans="1:7" x14ac:dyDescent="0.35">
      <c r="A1219" s="22" t="s">
        <v>2549</v>
      </c>
      <c r="B1219" s="25" t="s">
        <v>2634</v>
      </c>
      <c r="C1219" s="26">
        <v>45900</v>
      </c>
      <c r="D1219" s="25">
        <v>38854</v>
      </c>
      <c r="E1219" s="25" t="s">
        <v>3543</v>
      </c>
      <c r="F1219" s="60" t="s">
        <v>4052</v>
      </c>
      <c r="G1219" s="28">
        <v>3779.52</v>
      </c>
    </row>
    <row r="1220" spans="1:7" x14ac:dyDescent="0.35">
      <c r="A1220" s="22" t="s">
        <v>2549</v>
      </c>
      <c r="B1220" s="25" t="s">
        <v>2634</v>
      </c>
      <c r="C1220" s="26">
        <v>45900</v>
      </c>
      <c r="D1220" s="25">
        <v>38855</v>
      </c>
      <c r="E1220" s="25" t="s">
        <v>3544</v>
      </c>
      <c r="F1220" s="60" t="s">
        <v>4052</v>
      </c>
      <c r="G1220" s="28">
        <v>1663.75</v>
      </c>
    </row>
    <row r="1221" spans="1:7" x14ac:dyDescent="0.35">
      <c r="A1221" s="22" t="s">
        <v>2549</v>
      </c>
      <c r="B1221" s="25" t="s">
        <v>2634</v>
      </c>
      <c r="C1221" s="26">
        <v>45900</v>
      </c>
      <c r="D1221" s="25">
        <v>38868</v>
      </c>
      <c r="E1221" s="25" t="s">
        <v>3548</v>
      </c>
      <c r="F1221" s="60" t="s">
        <v>4052</v>
      </c>
      <c r="G1221" s="28">
        <v>500</v>
      </c>
    </row>
    <row r="1222" spans="1:7" x14ac:dyDescent="0.35">
      <c r="A1222" s="22" t="s">
        <v>2549</v>
      </c>
      <c r="B1222" s="25" t="s">
        <v>2634</v>
      </c>
      <c r="C1222" s="26">
        <v>45900</v>
      </c>
      <c r="D1222" s="25">
        <v>38871</v>
      </c>
      <c r="E1222" s="25" t="s">
        <v>3500</v>
      </c>
      <c r="F1222" s="60" t="s">
        <v>4052</v>
      </c>
      <c r="G1222" s="28">
        <v>1165.3499999999999</v>
      </c>
    </row>
    <row r="1223" spans="1:7" x14ac:dyDescent="0.35">
      <c r="A1223" s="22" t="s">
        <v>2549</v>
      </c>
      <c r="B1223" s="25" t="s">
        <v>2634</v>
      </c>
      <c r="C1223" s="26">
        <v>45900</v>
      </c>
      <c r="D1223" s="25">
        <v>38880</v>
      </c>
      <c r="E1223" s="25" t="s">
        <v>1656</v>
      </c>
      <c r="F1223" s="60" t="s">
        <v>4052</v>
      </c>
      <c r="G1223" s="28">
        <v>900</v>
      </c>
    </row>
    <row r="1224" spans="1:7" x14ac:dyDescent="0.35">
      <c r="A1224" s="22" t="s">
        <v>2549</v>
      </c>
      <c r="B1224" s="25" t="s">
        <v>2634</v>
      </c>
      <c r="C1224" s="26">
        <v>45900</v>
      </c>
      <c r="D1224" s="25">
        <v>38884</v>
      </c>
      <c r="E1224" s="25" t="s">
        <v>3545</v>
      </c>
      <c r="F1224" s="60" t="s">
        <v>4052</v>
      </c>
      <c r="G1224" s="28">
        <v>0</v>
      </c>
    </row>
    <row r="1225" spans="1:7" x14ac:dyDescent="0.35">
      <c r="A1225" s="22" t="s">
        <v>2549</v>
      </c>
      <c r="B1225" s="25" t="s">
        <v>2634</v>
      </c>
      <c r="C1225" s="26">
        <v>45900</v>
      </c>
      <c r="D1225" s="25">
        <v>38904</v>
      </c>
      <c r="E1225" s="25" t="s">
        <v>3549</v>
      </c>
      <c r="F1225" s="60" t="s">
        <v>4052</v>
      </c>
      <c r="G1225" s="28">
        <v>1420</v>
      </c>
    </row>
    <row r="1226" spans="1:7" x14ac:dyDescent="0.35">
      <c r="A1226" s="22" t="s">
        <v>2549</v>
      </c>
      <c r="B1226" s="25" t="s">
        <v>2634</v>
      </c>
      <c r="C1226" s="26">
        <v>45900</v>
      </c>
      <c r="D1226" s="25">
        <v>38909</v>
      </c>
      <c r="E1226" s="25" t="s">
        <v>3550</v>
      </c>
      <c r="F1226" s="60" t="s">
        <v>4052</v>
      </c>
      <c r="G1226" s="28">
        <v>1625</v>
      </c>
    </row>
    <row r="1227" spans="1:7" x14ac:dyDescent="0.35">
      <c r="A1227" s="22" t="s">
        <v>2549</v>
      </c>
      <c r="B1227" s="25" t="s">
        <v>2634</v>
      </c>
      <c r="C1227" s="26">
        <v>45900</v>
      </c>
      <c r="D1227" s="25">
        <v>38912</v>
      </c>
      <c r="E1227" s="25" t="s">
        <v>3552</v>
      </c>
      <c r="F1227" s="60" t="s">
        <v>4052</v>
      </c>
      <c r="G1227" s="28">
        <v>5464.8099999999995</v>
      </c>
    </row>
    <row r="1228" spans="1:7" x14ac:dyDescent="0.35">
      <c r="A1228" s="22" t="s">
        <v>2549</v>
      </c>
      <c r="B1228" s="25" t="s">
        <v>2634</v>
      </c>
      <c r="C1228" s="26">
        <v>45900</v>
      </c>
      <c r="D1228" s="25">
        <v>38913</v>
      </c>
      <c r="E1228" s="25" t="s">
        <v>3553</v>
      </c>
      <c r="F1228" s="60" t="s">
        <v>4052</v>
      </c>
      <c r="G1228" s="28">
        <v>27.17</v>
      </c>
    </row>
    <row r="1229" spans="1:7" x14ac:dyDescent="0.35">
      <c r="A1229" s="22" t="s">
        <v>2549</v>
      </c>
      <c r="B1229" s="25" t="s">
        <v>2634</v>
      </c>
      <c r="C1229" s="26">
        <v>45900</v>
      </c>
      <c r="D1229" s="25">
        <v>38915</v>
      </c>
      <c r="E1229" s="25" t="s">
        <v>3554</v>
      </c>
      <c r="F1229" s="60" t="s">
        <v>4052</v>
      </c>
      <c r="G1229" s="28">
        <v>409.9</v>
      </c>
    </row>
    <row r="1230" spans="1:7" x14ac:dyDescent="0.35">
      <c r="A1230" s="22" t="s">
        <v>2549</v>
      </c>
      <c r="B1230" s="25" t="s">
        <v>2634</v>
      </c>
      <c r="C1230" s="26">
        <v>45900</v>
      </c>
      <c r="D1230" s="25">
        <v>38916</v>
      </c>
      <c r="E1230" s="25" t="s">
        <v>3555</v>
      </c>
      <c r="F1230" s="60" t="s">
        <v>4052</v>
      </c>
      <c r="G1230" s="28">
        <v>553.87</v>
      </c>
    </row>
    <row r="1231" spans="1:7" x14ac:dyDescent="0.35">
      <c r="A1231" s="22" t="s">
        <v>2549</v>
      </c>
      <c r="B1231" s="25" t="s">
        <v>2634</v>
      </c>
      <c r="C1231" s="26">
        <v>45900</v>
      </c>
      <c r="D1231" s="25">
        <v>38921</v>
      </c>
      <c r="E1231" s="25" t="s">
        <v>3556</v>
      </c>
      <c r="F1231" s="60" t="s">
        <v>4052</v>
      </c>
      <c r="G1231" s="28">
        <v>180.95</v>
      </c>
    </row>
    <row r="1232" spans="1:7" x14ac:dyDescent="0.35">
      <c r="A1232" s="22" t="s">
        <v>2549</v>
      </c>
      <c r="B1232" s="25" t="s">
        <v>2634</v>
      </c>
      <c r="C1232" s="26">
        <v>45900</v>
      </c>
      <c r="D1232" s="25">
        <v>38942</v>
      </c>
      <c r="E1232" s="25" t="s">
        <v>3557</v>
      </c>
      <c r="F1232" s="60" t="s">
        <v>4052</v>
      </c>
      <c r="G1232" s="28">
        <v>40</v>
      </c>
    </row>
    <row r="1233" spans="1:7" x14ac:dyDescent="0.35">
      <c r="A1233" s="22" t="s">
        <v>2549</v>
      </c>
      <c r="B1233" s="25" t="s">
        <v>2634</v>
      </c>
      <c r="C1233" s="26">
        <v>45900</v>
      </c>
      <c r="D1233" s="25">
        <v>38946</v>
      </c>
      <c r="E1233" s="25" t="s">
        <v>3558</v>
      </c>
      <c r="F1233" s="60" t="s">
        <v>4052</v>
      </c>
      <c r="G1233" s="28">
        <v>965.5</v>
      </c>
    </row>
    <row r="1234" spans="1:7" x14ac:dyDescent="0.35">
      <c r="A1234" s="22" t="s">
        <v>2549</v>
      </c>
      <c r="B1234" s="25" t="s">
        <v>2634</v>
      </c>
      <c r="C1234" s="26">
        <v>45900</v>
      </c>
      <c r="D1234" s="25">
        <v>38959</v>
      </c>
      <c r="E1234" s="25" t="s">
        <v>2854</v>
      </c>
      <c r="F1234" s="60" t="s">
        <v>4052</v>
      </c>
      <c r="G1234" s="28">
        <v>1329</v>
      </c>
    </row>
    <row r="1235" spans="1:7" x14ac:dyDescent="0.35">
      <c r="A1235" s="22" t="s">
        <v>2549</v>
      </c>
      <c r="B1235" s="25" t="s">
        <v>2634</v>
      </c>
      <c r="C1235" s="26">
        <v>45900</v>
      </c>
      <c r="D1235" s="25">
        <v>38965</v>
      </c>
      <c r="E1235" s="25" t="s">
        <v>3562</v>
      </c>
      <c r="F1235" s="60" t="s">
        <v>4052</v>
      </c>
      <c r="G1235" s="28">
        <v>569.25</v>
      </c>
    </row>
    <row r="1236" spans="1:7" x14ac:dyDescent="0.35">
      <c r="A1236" s="22" t="s">
        <v>2549</v>
      </c>
      <c r="B1236" s="25" t="s">
        <v>2634</v>
      </c>
      <c r="C1236" s="26">
        <v>45900</v>
      </c>
      <c r="D1236" s="25">
        <v>38974</v>
      </c>
      <c r="E1236" s="25" t="s">
        <v>3563</v>
      </c>
      <c r="F1236" s="60" t="s">
        <v>4052</v>
      </c>
      <c r="G1236" s="28">
        <v>487.85</v>
      </c>
    </row>
    <row r="1237" spans="1:7" x14ac:dyDescent="0.35">
      <c r="A1237" s="22" t="s">
        <v>2549</v>
      </c>
      <c r="B1237" s="25" t="s">
        <v>2634</v>
      </c>
      <c r="C1237" s="26">
        <v>45900</v>
      </c>
      <c r="D1237" s="25">
        <v>38985</v>
      </c>
      <c r="E1237" s="25" t="s">
        <v>3564</v>
      </c>
      <c r="F1237" s="60" t="s">
        <v>4052</v>
      </c>
      <c r="G1237" s="28">
        <v>434.92</v>
      </c>
    </row>
    <row r="1238" spans="1:7" x14ac:dyDescent="0.35">
      <c r="A1238" s="22" t="s">
        <v>2549</v>
      </c>
      <c r="B1238" s="25" t="s">
        <v>2634</v>
      </c>
      <c r="C1238" s="26">
        <v>45900</v>
      </c>
      <c r="D1238" s="25">
        <v>38992</v>
      </c>
      <c r="E1238" s="25" t="s">
        <v>2258</v>
      </c>
      <c r="F1238" s="60" t="s">
        <v>4052</v>
      </c>
      <c r="G1238" s="28">
        <v>980</v>
      </c>
    </row>
    <row r="1239" spans="1:7" x14ac:dyDescent="0.35">
      <c r="A1239" s="22" t="s">
        <v>2549</v>
      </c>
      <c r="B1239" s="25" t="s">
        <v>2634</v>
      </c>
      <c r="C1239" s="26">
        <v>45900</v>
      </c>
      <c r="D1239" s="25">
        <v>38997</v>
      </c>
      <c r="E1239" s="25" t="s">
        <v>1924</v>
      </c>
      <c r="F1239" s="60" t="s">
        <v>4052</v>
      </c>
      <c r="G1239" s="28">
        <v>1687</v>
      </c>
    </row>
    <row r="1240" spans="1:7" x14ac:dyDescent="0.35">
      <c r="A1240" s="22" t="s">
        <v>2549</v>
      </c>
      <c r="B1240" s="25" t="s">
        <v>2634</v>
      </c>
      <c r="C1240" s="26">
        <v>45900</v>
      </c>
      <c r="D1240" s="25">
        <v>38998</v>
      </c>
      <c r="E1240" s="25" t="s">
        <v>3565</v>
      </c>
      <c r="F1240" s="60" t="s">
        <v>4052</v>
      </c>
      <c r="G1240" s="28">
        <v>646.12</v>
      </c>
    </row>
    <row r="1241" spans="1:7" x14ac:dyDescent="0.35">
      <c r="A1241" s="22" t="s">
        <v>2549</v>
      </c>
      <c r="B1241" s="25" t="s">
        <v>2634</v>
      </c>
      <c r="C1241" s="26">
        <v>45900</v>
      </c>
      <c r="D1241" s="25">
        <v>38999</v>
      </c>
      <c r="E1241" s="25" t="s">
        <v>2429</v>
      </c>
      <c r="F1241" s="60" t="s">
        <v>4052</v>
      </c>
      <c r="G1241" s="28">
        <v>3060</v>
      </c>
    </row>
    <row r="1242" spans="1:7" x14ac:dyDescent="0.35">
      <c r="A1242" s="22" t="s">
        <v>2549</v>
      </c>
      <c r="B1242" s="25" t="s">
        <v>2634</v>
      </c>
      <c r="C1242" s="26">
        <v>45900</v>
      </c>
      <c r="D1242" s="25">
        <v>39003</v>
      </c>
      <c r="E1242" s="25" t="s">
        <v>3566</v>
      </c>
      <c r="F1242" s="60" t="s">
        <v>4052</v>
      </c>
      <c r="G1242" s="28">
        <v>2575.75</v>
      </c>
    </row>
    <row r="1243" spans="1:7" x14ac:dyDescent="0.35">
      <c r="A1243" s="22" t="s">
        <v>2549</v>
      </c>
      <c r="B1243" s="25" t="s">
        <v>2634</v>
      </c>
      <c r="C1243" s="26">
        <v>45900</v>
      </c>
      <c r="D1243" s="25">
        <v>39009</v>
      </c>
      <c r="E1243" s="25" t="s">
        <v>3565</v>
      </c>
      <c r="F1243" s="60" t="s">
        <v>4052</v>
      </c>
      <c r="G1243" s="28">
        <v>1649.25</v>
      </c>
    </row>
    <row r="1244" spans="1:7" x14ac:dyDescent="0.35">
      <c r="A1244" s="22" t="s">
        <v>2549</v>
      </c>
      <c r="B1244" s="25" t="s">
        <v>2634</v>
      </c>
      <c r="C1244" s="26">
        <v>45900</v>
      </c>
      <c r="D1244" s="25">
        <v>39063</v>
      </c>
      <c r="E1244" s="25" t="s">
        <v>3567</v>
      </c>
      <c r="F1244" s="60" t="s">
        <v>4052</v>
      </c>
      <c r="G1244" s="28">
        <v>781</v>
      </c>
    </row>
    <row r="1245" spans="1:7" x14ac:dyDescent="0.35">
      <c r="A1245" s="22" t="s">
        <v>2549</v>
      </c>
      <c r="B1245" s="25" t="s">
        <v>2634</v>
      </c>
      <c r="C1245" s="26">
        <v>45900</v>
      </c>
      <c r="D1245" s="25">
        <v>39073</v>
      </c>
      <c r="E1245" s="25" t="s">
        <v>3544</v>
      </c>
      <c r="F1245" s="60" t="s">
        <v>4052</v>
      </c>
      <c r="G1245" s="28">
        <v>629.22</v>
      </c>
    </row>
    <row r="1246" spans="1:7" x14ac:dyDescent="0.35">
      <c r="A1246" s="22" t="s">
        <v>2549</v>
      </c>
      <c r="B1246" s="25" t="s">
        <v>2634</v>
      </c>
      <c r="C1246" s="26">
        <v>45900</v>
      </c>
      <c r="D1246" s="25">
        <v>39074</v>
      </c>
      <c r="E1246" s="25" t="s">
        <v>3544</v>
      </c>
      <c r="F1246" s="60" t="s">
        <v>4052</v>
      </c>
      <c r="G1246" s="28">
        <v>862.5</v>
      </c>
    </row>
    <row r="1247" spans="1:7" x14ac:dyDescent="0.35">
      <c r="A1247" s="22" t="s">
        <v>2549</v>
      </c>
      <c r="B1247" s="25" t="s">
        <v>2634</v>
      </c>
      <c r="C1247" s="26">
        <v>45900</v>
      </c>
      <c r="D1247" s="25">
        <v>39084</v>
      </c>
      <c r="E1247" s="25" t="s">
        <v>2459</v>
      </c>
      <c r="F1247" s="60" t="s">
        <v>4052</v>
      </c>
      <c r="G1247" s="28">
        <v>4500</v>
      </c>
    </row>
    <row r="1248" spans="1:7" x14ac:dyDescent="0.35">
      <c r="A1248" s="22" t="s">
        <v>2549</v>
      </c>
      <c r="B1248" s="25" t="s">
        <v>2634</v>
      </c>
      <c r="C1248" s="26">
        <v>45900</v>
      </c>
      <c r="D1248" s="25">
        <v>39085</v>
      </c>
      <c r="E1248" s="25" t="s">
        <v>4046</v>
      </c>
      <c r="F1248" s="60" t="s">
        <v>4052</v>
      </c>
      <c r="G1248" s="28">
        <v>1331.91</v>
      </c>
    </row>
    <row r="1249" spans="1:7" x14ac:dyDescent="0.35">
      <c r="A1249" s="22" t="s">
        <v>2549</v>
      </c>
      <c r="B1249" s="25" t="s">
        <v>2634</v>
      </c>
      <c r="C1249" s="26">
        <v>45900</v>
      </c>
      <c r="D1249" s="25">
        <v>39087</v>
      </c>
      <c r="E1249" s="25" t="s">
        <v>1358</v>
      </c>
      <c r="F1249" s="60" t="s">
        <v>4052</v>
      </c>
      <c r="G1249" s="28">
        <v>11.76</v>
      </c>
    </row>
    <row r="1250" spans="1:7" x14ac:dyDescent="0.35">
      <c r="A1250" s="22" t="s">
        <v>2549</v>
      </c>
      <c r="B1250" s="25" t="s">
        <v>2634</v>
      </c>
      <c r="C1250" s="26">
        <v>45900</v>
      </c>
      <c r="D1250" s="25">
        <v>39088</v>
      </c>
      <c r="E1250" s="25" t="s">
        <v>3568</v>
      </c>
      <c r="F1250" s="60" t="s">
        <v>4052</v>
      </c>
      <c r="G1250" s="28">
        <v>2230</v>
      </c>
    </row>
    <row r="1251" spans="1:7" x14ac:dyDescent="0.35">
      <c r="A1251" s="22" t="s">
        <v>2549</v>
      </c>
      <c r="B1251" s="25" t="s">
        <v>2634</v>
      </c>
      <c r="C1251" s="26">
        <v>45900</v>
      </c>
      <c r="D1251" s="25">
        <v>39089</v>
      </c>
      <c r="E1251" s="25" t="s">
        <v>3500</v>
      </c>
      <c r="F1251" s="60" t="s">
        <v>4052</v>
      </c>
      <c r="G1251" s="28">
        <v>200</v>
      </c>
    </row>
    <row r="1252" spans="1:7" x14ac:dyDescent="0.35">
      <c r="A1252" s="22" t="s">
        <v>2549</v>
      </c>
      <c r="B1252" s="25" t="s">
        <v>2634</v>
      </c>
      <c r="C1252" s="26">
        <v>45900</v>
      </c>
      <c r="D1252" s="25">
        <v>39102</v>
      </c>
      <c r="E1252" s="25" t="s">
        <v>3570</v>
      </c>
      <c r="F1252" s="60" t="s">
        <v>4052</v>
      </c>
      <c r="G1252" s="28">
        <v>0.02</v>
      </c>
    </row>
    <row r="1253" spans="1:7" x14ac:dyDescent="0.35">
      <c r="A1253" s="22" t="s">
        <v>2549</v>
      </c>
      <c r="B1253" s="25" t="s">
        <v>2634</v>
      </c>
      <c r="C1253" s="26">
        <v>45900</v>
      </c>
      <c r="D1253" s="25">
        <v>39107</v>
      </c>
      <c r="E1253" s="25" t="s">
        <v>3230</v>
      </c>
      <c r="F1253" s="60" t="s">
        <v>4052</v>
      </c>
      <c r="G1253" s="28">
        <v>0.13</v>
      </c>
    </row>
    <row r="1254" spans="1:7" x14ac:dyDescent="0.35">
      <c r="A1254" s="22" t="s">
        <v>2549</v>
      </c>
      <c r="B1254" s="25" t="s">
        <v>2634</v>
      </c>
      <c r="C1254" s="26">
        <v>45900</v>
      </c>
      <c r="D1254" s="25">
        <v>39111</v>
      </c>
      <c r="E1254" s="25" t="s">
        <v>1999</v>
      </c>
      <c r="F1254" s="60" t="s">
        <v>4052</v>
      </c>
      <c r="G1254" s="28">
        <v>1</v>
      </c>
    </row>
    <row r="1255" spans="1:7" x14ac:dyDescent="0.35">
      <c r="A1255" s="22" t="s">
        <v>2549</v>
      </c>
      <c r="B1255" s="25" t="s">
        <v>2634</v>
      </c>
      <c r="C1255" s="26">
        <v>45900</v>
      </c>
      <c r="D1255" s="25">
        <v>39115</v>
      </c>
      <c r="E1255" s="25" t="s">
        <v>2067</v>
      </c>
      <c r="F1255" s="60" t="s">
        <v>4052</v>
      </c>
      <c r="G1255" s="28">
        <v>0.08</v>
      </c>
    </row>
    <row r="1256" spans="1:7" x14ac:dyDescent="0.35">
      <c r="A1256" s="22" t="s">
        <v>2549</v>
      </c>
      <c r="B1256" s="25" t="s">
        <v>2634</v>
      </c>
      <c r="C1256" s="26">
        <v>45900</v>
      </c>
      <c r="D1256" s="25">
        <v>39122</v>
      </c>
      <c r="E1256" s="25" t="s">
        <v>2459</v>
      </c>
      <c r="F1256" s="60" t="s">
        <v>4052</v>
      </c>
      <c r="G1256" s="28">
        <v>0.01</v>
      </c>
    </row>
    <row r="1257" spans="1:7" x14ac:dyDescent="0.35">
      <c r="A1257" s="22" t="s">
        <v>2549</v>
      </c>
      <c r="B1257" s="25" t="s">
        <v>2634</v>
      </c>
      <c r="C1257" s="26">
        <v>45900</v>
      </c>
      <c r="D1257" s="25">
        <v>39124</v>
      </c>
      <c r="E1257" s="25" t="s">
        <v>2392</v>
      </c>
      <c r="F1257" s="60" t="s">
        <v>4052</v>
      </c>
      <c r="G1257" s="28">
        <v>0.01</v>
      </c>
    </row>
  </sheetData>
  <hyperlinks>
    <hyperlink ref="A4" r:id="rId1" display="https://9607261.app.netsuite.com/app/reporting/reportrunner.nl?fromreport=320&amp;regtx,tranline,kacct,x,alltranline5,IN,x,x=950&amp;cr=293" xr:uid="{E85C5043-9FB6-431B-9768-5CF4D4C5FEE7}"/>
    <hyperlink ref="A5" r:id="rId2" display="https://9607261.app.netsuite.com/app/reporting/reportrunner.nl?fromreport=320&amp;regtx,tranline,kacct,x,alltranline5,IN,x,x=950&amp;cr=293" xr:uid="{F0974B6D-4497-41F2-B237-C7EB28C50FBE}"/>
    <hyperlink ref="A6" r:id="rId3" display="https://9607261.app.netsuite.com/app/reporting/reportrunner.nl?fromreport=320&amp;regtx,tranline,kacct,x,alltranline5,IN,x,x=950&amp;cr=293" xr:uid="{5D689DBC-9338-4FB3-B026-617ACA5D1CCD}"/>
    <hyperlink ref="A7" r:id="rId4" display="https://9607261.app.netsuite.com/app/reporting/reportrunner.nl?fromreport=320&amp;regtx,tranline,kacct,x,alltranline5,IN,x,x=950&amp;cr=293" xr:uid="{32290BEB-95D9-4994-B610-C77467569A8F}"/>
    <hyperlink ref="A8" r:id="rId5" display="https://9607261.app.netsuite.com/app/reporting/reportrunner.nl?fromreport=320&amp;regtx,tranline,kacct,x,alltranline5,IN,x,x=950&amp;cr=293" xr:uid="{484E5E59-A586-4E06-88EF-18572F3F9427}"/>
    <hyperlink ref="A9" r:id="rId6" display="https://9607261.app.netsuite.com/app/reporting/reportrunner.nl?fromreport=320&amp;regtx,tranline,kacct,x,alltranline5,IN,x,x=950&amp;cr=293" xr:uid="{D0B16BA4-9E99-4005-A77E-6E1367B95264}"/>
    <hyperlink ref="A10" r:id="rId7" display="https://9607261.app.netsuite.com/app/reporting/reportrunner.nl?fromreport=320&amp;regtx,tranline,kacct,x,alltranline5,IN,x,x=950&amp;cr=293" xr:uid="{67F5B73D-6C73-4BB8-9A1C-FD6CF235A992}"/>
    <hyperlink ref="A11" r:id="rId8" display="https://9607261.app.netsuite.com/app/reporting/reportrunner.nl?fromreport=320&amp;regtx,tranline,kacct,x,alltranline5,IN,x,x=950&amp;cr=293" xr:uid="{56342B9C-16A6-45AD-89DF-63155EE204C2}"/>
    <hyperlink ref="A12" r:id="rId9" display="https://9607261.app.netsuite.com/app/reporting/reportrunner.nl?fromreport=320&amp;regtx,tranline,kacct,x,alltranline5,IN,x,x=950&amp;cr=293" xr:uid="{C844AB10-33A9-4543-8B61-FC9689249109}"/>
    <hyperlink ref="A13" r:id="rId10" display="https://9607261.app.netsuite.com/app/reporting/reportrunner.nl?fromreport=320&amp;regtx,tranline,kacct,x,alltranline5,IN,x,x=950&amp;cr=293" xr:uid="{FA4175DF-EA99-4ECA-82A4-A53CC9EA1240}"/>
    <hyperlink ref="A14" r:id="rId11" display="https://9607261.app.netsuite.com/app/reporting/reportrunner.nl?fromreport=320&amp;regtx,tranline,kacct,x,alltranline5,IN,x,x=950&amp;cr=293" xr:uid="{23103B6E-D4AD-42F8-AF93-0E268BD3B85C}"/>
    <hyperlink ref="A15" r:id="rId12" display="https://9607261.app.netsuite.com/app/reporting/reportrunner.nl?fromreport=320&amp;regtx,tranline,kacct,x,alltranline5,IN,x,x=950&amp;cr=293" xr:uid="{D69897DA-3525-4185-88F0-4C83FBD034D2}"/>
    <hyperlink ref="A16" r:id="rId13" display="https://9607261.app.netsuite.com/app/reporting/reportrunner.nl?fromreport=320&amp;regtx,tranline,kacct,x,alltranline5,IN,x,x=950&amp;cr=293" xr:uid="{11868E7F-73D5-4D66-950C-514B589BDD2A}"/>
    <hyperlink ref="A17" r:id="rId14" display="https://9607261.app.netsuite.com/app/reporting/reportrunner.nl?fromreport=320&amp;regtx,tranline,kacct,x,alltranline5,IN,x,x=950&amp;cr=293" xr:uid="{ABA90A10-D095-44DF-AF48-D1BD689684B8}"/>
    <hyperlink ref="A18" r:id="rId15" display="https://9607261.app.netsuite.com/app/reporting/reportrunner.nl?fromreport=320&amp;regtx,tranline,kacct,x,alltranline5,IN,x,x=950&amp;cr=293" xr:uid="{BB14F2F3-697F-40AB-81A2-14AB079599BA}"/>
    <hyperlink ref="A19" r:id="rId16" display="https://9607261.app.netsuite.com/app/reporting/reportrunner.nl?fromreport=320&amp;regtx,tranline,kacct,x,alltranline5,IN,x,x=950&amp;cr=293" xr:uid="{784BE1BC-8002-4AF4-B6E4-835C81ADF18C}"/>
    <hyperlink ref="A20" r:id="rId17" display="https://9607261.app.netsuite.com/app/reporting/reportrunner.nl?fromreport=320&amp;regtx,tranline,kacct,x,alltranline5,IN,x,x=950&amp;cr=293" xr:uid="{E553DDEE-0E08-46B1-8631-D1E9D8756B53}"/>
    <hyperlink ref="A21" r:id="rId18" display="https://9607261.app.netsuite.com/app/reporting/reportrunner.nl?fromreport=320&amp;regtx,tranline,kacct,x,alltranline5,IN,x,x=950&amp;cr=293" xr:uid="{40391237-0B66-4C0D-BBC7-9A3402B876E4}"/>
    <hyperlink ref="A22" r:id="rId19" display="https://9607261.app.netsuite.com/app/reporting/reportrunner.nl?fromreport=320&amp;regtx,tranline,kacct,x,alltranline5,IN,x,x=950&amp;cr=293" xr:uid="{64DB38CD-8294-484C-88CB-4AA5F2109C27}"/>
    <hyperlink ref="A23" r:id="rId20" display="https://9607261.app.netsuite.com/app/reporting/reportrunner.nl?fromreport=320&amp;regtx,tranline,kacct,x,alltranline5,IN,x,x=950&amp;cr=293" xr:uid="{05F10675-0DC4-4762-BE7B-16D26DA0F3A5}"/>
    <hyperlink ref="A24" r:id="rId21" display="https://9607261.app.netsuite.com/app/reporting/reportrunner.nl?fromreport=320&amp;regtx,tranline,kacct,x,alltranline5,IN,x,x=950&amp;cr=293" xr:uid="{13750DD8-6A82-41A0-B6A9-48F78CF63C40}"/>
    <hyperlink ref="A25" r:id="rId22" display="https://9607261.app.netsuite.com/app/reporting/reportrunner.nl?fromreport=320&amp;regtx,tranline,kacct,x,alltranline5,IN,x,x=950&amp;cr=293" xr:uid="{50804E1A-B47F-4E12-A554-0FD8C6FAAECC}"/>
    <hyperlink ref="A26" r:id="rId23" display="https://9607261.app.netsuite.com/app/reporting/reportrunner.nl?fromreport=320&amp;regtx,tranline,kacct,x,alltranline5,IN,x,x=950&amp;cr=293" xr:uid="{91F0A4D0-4AAF-455F-832E-FEC27F94836D}"/>
    <hyperlink ref="A27" r:id="rId24" display="https://9607261.app.netsuite.com/app/reporting/reportrunner.nl?fromreport=320&amp;regtx,tranline,kacct,x,alltranline5,IN,x,x=950&amp;cr=293" xr:uid="{F84AFC28-D455-4808-BC70-F1E45ED3E74F}"/>
    <hyperlink ref="A28" r:id="rId25" display="https://9607261.app.netsuite.com/app/reporting/reportrunner.nl?fromreport=320&amp;regtx,tranline,kacct,x,alltranline5,IN,x,x=950&amp;cr=293" xr:uid="{DC9862A5-6602-49C8-8637-58B276F430F1}"/>
    <hyperlink ref="A29" r:id="rId26" display="https://9607261.app.netsuite.com/app/reporting/reportrunner.nl?fromreport=320&amp;regtx,tranline,kacct,x,alltranline5,IN,x,x=950&amp;cr=293" xr:uid="{027C5325-DC41-4D7E-B77B-6E3FAC92D41C}"/>
    <hyperlink ref="A30" r:id="rId27" display="https://9607261.app.netsuite.com/app/reporting/reportrunner.nl?fromreport=320&amp;regtx,tranline,kacct,x,alltranline5,IN,x,x=950&amp;cr=293" xr:uid="{C8190654-E3A3-43FD-A343-B4DB314891D7}"/>
    <hyperlink ref="A31" r:id="rId28" display="https://9607261.app.netsuite.com/app/reporting/reportrunner.nl?fromreport=320&amp;regtx,tranline,kacct,x,alltranline5,IN,x,x=950&amp;cr=293" xr:uid="{420D15CC-0901-41E6-A903-90324CECCB65}"/>
    <hyperlink ref="A32" r:id="rId29" display="https://9607261.app.netsuite.com/app/reporting/reportrunner.nl?fromreport=320&amp;regtx,tranline,kacct,x,alltranline5,IN,x,x=950&amp;cr=293" xr:uid="{861E7EED-872F-4F6B-89C7-39BE6EFF3DED}"/>
    <hyperlink ref="A33" r:id="rId30" display="https://9607261.app.netsuite.com/app/reporting/reportrunner.nl?fromreport=320&amp;regtx,tranline,kacct,x,alltranline5,IN,x,x=950&amp;cr=293" xr:uid="{7E26BDE4-7AA4-4758-8CDF-2DD624392AAB}"/>
    <hyperlink ref="A34" r:id="rId31" display="https://9607261.app.netsuite.com/app/reporting/reportrunner.nl?fromreport=320&amp;regtx,tranline,kacct,x,alltranline5,IN,x,x=950&amp;cr=293" xr:uid="{AF43C718-87A4-41FE-81DB-C2FE2FA4E124}"/>
    <hyperlink ref="A35" r:id="rId32" display="https://9607261.app.netsuite.com/app/reporting/reportrunner.nl?fromreport=320&amp;regtx,tranline,kacct,x,alltranline5,IN,x,x=950&amp;cr=293" xr:uid="{7945A10A-A693-4BFA-92FA-7918505AB832}"/>
    <hyperlink ref="A36" r:id="rId33" display="https://9607261.app.netsuite.com/app/reporting/reportrunner.nl?fromreport=320&amp;regtx,tranline,kacct,x,alltranline5,IN,x,x=950&amp;cr=293" xr:uid="{0C89AABD-2CDA-4459-BC42-89597A0FBE0C}"/>
    <hyperlink ref="A37" r:id="rId34" display="https://9607261.app.netsuite.com/app/reporting/reportrunner.nl?fromreport=320&amp;regtx,tranline,kacct,x,alltranline5,IN,x,x=950&amp;cr=293" xr:uid="{B7935462-D75F-42FB-B597-E976E068D718}"/>
    <hyperlink ref="A38" r:id="rId35" display="https://9607261.app.netsuite.com/app/reporting/reportrunner.nl?fromreport=320&amp;regtx,tranline,kacct,x,alltranline5,IN,x,x=950&amp;cr=293" xr:uid="{6ADDB97A-BE30-4CBB-AA5B-F5583FEEF84D}"/>
    <hyperlink ref="A39" r:id="rId36" display="https://9607261.app.netsuite.com/app/reporting/reportrunner.nl?fromreport=320&amp;regtx,tranline,kacct,x,alltranline5,IN,x,x=950&amp;cr=293" xr:uid="{C9310C02-A1C0-4EB9-84D7-DC7816CD52B8}"/>
    <hyperlink ref="A40" r:id="rId37" display="https://9607261.app.netsuite.com/app/reporting/reportrunner.nl?fromreport=320&amp;regtx,tranline,kacct,x,alltranline5,IN,x,x=950&amp;cr=293" xr:uid="{095AA531-D659-48CC-9407-0B885A5E67DF}"/>
    <hyperlink ref="A41" r:id="rId38" display="https://9607261.app.netsuite.com/app/reporting/reportrunner.nl?fromreport=320&amp;regtx,tranline,kacct,x,alltranline5,IN,x,x=950&amp;cr=293" xr:uid="{7DC1F3C8-184C-4825-A48D-18788C08AC1C}"/>
    <hyperlink ref="A42" r:id="rId39" display="https://9607261.app.netsuite.com/app/reporting/reportrunner.nl?fromreport=320&amp;regtx,tranline,kacct,x,alltranline5,IN,x,x=950&amp;cr=293" xr:uid="{3F8BEA92-0D5A-4955-820E-8B3EDFEDED90}"/>
    <hyperlink ref="A43" r:id="rId40" display="https://9607261.app.netsuite.com/app/reporting/reportrunner.nl?fromreport=320&amp;regtx,tranline,kacct,x,alltranline5,IN,x,x=950&amp;cr=293" xr:uid="{46E587B3-2B06-4CC6-8D78-DEE24F6EF28D}"/>
    <hyperlink ref="A44" r:id="rId41" display="https://9607261.app.netsuite.com/app/reporting/reportrunner.nl?fromreport=320&amp;regtx,tranline,kacct,x,alltranline5,IN,x,x=950&amp;cr=293" xr:uid="{B29B99CA-CB99-45DC-9756-3679FC80E3A3}"/>
    <hyperlink ref="A45" r:id="rId42" display="https://9607261.app.netsuite.com/app/reporting/reportrunner.nl?fromreport=320&amp;regtx,tranline,kacct,x,alltranline5,IN,x,x=950&amp;cr=293" xr:uid="{511B8832-0D21-4FAB-ADE4-86ED2F94D2DC}"/>
    <hyperlink ref="A46" r:id="rId43" display="https://9607261.app.netsuite.com/app/reporting/reportrunner.nl?fromreport=320&amp;regtx,tranline,kacct,x,alltranline5,IN,x,x=950&amp;cr=293" xr:uid="{0C5BD93B-58CB-41DA-887B-DBC80511E130}"/>
    <hyperlink ref="A47" r:id="rId44" display="https://9607261.app.netsuite.com/app/reporting/reportrunner.nl?fromreport=320&amp;regtx,tranline,kacct,x,alltranline5,IN,x,x=950&amp;cr=293" xr:uid="{CD2CE1CC-9E0A-49FB-B3C1-CF89B09BEA78}"/>
    <hyperlink ref="A48" r:id="rId45" display="https://9607261.app.netsuite.com/app/reporting/reportrunner.nl?fromreport=320&amp;regtx,tranline,kacct,x,alltranline5,IN,x,x=950&amp;cr=293" xr:uid="{DA768B9C-FBF3-4077-8D7E-1595F7510FCA}"/>
    <hyperlink ref="A49" r:id="rId46" display="https://9607261.app.netsuite.com/app/reporting/reportrunner.nl?fromreport=320&amp;regtx,tranline,kacct,x,alltranline5,IN,x,x=950&amp;cr=293" xr:uid="{46D73C55-1B26-49AF-81D3-D3F3C9B0A36B}"/>
    <hyperlink ref="A50" r:id="rId47" display="https://9607261.app.netsuite.com/app/reporting/reportrunner.nl?fromreport=320&amp;regtx,tranline,kacct,x,alltranline5,IN,x,x=950&amp;cr=293" xr:uid="{7230FEBC-0E74-42CE-9C00-3FFF6C42CF3B}"/>
    <hyperlink ref="A51" r:id="rId48" display="https://9607261.app.netsuite.com/app/reporting/reportrunner.nl?fromreport=320&amp;regtx,tranline,kacct,x,alltranline5,IN,x,x=950&amp;cr=293" xr:uid="{751361BD-4CED-4972-842C-277B8A173363}"/>
    <hyperlink ref="A52" r:id="rId49" display="https://9607261.app.netsuite.com/app/reporting/reportrunner.nl?fromreport=320&amp;regtx,tranline,kacct,x,alltranline5,IN,x,x=950&amp;cr=293" xr:uid="{2B7CFD81-003A-4CB2-B692-54D7B20FE6CE}"/>
    <hyperlink ref="A53" r:id="rId50" display="https://9607261.app.netsuite.com/app/reporting/reportrunner.nl?fromreport=320&amp;regtx,tranline,kacct,x,alltranline5,IN,x,x=950&amp;cr=293" xr:uid="{C62AD80B-04A5-4D94-87C8-046F84911906}"/>
    <hyperlink ref="A54" r:id="rId51" display="https://9607261.app.netsuite.com/app/reporting/reportrunner.nl?fromreport=320&amp;regtx,tranline,kacct,x,alltranline5,IN,x,x=950&amp;cr=293" xr:uid="{9322F9BC-885D-4685-8F18-1F137F62F299}"/>
    <hyperlink ref="A55" r:id="rId52" display="https://9607261.app.netsuite.com/app/reporting/reportrunner.nl?fromreport=320&amp;regtx,tranline,kacct,x,alltranline5,IN,x,x=950&amp;cr=293" xr:uid="{8FB746A1-67C9-4684-89C7-99E6B9050143}"/>
    <hyperlink ref="A56" r:id="rId53" display="https://9607261.app.netsuite.com/app/reporting/reportrunner.nl?fromreport=320&amp;regtx,tranline,kacct,x,alltranline5,IN,x,x=950&amp;cr=293" xr:uid="{8A4F4F78-4B5F-475A-A354-1210EF184AD7}"/>
    <hyperlink ref="A57" r:id="rId54" display="https://9607261.app.netsuite.com/app/reporting/reportrunner.nl?fromreport=320&amp;regtx,tranline,kacct,x,alltranline5,IN,x,x=950&amp;cr=293" xr:uid="{35AEB648-A4BE-4993-AA47-1E7DA4F50EF5}"/>
    <hyperlink ref="A58" r:id="rId55" display="https://9607261.app.netsuite.com/app/reporting/reportrunner.nl?fromreport=320&amp;regtx,tranline,kacct,x,alltranline5,IN,x,x=950&amp;cr=293" xr:uid="{7D738CCC-D54C-4880-BD02-D544420CB85B}"/>
    <hyperlink ref="A59" r:id="rId56" display="https://9607261.app.netsuite.com/app/reporting/reportrunner.nl?fromreport=320&amp;regtx,tranline,kacct,x,alltranline5,IN,x,x=950&amp;cr=293" xr:uid="{D0381406-FC01-47B0-88B2-2DD82056D4B6}"/>
    <hyperlink ref="A60" r:id="rId57" display="https://9607261.app.netsuite.com/app/reporting/reportrunner.nl?fromreport=320&amp;regtx,tranline,kacct,x,alltranline5,IN,x,x=950&amp;cr=293" xr:uid="{B2108911-0635-4BEB-A7B3-EF06C5728FF1}"/>
    <hyperlink ref="A61" r:id="rId58" display="https://9607261.app.netsuite.com/app/reporting/reportrunner.nl?fromreport=320&amp;regtx,tranline,kacct,x,alltranline5,IN,x,x=950&amp;cr=293" xr:uid="{980F735A-211C-440D-8405-B2C42CE270F5}"/>
    <hyperlink ref="A62" r:id="rId59" display="https://9607261.app.netsuite.com/app/reporting/reportrunner.nl?fromreport=320&amp;regtx,tranline,kacct,x,alltranline5,IN,x,x=950&amp;cr=293" xr:uid="{37E6F8EF-DBB9-4B38-8131-1A8E58210323}"/>
    <hyperlink ref="A63" r:id="rId60" display="https://9607261.app.netsuite.com/app/reporting/reportrunner.nl?fromreport=320&amp;regtx,tranline,kacct,x,alltranline5,IN,x,x=950&amp;cr=293" xr:uid="{D219CC91-9F73-40BB-A7DC-0779C94924E1}"/>
    <hyperlink ref="A64" r:id="rId61" display="https://9607261.app.netsuite.com/app/reporting/reportrunner.nl?fromreport=320&amp;regtx,tranline,kacct,x,alltranline5,IN,x,x=950&amp;cr=293" xr:uid="{AFE9769E-6B4D-44D0-8631-3D17725760DA}"/>
    <hyperlink ref="A65" r:id="rId62" display="https://9607261.app.netsuite.com/app/reporting/reportrunner.nl?fromreport=320&amp;regtx,tranline,kacct,x,alltranline5,IN,x,x=950&amp;cr=293" xr:uid="{71DF7561-952E-4989-B8F3-492B16068A60}"/>
    <hyperlink ref="A66" r:id="rId63" display="https://9607261.app.netsuite.com/app/reporting/reportrunner.nl?fromreport=320&amp;regtx,tranline,kacct,x,alltranline5,IN,x,x=950&amp;cr=293" xr:uid="{54B3E26D-CB95-43C0-9E55-056A59E71443}"/>
    <hyperlink ref="A67" r:id="rId64" display="https://9607261.app.netsuite.com/app/reporting/reportrunner.nl?fromreport=320&amp;regtx,tranline,kacct,x,alltranline5,IN,x,x=950&amp;cr=293" xr:uid="{871A7E8D-3E4C-4A30-B5FE-C0DE315D79CB}"/>
    <hyperlink ref="A68" r:id="rId65" display="https://9607261.app.netsuite.com/app/reporting/reportrunner.nl?fromreport=320&amp;regtx,tranline,kacct,x,alltranline5,IN,x,x=950&amp;cr=293" xr:uid="{1CC6A57A-5610-4993-8B5D-907FF51B1DD7}"/>
    <hyperlink ref="A69" r:id="rId66" display="https://9607261.app.netsuite.com/app/reporting/reportrunner.nl?fromreport=320&amp;regtx,tranline,kacct,x,alltranline5,IN,x,x=950&amp;cr=293" xr:uid="{B1BC8ED7-6E0F-41EC-881A-F02D2DB3CF20}"/>
    <hyperlink ref="A70" r:id="rId67" display="https://9607261.app.netsuite.com/app/reporting/reportrunner.nl?fromreport=320&amp;regtx,tranline,kacct,x,alltranline5,IN,x,x=950&amp;cr=293" xr:uid="{542FE495-0B2A-444C-B538-A03C696EB42D}"/>
    <hyperlink ref="A71" r:id="rId68" display="https://9607261.app.netsuite.com/app/reporting/reportrunner.nl?fromreport=320&amp;regtx,tranline,kacct,x,alltranline5,IN,x,x=950&amp;cr=293" xr:uid="{034B98F2-9C53-4B83-924A-5E0A257CC14B}"/>
    <hyperlink ref="A72" r:id="rId69" display="https://9607261.app.netsuite.com/app/reporting/reportrunner.nl?fromreport=320&amp;regtx,tranline,kacct,x,alltranline5,IN,x,x=950&amp;cr=293" xr:uid="{3966F9C3-7D5C-4707-AAAF-EFB07E1A67A7}"/>
    <hyperlink ref="A73" r:id="rId70" display="https://9607261.app.netsuite.com/app/reporting/reportrunner.nl?fromreport=320&amp;regtx,tranline,kacct,x,alltranline5,IN,x,x=950&amp;cr=293" xr:uid="{5287964A-8CFA-4F38-9DFC-6D48F03EBB5A}"/>
    <hyperlink ref="A74" r:id="rId71" display="https://9607261.app.netsuite.com/app/reporting/reportrunner.nl?fromreport=320&amp;regtx,tranline,kacct,x,alltranline5,IN,x,x=950&amp;cr=293" xr:uid="{9B9D085F-9B46-4FCF-B646-C20920FF0290}"/>
    <hyperlink ref="A75" r:id="rId72" display="https://9607261.app.netsuite.com/app/reporting/reportrunner.nl?fromreport=320&amp;regtx,tranline,kacct,x,alltranline5,IN,x,x=950&amp;cr=293" xr:uid="{5C0CB150-2047-4C4D-BB4B-1E2F142D51A8}"/>
    <hyperlink ref="A76" r:id="rId73" display="https://9607261.app.netsuite.com/app/reporting/reportrunner.nl?fromreport=320&amp;regtx,tranline,kacct,x,alltranline5,IN,x,x=950&amp;cr=293" xr:uid="{6563D4E8-91BD-48D9-9A0D-31EAEB8D6D97}"/>
    <hyperlink ref="A77" r:id="rId74" display="https://9607261.app.netsuite.com/app/reporting/reportrunner.nl?fromreport=320&amp;regtx,tranline,kacct,x,alltranline5,IN,x,x=950&amp;cr=293" xr:uid="{E1B0EAD4-69FF-4E54-B2E0-5CD22E69ADE3}"/>
    <hyperlink ref="A78" r:id="rId75" display="https://9607261.app.netsuite.com/app/reporting/reportrunner.nl?fromreport=320&amp;regtx,tranline,kacct,x,alltranline5,IN,x,x=950&amp;cr=293" xr:uid="{92DD9906-C091-4892-A532-D5BA3277BD11}"/>
    <hyperlink ref="A79" r:id="rId76" display="https://9607261.app.netsuite.com/app/reporting/reportrunner.nl?fromreport=320&amp;regtx,tranline,kacct,x,alltranline5,IN,x,x=950&amp;cr=293" xr:uid="{A1CFD6D6-0A73-4354-BE33-01A1DB7BE4E5}"/>
    <hyperlink ref="A80" r:id="rId77" display="https://9607261.app.netsuite.com/app/reporting/reportrunner.nl?fromreport=320&amp;regtx,tranline,kacct,x,alltranline5,IN,x,x=950&amp;cr=293" xr:uid="{E7617C6A-5BE7-4CC9-85D5-DDA999DDB761}"/>
    <hyperlink ref="A81" r:id="rId78" display="https://9607261.app.netsuite.com/app/reporting/reportrunner.nl?fromreport=320&amp;regtx,tranline,kacct,x,alltranline5,IN,x,x=950&amp;cr=293" xr:uid="{68E19877-EBD5-4DEC-B398-C6A028C02D6B}"/>
    <hyperlink ref="A82" r:id="rId79" display="https://9607261.app.netsuite.com/app/reporting/reportrunner.nl?fromreport=320&amp;regtx,tranline,kacct,x,alltranline5,IN,x,x=950&amp;cr=293" xr:uid="{111D41DE-2DE2-4FA5-AF3B-AF79BEAAD35B}"/>
    <hyperlink ref="A83" r:id="rId80" display="https://9607261.app.netsuite.com/app/reporting/reportrunner.nl?fromreport=320&amp;regtx,tranline,kacct,x,alltranline5,IN,x,x=950&amp;cr=293" xr:uid="{27C941B6-2952-4DA2-9B89-5ED6CD83BCBB}"/>
    <hyperlink ref="A84" r:id="rId81" display="https://9607261.app.netsuite.com/app/reporting/reportrunner.nl?fromreport=320&amp;regtx,tranline,kacct,x,alltranline5,IN,x,x=950&amp;cr=293" xr:uid="{82AE3584-AEFF-447D-8440-A1626E3C64F7}"/>
    <hyperlink ref="A85" r:id="rId82" display="https://9607261.app.netsuite.com/app/reporting/reportrunner.nl?fromreport=320&amp;regtx,tranline,kacct,x,alltranline5,IN,x,x=950&amp;cr=293" xr:uid="{93F8CCF4-3A66-495C-B091-A84BA3E461D9}"/>
    <hyperlink ref="A86" r:id="rId83" display="https://9607261.app.netsuite.com/app/reporting/reportrunner.nl?fromreport=320&amp;regtx,tranline,kacct,x,alltranline5,IN,x,x=950&amp;cr=293" xr:uid="{5197CB66-14FD-4DC4-80C4-8BEBCFE3798E}"/>
    <hyperlink ref="A87" r:id="rId84" display="https://9607261.app.netsuite.com/app/reporting/reportrunner.nl?fromreport=320&amp;regtx,tranline,kacct,x,alltranline5,IN,x,x=950&amp;cr=293" xr:uid="{3BADD08A-5792-44CD-A954-718AA39E21E3}"/>
    <hyperlink ref="A88" r:id="rId85" display="https://9607261.app.netsuite.com/app/reporting/reportrunner.nl?fromreport=320&amp;regtx,tranline,kacct,x,alltranline5,IN,x,x=950&amp;cr=293" xr:uid="{9D87D5D8-4508-4A0D-8586-EBA9CDE5666F}"/>
    <hyperlink ref="A89" r:id="rId86" display="https://9607261.app.netsuite.com/app/reporting/reportrunner.nl?fromreport=320&amp;regtx,tranline,kacct,x,alltranline5,IN,x,x=950&amp;cr=293" xr:uid="{004CCF89-917E-4453-9509-4361637FE5A9}"/>
    <hyperlink ref="A90" r:id="rId87" display="https://9607261.app.netsuite.com/app/reporting/reportrunner.nl?fromreport=320&amp;regtx,tranline,kacct,x,alltranline5,IN,x,x=950&amp;cr=293" xr:uid="{EE0AF862-2C62-4D02-AD4F-AD584BB5B07D}"/>
    <hyperlink ref="A91" r:id="rId88" display="https://9607261.app.netsuite.com/app/reporting/reportrunner.nl?fromreport=320&amp;regtx,tranline,kacct,x,alltranline5,IN,x,x=950&amp;cr=293" xr:uid="{89E3DE60-85B7-42BF-880A-5F7E63FA8ACC}"/>
    <hyperlink ref="A92" r:id="rId89" display="https://9607261.app.netsuite.com/app/reporting/reportrunner.nl?fromreport=320&amp;regtx,tranline,kacct,x,alltranline5,IN,x,x=950&amp;cr=293" xr:uid="{C8695C76-2A23-4C83-8CD1-D0DDDF37A010}"/>
    <hyperlink ref="A93" r:id="rId90" display="https://9607261.app.netsuite.com/app/reporting/reportrunner.nl?fromreport=320&amp;regtx,tranline,kacct,x,alltranline5,IN,x,x=950&amp;cr=293" xr:uid="{F2BE9809-9316-4ABE-81A3-E7948284B0C8}"/>
    <hyperlink ref="A94" r:id="rId91" display="https://9607261.app.netsuite.com/app/reporting/reportrunner.nl?fromreport=320&amp;regtx,tranline,kacct,x,alltranline5,IN,x,x=950&amp;cr=293" xr:uid="{C86FB337-9FD9-4ABA-B2A0-1219363777AA}"/>
    <hyperlink ref="A95" r:id="rId92" display="https://9607261.app.netsuite.com/app/reporting/reportrunner.nl?fromreport=320&amp;regtx,tranline,kacct,x,alltranline5,IN,x,x=950&amp;cr=293" xr:uid="{44763F93-09A9-4CC5-8291-BF2A8E3EA0E5}"/>
    <hyperlink ref="A96" r:id="rId93" display="https://9607261.app.netsuite.com/app/reporting/reportrunner.nl?fromreport=320&amp;regtx,tranline,kacct,x,alltranline5,IN,x,x=950&amp;cr=293" xr:uid="{8F50FA33-4BF2-4238-881E-A2F4ACC35C84}"/>
    <hyperlink ref="A97" r:id="rId94" display="https://9607261.app.netsuite.com/app/reporting/reportrunner.nl?fromreport=320&amp;regtx,tranline,kacct,x,alltranline5,IN,x,x=950&amp;cr=293" xr:uid="{9E88BAFE-F4FC-4A4F-888C-105201D9B9AC}"/>
    <hyperlink ref="A98" r:id="rId95" display="https://9607261.app.netsuite.com/app/reporting/reportrunner.nl?fromreport=320&amp;regtx,tranline,kacct,x,alltranline5,IN,x,x=950&amp;cr=293" xr:uid="{783A19C8-7A6F-4C2F-9AA6-F6ED77A4CBE2}"/>
    <hyperlink ref="A99" r:id="rId96" display="https://9607261.app.netsuite.com/app/reporting/reportrunner.nl?fromreport=320&amp;regtx,tranline,kacct,x,alltranline5,IN,x,x=950&amp;cr=293" xr:uid="{48E791AC-D941-4426-9A1E-9B1C02704DAC}"/>
    <hyperlink ref="A100" r:id="rId97" display="https://9607261.app.netsuite.com/app/reporting/reportrunner.nl?fromreport=320&amp;regtx,tranline,kacct,x,alltranline5,IN,x,x=950&amp;cr=293" xr:uid="{8DED4583-7E70-40D8-B400-48F648DE097C}"/>
    <hyperlink ref="A101" r:id="rId98" display="https://9607261.app.netsuite.com/app/reporting/reportrunner.nl?fromreport=320&amp;regtx,tranline,kacct,x,alltranline5,IN,x,x=950&amp;cr=293" xr:uid="{E6064B1F-FD44-4D6B-8C61-6E26703ED347}"/>
    <hyperlink ref="A102" r:id="rId99" display="https://9607261.app.netsuite.com/app/reporting/reportrunner.nl?fromreport=320&amp;regtx,tranline,kacct,x,alltranline5,IN,x,x=950&amp;cr=293" xr:uid="{E7505E2D-ED1B-4AAC-9F62-48E5B11D35EC}"/>
    <hyperlink ref="A103" r:id="rId100" display="https://9607261.app.netsuite.com/app/reporting/reportrunner.nl?fromreport=320&amp;regtx,tranline,kacct,x,alltranline5,IN,x,x=950&amp;cr=293" xr:uid="{12A3A082-5583-45DD-A016-2328DBBF7AB0}"/>
    <hyperlink ref="A104" r:id="rId101" display="https://9607261.app.netsuite.com/app/reporting/reportrunner.nl?fromreport=320&amp;regtx,tranline,kacct,x,alltranline5,IN,x,x=950&amp;cr=293" xr:uid="{44BA0632-C81D-475C-8429-911B1E861812}"/>
    <hyperlink ref="A105" r:id="rId102" display="https://9607261.app.netsuite.com/app/reporting/reportrunner.nl?fromreport=320&amp;regtx,tranline,kacct,x,alltranline5,IN,x,x=950&amp;cr=293" xr:uid="{E7AE1B93-DC7D-4AAF-A93F-3E16F546FF94}"/>
    <hyperlink ref="A106" r:id="rId103" display="https://9607261.app.netsuite.com/app/reporting/reportrunner.nl?fromreport=320&amp;regtx,tranline,kacct,x,alltranline5,IN,x,x=950&amp;cr=293" xr:uid="{974891A2-B77F-411A-9928-DA5C915DA447}"/>
    <hyperlink ref="A107" r:id="rId104" display="https://9607261.app.netsuite.com/app/reporting/reportrunner.nl?fromreport=320&amp;regtx,tranline,kacct,x,alltranline5,IN,x,x=950&amp;cr=293" xr:uid="{1AD5AF75-6743-4A9C-9713-A8DB15C1982B}"/>
    <hyperlink ref="A108" r:id="rId105" display="https://9607261.app.netsuite.com/app/reporting/reportrunner.nl?fromreport=320&amp;regtx,tranline,kacct,x,alltranline5,IN,x,x=950&amp;cr=293" xr:uid="{481505AB-51E6-4D9E-B437-E905B1515CDA}"/>
    <hyperlink ref="A109" r:id="rId106" display="https://9607261.app.netsuite.com/app/reporting/reportrunner.nl?fromreport=320&amp;regtx,tranline,kacct,x,alltranline5,IN,x,x=950&amp;cr=293" xr:uid="{8A5F2B22-50E6-4687-A9FC-9FE8878AE654}"/>
    <hyperlink ref="A110" r:id="rId107" display="https://9607261.app.netsuite.com/app/reporting/reportrunner.nl?fromreport=320&amp;regtx,tranline,kacct,x,alltranline5,IN,x,x=950&amp;cr=293" xr:uid="{2539267A-D86A-4612-BE5F-63F4420003C8}"/>
    <hyperlink ref="A111" r:id="rId108" display="https://9607261.app.netsuite.com/app/reporting/reportrunner.nl?fromreport=320&amp;regtx,tranline,kacct,x,alltranline5,IN,x,x=950&amp;cr=293" xr:uid="{62E9BE76-14B8-446D-A41E-A538322C5A76}"/>
    <hyperlink ref="A112" r:id="rId109" display="https://9607261.app.netsuite.com/app/reporting/reportrunner.nl?fromreport=320&amp;regtx,tranline,kacct,x,alltranline5,IN,x,x=950&amp;cr=293" xr:uid="{47ED9D04-0855-449F-B7D0-5B3C1285D259}"/>
    <hyperlink ref="A113" r:id="rId110" display="https://9607261.app.netsuite.com/app/reporting/reportrunner.nl?fromreport=320&amp;regtx,tranline,kacct,x,alltranline5,IN,x,x=950&amp;cr=293" xr:uid="{075E2435-AD70-429E-9112-3891CF0AA369}"/>
    <hyperlink ref="A114" r:id="rId111" display="https://9607261.app.netsuite.com/app/reporting/reportrunner.nl?fromreport=320&amp;regtx,tranline,kacct,x,alltranline5,IN,x,x=950&amp;cr=293" xr:uid="{B801A973-EA3E-438C-A4A1-91677704B6E9}"/>
    <hyperlink ref="A115" r:id="rId112" display="https://9607261.app.netsuite.com/app/reporting/reportrunner.nl?fromreport=320&amp;regtx,tranline,kacct,x,alltranline5,IN,x,x=950&amp;cr=293" xr:uid="{238762AD-D4DE-4760-8C8C-C67EEEBB35AC}"/>
    <hyperlink ref="A116" r:id="rId113" display="https://9607261.app.netsuite.com/app/reporting/reportrunner.nl?fromreport=320&amp;regtx,tranline,kacct,x,alltranline5,IN,x,x=950&amp;cr=293" xr:uid="{DDB0BA0A-50C0-48D4-BCA3-D719AD9CDAE4}"/>
    <hyperlink ref="A117" r:id="rId114" display="https://9607261.app.netsuite.com/app/reporting/reportrunner.nl?fromreport=320&amp;regtx,tranline,kacct,x,alltranline5,IN,x,x=950&amp;cr=293" xr:uid="{5FF1149B-C16D-43BF-A670-18344FD11626}"/>
    <hyperlink ref="A118" r:id="rId115" display="https://9607261.app.netsuite.com/app/reporting/reportrunner.nl?fromreport=320&amp;regtx,tranline,kacct,x,alltranline5,IN,x,x=950&amp;cr=293" xr:uid="{868A1009-D1A1-416D-8020-942891071A89}"/>
    <hyperlink ref="A119" r:id="rId116" display="https://9607261.app.netsuite.com/app/reporting/reportrunner.nl?fromreport=320&amp;regtx,tranline,kacct,x,alltranline5,IN,x,x=950&amp;cr=293" xr:uid="{A866B75A-92F7-4564-AE6A-4E5EF792D802}"/>
    <hyperlink ref="A120" r:id="rId117" display="https://9607261.app.netsuite.com/app/reporting/reportrunner.nl?fromreport=320&amp;regtx,tranline,kacct,x,alltranline5,IN,x,x=950&amp;cr=293" xr:uid="{223EF54C-E46F-46E3-9B61-C774DBEBED17}"/>
    <hyperlink ref="A121" r:id="rId118" display="https://9607261.app.netsuite.com/app/reporting/reportrunner.nl?fromreport=320&amp;regtx,tranline,kacct,x,alltranline5,IN,x,x=950&amp;cr=293" xr:uid="{8D9B79E9-964C-49B7-8E10-9AC9302CEA10}"/>
    <hyperlink ref="A122" r:id="rId119" display="https://9607261.app.netsuite.com/app/reporting/reportrunner.nl?fromreport=320&amp;regtx,tranline,kacct,x,alltranline5,IN,x,x=950&amp;cr=293" xr:uid="{028811B9-D9CB-46B0-A838-191E88A073D5}"/>
    <hyperlink ref="A123" r:id="rId120" display="https://9607261.app.netsuite.com/app/reporting/reportrunner.nl?fromreport=320&amp;regtx,tranline,kacct,x,alltranline5,IN,x,x=950&amp;cr=293" xr:uid="{75BBE311-4AAE-42B5-966A-52C663E70C58}"/>
    <hyperlink ref="A124" r:id="rId121" display="https://9607261.app.netsuite.com/app/reporting/reportrunner.nl?fromreport=320&amp;regtx,tranline,kacct,x,alltranline5,IN,x,x=950&amp;cr=293" xr:uid="{76B1070D-3452-4307-8006-E075188CBD1F}"/>
    <hyperlink ref="A125" r:id="rId122" display="https://9607261.app.netsuite.com/app/reporting/reportrunner.nl?fromreport=320&amp;regtx,tranline,kacct,x,alltranline5,IN,x,x=950&amp;cr=293" xr:uid="{C157BC8E-1DAE-4C77-BB38-57394DE6BB0B}"/>
    <hyperlink ref="A126" r:id="rId123" display="https://9607261.app.netsuite.com/app/reporting/reportrunner.nl?fromreport=320&amp;regtx,tranline,kacct,x,alltranline5,IN,x,x=950&amp;cr=293" xr:uid="{907C4D33-2FBF-4FC6-B696-964117B5D006}"/>
    <hyperlink ref="A127" r:id="rId124" display="https://9607261.app.netsuite.com/app/reporting/reportrunner.nl?fromreport=320&amp;regtx,tranline,kacct,x,alltranline5,IN,x,x=950&amp;cr=293" xr:uid="{D8E85AC7-9FC7-4471-BFF1-FEEC9C5C491D}"/>
    <hyperlink ref="A128" r:id="rId125" display="https://9607261.app.netsuite.com/app/reporting/reportrunner.nl?fromreport=320&amp;regtx,tranline,kacct,x,alltranline5,IN,x,x=950&amp;cr=293" xr:uid="{9F2ED4CE-445E-40F7-8490-A947B7E35A40}"/>
    <hyperlink ref="A129" r:id="rId126" display="https://9607261.app.netsuite.com/app/reporting/reportrunner.nl?fromreport=320&amp;regtx,tranline,kacct,x,alltranline5,IN,x,x=950&amp;cr=293" xr:uid="{E868DDD1-C83A-4F9E-BA99-01DCBDFF355D}"/>
    <hyperlink ref="A130" r:id="rId127" display="https://9607261.app.netsuite.com/app/reporting/reportrunner.nl?fromreport=320&amp;regtx,tranline,kacct,x,alltranline5,IN,x,x=950&amp;cr=293" xr:uid="{4824141D-C985-4FC3-96A1-0C554AE7176E}"/>
    <hyperlink ref="A131" r:id="rId128" display="https://9607261.app.netsuite.com/app/reporting/reportrunner.nl?fromreport=320&amp;regtx,tranline,kacct,x,alltranline5,IN,x,x=950&amp;cr=293" xr:uid="{6DBCDEEA-3590-404B-A009-CB01100B12D9}"/>
    <hyperlink ref="A132" r:id="rId129" display="https://9607261.app.netsuite.com/app/reporting/reportrunner.nl?fromreport=320&amp;regtx,tranline,kacct,x,alltranline5,IN,x,x=950&amp;cr=293" xr:uid="{2595AA74-061E-4839-AEE8-F2E1D3902C2B}"/>
    <hyperlink ref="A133" r:id="rId130" display="https://9607261.app.netsuite.com/app/reporting/reportrunner.nl?fromreport=320&amp;regtx,tranline,kacct,x,alltranline5,IN,x,x=950&amp;cr=293" xr:uid="{21F5F0AF-29AA-40B2-9D01-82E8ACBBC71C}"/>
    <hyperlink ref="A134" r:id="rId131" display="https://9607261.app.netsuite.com/app/reporting/reportrunner.nl?fromreport=320&amp;regtx,tranline,kacct,x,alltranline5,IN,x,x=950&amp;cr=293" xr:uid="{899743E2-5108-402F-B585-156ABB861C88}"/>
    <hyperlink ref="A135" r:id="rId132" display="https://9607261.app.netsuite.com/app/reporting/reportrunner.nl?fromreport=320&amp;regtx,tranline,kacct,x,alltranline5,IN,x,x=950&amp;cr=293" xr:uid="{6D86B428-F9DB-4B34-AAE5-1FEF659C8CD9}"/>
    <hyperlink ref="A136" r:id="rId133" display="https://9607261.app.netsuite.com/app/reporting/reportrunner.nl?fromreport=320&amp;regtx,tranline,kacct,x,alltranline5,IN,x,x=950&amp;cr=293" xr:uid="{B9198F18-C8AD-447E-848F-C9816332931A}"/>
    <hyperlink ref="A137" r:id="rId134" display="https://9607261.app.netsuite.com/app/reporting/reportrunner.nl?fromreport=320&amp;regtx,tranline,kacct,x,alltranline5,IN,x,x=950&amp;cr=293" xr:uid="{109BCF3F-47B5-4B6A-B1BE-3D3798A39C07}"/>
    <hyperlink ref="A138" r:id="rId135" display="https://9607261.app.netsuite.com/app/reporting/reportrunner.nl?fromreport=320&amp;regtx,tranline,kacct,x,alltranline5,IN,x,x=950&amp;cr=293" xr:uid="{7C9CDB31-DCAD-447D-8329-F4D40A10AD15}"/>
    <hyperlink ref="A139" r:id="rId136" display="https://9607261.app.netsuite.com/app/reporting/reportrunner.nl?fromreport=320&amp;regtx,tranline,kacct,x,alltranline5,IN,x,x=950&amp;cr=293" xr:uid="{C3BBC21E-79FF-4B05-BBC6-7F539A04CC68}"/>
    <hyperlink ref="A140" r:id="rId137" display="https://9607261.app.netsuite.com/app/reporting/reportrunner.nl?fromreport=320&amp;regtx,tranline,kacct,x,alltranline5,IN,x,x=950&amp;cr=293" xr:uid="{DF1BDF1A-831E-47ED-A234-E63859AFEB57}"/>
    <hyperlink ref="A141" r:id="rId138" display="https://9607261.app.netsuite.com/app/reporting/reportrunner.nl?fromreport=320&amp;regtx,tranline,kacct,x,alltranline5,IN,x,x=950&amp;cr=293" xr:uid="{5130F6F3-1712-4DCC-9DBE-A3F3393638C4}"/>
    <hyperlink ref="A142" r:id="rId139" display="https://9607261.app.netsuite.com/app/reporting/reportrunner.nl?fromreport=320&amp;regtx,tranline,kacct,x,alltranline5,IN,x,x=950&amp;cr=293" xr:uid="{13160CED-3EFA-4F2D-BEEC-F005533B7F8B}"/>
    <hyperlink ref="A143" r:id="rId140" display="https://9607261.app.netsuite.com/app/reporting/reportrunner.nl?fromreport=320&amp;regtx,tranline,kacct,x,alltranline5,IN,x,x=950&amp;cr=293" xr:uid="{49C4DFE4-12A8-423D-A253-825ABC12BA63}"/>
    <hyperlink ref="A144" r:id="rId141" display="https://9607261.app.netsuite.com/app/reporting/reportrunner.nl?fromreport=320&amp;regtx,tranline,kacct,x,alltranline5,IN,x,x=950&amp;cr=293" xr:uid="{896C97B9-2A9C-4E70-9163-108590F0B36B}"/>
    <hyperlink ref="A145" r:id="rId142" display="https://9607261.app.netsuite.com/app/reporting/reportrunner.nl?fromreport=320&amp;regtx,tranline,kacct,x,alltranline5,IN,x,x=950&amp;cr=293" xr:uid="{7F04BB0D-385A-4266-9B5A-E0D3947BAEB2}"/>
    <hyperlink ref="A146" r:id="rId143" display="https://9607261.app.netsuite.com/app/reporting/reportrunner.nl?fromreport=320&amp;regtx,tranline,kacct,x,alltranline5,IN,x,x=950&amp;cr=293" xr:uid="{427F185E-57FA-4730-B724-8AC0A9E63CC1}"/>
    <hyperlink ref="A147" r:id="rId144" display="https://9607261.app.netsuite.com/app/reporting/reportrunner.nl?fromreport=320&amp;regtx,tranline,kacct,x,alltranline5,IN,x,x=950&amp;cr=293" xr:uid="{E88ADB9E-E963-4163-89AB-27E1DC15251A}"/>
    <hyperlink ref="A148" r:id="rId145" display="https://9607261.app.netsuite.com/app/reporting/reportrunner.nl?fromreport=320&amp;regtx,tranline,kacct,x,alltranline5,IN,x,x=950&amp;cr=293" xr:uid="{6BC1E2E3-D639-4B4C-B007-AD4CCB996160}"/>
    <hyperlink ref="A149" r:id="rId146" display="https://9607261.app.netsuite.com/app/reporting/reportrunner.nl?fromreport=320&amp;regtx,tranline,kacct,x,alltranline5,IN,x,x=950&amp;cr=293" xr:uid="{CB23E4EB-07A1-4D45-9615-A593F8EEC2C0}"/>
    <hyperlink ref="A150" r:id="rId147" display="https://9607261.app.netsuite.com/app/reporting/reportrunner.nl?fromreport=320&amp;regtx,tranline,kacct,x,alltranline5,IN,x,x=950&amp;cr=293" xr:uid="{EA66C1EB-145B-4EA3-801D-2CDDB5824211}"/>
    <hyperlink ref="A151" r:id="rId148" display="https://9607261.app.netsuite.com/app/reporting/reportrunner.nl?fromreport=320&amp;regtx,tranline,kacct,x,alltranline5,IN,x,x=950&amp;cr=293" xr:uid="{983A5C5C-6FBB-44D8-BC8E-E9122EA4C2ED}"/>
    <hyperlink ref="A152" r:id="rId149" display="https://9607261.app.netsuite.com/app/reporting/reportrunner.nl?fromreport=320&amp;regtx,tranline,kacct,x,alltranline5,IN,x,x=950&amp;cr=293" xr:uid="{0C63F09C-D5D5-4A9F-B374-DE3D6D6EFA24}"/>
    <hyperlink ref="A153" r:id="rId150" display="https://9607261.app.netsuite.com/app/reporting/reportrunner.nl?fromreport=320&amp;regtx,tranline,kacct,x,alltranline5,IN,x,x=950&amp;cr=293" xr:uid="{92A68C43-D27A-489D-83D1-EADB348D602E}"/>
    <hyperlink ref="A154" r:id="rId151" display="https://9607261.app.netsuite.com/app/reporting/reportrunner.nl?fromreport=320&amp;regtx,tranline,kacct,x,alltranline5,IN,x,x=950&amp;cr=293" xr:uid="{D200A98D-002E-4D0D-B006-CA56E266DE79}"/>
    <hyperlink ref="A155" r:id="rId152" display="https://9607261.app.netsuite.com/app/reporting/reportrunner.nl?fromreport=320&amp;regtx,tranline,kacct,x,alltranline5,IN,x,x=950&amp;cr=293" xr:uid="{7C5B7814-ED75-416F-9ED0-225C2D204505}"/>
    <hyperlink ref="A156" r:id="rId153" display="https://9607261.app.netsuite.com/app/reporting/reportrunner.nl?fromreport=320&amp;regtx,tranline,kacct,x,alltranline5,IN,x,x=950&amp;cr=293" xr:uid="{8189E019-0090-46C3-9708-079862D613E1}"/>
    <hyperlink ref="A157" r:id="rId154" display="https://9607261.app.netsuite.com/app/reporting/reportrunner.nl?fromreport=320&amp;regtx,tranline,kacct,x,alltranline5,IN,x,x=950&amp;cr=293" xr:uid="{65AE69E4-028E-4367-BA0F-C10BFE115878}"/>
    <hyperlink ref="A158" r:id="rId155" display="https://9607261.app.netsuite.com/app/reporting/reportrunner.nl?fromreport=320&amp;regtx,tranline,kacct,x,alltranline5,IN,x,x=950&amp;cr=293" xr:uid="{AF61D465-327E-48CF-8724-AF740E7590F4}"/>
    <hyperlink ref="A159" r:id="rId156" display="https://9607261.app.netsuite.com/app/reporting/reportrunner.nl?fromreport=320&amp;regtx,tranline,kacct,x,alltranline5,IN,x,x=950&amp;cr=293" xr:uid="{C6D08120-08C4-4089-BE8C-2E398427B82D}"/>
    <hyperlink ref="A160" r:id="rId157" display="https://9607261.app.netsuite.com/app/reporting/reportrunner.nl?fromreport=320&amp;regtx,tranline,kacct,x,alltranline5,IN,x,x=950&amp;cr=293" xr:uid="{911537DE-5EBD-4290-AE61-0E3FB694603F}"/>
    <hyperlink ref="A161" r:id="rId158" display="https://9607261.app.netsuite.com/app/reporting/reportrunner.nl?fromreport=320&amp;regtx,tranline,kacct,x,alltranline5,IN,x,x=950&amp;cr=293" xr:uid="{2E3E56F2-5F33-4330-8E60-0B6C9E7AEFC3}"/>
    <hyperlink ref="A162" r:id="rId159" display="https://9607261.app.netsuite.com/app/reporting/reportrunner.nl?fromreport=320&amp;regtx,tranline,kacct,x,alltranline5,IN,x,x=950&amp;cr=293" xr:uid="{65698001-EF0B-4AA1-A756-4D3378AA472F}"/>
    <hyperlink ref="A163" r:id="rId160" display="https://9607261.app.netsuite.com/app/reporting/reportrunner.nl?fromreport=320&amp;regtx,tranline,kacct,x,alltranline5,IN,x,x=950&amp;cr=293" xr:uid="{CFE374B3-273D-4C9C-9B1A-AAB3BEB6CAF4}"/>
    <hyperlink ref="A164" r:id="rId161" display="https://9607261.app.netsuite.com/app/reporting/reportrunner.nl?fromreport=320&amp;regtx,tranline,kacct,x,alltranline5,IN,x,x=950&amp;cr=293" xr:uid="{C3E21390-13BF-47F3-A01A-1BEFAB4DB4C0}"/>
    <hyperlink ref="A165" r:id="rId162" display="https://9607261.app.netsuite.com/app/reporting/reportrunner.nl?fromreport=320&amp;regtx,tranline,kacct,x,alltranline5,IN,x,x=950&amp;cr=293" xr:uid="{B7A57C19-E4C9-4E3C-99EA-7064FE4D3567}"/>
    <hyperlink ref="A166" r:id="rId163" display="https://9607261.app.netsuite.com/app/reporting/reportrunner.nl?fromreport=320&amp;regtx,tranline,kacct,x,alltranline5,IN,x,x=950&amp;cr=293" xr:uid="{E3451CF0-52FB-4846-A9E5-BA832A680FB2}"/>
    <hyperlink ref="A167" r:id="rId164" display="https://9607261.app.netsuite.com/app/reporting/reportrunner.nl?fromreport=320&amp;regtx,tranline,kacct,x,alltranline5,IN,x,x=950&amp;cr=293" xr:uid="{C3CBCF5B-B7D0-4049-A47E-915FA2540343}"/>
    <hyperlink ref="A168" r:id="rId165" display="https://9607261.app.netsuite.com/app/reporting/reportrunner.nl?fromreport=320&amp;regtx,tranline,kacct,x,alltranline5,IN,x,x=950&amp;cr=293" xr:uid="{B2925317-D5F8-49AD-A40B-F2502446B16D}"/>
    <hyperlink ref="A169" r:id="rId166" display="https://9607261.app.netsuite.com/app/reporting/reportrunner.nl?fromreport=320&amp;regtx,tranline,kacct,x,alltranline5,IN,x,x=950&amp;cr=293" xr:uid="{FDB3D02F-2EDB-4640-9390-2243185DF3D1}"/>
    <hyperlink ref="A170" r:id="rId167" display="https://9607261.app.netsuite.com/app/reporting/reportrunner.nl?fromreport=320&amp;regtx,tranline,kacct,x,alltranline5,IN,x,x=950&amp;cr=293" xr:uid="{8ADDB330-C507-4D77-BACD-FE686C74FE42}"/>
    <hyperlink ref="A171" r:id="rId168" display="https://9607261.app.netsuite.com/app/reporting/reportrunner.nl?fromreport=320&amp;regtx,tranline,kacct,x,alltranline5,IN,x,x=950&amp;cr=293" xr:uid="{08F2EE56-CD0E-4466-B23C-9D929E15CB9C}"/>
    <hyperlink ref="A172" r:id="rId169" display="https://9607261.app.netsuite.com/app/reporting/reportrunner.nl?fromreport=320&amp;regtx,tranline,kacct,x,alltranline5,IN,x,x=950&amp;cr=293" xr:uid="{C74FA7DA-4BC0-4946-8F82-E17B873C459F}"/>
    <hyperlink ref="A173" r:id="rId170" display="https://9607261.app.netsuite.com/app/reporting/reportrunner.nl?fromreport=320&amp;regtx,tranline,kacct,x,alltranline5,IN,x,x=950&amp;cr=293" xr:uid="{ACE73F85-2277-44A1-83CA-E50EACDDDEC6}"/>
    <hyperlink ref="A174" r:id="rId171" display="https://9607261.app.netsuite.com/app/reporting/reportrunner.nl?fromreport=320&amp;regtx,tranline,kacct,x,alltranline5,IN,x,x=950&amp;cr=293" xr:uid="{42E2DBDE-32DE-4E2A-8533-CAB59A96BBE7}"/>
    <hyperlink ref="A175" r:id="rId172" display="https://9607261.app.netsuite.com/app/reporting/reportrunner.nl?fromreport=320&amp;regtx,tranline,kacct,x,alltranline5,IN,x,x=950&amp;cr=293" xr:uid="{7E4257B3-8A76-41C9-9BC6-DC2F03071E56}"/>
    <hyperlink ref="A176" r:id="rId173" display="https://9607261.app.netsuite.com/app/reporting/reportrunner.nl?fromreport=320&amp;regtx,tranline,kacct,x,alltranline5,IN,x,x=950&amp;cr=293" xr:uid="{F6BF1007-4157-4A74-9615-E6DF45A07BD3}"/>
    <hyperlink ref="A177" r:id="rId174" display="https://9607261.app.netsuite.com/app/reporting/reportrunner.nl?fromreport=320&amp;regtx,tranline,kacct,x,alltranline5,IN,x,x=950&amp;cr=293" xr:uid="{AD074A71-B44E-47FD-BC74-54F06385116E}"/>
    <hyperlink ref="A178" r:id="rId175" display="https://9607261.app.netsuite.com/app/reporting/reportrunner.nl?fromreport=320&amp;regtx,tranline,kacct,x,alltranline5,IN,x,x=950&amp;cr=293" xr:uid="{2EA301DC-8E93-4E2A-B052-30B2BD364C19}"/>
    <hyperlink ref="A179" r:id="rId176" display="https://9607261.app.netsuite.com/app/reporting/reportrunner.nl?fromreport=320&amp;regtx,tranline,kacct,x,alltranline5,IN,x,x=950&amp;cr=293" xr:uid="{C7E34494-9B5E-4469-9A15-B9D3E87B3E0F}"/>
    <hyperlink ref="A180" r:id="rId177" display="https://9607261.app.netsuite.com/app/reporting/reportrunner.nl?fromreport=320&amp;regtx,tranline,kacct,x,alltranline5,IN,x,x=950&amp;cr=293" xr:uid="{229B0527-76B1-4BD8-A40F-ACAA83FECA8C}"/>
    <hyperlink ref="A181" r:id="rId178" display="https://9607261.app.netsuite.com/app/reporting/reportrunner.nl?fromreport=320&amp;regtx,tranline,kacct,x,alltranline5,IN,x,x=950&amp;cr=293" xr:uid="{CE433151-61DE-4F8E-8AF7-3C4D8028372E}"/>
    <hyperlink ref="A182" r:id="rId179" display="https://9607261.app.netsuite.com/app/reporting/reportrunner.nl?fromreport=320&amp;regtx,tranline,kacct,x,alltranline5,IN,x,x=950&amp;cr=293" xr:uid="{7F94AFF4-94F4-4022-B9D0-A084AE959A17}"/>
    <hyperlink ref="A183" r:id="rId180" display="https://9607261.app.netsuite.com/app/reporting/reportrunner.nl?fromreport=320&amp;regtx,tranline,kacct,x,alltranline5,IN,x,x=950&amp;cr=293" xr:uid="{2077264C-DB62-4B86-A0AD-0BD34CA212B6}"/>
    <hyperlink ref="A184" r:id="rId181" display="https://9607261.app.netsuite.com/app/reporting/reportrunner.nl?fromreport=320&amp;regtx,tranline,kacct,x,alltranline5,IN,x,x=950&amp;cr=293" xr:uid="{74BDF2FA-6DFD-4817-AC83-DE14A78806E4}"/>
    <hyperlink ref="A185" r:id="rId182" display="https://9607261.app.netsuite.com/app/reporting/reportrunner.nl?fromreport=320&amp;regtx,tranline,kacct,x,alltranline5,IN,x,x=950&amp;cr=293" xr:uid="{96DAE496-124E-4034-AB0A-388FD69FCD87}"/>
    <hyperlink ref="A186" r:id="rId183" display="https://9607261.app.netsuite.com/app/reporting/reportrunner.nl?fromreport=320&amp;regtx,tranline,kacct,x,alltranline5,IN,x,x=950&amp;cr=293" xr:uid="{CF11151E-F48C-404A-8B03-E942C8FCCE82}"/>
    <hyperlink ref="A187" r:id="rId184" display="https://9607261.app.netsuite.com/app/reporting/reportrunner.nl?fromreport=320&amp;regtx,tranline,kacct,x,alltranline5,IN,x,x=950&amp;cr=293" xr:uid="{589AE186-6EFD-4FF9-8244-8BA13D35DDEE}"/>
    <hyperlink ref="A188" r:id="rId185" display="https://9607261.app.netsuite.com/app/reporting/reportrunner.nl?fromreport=320&amp;regtx,tranline,kacct,x,alltranline5,IN,x,x=950&amp;cr=293" xr:uid="{9565B6D5-D6E0-4B81-B4E8-9EE6604DF21B}"/>
    <hyperlink ref="A189" r:id="rId186" display="https://9607261.app.netsuite.com/app/reporting/reportrunner.nl?fromreport=320&amp;regtx,tranline,kacct,x,alltranline5,IN,x,x=950&amp;cr=293" xr:uid="{61295916-098C-4A9D-97A1-5918477FC25D}"/>
    <hyperlink ref="A190" r:id="rId187" display="https://9607261.app.netsuite.com/app/reporting/reportrunner.nl?fromreport=320&amp;regtx,tranline,kacct,x,alltranline5,IN,x,x=950&amp;cr=293" xr:uid="{93729DD0-840F-420F-A552-52CD689A697B}"/>
    <hyperlink ref="A191" r:id="rId188" display="https://9607261.app.netsuite.com/app/reporting/reportrunner.nl?fromreport=320&amp;regtx,tranline,kacct,x,alltranline5,IN,x,x=950&amp;cr=293" xr:uid="{25C34EE9-92DC-496F-BC7D-E77ACD8E8235}"/>
    <hyperlink ref="A192" r:id="rId189" display="https://9607261.app.netsuite.com/app/reporting/reportrunner.nl?fromreport=320&amp;regtx,tranline,kacct,x,alltranline5,IN,x,x=950&amp;cr=293" xr:uid="{76FBB6A5-A243-4D5B-A63E-9256A696541E}"/>
    <hyperlink ref="A193" r:id="rId190" display="https://9607261.app.netsuite.com/app/reporting/reportrunner.nl?fromreport=320&amp;regtx,tranline,kacct,x,alltranline5,IN,x,x=950&amp;cr=293" xr:uid="{4977ADAF-5F22-47DE-9B3A-E314D83263F1}"/>
    <hyperlink ref="A194" r:id="rId191" display="https://9607261.app.netsuite.com/app/reporting/reportrunner.nl?fromreport=320&amp;regtx,tranline,kacct,x,alltranline5,IN,x,x=950&amp;cr=293" xr:uid="{716FC22D-1DAB-4A85-A26A-C919CD86FEC6}"/>
    <hyperlink ref="A195" r:id="rId192" display="https://9607261.app.netsuite.com/app/reporting/reportrunner.nl?fromreport=320&amp;regtx,tranline,kacct,x,alltranline5,IN,x,x=950&amp;cr=293" xr:uid="{189F82BD-33E6-4FBF-87D6-E14152285F08}"/>
    <hyperlink ref="A196" r:id="rId193" display="https://9607261.app.netsuite.com/app/reporting/reportrunner.nl?fromreport=320&amp;regtx,tranline,kacct,x,alltranline5,IN,x,x=950&amp;cr=293" xr:uid="{41BC8B25-A0C2-466C-A7CD-664A16D8A090}"/>
    <hyperlink ref="A197" r:id="rId194" display="https://9607261.app.netsuite.com/app/reporting/reportrunner.nl?fromreport=320&amp;regtx,tranline,kacct,x,alltranline5,IN,x,x=950&amp;cr=293" xr:uid="{59E60EA9-95BD-46E2-8659-536E7E1E7832}"/>
    <hyperlink ref="A198" r:id="rId195" display="https://9607261.app.netsuite.com/app/reporting/reportrunner.nl?fromreport=320&amp;regtx,tranline,kacct,x,alltranline5,IN,x,x=950&amp;cr=293" xr:uid="{394CEA9F-21AB-45A4-8A5A-7899F4211C8E}"/>
    <hyperlink ref="A199" r:id="rId196" display="https://9607261.app.netsuite.com/app/reporting/reportrunner.nl?fromreport=320&amp;regtx,tranline,kacct,x,alltranline5,IN,x,x=950&amp;cr=293" xr:uid="{3AC512D6-C88A-4832-A998-24784F954597}"/>
    <hyperlink ref="A200" r:id="rId197" display="https://9607261.app.netsuite.com/app/reporting/reportrunner.nl?fromreport=320&amp;regtx,tranline,kacct,x,alltranline5,IN,x,x=950&amp;cr=293" xr:uid="{42998C81-B4AF-4102-8068-FFF0640F287B}"/>
    <hyperlink ref="A201" r:id="rId198" display="https://9607261.app.netsuite.com/app/reporting/reportrunner.nl?fromreport=320&amp;regtx,tranline,kacct,x,alltranline5,IN,x,x=950&amp;cr=293" xr:uid="{5BB5F61B-42AB-4A1A-8F7C-3645B7C83A52}"/>
    <hyperlink ref="A202" r:id="rId199" display="https://9607261.app.netsuite.com/app/reporting/reportrunner.nl?fromreport=320&amp;regtx,tranline,kacct,x,alltranline5,IN,x,x=950&amp;cr=293" xr:uid="{9AF6FE4B-77AD-42BB-8099-7609AD7A911A}"/>
    <hyperlink ref="A203" r:id="rId200" display="https://9607261.app.netsuite.com/app/reporting/reportrunner.nl?fromreport=320&amp;regtx,tranline,kacct,x,alltranline5,IN,x,x=950&amp;cr=293" xr:uid="{D4ABF2AF-0974-4F55-A2CD-3FC67A21B536}"/>
    <hyperlink ref="A204" r:id="rId201" display="https://9607261.app.netsuite.com/app/reporting/reportrunner.nl?fromreport=320&amp;regtx,tranline,kacct,x,alltranline5,IN,x,x=950&amp;cr=293" xr:uid="{4228CA83-1591-4E52-8E28-03BEFF1584D0}"/>
    <hyperlink ref="A205" r:id="rId202" display="https://9607261.app.netsuite.com/app/reporting/reportrunner.nl?fromreport=320&amp;regtx,tranline,kacct,x,alltranline5,IN,x,x=950&amp;cr=293" xr:uid="{96D28A65-CF8B-4DF2-B44C-38D4103BA8D7}"/>
    <hyperlink ref="A206" r:id="rId203" display="https://9607261.app.netsuite.com/app/reporting/reportrunner.nl?fromreport=320&amp;regtx,tranline,kacct,x,alltranline5,IN,x,x=950&amp;cr=293" xr:uid="{075B84F4-3C78-419E-A958-DFD6A32B275E}"/>
    <hyperlink ref="A207" r:id="rId204" display="https://9607261.app.netsuite.com/app/reporting/reportrunner.nl?fromreport=320&amp;regtx,tranline,kacct,x,alltranline5,IN,x,x=950&amp;cr=293" xr:uid="{EE6F464C-470D-4022-BDF4-11ECB4686319}"/>
    <hyperlink ref="A208" r:id="rId205" display="https://9607261.app.netsuite.com/app/reporting/reportrunner.nl?fromreport=320&amp;regtx,tranline,kacct,x,alltranline5,IN,x,x=950&amp;cr=293" xr:uid="{7BB3B7A5-D766-4167-BD18-BBA68BFF91EC}"/>
    <hyperlink ref="A209" r:id="rId206" display="https://9607261.app.netsuite.com/app/reporting/reportrunner.nl?fromreport=320&amp;regtx,tranline,kacct,x,alltranline5,IN,x,x=950&amp;cr=293" xr:uid="{D8D2595A-E408-4334-8B2A-957F25499408}"/>
    <hyperlink ref="A210" r:id="rId207" display="https://9607261.app.netsuite.com/app/reporting/reportrunner.nl?fromreport=320&amp;regtx,tranline,kacct,x,alltranline5,IN,x,x=950&amp;cr=293" xr:uid="{CD6C6FD5-749B-423C-B8FA-B44D9E32E3C2}"/>
    <hyperlink ref="A211" r:id="rId208" display="https://9607261.app.netsuite.com/app/reporting/reportrunner.nl?fromreport=320&amp;regtx,tranline,kacct,x,alltranline5,IN,x,x=950&amp;cr=293" xr:uid="{919BB480-FA61-4494-A0A1-18A1A0D500C5}"/>
    <hyperlink ref="A212" r:id="rId209" display="https://9607261.app.netsuite.com/app/reporting/reportrunner.nl?fromreport=320&amp;regtx,tranline,kacct,x,alltranline5,IN,x,x=950&amp;cr=293" xr:uid="{891B8A2B-9EFF-4FC4-A749-138767204AD8}"/>
    <hyperlink ref="A213" r:id="rId210" display="https://9607261.app.netsuite.com/app/reporting/reportrunner.nl?fromreport=320&amp;regtx,tranline,kacct,x,alltranline5,IN,x,x=950&amp;cr=293" xr:uid="{4214DC0C-1D25-40AB-AF70-83F7C5F5A61A}"/>
    <hyperlink ref="A214" r:id="rId211" display="https://9607261.app.netsuite.com/app/reporting/reportrunner.nl?fromreport=320&amp;regtx,tranline,kacct,x,alltranline5,IN,x,x=950&amp;cr=293" xr:uid="{A1F5BF7C-A535-4663-BCE2-77A89126E461}"/>
    <hyperlink ref="A215" r:id="rId212" display="https://9607261.app.netsuite.com/app/reporting/reportrunner.nl?fromreport=320&amp;regtx,tranline,kacct,x,alltranline5,IN,x,x=950&amp;cr=293" xr:uid="{74890734-11CF-4C0F-A2F6-03D177B03EFB}"/>
    <hyperlink ref="A216" r:id="rId213" display="https://9607261.app.netsuite.com/app/reporting/reportrunner.nl?fromreport=320&amp;regtx,tranline,kacct,x,alltranline5,IN,x,x=950&amp;cr=293" xr:uid="{DDB23D6C-40C3-49DD-A44E-92E56CB31D05}"/>
    <hyperlink ref="A217" r:id="rId214" display="https://9607261.app.netsuite.com/app/reporting/reportrunner.nl?fromreport=320&amp;regtx,tranline,kacct,x,alltranline5,IN,x,x=950&amp;cr=293" xr:uid="{C652A1E0-A3AE-45F2-84F3-1B542C8AB215}"/>
    <hyperlink ref="A218" r:id="rId215" display="https://9607261.app.netsuite.com/app/reporting/reportrunner.nl?fromreport=320&amp;regtx,tranline,kacct,x,alltranline5,IN,x,x=950&amp;cr=293" xr:uid="{E0D8BD24-01F9-4226-855C-6ECE21E76F6F}"/>
    <hyperlink ref="A219" r:id="rId216" display="https://9607261.app.netsuite.com/app/reporting/reportrunner.nl?fromreport=320&amp;regtx,tranline,kacct,x,alltranline5,IN,x,x=950&amp;cr=293" xr:uid="{2ADEB3CF-7F5C-4DF7-AD87-5A854B869FE2}"/>
    <hyperlink ref="A220" r:id="rId217" display="https://9607261.app.netsuite.com/app/reporting/reportrunner.nl?fromreport=320&amp;regtx,tranline,kacct,x,alltranline5,IN,x,x=950&amp;cr=293" xr:uid="{8831BCE9-1D40-449F-A25E-B2574700D837}"/>
    <hyperlink ref="A221" r:id="rId218" display="https://9607261.app.netsuite.com/app/reporting/reportrunner.nl?fromreport=320&amp;regtx,tranline,kacct,x,alltranline5,IN,x,x=950&amp;cr=293" xr:uid="{7A54E5F8-B15C-4ACE-961A-A93B61A60BB1}"/>
    <hyperlink ref="A222" r:id="rId219" display="https://9607261.app.netsuite.com/app/reporting/reportrunner.nl?fromreport=320&amp;regtx,tranline,kacct,x,alltranline5,IN,x,x=950&amp;cr=293" xr:uid="{A85048EC-DBFB-45BA-BA39-1B6AAF3B037F}"/>
    <hyperlink ref="A223" r:id="rId220" display="https://9607261.app.netsuite.com/app/reporting/reportrunner.nl?fromreport=320&amp;regtx,tranline,kacct,x,alltranline5,IN,x,x=950&amp;cr=293" xr:uid="{70CFE7C3-9561-47E3-81F1-942C07767FA1}"/>
    <hyperlink ref="A224" r:id="rId221" display="https://9607261.app.netsuite.com/app/reporting/reportrunner.nl?fromreport=320&amp;regtx,tranline,kacct,x,alltranline5,IN,x,x=950&amp;cr=293" xr:uid="{4FA38006-2182-41CD-AE8B-C7ECA30993E8}"/>
    <hyperlink ref="A225" r:id="rId222" display="https://9607261.app.netsuite.com/app/reporting/reportrunner.nl?fromreport=320&amp;regtx,tranline,kacct,x,alltranline5,IN,x,x=950&amp;cr=293" xr:uid="{1CAA934E-B033-48C1-8530-2D45CC260908}"/>
    <hyperlink ref="A226" r:id="rId223" display="https://9607261.app.netsuite.com/app/reporting/reportrunner.nl?fromreport=320&amp;regtx,tranline,kacct,x,alltranline5,IN,x,x=950&amp;cr=293" xr:uid="{84BA1377-AE8E-4039-92A1-42B46E7E5CDE}"/>
    <hyperlink ref="A227" r:id="rId224" display="https://9607261.app.netsuite.com/app/reporting/reportrunner.nl?fromreport=320&amp;regtx,tranline,kacct,x,alltranline5,IN,x,x=950&amp;cr=293" xr:uid="{9FDB781E-48B0-4865-850E-D47A2A93EC1F}"/>
    <hyperlink ref="A228" r:id="rId225" display="https://9607261.app.netsuite.com/app/reporting/reportrunner.nl?fromreport=320&amp;regtx,tranline,kacct,x,alltranline5,IN,x,x=950&amp;cr=293" xr:uid="{13A93344-59E3-47D4-B506-EF70EF5A9D48}"/>
    <hyperlink ref="A229" r:id="rId226" display="https://9607261.app.netsuite.com/app/reporting/reportrunner.nl?fromreport=320&amp;regtx,tranline,kacct,x,alltranline5,IN,x,x=950&amp;cr=293" xr:uid="{F4F846D6-2784-480C-9E58-DE7219AEFAD4}"/>
    <hyperlink ref="A230" r:id="rId227" display="https://9607261.app.netsuite.com/app/reporting/reportrunner.nl?fromreport=320&amp;regtx,tranline,kacct,x,alltranline5,IN,x,x=950&amp;cr=293" xr:uid="{879A8C60-0942-451D-908A-352813DB876A}"/>
    <hyperlink ref="A231" r:id="rId228" display="https://9607261.app.netsuite.com/app/reporting/reportrunner.nl?fromreport=320&amp;regtx,tranline,kacct,x,alltranline5,IN,x,x=950&amp;cr=293" xr:uid="{46E64353-E33E-4FAD-84CA-9D891D376374}"/>
    <hyperlink ref="A232" r:id="rId229" display="https://9607261.app.netsuite.com/app/reporting/reportrunner.nl?fromreport=320&amp;regtx,tranline,kacct,x,alltranline5,IN,x,x=950&amp;cr=293" xr:uid="{BCBD4474-8EF7-4508-BC09-40BCF7A37C3E}"/>
    <hyperlink ref="A233" r:id="rId230" display="https://9607261.app.netsuite.com/app/reporting/reportrunner.nl?fromreport=320&amp;regtx,tranline,kacct,x,alltranline5,IN,x,x=950&amp;cr=293" xr:uid="{CFE68AB5-830B-4C71-B44A-6AFFE8027CE1}"/>
    <hyperlink ref="A234" r:id="rId231" display="https://9607261.app.netsuite.com/app/reporting/reportrunner.nl?fromreport=320&amp;regtx,tranline,kacct,x,alltranline5,IN,x,x=950&amp;cr=293" xr:uid="{534A5B4E-DC18-47B3-8E7A-E821E7D1574C}"/>
    <hyperlink ref="A235" r:id="rId232" display="https://9607261.app.netsuite.com/app/reporting/reportrunner.nl?fromreport=320&amp;regtx,tranline,kacct,x,alltranline5,IN,x,x=950&amp;cr=293" xr:uid="{E801E030-4950-47F4-AA8C-CFD19E014B81}"/>
    <hyperlink ref="A236" r:id="rId233" display="https://9607261.app.netsuite.com/app/reporting/reportrunner.nl?fromreport=320&amp;regtx,tranline,kacct,x,alltranline5,IN,x,x=950&amp;cr=293" xr:uid="{328883BF-DE3E-4D70-B7CC-60AFB93ED5AF}"/>
    <hyperlink ref="A237" r:id="rId234" display="https://9607261.app.netsuite.com/app/reporting/reportrunner.nl?fromreport=320&amp;regtx,tranline,kacct,x,alltranline5,IN,x,x=950&amp;cr=293" xr:uid="{BD079891-73C0-4ADA-8D01-284A137DABF0}"/>
    <hyperlink ref="A238" r:id="rId235" display="https://9607261.app.netsuite.com/app/reporting/reportrunner.nl?fromreport=320&amp;regtx,tranline,kacct,x,alltranline5,IN,x,x=950&amp;cr=293" xr:uid="{09070E37-9331-422D-99B7-FA8F85D49090}"/>
    <hyperlink ref="A239" r:id="rId236" display="https://9607261.app.netsuite.com/app/reporting/reportrunner.nl?fromreport=320&amp;regtx,tranline,kacct,x,alltranline5,IN,x,x=950&amp;cr=293" xr:uid="{21B343A3-51DD-41E9-9250-FAC54ABA7D9E}"/>
    <hyperlink ref="A240" r:id="rId237" display="https://9607261.app.netsuite.com/app/reporting/reportrunner.nl?fromreport=320&amp;regtx,tranline,kacct,x,alltranline5,IN,x,x=950&amp;cr=293" xr:uid="{84622D39-27BB-4348-B4BB-1109A110944E}"/>
    <hyperlink ref="A241" r:id="rId238" display="https://9607261.app.netsuite.com/app/reporting/reportrunner.nl?fromreport=320&amp;regtx,tranline,kacct,x,alltranline5,IN,x,x=950&amp;cr=293" xr:uid="{319B8447-A812-4148-8F5B-A26313B364C0}"/>
    <hyperlink ref="A242" r:id="rId239" display="https://9607261.app.netsuite.com/app/reporting/reportrunner.nl?fromreport=320&amp;regtx,tranline,kacct,x,alltranline5,IN,x,x=950&amp;cr=293" xr:uid="{4E582652-AC77-4F2D-BF3D-599E55A2120D}"/>
    <hyperlink ref="A243" r:id="rId240" display="https://9607261.app.netsuite.com/app/reporting/reportrunner.nl?fromreport=320&amp;regtx,tranline,kacct,x,alltranline5,IN,x,x=950&amp;cr=293" xr:uid="{053D72FF-6BCB-438C-861D-6E039EB0C151}"/>
    <hyperlink ref="A244" r:id="rId241" display="https://9607261.app.netsuite.com/app/reporting/reportrunner.nl?fromreport=320&amp;regtx,tranline,kacct,x,alltranline5,IN,x,x=950&amp;cr=293" xr:uid="{54874A66-9033-4460-B82D-439B261EBD22}"/>
    <hyperlink ref="A245" r:id="rId242" display="https://9607261.app.netsuite.com/app/reporting/reportrunner.nl?fromreport=320&amp;regtx,tranline,kacct,x,alltranline5,IN,x,x=950&amp;cr=293" xr:uid="{1D50DA7D-27E7-4345-810D-1014330CA247}"/>
    <hyperlink ref="A246" r:id="rId243" display="https://9607261.app.netsuite.com/app/reporting/reportrunner.nl?fromreport=320&amp;regtx,tranline,kacct,x,alltranline5,IN,x,x=950&amp;cr=293" xr:uid="{0FB8EE42-E29B-4E8C-9E64-904A0ED36D74}"/>
    <hyperlink ref="A247" r:id="rId244" display="https://9607261.app.netsuite.com/app/reporting/reportrunner.nl?fromreport=320&amp;regtx,tranline,kacct,x,alltranline5,IN,x,x=950&amp;cr=293" xr:uid="{53B66BD8-5C3F-4673-9E67-7D7B849CAB1D}"/>
    <hyperlink ref="A248" r:id="rId245" display="https://9607261.app.netsuite.com/app/reporting/reportrunner.nl?fromreport=320&amp;regtx,tranline,kacct,x,alltranline5,IN,x,x=950&amp;cr=293" xr:uid="{84B651A3-FBB2-41C2-8EE4-240426D0139B}"/>
    <hyperlink ref="A249" r:id="rId246" display="https://9607261.app.netsuite.com/app/reporting/reportrunner.nl?fromreport=320&amp;regtx,tranline,kacct,x,alltranline5,IN,x,x=950&amp;cr=293" xr:uid="{CC0DED15-2CB7-4393-904B-C4A7AAD9FFA4}"/>
    <hyperlink ref="A250" r:id="rId247" display="https://9607261.app.netsuite.com/app/reporting/reportrunner.nl?fromreport=320&amp;regtx,tranline,kacct,x,alltranline5,IN,x,x=950&amp;cr=293" xr:uid="{ED922488-2E3A-4037-9169-DE911DCB1503}"/>
    <hyperlink ref="A251" r:id="rId248" display="https://9607261.app.netsuite.com/app/reporting/reportrunner.nl?fromreport=320&amp;regtx,tranline,kacct,x,alltranline5,IN,x,x=950&amp;cr=293" xr:uid="{FD46B277-280A-4522-A423-A894BC0E1A48}"/>
    <hyperlink ref="A252" r:id="rId249" display="https://9607261.app.netsuite.com/app/reporting/reportrunner.nl?fromreport=320&amp;regtx,tranline,kacct,x,alltranline5,IN,x,x=950&amp;cr=293" xr:uid="{73AC32F3-6572-46F8-AC4C-2D26837FF15B}"/>
    <hyperlink ref="A253" r:id="rId250" display="https://9607261.app.netsuite.com/app/reporting/reportrunner.nl?fromreport=320&amp;regtx,tranline,kacct,x,alltranline5,IN,x,x=950&amp;cr=293" xr:uid="{CA33B1CE-4936-4B3E-9D45-DA986004A6CF}"/>
    <hyperlink ref="A254" r:id="rId251" display="https://9607261.app.netsuite.com/app/reporting/reportrunner.nl?fromreport=320&amp;regtx,tranline,kacct,x,alltranline5,IN,x,x=950&amp;cr=293" xr:uid="{D8F04D49-F7DD-4B7D-89CD-82DD9DA0DB5D}"/>
    <hyperlink ref="A255" r:id="rId252" display="https://9607261.app.netsuite.com/app/reporting/reportrunner.nl?fromreport=320&amp;regtx,tranline,kacct,x,alltranline5,IN,x,x=950&amp;cr=293" xr:uid="{19494C91-C3E6-4C60-A6AA-B9BB297C1A53}"/>
    <hyperlink ref="A256" r:id="rId253" display="https://9607261.app.netsuite.com/app/reporting/reportrunner.nl?fromreport=320&amp;regtx,tranline,kacct,x,alltranline5,IN,x,x=950&amp;cr=293" xr:uid="{35F6E448-BB78-4BB1-885F-9673E9575ED1}"/>
    <hyperlink ref="A257" r:id="rId254" display="https://9607261.app.netsuite.com/app/reporting/reportrunner.nl?fromreport=320&amp;regtx,tranline,kacct,x,alltranline5,IN,x,x=950&amp;cr=293" xr:uid="{6E7BB95E-2E02-464C-88C8-D2C8C18D7D8D}"/>
    <hyperlink ref="A258" r:id="rId255" display="https://9607261.app.netsuite.com/app/reporting/reportrunner.nl?fromreport=320&amp;regtx,tranline,kacct,x,alltranline5,IN,x,x=950&amp;cr=293" xr:uid="{36ADAA63-4D38-486B-9771-22AE7EDE00AF}"/>
    <hyperlink ref="A259" r:id="rId256" display="https://9607261.app.netsuite.com/app/reporting/reportrunner.nl?fromreport=320&amp;regtx,tranline,kacct,x,alltranline5,IN,x,x=950&amp;cr=293" xr:uid="{C0892D37-5D83-4D61-B9D2-CF3C44E82B3E}"/>
    <hyperlink ref="A260" r:id="rId257" display="https://9607261.app.netsuite.com/app/reporting/reportrunner.nl?fromreport=320&amp;regtx,tranline,kacct,x,alltranline5,IN,x,x=950&amp;cr=293" xr:uid="{D316D959-1958-4944-8B6B-02A164273983}"/>
    <hyperlink ref="A261" r:id="rId258" display="https://9607261.app.netsuite.com/app/reporting/reportrunner.nl?fromreport=320&amp;regtx,tranline,kacct,x,alltranline5,IN,x,x=950&amp;cr=293" xr:uid="{9307FDFA-7567-4AAF-B01A-A06BB3CB9DFE}"/>
    <hyperlink ref="A262" r:id="rId259" display="https://9607261.app.netsuite.com/app/reporting/reportrunner.nl?fromreport=320&amp;regtx,tranline,kacct,x,alltranline5,IN,x,x=950&amp;cr=293" xr:uid="{E5998DFF-7688-4E72-907A-7F3378794E30}"/>
    <hyperlink ref="A263" r:id="rId260" display="https://9607261.app.netsuite.com/app/reporting/reportrunner.nl?fromreport=320&amp;regtx,tranline,kacct,x,alltranline5,IN,x,x=950&amp;cr=293" xr:uid="{B739B0A9-A4A5-4FC6-90C5-33D712A59035}"/>
    <hyperlink ref="A264" r:id="rId261" display="https://9607261.app.netsuite.com/app/reporting/reportrunner.nl?fromreport=320&amp;regtx,tranline,kacct,x,alltranline5,IN,x,x=950&amp;cr=293" xr:uid="{DBAC7FEF-4DCE-4864-8E52-E0FA7F328173}"/>
    <hyperlink ref="A265" r:id="rId262" display="https://9607261.app.netsuite.com/app/reporting/reportrunner.nl?fromreport=320&amp;regtx,tranline,kacct,x,alltranline5,IN,x,x=950&amp;cr=293" xr:uid="{85F7CA07-2879-46D1-B478-C69B86A4921C}"/>
    <hyperlink ref="A266" r:id="rId263" display="https://9607261.app.netsuite.com/app/reporting/reportrunner.nl?fromreport=320&amp;regtx,tranline,kacct,x,alltranline5,IN,x,x=950&amp;cr=293" xr:uid="{84DFA966-E86A-4CA2-9669-80EC4AB18530}"/>
    <hyperlink ref="A267" r:id="rId264" display="https://9607261.app.netsuite.com/app/reporting/reportrunner.nl?fromreport=320&amp;regtx,tranline,kacct,x,alltranline5,IN,x,x=950&amp;cr=293" xr:uid="{8FEEB873-E9EA-4167-B353-714DA3AF1CCC}"/>
    <hyperlink ref="A268" r:id="rId265" display="https://9607261.app.netsuite.com/app/reporting/reportrunner.nl?fromreport=320&amp;regtx,tranline,kacct,x,alltranline5,IN,x,x=950&amp;cr=293" xr:uid="{E2C179F7-17EB-4326-8AE6-4E262E0B4EE3}"/>
    <hyperlink ref="A269" r:id="rId266" display="https://9607261.app.netsuite.com/app/reporting/reportrunner.nl?fromreport=320&amp;regtx,tranline,kacct,x,alltranline5,IN,x,x=950&amp;cr=293" xr:uid="{86F8737E-EE9F-45AC-93E0-A7797B34D46D}"/>
    <hyperlink ref="A270" r:id="rId267" display="https://9607261.app.netsuite.com/app/reporting/reportrunner.nl?fromreport=320&amp;regtx,tranline,kacct,x,alltranline5,IN,x,x=950&amp;cr=293" xr:uid="{DD2B6811-B395-4D61-A8A9-70C44FD72E48}"/>
    <hyperlink ref="A271" r:id="rId268" display="https://9607261.app.netsuite.com/app/reporting/reportrunner.nl?fromreport=320&amp;regtx,tranline,kacct,x,alltranline5,IN,x,x=950&amp;cr=293" xr:uid="{6606F81B-C3CC-4A39-9A4A-4C0F59E308FD}"/>
    <hyperlink ref="A272" r:id="rId269" display="https://9607261.app.netsuite.com/app/reporting/reportrunner.nl?fromreport=320&amp;regtx,tranline,kacct,x,alltranline5,IN,x,x=950&amp;cr=293" xr:uid="{0D98FE4A-C443-4AD9-A136-25CF3758A750}"/>
    <hyperlink ref="A273" r:id="rId270" display="https://9607261.app.netsuite.com/app/reporting/reportrunner.nl?fromreport=320&amp;regtx,tranline,kacct,x,alltranline5,IN,x,x=950&amp;cr=293" xr:uid="{6DB1BBDE-E336-4D03-8CFC-9473B1079C4A}"/>
    <hyperlink ref="A274" r:id="rId271" display="https://9607261.app.netsuite.com/app/reporting/reportrunner.nl?fromreport=320&amp;regtx,tranline,kacct,x,alltranline5,IN,x,x=950&amp;cr=293" xr:uid="{CC975C47-3B43-427C-B7CD-934C85C3E4DA}"/>
    <hyperlink ref="A275" r:id="rId272" display="https://9607261.app.netsuite.com/app/reporting/reportrunner.nl?fromreport=320&amp;regtx,tranline,kacct,x,alltranline5,IN,x,x=950&amp;cr=293" xr:uid="{0EE86441-1FAC-4BBD-B7B8-7C4FBE1C74B9}"/>
    <hyperlink ref="A276" r:id="rId273" display="https://9607261.app.netsuite.com/app/reporting/reportrunner.nl?fromreport=320&amp;regtx,tranline,kacct,x,alltranline5,IN,x,x=950&amp;cr=293" xr:uid="{76C62BDF-CE86-42F4-9A31-9508D113271C}"/>
    <hyperlink ref="A277" r:id="rId274" display="https://9607261.app.netsuite.com/app/reporting/reportrunner.nl?fromreport=320&amp;regtx,tranline,kacct,x,alltranline5,IN,x,x=950&amp;cr=293" xr:uid="{96F10DA2-1F1A-4F84-BE1E-4AA17855282A}"/>
    <hyperlink ref="A278" r:id="rId275" display="https://9607261.app.netsuite.com/app/reporting/reportrunner.nl?fromreport=320&amp;regtx,tranline,kacct,x,alltranline5,IN,x,x=950&amp;cr=293" xr:uid="{FC164A85-E681-4F31-929D-0D3B426F60D8}"/>
    <hyperlink ref="A279" r:id="rId276" display="https://9607261.app.netsuite.com/app/reporting/reportrunner.nl?fromreport=320&amp;regtx,tranline,kacct,x,alltranline5,IN,x,x=950&amp;cr=293" xr:uid="{0CB9B85E-E270-4176-BA6B-89F92212B26D}"/>
    <hyperlink ref="A280" r:id="rId277" display="https://9607261.app.netsuite.com/app/reporting/reportrunner.nl?fromreport=320&amp;regtx,tranline,kacct,x,alltranline5,IN,x,x=950&amp;cr=293" xr:uid="{8D93C88D-7E23-492B-8267-A63F0893D0DA}"/>
    <hyperlink ref="A281" r:id="rId278" display="https://9607261.app.netsuite.com/app/reporting/reportrunner.nl?fromreport=320&amp;regtx,tranline,kacct,x,alltranline5,IN,x,x=950&amp;cr=293" xr:uid="{22F6802E-624C-4D00-82CF-0D97F457F733}"/>
    <hyperlink ref="A282" r:id="rId279" display="https://9607261.app.netsuite.com/app/reporting/reportrunner.nl?fromreport=320&amp;regtx,tranline,kacct,x,alltranline5,IN,x,x=950&amp;cr=293" xr:uid="{D2DB847E-D70A-43A9-928D-9F5668D1A1F1}"/>
    <hyperlink ref="A283" r:id="rId280" display="https://9607261.app.netsuite.com/app/reporting/reportrunner.nl?fromreport=320&amp;regtx,tranline,kacct,x,alltranline5,IN,x,x=950&amp;cr=293" xr:uid="{BE792A84-C0B3-4308-BCFB-E487143B1928}"/>
    <hyperlink ref="A284" r:id="rId281" display="https://9607261.app.netsuite.com/app/reporting/reportrunner.nl?fromreport=320&amp;regtx,tranline,kacct,x,alltranline5,IN,x,x=950&amp;cr=293" xr:uid="{FE9D46AC-7B5F-4FC6-A114-4F368065F9E3}"/>
    <hyperlink ref="A285" r:id="rId282" display="https://9607261.app.netsuite.com/app/reporting/reportrunner.nl?fromreport=320&amp;regtx,tranline,kacct,x,alltranline5,IN,x,x=950&amp;cr=293" xr:uid="{75B0F008-6144-4468-8CA5-D1B8B0C8E701}"/>
    <hyperlink ref="A286" r:id="rId283" display="https://9607261.app.netsuite.com/app/reporting/reportrunner.nl?fromreport=320&amp;regtx,tranline,kacct,x,alltranline5,IN,x,x=950&amp;cr=293" xr:uid="{8949E10C-5645-4E04-8579-7FDD7B344344}"/>
    <hyperlink ref="A287" r:id="rId284" display="https://9607261.app.netsuite.com/app/reporting/reportrunner.nl?fromreport=320&amp;regtx,tranline,kacct,x,alltranline5,IN,x,x=950&amp;cr=293" xr:uid="{C6CE6CCF-4CF9-4603-93C8-D9E5FF37227C}"/>
    <hyperlink ref="A288" r:id="rId285" display="https://9607261.app.netsuite.com/app/reporting/reportrunner.nl?fromreport=320&amp;regtx,tranline,kacct,x,alltranline5,IN,x,x=950&amp;cr=293" xr:uid="{880C0D48-D944-48DD-B540-14E066358C39}"/>
    <hyperlink ref="A289" r:id="rId286" display="https://9607261.app.netsuite.com/app/reporting/reportrunner.nl?fromreport=320&amp;regtx,tranline,kacct,x,alltranline5,IN,x,x=950&amp;cr=293" xr:uid="{E9A613FA-A85F-42CB-8C3D-6F1A99F8CFAB}"/>
    <hyperlink ref="A290" r:id="rId287" display="https://9607261.app.netsuite.com/app/reporting/reportrunner.nl?fromreport=320&amp;regtx,tranline,kacct,x,alltranline5,IN,x,x=950&amp;cr=293" xr:uid="{9BB429A2-61D5-449D-A4D7-C8696827EAA1}"/>
    <hyperlink ref="A291" r:id="rId288" display="https://9607261.app.netsuite.com/app/reporting/reportrunner.nl?fromreport=320&amp;regtx,tranline,kacct,x,alltranline5,IN,x,x=950&amp;cr=293" xr:uid="{CF518100-1D9D-4F2C-B77A-2E5A7D2EE761}"/>
    <hyperlink ref="A292" r:id="rId289" display="https://9607261.app.netsuite.com/app/reporting/reportrunner.nl?fromreport=320&amp;regtx,tranline,kacct,x,alltranline5,IN,x,x=950&amp;cr=293" xr:uid="{118FD1D6-39F6-4C2B-9E2E-17B5DA7A90F5}"/>
    <hyperlink ref="A293" r:id="rId290" display="https://9607261.app.netsuite.com/app/reporting/reportrunner.nl?fromreport=320&amp;regtx,tranline,kacct,x,alltranline5,IN,x,x=950&amp;cr=293" xr:uid="{AF627CCD-F2C3-457F-AAD7-526CC67E8C21}"/>
    <hyperlink ref="A294" r:id="rId291" display="https://9607261.app.netsuite.com/app/reporting/reportrunner.nl?fromreport=320&amp;regtx,tranline,kacct,x,alltranline5,IN,x,x=950&amp;cr=293" xr:uid="{A59052C0-17C4-4262-A59C-0FEE283742A1}"/>
    <hyperlink ref="A295" r:id="rId292" display="https://9607261.app.netsuite.com/app/reporting/reportrunner.nl?fromreport=320&amp;regtx,tranline,kacct,x,alltranline5,IN,x,x=950&amp;cr=293" xr:uid="{4923616F-4E6C-41F7-90B6-B11325DFB410}"/>
    <hyperlink ref="A296" r:id="rId293" display="https://9607261.app.netsuite.com/app/reporting/reportrunner.nl?fromreport=320&amp;regtx,tranline,kacct,x,alltranline5,IN,x,x=950&amp;cr=293" xr:uid="{507A90C6-E202-4DEB-B7DC-3A82012D9796}"/>
    <hyperlink ref="A297" r:id="rId294" display="https://9607261.app.netsuite.com/app/reporting/reportrunner.nl?fromreport=320&amp;regtx,tranline,kacct,x,alltranline5,IN,x,x=950&amp;cr=293" xr:uid="{CB2B88AD-0F04-446A-87D7-9FD39613D170}"/>
    <hyperlink ref="A298" r:id="rId295" display="https://9607261.app.netsuite.com/app/reporting/reportrunner.nl?fromreport=320&amp;regtx,tranline,kacct,x,alltranline5,IN,x,x=950&amp;cr=293" xr:uid="{55DEB2E1-E96F-4249-B3D9-2899338C1E2C}"/>
    <hyperlink ref="A299" r:id="rId296" display="https://9607261.app.netsuite.com/app/reporting/reportrunner.nl?fromreport=320&amp;regtx,tranline,kacct,x,alltranline5,IN,x,x=950&amp;cr=293" xr:uid="{26A44F1E-F3AF-42C9-9DE2-C9F07F50E71C}"/>
    <hyperlink ref="A300" r:id="rId297" display="https://9607261.app.netsuite.com/app/reporting/reportrunner.nl?fromreport=320&amp;regtx,tranline,kacct,x,alltranline5,IN,x,x=950&amp;cr=293" xr:uid="{569EF0C5-4DDE-4BFC-B342-DEC14C467CA6}"/>
    <hyperlink ref="A301" r:id="rId298" display="https://9607261.app.netsuite.com/app/reporting/reportrunner.nl?fromreport=320&amp;regtx,tranline,kacct,x,alltranline5,IN,x,x=950&amp;cr=293" xr:uid="{9BDDA7C5-2F6E-4802-AAA4-6C9B585C6266}"/>
    <hyperlink ref="A302" r:id="rId299" display="https://9607261.app.netsuite.com/app/reporting/reportrunner.nl?fromreport=320&amp;regtx,tranline,kacct,x,alltranline5,IN,x,x=950&amp;cr=293" xr:uid="{7D8010A0-0423-4773-A6F8-55D8B0880DF6}"/>
    <hyperlink ref="A303" r:id="rId300" display="https://9607261.app.netsuite.com/app/reporting/reportrunner.nl?fromreport=320&amp;regtx,tranline,kacct,x,alltranline5,IN,x,x=950&amp;cr=293" xr:uid="{F779AD4A-4684-4470-8A93-8475C9505A1B}"/>
    <hyperlink ref="A304" r:id="rId301" display="https://9607261.app.netsuite.com/app/reporting/reportrunner.nl?fromreport=320&amp;regtx,tranline,kacct,x,alltranline5,IN,x,x=950&amp;cr=293" xr:uid="{F92FDAEB-162B-4C3D-A4E5-9224BD400E57}"/>
    <hyperlink ref="A305" r:id="rId302" display="https://9607261.app.netsuite.com/app/reporting/reportrunner.nl?fromreport=320&amp;regtx,tranline,kacct,x,alltranline5,IN,x,x=950&amp;cr=293" xr:uid="{A04D1179-E9E5-464C-9727-A04742A8F2FA}"/>
    <hyperlink ref="A306" r:id="rId303" display="https://9607261.app.netsuite.com/app/reporting/reportrunner.nl?fromreport=320&amp;regtx,tranline,kacct,x,alltranline5,IN,x,x=950&amp;cr=293" xr:uid="{13F8B7D2-8D6F-452F-A279-5452D3BC5714}"/>
    <hyperlink ref="A307" r:id="rId304" display="https://9607261.app.netsuite.com/app/reporting/reportrunner.nl?fromreport=320&amp;regtx,tranline,kacct,x,alltranline5,IN,x,x=950&amp;cr=293" xr:uid="{7FF60578-8F12-4ABA-AF99-ACCB30C56BD1}"/>
    <hyperlink ref="A308" r:id="rId305" display="https://9607261.app.netsuite.com/app/reporting/reportrunner.nl?fromreport=320&amp;regtx,tranline,kacct,x,alltranline5,IN,x,x=950&amp;cr=293" xr:uid="{A6BC9246-CA41-475D-9054-CE59EA79271E}"/>
    <hyperlink ref="A309" r:id="rId306" display="https://9607261.app.netsuite.com/app/reporting/reportrunner.nl?fromreport=320&amp;regtx,tranline,kacct,x,alltranline5,IN,x,x=950&amp;cr=293" xr:uid="{3FCF00C7-FA05-480F-A93A-39955E7BD8B8}"/>
    <hyperlink ref="A310" r:id="rId307" display="https://9607261.app.netsuite.com/app/reporting/reportrunner.nl?fromreport=320&amp;regtx,tranline,kacct,x,alltranline5,IN,x,x=950&amp;cr=293" xr:uid="{476845D0-9E05-4FB2-80DF-53056EFD106B}"/>
    <hyperlink ref="A311" r:id="rId308" display="https://9607261.app.netsuite.com/app/reporting/reportrunner.nl?fromreport=320&amp;regtx,tranline,kacct,x,alltranline5,IN,x,x=950&amp;cr=293" xr:uid="{AE34FA75-2C89-4DE6-AE74-E91637EB742E}"/>
    <hyperlink ref="A312" r:id="rId309" display="https://9607261.app.netsuite.com/app/reporting/reportrunner.nl?fromreport=320&amp;regtx,tranline,kacct,x,alltranline5,IN,x,x=950&amp;cr=293" xr:uid="{3D0A82B1-0F77-4C9D-BAA3-D93BAAAC9562}"/>
    <hyperlink ref="A313" r:id="rId310" display="https://9607261.app.netsuite.com/app/reporting/reportrunner.nl?fromreport=320&amp;regtx,tranline,kacct,x,alltranline5,IN,x,x=950&amp;cr=293" xr:uid="{50763D30-ED65-49BE-BFED-0A9EAD04FEE2}"/>
    <hyperlink ref="A314" r:id="rId311" display="https://9607261.app.netsuite.com/app/reporting/reportrunner.nl?fromreport=320&amp;regtx,tranline,kacct,x,alltranline5,IN,x,x=950&amp;cr=293" xr:uid="{516177A3-A6E1-4A0D-952F-C8696B39D3BB}"/>
    <hyperlink ref="A315" r:id="rId312" display="https://9607261.app.netsuite.com/app/reporting/reportrunner.nl?fromreport=320&amp;regtx,tranline,kacct,x,alltranline5,IN,x,x=950&amp;cr=293" xr:uid="{432FF44B-8E12-4CDC-9C77-3F83008C8AF7}"/>
    <hyperlink ref="A316" r:id="rId313" display="https://9607261.app.netsuite.com/app/reporting/reportrunner.nl?fromreport=320&amp;regtx,tranline,kacct,x,alltranline5,IN,x,x=950&amp;cr=293" xr:uid="{3DFA13F3-0A43-4E18-9C24-FCBB819AA13E}"/>
    <hyperlink ref="A317" r:id="rId314" display="https://9607261.app.netsuite.com/app/reporting/reportrunner.nl?fromreport=320&amp;regtx,tranline,kacct,x,alltranline5,IN,x,x=950&amp;cr=293" xr:uid="{81A91B02-ED39-491F-89B1-84A7FA4499E2}"/>
    <hyperlink ref="A318" r:id="rId315" display="https://9607261.app.netsuite.com/app/reporting/reportrunner.nl?fromreport=320&amp;regtx,tranline,kacct,x,alltranline5,IN,x,x=950&amp;cr=293" xr:uid="{1D71BE3A-4C1E-492D-92D7-8C942B219153}"/>
    <hyperlink ref="A319" r:id="rId316" display="https://9607261.app.netsuite.com/app/reporting/reportrunner.nl?fromreport=320&amp;regtx,tranline,kacct,x,alltranline5,IN,x,x=950&amp;cr=293" xr:uid="{4172D235-D629-453C-A9CC-C2100D62C115}"/>
    <hyperlink ref="A320" r:id="rId317" display="https://9607261.app.netsuite.com/app/reporting/reportrunner.nl?fromreport=320&amp;regtx,tranline,kacct,x,alltranline5,IN,x,x=950&amp;cr=293" xr:uid="{12D7F856-E2DB-4D07-A669-AAD9788F76B7}"/>
    <hyperlink ref="A321" r:id="rId318" display="https://9607261.app.netsuite.com/app/reporting/reportrunner.nl?fromreport=320&amp;regtx,tranline,kacct,x,alltranline5,IN,x,x=950&amp;cr=293" xr:uid="{EAA706C6-D4A0-4164-A6DB-F59938CC0746}"/>
    <hyperlink ref="A322" r:id="rId319" display="https://9607261.app.netsuite.com/app/reporting/reportrunner.nl?fromreport=320&amp;regtx,tranline,kacct,x,alltranline5,IN,x,x=950&amp;cr=293" xr:uid="{7A5B0E79-9BBF-4A21-AC13-5CD9DD6496A2}"/>
    <hyperlink ref="A323" r:id="rId320" display="https://9607261.app.netsuite.com/app/reporting/reportrunner.nl?fromreport=320&amp;regtx,tranline,kacct,x,alltranline5,IN,x,x=950&amp;cr=293" xr:uid="{8C74D227-0310-42F5-81DC-E610BD5202A6}"/>
    <hyperlink ref="A324" r:id="rId321" display="https://9607261.app.netsuite.com/app/reporting/reportrunner.nl?fromreport=320&amp;regtx,tranline,kacct,x,alltranline5,IN,x,x=950&amp;cr=293" xr:uid="{6E45F457-8EC9-4B1F-AC85-14E8AACA09E7}"/>
    <hyperlink ref="A325" r:id="rId322" display="https://9607261.app.netsuite.com/app/reporting/reportrunner.nl?fromreport=320&amp;regtx,tranline,kacct,x,alltranline5,IN,x,x=950&amp;cr=293" xr:uid="{0E9EF212-9D41-485B-B896-909721C28CEC}"/>
    <hyperlink ref="A326" r:id="rId323" display="https://9607261.app.netsuite.com/app/reporting/reportrunner.nl?fromreport=320&amp;regtx,tranline,kacct,x,alltranline5,IN,x,x=950&amp;cr=293" xr:uid="{780771B9-96C1-4037-B4FC-EA6966DF53A7}"/>
    <hyperlink ref="A327" r:id="rId324" display="https://9607261.app.netsuite.com/app/reporting/reportrunner.nl?fromreport=320&amp;regtx,tranline,kacct,x,alltranline5,IN,x,x=950&amp;cr=293" xr:uid="{999E1A6F-2088-4608-B5AF-934B5BB493BA}"/>
    <hyperlink ref="A328" r:id="rId325" display="https://9607261.app.netsuite.com/app/reporting/reportrunner.nl?fromreport=320&amp;regtx,tranline,kacct,x,alltranline5,IN,x,x=950&amp;cr=293" xr:uid="{23AF3B86-36BD-48E9-B0F1-1C7939DAF568}"/>
    <hyperlink ref="A329" r:id="rId326" display="https://9607261.app.netsuite.com/app/reporting/reportrunner.nl?fromreport=320&amp;regtx,tranline,kacct,x,alltranline5,IN,x,x=950&amp;cr=293" xr:uid="{BF4E7C35-A830-46CD-8B79-9AA9334012F9}"/>
    <hyperlink ref="A330" r:id="rId327" display="https://9607261.app.netsuite.com/app/reporting/reportrunner.nl?fromreport=320&amp;regtx,tranline,kacct,x,alltranline5,IN,x,x=950&amp;cr=293" xr:uid="{DFC0DC4D-1A2D-4070-A6EC-A83A3D834117}"/>
    <hyperlink ref="A331" r:id="rId328" display="https://9607261.app.netsuite.com/app/reporting/reportrunner.nl?fromreport=320&amp;regtx,tranline,kacct,x,alltranline5,IN,x,x=950&amp;cr=293" xr:uid="{88C58D6D-C8E4-483F-96F9-F8D46BD3EDEC}"/>
    <hyperlink ref="A332" r:id="rId329" display="https://9607261.app.netsuite.com/app/reporting/reportrunner.nl?fromreport=320&amp;regtx,tranline,kacct,x,alltranline5,IN,x,x=950&amp;cr=293" xr:uid="{79FB197C-5AD6-4B1A-A9FA-18ECC2B22213}"/>
    <hyperlink ref="A333" r:id="rId330" display="https://9607261.app.netsuite.com/app/reporting/reportrunner.nl?fromreport=320&amp;regtx,tranline,kacct,x,alltranline5,IN,x,x=950&amp;cr=293" xr:uid="{1E715F7A-B628-4770-B3FF-AA6F6BD6DE16}"/>
    <hyperlink ref="A334" r:id="rId331" display="https://9607261.app.netsuite.com/app/reporting/reportrunner.nl?fromreport=320&amp;regtx,tranline,kacct,x,alltranline5,IN,x,x=950&amp;cr=293" xr:uid="{6AC38C62-A207-4E29-92CC-98A0525505B3}"/>
    <hyperlink ref="A335" r:id="rId332" display="https://9607261.app.netsuite.com/app/reporting/reportrunner.nl?fromreport=320&amp;regtx,tranline,kacct,x,alltranline5,IN,x,x=950&amp;cr=293" xr:uid="{4B22DC0E-D003-4F4C-BFF2-9A5D8C14E25E}"/>
    <hyperlink ref="A336" r:id="rId333" display="https://9607261.app.netsuite.com/app/reporting/reportrunner.nl?fromreport=320&amp;regtx,tranline,kacct,x,alltranline5,IN,x,x=950&amp;cr=293" xr:uid="{DD9065FA-8DD1-46CD-AB60-CC4B1BA4C416}"/>
    <hyperlink ref="A337" r:id="rId334" display="https://9607261.app.netsuite.com/app/reporting/reportrunner.nl?fromreport=320&amp;regtx,tranline,kacct,x,alltranline5,IN,x,x=950&amp;cr=293" xr:uid="{B1F431B2-8196-472D-B1C1-46336CD60739}"/>
    <hyperlink ref="A338" r:id="rId335" display="https://9607261.app.netsuite.com/app/reporting/reportrunner.nl?fromreport=320&amp;regtx,tranline,kacct,x,alltranline5,IN,x,x=950&amp;cr=293" xr:uid="{D728DE8C-C1B3-4F59-87EB-2F18D1E1DDDB}"/>
    <hyperlink ref="A339" r:id="rId336" display="https://9607261.app.netsuite.com/app/reporting/reportrunner.nl?fromreport=320&amp;regtx,tranline,kacct,x,alltranline5,IN,x,x=950&amp;cr=293" xr:uid="{8585EFBB-DFD9-40A4-9044-E7B8B7AA395B}"/>
    <hyperlink ref="A340" r:id="rId337" display="https://9607261.app.netsuite.com/app/reporting/reportrunner.nl?fromreport=320&amp;regtx,tranline,kacct,x,alltranline5,IN,x,x=950&amp;cr=293" xr:uid="{400487D3-2AE9-4DEA-BC74-4C2F56363EF6}"/>
    <hyperlink ref="A341" r:id="rId338" display="https://9607261.app.netsuite.com/app/reporting/reportrunner.nl?fromreport=320&amp;regtx,tranline,kacct,x,alltranline5,IN,x,x=950&amp;cr=293" xr:uid="{935C1181-05A8-4D0E-8D8F-DD1BDE5E00D4}"/>
    <hyperlink ref="A342" r:id="rId339" display="https://9607261.app.netsuite.com/app/reporting/reportrunner.nl?fromreport=320&amp;regtx,tranline,kacct,x,alltranline5,IN,x,x=950&amp;cr=293" xr:uid="{5BBC91D7-E4A9-4D52-9144-A62517E17F48}"/>
    <hyperlink ref="A343" r:id="rId340" display="https://9607261.app.netsuite.com/app/reporting/reportrunner.nl?fromreport=320&amp;regtx,tranline,kacct,x,alltranline5,IN,x,x=950&amp;cr=293" xr:uid="{70BA5DF5-06CC-4AC9-BD78-778FFD6BE119}"/>
    <hyperlink ref="A344" r:id="rId341" display="https://9607261.app.netsuite.com/app/reporting/reportrunner.nl?fromreport=320&amp;regtx,tranline,kacct,x,alltranline5,IN,x,x=950&amp;cr=293" xr:uid="{E511F362-9498-4714-8E99-D05CB371B499}"/>
    <hyperlink ref="A345" r:id="rId342" display="https://9607261.app.netsuite.com/app/reporting/reportrunner.nl?fromreport=320&amp;regtx,tranline,kacct,x,alltranline5,IN,x,x=950&amp;cr=293" xr:uid="{9FF8AB38-96B0-4419-8442-0D7CB7BDD96A}"/>
    <hyperlink ref="A346" r:id="rId343" display="https://9607261.app.netsuite.com/app/reporting/reportrunner.nl?fromreport=320&amp;regtx,tranline,kacct,x,alltranline5,IN,x,x=950&amp;cr=293" xr:uid="{6988AF17-F3BA-411F-B5AE-01C2F8CE24CA}"/>
    <hyperlink ref="A347" r:id="rId344" display="https://9607261.app.netsuite.com/app/reporting/reportrunner.nl?fromreport=320&amp;regtx,tranline,kacct,x,alltranline5,IN,x,x=950&amp;cr=293" xr:uid="{6B634867-C2EA-4236-AC58-7AB8B162519E}"/>
    <hyperlink ref="A348" r:id="rId345" display="https://9607261.app.netsuite.com/app/reporting/reportrunner.nl?fromreport=320&amp;regtx,tranline,kacct,x,alltranline5,IN,x,x=950&amp;cr=293" xr:uid="{38A6647D-55E9-4767-A49C-6A950AB3B1C3}"/>
    <hyperlink ref="A349" r:id="rId346" display="https://9607261.app.netsuite.com/app/reporting/reportrunner.nl?fromreport=320&amp;regtx,tranline,kacct,x,alltranline5,IN,x,x=950&amp;cr=293" xr:uid="{08A74091-2739-4166-9DAD-603299227115}"/>
    <hyperlink ref="A350" r:id="rId347" display="https://9607261.app.netsuite.com/app/reporting/reportrunner.nl?fromreport=320&amp;regtx,tranline,kacct,x,alltranline5,IN,x,x=950&amp;cr=293" xr:uid="{F5ED395B-8E96-4019-8F7A-013D790BA227}"/>
    <hyperlink ref="A351" r:id="rId348" display="https://9607261.app.netsuite.com/app/reporting/reportrunner.nl?fromreport=320&amp;regtx,tranline,kacct,x,alltranline5,IN,x,x=950&amp;cr=293" xr:uid="{D56FC584-1966-4C80-98E2-29EEFC70D90C}"/>
    <hyperlink ref="A352" r:id="rId349" display="https://9607261.app.netsuite.com/app/reporting/reportrunner.nl?fromreport=320&amp;regtx,tranline,kacct,x,alltranline5,IN,x,x=950&amp;cr=293" xr:uid="{C9AF8E34-EA64-4B02-B982-15EA45FCDAAC}"/>
    <hyperlink ref="A353" r:id="rId350" display="https://9607261.app.netsuite.com/app/reporting/reportrunner.nl?fromreport=320&amp;regtx,tranline,kacct,x,alltranline5,IN,x,x=950&amp;cr=293" xr:uid="{2F85DAC9-CF65-45CB-81EB-31D2110A9B84}"/>
    <hyperlink ref="A354" r:id="rId351" display="https://9607261.app.netsuite.com/app/reporting/reportrunner.nl?fromreport=320&amp;regtx,tranline,kacct,x,alltranline5,IN,x,x=950&amp;cr=293" xr:uid="{5DAB83C3-035B-4C85-B0B7-CF8BBAB9631C}"/>
    <hyperlink ref="A355" r:id="rId352" display="https://9607261.app.netsuite.com/app/reporting/reportrunner.nl?fromreport=320&amp;regtx,tranline,kacct,x,alltranline5,IN,x,x=950&amp;cr=293" xr:uid="{26934BD9-30F3-4B0C-971B-0A90D6CF33AD}"/>
    <hyperlink ref="A356" r:id="rId353" display="https://9607261.app.netsuite.com/app/reporting/reportrunner.nl?fromreport=320&amp;regtx,tranline,kacct,x,alltranline5,IN,x,x=950&amp;cr=293" xr:uid="{B596408D-AFF1-46EB-ADE0-C974680ADB9D}"/>
    <hyperlink ref="A357" r:id="rId354" display="https://9607261.app.netsuite.com/app/reporting/reportrunner.nl?fromreport=320&amp;regtx,tranline,kacct,x,alltranline5,IN,x,x=950&amp;cr=293" xr:uid="{447A3861-C2D6-4602-B185-A802BC122D36}"/>
    <hyperlink ref="A358" r:id="rId355" display="https://9607261.app.netsuite.com/app/reporting/reportrunner.nl?fromreport=320&amp;regtx,tranline,kacct,x,alltranline5,IN,x,x=950&amp;cr=293" xr:uid="{EBA61458-8451-4AD0-A1A3-2197FAA002B8}"/>
    <hyperlink ref="A359" r:id="rId356" display="https://9607261.app.netsuite.com/app/reporting/reportrunner.nl?fromreport=320&amp;regtx,tranline,kacct,x,alltranline5,IN,x,x=950&amp;cr=293" xr:uid="{B2753768-D9AA-4E6C-BF03-461268FA341F}"/>
    <hyperlink ref="A360" r:id="rId357" display="https://9607261.app.netsuite.com/app/reporting/reportrunner.nl?fromreport=320&amp;regtx,tranline,kacct,x,alltranline5,IN,x,x=950&amp;cr=293" xr:uid="{F970EC9B-90E6-44F1-A397-90F72904134F}"/>
    <hyperlink ref="A361" r:id="rId358" display="https://9607261.app.netsuite.com/app/reporting/reportrunner.nl?fromreport=320&amp;regtx,tranline,kacct,x,alltranline5,IN,x,x=950&amp;cr=293" xr:uid="{7D5C279C-8372-4499-BDF1-735A03347FE1}"/>
    <hyperlink ref="A362" r:id="rId359" display="https://9607261.app.netsuite.com/app/reporting/reportrunner.nl?fromreport=320&amp;regtx,tranline,kacct,x,alltranline5,IN,x,x=950&amp;cr=293" xr:uid="{63B86885-370D-41E3-9D81-FE38975F829D}"/>
    <hyperlink ref="A363" r:id="rId360" display="https://9607261.app.netsuite.com/app/reporting/reportrunner.nl?fromreport=320&amp;regtx,tranline,kacct,x,alltranline5,IN,x,x=950&amp;cr=293" xr:uid="{1DCE1384-930E-4A2A-AD54-D619DDFA080C}"/>
    <hyperlink ref="A364" r:id="rId361" display="https://9607261.app.netsuite.com/app/reporting/reportrunner.nl?fromreport=320&amp;regtx,tranline,kacct,x,alltranline5,IN,x,x=950&amp;cr=293" xr:uid="{9EB1A6A9-F6CD-48E1-80F0-08605B0868EA}"/>
    <hyperlink ref="A365" r:id="rId362" display="https://9607261.app.netsuite.com/app/reporting/reportrunner.nl?fromreport=320&amp;regtx,tranline,kacct,x,alltranline5,IN,x,x=950&amp;cr=293" xr:uid="{2037C7A7-D191-405C-976C-1A7DC7A07669}"/>
    <hyperlink ref="A366" r:id="rId363" display="https://9607261.app.netsuite.com/app/reporting/reportrunner.nl?fromreport=320&amp;regtx,tranline,kacct,x,alltranline5,IN,x,x=950&amp;cr=293" xr:uid="{2FFA023F-5911-4BE3-9261-0688EBD97017}"/>
    <hyperlink ref="A367" r:id="rId364" display="https://9607261.app.netsuite.com/app/reporting/reportrunner.nl?fromreport=320&amp;regtx,tranline,kacct,x,alltranline5,IN,x,x=950&amp;cr=293" xr:uid="{BCCA6F5B-8DFD-4416-B585-93E238DD1B48}"/>
    <hyperlink ref="A368" r:id="rId365" display="https://9607261.app.netsuite.com/app/reporting/reportrunner.nl?fromreport=320&amp;regtx,tranline,kacct,x,alltranline5,IN,x,x=950&amp;cr=293" xr:uid="{913B2AAE-F04B-4FB6-88EF-87464F98AD83}"/>
    <hyperlink ref="A369" r:id="rId366" display="https://9607261.app.netsuite.com/app/reporting/reportrunner.nl?fromreport=320&amp;regtx,tranline,kacct,x,alltranline5,IN,x,x=950&amp;cr=293" xr:uid="{C7F005DE-0B3F-4E23-A954-CB1D70B2F5E4}"/>
    <hyperlink ref="A370" r:id="rId367" display="https://9607261.app.netsuite.com/app/reporting/reportrunner.nl?fromreport=320&amp;regtx,tranline,kacct,x,alltranline5,IN,x,x=950&amp;cr=293" xr:uid="{8FFD4174-04D9-4F6A-9BA5-8F281F06E1AA}"/>
    <hyperlink ref="A371" r:id="rId368" display="https://9607261.app.netsuite.com/app/reporting/reportrunner.nl?fromreport=320&amp;regtx,tranline,kacct,x,alltranline5,IN,x,x=950&amp;cr=293" xr:uid="{06DC005C-0804-404C-95D3-6F5A94D8E902}"/>
    <hyperlink ref="A372" r:id="rId369" display="https://9607261.app.netsuite.com/app/reporting/reportrunner.nl?fromreport=320&amp;regtx,tranline,kacct,x,alltranline5,IN,x,x=950&amp;cr=293" xr:uid="{EAFB3CBD-ECC2-40BC-97BD-4A320BE90656}"/>
    <hyperlink ref="A373" r:id="rId370" display="https://9607261.app.netsuite.com/app/reporting/reportrunner.nl?fromreport=320&amp;regtx,tranline,kacct,x,alltranline5,IN,x,x=950&amp;cr=293" xr:uid="{A5E0ECE7-B3BB-4516-8CC7-1C530C90381E}"/>
    <hyperlink ref="A374" r:id="rId371" display="https://9607261.app.netsuite.com/app/reporting/reportrunner.nl?fromreport=320&amp;regtx,tranline,kacct,x,alltranline5,IN,x,x=950&amp;cr=293" xr:uid="{E9634FBD-9C1F-438B-BD41-183A9C807C64}"/>
    <hyperlink ref="A375" r:id="rId372" display="https://9607261.app.netsuite.com/app/reporting/reportrunner.nl?fromreport=320&amp;regtx,tranline,kacct,x,alltranline5,IN,x,x=950&amp;cr=293" xr:uid="{8AA79162-B07B-4FF4-95D8-1DF668110DFC}"/>
    <hyperlink ref="A376" r:id="rId373" display="https://9607261.app.netsuite.com/app/reporting/reportrunner.nl?fromreport=320&amp;regtx,tranline,kacct,x,alltranline5,IN,x,x=950&amp;cr=293" xr:uid="{BAED6FCE-C41B-43A7-862F-52A59A55A344}"/>
    <hyperlink ref="A377" r:id="rId374" display="https://9607261.app.netsuite.com/app/reporting/reportrunner.nl?fromreport=320&amp;regtx,tranline,kacct,x,alltranline5,IN,x,x=950&amp;cr=293" xr:uid="{1A246B65-0643-41D8-87FB-6B292899CD44}"/>
    <hyperlink ref="A378" r:id="rId375" display="https://9607261.app.netsuite.com/app/reporting/reportrunner.nl?fromreport=320&amp;regtx,tranline,kacct,x,alltranline5,IN,x,x=950&amp;cr=293" xr:uid="{9AEDA934-9BB8-4258-9711-A49CF1485A52}"/>
    <hyperlink ref="A379" r:id="rId376" display="https://9607261.app.netsuite.com/app/reporting/reportrunner.nl?fromreport=320&amp;regtx,tranline,kacct,x,alltranline5,IN,x,x=950&amp;cr=293" xr:uid="{48D25A6D-0CBE-45B7-B096-7677DBCF6DE0}"/>
    <hyperlink ref="A380" r:id="rId377" display="https://9607261.app.netsuite.com/app/reporting/reportrunner.nl?fromreport=320&amp;regtx,tranline,kacct,x,alltranline5,IN,x,x=950&amp;cr=293" xr:uid="{61D83F40-5DB8-4DBD-8420-404886E34830}"/>
    <hyperlink ref="A381" r:id="rId378" display="https://9607261.app.netsuite.com/app/reporting/reportrunner.nl?fromreport=320&amp;regtx,tranline,kacct,x,alltranline5,IN,x,x=950&amp;cr=293" xr:uid="{52FA9F9F-23CF-4576-AB95-450A1A926848}"/>
    <hyperlink ref="A382" r:id="rId379" display="https://9607261.app.netsuite.com/app/reporting/reportrunner.nl?fromreport=320&amp;regtx,tranline,kacct,x,alltranline5,IN,x,x=950&amp;cr=293" xr:uid="{0FDB8D31-BDC3-420B-A668-B5EBBB148929}"/>
    <hyperlink ref="A383" r:id="rId380" display="https://9607261.app.netsuite.com/app/reporting/reportrunner.nl?fromreport=320&amp;regtx,tranline,kacct,x,alltranline5,IN,x,x=950&amp;cr=293" xr:uid="{C2496E2A-9D13-455D-A105-DF5E5D6B39FF}"/>
    <hyperlink ref="A384" r:id="rId381" display="https://9607261.app.netsuite.com/app/reporting/reportrunner.nl?fromreport=320&amp;regtx,tranline,kacct,x,alltranline5,IN,x,x=950&amp;cr=293" xr:uid="{05EE4550-C1D9-4F0C-9013-A5886DE82604}"/>
    <hyperlink ref="A385" r:id="rId382" display="https://9607261.app.netsuite.com/app/reporting/reportrunner.nl?fromreport=320&amp;regtx,tranline,kacct,x,alltranline5,IN,x,x=950&amp;cr=293" xr:uid="{E65FA89C-600B-4F38-A492-43DD7FE361EB}"/>
    <hyperlink ref="A386" r:id="rId383" display="https://9607261.app.netsuite.com/app/reporting/reportrunner.nl?fromreport=320&amp;regtx,tranline,kacct,x,alltranline5,IN,x,x=950&amp;cr=293" xr:uid="{D492DD0F-37D7-4750-88D5-71B032DECC41}"/>
    <hyperlink ref="A387" r:id="rId384" display="https://9607261.app.netsuite.com/app/reporting/reportrunner.nl?fromreport=320&amp;regtx,tranline,kacct,x,alltranline5,IN,x,x=950&amp;cr=293" xr:uid="{CB6F3355-CAB6-4EAF-81E6-6C0D5B69478A}"/>
    <hyperlink ref="A388" r:id="rId385" display="https://9607261.app.netsuite.com/app/reporting/reportrunner.nl?fromreport=320&amp;regtx,tranline,kacct,x,alltranline5,IN,x,x=950&amp;cr=293" xr:uid="{8AF75B19-4F53-45EC-8040-5A4A1DE0D702}"/>
    <hyperlink ref="A389" r:id="rId386" display="https://9607261.app.netsuite.com/app/reporting/reportrunner.nl?fromreport=320&amp;regtx,tranline,kacct,x,alltranline5,IN,x,x=950&amp;cr=293" xr:uid="{8A07EF75-CB60-4A75-8F0D-5F162C54ACE4}"/>
    <hyperlink ref="A390" r:id="rId387" display="https://9607261.app.netsuite.com/app/reporting/reportrunner.nl?fromreport=320&amp;regtx,tranline,kacct,x,alltranline5,IN,x,x=950&amp;cr=293" xr:uid="{B7053456-B54F-4D68-B4AE-F83AE1A0DE19}"/>
    <hyperlink ref="A391" r:id="rId388" display="https://9607261.app.netsuite.com/app/reporting/reportrunner.nl?fromreport=320&amp;regtx,tranline,kacct,x,alltranline5,IN,x,x=950&amp;cr=293" xr:uid="{2C749511-240C-4E56-83F9-2D54FEE44B0C}"/>
    <hyperlink ref="A392" r:id="rId389" display="https://9607261.app.netsuite.com/app/reporting/reportrunner.nl?fromreport=320&amp;regtx,tranline,kacct,x,alltranline5,IN,x,x=950&amp;cr=293" xr:uid="{D1463A4B-31A0-4275-9F1A-FBDEB5B7A008}"/>
    <hyperlink ref="A393" r:id="rId390" display="https://9607261.app.netsuite.com/app/reporting/reportrunner.nl?fromreport=320&amp;regtx,tranline,kacct,x,alltranline5,IN,x,x=950&amp;cr=293" xr:uid="{776E98F8-FB59-4567-9A77-A7FDB462B069}"/>
    <hyperlink ref="A394" r:id="rId391" display="https://9607261.app.netsuite.com/app/reporting/reportrunner.nl?fromreport=320&amp;regtx,tranline,kacct,x,alltranline5,IN,x,x=950&amp;cr=293" xr:uid="{DBFAE4B5-772A-4D94-BA5F-39ECE1AA69C2}"/>
    <hyperlink ref="A395" r:id="rId392" display="https://9607261.app.netsuite.com/app/reporting/reportrunner.nl?fromreport=320&amp;regtx,tranline,kacct,x,alltranline5,IN,x,x=950&amp;cr=293" xr:uid="{57FA98C8-E3A9-4BCB-A66E-6F4ADF98BDD1}"/>
    <hyperlink ref="A396" r:id="rId393" display="https://9607261.app.netsuite.com/app/reporting/reportrunner.nl?fromreport=320&amp;regtx,tranline,kacct,x,alltranline5,IN,x,x=950&amp;cr=293" xr:uid="{F7C83E3C-2F21-413E-9DC7-0BCE3C55474D}"/>
    <hyperlink ref="A397" r:id="rId394" display="https://9607261.app.netsuite.com/app/reporting/reportrunner.nl?fromreport=320&amp;regtx,tranline,kacct,x,alltranline5,IN,x,x=950&amp;cr=293" xr:uid="{8AE2B92B-303E-4570-BBDD-052E294F2D00}"/>
    <hyperlink ref="A398" r:id="rId395" display="https://9607261.app.netsuite.com/app/reporting/reportrunner.nl?fromreport=320&amp;regtx,tranline,kacct,x,alltranline5,IN,x,x=950&amp;cr=293" xr:uid="{184A2EE4-7EE1-4B5C-935D-3132458B9107}"/>
    <hyperlink ref="A399" r:id="rId396" display="https://9607261.app.netsuite.com/app/reporting/reportrunner.nl?fromreport=320&amp;regtx,tranline,kacct,x,alltranline5,IN,x,x=950&amp;cr=293" xr:uid="{F768BA64-8723-41AC-9D65-DB3D9CDB1493}"/>
    <hyperlink ref="A400" r:id="rId397" display="https://9607261.app.netsuite.com/app/reporting/reportrunner.nl?fromreport=320&amp;regtx,tranline,kacct,x,alltranline5,IN,x,x=950&amp;cr=293" xr:uid="{6C4CCF27-7140-476C-98E5-40979BAC952E}"/>
    <hyperlink ref="A401" r:id="rId398" display="https://9607261.app.netsuite.com/app/reporting/reportrunner.nl?fromreport=320&amp;regtx,tranline,kacct,x,alltranline5,IN,x,x=950&amp;cr=293" xr:uid="{13F8C007-4645-4754-884A-C105D2D74E0E}"/>
    <hyperlink ref="A402" r:id="rId399" display="https://9607261.app.netsuite.com/app/reporting/reportrunner.nl?fromreport=320&amp;regtx,tranline,kacct,x,alltranline5,IN,x,x=950&amp;cr=293" xr:uid="{0C94A110-70EF-49C8-9295-FAB5968D6852}"/>
    <hyperlink ref="A403" r:id="rId400" display="https://9607261.app.netsuite.com/app/reporting/reportrunner.nl?fromreport=320&amp;regtx,tranline,kacct,x,alltranline5,IN,x,x=950&amp;cr=293" xr:uid="{3DFBD142-FFC6-4364-B8A6-E0D51D472F14}"/>
    <hyperlink ref="A404" r:id="rId401" display="https://9607261.app.netsuite.com/app/reporting/reportrunner.nl?fromreport=320&amp;regtx,tranline,kacct,x,alltranline5,IN,x,x=950&amp;cr=293" xr:uid="{644970CC-C493-4162-9A90-88F0496C962A}"/>
    <hyperlink ref="A405" r:id="rId402" display="https://9607261.app.netsuite.com/app/reporting/reportrunner.nl?fromreport=320&amp;regtx,tranline,kacct,x,alltranline5,IN,x,x=950&amp;cr=293" xr:uid="{F3795340-EBBB-4E62-9AF7-FF876C45FE9E}"/>
    <hyperlink ref="A406" r:id="rId403" display="https://9607261.app.netsuite.com/app/reporting/reportrunner.nl?fromreport=320&amp;regtx,tranline,kacct,x,alltranline5,IN,x,x=950&amp;cr=293" xr:uid="{F8076177-DDA4-4745-BB3D-816ED996B658}"/>
    <hyperlink ref="A407" r:id="rId404" display="https://9607261.app.netsuite.com/app/reporting/reportrunner.nl?fromreport=320&amp;regtx,tranline,kacct,x,alltranline5,IN,x,x=950&amp;cr=293" xr:uid="{FF2926C4-82BD-456E-93F0-915596E1FAC8}"/>
    <hyperlink ref="A408" r:id="rId405" display="https://9607261.app.netsuite.com/app/reporting/reportrunner.nl?fromreport=320&amp;regtx,tranline,kacct,x,alltranline5,IN,x,x=950&amp;cr=293" xr:uid="{68D82556-FF13-4644-82E4-DCAB977AAFD7}"/>
    <hyperlink ref="A409" r:id="rId406" display="https://9607261.app.netsuite.com/app/reporting/reportrunner.nl?fromreport=320&amp;regtx,tranline,kacct,x,alltranline5,IN,x,x=950&amp;cr=293" xr:uid="{3E4783EC-C30F-4584-8E8D-D2B718937747}"/>
    <hyperlink ref="A410" r:id="rId407" display="https://9607261.app.netsuite.com/app/reporting/reportrunner.nl?fromreport=320&amp;regtx,tranline,kacct,x,alltranline5,IN,x,x=950&amp;cr=293" xr:uid="{1D2902A2-5D02-4B87-88D3-553BA856FE1A}"/>
    <hyperlink ref="A411" r:id="rId408" display="https://9607261.app.netsuite.com/app/reporting/reportrunner.nl?fromreport=320&amp;regtx,tranline,kacct,x,alltranline5,IN,x,x=950&amp;cr=293" xr:uid="{E57D4003-91B7-45F1-94DE-EA5F6BD8CDB1}"/>
    <hyperlink ref="A412" r:id="rId409" display="https://9607261.app.netsuite.com/app/reporting/reportrunner.nl?fromreport=320&amp;regtx,tranline,kacct,x,alltranline5,IN,x,x=950&amp;cr=293" xr:uid="{4412C29B-075A-4817-983E-C79E97AC933D}"/>
    <hyperlink ref="A413" r:id="rId410" display="https://9607261.app.netsuite.com/app/reporting/reportrunner.nl?fromreport=320&amp;regtx,tranline,kacct,x,alltranline5,IN,x,x=950&amp;cr=293" xr:uid="{38D8A06D-BC9A-46E6-9B20-8A5B7508235B}"/>
    <hyperlink ref="A414" r:id="rId411" display="https://9607261.app.netsuite.com/app/reporting/reportrunner.nl?fromreport=320&amp;regtx,tranline,kacct,x,alltranline5,IN,x,x=950&amp;cr=293" xr:uid="{4C742666-7969-46E3-9521-E49E92A1FEC8}"/>
    <hyperlink ref="A415" r:id="rId412" display="https://9607261.app.netsuite.com/app/reporting/reportrunner.nl?fromreport=320&amp;regtx,tranline,kacct,x,alltranline5,IN,x,x=950&amp;cr=293" xr:uid="{6AA6C3D1-94A0-4E35-B5DC-B2F357C96986}"/>
    <hyperlink ref="A416" r:id="rId413" display="https://9607261.app.netsuite.com/app/reporting/reportrunner.nl?fromreport=320&amp;regtx,tranline,kacct,x,alltranline5,IN,x,x=950&amp;cr=293" xr:uid="{42CBD564-42E1-4BEF-AD2A-6756F0EF9EE4}"/>
    <hyperlink ref="A417" r:id="rId414" display="https://9607261.app.netsuite.com/app/reporting/reportrunner.nl?fromreport=320&amp;regtx,tranline,kacct,x,alltranline5,IN,x,x=950&amp;cr=293" xr:uid="{CFAF43D8-B663-43CC-BF71-B055D9697172}"/>
    <hyperlink ref="A418" r:id="rId415" display="https://9607261.app.netsuite.com/app/reporting/reportrunner.nl?fromreport=320&amp;regtx,tranline,kacct,x,alltranline5,IN,x,x=950&amp;cr=293" xr:uid="{0E827A3E-B45D-4449-9C5A-66AC380FFFB1}"/>
    <hyperlink ref="A419" r:id="rId416" display="https://9607261.app.netsuite.com/app/reporting/reportrunner.nl?fromreport=320&amp;regtx,tranline,kacct,x,alltranline5,IN,x,x=950&amp;cr=293" xr:uid="{9731FB18-9C4B-4CD1-8E26-AD9A74EAE8D7}"/>
    <hyperlink ref="A420" r:id="rId417" display="https://9607261.app.netsuite.com/app/reporting/reportrunner.nl?fromreport=320&amp;regtx,tranline,kacct,x,alltranline5,IN,x,x=950&amp;cr=293" xr:uid="{BE1B0C80-6C5C-4127-A7E7-079950C9D186}"/>
    <hyperlink ref="A421" r:id="rId418" display="https://9607261.app.netsuite.com/app/reporting/reportrunner.nl?fromreport=320&amp;regtx,tranline,kacct,x,alltranline5,IN,x,x=950&amp;cr=293" xr:uid="{34693D0C-CAD9-46FB-92AA-E59436969048}"/>
    <hyperlink ref="A422" r:id="rId419" display="https://9607261.app.netsuite.com/app/reporting/reportrunner.nl?fromreport=320&amp;regtx,tranline,kacct,x,alltranline5,IN,x,x=950&amp;cr=293" xr:uid="{E3D8FE4B-6CFF-4E06-8ACA-4504C2FF0553}"/>
    <hyperlink ref="A423" r:id="rId420" display="https://9607261.app.netsuite.com/app/reporting/reportrunner.nl?fromreport=320&amp;regtx,tranline,kacct,x,alltranline5,IN,x,x=950&amp;cr=293" xr:uid="{31DE4175-DFB8-4EF2-8FC4-B0B16B3D2C65}"/>
    <hyperlink ref="A424" r:id="rId421" display="https://9607261.app.netsuite.com/app/reporting/reportrunner.nl?fromreport=320&amp;regtx,tranline,kacct,x,alltranline5,IN,x,x=950&amp;cr=293" xr:uid="{683D150E-980A-4993-8173-C4AF28EC777E}"/>
    <hyperlink ref="A425" r:id="rId422" display="https://9607261.app.netsuite.com/app/reporting/reportrunner.nl?fromreport=320&amp;regtx,tranline,kacct,x,alltranline5,IN,x,x=950&amp;cr=293" xr:uid="{71436C2F-B242-40CF-9665-50B22808F197}"/>
    <hyperlink ref="A426" r:id="rId423" display="https://9607261.app.netsuite.com/app/reporting/reportrunner.nl?fromreport=320&amp;regtx,tranline,kacct,x,alltranline5,IN,x,x=950&amp;cr=293" xr:uid="{013CC47F-55E0-4612-AD98-0D075423BB10}"/>
    <hyperlink ref="A427" r:id="rId424" display="https://9607261.app.netsuite.com/app/reporting/reportrunner.nl?fromreport=320&amp;regtx,tranline,kacct,x,alltranline5,IN,x,x=950&amp;cr=293" xr:uid="{99965C45-5163-401F-A65B-F2502191A995}"/>
    <hyperlink ref="A428" r:id="rId425" display="https://9607261.app.netsuite.com/app/reporting/reportrunner.nl?fromreport=320&amp;regtx,tranline,kacct,x,alltranline5,IN,x,x=950&amp;cr=293" xr:uid="{E67803C1-947F-426E-B87D-8BAD85E6D602}"/>
    <hyperlink ref="A429" r:id="rId426" display="https://9607261.app.netsuite.com/app/reporting/reportrunner.nl?fromreport=320&amp;regtx,tranline,kacct,x,alltranline5,IN,x,x=950&amp;cr=293" xr:uid="{0CC7E7D5-23BE-4760-9F72-4949C592DB07}"/>
    <hyperlink ref="A430" r:id="rId427" display="https://9607261.app.netsuite.com/app/reporting/reportrunner.nl?fromreport=320&amp;regtx,tranline,kacct,x,alltranline5,IN,x,x=950&amp;cr=293" xr:uid="{508FDEE6-4150-46D5-B2F3-9DB3C13FCD14}"/>
    <hyperlink ref="A431" r:id="rId428" display="https://9607261.app.netsuite.com/app/reporting/reportrunner.nl?fromreport=320&amp;regtx,tranline,kacct,x,alltranline5,IN,x,x=950&amp;cr=293" xr:uid="{0D3EA047-77D2-4EB0-A057-F808040A0CDE}"/>
    <hyperlink ref="A432" r:id="rId429" display="https://9607261.app.netsuite.com/app/reporting/reportrunner.nl?fromreport=320&amp;regtx,tranline,kacct,x,alltranline5,IN,x,x=950&amp;cr=293" xr:uid="{68C828EB-21EC-4236-AF6D-BEF18588913B}"/>
    <hyperlink ref="A433" r:id="rId430" display="https://9607261.app.netsuite.com/app/reporting/reportrunner.nl?fromreport=320&amp;regtx,tranline,kacct,x,alltranline5,IN,x,x=950&amp;cr=293" xr:uid="{8FE71828-2653-4C93-9F9C-F17FFC1A7168}"/>
    <hyperlink ref="A434" r:id="rId431" display="https://9607261.app.netsuite.com/app/reporting/reportrunner.nl?fromreport=320&amp;regtx,tranline,kacct,x,alltranline5,IN,x,x=950&amp;cr=293" xr:uid="{E64B44B9-081D-4EE9-8DEF-B967970881A1}"/>
    <hyperlink ref="A435" r:id="rId432" display="https://9607261.app.netsuite.com/app/reporting/reportrunner.nl?fromreport=320&amp;regtx,tranline,kacct,x,alltranline5,IN,x,x=950&amp;cr=293" xr:uid="{03D8B7D8-E483-44EC-B7CD-947B44DD7293}"/>
    <hyperlink ref="A436" r:id="rId433" display="https://9607261.app.netsuite.com/app/reporting/reportrunner.nl?fromreport=320&amp;regtx,tranline,kacct,x,alltranline5,IN,x,x=950&amp;cr=293" xr:uid="{7FC9A2BC-A75A-48A3-9EC5-DA78C5BE129C}"/>
    <hyperlink ref="A437" r:id="rId434" display="https://9607261.app.netsuite.com/app/reporting/reportrunner.nl?fromreport=320&amp;regtx,tranline,kacct,x,alltranline5,IN,x,x=950&amp;cr=293" xr:uid="{35F0CD52-A5E2-4C18-96DF-B060620E5AB5}"/>
    <hyperlink ref="A438" r:id="rId435" display="https://9607261.app.netsuite.com/app/reporting/reportrunner.nl?fromreport=320&amp;regtx,tranline,kacct,x,alltranline5,IN,x,x=950&amp;cr=293" xr:uid="{D3E2BFD1-6504-4772-B5E8-EC812C5EEAA0}"/>
    <hyperlink ref="A439" r:id="rId436" display="https://9607261.app.netsuite.com/app/reporting/reportrunner.nl?fromreport=320&amp;regtx,tranline,kacct,x,alltranline5,IN,x,x=950&amp;cr=293" xr:uid="{A66EA492-4869-49F8-BCF0-1407EF372DFE}"/>
    <hyperlink ref="A440" r:id="rId437" display="https://9607261.app.netsuite.com/app/reporting/reportrunner.nl?fromreport=320&amp;regtx,tranline,kacct,x,alltranline5,IN,x,x=950&amp;cr=293" xr:uid="{AEED4ADA-5310-431F-9F5C-B06D71D22BD6}"/>
    <hyperlink ref="A441" r:id="rId438" display="https://9607261.app.netsuite.com/app/reporting/reportrunner.nl?fromreport=320&amp;regtx,tranline,kacct,x,alltranline5,IN,x,x=950&amp;cr=293" xr:uid="{EA325533-5A14-46E2-A1C8-668260323109}"/>
    <hyperlink ref="A442" r:id="rId439" display="https://9607261.app.netsuite.com/app/reporting/reportrunner.nl?fromreport=320&amp;regtx,tranline,kacct,x,alltranline5,IN,x,x=950&amp;cr=293" xr:uid="{01CC4BED-A37C-4D6B-9B3C-116185BF68B4}"/>
    <hyperlink ref="A443" r:id="rId440" display="https://9607261.app.netsuite.com/app/reporting/reportrunner.nl?fromreport=320&amp;regtx,tranline,kacct,x,alltranline5,IN,x,x=950&amp;cr=293" xr:uid="{C2445C3F-13AD-4B7B-AF35-0C18CD813648}"/>
    <hyperlink ref="A444" r:id="rId441" display="https://9607261.app.netsuite.com/app/reporting/reportrunner.nl?fromreport=320&amp;regtx,tranline,kacct,x,alltranline5,IN,x,x=950&amp;cr=293" xr:uid="{4CA8122E-0134-4F7C-910D-EA67669E72D6}"/>
    <hyperlink ref="A445" r:id="rId442" display="https://9607261.app.netsuite.com/app/reporting/reportrunner.nl?fromreport=320&amp;regtx,tranline,kacct,x,alltranline5,IN,x,x=950&amp;cr=293" xr:uid="{BA386FA0-A4F0-4A2D-A729-BF02B774487F}"/>
    <hyperlink ref="A446" r:id="rId443" display="https://9607261.app.netsuite.com/app/reporting/reportrunner.nl?fromreport=320&amp;regtx,tranline,kacct,x,alltranline5,IN,x,x=950&amp;cr=293" xr:uid="{5A701151-9616-4296-8519-B0A57BBF3861}"/>
    <hyperlink ref="A447" r:id="rId444" display="https://9607261.app.netsuite.com/app/reporting/reportrunner.nl?fromreport=320&amp;regtx,tranline,kacct,x,alltranline5,IN,x,x=950&amp;cr=293" xr:uid="{3F3B7D2B-F07D-42F8-A352-9E77D44E9B13}"/>
    <hyperlink ref="A448" r:id="rId445" display="https://9607261.app.netsuite.com/app/reporting/reportrunner.nl?fromreport=320&amp;regtx,tranline,kacct,x,alltranline5,IN,x,x=950&amp;cr=293" xr:uid="{57D72F5A-CB77-417C-A97C-F5EDEFAC6998}"/>
    <hyperlink ref="A449" r:id="rId446" display="https://9607261.app.netsuite.com/app/reporting/reportrunner.nl?fromreport=320&amp;regtx,tranline,kacct,x,alltranline5,IN,x,x=950&amp;cr=293" xr:uid="{85598B26-ED29-4268-BBBE-FE7A67E2526B}"/>
    <hyperlink ref="A450" r:id="rId447" display="https://9607261.app.netsuite.com/app/reporting/reportrunner.nl?fromreport=320&amp;regtx,tranline,kacct,x,alltranline5,IN,x,x=950&amp;cr=293" xr:uid="{9153E371-26E4-4F9B-B5C0-307906448807}"/>
    <hyperlink ref="A451" r:id="rId448" display="https://9607261.app.netsuite.com/app/reporting/reportrunner.nl?fromreport=320&amp;regtx,tranline,kacct,x,alltranline5,IN,x,x=950&amp;cr=293" xr:uid="{36E3FB68-03BA-4319-84C6-0D5EB7E366F7}"/>
    <hyperlink ref="A452" r:id="rId449" display="https://9607261.app.netsuite.com/app/reporting/reportrunner.nl?fromreport=320&amp;regtx,tranline,kacct,x,alltranline5,IN,x,x=950&amp;cr=293" xr:uid="{76D6F85D-C3D0-4514-AA93-FA97B8808C0D}"/>
    <hyperlink ref="A453" r:id="rId450" display="https://9607261.app.netsuite.com/app/reporting/reportrunner.nl?fromreport=320&amp;regtx,tranline,kacct,x,alltranline5,IN,x,x=950&amp;cr=293" xr:uid="{159E610C-D614-4D29-ADD6-7C0390D01522}"/>
    <hyperlink ref="A454" r:id="rId451" display="https://9607261.app.netsuite.com/app/reporting/reportrunner.nl?fromreport=320&amp;regtx,tranline,kacct,x,alltranline5,IN,x,x=950&amp;cr=293" xr:uid="{483BA42E-27F0-439A-A5D8-C8702115080F}"/>
    <hyperlink ref="A455" r:id="rId452" display="https://9607261.app.netsuite.com/app/reporting/reportrunner.nl?fromreport=320&amp;regtx,tranline,kacct,x,alltranline5,IN,x,x=950&amp;cr=293" xr:uid="{D9BB23B3-8992-422F-BE42-00BF39565063}"/>
    <hyperlink ref="A456" r:id="rId453" display="https://9607261.app.netsuite.com/app/reporting/reportrunner.nl?fromreport=320&amp;regtx,tranline,kacct,x,alltranline5,IN,x,x=950&amp;cr=293" xr:uid="{855B4AD8-D617-4F6F-A80B-99F6E20D4E48}"/>
    <hyperlink ref="A457" r:id="rId454" display="https://9607261.app.netsuite.com/app/reporting/reportrunner.nl?fromreport=320&amp;regtx,tranline,kacct,x,alltranline5,IN,x,x=950&amp;cr=293" xr:uid="{2EC50459-9A1B-4145-86CF-2B44E0B560EE}"/>
    <hyperlink ref="A458" r:id="rId455" display="https://9607261.app.netsuite.com/app/reporting/reportrunner.nl?fromreport=320&amp;regtx,tranline,kacct,x,alltranline5,IN,x,x=950&amp;cr=293" xr:uid="{72525C42-49EE-4DB1-BDDE-367D4BA000AC}"/>
    <hyperlink ref="A459" r:id="rId456" display="https://9607261.app.netsuite.com/app/reporting/reportrunner.nl?fromreport=320&amp;regtx,tranline,kacct,x,alltranline5,IN,x,x=950&amp;cr=293" xr:uid="{E50DE2FA-F164-4E27-A888-B0F8F896893C}"/>
    <hyperlink ref="A460" r:id="rId457" display="https://9607261.app.netsuite.com/app/reporting/reportrunner.nl?fromreport=320&amp;regtx,tranline,kacct,x,alltranline5,IN,x,x=950&amp;cr=293" xr:uid="{908D9574-29A6-4E6E-B553-527F2462D6D6}"/>
    <hyperlink ref="A461" r:id="rId458" display="https://9607261.app.netsuite.com/app/reporting/reportrunner.nl?fromreport=320&amp;regtx,tranline,kacct,x,alltranline5,IN,x,x=950&amp;cr=293" xr:uid="{F89FC8A9-AF04-44C4-98C0-677DDFF8BBB9}"/>
    <hyperlink ref="A462" r:id="rId459" display="https://9607261.app.netsuite.com/app/reporting/reportrunner.nl?fromreport=320&amp;regtx,tranline,kacct,x,alltranline5,IN,x,x=950&amp;cr=293" xr:uid="{BBE4FE86-EED8-46DC-BB0F-89DBAA84ADD2}"/>
    <hyperlink ref="A463" r:id="rId460" display="https://9607261.app.netsuite.com/app/reporting/reportrunner.nl?fromreport=320&amp;regtx,tranline,kacct,x,alltranline5,IN,x,x=950&amp;cr=293" xr:uid="{97027C8A-D9A6-475D-9079-236E07E46576}"/>
    <hyperlink ref="A464" r:id="rId461" display="https://9607261.app.netsuite.com/app/reporting/reportrunner.nl?fromreport=320&amp;regtx,tranline,kacct,x,alltranline5,IN,x,x=950&amp;cr=293" xr:uid="{E8AB670D-55C4-42D1-850B-9C73AC35819C}"/>
    <hyperlink ref="A465" r:id="rId462" display="https://9607261.app.netsuite.com/app/reporting/reportrunner.nl?fromreport=320&amp;regtx,tranline,kacct,x,alltranline5,IN,x,x=950&amp;cr=293" xr:uid="{B66F1D16-2664-430A-9ABC-EAA7D33F2AE5}"/>
    <hyperlink ref="A466" r:id="rId463" display="https://9607261.app.netsuite.com/app/reporting/reportrunner.nl?fromreport=320&amp;regtx,tranline,kacct,x,alltranline5,IN,x,x=950&amp;cr=293" xr:uid="{EA5CBC99-19DC-40E8-9DE9-E9A8A335475B}"/>
    <hyperlink ref="A467" r:id="rId464" display="https://9607261.app.netsuite.com/app/reporting/reportrunner.nl?fromreport=320&amp;regtx,tranline,kacct,x,alltranline5,IN,x,x=950&amp;cr=293" xr:uid="{FF09589E-64EE-4624-ACE6-3A41D0F1C4BC}"/>
    <hyperlink ref="A468" r:id="rId465" display="https://9607261.app.netsuite.com/app/reporting/reportrunner.nl?fromreport=320&amp;regtx,tranline,kacct,x,alltranline5,IN,x,x=950&amp;cr=293" xr:uid="{3C3AFD26-1880-4EFC-BF5E-5B01DB844F20}"/>
    <hyperlink ref="A469" r:id="rId466" display="https://9607261.app.netsuite.com/app/reporting/reportrunner.nl?fromreport=320&amp;regtx,tranline,kacct,x,alltranline5,IN,x,x=950&amp;cr=293" xr:uid="{2875FE17-81F7-4A46-8E37-70FA2EA9E209}"/>
    <hyperlink ref="A470" r:id="rId467" display="https://9607261.app.netsuite.com/app/reporting/reportrunner.nl?fromreport=320&amp;regtx,tranline,kacct,x,alltranline5,IN,x,x=950&amp;cr=293" xr:uid="{F8DAB7BA-B0C0-4A7D-8669-29802C4B7258}"/>
    <hyperlink ref="A471" r:id="rId468" display="https://9607261.app.netsuite.com/app/reporting/reportrunner.nl?fromreport=320&amp;regtx,tranline,kacct,x,alltranline5,IN,x,x=950&amp;cr=293" xr:uid="{1C733257-5F12-4925-A95C-BB965FFB0570}"/>
    <hyperlink ref="A472" r:id="rId469" display="https://9607261.app.netsuite.com/app/reporting/reportrunner.nl?fromreport=320&amp;regtx,tranline,kacct,x,alltranline5,IN,x,x=950&amp;cr=293" xr:uid="{F097DE00-9CEA-41A5-9DB9-FB2EAE657DE5}"/>
    <hyperlink ref="A473" r:id="rId470" display="https://9607261.app.netsuite.com/app/reporting/reportrunner.nl?fromreport=320&amp;regtx,tranline,kacct,x,alltranline5,IN,x,x=950&amp;cr=293" xr:uid="{B4C4FCBC-5F5F-48C0-BF34-9C5621C404FB}"/>
    <hyperlink ref="A474" r:id="rId471" display="https://9607261.app.netsuite.com/app/reporting/reportrunner.nl?fromreport=320&amp;regtx,tranline,kacct,x,alltranline5,IN,x,x=950&amp;cr=293" xr:uid="{CF7649B4-E56A-47DF-9C59-2540851AEF7A}"/>
    <hyperlink ref="A475" r:id="rId472" display="https://9607261.app.netsuite.com/app/reporting/reportrunner.nl?fromreport=320&amp;regtx,tranline,kacct,x,alltranline5,IN,x,x=950&amp;cr=293" xr:uid="{257EC72E-D88F-423F-BBDA-83D783AA8CC2}"/>
    <hyperlink ref="A476" r:id="rId473" display="https://9607261.app.netsuite.com/app/reporting/reportrunner.nl?fromreport=320&amp;regtx,tranline,kacct,x,alltranline5,IN,x,x=950&amp;cr=293" xr:uid="{36AF4375-0AE3-448E-B610-9A2D94CC2D08}"/>
    <hyperlink ref="A477" r:id="rId474" display="https://9607261.app.netsuite.com/app/reporting/reportrunner.nl?fromreport=320&amp;regtx,tranline,kacct,x,alltranline5,IN,x,x=950&amp;cr=293" xr:uid="{BFB639D3-4B66-4B86-8AF2-63721FFD2FAC}"/>
    <hyperlink ref="A478" r:id="rId475" display="https://9607261.app.netsuite.com/app/reporting/reportrunner.nl?fromreport=320&amp;regtx,tranline,kacct,x,alltranline5,IN,x,x=950&amp;cr=293" xr:uid="{9402231A-1435-44E2-825B-D2DAE4D0ACF6}"/>
    <hyperlink ref="A479" r:id="rId476" display="https://9607261.app.netsuite.com/app/reporting/reportrunner.nl?fromreport=320&amp;regtx,tranline,kacct,x,alltranline5,IN,x,x=950&amp;cr=293" xr:uid="{5A675A32-C214-47D1-AEAA-DC25501A8DA0}"/>
    <hyperlink ref="A480" r:id="rId477" display="https://9607261.app.netsuite.com/app/reporting/reportrunner.nl?fromreport=320&amp;regtx,tranline,kacct,x,alltranline5,IN,x,x=950&amp;cr=293" xr:uid="{774E75C9-3C16-4CD6-9AAA-FCDA574CA40E}"/>
    <hyperlink ref="A481" r:id="rId478" display="https://9607261.app.netsuite.com/app/reporting/reportrunner.nl?fromreport=320&amp;regtx,tranline,kacct,x,alltranline5,IN,x,x=950&amp;cr=293" xr:uid="{D3721ADC-1FCB-43E3-8F26-D3F5B75F5CA1}"/>
    <hyperlink ref="A482" r:id="rId479" display="https://9607261.app.netsuite.com/app/reporting/reportrunner.nl?fromreport=320&amp;regtx,tranline,kacct,x,alltranline5,IN,x,x=950&amp;cr=293" xr:uid="{3CD0337A-AB60-4D02-8AB1-59982C78A54E}"/>
    <hyperlink ref="A483" r:id="rId480" display="https://9607261.app.netsuite.com/app/reporting/reportrunner.nl?fromreport=320&amp;regtx,tranline,kacct,x,alltranline5,IN,x,x=950&amp;cr=293" xr:uid="{D7445B4D-52E7-45E7-9CC5-D1E7ECD9CEDF}"/>
    <hyperlink ref="A484" r:id="rId481" display="https://9607261.app.netsuite.com/app/reporting/reportrunner.nl?fromreport=320&amp;regtx,tranline,kacct,x,alltranline5,IN,x,x=950&amp;cr=293" xr:uid="{B4CBD1D4-15EE-4FE9-865C-B9453B7F0CDA}"/>
    <hyperlink ref="A485" r:id="rId482" display="https://9607261.app.netsuite.com/app/reporting/reportrunner.nl?fromreport=320&amp;regtx,tranline,kacct,x,alltranline5,IN,x,x=950&amp;cr=293" xr:uid="{5D6707DE-6AA7-4059-BD2A-7AE079DA60F9}"/>
    <hyperlink ref="A486" r:id="rId483" display="https://9607261.app.netsuite.com/app/reporting/reportrunner.nl?fromreport=320&amp;regtx,tranline,kacct,x,alltranline5,IN,x,x=950&amp;cr=293" xr:uid="{E15FB164-7ABF-43C5-BC3A-B1FBE8AD5F59}"/>
    <hyperlink ref="A487" r:id="rId484" display="https://9607261.app.netsuite.com/app/reporting/reportrunner.nl?fromreport=320&amp;regtx,tranline,kacct,x,alltranline5,IN,x,x=950&amp;cr=293" xr:uid="{7B48E314-21BE-4326-9F2D-CE9A9D21A0A7}"/>
    <hyperlink ref="A488" r:id="rId485" display="https://9607261.app.netsuite.com/app/reporting/reportrunner.nl?fromreport=320&amp;regtx,tranline,kacct,x,alltranline5,IN,x,x=950&amp;cr=293" xr:uid="{E9CA694F-C2AC-4022-AEA4-56AE962F326A}"/>
    <hyperlink ref="A489" r:id="rId486" display="https://9607261.app.netsuite.com/app/reporting/reportrunner.nl?fromreport=320&amp;regtx,tranline,kacct,x,alltranline5,IN,x,x=950&amp;cr=293" xr:uid="{6DC281F5-E38A-49C0-987C-11A1DFE02678}"/>
    <hyperlink ref="A490" r:id="rId487" display="https://9607261.app.netsuite.com/app/reporting/reportrunner.nl?fromreport=320&amp;regtx,tranline,kacct,x,alltranline5,IN,x,x=950&amp;cr=293" xr:uid="{853956BB-7BDE-497B-A4A9-2E64BDD5F83C}"/>
    <hyperlink ref="A491" r:id="rId488" display="https://9607261.app.netsuite.com/app/reporting/reportrunner.nl?fromreport=320&amp;regtx,tranline,kacct,x,alltranline5,IN,x,x=950&amp;cr=293" xr:uid="{0BD618F2-5BF9-41E7-81DF-301B96EC99FE}"/>
    <hyperlink ref="A492" r:id="rId489" display="https://9607261.app.netsuite.com/app/reporting/reportrunner.nl?fromreport=320&amp;regtx,tranline,kacct,x,alltranline5,IN,x,x=950&amp;cr=293" xr:uid="{2F326E39-A427-4EB0-8EC0-F08810FDDA87}"/>
    <hyperlink ref="A493" r:id="rId490" display="https://9607261.app.netsuite.com/app/reporting/reportrunner.nl?fromreport=320&amp;regtx,tranline,kacct,x,alltranline5,IN,x,x=950&amp;cr=293" xr:uid="{8D974467-C046-4FAB-BF41-7380964D9A5A}"/>
    <hyperlink ref="A494" r:id="rId491" display="https://9607261.app.netsuite.com/app/reporting/reportrunner.nl?fromreport=320&amp;regtx,tranline,kacct,x,alltranline5,IN,x,x=950&amp;cr=293" xr:uid="{DD535105-6B3D-46BD-AD31-E6FDDBFFC011}"/>
    <hyperlink ref="A495" r:id="rId492" display="https://9607261.app.netsuite.com/app/reporting/reportrunner.nl?fromreport=320&amp;regtx,tranline,kacct,x,alltranline5,IN,x,x=950&amp;cr=293" xr:uid="{278BF47B-2FF8-4340-BED3-51B52BC7763F}"/>
    <hyperlink ref="A496" r:id="rId493" display="https://9607261.app.netsuite.com/app/reporting/reportrunner.nl?fromreport=320&amp;regtx,tranline,kacct,x,alltranline5,IN,x,x=950&amp;cr=293" xr:uid="{4FDE87A6-B190-4751-9B91-9382789BFBA8}"/>
    <hyperlink ref="A497" r:id="rId494" display="https://9607261.app.netsuite.com/app/reporting/reportrunner.nl?fromreport=320&amp;regtx,tranline,kacct,x,alltranline5,IN,x,x=950&amp;cr=293" xr:uid="{B87C6FA8-254A-4D67-B2B8-D6FB3563D0FA}"/>
    <hyperlink ref="A498" r:id="rId495" display="https://9607261.app.netsuite.com/app/reporting/reportrunner.nl?fromreport=320&amp;regtx,tranline,kacct,x,alltranline5,IN,x,x=950&amp;cr=293" xr:uid="{C8200BF1-C18B-4192-B4C1-15260DA8D769}"/>
    <hyperlink ref="A499" r:id="rId496" display="https://9607261.app.netsuite.com/app/reporting/reportrunner.nl?fromreport=320&amp;regtx,tranline,kacct,x,alltranline5,IN,x,x=950&amp;cr=293" xr:uid="{12380E8F-8BE4-4002-94EF-EEA759F5CB10}"/>
    <hyperlink ref="A500" r:id="rId497" display="https://9607261.app.netsuite.com/app/reporting/reportrunner.nl?fromreport=320&amp;regtx,tranline,kacct,x,alltranline5,IN,x,x=950&amp;cr=293" xr:uid="{7415E21A-6F7C-4190-BF0D-267987FC3BDA}"/>
    <hyperlink ref="A501" r:id="rId498" display="https://9607261.app.netsuite.com/app/reporting/reportrunner.nl?fromreport=320&amp;regtx,tranline,kacct,x,alltranline5,IN,x,x=950&amp;cr=293" xr:uid="{329527F0-A9BC-4FC0-93DF-46454666F78F}"/>
    <hyperlink ref="A502" r:id="rId499" display="https://9607261.app.netsuite.com/app/reporting/reportrunner.nl?fromreport=320&amp;regtx,tranline,kacct,x,alltranline5,IN,x,x=950&amp;cr=293" xr:uid="{AB9AE8D6-3C13-4885-A36C-F1AF5CF0D893}"/>
    <hyperlink ref="A503" r:id="rId500" display="https://9607261.app.netsuite.com/app/reporting/reportrunner.nl?fromreport=320&amp;regtx,tranline,kacct,x,alltranline5,IN,x,x=950&amp;cr=293" xr:uid="{2F51AC85-9432-45DB-9B38-7A9FFF83B45D}"/>
    <hyperlink ref="A504" r:id="rId501" display="https://9607261.app.netsuite.com/app/reporting/reportrunner.nl?fromreport=320&amp;regtx,tranline,kacct,x,alltranline5,IN,x,x=950&amp;cr=293" xr:uid="{CDE04CDB-5925-4BAF-B2E2-A8A0D492B558}"/>
    <hyperlink ref="A505" r:id="rId502" display="https://9607261.app.netsuite.com/app/reporting/reportrunner.nl?fromreport=320&amp;regtx,tranline,kacct,x,alltranline5,IN,x,x=950&amp;cr=293" xr:uid="{D7BACFE2-5F8D-45B2-9468-E62198E49048}"/>
    <hyperlink ref="A506" r:id="rId503" display="https://9607261.app.netsuite.com/app/reporting/reportrunner.nl?fromreport=320&amp;regtx,tranline,kacct,x,alltranline5,IN,x,x=950&amp;cr=293" xr:uid="{9E42F7F5-5E8B-4332-A301-D2A298FC1AA4}"/>
    <hyperlink ref="A507" r:id="rId504" display="https://9607261.app.netsuite.com/app/reporting/reportrunner.nl?fromreport=320&amp;regtx,tranline,kacct,x,alltranline5,IN,x,x=950&amp;cr=293" xr:uid="{6B27CF6B-E313-40BC-9BF7-6EAD80918EF3}"/>
    <hyperlink ref="A508" r:id="rId505" display="https://9607261.app.netsuite.com/app/reporting/reportrunner.nl?fromreport=320&amp;regtx,tranline,kacct,x,alltranline5,IN,x,x=950&amp;cr=293" xr:uid="{428B5D9C-9DFB-404F-A4A3-B511AA8E6A2C}"/>
    <hyperlink ref="A509" r:id="rId506" display="https://9607261.app.netsuite.com/app/reporting/reportrunner.nl?fromreport=320&amp;regtx,tranline,kacct,x,alltranline5,IN,x,x=950&amp;cr=293" xr:uid="{7806676C-91A4-4CDB-97CD-D04DBB4FE592}"/>
    <hyperlink ref="A510" r:id="rId507" display="https://9607261.app.netsuite.com/app/reporting/reportrunner.nl?fromreport=320&amp;regtx,tranline,kacct,x,alltranline5,IN,x,x=950&amp;cr=293" xr:uid="{1BDB21C9-81B3-4491-A996-FE2249C58EDF}"/>
    <hyperlink ref="A511" r:id="rId508" display="https://9607261.app.netsuite.com/app/reporting/reportrunner.nl?fromreport=320&amp;regtx,tranline,kacct,x,alltranline5,IN,x,x=950&amp;cr=293" xr:uid="{D2C61100-49B1-45D1-B0E1-2CF4CD17B5EE}"/>
    <hyperlink ref="A512" r:id="rId509" display="https://9607261.app.netsuite.com/app/reporting/reportrunner.nl?fromreport=320&amp;regtx,tranline,kacct,x,alltranline5,IN,x,x=950&amp;cr=293" xr:uid="{317DBA59-B808-4B63-B123-EED28667E4ED}"/>
    <hyperlink ref="A513" r:id="rId510" display="https://9607261.app.netsuite.com/app/reporting/reportrunner.nl?fromreport=320&amp;regtx,tranline,kacct,x,alltranline5,IN,x,x=950&amp;cr=293" xr:uid="{BBD45873-14AE-4B6A-B2AF-F61C3383691D}"/>
    <hyperlink ref="A514" r:id="rId511" display="https://9607261.app.netsuite.com/app/reporting/reportrunner.nl?fromreport=320&amp;regtx,tranline,kacct,x,alltranline5,IN,x,x=950&amp;cr=293" xr:uid="{6CFC3E2C-27A0-4408-95EC-AA457612B6D2}"/>
    <hyperlink ref="A515" r:id="rId512" display="https://9607261.app.netsuite.com/app/reporting/reportrunner.nl?fromreport=320&amp;regtx,tranline,kacct,x,alltranline5,IN,x,x=950&amp;cr=293" xr:uid="{95E8BD6B-AE70-428A-B216-9B311D428DC8}"/>
    <hyperlink ref="A516" r:id="rId513" display="https://9607261.app.netsuite.com/app/reporting/reportrunner.nl?fromreport=320&amp;regtx,tranline,kacct,x,alltranline5,IN,x,x=950&amp;cr=293" xr:uid="{D514321B-7E41-4055-93F5-83E2270C52B5}"/>
    <hyperlink ref="A517" r:id="rId514" display="https://9607261.app.netsuite.com/app/reporting/reportrunner.nl?fromreport=320&amp;regtx,tranline,kacct,x,alltranline5,IN,x,x=950&amp;cr=293" xr:uid="{70F02717-3144-4D58-8D61-AF6B87AB61BF}"/>
    <hyperlink ref="A518" r:id="rId515" display="https://9607261.app.netsuite.com/app/reporting/reportrunner.nl?fromreport=320&amp;regtx,tranline,kacct,x,alltranline5,IN,x,x=950&amp;cr=293" xr:uid="{81BE3AAF-32B2-48BF-BA6A-B1637FAA4E42}"/>
    <hyperlink ref="A519" r:id="rId516" display="https://9607261.app.netsuite.com/app/reporting/reportrunner.nl?fromreport=320&amp;regtx,tranline,kacct,x,alltranline5,IN,x,x=950&amp;cr=293" xr:uid="{C7BE3880-92B0-4E81-84BB-425C06D989EA}"/>
    <hyperlink ref="A520" r:id="rId517" display="https://9607261.app.netsuite.com/app/reporting/reportrunner.nl?fromreport=320&amp;regtx,tranline,kacct,x,alltranline5,IN,x,x=950&amp;cr=293" xr:uid="{84BAA3BE-1225-4DFD-BF60-C69F16B3ECA9}"/>
    <hyperlink ref="A521" r:id="rId518" display="https://9607261.app.netsuite.com/app/reporting/reportrunner.nl?fromreport=320&amp;regtx,tranline,kacct,x,alltranline5,IN,x,x=950&amp;cr=293" xr:uid="{F326C195-5459-4BD2-9195-5FA7130C3A65}"/>
    <hyperlink ref="A522" r:id="rId519" display="https://9607261.app.netsuite.com/app/reporting/reportrunner.nl?fromreport=320&amp;regtx,tranline,kacct,x,alltranline5,IN,x,x=950&amp;cr=293" xr:uid="{5B77EC04-8284-4289-B247-5FE32C241147}"/>
    <hyperlink ref="A523" r:id="rId520" display="https://9607261.app.netsuite.com/app/reporting/reportrunner.nl?fromreport=320&amp;regtx,tranline,kacct,x,alltranline5,IN,x,x=950&amp;cr=293" xr:uid="{162E5A58-13C1-44E1-9620-AA958197D062}"/>
    <hyperlink ref="A524" r:id="rId521" display="https://9607261.app.netsuite.com/app/reporting/reportrunner.nl?fromreport=320&amp;regtx,tranline,kacct,x,alltranline5,IN,x,x=950&amp;cr=293" xr:uid="{CE878029-31AF-41B3-A817-62471EB02864}"/>
    <hyperlink ref="A525" r:id="rId522" display="https://9607261.app.netsuite.com/app/reporting/reportrunner.nl?fromreport=320&amp;regtx,tranline,kacct,x,alltranline5,IN,x,x=950&amp;cr=293" xr:uid="{456B4BC1-25F7-442F-B9B4-7F561A11E0B4}"/>
    <hyperlink ref="A526" r:id="rId523" display="https://9607261.app.netsuite.com/app/reporting/reportrunner.nl?fromreport=320&amp;regtx,tranline,kacct,x,alltranline5,IN,x,x=950&amp;cr=293" xr:uid="{18BB2F55-518C-429E-A87B-04BAEB4CA02C}"/>
    <hyperlink ref="A527" r:id="rId524" display="https://9607261.app.netsuite.com/app/reporting/reportrunner.nl?fromreport=320&amp;regtx,tranline,kacct,x,alltranline5,IN,x,x=950&amp;cr=293" xr:uid="{F80B47A9-26F9-44A4-B044-D1DC4CE93F21}"/>
    <hyperlink ref="A528" r:id="rId525" display="https://9607261.app.netsuite.com/app/reporting/reportrunner.nl?fromreport=320&amp;regtx,tranline,kacct,x,alltranline5,IN,x,x=950&amp;cr=293" xr:uid="{BC7A5801-0633-4F9F-9C69-236E535C20E3}"/>
    <hyperlink ref="A529" r:id="rId526" display="https://9607261.app.netsuite.com/app/reporting/reportrunner.nl?fromreport=320&amp;regtx,tranline,kacct,x,alltranline5,IN,x,x=950&amp;cr=293" xr:uid="{9B5911EC-AA0C-48E9-AADF-57FDD3C1D159}"/>
    <hyperlink ref="A530" r:id="rId527" display="https://9607261.app.netsuite.com/app/reporting/reportrunner.nl?fromreport=320&amp;regtx,tranline,kacct,x,alltranline5,IN,x,x=950&amp;cr=293" xr:uid="{A65E1FF2-AB5B-4D7C-82A1-74BE0A084FD6}"/>
    <hyperlink ref="A531" r:id="rId528" display="https://9607261.app.netsuite.com/app/reporting/reportrunner.nl?fromreport=320&amp;regtx,tranline,kacct,x,alltranline5,IN,x,x=950&amp;cr=293" xr:uid="{5757528A-6B5F-4907-85B1-CE533411A7AB}"/>
    <hyperlink ref="A532" r:id="rId529" display="https://9607261.app.netsuite.com/app/reporting/reportrunner.nl?fromreport=320&amp;regtx,tranline,kacct,x,alltranline5,IN,x,x=950&amp;cr=293" xr:uid="{8A64069A-CE3A-4D4E-854C-F172C47167FF}"/>
    <hyperlink ref="A533" r:id="rId530" display="https://9607261.app.netsuite.com/app/reporting/reportrunner.nl?fromreport=320&amp;regtx,tranline,kacct,x,alltranline5,IN,x,x=950&amp;cr=293" xr:uid="{E5D931D4-388C-4F6C-9A0F-C0C8BB25C5AE}"/>
    <hyperlink ref="A534" r:id="rId531" display="https://9607261.app.netsuite.com/app/reporting/reportrunner.nl?fromreport=320&amp;regtx,tranline,kacct,x,alltranline5,IN,x,x=950&amp;cr=293" xr:uid="{8BF2816A-A8AE-43CF-9959-21D790D685E4}"/>
    <hyperlink ref="A535" r:id="rId532" display="https://9607261.app.netsuite.com/app/reporting/reportrunner.nl?fromreport=320&amp;regtx,tranline,kacct,x,alltranline5,IN,x,x=950&amp;cr=293" xr:uid="{3CD7B690-2672-469E-B2E9-875CC1157243}"/>
    <hyperlink ref="A536" r:id="rId533" display="https://9607261.app.netsuite.com/app/reporting/reportrunner.nl?fromreport=320&amp;regtx,tranline,kacct,x,alltranline5,IN,x,x=950&amp;cr=293" xr:uid="{36F1C9CA-DFE3-4DA0-BA5A-C4F08C6A2532}"/>
    <hyperlink ref="A537" r:id="rId534" display="https://9607261.app.netsuite.com/app/reporting/reportrunner.nl?fromreport=320&amp;regtx,tranline,kacct,x,alltranline5,IN,x,x=950&amp;cr=293" xr:uid="{925DE09C-5B95-4C41-A0F0-E30CA5F21E82}"/>
    <hyperlink ref="A538" r:id="rId535" display="https://9607261.app.netsuite.com/app/reporting/reportrunner.nl?fromreport=320&amp;regtx,tranline,kacct,x,alltranline5,IN,x,x=950&amp;cr=293" xr:uid="{43288BE5-0CF8-4F4E-B68B-1CD8251B4644}"/>
    <hyperlink ref="A539" r:id="rId536" display="https://9607261.app.netsuite.com/app/reporting/reportrunner.nl?fromreport=320&amp;regtx,tranline,kacct,x,alltranline5,IN,x,x=950&amp;cr=293" xr:uid="{E5C83F01-8A13-4FC5-B630-79FCD7D60F12}"/>
    <hyperlink ref="A540" r:id="rId537" display="https://9607261.app.netsuite.com/app/reporting/reportrunner.nl?fromreport=320&amp;regtx,tranline,kacct,x,alltranline5,IN,x,x=950&amp;cr=293" xr:uid="{4D243B5A-9F6F-48CB-BA43-6B15BEE81F13}"/>
    <hyperlink ref="A541" r:id="rId538" display="https://9607261.app.netsuite.com/app/reporting/reportrunner.nl?fromreport=320&amp;regtx,tranline,kacct,x,alltranline5,IN,x,x=950&amp;cr=293" xr:uid="{21333C35-3369-4608-BDC9-C107FD932B66}"/>
    <hyperlink ref="A542" r:id="rId539" display="https://9607261.app.netsuite.com/app/reporting/reportrunner.nl?fromreport=320&amp;regtx,tranline,kacct,x,alltranline5,IN,x,x=950&amp;cr=293" xr:uid="{D58340E8-1F8C-4927-BA4F-6F62D85494AA}"/>
    <hyperlink ref="A543" r:id="rId540" display="https://9607261.app.netsuite.com/app/reporting/reportrunner.nl?fromreport=320&amp;regtx,tranline,kacct,x,alltranline5,IN,x,x=950&amp;cr=293" xr:uid="{00F8CE4C-A453-4286-BC4C-0028851C340F}"/>
    <hyperlink ref="A544" r:id="rId541" display="https://9607261.app.netsuite.com/app/reporting/reportrunner.nl?fromreport=320&amp;regtx,tranline,kacct,x,alltranline5,IN,x,x=950&amp;cr=293" xr:uid="{FDA756F1-E43D-4A9A-92F0-2C4B25F35143}"/>
    <hyperlink ref="A545" r:id="rId542" display="https://9607261.app.netsuite.com/app/reporting/reportrunner.nl?fromreport=320&amp;regtx,tranline,kacct,x,alltranline5,IN,x,x=950&amp;cr=293" xr:uid="{1637DFE0-E79E-4B4B-BBE0-A53D5CDFA102}"/>
    <hyperlink ref="A546" r:id="rId543" display="https://9607261.app.netsuite.com/app/reporting/reportrunner.nl?fromreport=320&amp;regtx,tranline,kacct,x,alltranline5,IN,x,x=950&amp;cr=293" xr:uid="{272A6C3A-4B2A-46DA-A516-53B6E8801B97}"/>
    <hyperlink ref="A547" r:id="rId544" display="https://9607261.app.netsuite.com/app/reporting/reportrunner.nl?fromreport=320&amp;regtx,tranline,kacct,x,alltranline5,IN,x,x=950&amp;cr=293" xr:uid="{351E28B4-71BE-4D81-95F5-12F98085F8B9}"/>
    <hyperlink ref="A548" r:id="rId545" display="https://9607261.app.netsuite.com/app/reporting/reportrunner.nl?fromreport=320&amp;regtx,tranline,kacct,x,alltranline5,IN,x,x=950&amp;cr=293" xr:uid="{877069C7-4D15-4CAC-922D-7A1C1AD97DAF}"/>
    <hyperlink ref="A549" r:id="rId546" display="https://9607261.app.netsuite.com/app/reporting/reportrunner.nl?fromreport=320&amp;regtx,tranline,kacct,x,alltranline5,IN,x,x=950&amp;cr=293" xr:uid="{0DBDBFBD-D8CF-46D3-B62E-59497BDDE388}"/>
    <hyperlink ref="A550" r:id="rId547" display="https://9607261.app.netsuite.com/app/reporting/reportrunner.nl?fromreport=320&amp;regtx,tranline,kacct,x,alltranline5,IN,x,x=950&amp;cr=293" xr:uid="{A13A8CC2-5C84-47AE-83DB-3C135F00EEA8}"/>
    <hyperlink ref="A551" r:id="rId548" display="https://9607261.app.netsuite.com/app/reporting/reportrunner.nl?fromreport=320&amp;regtx,tranline,kacct,x,alltranline5,IN,x,x=950&amp;cr=293" xr:uid="{67BB2AB4-DDD5-4739-B34B-B6BB36B6B617}"/>
    <hyperlink ref="A552" r:id="rId549" display="https://9607261.app.netsuite.com/app/reporting/reportrunner.nl?fromreport=320&amp;regtx,tranline,kacct,x,alltranline5,IN,x,x=950&amp;cr=293" xr:uid="{B0D1FBAE-6F0E-4CB5-A722-C54C1F435DB0}"/>
    <hyperlink ref="A553" r:id="rId550" display="https://9607261.app.netsuite.com/app/reporting/reportrunner.nl?fromreport=320&amp;regtx,tranline,kacct,x,alltranline5,IN,x,x=950&amp;cr=293" xr:uid="{489D518C-A7D6-420C-B207-1700A30AB68E}"/>
    <hyperlink ref="A554" r:id="rId551" display="https://9607261.app.netsuite.com/app/reporting/reportrunner.nl?fromreport=320&amp;regtx,tranline,kacct,x,alltranline5,IN,x,x=950&amp;cr=293" xr:uid="{67F78983-4BFE-4176-9495-7BC0EB0B6C5D}"/>
    <hyperlink ref="A555" r:id="rId552" display="https://9607261.app.netsuite.com/app/reporting/reportrunner.nl?fromreport=320&amp;regtx,tranline,kacct,x,alltranline5,IN,x,x=950&amp;cr=293" xr:uid="{A6FBBE99-BE3B-4C89-B2E6-63BCA825E16E}"/>
    <hyperlink ref="A556" r:id="rId553" display="https://9607261.app.netsuite.com/app/reporting/reportrunner.nl?fromreport=320&amp;regtx,tranline,kacct,x,alltranline5,IN,x,x=950&amp;cr=293" xr:uid="{4DB9EF83-C068-423B-9212-62D71D23390C}"/>
    <hyperlink ref="A557" r:id="rId554" display="https://9607261.app.netsuite.com/app/reporting/reportrunner.nl?fromreport=320&amp;regtx,tranline,kacct,x,alltranline5,IN,x,x=950&amp;cr=293" xr:uid="{103DB4B9-9130-48FC-BFA9-15BBF0C0104C}"/>
    <hyperlink ref="A558" r:id="rId555" display="https://9607261.app.netsuite.com/app/reporting/reportrunner.nl?fromreport=320&amp;regtx,tranline,kacct,x,alltranline5,IN,x,x=950&amp;cr=293" xr:uid="{21B54616-E746-4DF7-8BA2-595998F99822}"/>
    <hyperlink ref="A559" r:id="rId556" display="https://9607261.app.netsuite.com/app/reporting/reportrunner.nl?fromreport=320&amp;regtx,tranline,kacct,x,alltranline5,IN,x,x=950&amp;cr=293" xr:uid="{6A150769-6759-4DCA-87C1-301B7A272313}"/>
    <hyperlink ref="A560" r:id="rId557" display="https://9607261.app.netsuite.com/app/reporting/reportrunner.nl?fromreport=320&amp;regtx,tranline,kacct,x,alltranline5,IN,x,x=950&amp;cr=293" xr:uid="{169C5161-FAA0-4DB6-AEFD-9E6620F82332}"/>
    <hyperlink ref="A561" r:id="rId558" display="https://9607261.app.netsuite.com/app/reporting/reportrunner.nl?fromreport=320&amp;regtx,tranline,kacct,x,alltranline5,IN,x,x=950&amp;cr=293" xr:uid="{5CE815F3-0228-4234-9908-73ECFBC8D369}"/>
    <hyperlink ref="A562" r:id="rId559" display="https://9607261.app.netsuite.com/app/reporting/reportrunner.nl?fromreport=320&amp;regtx,tranline,kacct,x,alltranline5,IN,x,x=950&amp;cr=293" xr:uid="{3C4B1F0A-87E5-4FE4-B4E7-2FE51D8C7E65}"/>
    <hyperlink ref="A563" r:id="rId560" display="https://9607261.app.netsuite.com/app/reporting/reportrunner.nl?fromreport=320&amp;regtx,tranline,kacct,x,alltranline5,IN,x,x=950&amp;cr=293" xr:uid="{2274906A-5B6D-465C-AE52-FE071E7291D6}"/>
    <hyperlink ref="A564" r:id="rId561" display="https://9607261.app.netsuite.com/app/reporting/reportrunner.nl?fromreport=320&amp;regtx,tranline,kacct,x,alltranline5,IN,x,x=950&amp;cr=293" xr:uid="{73E9963E-A494-46F0-8210-B395A2820169}"/>
    <hyperlink ref="A565" r:id="rId562" display="https://9607261.app.netsuite.com/app/reporting/reportrunner.nl?fromreport=320&amp;regtx,tranline,kacct,x,alltranline5,IN,x,x=950&amp;cr=293" xr:uid="{F30C8210-6794-4AC6-929F-08EA38C5AAB5}"/>
    <hyperlink ref="A566" r:id="rId563" display="https://9607261.app.netsuite.com/app/reporting/reportrunner.nl?fromreport=320&amp;regtx,tranline,kacct,x,alltranline5,IN,x,x=950&amp;cr=293" xr:uid="{7AA0E897-3DD3-4507-A96B-2F0D8189918D}"/>
    <hyperlink ref="A567" r:id="rId564" display="https://9607261.app.netsuite.com/app/reporting/reportrunner.nl?fromreport=320&amp;regtx,tranline,kacct,x,alltranline5,IN,x,x=950&amp;cr=293" xr:uid="{A3741E34-52C2-4F1D-8EBC-C9C030D54758}"/>
    <hyperlink ref="A568" r:id="rId565" display="https://9607261.app.netsuite.com/app/reporting/reportrunner.nl?fromreport=320&amp;regtx,tranline,kacct,x,alltranline5,IN,x,x=950&amp;cr=293" xr:uid="{1B80B665-7238-427F-8E93-17CCC5245B44}"/>
    <hyperlink ref="A569" r:id="rId566" display="https://9607261.app.netsuite.com/app/reporting/reportrunner.nl?fromreport=320&amp;regtx,tranline,kacct,x,alltranline5,IN,x,x=950&amp;cr=293" xr:uid="{D40BAEF6-7369-419B-83D7-5D24723EE32B}"/>
    <hyperlink ref="A570" r:id="rId567" display="https://9607261.app.netsuite.com/app/reporting/reportrunner.nl?fromreport=320&amp;regtx,tranline,kacct,x,alltranline5,IN,x,x=950&amp;cr=293" xr:uid="{0B195D6D-7C04-4DD5-AAAF-C5247864BA11}"/>
    <hyperlink ref="A571" r:id="rId568" display="https://9607261.app.netsuite.com/app/reporting/reportrunner.nl?fromreport=320&amp;regtx,tranline,kacct,x,alltranline5,IN,x,x=950&amp;cr=293" xr:uid="{609F19A1-BB84-43DF-A8EA-D54396F4D330}"/>
    <hyperlink ref="A572" r:id="rId569" display="https://9607261.app.netsuite.com/app/reporting/reportrunner.nl?fromreport=320&amp;regtx,tranline,kacct,x,alltranline5,IN,x,x=950&amp;cr=293" xr:uid="{49CD4564-95FD-475F-8256-ED4776766647}"/>
    <hyperlink ref="A573" r:id="rId570" display="https://9607261.app.netsuite.com/app/reporting/reportrunner.nl?fromreport=320&amp;regtx,tranline,kacct,x,alltranline5,IN,x,x=950&amp;cr=293" xr:uid="{969E4E85-1949-49C9-8FFD-6B5D841B6FBD}"/>
    <hyperlink ref="A574" r:id="rId571" display="https://9607261.app.netsuite.com/app/reporting/reportrunner.nl?fromreport=320&amp;regtx,tranline,kacct,x,alltranline5,IN,x,x=950&amp;cr=293" xr:uid="{18A41340-92E5-4456-AFDB-A4A65F312922}"/>
    <hyperlink ref="A575" r:id="rId572" display="https://9607261.app.netsuite.com/app/reporting/reportrunner.nl?fromreport=320&amp;regtx,tranline,kacct,x,alltranline5,IN,x,x=950&amp;cr=293" xr:uid="{E34FD0CB-BADB-4219-8DC4-7A44DB7CE05B}"/>
    <hyperlink ref="A576" r:id="rId573" display="https://9607261.app.netsuite.com/app/reporting/reportrunner.nl?fromreport=320&amp;regtx,tranline,kacct,x,alltranline5,IN,x,x=950&amp;cr=293" xr:uid="{555DD398-1986-401C-BA5D-E9B1B74D1A26}"/>
    <hyperlink ref="A577" r:id="rId574" display="https://9607261.app.netsuite.com/app/reporting/reportrunner.nl?fromreport=320&amp;regtx,tranline,kacct,x,alltranline5,IN,x,x=950&amp;cr=293" xr:uid="{8B4387E4-FE19-4FBB-AE8E-84214D13A546}"/>
    <hyperlink ref="A578" r:id="rId575" display="https://9607261.app.netsuite.com/app/reporting/reportrunner.nl?fromreport=320&amp;regtx,tranline,kacct,x,alltranline5,IN,x,x=950&amp;cr=293" xr:uid="{EC80194F-3BDF-42F6-9011-2862B6FC2558}"/>
    <hyperlink ref="A579" r:id="rId576" display="https://9607261.app.netsuite.com/app/reporting/reportrunner.nl?fromreport=320&amp;regtx,tranline,kacct,x,alltranline5,IN,x,x=950&amp;cr=293" xr:uid="{50CE9276-E0BB-4C1F-9330-AD5F83DBC266}"/>
    <hyperlink ref="A580" r:id="rId577" display="https://9607261.app.netsuite.com/app/reporting/reportrunner.nl?fromreport=320&amp;regtx,tranline,kacct,x,alltranline5,IN,x,x=950&amp;cr=293" xr:uid="{F1071F83-3E16-432F-B819-585523860FE0}"/>
    <hyperlink ref="A581" r:id="rId578" display="https://9607261.app.netsuite.com/app/reporting/reportrunner.nl?fromreport=320&amp;regtx,tranline,kacct,x,alltranline5,IN,x,x=950&amp;cr=293" xr:uid="{DF4804E1-A8C3-450C-8411-ACD309A63352}"/>
    <hyperlink ref="A582" r:id="rId579" display="https://9607261.app.netsuite.com/app/reporting/reportrunner.nl?fromreport=320&amp;regtx,tranline,kacct,x,alltranline5,IN,x,x=950&amp;cr=293" xr:uid="{D9A98E84-5722-40F3-ACA5-58097398DB6D}"/>
    <hyperlink ref="A583" r:id="rId580" display="https://9607261.app.netsuite.com/app/reporting/reportrunner.nl?fromreport=320&amp;regtx,tranline,kacct,x,alltranline5,IN,x,x=950&amp;cr=293" xr:uid="{2FA98BF6-62A0-4ED0-97B2-4F1900C09CA5}"/>
    <hyperlink ref="A584" r:id="rId581" display="https://9607261.app.netsuite.com/app/reporting/reportrunner.nl?fromreport=320&amp;regtx,tranline,kacct,x,alltranline5,IN,x,x=950&amp;cr=293" xr:uid="{1AC1553E-93E6-4BBE-AC06-E319D625F14A}"/>
    <hyperlink ref="A585" r:id="rId582" display="https://9607261.app.netsuite.com/app/reporting/reportrunner.nl?fromreport=320&amp;regtx,tranline,kacct,x,alltranline5,IN,x,x=950&amp;cr=293" xr:uid="{B4E125C8-7A05-4917-BEEE-C4E2E9F063BA}"/>
    <hyperlink ref="A586" r:id="rId583" display="https://9607261.app.netsuite.com/app/reporting/reportrunner.nl?fromreport=320&amp;regtx,tranline,kacct,x,alltranline5,IN,x,x=950&amp;cr=293" xr:uid="{D10673CF-1679-464E-AA99-38EE7157907A}"/>
    <hyperlink ref="A587" r:id="rId584" display="https://9607261.app.netsuite.com/app/reporting/reportrunner.nl?fromreport=320&amp;regtx,tranline,kacct,x,alltranline5,IN,x,x=950&amp;cr=293" xr:uid="{3E1E6C47-9460-4829-8E72-DC8094A46CDF}"/>
    <hyperlink ref="A588" r:id="rId585" display="https://9607261.app.netsuite.com/app/reporting/reportrunner.nl?fromreport=320&amp;regtx,tranline,kacct,x,alltranline5,IN,x,x=950&amp;cr=293" xr:uid="{58BC438C-65BF-44B3-BD23-403508400292}"/>
    <hyperlink ref="A589" r:id="rId586" display="https://9607261.app.netsuite.com/app/reporting/reportrunner.nl?fromreport=320&amp;regtx,tranline,kacct,x,alltranline5,IN,x,x=950&amp;cr=293" xr:uid="{F9B86D70-F297-4A65-9BF2-CB373897F49E}"/>
    <hyperlink ref="A590" r:id="rId587" display="https://9607261.app.netsuite.com/app/reporting/reportrunner.nl?fromreport=320&amp;regtx,tranline,kacct,x,alltranline5,IN,x,x=950&amp;cr=293" xr:uid="{495411E0-2BAB-4DF3-B5AB-7AAC77FEF387}"/>
    <hyperlink ref="A591" r:id="rId588" display="https://9607261.app.netsuite.com/app/reporting/reportrunner.nl?fromreport=320&amp;regtx,tranline,kacct,x,alltranline5,IN,x,x=950&amp;cr=293" xr:uid="{7724F56C-C521-4F56-9FD5-8AFAC3117375}"/>
    <hyperlink ref="A592" r:id="rId589" display="https://9607261.app.netsuite.com/app/reporting/reportrunner.nl?fromreport=320&amp;regtx,tranline,kacct,x,alltranline5,IN,x,x=950&amp;cr=293" xr:uid="{8AD46FDF-61CE-4454-AC36-D813113FB5A1}"/>
    <hyperlink ref="A593" r:id="rId590" display="https://9607261.app.netsuite.com/app/reporting/reportrunner.nl?fromreport=320&amp;regtx,tranline,kacct,x,alltranline5,IN,x,x=950&amp;cr=293" xr:uid="{895FF5B9-1D13-487E-97DE-C87E2C55562F}"/>
    <hyperlink ref="A594" r:id="rId591" display="https://9607261.app.netsuite.com/app/reporting/reportrunner.nl?fromreport=320&amp;regtx,tranline,kacct,x,alltranline5,IN,x,x=950&amp;cr=293" xr:uid="{78FD5F26-164E-4307-961D-F803407F9CAA}"/>
    <hyperlink ref="A595" r:id="rId592" display="https://9607261.app.netsuite.com/app/reporting/reportrunner.nl?fromreport=320&amp;regtx,tranline,kacct,x,alltranline5,IN,x,x=950&amp;cr=293" xr:uid="{5B00F64F-C022-4A03-A35F-3C63ED8718A8}"/>
    <hyperlink ref="A596" r:id="rId593" display="https://9607261.app.netsuite.com/app/reporting/reportrunner.nl?fromreport=320&amp;regtx,tranline,kacct,x,alltranline5,IN,x,x=950&amp;cr=293" xr:uid="{706C6CEA-2B70-4B0C-BB8F-E6CAC6673687}"/>
    <hyperlink ref="A597" r:id="rId594" display="https://9607261.app.netsuite.com/app/reporting/reportrunner.nl?fromreport=320&amp;regtx,tranline,kacct,x,alltranline5,IN,x,x=950&amp;cr=293" xr:uid="{C7EBA97B-3D0D-4600-863D-02BBE7E6CB0C}"/>
    <hyperlink ref="A598" r:id="rId595" display="https://9607261.app.netsuite.com/app/reporting/reportrunner.nl?fromreport=320&amp;regtx,tranline,kacct,x,alltranline5,IN,x,x=950&amp;cr=293" xr:uid="{9F8DE72E-EEE3-4352-8B65-093BC6A50E5B}"/>
    <hyperlink ref="A599" r:id="rId596" display="https://9607261.app.netsuite.com/app/reporting/reportrunner.nl?fromreport=320&amp;regtx,tranline,kacct,x,alltranline5,IN,x,x=950&amp;cr=293" xr:uid="{0D88468E-3B32-4DB9-ACF6-D90974C5F125}"/>
    <hyperlink ref="A600" r:id="rId597" display="https://9607261.app.netsuite.com/app/reporting/reportrunner.nl?fromreport=320&amp;regtx,tranline,kacct,x,alltranline5,IN,x,x=950&amp;cr=293" xr:uid="{AE0AF2EF-151F-42E7-AB72-061F7CD1AF7A}"/>
    <hyperlink ref="A601" r:id="rId598" display="https://9607261.app.netsuite.com/app/reporting/reportrunner.nl?fromreport=320&amp;regtx,tranline,kacct,x,alltranline5,IN,x,x=950&amp;cr=293" xr:uid="{D005022B-1916-4C84-9546-CE4FBBA025B7}"/>
    <hyperlink ref="A602" r:id="rId599" display="https://9607261.app.netsuite.com/app/reporting/reportrunner.nl?fromreport=320&amp;regtx,tranline,kacct,x,alltranline5,IN,x,x=950&amp;cr=293" xr:uid="{6E1ECD58-CD36-4283-AF82-41F14B4D4E2A}"/>
    <hyperlink ref="A603" r:id="rId600" display="https://9607261.app.netsuite.com/app/reporting/reportrunner.nl?fromreport=320&amp;regtx,tranline,kacct,x,alltranline5,IN,x,x=950&amp;cr=293" xr:uid="{2A0EC1E5-1AEB-4B62-ADE5-98ABD18AD77F}"/>
    <hyperlink ref="A604" r:id="rId601" display="https://9607261.app.netsuite.com/app/reporting/reportrunner.nl?fromreport=320&amp;regtx,tranline,kacct,x,alltranline5,IN,x,x=950&amp;cr=293" xr:uid="{D55EFF1C-7ACC-425B-A8BD-E76EAD9D3741}"/>
    <hyperlink ref="A605" r:id="rId602" display="https://9607261.app.netsuite.com/app/reporting/reportrunner.nl?fromreport=320&amp;regtx,tranline,kacct,x,alltranline5,IN,x,x=950&amp;cr=293" xr:uid="{F63F7A2A-3362-4CE1-A195-41242DA62177}"/>
    <hyperlink ref="A606" r:id="rId603" display="https://9607261.app.netsuite.com/app/reporting/reportrunner.nl?fromreport=320&amp;regtx,tranline,kacct,x,alltranline5,IN,x,x=950&amp;cr=293" xr:uid="{3EF98E4B-1A6F-4316-9E25-7F82DABC5E8D}"/>
    <hyperlink ref="A607" r:id="rId604" display="https://9607261.app.netsuite.com/app/reporting/reportrunner.nl?fromreport=320&amp;regtx,tranline,kacct,x,alltranline5,IN,x,x=950&amp;cr=293" xr:uid="{8B628027-56A3-4A72-A699-B3811F469F0A}"/>
    <hyperlink ref="A608" r:id="rId605" display="https://9607261.app.netsuite.com/app/reporting/reportrunner.nl?fromreport=320&amp;regtx,tranline,kacct,x,alltranline5,IN,x,x=950&amp;cr=293" xr:uid="{75F33972-74C7-4268-9504-56B4F8C79A2D}"/>
    <hyperlink ref="A609" r:id="rId606" display="https://9607261.app.netsuite.com/app/reporting/reportrunner.nl?fromreport=320&amp;regtx,tranline,kacct,x,alltranline5,IN,x,x=950&amp;cr=293" xr:uid="{ECE6E201-5FB2-4BD9-968A-AB902ADBFCDF}"/>
    <hyperlink ref="A610" r:id="rId607" display="https://9607261.app.netsuite.com/app/reporting/reportrunner.nl?fromreport=320&amp;regtx,tranline,kacct,x,alltranline5,IN,x,x=950&amp;cr=293" xr:uid="{04D9D174-E493-45EE-8133-72F0A7B0B4DB}"/>
    <hyperlink ref="A611" r:id="rId608" display="https://9607261.app.netsuite.com/app/reporting/reportrunner.nl?fromreport=320&amp;regtx,tranline,kacct,x,alltranline5,IN,x,x=950&amp;cr=293" xr:uid="{425395AF-FD93-4032-8278-1EF97A8AB167}"/>
    <hyperlink ref="A612" r:id="rId609" display="https://9607261.app.netsuite.com/app/reporting/reportrunner.nl?fromreport=320&amp;regtx,tranline,kacct,x,alltranline5,IN,x,x=950&amp;cr=293" xr:uid="{A3509915-E6B3-4ECE-80D9-F1F0EFFD0288}"/>
    <hyperlink ref="A613" r:id="rId610" display="https://9607261.app.netsuite.com/app/reporting/reportrunner.nl?fromreport=320&amp;regtx,tranline,kacct,x,alltranline5,IN,x,x=950&amp;cr=293" xr:uid="{77A6F510-E80E-433D-B448-95CEE9C8C92F}"/>
    <hyperlink ref="A614" r:id="rId611" display="https://9607261.app.netsuite.com/app/reporting/reportrunner.nl?fromreport=320&amp;regtx,tranline,kacct,x,alltranline5,IN,x,x=950&amp;cr=293" xr:uid="{B7C9D115-B2C5-405A-9565-7CE53BA6119E}"/>
    <hyperlink ref="A615" r:id="rId612" display="https://9607261.app.netsuite.com/app/reporting/reportrunner.nl?fromreport=320&amp;regtx,tranline,kacct,x,alltranline5,IN,x,x=950&amp;cr=293" xr:uid="{A3F86F19-A2AC-45F7-A66C-F767C0479795}"/>
    <hyperlink ref="A616" r:id="rId613" display="https://9607261.app.netsuite.com/app/reporting/reportrunner.nl?fromreport=320&amp;regtx,tranline,kacct,x,alltranline5,IN,x,x=950&amp;cr=293" xr:uid="{DDD24F27-6D77-4E03-B055-766313CA15BC}"/>
    <hyperlink ref="A617" r:id="rId614" display="https://9607261.app.netsuite.com/app/reporting/reportrunner.nl?fromreport=320&amp;regtx,tranline,kacct,x,alltranline5,IN,x,x=950&amp;cr=293" xr:uid="{A72FAEE5-D8E9-480A-9FAA-2ACC39010B87}"/>
    <hyperlink ref="A618" r:id="rId615" display="https://9607261.app.netsuite.com/app/reporting/reportrunner.nl?fromreport=320&amp;regtx,tranline,kacct,x,alltranline5,IN,x,x=950&amp;cr=293" xr:uid="{84297043-7849-4CCF-80E2-7947A71358A5}"/>
    <hyperlink ref="A619" r:id="rId616" display="https://9607261.app.netsuite.com/app/reporting/reportrunner.nl?fromreport=320&amp;regtx,tranline,kacct,x,alltranline5,IN,x,x=950&amp;cr=293" xr:uid="{9CD89487-ECCF-4CAD-BFA0-529B0B3845C8}"/>
    <hyperlink ref="A620" r:id="rId617" display="https://9607261.app.netsuite.com/app/reporting/reportrunner.nl?fromreport=320&amp;regtx,tranline,kacct,x,alltranline5,IN,x,x=950&amp;cr=293" xr:uid="{B225A298-930D-45EA-A87A-B3867C605A21}"/>
    <hyperlink ref="A621" r:id="rId618" display="https://9607261.app.netsuite.com/app/reporting/reportrunner.nl?fromreport=320&amp;regtx,tranline,kacct,x,alltranline5,IN,x,x=950&amp;cr=293" xr:uid="{6799F1AF-6D78-431B-869F-E66304F37EF6}"/>
    <hyperlink ref="A622" r:id="rId619" display="https://9607261.app.netsuite.com/app/reporting/reportrunner.nl?fromreport=320&amp;regtx,tranline,kacct,x,alltranline5,IN,x,x=950&amp;cr=293" xr:uid="{1393C991-9A47-4F51-9195-EFEA4CA795EA}"/>
    <hyperlink ref="A623" r:id="rId620" display="https://9607261.app.netsuite.com/app/reporting/reportrunner.nl?fromreport=320&amp;regtx,tranline,kacct,x,alltranline5,IN,x,x=950&amp;cr=293" xr:uid="{3E827D19-006D-4375-8A3B-5B312275358D}"/>
    <hyperlink ref="A624" r:id="rId621" display="https://9607261.app.netsuite.com/app/reporting/reportrunner.nl?fromreport=320&amp;regtx,tranline,kacct,x,alltranline5,IN,x,x=950&amp;cr=293" xr:uid="{EAA48245-EAED-4BBC-9D65-E34EA383D3E8}"/>
    <hyperlink ref="A625" r:id="rId622" display="https://9607261.app.netsuite.com/app/reporting/reportrunner.nl?fromreport=320&amp;regtx,tranline,kacct,x,alltranline5,IN,x,x=950&amp;cr=293" xr:uid="{24130270-D0F0-49A9-9FC9-240024810628}"/>
    <hyperlink ref="A626" r:id="rId623" display="https://9607261.app.netsuite.com/app/reporting/reportrunner.nl?fromreport=320&amp;regtx,tranline,kacct,x,alltranline5,IN,x,x=950&amp;cr=293" xr:uid="{A1E32AFF-3A7C-4116-8AC5-558A27613699}"/>
    <hyperlink ref="A627" r:id="rId624" display="https://9607261.app.netsuite.com/app/reporting/reportrunner.nl?fromreport=320&amp;regtx,tranline,kacct,x,alltranline5,IN,x,x=950&amp;cr=293" xr:uid="{CB7BE57E-C48E-4279-8CD7-0EE82B181734}"/>
    <hyperlink ref="A628" r:id="rId625" display="https://9607261.app.netsuite.com/app/reporting/reportrunner.nl?fromreport=320&amp;regtx,tranline,kacct,x,alltranline5,IN,x,x=950&amp;cr=293" xr:uid="{4D6B986D-92C4-43AF-8502-08EB62463AEA}"/>
    <hyperlink ref="A629" r:id="rId626" display="https://9607261.app.netsuite.com/app/reporting/reportrunner.nl?fromreport=320&amp;regtx,tranline,kacct,x,alltranline5,IN,x,x=950&amp;cr=293" xr:uid="{B5E6841E-8D87-47FE-9370-45459AB759FF}"/>
    <hyperlink ref="A630" r:id="rId627" display="https://9607261.app.netsuite.com/app/reporting/reportrunner.nl?fromreport=320&amp;regtx,tranline,kacct,x,alltranline5,IN,x,x=950&amp;cr=293" xr:uid="{275F29AF-7FDA-4C3F-B339-AF75373DF4E5}"/>
    <hyperlink ref="A631" r:id="rId628" display="https://9607261.app.netsuite.com/app/reporting/reportrunner.nl?fromreport=320&amp;regtx,tranline,kacct,x,alltranline5,IN,x,x=950&amp;cr=293" xr:uid="{4A067F54-B813-4CFA-AE70-F9D31472B913}"/>
    <hyperlink ref="A632" r:id="rId629" display="https://9607261.app.netsuite.com/app/reporting/reportrunner.nl?fromreport=320&amp;regtx,tranline,kacct,x,alltranline5,IN,x,x=950&amp;cr=293" xr:uid="{366904C8-3E1F-4AE1-935D-C316EB7DD232}"/>
    <hyperlink ref="A633" r:id="rId630" display="https://9607261.app.netsuite.com/app/reporting/reportrunner.nl?fromreport=320&amp;regtx,tranline,kacct,x,alltranline5,IN,x,x=950&amp;cr=293" xr:uid="{44E0B3FE-6883-414D-9D90-213CFA7652F1}"/>
    <hyperlink ref="A634" r:id="rId631" display="https://9607261.app.netsuite.com/app/reporting/reportrunner.nl?fromreport=320&amp;regtx,tranline,kacct,x,alltranline5,IN,x,x=950&amp;cr=293" xr:uid="{BC4F24E6-6085-40E0-89FE-1D24D9D4A94D}"/>
    <hyperlink ref="A635" r:id="rId632" display="https://9607261.app.netsuite.com/app/reporting/reportrunner.nl?fromreport=320&amp;regtx,tranline,kacct,x,alltranline5,IN,x,x=950&amp;cr=293" xr:uid="{FC268BB7-4659-40D6-8BDA-913225695545}"/>
    <hyperlink ref="A636" r:id="rId633" display="https://9607261.app.netsuite.com/app/reporting/reportrunner.nl?fromreport=320&amp;regtx,tranline,kacct,x,alltranline5,IN,x,x=950&amp;cr=293" xr:uid="{C9483693-281C-4B73-9547-50EC3C98DA34}"/>
    <hyperlink ref="A637" r:id="rId634" display="https://9607261.app.netsuite.com/app/reporting/reportrunner.nl?fromreport=320&amp;regtx,tranline,kacct,x,alltranline5,IN,x,x=950&amp;cr=293" xr:uid="{83F1BFD8-AA44-438F-889E-1DA2AF8E4862}"/>
    <hyperlink ref="A638" r:id="rId635" display="https://9607261.app.netsuite.com/app/reporting/reportrunner.nl?fromreport=320&amp;regtx,tranline,kacct,x,alltranline5,IN,x,x=950&amp;cr=293" xr:uid="{EE2E2BB7-FE94-4E00-97B2-A1E40A1CD214}"/>
    <hyperlink ref="A639" r:id="rId636" display="https://9607261.app.netsuite.com/app/reporting/reportrunner.nl?fromreport=320&amp;regtx,tranline,kacct,x,alltranline5,IN,x,x=950&amp;cr=293" xr:uid="{D08500B4-5502-4439-9474-CD0D654FE6E6}"/>
    <hyperlink ref="A640" r:id="rId637" display="https://9607261.app.netsuite.com/app/reporting/reportrunner.nl?fromreport=320&amp;regtx,tranline,kacct,x,alltranline5,IN,x,x=950&amp;cr=293" xr:uid="{55564E0B-DBD4-4CA7-ABC2-4202BB7B325A}"/>
    <hyperlink ref="A641" r:id="rId638" display="https://9607261.app.netsuite.com/app/reporting/reportrunner.nl?fromreport=320&amp;regtx,tranline,kacct,x,alltranline5,IN,x,x=950&amp;cr=293" xr:uid="{204044CC-01C8-4454-8848-0858921952A6}"/>
    <hyperlink ref="A642" r:id="rId639" display="https://9607261.app.netsuite.com/app/reporting/reportrunner.nl?fromreport=320&amp;regtx,tranline,kacct,x,alltranline5,IN,x,x=950&amp;cr=293" xr:uid="{6FF661BE-BD33-4BF2-9D3B-50477D8E2FC7}"/>
    <hyperlink ref="A643" r:id="rId640" display="https://9607261.app.netsuite.com/app/reporting/reportrunner.nl?fromreport=320&amp;regtx,tranline,kacct,x,alltranline5,IN,x,x=950&amp;cr=293" xr:uid="{9BBA4AD3-B29F-4A8B-9DE9-F1F2290C6775}"/>
    <hyperlink ref="A644" r:id="rId641" display="https://9607261.app.netsuite.com/app/reporting/reportrunner.nl?fromreport=320&amp;regtx,tranline,kacct,x,alltranline5,IN,x,x=950&amp;cr=293" xr:uid="{2C3DA422-8320-4A91-9E05-EDDEB30620BB}"/>
    <hyperlink ref="A645" r:id="rId642" display="https://9607261.app.netsuite.com/app/reporting/reportrunner.nl?fromreport=320&amp;regtx,tranline,kacct,x,alltranline5,IN,x,x=950&amp;cr=293" xr:uid="{179BABD6-F33E-4896-AF22-727DB81E2CEA}"/>
    <hyperlink ref="A646" r:id="rId643" display="https://9607261.app.netsuite.com/app/reporting/reportrunner.nl?fromreport=320&amp;regtx,tranline,kacct,x,alltranline5,IN,x,x=950&amp;cr=293" xr:uid="{734621E6-6328-40B6-8ED4-50E35C46DA09}"/>
    <hyperlink ref="A647" r:id="rId644" display="https://9607261.app.netsuite.com/app/reporting/reportrunner.nl?fromreport=320&amp;regtx,tranline,kacct,x,alltranline5,IN,x,x=950&amp;cr=293" xr:uid="{9059CB6D-53DD-4765-B243-88A5E11A58B4}"/>
    <hyperlink ref="A648" r:id="rId645" display="https://9607261.app.netsuite.com/app/reporting/reportrunner.nl?fromreport=320&amp;regtx,tranline,kacct,x,alltranline5,IN,x,x=950&amp;cr=293" xr:uid="{B811A5E1-D235-4235-A605-4202305C44A5}"/>
    <hyperlink ref="A649" r:id="rId646" display="https://9607261.app.netsuite.com/app/reporting/reportrunner.nl?fromreport=320&amp;regtx,tranline,kacct,x,alltranline5,IN,x,x=950&amp;cr=293" xr:uid="{72D95694-2AA6-4B18-AB2A-C8F4D7B808D3}"/>
    <hyperlink ref="A650" r:id="rId647" display="https://9607261.app.netsuite.com/app/reporting/reportrunner.nl?fromreport=320&amp;regtx,tranline,kacct,x,alltranline5,IN,x,x=950&amp;cr=293" xr:uid="{C2C0B7AA-C47C-4B7F-917D-EBEC16C14FCC}"/>
    <hyperlink ref="A651" r:id="rId648" display="https://9607261.app.netsuite.com/app/reporting/reportrunner.nl?fromreport=320&amp;regtx,tranline,kacct,x,alltranline5,IN,x,x=950&amp;cr=293" xr:uid="{C9F87EBF-1BF7-431B-9F07-CA0338F4D02B}"/>
    <hyperlink ref="A652" r:id="rId649" display="https://9607261.app.netsuite.com/app/reporting/reportrunner.nl?fromreport=320&amp;regtx,tranline,kacct,x,alltranline5,IN,x,x=950&amp;cr=293" xr:uid="{2D73A85C-999C-4823-9A70-A336EC00972A}"/>
    <hyperlink ref="A653" r:id="rId650" display="https://9607261.app.netsuite.com/app/reporting/reportrunner.nl?fromreport=320&amp;regtx,tranline,kacct,x,alltranline5,IN,x,x=950&amp;cr=293" xr:uid="{5AF0B3F3-CFEB-4A81-8D24-FA0C5C271CA5}"/>
    <hyperlink ref="A654" r:id="rId651" display="https://9607261.app.netsuite.com/app/reporting/reportrunner.nl?fromreport=320&amp;regtx,tranline,kacct,x,alltranline5,IN,x,x=950&amp;cr=293" xr:uid="{DCF76B12-5B37-45AE-8FAF-B8F0955E4D92}"/>
    <hyperlink ref="A655" r:id="rId652" display="https://9607261.app.netsuite.com/app/reporting/reportrunner.nl?fromreport=320&amp;regtx,tranline,kacct,x,alltranline5,IN,x,x=950&amp;cr=293" xr:uid="{7573B4D8-66FC-487A-A2AF-4D2605D11C32}"/>
    <hyperlink ref="A656" r:id="rId653" display="https://9607261.app.netsuite.com/app/reporting/reportrunner.nl?fromreport=320&amp;regtx,tranline,kacct,x,alltranline5,IN,x,x=950&amp;cr=293" xr:uid="{C01B294D-2ECA-4CF9-A359-A63C79203027}"/>
    <hyperlink ref="A657" r:id="rId654" display="https://9607261.app.netsuite.com/app/reporting/reportrunner.nl?fromreport=320&amp;regtx,tranline,kacct,x,alltranline5,IN,x,x=950&amp;cr=293" xr:uid="{CDBB3535-7EE9-41F2-882C-BF988192930F}"/>
    <hyperlink ref="A658" r:id="rId655" display="https://9607261.app.netsuite.com/app/reporting/reportrunner.nl?fromreport=320&amp;regtx,tranline,kacct,x,alltranline5,IN,x,x=950&amp;cr=293" xr:uid="{9033D9FA-F009-42B3-A60E-E769D0D2FC69}"/>
    <hyperlink ref="A659" r:id="rId656" display="https://9607261.app.netsuite.com/app/reporting/reportrunner.nl?fromreport=320&amp;regtx,tranline,kacct,x,alltranline5,IN,x,x=950&amp;cr=293" xr:uid="{16BD25D7-A2E0-499E-99E6-015C2060D232}"/>
    <hyperlink ref="A660" r:id="rId657" display="https://9607261.app.netsuite.com/app/reporting/reportrunner.nl?fromreport=320&amp;regtx,tranline,kacct,x,alltranline5,IN,x,x=950&amp;cr=293" xr:uid="{419DBF51-0E3D-407B-97CE-DB35DFA64CE5}"/>
    <hyperlink ref="A661" r:id="rId658" display="https://9607261.app.netsuite.com/app/reporting/reportrunner.nl?fromreport=320&amp;regtx,tranline,kacct,x,alltranline5,IN,x,x=950&amp;cr=293" xr:uid="{30AB2E08-4604-470A-A8BE-801029BDE53F}"/>
    <hyperlink ref="A662" r:id="rId659" display="https://9607261.app.netsuite.com/app/reporting/reportrunner.nl?fromreport=320&amp;regtx,tranline,kacct,x,alltranline5,IN,x,x=950&amp;cr=293" xr:uid="{43C0BD17-2B42-42C5-BB63-A492782180DC}"/>
    <hyperlink ref="A663" r:id="rId660" display="https://9607261.app.netsuite.com/app/reporting/reportrunner.nl?fromreport=320&amp;regtx,tranline,kacct,x,alltranline5,IN,x,x=950&amp;cr=293" xr:uid="{763FD471-0E0B-4919-ABEF-8745B004E6B4}"/>
    <hyperlink ref="A664" r:id="rId661" display="https://9607261.app.netsuite.com/app/reporting/reportrunner.nl?fromreport=320&amp;regtx,tranline,kacct,x,alltranline5,IN,x,x=950&amp;cr=293" xr:uid="{1573688F-83B8-43A1-B0DF-7E75F666FEA6}"/>
    <hyperlink ref="A665" r:id="rId662" display="https://9607261.app.netsuite.com/app/reporting/reportrunner.nl?fromreport=320&amp;regtx,tranline,kacct,x,alltranline5,IN,x,x=950&amp;cr=293" xr:uid="{51E455A0-D12B-43FE-A1FF-61443905230F}"/>
    <hyperlink ref="A666" r:id="rId663" display="https://9607261.app.netsuite.com/app/reporting/reportrunner.nl?fromreport=320&amp;regtx,tranline,kacct,x,alltranline5,IN,x,x=950&amp;cr=293" xr:uid="{6E80CE15-5802-476F-BC2D-2D81E90604E1}"/>
    <hyperlink ref="A667" r:id="rId664" display="https://9607261.app.netsuite.com/app/reporting/reportrunner.nl?fromreport=320&amp;regtx,tranline,kacct,x,alltranline5,IN,x,x=950&amp;cr=293" xr:uid="{C6D414C4-1304-42D5-9D8E-DB6B754B4714}"/>
    <hyperlink ref="A668" r:id="rId665" display="https://9607261.app.netsuite.com/app/reporting/reportrunner.nl?fromreport=320&amp;regtx,tranline,kacct,x,alltranline5,IN,x,x=950&amp;cr=293" xr:uid="{67D446D5-8378-4EF5-ACC1-980C7EEAEECD}"/>
    <hyperlink ref="A669" r:id="rId666" display="https://9607261.app.netsuite.com/app/reporting/reportrunner.nl?fromreport=320&amp;regtx,tranline,kacct,x,alltranline5,IN,x,x=950&amp;cr=293" xr:uid="{E158B2DE-508F-4902-B969-3A775FBA6C6E}"/>
    <hyperlink ref="A670" r:id="rId667" display="https://9607261.app.netsuite.com/app/reporting/reportrunner.nl?fromreport=320&amp;regtx,tranline,kacct,x,alltranline5,IN,x,x=950&amp;cr=293" xr:uid="{0A5FAE1E-1DBE-48E1-B237-15F4F1F2043D}"/>
    <hyperlink ref="A671" r:id="rId668" display="https://9607261.app.netsuite.com/app/reporting/reportrunner.nl?fromreport=320&amp;regtx,tranline,kacct,x,alltranline5,IN,x,x=950&amp;cr=293" xr:uid="{1EE54687-3334-4124-B593-9EF5EB3955C7}"/>
    <hyperlink ref="A672" r:id="rId669" display="https://9607261.app.netsuite.com/app/reporting/reportrunner.nl?fromreport=320&amp;regtx,tranline,kacct,x,alltranline5,IN,x,x=950&amp;cr=293" xr:uid="{2FD30233-B41F-4E48-B4FE-B358E76BDE80}"/>
    <hyperlink ref="A673" r:id="rId670" display="https://9607261.app.netsuite.com/app/reporting/reportrunner.nl?fromreport=320&amp;regtx,tranline,kacct,x,alltranline5,IN,x,x=950&amp;cr=293" xr:uid="{80C62428-57A6-4EC2-8E0E-5AA882DDF8C5}"/>
    <hyperlink ref="A674" r:id="rId671" display="https://9607261.app.netsuite.com/app/reporting/reportrunner.nl?fromreport=320&amp;regtx,tranline,kacct,x,alltranline5,IN,x,x=950&amp;cr=293" xr:uid="{71323491-BC88-443A-BD70-9CED4B9E5DB6}"/>
    <hyperlink ref="A675" r:id="rId672" display="https://9607261.app.netsuite.com/app/reporting/reportrunner.nl?fromreport=320&amp;regtx,tranline,kacct,x,alltranline5,IN,x,x=950&amp;cr=293" xr:uid="{34FC2E13-711B-4B11-BB5A-A46247F434E5}"/>
    <hyperlink ref="A676" r:id="rId673" display="https://9607261.app.netsuite.com/app/reporting/reportrunner.nl?fromreport=320&amp;regtx,tranline,kacct,x,alltranline5,IN,x,x=950&amp;cr=293" xr:uid="{EFAF0F50-F16E-47EC-93F7-B204A995E57F}"/>
    <hyperlink ref="A677" r:id="rId674" display="https://9607261.app.netsuite.com/app/reporting/reportrunner.nl?fromreport=320&amp;regtx,tranline,kacct,x,alltranline5,IN,x,x=950&amp;cr=293" xr:uid="{F18BF159-A0E8-45A7-84A7-7F8332242D80}"/>
    <hyperlink ref="A678" r:id="rId675" display="https://9607261.app.netsuite.com/app/reporting/reportrunner.nl?fromreport=320&amp;regtx,tranline,kacct,x,alltranline5,IN,x,x=950&amp;cr=293" xr:uid="{F8500AC2-C5DE-4F01-ACED-105A20BBFBC4}"/>
    <hyperlink ref="A679" r:id="rId676" display="https://9607261.app.netsuite.com/app/reporting/reportrunner.nl?fromreport=320&amp;regtx,tranline,kacct,x,alltranline5,IN,x,x=950&amp;cr=293" xr:uid="{73E4B099-171E-45F5-9D7C-6D3C7181ADFB}"/>
    <hyperlink ref="A680" r:id="rId677" display="https://9607261.app.netsuite.com/app/reporting/reportrunner.nl?fromreport=320&amp;regtx,tranline,kacct,x,alltranline5,IN,x,x=950&amp;cr=293" xr:uid="{724445FF-B83D-43A7-BDC1-62A0F148E8D6}"/>
    <hyperlink ref="A681" r:id="rId678" display="https://9607261.app.netsuite.com/app/reporting/reportrunner.nl?fromreport=320&amp;regtx,tranline,kacct,x,alltranline5,IN,x,x=950&amp;cr=293" xr:uid="{3BE43712-CED9-46D1-BF6F-6B3F4D477B2E}"/>
    <hyperlink ref="A682" r:id="rId679" display="https://9607261.app.netsuite.com/app/reporting/reportrunner.nl?fromreport=320&amp;regtx,tranline,kacct,x,alltranline5,IN,x,x=950&amp;cr=293" xr:uid="{ADF3F5F5-80F8-49A5-A231-197F02AFF499}"/>
    <hyperlink ref="A683" r:id="rId680" display="https://9607261.app.netsuite.com/app/reporting/reportrunner.nl?fromreport=320&amp;regtx,tranline,kacct,x,alltranline5,IN,x,x=950&amp;cr=293" xr:uid="{3E1497DB-3CB1-49C5-BC11-434FFB794AF2}"/>
    <hyperlink ref="A684" r:id="rId681" display="https://9607261.app.netsuite.com/app/reporting/reportrunner.nl?fromreport=320&amp;regtx,tranline,kacct,x,alltranline5,IN,x,x=950&amp;cr=293" xr:uid="{53F1F186-D902-42E0-84F9-06A15929155D}"/>
    <hyperlink ref="A685" r:id="rId682" display="https://9607261.app.netsuite.com/app/reporting/reportrunner.nl?fromreport=320&amp;regtx,tranline,kacct,x,alltranline5,IN,x,x=950&amp;cr=293" xr:uid="{8FA752CC-85B8-415C-B051-A732603F39C6}"/>
    <hyperlink ref="A686" r:id="rId683" display="https://9607261.app.netsuite.com/app/reporting/reportrunner.nl?fromreport=320&amp;regtx,tranline,kacct,x,alltranline5,IN,x,x=950&amp;cr=293" xr:uid="{E8CAA07B-AE87-4341-8B47-1A7E0ABD794F}"/>
    <hyperlink ref="A687" r:id="rId684" display="https://9607261.app.netsuite.com/app/reporting/reportrunner.nl?fromreport=320&amp;regtx,tranline,kacct,x,alltranline5,IN,x,x=950&amp;cr=293" xr:uid="{7E34F0A7-954D-481C-BF6D-B522D6338191}"/>
    <hyperlink ref="A688" r:id="rId685" display="https://9607261.app.netsuite.com/app/reporting/reportrunner.nl?fromreport=320&amp;regtx,tranline,kacct,x,alltranline5,IN,x,x=950&amp;cr=293" xr:uid="{AF3DBD38-1BD5-4C97-AE04-EA0719E3AF4B}"/>
    <hyperlink ref="A689" r:id="rId686" display="https://9607261.app.netsuite.com/app/reporting/reportrunner.nl?fromreport=320&amp;regtx,tranline,kacct,x,alltranline5,IN,x,x=950&amp;cr=293" xr:uid="{9555CE2D-27D5-4C6D-9982-A98A837584E4}"/>
    <hyperlink ref="A690" r:id="rId687" display="https://9607261.app.netsuite.com/app/reporting/reportrunner.nl?fromreport=320&amp;regtx,tranline,kacct,x,alltranline5,IN,x,x=950&amp;cr=293" xr:uid="{E84D4A7B-E8BD-4BD4-98C4-A927BADABDC5}"/>
    <hyperlink ref="A691" r:id="rId688" display="https://9607261.app.netsuite.com/app/reporting/reportrunner.nl?fromreport=320&amp;regtx,tranline,kacct,x,alltranline5,IN,x,x=950&amp;cr=293" xr:uid="{494C41CA-7250-4F18-A254-76582EDB5420}"/>
    <hyperlink ref="A692" r:id="rId689" display="https://9607261.app.netsuite.com/app/reporting/reportrunner.nl?fromreport=320&amp;regtx,tranline,kacct,x,alltranline5,IN,x,x=950&amp;cr=293" xr:uid="{0596B2D3-801E-420A-ACA9-D2BFCB7E167A}"/>
    <hyperlink ref="A693" r:id="rId690" display="https://9607261.app.netsuite.com/app/reporting/reportrunner.nl?fromreport=320&amp;regtx,tranline,kacct,x,alltranline5,IN,x,x=950&amp;cr=293" xr:uid="{76A6E805-C8A1-43D3-AFFF-36DF1CD26286}"/>
    <hyperlink ref="A694" r:id="rId691" display="https://9607261.app.netsuite.com/app/reporting/reportrunner.nl?fromreport=320&amp;regtx,tranline,kacct,x,alltranline5,IN,x,x=950&amp;cr=293" xr:uid="{7C80F10C-4CD4-4E52-8684-85CA49FB4E1E}"/>
    <hyperlink ref="A695" r:id="rId692" display="https://9607261.app.netsuite.com/app/reporting/reportrunner.nl?fromreport=320&amp;regtx,tranline,kacct,x,alltranline5,IN,x,x=950&amp;cr=293" xr:uid="{A2244997-902F-4F43-AB71-F417A5576BE7}"/>
    <hyperlink ref="A696" r:id="rId693" display="https://9607261.app.netsuite.com/app/reporting/reportrunner.nl?fromreport=320&amp;regtx,tranline,kacct,x,alltranline5,IN,x,x=950&amp;cr=293" xr:uid="{FB18B100-A3AC-420C-88F1-798DDEB77F3B}"/>
    <hyperlink ref="A697" r:id="rId694" display="https://9607261.app.netsuite.com/app/reporting/reportrunner.nl?fromreport=320&amp;regtx,tranline,kacct,x,alltranline5,IN,x,x=950&amp;cr=293" xr:uid="{B5AF30A2-28A6-4363-8E64-DF7AD176BAB4}"/>
    <hyperlink ref="A698" r:id="rId695" display="https://9607261.app.netsuite.com/app/reporting/reportrunner.nl?fromreport=320&amp;regtx,tranline,kacct,x,alltranline5,IN,x,x=950&amp;cr=293" xr:uid="{19C023DA-6E9E-491F-9762-67677119F1F9}"/>
    <hyperlink ref="A699" r:id="rId696" display="https://9607261.app.netsuite.com/app/reporting/reportrunner.nl?fromreport=320&amp;regtx,tranline,kacct,x,alltranline5,IN,x,x=950&amp;cr=293" xr:uid="{4B7AB7A8-3CEB-42AA-867F-EF42CCD40172}"/>
    <hyperlink ref="A700" r:id="rId697" display="https://9607261.app.netsuite.com/app/reporting/reportrunner.nl?fromreport=320&amp;regtx,tranline,kacct,x,alltranline5,IN,x,x=950&amp;cr=293" xr:uid="{265AF116-902C-446E-BBE6-B6828AFAC311}"/>
    <hyperlink ref="A701" r:id="rId698" display="https://9607261.app.netsuite.com/app/reporting/reportrunner.nl?fromreport=320&amp;regtx,tranline,kacct,x,alltranline5,IN,x,x=950&amp;cr=293" xr:uid="{FC4B1514-EB64-49B0-8F80-0ADF6A30DE75}"/>
    <hyperlink ref="A702" r:id="rId699" display="https://9607261.app.netsuite.com/app/reporting/reportrunner.nl?fromreport=320&amp;regtx,tranline,kacct,x,alltranline5,IN,x,x=950&amp;cr=293" xr:uid="{0B377F26-6609-4004-906E-8AA5944AF627}"/>
    <hyperlink ref="A703" r:id="rId700" display="https://9607261.app.netsuite.com/app/reporting/reportrunner.nl?fromreport=320&amp;regtx,tranline,kacct,x,alltranline5,IN,x,x=950&amp;cr=293" xr:uid="{69BE6128-B772-4D1F-A2F4-E9922DCFDC68}"/>
    <hyperlink ref="A704" r:id="rId701" display="https://9607261.app.netsuite.com/app/reporting/reportrunner.nl?fromreport=320&amp;regtx,tranline,kacct,x,alltranline5,IN,x,x=950&amp;cr=293" xr:uid="{4CE7AD0A-CDD8-4FCD-8972-D50B1152665E}"/>
    <hyperlink ref="A705" r:id="rId702" display="https://9607261.app.netsuite.com/app/reporting/reportrunner.nl?fromreport=320&amp;regtx,tranline,kacct,x,alltranline5,IN,x,x=950&amp;cr=293" xr:uid="{CC370B1F-0E40-4569-8E39-0D92152ED625}"/>
    <hyperlink ref="A706" r:id="rId703" display="https://9607261.app.netsuite.com/app/reporting/reportrunner.nl?fromreport=320&amp;regtx,tranline,kacct,x,alltranline5,IN,x,x=950&amp;cr=293" xr:uid="{1F324699-F374-4E72-8D66-A1CE0AB1A08D}"/>
    <hyperlink ref="A707" r:id="rId704" display="https://9607261.app.netsuite.com/app/reporting/reportrunner.nl?fromreport=320&amp;regtx,tranline,kacct,x,alltranline5,IN,x,x=950&amp;cr=293" xr:uid="{32F2B676-05EB-45E0-889D-E23CF46C0E43}"/>
    <hyperlink ref="A708" r:id="rId705" display="https://9607261.app.netsuite.com/app/reporting/reportrunner.nl?fromreport=320&amp;regtx,tranline,kacct,x,alltranline5,IN,x,x=950&amp;cr=293" xr:uid="{9FC42C98-2681-4F4B-9DF0-4C00ACC253BD}"/>
    <hyperlink ref="A709" r:id="rId706" display="https://9607261.app.netsuite.com/app/reporting/reportrunner.nl?fromreport=320&amp;regtx,tranline,kacct,x,alltranline5,IN,x,x=950&amp;cr=293" xr:uid="{9EF8D7FB-A53E-40E8-B717-3DF4D6F83B72}"/>
    <hyperlink ref="A710" r:id="rId707" display="https://9607261.app.netsuite.com/app/reporting/reportrunner.nl?fromreport=320&amp;regtx,tranline,kacct,x,alltranline5,IN,x,x=950&amp;cr=293" xr:uid="{C21F316B-6565-4F72-827E-0BBA3F30E9CC}"/>
    <hyperlink ref="A711" r:id="rId708" display="https://9607261.app.netsuite.com/app/reporting/reportrunner.nl?fromreport=320&amp;regtx,tranline,kacct,x,alltranline5,IN,x,x=950&amp;cr=293" xr:uid="{142E5284-0DD5-46A4-BFEF-DC6C1EB1C170}"/>
    <hyperlink ref="A712" r:id="rId709" display="https://9607261.app.netsuite.com/app/reporting/reportrunner.nl?fromreport=320&amp;regtx,tranline,kacct,x,alltranline5,IN,x,x=950&amp;cr=293" xr:uid="{A3A01774-282F-40C3-A8E7-2F89916B0E39}"/>
    <hyperlink ref="A713" r:id="rId710" display="https://9607261.app.netsuite.com/app/reporting/reportrunner.nl?fromreport=320&amp;regtx,tranline,kacct,x,alltranline5,IN,x,x=950&amp;cr=293" xr:uid="{B6D0B5A5-3AFF-4204-B89E-B6BC4B9E7E2A}"/>
    <hyperlink ref="A714" r:id="rId711" display="https://9607261.app.netsuite.com/app/reporting/reportrunner.nl?fromreport=320&amp;regtx,tranline,kacct,x,alltranline5,IN,x,x=950&amp;cr=293" xr:uid="{C43AD310-F1CD-4B4B-8A2F-3F095BFB456C}"/>
    <hyperlink ref="A715" r:id="rId712" display="https://9607261.app.netsuite.com/app/reporting/reportrunner.nl?fromreport=320&amp;regtx,tranline,kacct,x,alltranline5,IN,x,x=950&amp;cr=293" xr:uid="{AB8A0747-1D7C-4073-98F3-44284A92619E}"/>
    <hyperlink ref="A716" r:id="rId713" display="https://9607261.app.netsuite.com/app/reporting/reportrunner.nl?fromreport=320&amp;regtx,tranline,kacct,x,alltranline5,IN,x,x=950&amp;cr=293" xr:uid="{1EA671EA-2317-46D6-B411-51D7BAFD4CC5}"/>
    <hyperlink ref="A717" r:id="rId714" display="https://9607261.app.netsuite.com/app/reporting/reportrunner.nl?fromreport=320&amp;regtx,tranline,kacct,x,alltranline5,IN,x,x=950&amp;cr=293" xr:uid="{D1F54904-5EEF-42AA-A989-CC3285830A73}"/>
    <hyperlink ref="A718" r:id="rId715" display="https://9607261.app.netsuite.com/app/reporting/reportrunner.nl?fromreport=320&amp;regtx,tranline,kacct,x,alltranline5,IN,x,x=950&amp;cr=293" xr:uid="{523364E1-BECF-44DC-9734-84E944203DC6}"/>
    <hyperlink ref="A719" r:id="rId716" display="https://9607261.app.netsuite.com/app/reporting/reportrunner.nl?fromreport=320&amp;regtx,tranline,kacct,x,alltranline5,IN,x,x=950&amp;cr=293" xr:uid="{49E075C1-5F1C-483D-A56C-BAC9DD4CC73D}"/>
    <hyperlink ref="A720" r:id="rId717" display="https://9607261.app.netsuite.com/app/reporting/reportrunner.nl?fromreport=320&amp;regtx,tranline,kacct,x,alltranline5,IN,x,x=950&amp;cr=293" xr:uid="{18A89C57-45B5-48C4-B863-A1D80ED2C52C}"/>
    <hyperlink ref="A721" r:id="rId718" display="https://9607261.app.netsuite.com/app/reporting/reportrunner.nl?fromreport=320&amp;regtx,tranline,kacct,x,alltranline5,IN,x,x=950&amp;cr=293" xr:uid="{C947FA39-F9AA-4274-8194-9D89035F94F0}"/>
    <hyperlink ref="A722" r:id="rId719" display="https://9607261.app.netsuite.com/app/reporting/reportrunner.nl?fromreport=320&amp;regtx,tranline,kacct,x,alltranline5,IN,x,x=950&amp;cr=293" xr:uid="{BDDF4D87-2545-4C23-A5C5-AE0E797933AC}"/>
    <hyperlink ref="A723" r:id="rId720" display="https://9607261.app.netsuite.com/app/reporting/reportrunner.nl?fromreport=320&amp;regtx,tranline,kacct,x,alltranline5,IN,x,x=950&amp;cr=293" xr:uid="{D7958DC2-42EF-4170-8FE3-4F0229F4F4B5}"/>
    <hyperlink ref="A724" r:id="rId721" display="https://9607261.app.netsuite.com/app/reporting/reportrunner.nl?fromreport=320&amp;regtx,tranline,kacct,x,alltranline5,IN,x,x=950&amp;cr=293" xr:uid="{5B13DA19-529B-410F-8502-65C3C5D0DBA8}"/>
    <hyperlink ref="A725" r:id="rId722" display="https://9607261.app.netsuite.com/app/reporting/reportrunner.nl?fromreport=320&amp;regtx,tranline,kacct,x,alltranline5,IN,x,x=950&amp;cr=293" xr:uid="{C008DAAF-7A15-44A0-9E26-FE9E8EB11109}"/>
    <hyperlink ref="A726" r:id="rId723" display="https://9607261.app.netsuite.com/app/reporting/reportrunner.nl?fromreport=320&amp;regtx,tranline,kacct,x,alltranline5,IN,x,x=950&amp;cr=293" xr:uid="{0F8709FB-90D8-4C99-A1F9-C31DF28E5867}"/>
    <hyperlink ref="A727" r:id="rId724" display="https://9607261.app.netsuite.com/app/reporting/reportrunner.nl?fromreport=320&amp;regtx,tranline,kacct,x,alltranline5,IN,x,x=950&amp;cr=293" xr:uid="{F8B4DADA-6584-4D48-8DB8-1173B84DE024}"/>
    <hyperlink ref="A728" r:id="rId725" display="https://9607261.app.netsuite.com/app/reporting/reportrunner.nl?fromreport=320&amp;regtx,tranline,kacct,x,alltranline5,IN,x,x=950&amp;cr=293" xr:uid="{6F349A0B-DD23-4853-A5E5-3D0BA1136C6A}"/>
    <hyperlink ref="A729" r:id="rId726" display="https://9607261.app.netsuite.com/app/reporting/reportrunner.nl?fromreport=320&amp;regtx,tranline,kacct,x,alltranline5,IN,x,x=950&amp;cr=293" xr:uid="{0B336AE5-FE7C-4D6A-88AD-9FA51482F8EF}"/>
    <hyperlink ref="A730" r:id="rId727" display="https://9607261.app.netsuite.com/app/reporting/reportrunner.nl?fromreport=320&amp;regtx,tranline,kacct,x,alltranline5,IN,x,x=950&amp;cr=293" xr:uid="{08F8892B-7316-4ED0-908E-F1F8146A5FAE}"/>
    <hyperlink ref="A731" r:id="rId728" display="https://9607261.app.netsuite.com/app/reporting/reportrunner.nl?fromreport=320&amp;regtx,tranline,kacct,x,alltranline5,IN,x,x=950&amp;cr=293" xr:uid="{A287ED4E-0BD8-4AE2-BBCA-3396B3C10E7D}"/>
    <hyperlink ref="A732" r:id="rId729" display="https://9607261.app.netsuite.com/app/reporting/reportrunner.nl?fromreport=320&amp;regtx,tranline,kacct,x,alltranline5,IN,x,x=950&amp;cr=293" xr:uid="{1E09AD64-C9F9-467F-A31E-D358CDC26280}"/>
    <hyperlink ref="A733" r:id="rId730" display="https://9607261.app.netsuite.com/app/reporting/reportrunner.nl?fromreport=320&amp;regtx,tranline,kacct,x,alltranline5,IN,x,x=950&amp;cr=293" xr:uid="{BFFDB607-48AC-45D8-978D-4DCECF87AA7C}"/>
    <hyperlink ref="A734" r:id="rId731" display="https://9607261.app.netsuite.com/app/reporting/reportrunner.nl?fromreport=320&amp;regtx,tranline,kacct,x,alltranline5,IN,x,x=950&amp;cr=293" xr:uid="{0F9B9469-17DA-4745-8FFD-DEAB6CD578D0}"/>
    <hyperlink ref="A735" r:id="rId732" display="https://9607261.app.netsuite.com/app/reporting/reportrunner.nl?fromreport=320&amp;regtx,tranline,kacct,x,alltranline5,IN,x,x=950&amp;cr=293" xr:uid="{B6E7DD00-242B-44B2-BD3E-29506961BE90}"/>
    <hyperlink ref="A736" r:id="rId733" display="https://9607261.app.netsuite.com/app/reporting/reportrunner.nl?fromreport=320&amp;regtx,tranline,kacct,x,alltranline5,IN,x,x=950&amp;cr=293" xr:uid="{EB7CE6CE-0F88-4EF6-813D-58B4DE222EFF}"/>
    <hyperlink ref="A737" r:id="rId734" display="https://9607261.app.netsuite.com/app/reporting/reportrunner.nl?fromreport=320&amp;regtx,tranline,kacct,x,alltranline5,IN,x,x=950&amp;cr=293" xr:uid="{133021F3-290D-4EEA-BAA7-8191B614E404}"/>
    <hyperlink ref="A738" r:id="rId735" display="https://9607261.app.netsuite.com/app/reporting/reportrunner.nl?fromreport=320&amp;regtx,tranline,kacct,x,alltranline5,IN,x,x=950&amp;cr=293" xr:uid="{C3E52D36-58BD-40ED-A574-C22E69D562CC}"/>
    <hyperlink ref="A739" r:id="rId736" display="https://9607261.app.netsuite.com/app/reporting/reportrunner.nl?fromreport=320&amp;regtx,tranline,kacct,x,alltranline5,IN,x,x=950&amp;cr=293" xr:uid="{49078232-C0B8-44C1-9A56-622D213F5677}"/>
    <hyperlink ref="A740" r:id="rId737" display="https://9607261.app.netsuite.com/app/reporting/reportrunner.nl?fromreport=320&amp;regtx,tranline,kacct,x,alltranline5,IN,x,x=950&amp;cr=293" xr:uid="{63DA7D76-6C3B-4179-9283-169952DE9340}"/>
    <hyperlink ref="A741" r:id="rId738" display="https://9607261.app.netsuite.com/app/reporting/reportrunner.nl?fromreport=320&amp;regtx,tranline,kacct,x,alltranline5,IN,x,x=950&amp;cr=293" xr:uid="{2A8D44E6-2700-4A4D-9A10-4CB192E76098}"/>
    <hyperlink ref="A742" r:id="rId739" display="https://9607261.app.netsuite.com/app/reporting/reportrunner.nl?fromreport=320&amp;regtx,tranline,kacct,x,alltranline5,IN,x,x=950&amp;cr=293" xr:uid="{1117C68F-FD1A-4DCA-83A9-0C51AB999896}"/>
    <hyperlink ref="A743" r:id="rId740" display="https://9607261.app.netsuite.com/app/reporting/reportrunner.nl?fromreport=320&amp;regtx,tranline,kacct,x,alltranline5,IN,x,x=950&amp;cr=293" xr:uid="{605E804C-53A7-49A9-892E-33F51DEEA5E5}"/>
    <hyperlink ref="A744" r:id="rId741" display="https://9607261.app.netsuite.com/app/reporting/reportrunner.nl?fromreport=320&amp;regtx,tranline,kacct,x,alltranline5,IN,x,x=950&amp;cr=293" xr:uid="{54BA49C8-C49A-40E1-9BD5-8A3267A58AFA}"/>
    <hyperlink ref="A745" r:id="rId742" display="https://9607261.app.netsuite.com/app/reporting/reportrunner.nl?fromreport=320&amp;regtx,tranline,kacct,x,alltranline5,IN,x,x=950&amp;cr=293" xr:uid="{DEC9ABEE-6C8C-463E-BE66-413AFB876D15}"/>
    <hyperlink ref="A746" r:id="rId743" display="https://9607261.app.netsuite.com/app/reporting/reportrunner.nl?fromreport=320&amp;regtx,tranline,kacct,x,alltranline5,IN,x,x=950&amp;cr=293" xr:uid="{58CA2034-86FA-4D2C-A970-242F38DF836E}"/>
    <hyperlink ref="A747" r:id="rId744" display="https://9607261.app.netsuite.com/app/reporting/reportrunner.nl?fromreport=320&amp;regtx,tranline,kacct,x,alltranline5,IN,x,x=950&amp;cr=293" xr:uid="{B5731488-2477-47D9-90F1-79961EF86B3B}"/>
    <hyperlink ref="A748" r:id="rId745" display="https://9607261.app.netsuite.com/app/reporting/reportrunner.nl?fromreport=320&amp;regtx,tranline,kacct,x,alltranline5,IN,x,x=950&amp;cr=293" xr:uid="{95548B50-3D6C-4154-89BB-DE0BFE9CF039}"/>
    <hyperlink ref="A749" r:id="rId746" display="https://9607261.app.netsuite.com/app/reporting/reportrunner.nl?fromreport=320&amp;regtx,tranline,kacct,x,alltranline5,IN,x,x=950&amp;cr=293" xr:uid="{556C19BD-C857-416A-8519-93243AEDC03C}"/>
    <hyperlink ref="A750" r:id="rId747" display="https://9607261.app.netsuite.com/app/reporting/reportrunner.nl?fromreport=320&amp;regtx,tranline,kacct,x,alltranline5,IN,x,x=950&amp;cr=293" xr:uid="{B7754521-C32B-4EAA-88CF-4EC1D68C84CF}"/>
    <hyperlink ref="A751" r:id="rId748" display="https://9607261.app.netsuite.com/app/reporting/reportrunner.nl?fromreport=320&amp;regtx,tranline,kacct,x,alltranline5,IN,x,x=950&amp;cr=293" xr:uid="{403E82A1-3A0D-4526-9862-9E8316998969}"/>
    <hyperlink ref="A752" r:id="rId749" display="https://9607261.app.netsuite.com/app/reporting/reportrunner.nl?fromreport=320&amp;regtx,tranline,kacct,x,alltranline5,IN,x,x=950&amp;cr=293" xr:uid="{B7057DF0-9FC7-44FF-8BA5-FD36F67E790B}"/>
    <hyperlink ref="A753" r:id="rId750" display="https://9607261.app.netsuite.com/app/reporting/reportrunner.nl?fromreport=320&amp;regtx,tranline,kacct,x,alltranline5,IN,x,x=950&amp;cr=293" xr:uid="{8E8569BD-DC49-4913-9930-CD71D17C1B6F}"/>
    <hyperlink ref="A754" r:id="rId751" display="https://9607261.app.netsuite.com/app/reporting/reportrunner.nl?fromreport=320&amp;regtx,tranline,kacct,x,alltranline5,IN,x,x=950&amp;cr=293" xr:uid="{C1878E1B-15B8-4D7A-A6BF-7849F9BC47D1}"/>
    <hyperlink ref="A755" r:id="rId752" display="https://9607261.app.netsuite.com/app/reporting/reportrunner.nl?fromreport=320&amp;regtx,tranline,kacct,x,alltranline5,IN,x,x=950&amp;cr=293" xr:uid="{14D3988C-1BC6-4D34-BAB1-16265D38995C}"/>
    <hyperlink ref="A756" r:id="rId753" display="https://9607261.app.netsuite.com/app/reporting/reportrunner.nl?fromreport=320&amp;regtx,tranline,kacct,x,alltranline5,IN,x,x=950&amp;cr=293" xr:uid="{E7A19D82-AAF0-483B-80AE-7B8836AC3174}"/>
    <hyperlink ref="A757" r:id="rId754" display="https://9607261.app.netsuite.com/app/reporting/reportrunner.nl?fromreport=320&amp;regtx,tranline,kacct,x,alltranline5,IN,x,x=950&amp;cr=293" xr:uid="{27162481-401E-4EDD-9126-EB9CE806B3F1}"/>
    <hyperlink ref="A758" r:id="rId755" display="https://9607261.app.netsuite.com/app/reporting/reportrunner.nl?fromreport=320&amp;regtx,tranline,kacct,x,alltranline5,IN,x,x=950&amp;cr=293" xr:uid="{0DEC2095-9ACE-48C5-9C4B-C88DD37EA67E}"/>
    <hyperlink ref="A759" r:id="rId756" display="https://9607261.app.netsuite.com/app/reporting/reportrunner.nl?fromreport=320&amp;regtx,tranline,kacct,x,alltranline5,IN,x,x=950&amp;cr=293" xr:uid="{B85ADDAF-820C-462B-89C6-C9E474038449}"/>
    <hyperlink ref="A760" r:id="rId757" display="https://9607261.app.netsuite.com/app/reporting/reportrunner.nl?fromreport=320&amp;regtx,tranline,kacct,x,alltranline5,IN,x,x=950&amp;cr=293" xr:uid="{663D0A40-B523-4E9A-A898-F843D283B3B7}"/>
    <hyperlink ref="A761" r:id="rId758" display="https://9607261.app.netsuite.com/app/reporting/reportrunner.nl?fromreport=320&amp;regtx,tranline,kacct,x,alltranline5,IN,x,x=950&amp;cr=293" xr:uid="{7482E77B-97C5-4091-B305-178AB23B68A4}"/>
    <hyperlink ref="A762" r:id="rId759" display="https://9607261.app.netsuite.com/app/reporting/reportrunner.nl?fromreport=320&amp;regtx,tranline,kacct,x,alltranline5,IN,x,x=950&amp;cr=293" xr:uid="{0D4BFE7B-203E-47C8-AB42-260CC80F91D4}"/>
    <hyperlink ref="A763" r:id="rId760" display="https://9607261.app.netsuite.com/app/reporting/reportrunner.nl?fromreport=320&amp;regtx,tranline,kacct,x,alltranline5,IN,x,x=950&amp;cr=293" xr:uid="{E0D4F176-EDD0-4CC4-9C10-76C3785EC5DB}"/>
    <hyperlink ref="A764" r:id="rId761" display="https://9607261.app.netsuite.com/app/reporting/reportrunner.nl?fromreport=320&amp;regtx,tranline,kacct,x,alltranline5,IN,x,x=950&amp;cr=293" xr:uid="{3946E4B6-02B4-4B52-B344-B7F9EEFAA9D3}"/>
    <hyperlink ref="A765" r:id="rId762" display="https://9607261.app.netsuite.com/app/reporting/reportrunner.nl?fromreport=320&amp;regtx,tranline,kacct,x,alltranline5,IN,x,x=950&amp;cr=293" xr:uid="{785DCC43-A9C4-483D-9743-C63736537D11}"/>
    <hyperlink ref="A766" r:id="rId763" display="https://9607261.app.netsuite.com/app/reporting/reportrunner.nl?fromreport=320&amp;regtx,tranline,kacct,x,alltranline5,IN,x,x=950&amp;cr=293" xr:uid="{12A7B72B-7895-475F-A5EC-D61B9B9F64B7}"/>
    <hyperlink ref="A767" r:id="rId764" display="https://9607261.app.netsuite.com/app/reporting/reportrunner.nl?fromreport=320&amp;regtx,tranline,kacct,x,alltranline5,IN,x,x=950&amp;cr=293" xr:uid="{A94448DE-1CB1-440E-97BF-1463B9648179}"/>
    <hyperlink ref="A768" r:id="rId765" display="https://9607261.app.netsuite.com/app/reporting/reportrunner.nl?fromreport=320&amp;regtx,tranline,kacct,x,alltranline5,IN,x,x=950&amp;cr=293" xr:uid="{D4B209CA-59AF-4649-A136-5847A8AD2C9D}"/>
    <hyperlink ref="A769" r:id="rId766" display="https://9607261.app.netsuite.com/app/reporting/reportrunner.nl?fromreport=320&amp;regtx,tranline,kacct,x,alltranline5,IN,x,x=950&amp;cr=293" xr:uid="{FAE37F1C-D978-4B6A-B59C-82E16968DA20}"/>
    <hyperlink ref="A770" r:id="rId767" display="https://9607261.app.netsuite.com/app/reporting/reportrunner.nl?fromreport=320&amp;regtx,tranline,kacct,x,alltranline5,IN,x,x=950&amp;cr=293" xr:uid="{B8F4C351-76D0-44B3-B8C6-7D089A2E5A59}"/>
    <hyperlink ref="A771" r:id="rId768" display="https://9607261.app.netsuite.com/app/reporting/reportrunner.nl?fromreport=320&amp;regtx,tranline,kacct,x,alltranline5,IN,x,x=950&amp;cr=293" xr:uid="{CC01446F-BDD3-400D-85BA-A1BA5A2E81ED}"/>
    <hyperlink ref="A772" r:id="rId769" display="https://9607261.app.netsuite.com/app/reporting/reportrunner.nl?fromreport=320&amp;regtx,tranline,kacct,x,alltranline5,IN,x,x=950&amp;cr=293" xr:uid="{BBE2481F-B0AF-458A-82F3-ACF174B36C29}"/>
    <hyperlink ref="A773" r:id="rId770" display="https://9607261.app.netsuite.com/app/reporting/reportrunner.nl?fromreport=320&amp;regtx,tranline,kacct,x,alltranline5,IN,x,x=950&amp;cr=293" xr:uid="{FED3C389-3254-4734-A962-63BDC3467C81}"/>
    <hyperlink ref="A774" r:id="rId771" display="https://9607261.app.netsuite.com/app/reporting/reportrunner.nl?fromreport=320&amp;regtx,tranline,kacct,x,alltranline5,IN,x,x=950&amp;cr=293" xr:uid="{990EEE4C-B1EF-4B2B-8ED5-8726FEF9762C}"/>
    <hyperlink ref="A775" r:id="rId772" display="https://9607261.app.netsuite.com/app/reporting/reportrunner.nl?fromreport=320&amp;regtx,tranline,kacct,x,alltranline5,IN,x,x=950&amp;cr=293" xr:uid="{63DED058-52E6-49BF-A958-D53A381A7CF3}"/>
    <hyperlink ref="A776" r:id="rId773" display="https://9607261.app.netsuite.com/app/reporting/reportrunner.nl?fromreport=320&amp;regtx,tranline,kacct,x,alltranline5,IN,x,x=950&amp;cr=293" xr:uid="{EB8FA40B-5123-466A-957A-F995FD88FD0A}"/>
    <hyperlink ref="A777" r:id="rId774" display="https://9607261.app.netsuite.com/app/reporting/reportrunner.nl?fromreport=320&amp;regtx,tranline,kacct,x,alltranline5,IN,x,x=950&amp;cr=293" xr:uid="{06FA4C17-381F-4598-8381-21C4B9A490D4}"/>
    <hyperlink ref="A778" r:id="rId775" display="https://9607261.app.netsuite.com/app/reporting/reportrunner.nl?fromreport=320&amp;regtx,tranline,kacct,x,alltranline5,IN,x,x=950&amp;cr=293" xr:uid="{B66ADA07-929F-4FC3-B790-0CE59AA60F1F}"/>
    <hyperlink ref="A779" r:id="rId776" display="https://9607261.app.netsuite.com/app/reporting/reportrunner.nl?fromreport=320&amp;regtx,tranline,kacct,x,alltranline5,IN,x,x=950&amp;cr=293" xr:uid="{7393BA89-AA67-4480-B159-BF293D714C4F}"/>
    <hyperlink ref="A780" r:id="rId777" display="https://9607261.app.netsuite.com/app/reporting/reportrunner.nl?fromreport=320&amp;regtx,tranline,kacct,x,alltranline5,IN,x,x=950&amp;cr=293" xr:uid="{1B9F6775-7D5B-4C22-8B09-2C05DBF0C3FA}"/>
    <hyperlink ref="A781" r:id="rId778" display="https://9607261.app.netsuite.com/app/reporting/reportrunner.nl?fromreport=320&amp;regtx,tranline,kacct,x,alltranline5,IN,x,x=950&amp;cr=293" xr:uid="{4E0BF00C-31DF-448C-8A36-F1BB24AFAEC6}"/>
    <hyperlink ref="A782" r:id="rId779" display="https://9607261.app.netsuite.com/app/reporting/reportrunner.nl?fromreport=320&amp;regtx,tranline,kacct,x,alltranline5,IN,x,x=950&amp;cr=293" xr:uid="{5EA0D7C6-3EA9-48FC-A924-93110306EB35}"/>
    <hyperlink ref="A783" r:id="rId780" display="https://9607261.app.netsuite.com/app/reporting/reportrunner.nl?fromreport=320&amp;regtx,tranline,kacct,x,alltranline5,IN,x,x=950&amp;cr=293" xr:uid="{1C124004-467A-433A-BDF4-C19ACD5749BB}"/>
    <hyperlink ref="A784" r:id="rId781" display="https://9607261.app.netsuite.com/app/reporting/reportrunner.nl?fromreport=320&amp;regtx,tranline,kacct,x,alltranline5,IN,x,x=950&amp;cr=293" xr:uid="{D4751088-F687-4B0C-AA67-06CDBA1E9E6F}"/>
    <hyperlink ref="A785" r:id="rId782" display="https://9607261.app.netsuite.com/app/reporting/reportrunner.nl?fromreport=320&amp;regtx,tranline,kacct,x,alltranline5,IN,x,x=950&amp;cr=293" xr:uid="{7B4C361C-7CD6-4B1C-879E-6AA0A6A24A0A}"/>
    <hyperlink ref="A786" r:id="rId783" display="https://9607261.app.netsuite.com/app/reporting/reportrunner.nl?fromreport=320&amp;regtx,tranline,kacct,x,alltranline5,IN,x,x=950&amp;cr=293" xr:uid="{02C55A8F-FDCF-4D59-8BC9-A80681685108}"/>
    <hyperlink ref="A787" r:id="rId784" display="https://9607261.app.netsuite.com/app/reporting/reportrunner.nl?fromreport=320&amp;regtx,tranline,kacct,x,alltranline5,IN,x,x=950&amp;cr=293" xr:uid="{C90DEECC-ED8D-4D9E-8608-6EF98FA4BC22}"/>
    <hyperlink ref="A788" r:id="rId785" display="https://9607261.app.netsuite.com/app/reporting/reportrunner.nl?fromreport=320&amp;regtx,tranline,kacct,x,alltranline5,IN,x,x=950&amp;cr=293" xr:uid="{1E09DE45-FE0D-40C9-9A35-F575238CF727}"/>
    <hyperlink ref="A789" r:id="rId786" display="https://9607261.app.netsuite.com/app/reporting/reportrunner.nl?fromreport=320&amp;regtx,tranline,kacct,x,alltranline5,IN,x,x=950&amp;cr=293" xr:uid="{0EF7D77B-E108-4F39-8D86-FCD9F270E778}"/>
    <hyperlink ref="A790" r:id="rId787" display="https://9607261.app.netsuite.com/app/reporting/reportrunner.nl?fromreport=320&amp;regtx,tranline,kacct,x,alltranline5,IN,x,x=950&amp;cr=293" xr:uid="{6E750404-21CC-4EE1-B780-0856125AA151}"/>
    <hyperlink ref="A791" r:id="rId788" display="https://9607261.app.netsuite.com/app/reporting/reportrunner.nl?fromreport=320&amp;regtx,tranline,kacct,x,alltranline5,IN,x,x=950&amp;cr=293" xr:uid="{CED9929E-9DE9-4213-97B0-92A315ABFDDD}"/>
    <hyperlink ref="A792" r:id="rId789" display="https://9607261.app.netsuite.com/app/reporting/reportrunner.nl?fromreport=320&amp;regtx,tranline,kacct,x,alltranline5,IN,x,x=950&amp;cr=293" xr:uid="{66E7DF31-3D0C-4A21-B86A-FA44F66DCDCE}"/>
    <hyperlink ref="A793" r:id="rId790" display="https://9607261.app.netsuite.com/app/reporting/reportrunner.nl?fromreport=320&amp;regtx,tranline,kacct,x,alltranline5,IN,x,x=950&amp;cr=293" xr:uid="{F55B686E-87EF-433B-92A6-64E117ADF29D}"/>
    <hyperlink ref="A794" r:id="rId791" display="https://9607261.app.netsuite.com/app/reporting/reportrunner.nl?fromreport=320&amp;regtx,tranline,kacct,x,alltranline5,IN,x,x=950&amp;cr=293" xr:uid="{D9940BCF-A953-4975-8EB4-051A4AEB4728}"/>
    <hyperlink ref="A795" r:id="rId792" display="https://9607261.app.netsuite.com/app/reporting/reportrunner.nl?fromreport=320&amp;regtx,tranline,kacct,x,alltranline5,IN,x,x=950&amp;cr=293" xr:uid="{CB6C592B-B31B-4EFC-95E9-4EC2747DD09A}"/>
    <hyperlink ref="A796" r:id="rId793" display="https://9607261.app.netsuite.com/app/reporting/reportrunner.nl?fromreport=320&amp;regtx,tranline,kacct,x,alltranline5,IN,x,x=950&amp;cr=293" xr:uid="{941985C2-3A5C-45BD-8B4C-CCAFEEDB7C8B}"/>
    <hyperlink ref="A797" r:id="rId794" display="https://9607261.app.netsuite.com/app/reporting/reportrunner.nl?fromreport=320&amp;regtx,tranline,kacct,x,alltranline5,IN,x,x=950&amp;cr=293" xr:uid="{03804F58-A009-4DD8-8AC7-18D31CAB424B}"/>
    <hyperlink ref="A798" r:id="rId795" display="https://9607261.app.netsuite.com/app/reporting/reportrunner.nl?fromreport=320&amp;regtx,tranline,kacct,x,alltranline5,IN,x,x=950&amp;cr=293" xr:uid="{920EC247-99FD-4B57-B28F-21597DF4FF84}"/>
    <hyperlink ref="A799" r:id="rId796" display="https://9607261.app.netsuite.com/app/reporting/reportrunner.nl?fromreport=320&amp;regtx,tranline,kacct,x,alltranline5,IN,x,x=950&amp;cr=293" xr:uid="{8B6F218C-8A3A-4FBE-8A65-64B9415EB3E1}"/>
    <hyperlink ref="A800" r:id="rId797" display="https://9607261.app.netsuite.com/app/reporting/reportrunner.nl?fromreport=320&amp;regtx,tranline,kacct,x,alltranline5,IN,x,x=950&amp;cr=293" xr:uid="{E42DA7FD-7226-49AA-859A-124799B44325}"/>
    <hyperlink ref="A801" r:id="rId798" display="https://9607261.app.netsuite.com/app/reporting/reportrunner.nl?fromreport=320&amp;regtx,tranline,kacct,x,alltranline5,IN,x,x=950&amp;cr=293" xr:uid="{7080D27D-F17C-4E6B-8DA2-B677B6E95995}"/>
    <hyperlink ref="A802" r:id="rId799" display="https://9607261.app.netsuite.com/app/reporting/reportrunner.nl?fromreport=320&amp;regtx,tranline,kacct,x,alltranline5,IN,x,x=950&amp;cr=293" xr:uid="{157D3020-1F59-401C-BAC0-E4519D644C3E}"/>
    <hyperlink ref="A803" r:id="rId800" display="https://9607261.app.netsuite.com/app/reporting/reportrunner.nl?fromreport=320&amp;regtx,tranline,kacct,x,alltranline5,IN,x,x=950&amp;cr=293" xr:uid="{FDCC1598-046C-46B7-A357-B5D477DE2573}"/>
    <hyperlink ref="A804" r:id="rId801" display="https://9607261.app.netsuite.com/app/reporting/reportrunner.nl?fromreport=320&amp;regtx,tranline,kacct,x,alltranline5,IN,x,x=950&amp;cr=293" xr:uid="{96F99585-8EDD-4529-B431-CBCD2D3A724A}"/>
    <hyperlink ref="A805" r:id="rId802" display="https://9607261.app.netsuite.com/app/reporting/reportrunner.nl?fromreport=320&amp;regtx,tranline,kacct,x,alltranline5,IN,x,x=950&amp;cr=293" xr:uid="{4B87C5E2-CB2E-4B0E-8C39-72D8025D70DE}"/>
    <hyperlink ref="A806" r:id="rId803" display="https://9607261.app.netsuite.com/app/reporting/reportrunner.nl?fromreport=320&amp;regtx,tranline,kacct,x,alltranline5,IN,x,x=950&amp;cr=293" xr:uid="{0FE8407B-55DA-4F14-915D-5D4576110BA2}"/>
    <hyperlink ref="A807" r:id="rId804" display="https://9607261.app.netsuite.com/app/reporting/reportrunner.nl?fromreport=320&amp;regtx,tranline,kacct,x,alltranline5,IN,x,x=950&amp;cr=293" xr:uid="{C5D03B9E-72B8-486A-8570-5E454F2BACCE}"/>
    <hyperlink ref="A808" r:id="rId805" display="https://9607261.app.netsuite.com/app/reporting/reportrunner.nl?fromreport=320&amp;regtx,tranline,kacct,x,alltranline5,IN,x,x=950&amp;cr=293" xr:uid="{BCFF3956-DC59-4327-BBE7-467B553BCAF1}"/>
    <hyperlink ref="A809" r:id="rId806" display="https://9607261.app.netsuite.com/app/reporting/reportrunner.nl?fromreport=320&amp;regtx,tranline,kacct,x,alltranline5,IN,x,x=950&amp;cr=293" xr:uid="{ED65A4DF-342A-4A0C-BA15-1E77888B7CF1}"/>
    <hyperlink ref="A810" r:id="rId807" display="https://9607261.app.netsuite.com/app/reporting/reportrunner.nl?fromreport=320&amp;regtx,tranline,kacct,x,alltranline5,IN,x,x=950&amp;cr=293" xr:uid="{0818849A-9006-43C7-99E4-CD32975E252E}"/>
    <hyperlink ref="A811" r:id="rId808" display="https://9607261.app.netsuite.com/app/reporting/reportrunner.nl?fromreport=320&amp;regtx,tranline,kacct,x,alltranline5,IN,x,x=950&amp;cr=293" xr:uid="{EE7E69A8-9464-454A-992E-3E6E6D142ACF}"/>
    <hyperlink ref="A812" r:id="rId809" display="https://9607261.app.netsuite.com/app/reporting/reportrunner.nl?fromreport=320&amp;regtx,tranline,kacct,x,alltranline5,IN,x,x=950&amp;cr=293" xr:uid="{FADD7236-0F49-4D2A-82BD-F0C8A6CF87CC}"/>
    <hyperlink ref="A813" r:id="rId810" display="https://9607261.app.netsuite.com/app/reporting/reportrunner.nl?fromreport=320&amp;regtx,tranline,kacct,x,alltranline5,IN,x,x=950&amp;cr=293" xr:uid="{66135502-6F1E-451D-A8D5-70CEF1371BA7}"/>
    <hyperlink ref="A814" r:id="rId811" display="https://9607261.app.netsuite.com/app/reporting/reportrunner.nl?fromreport=320&amp;regtx,tranline,kacct,x,alltranline5,IN,x,x=950&amp;cr=293" xr:uid="{5DB17D91-5B29-45F8-A555-D602F8F970F5}"/>
    <hyperlink ref="A815" r:id="rId812" display="https://9607261.app.netsuite.com/app/reporting/reportrunner.nl?fromreport=320&amp;regtx,tranline,kacct,x,alltranline5,IN,x,x=950&amp;cr=293" xr:uid="{B0C677B6-4C89-4B4C-AC58-DC4E468DC83A}"/>
    <hyperlink ref="A816" r:id="rId813" display="https://9607261.app.netsuite.com/app/reporting/reportrunner.nl?fromreport=320&amp;regtx,tranline,kacct,x,alltranline5,IN,x,x=950&amp;cr=293" xr:uid="{40652637-4018-4E22-8F90-AD29DB771E99}"/>
    <hyperlink ref="A817" r:id="rId814" display="https://9607261.app.netsuite.com/app/reporting/reportrunner.nl?fromreport=320&amp;regtx,tranline,kacct,x,alltranline5,IN,x,x=950&amp;cr=293" xr:uid="{F7172484-664E-44BE-B8B2-B086DE8C20A4}"/>
    <hyperlink ref="A818" r:id="rId815" display="https://9607261.app.netsuite.com/app/reporting/reportrunner.nl?fromreport=320&amp;regtx,tranline,kacct,x,alltranline5,IN,x,x=950&amp;cr=293" xr:uid="{53CE9B31-78E7-45DF-A0AB-0C3D15CEA1D9}"/>
    <hyperlink ref="A819" r:id="rId816" display="https://9607261.app.netsuite.com/app/reporting/reportrunner.nl?fromreport=320&amp;regtx,tranline,kacct,x,alltranline5,IN,x,x=950&amp;cr=293" xr:uid="{EEA017E5-723D-48F9-B7D4-9DA8129228ED}"/>
    <hyperlink ref="A820" r:id="rId817" display="https://9607261.app.netsuite.com/app/reporting/reportrunner.nl?fromreport=320&amp;regtx,tranline,kacct,x,alltranline5,IN,x,x=950&amp;cr=293" xr:uid="{50C79AD3-A163-48C4-9DAB-4D048EAF5D27}"/>
    <hyperlink ref="A821" r:id="rId818" display="https://9607261.app.netsuite.com/app/reporting/reportrunner.nl?fromreport=320&amp;regtx,tranline,kacct,x,alltranline5,IN,x,x=950&amp;cr=293" xr:uid="{D1E97D46-9CC7-4204-8648-773BD46A00B1}"/>
    <hyperlink ref="A822" r:id="rId819" display="https://9607261.app.netsuite.com/app/reporting/reportrunner.nl?fromreport=320&amp;regtx,tranline,kacct,x,alltranline5,IN,x,x=950&amp;cr=293" xr:uid="{2CA1BDD4-F9A4-4562-8416-1755B5EDC9F9}"/>
    <hyperlink ref="A823" r:id="rId820" display="https://9607261.app.netsuite.com/app/reporting/reportrunner.nl?fromreport=320&amp;regtx,tranline,kacct,x,alltranline5,IN,x,x=950&amp;cr=293" xr:uid="{E66779EB-0AFA-41AB-8A12-1B690827ABFD}"/>
    <hyperlink ref="A824" r:id="rId821" display="https://9607261.app.netsuite.com/app/reporting/reportrunner.nl?fromreport=320&amp;regtx,tranline,kacct,x,alltranline5,IN,x,x=950&amp;cr=293" xr:uid="{089204CF-0E6B-4897-B418-B52140C11C2B}"/>
    <hyperlink ref="A825" r:id="rId822" display="https://9607261.app.netsuite.com/app/reporting/reportrunner.nl?fromreport=320&amp;regtx,tranline,kacct,x,alltranline5,IN,x,x=950&amp;cr=293" xr:uid="{5D9B54B6-912D-44F1-977F-8E80B88C3E52}"/>
    <hyperlink ref="A826" r:id="rId823" display="https://9607261.app.netsuite.com/app/reporting/reportrunner.nl?fromreport=320&amp;regtx,tranline,kacct,x,alltranline5,IN,x,x=950&amp;cr=293" xr:uid="{3EA9DD1B-52CA-49E0-94F1-6EEDFFA29068}"/>
    <hyperlink ref="A827" r:id="rId824" display="https://9607261.app.netsuite.com/app/reporting/reportrunner.nl?fromreport=320&amp;regtx,tranline,kacct,x,alltranline5,IN,x,x=950&amp;cr=293" xr:uid="{738D4A0E-E4A5-4E47-BF7D-9BEC629574FA}"/>
    <hyperlink ref="A828" r:id="rId825" display="https://9607261.app.netsuite.com/app/reporting/reportrunner.nl?fromreport=320&amp;regtx,tranline,kacct,x,alltranline5,IN,x,x=950&amp;cr=293" xr:uid="{BDF604BF-C646-4606-8448-8354CEC9BB5F}"/>
    <hyperlink ref="A829" r:id="rId826" display="https://9607261.app.netsuite.com/app/reporting/reportrunner.nl?fromreport=320&amp;regtx,tranline,kacct,x,alltranline5,IN,x,x=950&amp;cr=293" xr:uid="{B793F776-62B0-4358-B8C3-131231ED70C1}"/>
    <hyperlink ref="A830" r:id="rId827" display="https://9607261.app.netsuite.com/app/reporting/reportrunner.nl?fromreport=320&amp;regtx,tranline,kacct,x,alltranline5,IN,x,x=950&amp;cr=293" xr:uid="{717F43E4-A2CB-4895-A9B5-A705F16CCE6F}"/>
    <hyperlink ref="A831" r:id="rId828" display="https://9607261.app.netsuite.com/app/reporting/reportrunner.nl?fromreport=320&amp;regtx,tranline,kacct,x,alltranline5,IN,x,x=950&amp;cr=293" xr:uid="{71DCC488-8802-45B2-8AB8-F87231386F79}"/>
    <hyperlink ref="A832" r:id="rId829" display="https://9607261.app.netsuite.com/app/reporting/reportrunner.nl?fromreport=320&amp;regtx,tranline,kacct,x,alltranline5,IN,x,x=950&amp;cr=293" xr:uid="{5B9050ED-4C06-4C4E-84DA-9A4EAE627327}"/>
    <hyperlink ref="A833" r:id="rId830" display="https://9607261.app.netsuite.com/app/reporting/reportrunner.nl?fromreport=320&amp;regtx,tranline,kacct,x,alltranline5,IN,x,x=950&amp;cr=293" xr:uid="{8E86E4F3-E95C-4A5E-A5A1-8C253FA597E6}"/>
    <hyperlink ref="A834" r:id="rId831" display="https://9607261.app.netsuite.com/app/reporting/reportrunner.nl?fromreport=320&amp;regtx,tranline,kacct,x,alltranline5,IN,x,x=950&amp;cr=293" xr:uid="{539E1C88-FE8B-49EA-AF35-CDAB2A7729B3}"/>
    <hyperlink ref="A835" r:id="rId832" display="https://9607261.app.netsuite.com/app/reporting/reportrunner.nl?fromreport=320&amp;regtx,tranline,kacct,x,alltranline5,IN,x,x=950&amp;cr=293" xr:uid="{E43245A4-5F03-4EA7-800D-F3EC7FDBAF2B}"/>
    <hyperlink ref="A836" r:id="rId833" display="https://9607261.app.netsuite.com/app/reporting/reportrunner.nl?fromreport=320&amp;regtx,tranline,kacct,x,alltranline5,IN,x,x=950&amp;cr=293" xr:uid="{AE422371-8AFF-4AD7-85E1-1BF8241B6B79}"/>
    <hyperlink ref="A837" r:id="rId834" display="https://9607261.app.netsuite.com/app/reporting/reportrunner.nl?fromreport=320&amp;regtx,tranline,kacct,x,alltranline5,IN,x,x=950&amp;cr=293" xr:uid="{241FB6D5-C297-40DC-866B-C45FFB04A6DD}"/>
    <hyperlink ref="A838" r:id="rId835" display="https://9607261.app.netsuite.com/app/reporting/reportrunner.nl?fromreport=320&amp;regtx,tranline,kacct,x,alltranline5,IN,x,x=950&amp;cr=293" xr:uid="{7C6F3C2D-AE50-4363-A2AA-9CD89EE2BAAA}"/>
    <hyperlink ref="A839" r:id="rId836" display="https://9607261.app.netsuite.com/app/reporting/reportrunner.nl?fromreport=320&amp;regtx,tranline,kacct,x,alltranline5,IN,x,x=950&amp;cr=293" xr:uid="{117265A9-C9F8-48AE-8D39-A8C166B8E418}"/>
    <hyperlink ref="A840" r:id="rId837" display="https://9607261.app.netsuite.com/app/reporting/reportrunner.nl?fromreport=320&amp;regtx,tranline,kacct,x,alltranline5,IN,x,x=950&amp;cr=293" xr:uid="{6167B322-E197-4CB6-B3DD-E2B152334BDA}"/>
    <hyperlink ref="A841" r:id="rId838" display="https://9607261.app.netsuite.com/app/reporting/reportrunner.nl?fromreport=320&amp;regtx,tranline,kacct,x,alltranline5,IN,x,x=950&amp;cr=293" xr:uid="{B5EC0A76-FAEC-4CAE-894D-DAE559A4BF6A}"/>
    <hyperlink ref="A842" r:id="rId839" display="https://9607261.app.netsuite.com/app/reporting/reportrunner.nl?fromreport=320&amp;regtx,tranline,kacct,x,alltranline5,IN,x,x=950&amp;cr=293" xr:uid="{ADD489C1-761A-47BC-9B46-8451BD0F8211}"/>
    <hyperlink ref="A843" r:id="rId840" display="https://9607261.app.netsuite.com/app/reporting/reportrunner.nl?fromreport=320&amp;regtx,tranline,kacct,x,alltranline5,IN,x,x=950&amp;cr=293" xr:uid="{2678C45D-AF01-4D3F-A800-BEAEF03C19D1}"/>
    <hyperlink ref="A844" r:id="rId841" display="https://9607261.app.netsuite.com/app/reporting/reportrunner.nl?fromreport=320&amp;regtx,tranline,kacct,x,alltranline5,IN,x,x=950&amp;cr=293" xr:uid="{0B871029-CC7F-4282-B1E1-3F953BF7BD65}"/>
    <hyperlink ref="A845" r:id="rId842" display="https://9607261.app.netsuite.com/app/reporting/reportrunner.nl?fromreport=320&amp;regtx,tranline,kacct,x,alltranline5,IN,x,x=950&amp;cr=293" xr:uid="{65CBDEDB-AC9E-4275-BCC5-5B2EDBE8B7F6}"/>
    <hyperlink ref="A846" r:id="rId843" display="https://9607261.app.netsuite.com/app/reporting/reportrunner.nl?fromreport=320&amp;regtx,tranline,kacct,x,alltranline5,IN,x,x=950&amp;cr=293" xr:uid="{9548D9D0-8379-452D-8C89-9E184B758580}"/>
    <hyperlink ref="A847" r:id="rId844" display="https://9607261.app.netsuite.com/app/reporting/reportrunner.nl?fromreport=320&amp;regtx,tranline,kacct,x,alltranline5,IN,x,x=950&amp;cr=293" xr:uid="{41C81083-55E2-4AF2-8F92-2BFCB7FCBAA5}"/>
    <hyperlink ref="A848" r:id="rId845" display="https://9607261.app.netsuite.com/app/reporting/reportrunner.nl?fromreport=320&amp;regtx,tranline,kacct,x,alltranline5,IN,x,x=950&amp;cr=293" xr:uid="{185386F6-2BBE-4602-B3DB-14933CD8D3F3}"/>
    <hyperlink ref="A849" r:id="rId846" display="https://9607261.app.netsuite.com/app/reporting/reportrunner.nl?fromreport=320&amp;regtx,tranline,kacct,x,alltranline5,IN,x,x=950&amp;cr=293" xr:uid="{7D9D8FF1-4B41-4750-86E4-EFA8A286B5CB}"/>
    <hyperlink ref="A850" r:id="rId847" display="https://9607261.app.netsuite.com/app/reporting/reportrunner.nl?fromreport=320&amp;regtx,tranline,kacct,x,alltranline5,IN,x,x=950&amp;cr=293" xr:uid="{75012BAC-A246-47C8-B649-E67C2ECFBCC2}"/>
    <hyperlink ref="A851" r:id="rId848" display="https://9607261.app.netsuite.com/app/reporting/reportrunner.nl?fromreport=320&amp;regtx,tranline,kacct,x,alltranline5,IN,x,x=950&amp;cr=293" xr:uid="{29DD3A88-2E80-465E-B37B-AC36031A83CB}"/>
    <hyperlink ref="A852" r:id="rId849" display="https://9607261.app.netsuite.com/app/reporting/reportrunner.nl?fromreport=320&amp;regtx,tranline,kacct,x,alltranline5,IN,x,x=950&amp;cr=293" xr:uid="{F7CFDC34-1DE8-4CAC-ABCA-D634DAE911B8}"/>
    <hyperlink ref="A853" r:id="rId850" display="https://9607261.app.netsuite.com/app/reporting/reportrunner.nl?fromreport=320&amp;regtx,tranline,kacct,x,alltranline5,IN,x,x=950&amp;cr=293" xr:uid="{CEE7A1C4-04FA-4017-B00C-EBE2BDE82C75}"/>
    <hyperlink ref="A854" r:id="rId851" display="https://9607261.app.netsuite.com/app/reporting/reportrunner.nl?fromreport=320&amp;regtx,tranline,kacct,x,alltranline5,IN,x,x=950&amp;cr=293" xr:uid="{E6B9CB15-2634-43C0-88F0-53C08F5D143B}"/>
    <hyperlink ref="A855" r:id="rId852" display="https://9607261.app.netsuite.com/app/reporting/reportrunner.nl?fromreport=320&amp;regtx,tranline,kacct,x,alltranline5,IN,x,x=950&amp;cr=293" xr:uid="{7EFB7C38-0D86-427C-8E0A-F3E6A2201074}"/>
    <hyperlink ref="A856" r:id="rId853" display="https://9607261.app.netsuite.com/app/reporting/reportrunner.nl?fromreport=320&amp;regtx,tranline,kacct,x,alltranline5,IN,x,x=950&amp;cr=293" xr:uid="{C10ADFE8-AE19-467F-AF43-9C6CF9F11399}"/>
    <hyperlink ref="A857" r:id="rId854" display="https://9607261.app.netsuite.com/app/reporting/reportrunner.nl?fromreport=320&amp;regtx,tranline,kacct,x,alltranline5,IN,x,x=950&amp;cr=293" xr:uid="{B8AC86FE-5980-4E39-99D5-2E7B3D231FF3}"/>
    <hyperlink ref="A858" r:id="rId855" display="https://9607261.app.netsuite.com/app/reporting/reportrunner.nl?fromreport=320&amp;regtx,tranline,kacct,x,alltranline5,IN,x,x=950&amp;cr=293" xr:uid="{BF8898F3-92A0-4650-9ED0-BA090AF87B36}"/>
    <hyperlink ref="A859" r:id="rId856" display="https://9607261.app.netsuite.com/app/reporting/reportrunner.nl?fromreport=320&amp;regtx,tranline,kacct,x,alltranline5,IN,x,x=950&amp;cr=293" xr:uid="{30DB63BA-9026-40F7-AA3C-CE1DF2142283}"/>
    <hyperlink ref="A860" r:id="rId857" display="https://9607261.app.netsuite.com/app/reporting/reportrunner.nl?fromreport=320&amp;regtx,tranline,kacct,x,alltranline5,IN,x,x=950&amp;cr=293" xr:uid="{977F543F-2CAE-48EE-AE14-04F9D105A75E}"/>
    <hyperlink ref="A861" r:id="rId858" display="https://9607261.app.netsuite.com/app/reporting/reportrunner.nl?fromreport=320&amp;regtx,tranline,kacct,x,alltranline5,IN,x,x=950&amp;cr=293" xr:uid="{CABB540B-482D-493B-B8CE-2723827FFACC}"/>
    <hyperlink ref="A862" r:id="rId859" display="https://9607261.app.netsuite.com/app/reporting/reportrunner.nl?fromreport=320&amp;regtx,tranline,kacct,x,alltranline5,IN,x,x=950&amp;cr=293" xr:uid="{50B6E895-D774-4237-83B8-E2DE8F38E8A9}"/>
    <hyperlink ref="A863" r:id="rId860" display="https://9607261.app.netsuite.com/app/reporting/reportrunner.nl?fromreport=320&amp;regtx,tranline,kacct,x,alltranline5,IN,x,x=950&amp;cr=293" xr:uid="{4651D5CF-BCCD-469F-96B3-59C5F8CCC840}"/>
    <hyperlink ref="A864" r:id="rId861" display="https://9607261.app.netsuite.com/app/reporting/reportrunner.nl?fromreport=320&amp;regtx,tranline,kacct,x,alltranline5,IN,x,x=950&amp;cr=293" xr:uid="{50B19001-BF27-4CAF-ACF7-01276C7C4F7C}"/>
    <hyperlink ref="A865" r:id="rId862" display="https://9607261.app.netsuite.com/app/reporting/reportrunner.nl?fromreport=320&amp;regtx,tranline,kacct,x,alltranline5,IN,x,x=950&amp;cr=293" xr:uid="{5B6F9B64-B394-448B-B698-54AEC2455B64}"/>
    <hyperlink ref="A866" r:id="rId863" display="https://9607261.app.netsuite.com/app/reporting/reportrunner.nl?fromreport=320&amp;regtx,tranline,kacct,x,alltranline5,IN,x,x=950&amp;cr=293" xr:uid="{EBCB7734-F90A-4755-85EF-91273158520C}"/>
    <hyperlink ref="A867" r:id="rId864" display="https://9607261.app.netsuite.com/app/reporting/reportrunner.nl?fromreport=320&amp;regtx,tranline,kacct,x,alltranline5,IN,x,x=950&amp;cr=293" xr:uid="{6F34B910-6E8F-441E-BC96-F7A27B7A62D7}"/>
    <hyperlink ref="A868" r:id="rId865" display="https://9607261.app.netsuite.com/app/reporting/reportrunner.nl?fromreport=320&amp;regtx,tranline,kacct,x,alltranline5,IN,x,x=950&amp;cr=293" xr:uid="{781B9006-026E-4BFE-9796-12E5E3E55A15}"/>
    <hyperlink ref="A869" r:id="rId866" display="https://9607261.app.netsuite.com/app/reporting/reportrunner.nl?fromreport=320&amp;regtx,tranline,kacct,x,alltranline5,IN,x,x=950&amp;cr=293" xr:uid="{9CB779D9-6586-49C4-9DA6-951292EA4282}"/>
    <hyperlink ref="A870" r:id="rId867" display="https://9607261.app.netsuite.com/app/reporting/reportrunner.nl?fromreport=320&amp;regtx,tranline,kacct,x,alltranline5,IN,x,x=950&amp;cr=293" xr:uid="{25E358B8-AF84-4715-8087-46286DEB203F}"/>
    <hyperlink ref="A871" r:id="rId868" display="https://9607261.app.netsuite.com/app/reporting/reportrunner.nl?fromreport=320&amp;regtx,tranline,kacct,x,alltranline5,IN,x,x=950&amp;cr=293" xr:uid="{C95E6D55-71B5-498D-AC61-BE408B24DF84}"/>
    <hyperlink ref="A872" r:id="rId869" display="https://9607261.app.netsuite.com/app/reporting/reportrunner.nl?fromreport=320&amp;regtx,tranline,kacct,x,alltranline5,IN,x,x=950&amp;cr=293" xr:uid="{6400BCDF-324D-45CA-B208-75B5D6D723B8}"/>
    <hyperlink ref="A873" r:id="rId870" display="https://9607261.app.netsuite.com/app/reporting/reportrunner.nl?fromreport=320&amp;regtx,tranline,kacct,x,alltranline5,IN,x,x=950&amp;cr=293" xr:uid="{AF990D72-EDFC-43A3-B76F-7FEBF50E0543}"/>
    <hyperlink ref="A874" r:id="rId871" display="https://9607261.app.netsuite.com/app/reporting/reportrunner.nl?fromreport=320&amp;regtx,tranline,kacct,x,alltranline5,IN,x,x=950&amp;cr=293" xr:uid="{0A4C3BAA-21D3-42F8-BAE6-BC65EFC27BDC}"/>
    <hyperlink ref="A875" r:id="rId872" display="https://9607261.app.netsuite.com/app/reporting/reportrunner.nl?fromreport=320&amp;regtx,tranline,kacct,x,alltranline5,IN,x,x=950&amp;cr=293" xr:uid="{9B2D57A0-D0C4-4391-8944-430CDC23074B}"/>
    <hyperlink ref="A876" r:id="rId873" display="https://9607261.app.netsuite.com/app/reporting/reportrunner.nl?fromreport=320&amp;regtx,tranline,kacct,x,alltranline5,IN,x,x=950&amp;cr=293" xr:uid="{35FCA34B-F308-4765-8349-3F6D494BFDE8}"/>
    <hyperlink ref="A877" r:id="rId874" display="https://9607261.app.netsuite.com/app/reporting/reportrunner.nl?fromreport=320&amp;regtx,tranline,kacct,x,alltranline5,IN,x,x=950&amp;cr=293" xr:uid="{729BFC8E-D876-486E-919F-ABA25E3DFAED}"/>
    <hyperlink ref="A878" r:id="rId875" display="https://9607261.app.netsuite.com/app/reporting/reportrunner.nl?fromreport=320&amp;regtx,tranline,kacct,x,alltranline5,IN,x,x=950&amp;cr=293" xr:uid="{782377F3-69C4-4FED-A15B-E13963F6E627}"/>
    <hyperlink ref="A879" r:id="rId876" display="https://9607261.app.netsuite.com/app/reporting/reportrunner.nl?fromreport=320&amp;regtx,tranline,kacct,x,alltranline5,IN,x,x=950&amp;cr=293" xr:uid="{6F2AD99F-8366-4E5E-8A6B-172F18E07F0F}"/>
    <hyperlink ref="A880" r:id="rId877" display="https://9607261.app.netsuite.com/app/reporting/reportrunner.nl?fromreport=320&amp;regtx,tranline,kacct,x,alltranline5,IN,x,x=950&amp;cr=293" xr:uid="{67C40C0C-17E2-410D-9E8B-3EF078771B6C}"/>
    <hyperlink ref="A881" r:id="rId878" display="https://9607261.app.netsuite.com/app/reporting/reportrunner.nl?fromreport=320&amp;regtx,tranline,kacct,x,alltranline5,IN,x,x=950&amp;cr=293" xr:uid="{4C19C81A-6A63-4D84-A9FC-20FF5D00178E}"/>
    <hyperlink ref="A882" r:id="rId879" display="https://9607261.app.netsuite.com/app/reporting/reportrunner.nl?fromreport=320&amp;regtx,tranline,kacct,x,alltranline5,IN,x,x=950&amp;cr=293" xr:uid="{D681438A-BDC4-428E-B6C0-743008319B57}"/>
    <hyperlink ref="A883" r:id="rId880" display="https://9607261.app.netsuite.com/app/reporting/reportrunner.nl?fromreport=320&amp;regtx,tranline,kacct,x,alltranline5,IN,x,x=950&amp;cr=293" xr:uid="{B6058FE9-16E9-4101-82D3-DBAF25481E90}"/>
    <hyperlink ref="A884" r:id="rId881" display="https://9607261.app.netsuite.com/app/reporting/reportrunner.nl?fromreport=320&amp;regtx,tranline,kacct,x,alltranline5,IN,x,x=950&amp;cr=293" xr:uid="{37372B35-A634-4486-8DC7-D117451060CE}"/>
    <hyperlink ref="A885" r:id="rId882" display="https://9607261.app.netsuite.com/app/reporting/reportrunner.nl?fromreport=320&amp;regtx,tranline,kacct,x,alltranline5,IN,x,x=950&amp;cr=293" xr:uid="{547DB540-95DD-43A1-8EC4-3D0BB9DB3387}"/>
    <hyperlink ref="A886" r:id="rId883" display="https://9607261.app.netsuite.com/app/reporting/reportrunner.nl?fromreport=320&amp;regtx,tranline,kacct,x,alltranline5,IN,x,x=950&amp;cr=293" xr:uid="{0838C099-1267-4C94-A3CF-AC1F5511EC7D}"/>
    <hyperlink ref="A887" r:id="rId884" display="https://9607261.app.netsuite.com/app/reporting/reportrunner.nl?fromreport=320&amp;regtx,tranline,kacct,x,alltranline5,IN,x,x=950&amp;cr=293" xr:uid="{94AB1069-732F-49D5-B674-DA11CC22C0D1}"/>
    <hyperlink ref="A888" r:id="rId885" display="https://9607261.app.netsuite.com/app/reporting/reportrunner.nl?fromreport=320&amp;regtx,tranline,kacct,x,alltranline5,IN,x,x=950&amp;cr=293" xr:uid="{13FFAC8B-E4E4-485D-9A80-A6165D7B1058}"/>
    <hyperlink ref="A889" r:id="rId886" display="https://9607261.app.netsuite.com/app/reporting/reportrunner.nl?fromreport=320&amp;regtx,tranline,kacct,x,alltranline5,IN,x,x=950&amp;cr=293" xr:uid="{0B16DAC7-A90D-43E2-9D11-E149215710A8}"/>
    <hyperlink ref="A890" r:id="rId887" display="https://9607261.app.netsuite.com/app/reporting/reportrunner.nl?fromreport=320&amp;regtx,tranline,kacct,x,alltranline5,IN,x,x=950&amp;cr=293" xr:uid="{7B7F7D2F-6B54-4C18-B3F9-A15792113567}"/>
    <hyperlink ref="A891" r:id="rId888" display="https://9607261.app.netsuite.com/app/reporting/reportrunner.nl?fromreport=320&amp;regtx,tranline,kacct,x,alltranline5,IN,x,x=950&amp;cr=293" xr:uid="{CAA8CAF2-8F38-4531-A4EE-2CB092517FF4}"/>
    <hyperlink ref="A892" r:id="rId889" display="https://9607261.app.netsuite.com/app/reporting/reportrunner.nl?fromreport=320&amp;regtx,tranline,kacct,x,alltranline5,IN,x,x=950&amp;cr=293" xr:uid="{C2F13539-F41E-4A08-8A09-93EBF274C4CF}"/>
    <hyperlink ref="A893" r:id="rId890" display="https://9607261.app.netsuite.com/app/reporting/reportrunner.nl?fromreport=320&amp;regtx,tranline,kacct,x,alltranline5,IN,x,x=950&amp;cr=293" xr:uid="{9FCF8200-B992-4DD2-BF67-33A449EB2CD3}"/>
    <hyperlink ref="A894" r:id="rId891" display="https://9607261.app.netsuite.com/app/reporting/reportrunner.nl?fromreport=320&amp;regtx,tranline,kacct,x,alltranline5,IN,x,x=950&amp;cr=293" xr:uid="{20622E05-07B1-47B7-AE3B-57497D15ECFC}"/>
    <hyperlink ref="A895" r:id="rId892" display="https://9607261.app.netsuite.com/app/reporting/reportrunner.nl?fromreport=320&amp;regtx,tranline,kacct,x,alltranline5,IN,x,x=950&amp;cr=293" xr:uid="{09AFA6E5-BB30-4BB1-AA94-91EFAD127F8D}"/>
    <hyperlink ref="A896" r:id="rId893" display="https://9607261.app.netsuite.com/app/reporting/reportrunner.nl?fromreport=320&amp;regtx,tranline,kacct,x,alltranline5,IN,x,x=950&amp;cr=293" xr:uid="{961ACB4E-D4CF-42C2-9C6A-B9D19604C516}"/>
    <hyperlink ref="A897" r:id="rId894" display="https://9607261.app.netsuite.com/app/reporting/reportrunner.nl?fromreport=320&amp;regtx,tranline,kacct,x,alltranline5,IN,x,x=950&amp;cr=293" xr:uid="{712F9945-115E-4F5D-9260-877DB58856C0}"/>
    <hyperlink ref="A898" r:id="rId895" display="https://9607261.app.netsuite.com/app/reporting/reportrunner.nl?fromreport=320&amp;regtx,tranline,kacct,x,alltranline5,IN,x,x=950&amp;cr=293" xr:uid="{6CF6D7C0-9AFE-4ED6-8C07-53C412DABF4C}"/>
    <hyperlink ref="A899" r:id="rId896" display="https://9607261.app.netsuite.com/app/reporting/reportrunner.nl?fromreport=320&amp;regtx,tranline,kacct,x,alltranline5,IN,x,x=950&amp;cr=293" xr:uid="{D958F750-93A9-41EE-A6E4-2CC1012F9EB5}"/>
    <hyperlink ref="A900" r:id="rId897" display="https://9607261.app.netsuite.com/app/reporting/reportrunner.nl?fromreport=320&amp;regtx,tranline,kacct,x,alltranline5,IN,x,x=950&amp;cr=293" xr:uid="{5A57BF91-F950-4666-BD17-66D4EF9E886B}"/>
    <hyperlink ref="A901" r:id="rId898" display="https://9607261.app.netsuite.com/app/reporting/reportrunner.nl?fromreport=320&amp;regtx,tranline,kacct,x,alltranline5,IN,x,x=950&amp;cr=293" xr:uid="{CAE3CA23-1304-4BE1-BA7F-807C3A7749FA}"/>
    <hyperlink ref="A902" r:id="rId899" display="https://9607261.app.netsuite.com/app/reporting/reportrunner.nl?fromreport=320&amp;regtx,tranline,kacct,x,alltranline5,IN,x,x=950&amp;cr=293" xr:uid="{B76417F0-FA85-4342-BA43-BFB104C4B6EC}"/>
    <hyperlink ref="A903" r:id="rId900" display="https://9607261.app.netsuite.com/app/reporting/reportrunner.nl?fromreport=320&amp;regtx,tranline,kacct,x,alltranline5,IN,x,x=950&amp;cr=293" xr:uid="{B730F2C9-CFD0-43A7-B4DD-5D1029E6FC64}"/>
    <hyperlink ref="A904" r:id="rId901" display="https://9607261.app.netsuite.com/app/reporting/reportrunner.nl?fromreport=320&amp;regtx,tranline,kacct,x,alltranline5,IN,x,x=950&amp;cr=293" xr:uid="{68F79C14-5789-42E4-B425-F099050ECA01}"/>
    <hyperlink ref="A905" r:id="rId902" display="https://9607261.app.netsuite.com/app/reporting/reportrunner.nl?fromreport=320&amp;regtx,tranline,kacct,x,alltranline5,IN,x,x=950&amp;cr=293" xr:uid="{8BD3C982-EDCE-47F4-87CC-57C10B592AF5}"/>
    <hyperlink ref="A906" r:id="rId903" display="https://9607261.app.netsuite.com/app/reporting/reportrunner.nl?fromreport=320&amp;regtx,tranline,kacct,x,alltranline5,IN,x,x=950&amp;cr=293" xr:uid="{02754E20-D9D9-4DB7-8C71-82E9D25745AA}"/>
    <hyperlink ref="A907" r:id="rId904" display="https://9607261.app.netsuite.com/app/reporting/reportrunner.nl?fromreport=320&amp;regtx,tranline,kacct,x,alltranline5,IN,x,x=950&amp;cr=293" xr:uid="{69BD1DDF-35A2-4D6F-A9C6-F801D71410EB}"/>
    <hyperlink ref="A908" r:id="rId905" display="https://9607261.app.netsuite.com/app/reporting/reportrunner.nl?fromreport=320&amp;regtx,tranline,kacct,x,alltranline5,IN,x,x=950&amp;cr=293" xr:uid="{EB9A74B7-35F5-44BE-978B-731B6B274A1E}"/>
    <hyperlink ref="A909" r:id="rId906" display="https://9607261.app.netsuite.com/app/reporting/reportrunner.nl?fromreport=320&amp;regtx,tranline,kacct,x,alltranline5,IN,x,x=950&amp;cr=293" xr:uid="{2787648B-C308-4DA8-A8BD-4B7D5EE14DB7}"/>
    <hyperlink ref="A910" r:id="rId907" display="https://9607261.app.netsuite.com/app/reporting/reportrunner.nl?fromreport=320&amp;regtx,tranline,kacct,x,alltranline5,IN,x,x=950&amp;cr=293" xr:uid="{9DF10ABC-3921-44FD-A00E-3E4B7C16A694}"/>
    <hyperlink ref="A911" r:id="rId908" display="https://9607261.app.netsuite.com/app/reporting/reportrunner.nl?fromreport=320&amp;regtx,tranline,kacct,x,alltranline5,IN,x,x=950&amp;cr=293" xr:uid="{78A8B730-F209-4C84-A156-4B046E9060E2}"/>
    <hyperlink ref="A912" r:id="rId909" display="https://9607261.app.netsuite.com/app/reporting/reportrunner.nl?fromreport=320&amp;regtx,tranline,kacct,x,alltranline5,IN,x,x=950&amp;cr=293" xr:uid="{AEECCE67-EBF6-4E34-8B64-0D6D44D41831}"/>
    <hyperlink ref="A913" r:id="rId910" display="https://9607261.app.netsuite.com/app/reporting/reportrunner.nl?fromreport=320&amp;regtx,tranline,kacct,x,alltranline5,IN,x,x=950&amp;cr=293" xr:uid="{2CD61E16-3668-4FEF-B0D1-D0B19C83DEAD}"/>
    <hyperlink ref="A914" r:id="rId911" display="https://9607261.app.netsuite.com/app/reporting/reportrunner.nl?fromreport=320&amp;regtx,tranline,kacct,x,alltranline5,IN,x,x=950&amp;cr=293" xr:uid="{B5ABF2E0-353B-455B-B662-2A660C02A7D5}"/>
    <hyperlink ref="A915" r:id="rId912" display="https://9607261.app.netsuite.com/app/reporting/reportrunner.nl?fromreport=320&amp;regtx,tranline,kacct,x,alltranline5,IN,x,x=950&amp;cr=293" xr:uid="{62AA9F5A-10E5-4ABC-88ED-FAAD062EB1B5}"/>
    <hyperlink ref="A916" r:id="rId913" display="https://9607261.app.netsuite.com/app/reporting/reportrunner.nl?fromreport=320&amp;regtx,tranline,kacct,x,alltranline5,IN,x,x=950&amp;cr=293" xr:uid="{F7960D3F-A822-44E7-908D-2028B172041C}"/>
    <hyperlink ref="A917" r:id="rId914" display="https://9607261.app.netsuite.com/app/reporting/reportrunner.nl?fromreport=320&amp;regtx,tranline,kacct,x,alltranline5,IN,x,x=950&amp;cr=293" xr:uid="{13E57893-7845-4011-B9BF-AA7FC176BA86}"/>
    <hyperlink ref="A918" r:id="rId915" display="https://9607261.app.netsuite.com/app/reporting/reportrunner.nl?fromreport=320&amp;regtx,tranline,kacct,x,alltranline5,IN,x,x=950&amp;cr=293" xr:uid="{29312531-5A82-4597-91D6-5AA1AB5D8EEF}"/>
    <hyperlink ref="A919" r:id="rId916" display="https://9607261.app.netsuite.com/app/reporting/reportrunner.nl?fromreport=320&amp;regtx,tranline,kacct,x,alltranline5,IN,x,x=950&amp;cr=293" xr:uid="{30A38895-4016-488A-980D-FCFE3237294B}"/>
    <hyperlink ref="A920" r:id="rId917" display="https://9607261.app.netsuite.com/app/reporting/reportrunner.nl?fromreport=320&amp;regtx,tranline,kacct,x,alltranline5,IN,x,x=950&amp;cr=293" xr:uid="{CBE567B9-C03C-4A58-9559-6710895B5802}"/>
    <hyperlink ref="A921" r:id="rId918" display="https://9607261.app.netsuite.com/app/reporting/reportrunner.nl?fromreport=320&amp;regtx,tranline,kacct,x,alltranline5,IN,x,x=950&amp;cr=293" xr:uid="{ED857DAC-0EB2-4F74-928A-03414B660982}"/>
    <hyperlink ref="A922" r:id="rId919" display="https://9607261.app.netsuite.com/app/reporting/reportrunner.nl?fromreport=320&amp;regtx,tranline,kacct,x,alltranline5,IN,x,x=950&amp;cr=293" xr:uid="{474F9399-796A-4B99-97A7-DDABB20A4E0E}"/>
    <hyperlink ref="A923" r:id="rId920" display="https://9607261.app.netsuite.com/app/reporting/reportrunner.nl?fromreport=320&amp;regtx,tranline,kacct,x,alltranline5,IN,x,x=950&amp;cr=293" xr:uid="{9C6E687C-8A81-471F-94C6-6CD5498FBDE0}"/>
    <hyperlink ref="A924" r:id="rId921" display="https://9607261.app.netsuite.com/app/reporting/reportrunner.nl?fromreport=320&amp;regtx,tranline,kacct,x,alltranline5,IN,x,x=950&amp;cr=293" xr:uid="{58A7FBAC-E771-4F49-AC4C-A056E543E5C8}"/>
    <hyperlink ref="A925" r:id="rId922" display="https://9607261.app.netsuite.com/app/reporting/reportrunner.nl?fromreport=320&amp;regtx,tranline,kacct,x,alltranline5,IN,x,x=950&amp;cr=293" xr:uid="{C136C55B-AD6C-42F5-B8B7-6B601A90AE53}"/>
    <hyperlink ref="A926" r:id="rId923" display="https://9607261.app.netsuite.com/app/reporting/reportrunner.nl?fromreport=320&amp;regtx,tranline,kacct,x,alltranline5,IN,x,x=950&amp;cr=293" xr:uid="{29141499-98AA-49D9-A968-CB87F90CDC51}"/>
    <hyperlink ref="A927" r:id="rId924" display="https://9607261.app.netsuite.com/app/reporting/reportrunner.nl?fromreport=320&amp;regtx,tranline,kacct,x,alltranline5,IN,x,x=950&amp;cr=293" xr:uid="{84F46CB0-1E4E-4532-9657-D5B6ACB63246}"/>
    <hyperlink ref="A928" r:id="rId925" display="https://9607261.app.netsuite.com/app/reporting/reportrunner.nl?fromreport=320&amp;regtx,tranline,kacct,x,alltranline5,IN,x,x=950&amp;cr=293" xr:uid="{26541C2B-5639-4140-9848-98961268968A}"/>
    <hyperlink ref="A929" r:id="rId926" display="https://9607261.app.netsuite.com/app/reporting/reportrunner.nl?fromreport=320&amp;regtx,tranline,kacct,x,alltranline5,IN,x,x=950&amp;cr=293" xr:uid="{27356286-6B36-440E-BE35-A23A77548166}"/>
    <hyperlink ref="A930" r:id="rId927" display="https://9607261.app.netsuite.com/app/reporting/reportrunner.nl?fromreport=320&amp;regtx,tranline,kacct,x,alltranline5,IN,x,x=950&amp;cr=293" xr:uid="{84D0A971-6270-488D-BD8B-AD49907F7D67}"/>
    <hyperlink ref="A931" r:id="rId928" display="https://9607261.app.netsuite.com/app/reporting/reportrunner.nl?fromreport=320&amp;regtx,tranline,kacct,x,alltranline5,IN,x,x=950&amp;cr=293" xr:uid="{B22B6723-95D0-4102-A154-9D452A44B259}"/>
    <hyperlink ref="A932" r:id="rId929" display="https://9607261.app.netsuite.com/app/reporting/reportrunner.nl?fromreport=320&amp;regtx,tranline,kacct,x,alltranline5,IN,x,x=950&amp;cr=293" xr:uid="{6CB2C590-9C33-4F68-9A4D-1032A3AF36A1}"/>
    <hyperlink ref="A933" r:id="rId930" display="https://9607261.app.netsuite.com/app/reporting/reportrunner.nl?fromreport=320&amp;regtx,tranline,kacct,x,alltranline5,IN,x,x=950&amp;cr=293" xr:uid="{0ADD6BB9-7B8D-4644-9463-35A85317EE6D}"/>
    <hyperlink ref="A934" r:id="rId931" display="https://9607261.app.netsuite.com/app/reporting/reportrunner.nl?fromreport=320&amp;regtx,tranline,kacct,x,alltranline5,IN,x,x=950&amp;cr=293" xr:uid="{E2AA2CEC-11B7-4B47-A5AC-226A4A6BA6E3}"/>
    <hyperlink ref="A935" r:id="rId932" display="https://9607261.app.netsuite.com/app/reporting/reportrunner.nl?fromreport=320&amp;regtx,tranline,kacct,x,alltranline5,IN,x,x=950&amp;cr=293" xr:uid="{4F07CD1F-B2E0-4DFC-8790-5652654357F4}"/>
    <hyperlink ref="A936" r:id="rId933" display="https://9607261.app.netsuite.com/app/reporting/reportrunner.nl?fromreport=320&amp;regtx,tranline,kacct,x,alltranline5,IN,x,x=950&amp;cr=293" xr:uid="{0E58CA42-B04F-4B61-B452-2CC5A2AF0C51}"/>
    <hyperlink ref="A937" r:id="rId934" display="https://9607261.app.netsuite.com/app/reporting/reportrunner.nl?fromreport=320&amp;regtx,tranline,kacct,x,alltranline5,IN,x,x=950&amp;cr=293" xr:uid="{C307D480-4978-468E-9F1F-98B89F3EF1A2}"/>
    <hyperlink ref="A938" r:id="rId935" display="https://9607261.app.netsuite.com/app/reporting/reportrunner.nl?fromreport=320&amp;regtx,tranline,kacct,x,alltranline5,IN,x,x=950&amp;cr=293" xr:uid="{6628E6A0-2308-4BA0-9ED5-195282C31FA3}"/>
    <hyperlink ref="A939" r:id="rId936" display="https://9607261.app.netsuite.com/app/reporting/reportrunner.nl?fromreport=320&amp;regtx,tranline,kacct,x,alltranline5,IN,x,x=950&amp;cr=293" xr:uid="{EBC82EDD-2416-4E5E-A59F-70D5AB2037F7}"/>
    <hyperlink ref="A940" r:id="rId937" display="https://9607261.app.netsuite.com/app/reporting/reportrunner.nl?fromreport=320&amp;regtx,tranline,kacct,x,alltranline5,IN,x,x=950&amp;cr=293" xr:uid="{3F218C3F-FACB-4EA6-ABEC-3B91B1D7FB5D}"/>
    <hyperlink ref="A941" r:id="rId938" display="https://9607261.app.netsuite.com/app/reporting/reportrunner.nl?fromreport=320&amp;regtx,tranline,kacct,x,alltranline5,IN,x,x=950&amp;cr=293" xr:uid="{BE68D798-3A9B-437E-9BD9-601D715610AB}"/>
    <hyperlink ref="A942" r:id="rId939" display="https://9607261.app.netsuite.com/app/reporting/reportrunner.nl?fromreport=320&amp;regtx,tranline,kacct,x,alltranline5,IN,x,x=950&amp;cr=293" xr:uid="{82287090-6E0C-4058-98A9-BE1E16D72ABF}"/>
    <hyperlink ref="A943" r:id="rId940" display="https://9607261.app.netsuite.com/app/reporting/reportrunner.nl?fromreport=320&amp;regtx,tranline,kacct,x,alltranline5,IN,x,x=950&amp;cr=293" xr:uid="{005EA354-D400-4C95-8AB4-790EBF63DCC6}"/>
    <hyperlink ref="A944" r:id="rId941" display="https://9607261.app.netsuite.com/app/reporting/reportrunner.nl?fromreport=320&amp;regtx,tranline,kacct,x,alltranline5,IN,x,x=950&amp;cr=293" xr:uid="{CA161693-B233-4FF6-B191-5C3A4538A87E}"/>
    <hyperlink ref="A945" r:id="rId942" display="https://9607261.app.netsuite.com/app/reporting/reportrunner.nl?fromreport=320&amp;regtx,tranline,kacct,x,alltranline5,IN,x,x=950&amp;cr=293" xr:uid="{60A8B872-4B95-4163-9B95-AC4D0939FEF9}"/>
    <hyperlink ref="A946" r:id="rId943" display="https://9607261.app.netsuite.com/app/reporting/reportrunner.nl?fromreport=320&amp;regtx,tranline,kacct,x,alltranline5,IN,x,x=950&amp;cr=293" xr:uid="{9949F221-3DC1-442C-BC2D-D5AADDA5F14F}"/>
    <hyperlink ref="A947" r:id="rId944" display="https://9607261.app.netsuite.com/app/reporting/reportrunner.nl?fromreport=320&amp;regtx,tranline,kacct,x,alltranline5,IN,x,x=950&amp;cr=293" xr:uid="{F91BA1E9-D492-4945-BC95-E6F9C5356B11}"/>
    <hyperlink ref="A948" r:id="rId945" display="https://9607261.app.netsuite.com/app/reporting/reportrunner.nl?fromreport=320&amp;regtx,tranline,kacct,x,alltranline5,IN,x,x=950&amp;cr=293" xr:uid="{0C32DD28-B136-4741-9F88-D39A51AEE80D}"/>
    <hyperlink ref="A949" r:id="rId946" display="https://9607261.app.netsuite.com/app/reporting/reportrunner.nl?fromreport=320&amp;regtx,tranline,kacct,x,alltranline5,IN,x,x=950&amp;cr=293" xr:uid="{2978B765-D819-4657-A9D1-DD559FB7B33D}"/>
    <hyperlink ref="A950" r:id="rId947" display="https://9607261.app.netsuite.com/app/reporting/reportrunner.nl?fromreport=320&amp;regtx,tranline,kacct,x,alltranline5,IN,x,x=950&amp;cr=293" xr:uid="{3273EE71-CDF2-425D-A133-88A0AE461830}"/>
    <hyperlink ref="A951" r:id="rId948" display="https://9607261.app.netsuite.com/app/reporting/reportrunner.nl?fromreport=320&amp;regtx,tranline,kacct,x,alltranline5,IN,x,x=950&amp;cr=293" xr:uid="{7718B5E2-F6D7-46AD-A03D-F6CCC840CD27}"/>
    <hyperlink ref="A952" r:id="rId949" display="https://9607261.app.netsuite.com/app/reporting/reportrunner.nl?fromreport=320&amp;regtx,tranline,kacct,x,alltranline5,IN,x,x=950&amp;cr=293" xr:uid="{3D6B2B04-1EF6-4339-9EED-E76657FDCB52}"/>
    <hyperlink ref="A953" r:id="rId950" display="https://9607261.app.netsuite.com/app/reporting/reportrunner.nl?fromreport=320&amp;regtx,tranline,kacct,x,alltranline5,IN,x,x=950&amp;cr=293" xr:uid="{86D60690-2E63-413B-9438-08CF39451545}"/>
    <hyperlink ref="A954" r:id="rId951" display="https://9607261.app.netsuite.com/app/reporting/reportrunner.nl?fromreport=320&amp;regtx,tranline,kacct,x,alltranline5,IN,x,x=950&amp;cr=293" xr:uid="{EB8EB6C1-A5A0-4476-9451-0815C5A89359}"/>
    <hyperlink ref="A955" r:id="rId952" display="https://9607261.app.netsuite.com/app/reporting/reportrunner.nl?fromreport=320&amp;regtx,tranline,kacct,x,alltranline5,IN,x,x=950&amp;cr=293" xr:uid="{C86C3A2C-3D3C-48CC-ABB3-08EF9A25DE08}"/>
    <hyperlink ref="A956" r:id="rId953" display="https://9607261.app.netsuite.com/app/reporting/reportrunner.nl?fromreport=320&amp;regtx,tranline,kacct,x,alltranline5,IN,x,x=950&amp;cr=293" xr:uid="{68EBA7F6-6DB0-4732-84EA-B301A83BDDDB}"/>
    <hyperlink ref="A957" r:id="rId954" display="https://9607261.app.netsuite.com/app/reporting/reportrunner.nl?fromreport=320&amp;regtx,tranline,kacct,x,alltranline5,IN,x,x=950&amp;cr=293" xr:uid="{A22DFED6-183B-4ECF-910A-86D9FB257851}"/>
    <hyperlink ref="A958" r:id="rId955" display="https://9607261.app.netsuite.com/app/reporting/reportrunner.nl?fromreport=320&amp;regtx,tranline,kacct,x,alltranline5,IN,x,x=950&amp;cr=293" xr:uid="{B36CFD05-1F23-4E08-961F-EDB36FD6F8CD}"/>
    <hyperlink ref="A959" r:id="rId956" display="https://9607261.app.netsuite.com/app/reporting/reportrunner.nl?fromreport=320&amp;regtx,tranline,kacct,x,alltranline5,IN,x,x=950&amp;cr=293" xr:uid="{56EF7FA6-9D10-4B31-8A43-A37F187CAF36}"/>
    <hyperlink ref="A960" r:id="rId957" display="https://9607261.app.netsuite.com/app/reporting/reportrunner.nl?fromreport=320&amp;regtx,tranline,kacct,x,alltranline5,IN,x,x=950&amp;cr=293" xr:uid="{91BF4F65-AD25-4B6B-8F97-183380EAA6A2}"/>
    <hyperlink ref="A961" r:id="rId958" display="https://9607261.app.netsuite.com/app/reporting/reportrunner.nl?fromreport=320&amp;regtx,tranline,kacct,x,alltranline5,IN,x,x=950&amp;cr=293" xr:uid="{C7DF2A17-A14E-4B49-92E2-B3C52085FFD6}"/>
    <hyperlink ref="A962" r:id="rId959" display="https://9607261.app.netsuite.com/app/reporting/reportrunner.nl?fromreport=320&amp;regtx,tranline,kacct,x,alltranline5,IN,x,x=950&amp;cr=293" xr:uid="{3EA2F413-80FF-4320-B360-3F12063F9B2F}"/>
    <hyperlink ref="A963" r:id="rId960" display="https://9607261.app.netsuite.com/app/reporting/reportrunner.nl?fromreport=320&amp;regtx,tranline,kacct,x,alltranline5,IN,x,x=950&amp;cr=293" xr:uid="{CBE17CA0-F599-4377-ACB2-93EC99E2124A}"/>
    <hyperlink ref="A964" r:id="rId961" display="https://9607261.app.netsuite.com/app/reporting/reportrunner.nl?fromreport=320&amp;regtx,tranline,kacct,x,alltranline5,IN,x,x=950&amp;cr=293" xr:uid="{D1ADFB6F-78AA-4137-A2E0-A4EC0DC0AF1F}"/>
    <hyperlink ref="A965" r:id="rId962" display="https://9607261.app.netsuite.com/app/reporting/reportrunner.nl?fromreport=320&amp;regtx,tranline,kacct,x,alltranline5,IN,x,x=950&amp;cr=293" xr:uid="{C9D5178F-7107-47BC-ABF5-AAF6FED293FD}"/>
    <hyperlink ref="A966" r:id="rId963" display="https://9607261.app.netsuite.com/app/reporting/reportrunner.nl?fromreport=320&amp;regtx,tranline,kacct,x,alltranline5,IN,x,x=950&amp;cr=293" xr:uid="{87247AA4-C8AE-4893-9665-E471B3ED6D7A}"/>
    <hyperlink ref="A967" r:id="rId964" display="https://9607261.app.netsuite.com/app/reporting/reportrunner.nl?fromreport=320&amp;regtx,tranline,kacct,x,alltranline5,IN,x,x=950&amp;cr=293" xr:uid="{7FD665AC-A02A-4C0C-BBB4-5D595BF28E7F}"/>
    <hyperlink ref="A968" r:id="rId965" display="https://9607261.app.netsuite.com/app/reporting/reportrunner.nl?fromreport=320&amp;regtx,tranline,kacct,x,alltranline5,IN,x,x=950&amp;cr=293" xr:uid="{5E3705FF-6606-4FB2-B3CE-11D671C87CE8}"/>
    <hyperlink ref="A969" r:id="rId966" display="https://9607261.app.netsuite.com/app/reporting/reportrunner.nl?fromreport=320&amp;regtx,tranline,kacct,x,alltranline5,IN,x,x=950&amp;cr=293" xr:uid="{F4BD7E13-7964-440B-B9D7-DFC39E766817}"/>
    <hyperlink ref="A970" r:id="rId967" display="https://9607261.app.netsuite.com/app/reporting/reportrunner.nl?fromreport=320&amp;regtx,tranline,kacct,x,alltranline5,IN,x,x=950&amp;cr=293" xr:uid="{B110247C-AF89-4A51-9723-8625F0C8B39A}"/>
    <hyperlink ref="A971" r:id="rId968" display="https://9607261.app.netsuite.com/app/reporting/reportrunner.nl?fromreport=320&amp;regtx,tranline,kacct,x,alltranline5,IN,x,x=950&amp;cr=293" xr:uid="{34DCD2CF-CBA1-41C9-BC66-98DA0A2B979D}"/>
    <hyperlink ref="A972" r:id="rId969" display="https://9607261.app.netsuite.com/app/reporting/reportrunner.nl?fromreport=320&amp;regtx,tranline,kacct,x,alltranline5,IN,x,x=950&amp;cr=293" xr:uid="{A98C96F4-960A-435C-8136-93B9EE541EE6}"/>
    <hyperlink ref="A973" r:id="rId970" display="https://9607261.app.netsuite.com/app/reporting/reportrunner.nl?fromreport=320&amp;regtx,tranline,kacct,x,alltranline5,IN,x,x=950&amp;cr=293" xr:uid="{C0C6A69C-F6B9-40AD-9649-A2CD484B0386}"/>
    <hyperlink ref="A974" r:id="rId971" display="https://9607261.app.netsuite.com/app/reporting/reportrunner.nl?fromreport=320&amp;regtx,tranline,kacct,x,alltranline5,IN,x,x=950&amp;cr=293" xr:uid="{83473534-69E3-4F30-AD2B-9924958DA97E}"/>
    <hyperlink ref="A975" r:id="rId972" display="https://9607261.app.netsuite.com/app/reporting/reportrunner.nl?fromreport=320&amp;regtx,tranline,kacct,x,alltranline5,IN,x,x=950&amp;cr=293" xr:uid="{B022D896-94B6-4F1E-B92D-90046DAC01E6}"/>
    <hyperlink ref="A976" r:id="rId973" display="https://9607261.app.netsuite.com/app/reporting/reportrunner.nl?fromreport=320&amp;regtx,tranline,kacct,x,alltranline5,IN,x,x=950&amp;cr=293" xr:uid="{FC08D1C7-2FC5-4E51-83BB-B65010C50301}"/>
    <hyperlink ref="A977" r:id="rId974" display="https://9607261.app.netsuite.com/app/reporting/reportrunner.nl?fromreport=320&amp;regtx,tranline,kacct,x,alltranline5,IN,x,x=950&amp;cr=293" xr:uid="{CB02D5E9-797B-43FA-A78C-25E729B98E76}"/>
    <hyperlink ref="A978" r:id="rId975" display="https://9607261.app.netsuite.com/app/reporting/reportrunner.nl?fromreport=320&amp;regtx,tranline,kacct,x,alltranline5,IN,x,x=950&amp;cr=293" xr:uid="{31B6EA9B-5554-4600-BCF4-53F53E9D4E9F}"/>
    <hyperlink ref="A979" r:id="rId976" display="https://9607261.app.netsuite.com/app/reporting/reportrunner.nl?fromreport=320&amp;regtx,tranline,kacct,x,alltranline5,IN,x,x=950&amp;cr=293" xr:uid="{85E00D71-2B03-4596-B52C-811B8D554E30}"/>
    <hyperlink ref="A980" r:id="rId977" display="https://9607261.app.netsuite.com/app/reporting/reportrunner.nl?fromreport=320&amp;regtx,tranline,kacct,x,alltranline5,IN,x,x=950&amp;cr=293" xr:uid="{5C77B1C2-F6CF-423D-AED1-18B1DD38A556}"/>
    <hyperlink ref="A981" r:id="rId978" display="https://9607261.app.netsuite.com/app/reporting/reportrunner.nl?fromreport=320&amp;regtx,tranline,kacct,x,alltranline5,IN,x,x=950&amp;cr=293" xr:uid="{223C7834-9414-41E8-9F87-E4A301E43338}"/>
    <hyperlink ref="A982" r:id="rId979" display="https://9607261.app.netsuite.com/app/reporting/reportrunner.nl?fromreport=320&amp;regtx,tranline,kacct,x,alltranline5,IN,x,x=950&amp;cr=293" xr:uid="{04EB104A-F94A-4D18-9371-67A15D3C0463}"/>
    <hyperlink ref="A983" r:id="rId980" display="https://9607261.app.netsuite.com/app/reporting/reportrunner.nl?fromreport=320&amp;regtx,tranline,kacct,x,alltranline5,IN,x,x=950&amp;cr=293" xr:uid="{B88DBF10-FB05-4457-A5CD-47A5D4DA8BE1}"/>
    <hyperlink ref="A984" r:id="rId981" display="https://9607261.app.netsuite.com/app/reporting/reportrunner.nl?fromreport=320&amp;regtx,tranline,kacct,x,alltranline5,IN,x,x=950&amp;cr=293" xr:uid="{3D7CC314-21FB-4AD3-95E9-758A4CCE18F8}"/>
    <hyperlink ref="A985" r:id="rId982" display="https://9607261.app.netsuite.com/app/reporting/reportrunner.nl?fromreport=320&amp;regtx,tranline,kacct,x,alltranline5,IN,x,x=950&amp;cr=293" xr:uid="{6A8BF91F-8EFF-4D49-8A98-EFC1721AA4A4}"/>
    <hyperlink ref="A986" r:id="rId983" display="https://9607261.app.netsuite.com/app/reporting/reportrunner.nl?fromreport=320&amp;regtx,tranline,kacct,x,alltranline5,IN,x,x=950&amp;cr=293" xr:uid="{67EF5A95-6347-4C5F-AC3A-A5A39966581C}"/>
    <hyperlink ref="A987" r:id="rId984" display="https://9607261.app.netsuite.com/app/reporting/reportrunner.nl?fromreport=320&amp;regtx,tranline,kacct,x,alltranline5,IN,x,x=950&amp;cr=293" xr:uid="{D2D5C2EF-B5A5-4EAB-B6E6-13040EF1197B}"/>
    <hyperlink ref="A988" r:id="rId985" display="https://9607261.app.netsuite.com/app/reporting/reportrunner.nl?fromreport=320&amp;regtx,tranline,kacct,x,alltranline5,IN,x,x=950&amp;cr=293" xr:uid="{8A329994-FD4B-4404-BB6E-06C47A655C2B}"/>
    <hyperlink ref="A989" r:id="rId986" display="https://9607261.app.netsuite.com/app/reporting/reportrunner.nl?fromreport=320&amp;regtx,tranline,kacct,x,alltranline5,IN,x,x=950&amp;cr=293" xr:uid="{528E9C4F-0C58-4088-896A-A5FA69FCAC4A}"/>
    <hyperlink ref="A990" r:id="rId987" display="https://9607261.app.netsuite.com/app/reporting/reportrunner.nl?fromreport=320&amp;regtx,tranline,kacct,x,alltranline5,IN,x,x=950&amp;cr=293" xr:uid="{026EA448-FE05-4333-89AC-DD830780E99F}"/>
    <hyperlink ref="A991" r:id="rId988" display="https://9607261.app.netsuite.com/app/reporting/reportrunner.nl?fromreport=320&amp;regtx,tranline,kacct,x,alltranline5,IN,x,x=950&amp;cr=293" xr:uid="{D72D9005-CF53-4F52-9F8E-81B3179E68D8}"/>
    <hyperlink ref="A992" r:id="rId989" display="https://9607261.app.netsuite.com/app/reporting/reportrunner.nl?fromreport=320&amp;regtx,tranline,kacct,x,alltranline5,IN,x,x=950&amp;cr=293" xr:uid="{F8E7FCCF-FC38-48B2-BC8D-D0373940B8AB}"/>
    <hyperlink ref="A993" r:id="rId990" display="https://9607261.app.netsuite.com/app/reporting/reportrunner.nl?fromreport=320&amp;regtx,tranline,kacct,x,alltranline5,IN,x,x=950&amp;cr=293" xr:uid="{4B0EDE18-7A61-4941-B5D0-6B4171D76C00}"/>
    <hyperlink ref="A994" r:id="rId991" display="https://9607261.app.netsuite.com/app/reporting/reportrunner.nl?fromreport=320&amp;regtx,tranline,kacct,x,alltranline5,IN,x,x=950&amp;cr=293" xr:uid="{BDE30B39-3676-4135-93BF-D6A4F18F27DD}"/>
    <hyperlink ref="A995" r:id="rId992" display="https://9607261.app.netsuite.com/app/reporting/reportrunner.nl?fromreport=320&amp;regtx,tranline,kacct,x,alltranline5,IN,x,x=950&amp;cr=293" xr:uid="{D83E7BA1-EEB2-426E-A398-6774F38AAFAD}"/>
    <hyperlink ref="A996" r:id="rId993" display="https://9607261.app.netsuite.com/app/reporting/reportrunner.nl?fromreport=320&amp;regtx,tranline,kacct,x,alltranline5,IN,x,x=950&amp;cr=293" xr:uid="{D87D8485-83C9-4486-A7D1-BB52A0A01362}"/>
    <hyperlink ref="A997" r:id="rId994" display="https://9607261.app.netsuite.com/app/reporting/reportrunner.nl?fromreport=320&amp;regtx,tranline,kacct,x,alltranline5,IN,x,x=950&amp;cr=293" xr:uid="{22A3885E-8883-4095-99C2-187AC2B2E740}"/>
    <hyperlink ref="A998" r:id="rId995" display="https://9607261.app.netsuite.com/app/reporting/reportrunner.nl?fromreport=320&amp;regtx,tranline,kacct,x,alltranline5,IN,x,x=950&amp;cr=293" xr:uid="{B25C218F-3EE4-4AD2-B8D0-9BFDB03C25CF}"/>
    <hyperlink ref="A999" r:id="rId996" display="https://9607261.app.netsuite.com/app/reporting/reportrunner.nl?fromreport=320&amp;regtx,tranline,kacct,x,alltranline5,IN,x,x=950&amp;cr=293" xr:uid="{93B6A70F-FCAC-4E0F-8565-1F8E6CAF4129}"/>
    <hyperlink ref="A1000" r:id="rId997" display="https://9607261.app.netsuite.com/app/reporting/reportrunner.nl?fromreport=320&amp;regtx,tranline,kacct,x,alltranline5,IN,x,x=950&amp;cr=293" xr:uid="{024AB348-F343-41E6-B3A7-C0323D18A2B0}"/>
    <hyperlink ref="A1001" r:id="rId998" display="https://9607261.app.netsuite.com/app/reporting/reportrunner.nl?fromreport=320&amp;regtx,tranline,kacct,x,alltranline5,IN,x,x=950&amp;cr=293" xr:uid="{BCC02936-B59E-4540-AA42-6308BA8ECEF2}"/>
    <hyperlink ref="A1002" r:id="rId999" display="https://9607261.app.netsuite.com/app/reporting/reportrunner.nl?fromreport=320&amp;regtx,tranline,kacct,x,alltranline5,IN,x,x=950&amp;cr=293" xr:uid="{616ED87C-8BA8-42F9-A455-9394C8A32144}"/>
    <hyperlink ref="A1003" r:id="rId1000" display="https://9607261.app.netsuite.com/app/reporting/reportrunner.nl?fromreport=320&amp;regtx,tranline,kacct,x,alltranline5,IN,x,x=950&amp;cr=293" xr:uid="{79A1A5B2-4211-40C8-A1C1-D1AF1269BD39}"/>
    <hyperlink ref="A1004" r:id="rId1001" display="https://9607261.app.netsuite.com/app/reporting/reportrunner.nl?fromreport=320&amp;regtx,tranline,kacct,x,alltranline5,IN,x,x=950&amp;cr=293" xr:uid="{3372202A-F0E9-4A00-97FD-EDA325836B20}"/>
    <hyperlink ref="A1005" r:id="rId1002" display="https://9607261.app.netsuite.com/app/reporting/reportrunner.nl?fromreport=320&amp;regtx,tranline,kacct,x,alltranline5,IN,x,x=950&amp;cr=293" xr:uid="{1BE7D9A4-327A-498B-B3A4-912CB04B5C92}"/>
    <hyperlink ref="A1006" r:id="rId1003" display="https://9607261.app.netsuite.com/app/reporting/reportrunner.nl?fromreport=320&amp;regtx,tranline,kacct,x,alltranline5,IN,x,x=950&amp;cr=293" xr:uid="{AE8225C8-34AF-4A66-91E7-29EA8F69B4CE}"/>
    <hyperlink ref="A1007" r:id="rId1004" display="https://9607261.app.netsuite.com/app/reporting/reportrunner.nl?fromreport=320&amp;regtx,tranline,kacct,x,alltranline5,IN,x,x=950&amp;cr=293" xr:uid="{8130FE08-A2C7-426D-A2BE-1C8B10E8458A}"/>
    <hyperlink ref="A1008" r:id="rId1005" display="https://9607261.app.netsuite.com/app/reporting/reportrunner.nl?fromreport=320&amp;regtx,tranline,kacct,x,alltranline5,IN,x,x=950&amp;cr=293" xr:uid="{91416CBB-F430-42F2-A172-F4B0A730F6D4}"/>
    <hyperlink ref="A1009" r:id="rId1006" display="https://9607261.app.netsuite.com/app/reporting/reportrunner.nl?fromreport=320&amp;regtx,tranline,kacct,x,alltranline5,IN,x,x=950&amp;cr=293" xr:uid="{A6854D3C-A5BF-4ACD-93E9-17CBF705EA20}"/>
    <hyperlink ref="A1010" r:id="rId1007" display="https://9607261.app.netsuite.com/app/reporting/reportrunner.nl?fromreport=320&amp;regtx,tranline,kacct,x,alltranline5,IN,x,x=950&amp;cr=293" xr:uid="{58CF4794-BFE2-45CF-926B-B8459587ACD1}"/>
    <hyperlink ref="A1011" r:id="rId1008" display="https://9607261.app.netsuite.com/app/reporting/reportrunner.nl?fromreport=320&amp;regtx,tranline,kacct,x,alltranline5,IN,x,x=950&amp;cr=293" xr:uid="{4CC1B5B4-07B2-4E22-96B0-2E7C3072CEB4}"/>
    <hyperlink ref="A1012" r:id="rId1009" display="https://9607261.app.netsuite.com/app/reporting/reportrunner.nl?fromreport=320&amp;regtx,tranline,kacct,x,alltranline5,IN,x,x=950&amp;cr=293" xr:uid="{9D158BA7-711B-4336-A37B-EBBDC99CFA0E}"/>
    <hyperlink ref="A1013" r:id="rId1010" display="https://9607261.app.netsuite.com/app/reporting/reportrunner.nl?fromreport=320&amp;regtx,tranline,kacct,x,alltranline5,IN,x,x=950&amp;cr=293" xr:uid="{D26097C0-9C37-47AC-886F-979FD64214D2}"/>
    <hyperlink ref="A1014" r:id="rId1011" display="https://9607261.app.netsuite.com/app/reporting/reportrunner.nl?fromreport=320&amp;regtx,tranline,kacct,x,alltranline5,IN,x,x=950&amp;cr=293" xr:uid="{2A6DD4DB-45C5-4DCE-8ECC-7CD9B7D36E3F}"/>
    <hyperlink ref="A1015" r:id="rId1012" display="https://9607261.app.netsuite.com/app/reporting/reportrunner.nl?fromreport=320&amp;regtx,tranline,kacct,x,alltranline5,IN,x,x=950&amp;cr=293" xr:uid="{727A1DB7-9FA5-4F42-ADEB-B0B9AA687C9A}"/>
    <hyperlink ref="A1016" r:id="rId1013" display="https://9607261.app.netsuite.com/app/reporting/reportrunner.nl?fromreport=320&amp;regtx,tranline,kacct,x,alltranline5,IN,x,x=950&amp;cr=293" xr:uid="{5DE6B541-3DBC-48EF-9485-48890AF45B68}"/>
    <hyperlink ref="A1017" r:id="rId1014" display="https://9607261.app.netsuite.com/app/reporting/reportrunner.nl?fromreport=320&amp;regtx,tranline,kacct,x,alltranline5,IN,x,x=950&amp;cr=293" xr:uid="{72531398-B49A-447F-BA3F-4BE39C5D619C}"/>
    <hyperlink ref="A1018" r:id="rId1015" display="https://9607261.app.netsuite.com/app/reporting/reportrunner.nl?fromreport=320&amp;regtx,tranline,kacct,x,alltranline5,IN,x,x=950&amp;cr=293" xr:uid="{02F0B03F-ADE6-43C1-9AC1-10D61A5DDAC2}"/>
    <hyperlink ref="A1019" r:id="rId1016" display="https://9607261.app.netsuite.com/app/reporting/reportrunner.nl?fromreport=320&amp;regtx,tranline,kacct,x,alltranline5,IN,x,x=950&amp;cr=293" xr:uid="{2CE168A0-2BD0-4DD7-88BB-5F214889B481}"/>
    <hyperlink ref="A1020" r:id="rId1017" display="https://9607261.app.netsuite.com/app/reporting/reportrunner.nl?fromreport=320&amp;regtx,tranline,kacct,x,alltranline5,IN,x,x=950&amp;cr=293" xr:uid="{95EC2FB1-30E0-4851-980B-77CA93592ECC}"/>
    <hyperlink ref="A1021" r:id="rId1018" display="https://9607261.app.netsuite.com/app/reporting/reportrunner.nl?fromreport=320&amp;regtx,tranline,kacct,x,alltranline5,IN,x,x=950&amp;cr=293" xr:uid="{B9092AA6-A369-4038-BFCE-519FF9024F4E}"/>
    <hyperlink ref="A1022" r:id="rId1019" display="https://9607261.app.netsuite.com/app/reporting/reportrunner.nl?fromreport=320&amp;regtx,tranline,kacct,x,alltranline5,IN,x,x=950&amp;cr=293" xr:uid="{1FB607BC-3819-4AC9-8667-200179003D33}"/>
    <hyperlink ref="A1023" r:id="rId1020" display="https://9607261.app.netsuite.com/app/reporting/reportrunner.nl?fromreport=320&amp;regtx,tranline,kacct,x,alltranline5,IN,x,x=950&amp;cr=293" xr:uid="{70763182-E621-46D6-8C10-54658BAB2045}"/>
    <hyperlink ref="A1024" r:id="rId1021" display="https://9607261.app.netsuite.com/app/reporting/reportrunner.nl?fromreport=320&amp;regtx,tranline,kacct,x,alltranline5,IN,x,x=950&amp;cr=293" xr:uid="{F2F36A94-4BBB-473E-A9F3-97B8D2BE1841}"/>
    <hyperlink ref="A1025" r:id="rId1022" display="https://9607261.app.netsuite.com/app/reporting/reportrunner.nl?fromreport=320&amp;regtx,tranline,kacct,x,alltranline5,IN,x,x=950&amp;cr=293" xr:uid="{5868466B-3843-4D7E-998E-133072F9864D}"/>
    <hyperlink ref="A1026" r:id="rId1023" display="https://9607261.app.netsuite.com/app/reporting/reportrunner.nl?fromreport=320&amp;regtx,tranline,kacct,x,alltranline5,IN,x,x=950&amp;cr=293" xr:uid="{E07016D7-E390-474A-9F4F-183D8C51792E}"/>
    <hyperlink ref="A1027" r:id="rId1024" display="https://9607261.app.netsuite.com/app/reporting/reportrunner.nl?fromreport=320&amp;regtx,tranline,kacct,x,alltranline5,IN,x,x=950&amp;cr=293" xr:uid="{988BD0CF-321B-4887-9C3B-33A916142E39}"/>
    <hyperlink ref="A1028" r:id="rId1025" display="https://9607261.app.netsuite.com/app/reporting/reportrunner.nl?fromreport=320&amp;regtx,tranline,kacct,x,alltranline5,IN,x,x=950&amp;cr=293" xr:uid="{5F559E1E-F2A8-479E-9926-E1D4B5CD0AAD}"/>
    <hyperlink ref="A1029" r:id="rId1026" display="https://9607261.app.netsuite.com/app/reporting/reportrunner.nl?fromreport=320&amp;regtx,tranline,kacct,x,alltranline5,IN,x,x=950&amp;cr=293" xr:uid="{D6E50B9D-311E-41D1-AFB9-08D3684A8825}"/>
    <hyperlink ref="A1030" r:id="rId1027" display="https://9607261.app.netsuite.com/app/reporting/reportrunner.nl?fromreport=320&amp;regtx,tranline,kacct,x,alltranline5,IN,x,x=950&amp;cr=293" xr:uid="{C3A5D94C-8800-42BD-AC9F-5389F128A12E}"/>
    <hyperlink ref="A1031" r:id="rId1028" display="https://9607261.app.netsuite.com/app/reporting/reportrunner.nl?fromreport=320&amp;regtx,tranline,kacct,x,alltranline5,IN,x,x=950&amp;cr=293" xr:uid="{FDFA9073-7A40-466F-B4F5-F183397D7D46}"/>
    <hyperlink ref="A1032" r:id="rId1029" display="https://9607261.app.netsuite.com/app/reporting/reportrunner.nl?fromreport=320&amp;regtx,tranline,kacct,x,alltranline5,IN,x,x=950&amp;cr=293" xr:uid="{698E0050-50FC-4AC3-85B1-3C6BDDF2A9BA}"/>
    <hyperlink ref="A1033" r:id="rId1030" display="https://9607261.app.netsuite.com/app/reporting/reportrunner.nl?fromreport=320&amp;regtx,tranline,kacct,x,alltranline5,IN,x,x=950&amp;cr=293" xr:uid="{26C22BD5-CB42-43FE-A905-A4926D367DFF}"/>
    <hyperlink ref="A1034" r:id="rId1031" display="https://9607261.app.netsuite.com/app/reporting/reportrunner.nl?fromreport=320&amp;regtx,tranline,kacct,x,alltranline5,IN,x,x=950&amp;cr=293" xr:uid="{03D0BDEA-FC58-4B54-AFDA-2D3DD8D11E64}"/>
    <hyperlink ref="A1035" r:id="rId1032" display="https://9607261.app.netsuite.com/app/reporting/reportrunner.nl?fromreport=320&amp;regtx,tranline,kacct,x,alltranline5,IN,x,x=950&amp;cr=293" xr:uid="{2739BCF0-81C8-4A20-A3E2-6E5B82D13C69}"/>
    <hyperlink ref="A1036" r:id="rId1033" display="https://9607261.app.netsuite.com/app/reporting/reportrunner.nl?fromreport=320&amp;regtx,tranline,kacct,x,alltranline5,IN,x,x=950&amp;cr=293" xr:uid="{322C321F-CCD1-4B48-993A-D6865ECDCD6B}"/>
    <hyperlink ref="A1037" r:id="rId1034" display="https://9607261.app.netsuite.com/app/reporting/reportrunner.nl?fromreport=320&amp;regtx,tranline,kacct,x,alltranline5,IN,x,x=950&amp;cr=293" xr:uid="{A5B46F65-F512-4F11-B857-816519B43190}"/>
    <hyperlink ref="A1038" r:id="rId1035" display="https://9607261.app.netsuite.com/app/reporting/reportrunner.nl?fromreport=320&amp;regtx,tranline,kacct,x,alltranline5,IN,x,x=950&amp;cr=293" xr:uid="{325F646A-BF01-4D9C-A3EB-0EE4C8F22E1E}"/>
    <hyperlink ref="A1039" r:id="rId1036" display="https://9607261.app.netsuite.com/app/reporting/reportrunner.nl?fromreport=320&amp;regtx,tranline,kacct,x,alltranline5,IN,x,x=950&amp;cr=293" xr:uid="{87C54259-2803-448D-997C-894774DDE017}"/>
    <hyperlink ref="A1040" r:id="rId1037" display="https://9607261.app.netsuite.com/app/reporting/reportrunner.nl?fromreport=320&amp;regtx,tranline,kacct,x,alltranline5,IN,x,x=950&amp;cr=293" xr:uid="{BF3D2879-D4BF-4EA8-93AD-1D1B4EB1C174}"/>
    <hyperlink ref="A1041" r:id="rId1038" display="https://9607261.app.netsuite.com/app/reporting/reportrunner.nl?fromreport=320&amp;regtx,tranline,kacct,x,alltranline5,IN,x,x=950&amp;cr=293" xr:uid="{DDA1684B-0426-434E-A2B4-54E3659C4A3C}"/>
    <hyperlink ref="A1042" r:id="rId1039" display="https://9607261.app.netsuite.com/app/reporting/reportrunner.nl?fromreport=320&amp;regtx,tranline,kacct,x,alltranline5,IN,x,x=950&amp;cr=293" xr:uid="{9E865DD4-5AAF-4544-805E-9339537941EC}"/>
    <hyperlink ref="A1043" r:id="rId1040" display="https://9607261.app.netsuite.com/app/reporting/reportrunner.nl?fromreport=320&amp;regtx,tranline,kacct,x,alltranline5,IN,x,x=950&amp;cr=293" xr:uid="{006CC4D0-7283-4D90-972E-873AC3448580}"/>
    <hyperlink ref="A1044" r:id="rId1041" display="https://9607261.app.netsuite.com/app/reporting/reportrunner.nl?fromreport=320&amp;regtx,tranline,kacct,x,alltranline5,IN,x,x=950&amp;cr=293" xr:uid="{A6FA3BE2-AC12-442B-B21C-B291957E0661}"/>
    <hyperlink ref="A1045" r:id="rId1042" display="https://9607261.app.netsuite.com/app/reporting/reportrunner.nl?fromreport=320&amp;regtx,tranline,kacct,x,alltranline5,IN,x,x=950&amp;cr=293" xr:uid="{7C2F1174-8427-4438-BBC3-9E36B21FA21D}"/>
    <hyperlink ref="A1046" r:id="rId1043" display="https://9607261.app.netsuite.com/app/reporting/reportrunner.nl?fromreport=320&amp;regtx,tranline,kacct,x,alltranline5,IN,x,x=950&amp;cr=293" xr:uid="{BE87E804-41D0-452D-A368-3B90844BBCAA}"/>
    <hyperlink ref="A1047" r:id="rId1044" display="https://9607261.app.netsuite.com/app/reporting/reportrunner.nl?fromreport=320&amp;regtx,tranline,kacct,x,alltranline5,IN,x,x=950&amp;cr=293" xr:uid="{9DF9CF55-8440-4971-B591-47C0B7B6E20F}"/>
    <hyperlink ref="A1048" r:id="rId1045" display="https://9607261.app.netsuite.com/app/reporting/reportrunner.nl?fromreport=320&amp;regtx,tranline,kacct,x,alltranline5,IN,x,x=950&amp;cr=293" xr:uid="{BABB37CE-7358-4C49-8CDA-DB051099F6F6}"/>
    <hyperlink ref="A1049" r:id="rId1046" display="https://9607261.app.netsuite.com/app/reporting/reportrunner.nl?fromreport=320&amp;regtx,tranline,kacct,x,alltranline5,IN,x,x=950&amp;cr=293" xr:uid="{3A7F0C41-FA7A-4DF9-A10E-4A97D556FD3D}"/>
    <hyperlink ref="A1050" r:id="rId1047" display="https://9607261.app.netsuite.com/app/reporting/reportrunner.nl?fromreport=320&amp;regtx,tranline,kacct,x,alltranline5,IN,x,x=950&amp;cr=293" xr:uid="{057CDF55-E7B5-4A6E-AEA2-628C3B52EEDD}"/>
    <hyperlink ref="A1051" r:id="rId1048" display="https://9607261.app.netsuite.com/app/reporting/reportrunner.nl?fromreport=320&amp;regtx,tranline,kacct,x,alltranline5,IN,x,x=950&amp;cr=293" xr:uid="{9600EB7C-4AC2-4292-8320-E7F43A98208C}"/>
    <hyperlink ref="A1052" r:id="rId1049" display="https://9607261.app.netsuite.com/app/reporting/reportrunner.nl?fromreport=320&amp;regtx,tranline,kacct,x,alltranline5,IN,x,x=950&amp;cr=293" xr:uid="{C7C4BF2E-0376-498E-BAF1-1762EDA88B21}"/>
    <hyperlink ref="A1053" r:id="rId1050" display="https://9607261.app.netsuite.com/app/reporting/reportrunner.nl?fromreport=320&amp;regtx,tranline,kacct,x,alltranline5,IN,x,x=950&amp;cr=293" xr:uid="{718286CC-F950-4CAF-9228-BEA888DE8FEB}"/>
    <hyperlink ref="A1054" r:id="rId1051" display="https://9607261.app.netsuite.com/app/reporting/reportrunner.nl?fromreport=320&amp;regtx,tranline,kacct,x,alltranline5,IN,x,x=950&amp;cr=293" xr:uid="{7BBEA0E2-3C48-4BB6-B908-D3F5D84D36AB}"/>
    <hyperlink ref="A1055" r:id="rId1052" display="https://9607261.app.netsuite.com/app/reporting/reportrunner.nl?fromreport=320&amp;regtx,tranline,kacct,x,alltranline5,IN,x,x=950&amp;cr=293" xr:uid="{112D3942-3B86-4B56-AB6D-0AD12BF37BE5}"/>
    <hyperlink ref="A1056" r:id="rId1053" display="https://9607261.app.netsuite.com/app/reporting/reportrunner.nl?fromreport=320&amp;regtx,tranline,kacct,x,alltranline5,IN,x,x=950&amp;cr=293" xr:uid="{3788FE13-E539-4669-B8F9-D4320A302111}"/>
    <hyperlink ref="A1057" r:id="rId1054" display="https://9607261.app.netsuite.com/app/reporting/reportrunner.nl?fromreport=320&amp;regtx,tranline,kacct,x,alltranline5,IN,x,x=950&amp;cr=293" xr:uid="{EBD243D5-9888-4B81-8193-89B9AD84C4FD}"/>
    <hyperlink ref="A1058" r:id="rId1055" display="https://9607261.app.netsuite.com/app/reporting/reportrunner.nl?fromreport=320&amp;regtx,tranline,kacct,x,alltranline5,IN,x,x=950&amp;cr=293" xr:uid="{ED9D0D52-D0A4-4DE7-AAF0-D7E9CCCEE2C1}"/>
    <hyperlink ref="A1059" r:id="rId1056" display="https://9607261.app.netsuite.com/app/reporting/reportrunner.nl?fromreport=320&amp;regtx,tranline,kacct,x,alltranline5,IN,x,x=950&amp;cr=293" xr:uid="{4E1F4EC2-C7A7-4CAE-BDC8-FA605A65B5FC}"/>
    <hyperlink ref="A1060" r:id="rId1057" display="https://9607261.app.netsuite.com/app/reporting/reportrunner.nl?fromreport=320&amp;regtx,tranline,kacct,x,alltranline5,IN,x,x=950&amp;cr=293" xr:uid="{1C1B6D98-4E26-486C-972F-392BABBE1FF9}"/>
    <hyperlink ref="A1061" r:id="rId1058" display="https://9607261.app.netsuite.com/app/reporting/reportrunner.nl?fromreport=320&amp;regtx,tranline,kacct,x,alltranline5,IN,x,x=950&amp;cr=293" xr:uid="{E2BE04C3-5712-4B6E-A267-089E31B05253}"/>
    <hyperlink ref="A1062" r:id="rId1059" display="https://9607261.app.netsuite.com/app/reporting/reportrunner.nl?fromreport=320&amp;regtx,tranline,kacct,x,alltranline5,IN,x,x=950&amp;cr=293" xr:uid="{65F70939-9826-46D4-84AF-05507E33E2A9}"/>
    <hyperlink ref="A1063" r:id="rId1060" display="https://9607261.app.netsuite.com/app/reporting/reportrunner.nl?fromreport=320&amp;regtx,tranline,kacct,x,alltranline5,IN,x,x=950&amp;cr=293" xr:uid="{A31361A0-5E4B-45B7-8B49-E47C7596F8B9}"/>
    <hyperlink ref="A1064" r:id="rId1061" display="https://9607261.app.netsuite.com/app/reporting/reportrunner.nl?fromreport=320&amp;regtx,tranline,kacct,x,alltranline5,IN,x,x=950&amp;cr=293" xr:uid="{6EBB17EB-1AD2-436D-BCC7-1CB42C6B7CF1}"/>
    <hyperlink ref="A1065" r:id="rId1062" display="https://9607261.app.netsuite.com/app/reporting/reportrunner.nl?fromreport=320&amp;regtx,tranline,kacct,x,alltranline5,IN,x,x=950&amp;cr=293" xr:uid="{142DE64B-412F-4B15-823F-115753CFE848}"/>
    <hyperlink ref="A1066" r:id="rId1063" display="https://9607261.app.netsuite.com/app/reporting/reportrunner.nl?fromreport=320&amp;regtx,tranline,kacct,x,alltranline5,IN,x,x=950&amp;cr=293" xr:uid="{1CE09953-C17C-4894-A29D-9967A8460765}"/>
    <hyperlink ref="A1067" r:id="rId1064" display="https://9607261.app.netsuite.com/app/reporting/reportrunner.nl?fromreport=320&amp;regtx,tranline,kacct,x,alltranline5,IN,x,x=950&amp;cr=293" xr:uid="{B51DCF13-34E0-4E1E-AD8C-3CB663439BFD}"/>
    <hyperlink ref="A1068" r:id="rId1065" display="https://9607261.app.netsuite.com/app/reporting/reportrunner.nl?fromreport=320&amp;regtx,tranline,kacct,x,alltranline5,IN,x,x=950&amp;cr=293" xr:uid="{85E8E2BA-EA0A-4FF6-9261-85692809D351}"/>
    <hyperlink ref="A1069" r:id="rId1066" display="https://9607261.app.netsuite.com/app/reporting/reportrunner.nl?fromreport=320&amp;regtx,tranline,kacct,x,alltranline5,IN,x,x=950&amp;cr=293" xr:uid="{E4C43C89-3EB3-4420-BF8E-9B19B3A22500}"/>
    <hyperlink ref="A1070" r:id="rId1067" display="https://9607261.app.netsuite.com/app/reporting/reportrunner.nl?fromreport=320&amp;regtx,tranline,kacct,x,alltranline5,IN,x,x=950&amp;cr=293" xr:uid="{8A8C6429-4B25-4AAA-BCD2-5E29300F6394}"/>
    <hyperlink ref="A1071" r:id="rId1068" display="https://9607261.app.netsuite.com/app/reporting/reportrunner.nl?fromreport=320&amp;regtx,tranline,kacct,x,alltranline5,IN,x,x=950&amp;cr=293" xr:uid="{641C5DED-E40F-4E0A-9631-356118F37AA7}"/>
    <hyperlink ref="A1072" r:id="rId1069" display="https://9607261.app.netsuite.com/app/reporting/reportrunner.nl?fromreport=320&amp;regtx,tranline,kacct,x,alltranline5,IN,x,x=950&amp;cr=293" xr:uid="{F6A3C4EE-047D-4FDC-92BE-4F9F322236AE}"/>
    <hyperlink ref="A1073" r:id="rId1070" display="https://9607261.app.netsuite.com/app/reporting/reportrunner.nl?fromreport=320&amp;regtx,tranline,kacct,x,alltranline5,IN,x,x=950&amp;cr=293" xr:uid="{348C631A-95CF-469A-AE59-D6F481C9A3FA}"/>
    <hyperlink ref="A1074" r:id="rId1071" display="https://9607261.app.netsuite.com/app/reporting/reportrunner.nl?fromreport=320&amp;regtx,tranline,kacct,x,alltranline5,IN,x,x=950&amp;cr=293" xr:uid="{072C85A2-7B41-427F-803F-2B36FB5547BB}"/>
    <hyperlink ref="A1075" r:id="rId1072" display="https://9607261.app.netsuite.com/app/reporting/reportrunner.nl?fromreport=320&amp;regtx,tranline,kacct,x,alltranline5,IN,x,x=950&amp;cr=293" xr:uid="{D5BCEE7F-49DD-4F94-A1BF-B4337B7F1C7C}"/>
    <hyperlink ref="A1076" r:id="rId1073" display="https://9607261.app.netsuite.com/app/reporting/reportrunner.nl?fromreport=320&amp;regtx,tranline,kacct,x,alltranline5,IN,x,x=950&amp;cr=293" xr:uid="{03736FBC-03E5-45C3-9AC3-1FF65C2F9958}"/>
    <hyperlink ref="A1077" r:id="rId1074" display="https://9607261.app.netsuite.com/app/reporting/reportrunner.nl?fromreport=320&amp;regtx,tranline,kacct,x,alltranline5,IN,x,x=950&amp;cr=293" xr:uid="{F6D54991-5BF4-408E-9A1C-11E3CF49847A}"/>
    <hyperlink ref="A1078" r:id="rId1075" display="https://9607261.app.netsuite.com/app/reporting/reportrunner.nl?fromreport=320&amp;regtx,tranline,kacct,x,alltranline5,IN,x,x=950&amp;cr=293" xr:uid="{D611A3DC-3D5B-432C-AB6A-0D843426878E}"/>
    <hyperlink ref="A1079" r:id="rId1076" display="https://9607261.app.netsuite.com/app/reporting/reportrunner.nl?fromreport=320&amp;regtx,tranline,kacct,x,alltranline5,IN,x,x=950&amp;cr=293" xr:uid="{D0488CB1-14A5-4262-B889-8539F7B8D728}"/>
    <hyperlink ref="A1080" r:id="rId1077" display="https://9607261.app.netsuite.com/app/reporting/reportrunner.nl?fromreport=320&amp;regtx,tranline,kacct,x,alltranline5,IN,x,x=950&amp;cr=293" xr:uid="{74F93726-C8EA-439E-8BAA-B72DD9BCFEC8}"/>
    <hyperlink ref="A1081" r:id="rId1078" display="https://9607261.app.netsuite.com/app/reporting/reportrunner.nl?fromreport=320&amp;regtx,tranline,kacct,x,alltranline5,IN,x,x=950&amp;cr=293" xr:uid="{536A287A-90F3-4F92-8747-33683C65BDE1}"/>
    <hyperlink ref="A1082" r:id="rId1079" display="https://9607261.app.netsuite.com/app/reporting/reportrunner.nl?fromreport=320&amp;regtx,tranline,kacct,x,alltranline5,IN,x,x=950&amp;cr=293" xr:uid="{9F2B05ED-C39D-451B-BB6F-7D964B2C40B9}"/>
    <hyperlink ref="A1083" r:id="rId1080" display="https://9607261.app.netsuite.com/app/reporting/reportrunner.nl?fromreport=320&amp;regtx,tranline,kacct,x,alltranline5,IN,x,x=950&amp;cr=293" xr:uid="{61C88340-9FA3-440E-BB19-8F9F430E980A}"/>
    <hyperlink ref="A1084" r:id="rId1081" display="https://9607261.app.netsuite.com/app/reporting/reportrunner.nl?fromreport=320&amp;regtx,tranline,kacct,x,alltranline5,IN,x,x=950&amp;cr=293" xr:uid="{61C028A6-E71E-40DC-8954-F939AA6AC578}"/>
    <hyperlink ref="A1085" r:id="rId1082" display="https://9607261.app.netsuite.com/app/reporting/reportrunner.nl?fromreport=320&amp;regtx,tranline,kacct,x,alltranline5,IN,x,x=950&amp;cr=293" xr:uid="{0A94078C-EF70-4A24-BBB2-D93CF1E329DD}"/>
    <hyperlink ref="A1086" r:id="rId1083" display="https://9607261.app.netsuite.com/app/reporting/reportrunner.nl?fromreport=320&amp;regtx,tranline,kacct,x,alltranline5,IN,x,x=950&amp;cr=293" xr:uid="{40B61A84-6A21-4927-8376-40E93E25BD10}"/>
    <hyperlink ref="A1087" r:id="rId1084" display="https://9607261.app.netsuite.com/app/reporting/reportrunner.nl?fromreport=320&amp;regtx,tranline,kacct,x,alltranline5,IN,x,x=950&amp;cr=293" xr:uid="{F24D17DC-C94A-4317-878F-E25A3FEBCF67}"/>
    <hyperlink ref="A1088" r:id="rId1085" display="https://9607261.app.netsuite.com/app/reporting/reportrunner.nl?fromreport=320&amp;regtx,tranline,kacct,x,alltranline5,IN,x,x=950&amp;cr=293" xr:uid="{F89AA8C7-F6A3-4D9C-AB74-1E9F2EF83D51}"/>
    <hyperlink ref="A1089" r:id="rId1086" display="https://9607261.app.netsuite.com/app/reporting/reportrunner.nl?fromreport=320&amp;regtx,tranline,kacct,x,alltranline5,IN,x,x=950&amp;cr=293" xr:uid="{AAD8F82F-4E57-424F-B648-C9BAE0DA8D04}"/>
    <hyperlink ref="A1090" r:id="rId1087" display="https://9607261.app.netsuite.com/app/reporting/reportrunner.nl?fromreport=320&amp;regtx,tranline,kacct,x,alltranline5,IN,x,x=950&amp;cr=293" xr:uid="{466D57E1-C78F-4D0E-AACF-D505B492769C}"/>
    <hyperlink ref="A1091:A1171" r:id="rId1088" display="https://9607261.app.netsuite.com/app/reporting/reportrunner.nl?fromreport=320&amp;regtx,tranline,kacct,x,alltranline5,IN,x,x=950&amp;cr=293" xr:uid="{C8B4DC36-2526-4D42-9D11-BC2E7C65CED4}"/>
    <hyperlink ref="A1172" r:id="rId1089" display="https://9607261.app.netsuite.com/app/reporting/reportrunner.nl?fromreport=320&amp;regtx,tranline,kacct,x,alltranline5,IN,x,x=950&amp;cr=293" xr:uid="{7901E3D6-2F29-4A5E-B184-E367EEFD883D}"/>
    <hyperlink ref="A1173" r:id="rId1090" display="https://9607261.app.netsuite.com/app/reporting/reportrunner.nl?fromreport=320&amp;regtx,tranline,kacct,x,alltranline5,IN,x,x=950&amp;cr=293" xr:uid="{EFCA4C74-67AC-438E-B298-8580BBC0E665}"/>
    <hyperlink ref="A1174" r:id="rId1091" display="https://9607261.app.netsuite.com/app/reporting/reportrunner.nl?fromreport=320&amp;regtx,tranline,kacct,x,alltranline5,IN,x,x=950&amp;cr=293" xr:uid="{4D4828D0-2F66-489C-B692-E7032C653ED5}"/>
    <hyperlink ref="A1175" r:id="rId1092" display="https://9607261.app.netsuite.com/app/reporting/reportrunner.nl?fromreport=320&amp;regtx,tranline,kacct,x,alltranline5,IN,x,x=950&amp;cr=293" xr:uid="{6D6E0E76-B13A-483B-8ECD-B401A9E7092A}"/>
    <hyperlink ref="A1176" r:id="rId1093" display="https://9607261.app.netsuite.com/app/reporting/reportrunner.nl?fromreport=320&amp;regtx,tranline,kacct,x,alltranline5,IN,x,x=950&amp;cr=293" xr:uid="{41D13731-4C77-4CCB-A9A1-2498FD37EF69}"/>
    <hyperlink ref="A1177" r:id="rId1094" display="https://9607261.app.netsuite.com/app/reporting/reportrunner.nl?fromreport=320&amp;regtx,tranline,kacct,x,alltranline5,IN,x,x=950&amp;cr=293" xr:uid="{CE89552A-5BBE-4A03-9D03-010C26A2CC51}"/>
    <hyperlink ref="A1178" r:id="rId1095" display="https://9607261.app.netsuite.com/app/reporting/reportrunner.nl?fromreport=320&amp;regtx,tranline,kacct,x,alltranline5,IN,x,x=950&amp;cr=293" xr:uid="{E9B67515-B060-4723-BAEC-94B6181B4732}"/>
    <hyperlink ref="A1179" r:id="rId1096" display="https://9607261.app.netsuite.com/app/reporting/reportrunner.nl?fromreport=320&amp;regtx,tranline,kacct,x,alltranline5,IN,x,x=950&amp;cr=293" xr:uid="{9704F592-D8D4-4996-BC2D-9AF3D27F30A4}"/>
    <hyperlink ref="A1180" r:id="rId1097" display="https://9607261.app.netsuite.com/app/reporting/reportrunner.nl?fromreport=320&amp;regtx,tranline,kacct,x,alltranline5,IN,x,x=950&amp;cr=293" xr:uid="{7CC7B430-201A-4E06-A9E1-A9E62F0FFF6E}"/>
    <hyperlink ref="A1181" r:id="rId1098" display="https://9607261.app.netsuite.com/app/reporting/reportrunner.nl?fromreport=320&amp;regtx,tranline,kacct,x,alltranline5,IN,x,x=950&amp;cr=293" xr:uid="{4EB7DCAD-CC4D-4521-908D-B670415BAD41}"/>
    <hyperlink ref="A1182" r:id="rId1099" display="https://9607261.app.netsuite.com/app/reporting/reportrunner.nl?fromreport=320&amp;regtx,tranline,kacct,x,alltranline5,IN,x,x=950&amp;cr=293" xr:uid="{B5D96646-D428-4028-B85F-CB0B4E87E951}"/>
    <hyperlink ref="A1183" r:id="rId1100" display="https://9607261.app.netsuite.com/app/reporting/reportrunner.nl?fromreport=320&amp;regtx,tranline,kacct,x,alltranline5,IN,x,x=950&amp;cr=293" xr:uid="{BCE5D798-351E-4A64-B798-CC15D7ED496F}"/>
    <hyperlink ref="A1184" r:id="rId1101" display="https://9607261.app.netsuite.com/app/reporting/reportrunner.nl?fromreport=320&amp;regtx,tranline,kacct,x,alltranline5,IN,x,x=950&amp;cr=293" xr:uid="{634B8ED0-69DC-4C15-BAE3-A59AC9347D04}"/>
    <hyperlink ref="A1185" r:id="rId1102" display="https://9607261.app.netsuite.com/app/reporting/reportrunner.nl?fromreport=320&amp;regtx,tranline,kacct,x,alltranline5,IN,x,x=950&amp;cr=293" xr:uid="{5BC689F7-8C5C-4553-8F19-721E0FA50EC6}"/>
    <hyperlink ref="A1186" r:id="rId1103" display="https://9607261.app.netsuite.com/app/reporting/reportrunner.nl?fromreport=320&amp;regtx,tranline,kacct,x,alltranline5,IN,x,x=950&amp;cr=293" xr:uid="{B017CC3E-BDAF-4CE2-9DCE-CABFD6609F5B}"/>
    <hyperlink ref="A1187" r:id="rId1104" display="https://9607261.app.netsuite.com/app/reporting/reportrunner.nl?fromreport=320&amp;regtx,tranline,kacct,x,alltranline5,IN,x,x=950&amp;cr=293" xr:uid="{74ABCE86-0765-46A2-BF16-786B55E20BE1}"/>
    <hyperlink ref="A1188" r:id="rId1105" display="https://9607261.app.netsuite.com/app/reporting/reportrunner.nl?fromreport=320&amp;regtx,tranline,kacct,x,alltranline5,IN,x,x=950&amp;cr=293" xr:uid="{48DCA43A-87C2-409C-9797-414189DBD630}"/>
    <hyperlink ref="A1189" r:id="rId1106" display="https://9607261.app.netsuite.com/app/reporting/reportrunner.nl?fromreport=320&amp;regtx,tranline,kacct,x,alltranline5,IN,x,x=950&amp;cr=293" xr:uid="{32A08566-110C-426B-BF38-D03EED1B7DC0}"/>
    <hyperlink ref="A1190" r:id="rId1107" display="https://9607261.app.netsuite.com/app/reporting/reportrunner.nl?fromreport=320&amp;regtx,tranline,kacct,x,alltranline5,IN,x,x=950&amp;cr=293" xr:uid="{BB05CCA3-200A-4A79-B28B-1C4F51B94137}"/>
    <hyperlink ref="A1191" r:id="rId1108" display="https://9607261.app.netsuite.com/app/reporting/reportrunner.nl?fromreport=320&amp;regtx,tranline,kacct,x,alltranline5,IN,x,x=950&amp;cr=293" xr:uid="{85909768-2DEE-4DB6-A571-38E0CA18E902}"/>
    <hyperlink ref="A1192" r:id="rId1109" display="https://9607261.app.netsuite.com/app/reporting/reportrunner.nl?fromreport=320&amp;regtx,tranline,kacct,x,alltranline5,IN,x,x=950&amp;cr=293" xr:uid="{4332326D-BEFF-48F6-9E7D-F16DE4D4DA7F}"/>
    <hyperlink ref="A1193" r:id="rId1110" display="https://9607261.app.netsuite.com/app/reporting/reportrunner.nl?fromreport=320&amp;regtx,tranline,kacct,x,alltranline5,IN,x,x=950&amp;cr=293" xr:uid="{9EFE5706-1462-4379-A792-901F0ED68119}"/>
    <hyperlink ref="A1194" r:id="rId1111" display="https://9607261.app.netsuite.com/app/reporting/reportrunner.nl?fromreport=320&amp;regtx,tranline,kacct,x,alltranline5,IN,x,x=950&amp;cr=293" xr:uid="{98815F84-C652-44DF-B96F-A46E1FA49A8D}"/>
    <hyperlink ref="A1195" r:id="rId1112" display="https://9607261.app.netsuite.com/app/reporting/reportrunner.nl?fromreport=320&amp;regtx,tranline,kacct,x,alltranline5,IN,x,x=950&amp;cr=293" xr:uid="{7BCE53A7-57FF-491A-A1C6-B400134B8E05}"/>
    <hyperlink ref="A1196" r:id="rId1113" display="https://9607261.app.netsuite.com/app/reporting/reportrunner.nl?fromreport=320&amp;regtx,tranline,kacct,x,alltranline5,IN,x,x=950&amp;cr=293" xr:uid="{1516C428-6924-4579-89E3-001A7A94727A}"/>
    <hyperlink ref="A1197" r:id="rId1114" display="https://9607261.app.netsuite.com/app/reporting/reportrunner.nl?fromreport=320&amp;regtx,tranline,kacct,x,alltranline5,IN,x,x=950&amp;cr=293" xr:uid="{178C4B3F-A54D-4240-9E46-AA4B09F5B1AE}"/>
    <hyperlink ref="A1198" r:id="rId1115" display="https://9607261.app.netsuite.com/app/reporting/reportrunner.nl?fromreport=320&amp;regtx,tranline,kacct,x,alltranline5,IN,x,x=950&amp;cr=293" xr:uid="{4C1B20FE-76AE-44DF-A395-B2E7B9599374}"/>
    <hyperlink ref="A1199" r:id="rId1116" display="https://9607261.app.netsuite.com/app/reporting/reportrunner.nl?fromreport=320&amp;regtx,tranline,kacct,x,alltranline5,IN,x,x=950&amp;cr=293" xr:uid="{88192A94-BA60-42E9-A7E6-6B4439F5BDBD}"/>
    <hyperlink ref="A1200" r:id="rId1117" display="https://9607261.app.netsuite.com/app/reporting/reportrunner.nl?fromreport=320&amp;regtx,tranline,kacct,x,alltranline5,IN,x,x=950&amp;cr=293" xr:uid="{EDB25827-F0FD-4F50-B300-1D4428748872}"/>
    <hyperlink ref="A1201" r:id="rId1118" display="https://9607261.app.netsuite.com/app/reporting/reportrunner.nl?fromreport=320&amp;regtx,tranline,kacct,x,alltranline5,IN,x,x=950&amp;cr=293" xr:uid="{51C439EC-D905-4B72-B05C-52C5C53D53A2}"/>
    <hyperlink ref="A1202" r:id="rId1119" display="https://9607261.app.netsuite.com/app/reporting/reportrunner.nl?fromreport=320&amp;regtx,tranline,kacct,x,alltranline5,IN,x,x=950&amp;cr=293" xr:uid="{988C0285-D898-412C-9723-B3C9A33F13B8}"/>
    <hyperlink ref="A1203" r:id="rId1120" display="https://9607261.app.netsuite.com/app/reporting/reportrunner.nl?fromreport=320&amp;regtx,tranline,kacct,x,alltranline5,IN,x,x=950&amp;cr=293" xr:uid="{B96F42C3-CA00-4625-B4CA-FD4F725C793E}"/>
    <hyperlink ref="A1204" r:id="rId1121" display="https://9607261.app.netsuite.com/app/reporting/reportrunner.nl?fromreport=320&amp;regtx,tranline,kacct,x,alltranline5,IN,x,x=950&amp;cr=293" xr:uid="{B5A5BEE6-4972-4307-9BE1-F1E2F2CF735D}"/>
    <hyperlink ref="A1205" r:id="rId1122" display="https://9607261.app.netsuite.com/app/reporting/reportrunner.nl?fromreport=320&amp;regtx,tranline,kacct,x,alltranline5,IN,x,x=950&amp;cr=293" xr:uid="{C577BC35-2ECB-424A-8BD4-6AFDEB823F22}"/>
    <hyperlink ref="A1206" r:id="rId1123" display="https://9607261.app.netsuite.com/app/reporting/reportrunner.nl?fromreport=320&amp;regtx,tranline,kacct,x,alltranline5,IN,x,x=950&amp;cr=293" xr:uid="{B3BF11DE-C1B9-476B-BFEE-7B32DC8A046A}"/>
    <hyperlink ref="A1207" r:id="rId1124" display="https://9607261.app.netsuite.com/app/reporting/reportrunner.nl?fromreport=320&amp;regtx,tranline,kacct,x,alltranline5,IN,x,x=950&amp;cr=293" xr:uid="{ADD0BACB-B100-4B5D-A455-C7F55DCFC0A2}"/>
    <hyperlink ref="A1208" r:id="rId1125" display="https://9607261.app.netsuite.com/app/reporting/reportrunner.nl?fromreport=320&amp;regtx,tranline,kacct,x,alltranline5,IN,x,x=950&amp;cr=293" xr:uid="{97AEB77D-063F-4774-8698-854EB35A6DBA}"/>
    <hyperlink ref="A1209" r:id="rId1126" display="https://9607261.app.netsuite.com/app/reporting/reportrunner.nl?fromreport=320&amp;regtx,tranline,kacct,x,alltranline5,IN,x,x=950&amp;cr=293" xr:uid="{F02F2670-E912-4A05-9879-D5BCD5138D08}"/>
    <hyperlink ref="A1210" r:id="rId1127" display="https://9607261.app.netsuite.com/app/reporting/reportrunner.nl?fromreport=320&amp;regtx,tranline,kacct,x,alltranline5,IN,x,x=950&amp;cr=293" xr:uid="{E5C15ADE-9A6C-49F9-9C56-16B9FA80A65F}"/>
    <hyperlink ref="A1211" r:id="rId1128" display="https://9607261.app.netsuite.com/app/reporting/reportrunner.nl?fromreport=320&amp;regtx,tranline,kacct,x,alltranline5,IN,x,x=950&amp;cr=293" xr:uid="{F468FC95-61AC-45EC-B5CD-A1F360630A39}"/>
    <hyperlink ref="A1212" r:id="rId1129" display="https://9607261.app.netsuite.com/app/reporting/reportrunner.nl?fromreport=320&amp;regtx,tranline,kacct,x,alltranline5,IN,x,x=950&amp;cr=293" xr:uid="{9E0A61E5-8E21-4274-A6E0-7E0114CA60FD}"/>
    <hyperlink ref="A1213" r:id="rId1130" display="https://9607261.app.netsuite.com/app/reporting/reportrunner.nl?fromreport=320&amp;regtx,tranline,kacct,x,alltranline5,IN,x,x=950&amp;cr=293" xr:uid="{D1E6EC9C-D8DA-4714-BE14-AF159033C350}"/>
    <hyperlink ref="A1214" r:id="rId1131" display="https://9607261.app.netsuite.com/app/reporting/reportrunner.nl?fromreport=320&amp;regtx,tranline,kacct,x,alltranline5,IN,x,x=950&amp;cr=293" xr:uid="{B71E9CD4-4808-4935-BF15-E66EA0A0D549}"/>
    <hyperlink ref="A1215" r:id="rId1132" display="https://9607261.app.netsuite.com/app/reporting/reportrunner.nl?fromreport=320&amp;regtx,tranline,kacct,x,alltranline5,IN,x,x=950&amp;cr=293" xr:uid="{E0CA4A9A-691E-4C0C-A6A6-53F87F771D75}"/>
    <hyperlink ref="A1216" r:id="rId1133" display="https://9607261.app.netsuite.com/app/reporting/reportrunner.nl?fromreport=320&amp;regtx,tranline,kacct,x,alltranline5,IN,x,x=950&amp;cr=293" xr:uid="{9A9AE79C-8789-4CCC-B938-227EF95D74AD}"/>
    <hyperlink ref="A1217" r:id="rId1134" display="https://9607261.app.netsuite.com/app/reporting/reportrunner.nl?fromreport=320&amp;regtx,tranline,kacct,x,alltranline5,IN,x,x=950&amp;cr=293" xr:uid="{887C20D1-45EB-4B56-A269-D0562DB4DF3C}"/>
    <hyperlink ref="A1218" r:id="rId1135" display="https://9607261.app.netsuite.com/app/reporting/reportrunner.nl?fromreport=320&amp;regtx,tranline,kacct,x,alltranline5,IN,x,x=950&amp;cr=293" xr:uid="{BF9F3962-F66C-4B09-9E4F-B0F1B1E8B953}"/>
    <hyperlink ref="A1219" r:id="rId1136" display="https://9607261.app.netsuite.com/app/reporting/reportrunner.nl?fromreport=320&amp;regtx,tranline,kacct,x,alltranline5,IN,x,x=950&amp;cr=293" xr:uid="{FFFE4864-1438-4DEF-B020-95CAFC0FF0C1}"/>
    <hyperlink ref="A1220" r:id="rId1137" display="https://9607261.app.netsuite.com/app/reporting/reportrunner.nl?fromreport=320&amp;regtx,tranline,kacct,x,alltranline5,IN,x,x=950&amp;cr=293" xr:uid="{2806AF70-F01E-4ACE-94FF-420AB79016B9}"/>
    <hyperlink ref="A1221" r:id="rId1138" display="https://9607261.app.netsuite.com/app/reporting/reportrunner.nl?fromreport=320&amp;regtx,tranline,kacct,x,alltranline5,IN,x,x=950&amp;cr=293" xr:uid="{8224BBC8-174D-4949-B6F4-883F2E9656C0}"/>
    <hyperlink ref="A1222" r:id="rId1139" display="https://9607261.app.netsuite.com/app/reporting/reportrunner.nl?fromreport=320&amp;regtx,tranline,kacct,x,alltranline5,IN,x,x=950&amp;cr=293" xr:uid="{45B779ED-FEBA-4F7A-9554-B1D66A050034}"/>
    <hyperlink ref="A1223" r:id="rId1140" display="https://9607261.app.netsuite.com/app/reporting/reportrunner.nl?fromreport=320&amp;regtx,tranline,kacct,x,alltranline5,IN,x,x=950&amp;cr=293" xr:uid="{229908A9-B8A3-412C-B88D-13813141830A}"/>
    <hyperlink ref="A1224" r:id="rId1141" display="https://9607261.app.netsuite.com/app/reporting/reportrunner.nl?fromreport=320&amp;regtx,tranline,kacct,x,alltranline5,IN,x,x=950&amp;cr=293" xr:uid="{95E9ACC7-7A9F-4F4B-8D19-AF55B98CCEA1}"/>
    <hyperlink ref="A1225" r:id="rId1142" display="https://9607261.app.netsuite.com/app/reporting/reportrunner.nl?fromreport=320&amp;regtx,tranline,kacct,x,alltranline5,IN,x,x=950&amp;cr=293" xr:uid="{839D1DD0-CEC1-403A-A988-C33DC8EE40FF}"/>
    <hyperlink ref="A1226" r:id="rId1143" display="https://9607261.app.netsuite.com/app/reporting/reportrunner.nl?fromreport=320&amp;regtx,tranline,kacct,x,alltranline5,IN,x,x=950&amp;cr=293" xr:uid="{95993915-8A8F-438D-99AC-0B1D06ABF47D}"/>
    <hyperlink ref="A1227" r:id="rId1144" display="https://9607261.app.netsuite.com/app/reporting/reportrunner.nl?fromreport=320&amp;regtx,tranline,kacct,x,alltranline5,IN,x,x=950&amp;cr=293" xr:uid="{8A7E34E2-5E39-415E-80E9-C0504D6C61BD}"/>
    <hyperlink ref="A1228" r:id="rId1145" display="https://9607261.app.netsuite.com/app/reporting/reportrunner.nl?fromreport=320&amp;regtx,tranline,kacct,x,alltranline5,IN,x,x=950&amp;cr=293" xr:uid="{3A04FF88-F0CB-4C04-ACFB-A0C8B340653E}"/>
    <hyperlink ref="A1229" r:id="rId1146" display="https://9607261.app.netsuite.com/app/reporting/reportrunner.nl?fromreport=320&amp;regtx,tranline,kacct,x,alltranline5,IN,x,x=950&amp;cr=293" xr:uid="{84997D65-83E5-4D35-A7D4-EA8D64066336}"/>
    <hyperlink ref="A1230" r:id="rId1147" display="https://9607261.app.netsuite.com/app/reporting/reportrunner.nl?fromreport=320&amp;regtx,tranline,kacct,x,alltranline5,IN,x,x=950&amp;cr=293" xr:uid="{9CF4345C-5332-41C9-9C34-EBA26E6477F2}"/>
    <hyperlink ref="A1231" r:id="rId1148" display="https://9607261.app.netsuite.com/app/reporting/reportrunner.nl?fromreport=320&amp;regtx,tranline,kacct,x,alltranline5,IN,x,x=950&amp;cr=293" xr:uid="{E3719476-A6AB-4816-A31C-42B4EBF6E8BE}"/>
    <hyperlink ref="A1232" r:id="rId1149" display="https://9607261.app.netsuite.com/app/reporting/reportrunner.nl?fromreport=320&amp;regtx,tranline,kacct,x,alltranline5,IN,x,x=950&amp;cr=293" xr:uid="{84EE38DE-889F-4F03-A91A-A6A374DCA934}"/>
    <hyperlink ref="A1233" r:id="rId1150" display="https://9607261.app.netsuite.com/app/reporting/reportrunner.nl?fromreport=320&amp;regtx,tranline,kacct,x,alltranline5,IN,x,x=950&amp;cr=293" xr:uid="{B8D9E70E-D959-4B37-BF5B-C6089EE17B73}"/>
    <hyperlink ref="A1234" r:id="rId1151" display="https://9607261.app.netsuite.com/app/reporting/reportrunner.nl?fromreport=320&amp;regtx,tranline,kacct,x,alltranline5,IN,x,x=950&amp;cr=293" xr:uid="{39DCCEDF-3221-4339-AAB2-D6A79A90AB33}"/>
    <hyperlink ref="A1235" r:id="rId1152" display="https://9607261.app.netsuite.com/app/reporting/reportrunner.nl?fromreport=320&amp;regtx,tranline,kacct,x,alltranline5,IN,x,x=950&amp;cr=293" xr:uid="{38306A5D-57F9-46EB-A650-9E63DFEBA020}"/>
    <hyperlink ref="A1236" r:id="rId1153" display="https://9607261.app.netsuite.com/app/reporting/reportrunner.nl?fromreport=320&amp;regtx,tranline,kacct,x,alltranline5,IN,x,x=950&amp;cr=293" xr:uid="{7426C8FE-32CF-44D1-98CA-16A5116B5EDF}"/>
    <hyperlink ref="A1237" r:id="rId1154" display="https://9607261.app.netsuite.com/app/reporting/reportrunner.nl?fromreport=320&amp;regtx,tranline,kacct,x,alltranline5,IN,x,x=950&amp;cr=293" xr:uid="{29EB80A2-8298-430D-8348-362124911425}"/>
    <hyperlink ref="A1238" r:id="rId1155" display="https://9607261.app.netsuite.com/app/reporting/reportrunner.nl?fromreport=320&amp;regtx,tranline,kacct,x,alltranline5,IN,x,x=950&amp;cr=293" xr:uid="{C8627411-FB40-4790-B52D-A161127E0E33}"/>
    <hyperlink ref="A1239" r:id="rId1156" display="https://9607261.app.netsuite.com/app/reporting/reportrunner.nl?fromreport=320&amp;regtx,tranline,kacct,x,alltranline5,IN,x,x=950&amp;cr=293" xr:uid="{5BF3FAA3-977D-495F-A59C-44515751D0B3}"/>
    <hyperlink ref="A1240" r:id="rId1157" display="https://9607261.app.netsuite.com/app/reporting/reportrunner.nl?fromreport=320&amp;regtx,tranline,kacct,x,alltranline5,IN,x,x=950&amp;cr=293" xr:uid="{13CD04D8-A6FB-40C5-AEB8-8902008B8CB3}"/>
    <hyperlink ref="A1241" r:id="rId1158" display="https://9607261.app.netsuite.com/app/reporting/reportrunner.nl?fromreport=320&amp;regtx,tranline,kacct,x,alltranline5,IN,x,x=950&amp;cr=293" xr:uid="{2546E350-61C5-4473-B404-F0599400B5B6}"/>
    <hyperlink ref="A1242" r:id="rId1159" display="https://9607261.app.netsuite.com/app/reporting/reportrunner.nl?fromreport=320&amp;regtx,tranline,kacct,x,alltranline5,IN,x,x=950&amp;cr=293" xr:uid="{C50FF4AF-2A81-45B5-942A-CAFF48F01872}"/>
    <hyperlink ref="A1243" r:id="rId1160" display="https://9607261.app.netsuite.com/app/reporting/reportrunner.nl?fromreport=320&amp;regtx,tranline,kacct,x,alltranline5,IN,x,x=950&amp;cr=293" xr:uid="{ED050E7C-DE2F-4BDB-A4CB-D23B59C520C9}"/>
    <hyperlink ref="A1244" r:id="rId1161" display="https://9607261.app.netsuite.com/app/reporting/reportrunner.nl?fromreport=320&amp;regtx,tranline,kacct,x,alltranline5,IN,x,x=950&amp;cr=293" xr:uid="{37D02DE1-66B1-40D5-AD49-19DAF7451EA5}"/>
    <hyperlink ref="A1245" r:id="rId1162" display="https://9607261.app.netsuite.com/app/reporting/reportrunner.nl?fromreport=320&amp;regtx,tranline,kacct,x,alltranline5,IN,x,x=950&amp;cr=293" xr:uid="{D4AC826A-CB50-4127-9B12-452B56B734E2}"/>
    <hyperlink ref="A1246" r:id="rId1163" display="https://9607261.app.netsuite.com/app/reporting/reportrunner.nl?fromreport=320&amp;regtx,tranline,kacct,x,alltranline5,IN,x,x=950&amp;cr=293" xr:uid="{372602E8-3CE3-4AA9-A5FE-6F792E6F462E}"/>
    <hyperlink ref="A1247" r:id="rId1164" display="https://9607261.app.netsuite.com/app/reporting/reportrunner.nl?fromreport=320&amp;regtx,tranline,kacct,x,alltranline5,IN,x,x=950&amp;cr=293" xr:uid="{865C27FE-68EF-4328-9605-01D0C49D31BB}"/>
    <hyperlink ref="A1248" r:id="rId1165" display="https://9607261.app.netsuite.com/app/reporting/reportrunner.nl?fromreport=320&amp;regtx,tranline,kacct,x,alltranline5,IN,x,x=950&amp;cr=293" xr:uid="{D463A51B-03E9-49CA-90CF-77D42CC867F1}"/>
    <hyperlink ref="A1249" r:id="rId1166" display="https://9607261.app.netsuite.com/app/reporting/reportrunner.nl?fromreport=320&amp;regtx,tranline,kacct,x,alltranline5,IN,x,x=950&amp;cr=293" xr:uid="{C3475D98-7438-4828-BDB9-EBD6E5852396}"/>
    <hyperlink ref="A1250" r:id="rId1167" display="https://9607261.app.netsuite.com/app/reporting/reportrunner.nl?fromreport=320&amp;regtx,tranline,kacct,x,alltranline5,IN,x,x=950&amp;cr=293" xr:uid="{28DB0657-C44C-4479-B3E4-2EEC7E94685D}"/>
    <hyperlink ref="A1251" r:id="rId1168" display="https://9607261.app.netsuite.com/app/reporting/reportrunner.nl?fromreport=320&amp;regtx,tranline,kacct,x,alltranline5,IN,x,x=950&amp;cr=293" xr:uid="{728F7836-E682-42E7-8BEC-C3D20149D7AF}"/>
    <hyperlink ref="A1252" r:id="rId1169" display="https://9607261.app.netsuite.com/app/reporting/reportrunner.nl?fromreport=320&amp;regtx,tranline,kacct,x,alltranline5,IN,x,x=950&amp;cr=293" xr:uid="{8C99E413-D21B-4A06-B397-28EF2BCAE8A1}"/>
    <hyperlink ref="A1253" r:id="rId1170" display="https://9607261.app.netsuite.com/app/reporting/reportrunner.nl?fromreport=320&amp;regtx,tranline,kacct,x,alltranline5,IN,x,x=950&amp;cr=293" xr:uid="{C94EF380-0AD2-446C-8E25-B7BE06FC72A5}"/>
    <hyperlink ref="A1254" r:id="rId1171" display="https://9607261.app.netsuite.com/app/reporting/reportrunner.nl?fromreport=320&amp;regtx,tranline,kacct,x,alltranline5,IN,x,x=950&amp;cr=293" xr:uid="{119B196A-97B8-4BD1-B0EE-AC2EAAB29E20}"/>
    <hyperlink ref="A1255" r:id="rId1172" display="https://9607261.app.netsuite.com/app/reporting/reportrunner.nl?fromreport=320&amp;regtx,tranline,kacct,x,alltranline5,IN,x,x=950&amp;cr=293" xr:uid="{D2C748C3-7DFA-476A-A404-02FAE5536068}"/>
    <hyperlink ref="A1256" r:id="rId1173" display="https://9607261.app.netsuite.com/app/reporting/reportrunner.nl?fromreport=320&amp;regtx,tranline,kacct,x,alltranline5,IN,x,x=950&amp;cr=293" xr:uid="{DF52E5D3-41DE-4DD6-B498-921DB83642FE}"/>
    <hyperlink ref="A1257" r:id="rId1174" display="https://9607261.app.netsuite.com/app/reporting/reportrunner.nl?fromreport=320&amp;regtx,tranline,kacct,x,alltranline5,IN,x,x=950&amp;cr=293" xr:uid="{94341330-999A-4735-A3CF-A188DDC095EA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1BB9-3674-43C5-A113-CAA8D3FF7157}">
  <dimension ref="A1:N2511"/>
  <sheetViews>
    <sheetView topLeftCell="A1885" workbookViewId="0">
      <selection activeCell="A2496" sqref="A1:XFD1048576"/>
    </sheetView>
  </sheetViews>
  <sheetFormatPr defaultColWidth="8.83203125" defaultRowHeight="14.5" x14ac:dyDescent="0.35"/>
  <cols>
    <col min="1" max="1" width="32" style="25" customWidth="1"/>
    <col min="2" max="2" width="22" style="25" customWidth="1"/>
    <col min="3" max="3" width="12.08203125" style="25" customWidth="1"/>
    <col min="4" max="4" width="8.83203125" style="25"/>
    <col min="5" max="5" width="33.33203125" style="25" customWidth="1"/>
    <col min="6" max="6" width="29" style="25" customWidth="1"/>
    <col min="7" max="7" width="17.5" style="25" customWidth="1"/>
    <col min="8" max="8" width="14.58203125" style="25" customWidth="1"/>
    <col min="9" max="10" width="8.83203125" style="25"/>
    <col min="11" max="11" width="11.4140625" style="25" bestFit="1" customWidth="1"/>
    <col min="12" max="16384" width="8.83203125" style="25"/>
  </cols>
  <sheetData>
    <row r="1" spans="1:14" x14ac:dyDescent="0.35">
      <c r="G1" s="34">
        <f>SUM(G4:G2512)</f>
        <v>7173186.1400000006</v>
      </c>
      <c r="H1" s="34">
        <f>SUM(H4:H2512)</f>
        <v>7173186.1400000006</v>
      </c>
      <c r="J1" s="105" t="s">
        <v>4030</v>
      </c>
      <c r="K1" s="120">
        <f>SUM(G4:G1009)</f>
        <v>5816494.2000000039</v>
      </c>
      <c r="L1" s="105" t="s">
        <v>4048</v>
      </c>
      <c r="N1" s="97" t="s">
        <v>4083</v>
      </c>
    </row>
    <row r="2" spans="1:14" x14ac:dyDescent="0.35">
      <c r="A2" s="20" t="s">
        <v>2635</v>
      </c>
      <c r="B2" s="20" t="s">
        <v>3580</v>
      </c>
      <c r="C2" s="27" t="s">
        <v>2545</v>
      </c>
      <c r="D2" s="27" t="s">
        <v>957</v>
      </c>
      <c r="E2" s="27" t="s">
        <v>948</v>
      </c>
      <c r="F2" s="27" t="s">
        <v>3803</v>
      </c>
      <c r="G2" s="27" t="s">
        <v>2636</v>
      </c>
      <c r="J2" s="105" t="s">
        <v>4031</v>
      </c>
      <c r="K2" s="120">
        <f>SUM(G1010:G1090)</f>
        <v>295927.18000000005</v>
      </c>
      <c r="L2" s="105" t="s">
        <v>4049</v>
      </c>
      <c r="N2" s="98" t="s">
        <v>4078</v>
      </c>
    </row>
    <row r="3" spans="1:14" ht="14.4" customHeight="1" x14ac:dyDescent="0.35">
      <c r="A3" s="20" t="s">
        <v>3582</v>
      </c>
      <c r="B3" s="20" t="s">
        <v>3581</v>
      </c>
      <c r="J3" s="105" t="s">
        <v>4032</v>
      </c>
      <c r="K3" s="120">
        <f>SUM(G1091:G1257)</f>
        <v>1060764.76</v>
      </c>
      <c r="L3" s="105" t="s">
        <v>4050</v>
      </c>
      <c r="N3" s="98" t="s">
        <v>4079</v>
      </c>
    </row>
    <row r="4" spans="1:14" x14ac:dyDescent="0.35">
      <c r="A4" s="22" t="s">
        <v>2549</v>
      </c>
      <c r="B4" s="22"/>
      <c r="C4" s="26">
        <v>45870</v>
      </c>
      <c r="D4" s="25" t="s">
        <v>2637</v>
      </c>
      <c r="E4" s="25" t="s">
        <v>1263</v>
      </c>
      <c r="F4" s="53" t="s">
        <v>3812</v>
      </c>
      <c r="G4" s="28">
        <v>38753.19</v>
      </c>
      <c r="J4" s="107" t="s">
        <v>4047</v>
      </c>
      <c r="K4" s="121"/>
      <c r="L4" s="105" t="s">
        <v>4051</v>
      </c>
      <c r="N4" s="98" t="s">
        <v>4082</v>
      </c>
    </row>
    <row r="5" spans="1:14" ht="43.5" x14ac:dyDescent="0.35">
      <c r="A5" s="22" t="s">
        <v>2549</v>
      </c>
      <c r="B5" s="22"/>
      <c r="C5" s="26">
        <v>45873</v>
      </c>
      <c r="D5" s="25" t="s">
        <v>2638</v>
      </c>
      <c r="E5" s="25" t="s">
        <v>1475</v>
      </c>
      <c r="F5" s="53" t="s">
        <v>3812</v>
      </c>
      <c r="G5" s="28">
        <v>17770.829999999998</v>
      </c>
      <c r="J5" s="119" t="s">
        <v>4108</v>
      </c>
    </row>
    <row r="6" spans="1:14" x14ac:dyDescent="0.35">
      <c r="A6" s="22" t="s">
        <v>2549</v>
      </c>
      <c r="B6" s="22"/>
      <c r="C6" s="26">
        <v>45873</v>
      </c>
      <c r="D6" s="25">
        <v>38633</v>
      </c>
      <c r="E6" s="25" t="s">
        <v>2644</v>
      </c>
      <c r="F6" s="53" t="s">
        <v>3812</v>
      </c>
      <c r="G6" s="28">
        <v>1066.07</v>
      </c>
    </row>
    <row r="7" spans="1:14" x14ac:dyDescent="0.35">
      <c r="A7" s="22" t="s">
        <v>2549</v>
      </c>
      <c r="B7" s="22"/>
      <c r="C7" s="26">
        <v>45874</v>
      </c>
      <c r="D7" s="25" t="s">
        <v>2639</v>
      </c>
      <c r="E7" s="25" t="s">
        <v>1582</v>
      </c>
      <c r="F7" s="53" t="s">
        <v>3812</v>
      </c>
      <c r="G7" s="28">
        <v>11850.06</v>
      </c>
      <c r="J7" s="88"/>
    </row>
    <row r="8" spans="1:14" x14ac:dyDescent="0.35">
      <c r="A8" s="22" t="s">
        <v>2549</v>
      </c>
      <c r="B8" s="22"/>
      <c r="C8" s="26">
        <v>45874</v>
      </c>
      <c r="D8" s="25" t="s">
        <v>2640</v>
      </c>
      <c r="E8" s="25" t="s">
        <v>2628</v>
      </c>
      <c r="F8" s="53" t="s">
        <v>3812</v>
      </c>
      <c r="G8" s="28">
        <v>13724.09</v>
      </c>
      <c r="J8" s="88"/>
    </row>
    <row r="9" spans="1:14" x14ac:dyDescent="0.35">
      <c r="A9" s="22" t="s">
        <v>2549</v>
      </c>
      <c r="B9" s="22"/>
      <c r="C9" s="26">
        <v>45874</v>
      </c>
      <c r="D9" s="25" t="s">
        <v>2641</v>
      </c>
      <c r="E9" s="25" t="s">
        <v>2628</v>
      </c>
      <c r="F9" s="53" t="s">
        <v>3812</v>
      </c>
      <c r="G9" s="28">
        <v>8320.26</v>
      </c>
      <c r="J9" s="96"/>
    </row>
    <row r="10" spans="1:14" x14ac:dyDescent="0.35">
      <c r="A10" s="22" t="s">
        <v>2549</v>
      </c>
      <c r="B10" s="22"/>
      <c r="C10" s="26">
        <v>45874</v>
      </c>
      <c r="D10" s="25" t="s">
        <v>2642</v>
      </c>
      <c r="E10" s="25" t="s">
        <v>2628</v>
      </c>
      <c r="F10" s="53" t="s">
        <v>3812</v>
      </c>
      <c r="G10" s="28">
        <v>1850</v>
      </c>
    </row>
    <row r="11" spans="1:14" x14ac:dyDescent="0.35">
      <c r="A11" s="22" t="s">
        <v>2549</v>
      </c>
      <c r="B11" s="22"/>
      <c r="C11" s="26">
        <v>45876</v>
      </c>
      <c r="D11" s="25">
        <v>37687</v>
      </c>
      <c r="E11" s="25" t="s">
        <v>1263</v>
      </c>
      <c r="F11" s="53" t="s">
        <v>3812</v>
      </c>
      <c r="G11" s="28">
        <v>256</v>
      </c>
    </row>
    <row r="12" spans="1:14" x14ac:dyDescent="0.35">
      <c r="A12" s="22" t="s">
        <v>2549</v>
      </c>
      <c r="B12" s="22"/>
      <c r="C12" s="26">
        <v>45876</v>
      </c>
      <c r="D12" s="25" t="s">
        <v>2643</v>
      </c>
      <c r="E12" s="25" t="s">
        <v>1263</v>
      </c>
      <c r="F12" s="53" t="s">
        <v>3812</v>
      </c>
      <c r="G12" s="28">
        <v>136.08000000000001</v>
      </c>
    </row>
    <row r="13" spans="1:14" x14ac:dyDescent="0.35">
      <c r="A13" s="22" t="s">
        <v>2549</v>
      </c>
      <c r="B13" s="22"/>
      <c r="C13" s="26">
        <v>45876</v>
      </c>
      <c r="D13" s="25">
        <v>38661</v>
      </c>
      <c r="E13" s="25" t="s">
        <v>2650</v>
      </c>
      <c r="F13" s="53" t="s">
        <v>3812</v>
      </c>
      <c r="G13" s="28">
        <v>5066</v>
      </c>
    </row>
    <row r="14" spans="1:14" x14ac:dyDescent="0.35">
      <c r="A14" s="22" t="s">
        <v>2549</v>
      </c>
      <c r="B14" s="22"/>
      <c r="C14" s="26">
        <v>45877</v>
      </c>
      <c r="D14" s="25">
        <v>36248</v>
      </c>
      <c r="E14" s="25" t="s">
        <v>1839</v>
      </c>
      <c r="F14" s="53" t="s">
        <v>3812</v>
      </c>
      <c r="G14" s="28">
        <v>36.36</v>
      </c>
    </row>
    <row r="15" spans="1:14" x14ac:dyDescent="0.35">
      <c r="A15" s="22" t="s">
        <v>2549</v>
      </c>
      <c r="B15" s="22"/>
      <c r="C15" s="26">
        <v>45877</v>
      </c>
      <c r="D15" s="25">
        <v>36250</v>
      </c>
      <c r="E15" s="25" t="s">
        <v>1839</v>
      </c>
      <c r="F15" s="53" t="s">
        <v>3812</v>
      </c>
      <c r="G15" s="28">
        <v>11139.99</v>
      </c>
    </row>
    <row r="16" spans="1:14" x14ac:dyDescent="0.35">
      <c r="A16" s="22" t="s">
        <v>2549</v>
      </c>
      <c r="B16" s="22"/>
      <c r="C16" s="26">
        <v>45877</v>
      </c>
      <c r="D16" s="25" t="s">
        <v>2645</v>
      </c>
      <c r="E16" s="25" t="s">
        <v>1035</v>
      </c>
      <c r="F16" s="53" t="s">
        <v>3812</v>
      </c>
      <c r="G16" s="28">
        <v>0</v>
      </c>
    </row>
    <row r="17" spans="1:7" x14ac:dyDescent="0.35">
      <c r="A17" s="22" t="s">
        <v>2549</v>
      </c>
      <c r="B17" s="22"/>
      <c r="C17" s="26">
        <v>45877</v>
      </c>
      <c r="D17" s="25">
        <v>38292</v>
      </c>
      <c r="E17" s="25" t="s">
        <v>2662</v>
      </c>
      <c r="F17" s="53" t="s">
        <v>3812</v>
      </c>
      <c r="G17" s="28">
        <v>11678.810000000001</v>
      </c>
    </row>
    <row r="18" spans="1:7" x14ac:dyDescent="0.35">
      <c r="A18" s="22" t="s">
        <v>2549</v>
      </c>
      <c r="B18" s="22"/>
      <c r="C18" s="26">
        <v>45877</v>
      </c>
      <c r="D18" s="25" t="s">
        <v>2646</v>
      </c>
      <c r="E18" s="25" t="s">
        <v>2662</v>
      </c>
      <c r="F18" s="53" t="s">
        <v>3812</v>
      </c>
      <c r="G18" s="28">
        <v>13696.2</v>
      </c>
    </row>
    <row r="19" spans="1:7" x14ac:dyDescent="0.35">
      <c r="A19" s="22" t="s">
        <v>2549</v>
      </c>
      <c r="B19" s="22"/>
      <c r="C19" s="26">
        <v>45880</v>
      </c>
      <c r="D19" s="25" t="s">
        <v>2647</v>
      </c>
      <c r="E19" s="25" t="s">
        <v>1179</v>
      </c>
      <c r="F19" s="53" t="s">
        <v>3812</v>
      </c>
      <c r="G19" s="28">
        <v>338.1</v>
      </c>
    </row>
    <row r="20" spans="1:7" x14ac:dyDescent="0.35">
      <c r="A20" s="22" t="s">
        <v>2549</v>
      </c>
      <c r="B20" s="22"/>
      <c r="C20" s="26">
        <v>45880</v>
      </c>
      <c r="D20" s="25">
        <v>38259</v>
      </c>
      <c r="E20" s="25" t="s">
        <v>2677</v>
      </c>
      <c r="F20" s="53" t="s">
        <v>3812</v>
      </c>
      <c r="G20" s="28">
        <v>326.43</v>
      </c>
    </row>
    <row r="21" spans="1:7" x14ac:dyDescent="0.35">
      <c r="A21" s="22" t="s">
        <v>2549</v>
      </c>
      <c r="B21" s="22"/>
      <c r="C21" s="26">
        <v>45880</v>
      </c>
      <c r="D21" s="25">
        <v>38260</v>
      </c>
      <c r="E21" s="25" t="s">
        <v>2677</v>
      </c>
      <c r="F21" s="53" t="s">
        <v>3812</v>
      </c>
      <c r="G21" s="28">
        <v>5925.3899999999994</v>
      </c>
    </row>
    <row r="22" spans="1:7" x14ac:dyDescent="0.35">
      <c r="A22" s="22" t="s">
        <v>2549</v>
      </c>
      <c r="B22" s="22"/>
      <c r="C22" s="26">
        <v>45880</v>
      </c>
      <c r="D22" s="25">
        <v>38579</v>
      </c>
      <c r="E22" s="25" t="s">
        <v>2205</v>
      </c>
      <c r="F22" s="53" t="s">
        <v>3812</v>
      </c>
      <c r="G22" s="28">
        <v>1350</v>
      </c>
    </row>
    <row r="23" spans="1:7" x14ac:dyDescent="0.35">
      <c r="A23" s="22" t="s">
        <v>2549</v>
      </c>
      <c r="B23" s="22"/>
      <c r="C23" s="26">
        <v>45881</v>
      </c>
      <c r="D23" s="25" t="s">
        <v>2648</v>
      </c>
      <c r="E23" s="25" t="s">
        <v>1179</v>
      </c>
      <c r="F23" s="53" t="s">
        <v>3812</v>
      </c>
      <c r="G23" s="28">
        <v>0</v>
      </c>
    </row>
    <row r="24" spans="1:7" x14ac:dyDescent="0.35">
      <c r="A24" s="22" t="s">
        <v>2549</v>
      </c>
      <c r="B24" s="22"/>
      <c r="C24" s="26">
        <v>45881</v>
      </c>
      <c r="D24" s="25" t="s">
        <v>2649</v>
      </c>
      <c r="E24" s="25" t="s">
        <v>1179</v>
      </c>
      <c r="F24" s="53" t="s">
        <v>3812</v>
      </c>
      <c r="G24" s="28">
        <v>0</v>
      </c>
    </row>
    <row r="25" spans="1:7" x14ac:dyDescent="0.35">
      <c r="A25" s="22" t="s">
        <v>2549</v>
      </c>
      <c r="B25" s="22"/>
      <c r="C25" s="26">
        <v>45881</v>
      </c>
      <c r="D25" s="25" t="s">
        <v>2651</v>
      </c>
      <c r="E25" s="25" t="s">
        <v>1004</v>
      </c>
      <c r="F25" s="53" t="s">
        <v>3812</v>
      </c>
      <c r="G25" s="28">
        <v>0</v>
      </c>
    </row>
    <row r="26" spans="1:7" x14ac:dyDescent="0.35">
      <c r="A26" s="22" t="s">
        <v>2549</v>
      </c>
      <c r="B26" s="22"/>
      <c r="C26" s="26">
        <v>45881</v>
      </c>
      <c r="D26" s="25" t="s">
        <v>2652</v>
      </c>
      <c r="E26" s="25" t="s">
        <v>1004</v>
      </c>
      <c r="F26" s="53" t="s">
        <v>3812</v>
      </c>
      <c r="G26" s="28">
        <v>6344.1100000000006</v>
      </c>
    </row>
    <row r="27" spans="1:7" x14ac:dyDescent="0.35">
      <c r="A27" s="22" t="s">
        <v>2549</v>
      </c>
      <c r="B27" s="22"/>
      <c r="C27" s="26">
        <v>45881</v>
      </c>
      <c r="D27" s="25" t="s">
        <v>2653</v>
      </c>
      <c r="E27" s="25" t="s">
        <v>1004</v>
      </c>
      <c r="F27" s="53" t="s">
        <v>3812</v>
      </c>
      <c r="G27" s="28">
        <v>0</v>
      </c>
    </row>
    <row r="28" spans="1:7" x14ac:dyDescent="0.35">
      <c r="A28" s="22" t="s">
        <v>2549</v>
      </c>
      <c r="B28" s="22"/>
      <c r="C28" s="26">
        <v>45881</v>
      </c>
      <c r="D28" s="25" t="s">
        <v>2654</v>
      </c>
      <c r="E28" s="25" t="s">
        <v>1263</v>
      </c>
      <c r="F28" s="53" t="s">
        <v>3812</v>
      </c>
      <c r="G28" s="28">
        <v>33360</v>
      </c>
    </row>
    <row r="29" spans="1:7" x14ac:dyDescent="0.35">
      <c r="A29" s="22" t="s">
        <v>2549</v>
      </c>
      <c r="B29" s="22"/>
      <c r="C29" s="26">
        <v>45881</v>
      </c>
      <c r="D29" s="25" t="s">
        <v>2655</v>
      </c>
      <c r="E29" s="25" t="s">
        <v>1263</v>
      </c>
      <c r="F29" s="53" t="s">
        <v>3812</v>
      </c>
      <c r="G29" s="28">
        <v>29600.639999999999</v>
      </c>
    </row>
    <row r="30" spans="1:7" x14ac:dyDescent="0.35">
      <c r="A30" s="22" t="s">
        <v>2549</v>
      </c>
      <c r="B30" s="22"/>
      <c r="C30" s="26">
        <v>45881</v>
      </c>
      <c r="D30" s="25" t="s">
        <v>2656</v>
      </c>
      <c r="E30" s="25" t="s">
        <v>1263</v>
      </c>
      <c r="F30" s="53" t="s">
        <v>3812</v>
      </c>
      <c r="G30" s="28">
        <v>1026</v>
      </c>
    </row>
    <row r="31" spans="1:7" x14ac:dyDescent="0.35">
      <c r="A31" s="22" t="s">
        <v>2549</v>
      </c>
      <c r="B31" s="22"/>
      <c r="C31" s="26">
        <v>45881</v>
      </c>
      <c r="D31" s="25" t="s">
        <v>2657</v>
      </c>
      <c r="E31" s="25" t="s">
        <v>1263</v>
      </c>
      <c r="F31" s="53" t="s">
        <v>3812</v>
      </c>
      <c r="G31" s="28">
        <v>50080.54</v>
      </c>
    </row>
    <row r="32" spans="1:7" x14ac:dyDescent="0.35">
      <c r="A32" s="22" t="s">
        <v>2549</v>
      </c>
      <c r="B32" s="22"/>
      <c r="C32" s="26">
        <v>45881</v>
      </c>
      <c r="D32" s="25" t="s">
        <v>2658</v>
      </c>
      <c r="E32" s="25" t="s">
        <v>1263</v>
      </c>
      <c r="F32" s="53" t="s">
        <v>3812</v>
      </c>
      <c r="G32" s="28">
        <v>50056.76</v>
      </c>
    </row>
    <row r="33" spans="1:7" x14ac:dyDescent="0.35">
      <c r="A33" s="22" t="s">
        <v>2549</v>
      </c>
      <c r="B33" s="22"/>
      <c r="C33" s="26">
        <v>45881</v>
      </c>
      <c r="D33" s="25" t="s">
        <v>2659</v>
      </c>
      <c r="E33" s="25" t="s">
        <v>1263</v>
      </c>
      <c r="F33" s="53" t="s">
        <v>3812</v>
      </c>
      <c r="G33" s="28">
        <v>0</v>
      </c>
    </row>
    <row r="34" spans="1:7" x14ac:dyDescent="0.35">
      <c r="A34" s="22" t="s">
        <v>2549</v>
      </c>
      <c r="B34" s="22"/>
      <c r="C34" s="26">
        <v>45881</v>
      </c>
      <c r="D34" s="25" t="s">
        <v>2660</v>
      </c>
      <c r="E34" s="25" t="s">
        <v>1263</v>
      </c>
      <c r="F34" s="53" t="s">
        <v>3812</v>
      </c>
      <c r="G34" s="28">
        <v>11383.099999999999</v>
      </c>
    </row>
    <row r="35" spans="1:7" x14ac:dyDescent="0.35">
      <c r="A35" s="22" t="s">
        <v>2549</v>
      </c>
      <c r="B35" s="22"/>
      <c r="C35" s="26">
        <v>45881</v>
      </c>
      <c r="D35" s="25" t="s">
        <v>2661</v>
      </c>
      <c r="E35" s="25" t="s">
        <v>1263</v>
      </c>
      <c r="F35" s="53" t="s">
        <v>3812</v>
      </c>
      <c r="G35" s="28">
        <v>35342.19</v>
      </c>
    </row>
    <row r="36" spans="1:7" x14ac:dyDescent="0.35">
      <c r="A36" s="22" t="s">
        <v>2549</v>
      </c>
      <c r="B36" s="22"/>
      <c r="C36" s="26">
        <v>45881</v>
      </c>
      <c r="D36" s="25" t="s">
        <v>2663</v>
      </c>
      <c r="E36" s="25" t="s">
        <v>1263</v>
      </c>
      <c r="F36" s="53" t="s">
        <v>3812</v>
      </c>
      <c r="G36" s="28">
        <v>0</v>
      </c>
    </row>
    <row r="37" spans="1:7" x14ac:dyDescent="0.35">
      <c r="A37" s="22" t="s">
        <v>2549</v>
      </c>
      <c r="B37" s="22"/>
      <c r="C37" s="26">
        <v>45881</v>
      </c>
      <c r="D37" s="25" t="s">
        <v>2664</v>
      </c>
      <c r="E37" s="25" t="s">
        <v>1263</v>
      </c>
      <c r="F37" s="53" t="s">
        <v>3812</v>
      </c>
      <c r="G37" s="28">
        <v>2872</v>
      </c>
    </row>
    <row r="38" spans="1:7" x14ac:dyDescent="0.35">
      <c r="A38" s="22" t="s">
        <v>2549</v>
      </c>
      <c r="B38" s="22"/>
      <c r="C38" s="26">
        <v>45881</v>
      </c>
      <c r="D38" s="25" t="s">
        <v>2665</v>
      </c>
      <c r="E38" s="25" t="s">
        <v>2677</v>
      </c>
      <c r="F38" s="53" t="s">
        <v>3812</v>
      </c>
      <c r="G38" s="28">
        <v>8905.2200000000012</v>
      </c>
    </row>
    <row r="39" spans="1:7" x14ac:dyDescent="0.35">
      <c r="A39" s="22" t="s">
        <v>2549</v>
      </c>
      <c r="B39" s="22"/>
      <c r="C39" s="26">
        <v>45881</v>
      </c>
      <c r="D39" s="25" t="s">
        <v>2666</v>
      </c>
      <c r="E39" s="25" t="s">
        <v>2677</v>
      </c>
      <c r="F39" s="53" t="s">
        <v>3812</v>
      </c>
      <c r="G39" s="28">
        <v>177.14</v>
      </c>
    </row>
    <row r="40" spans="1:7" x14ac:dyDescent="0.35">
      <c r="A40" s="22" t="s">
        <v>2549</v>
      </c>
      <c r="B40" s="22"/>
      <c r="C40" s="26">
        <v>45881</v>
      </c>
      <c r="D40" s="25" t="s">
        <v>2667</v>
      </c>
      <c r="E40" s="25" t="s">
        <v>2677</v>
      </c>
      <c r="F40" s="53" t="s">
        <v>3812</v>
      </c>
      <c r="G40" s="28">
        <v>5561.55</v>
      </c>
    </row>
    <row r="41" spans="1:7" x14ac:dyDescent="0.35">
      <c r="A41" s="22" t="s">
        <v>2549</v>
      </c>
      <c r="B41" s="22"/>
      <c r="C41" s="26">
        <v>45881</v>
      </c>
      <c r="D41" s="25" t="s">
        <v>2668</v>
      </c>
      <c r="E41" s="25" t="s">
        <v>2677</v>
      </c>
      <c r="F41" s="53" t="s">
        <v>3812</v>
      </c>
      <c r="G41" s="28">
        <v>22730</v>
      </c>
    </row>
    <row r="42" spans="1:7" x14ac:dyDescent="0.35">
      <c r="A42" s="22" t="s">
        <v>2549</v>
      </c>
      <c r="B42" s="22"/>
      <c r="C42" s="26">
        <v>45881</v>
      </c>
      <c r="D42" s="25">
        <v>38256</v>
      </c>
      <c r="E42" s="25" t="s">
        <v>2677</v>
      </c>
      <c r="F42" s="53" t="s">
        <v>3812</v>
      </c>
      <c r="G42" s="28">
        <v>8134</v>
      </c>
    </row>
    <row r="43" spans="1:7" x14ac:dyDescent="0.35">
      <c r="A43" s="22" t="s">
        <v>2549</v>
      </c>
      <c r="B43" s="22"/>
      <c r="C43" s="26">
        <v>45881</v>
      </c>
      <c r="D43" s="25">
        <v>38257</v>
      </c>
      <c r="E43" s="25" t="s">
        <v>2677</v>
      </c>
      <c r="F43" s="53" t="s">
        <v>3812</v>
      </c>
      <c r="G43" s="28">
        <v>4373.4799999999996</v>
      </c>
    </row>
    <row r="44" spans="1:7" x14ac:dyDescent="0.35">
      <c r="A44" s="22" t="s">
        <v>2549</v>
      </c>
      <c r="B44" s="22"/>
      <c r="C44" s="26">
        <v>45881</v>
      </c>
      <c r="D44" s="25">
        <v>38268</v>
      </c>
      <c r="E44" s="25" t="s">
        <v>2677</v>
      </c>
      <c r="F44" s="53" t="s">
        <v>3812</v>
      </c>
      <c r="G44" s="28">
        <v>460.68</v>
      </c>
    </row>
    <row r="45" spans="1:7" x14ac:dyDescent="0.35">
      <c r="A45" s="22" t="s">
        <v>2549</v>
      </c>
      <c r="B45" s="22"/>
      <c r="C45" s="26">
        <v>45881</v>
      </c>
      <c r="D45" s="25">
        <v>38331</v>
      </c>
      <c r="E45" s="25" t="s">
        <v>2629</v>
      </c>
      <c r="F45" s="53" t="s">
        <v>3812</v>
      </c>
      <c r="G45" s="28">
        <v>7573.34</v>
      </c>
    </row>
    <row r="46" spans="1:7" x14ac:dyDescent="0.35">
      <c r="A46" s="22" t="s">
        <v>2549</v>
      </c>
      <c r="B46" s="22"/>
      <c r="C46" s="26">
        <v>45881</v>
      </c>
      <c r="D46" s="25">
        <v>38375</v>
      </c>
      <c r="E46" s="25" t="s">
        <v>2677</v>
      </c>
      <c r="F46" s="53" t="s">
        <v>3812</v>
      </c>
      <c r="G46" s="28">
        <v>1185.5999999999999</v>
      </c>
    </row>
    <row r="47" spans="1:7" x14ac:dyDescent="0.35">
      <c r="A47" s="22" t="s">
        <v>2549</v>
      </c>
      <c r="B47" s="22"/>
      <c r="C47" s="26">
        <v>45882</v>
      </c>
      <c r="D47" s="25" t="s">
        <v>2669</v>
      </c>
      <c r="E47" s="25" t="s">
        <v>2020</v>
      </c>
      <c r="F47" s="53" t="s">
        <v>3812</v>
      </c>
      <c r="G47" s="28">
        <v>966.86</v>
      </c>
    </row>
    <row r="48" spans="1:7" x14ac:dyDescent="0.35">
      <c r="A48" s="22" t="s">
        <v>2549</v>
      </c>
      <c r="B48" s="22"/>
      <c r="C48" s="26">
        <v>45882</v>
      </c>
      <c r="D48" s="25" t="s">
        <v>2670</v>
      </c>
      <c r="E48" s="25" t="s">
        <v>2020</v>
      </c>
      <c r="F48" s="53" t="s">
        <v>3812</v>
      </c>
      <c r="G48" s="28">
        <v>0</v>
      </c>
    </row>
    <row r="49" spans="1:7" x14ac:dyDescent="0.35">
      <c r="A49" s="22" t="s">
        <v>2549</v>
      </c>
      <c r="B49" s="22"/>
      <c r="C49" s="26">
        <v>45882</v>
      </c>
      <c r="D49" s="25" t="s">
        <v>2671</v>
      </c>
      <c r="E49" s="25" t="s">
        <v>1263</v>
      </c>
      <c r="F49" s="53" t="s">
        <v>3812</v>
      </c>
      <c r="G49" s="28">
        <v>7652.82</v>
      </c>
    </row>
    <row r="50" spans="1:7" x14ac:dyDescent="0.35">
      <c r="A50" s="22" t="s">
        <v>2549</v>
      </c>
      <c r="B50" s="22"/>
      <c r="C50" s="26">
        <v>45882</v>
      </c>
      <c r="D50" s="25" t="s">
        <v>2672</v>
      </c>
      <c r="E50" s="25" t="s">
        <v>2626</v>
      </c>
      <c r="F50" s="53" t="s">
        <v>3812</v>
      </c>
      <c r="G50" s="28">
        <v>5142.8599999999997</v>
      </c>
    </row>
    <row r="51" spans="1:7" x14ac:dyDescent="0.35">
      <c r="A51" s="22" t="s">
        <v>2549</v>
      </c>
      <c r="B51" s="22"/>
      <c r="C51" s="26">
        <v>45887</v>
      </c>
      <c r="D51" s="25">
        <v>38857</v>
      </c>
      <c r="E51" s="25" t="s">
        <v>2769</v>
      </c>
      <c r="F51" s="53" t="s">
        <v>3812</v>
      </c>
      <c r="G51" s="28">
        <v>12815.6</v>
      </c>
    </row>
    <row r="52" spans="1:7" x14ac:dyDescent="0.35">
      <c r="A52" s="22" t="s">
        <v>2549</v>
      </c>
      <c r="B52" s="22"/>
      <c r="C52" s="26">
        <v>45890</v>
      </c>
      <c r="D52" s="25" t="s">
        <v>2673</v>
      </c>
      <c r="E52" s="25" t="s">
        <v>1475</v>
      </c>
      <c r="F52" s="53" t="s">
        <v>3812</v>
      </c>
      <c r="G52" s="28">
        <v>47953.5</v>
      </c>
    </row>
    <row r="53" spans="1:7" x14ac:dyDescent="0.35">
      <c r="A53" s="22" t="s">
        <v>2549</v>
      </c>
      <c r="B53" s="22"/>
      <c r="C53" s="26">
        <v>45892</v>
      </c>
      <c r="D53" s="25" t="s">
        <v>2674</v>
      </c>
      <c r="E53" s="25" t="s">
        <v>1269</v>
      </c>
      <c r="F53" s="53" t="s">
        <v>3812</v>
      </c>
      <c r="G53" s="28">
        <v>40481.729999999996</v>
      </c>
    </row>
    <row r="54" spans="1:7" x14ac:dyDescent="0.35">
      <c r="A54" s="22" t="s">
        <v>2549</v>
      </c>
      <c r="B54" s="22"/>
      <c r="C54" s="26">
        <v>45894</v>
      </c>
      <c r="D54" s="25" t="s">
        <v>2675</v>
      </c>
      <c r="E54" s="25" t="s">
        <v>2020</v>
      </c>
      <c r="F54" s="53" t="s">
        <v>3812</v>
      </c>
      <c r="G54" s="28">
        <v>7558.58</v>
      </c>
    </row>
    <row r="55" spans="1:7" x14ac:dyDescent="0.35">
      <c r="A55" s="22" t="s">
        <v>2549</v>
      </c>
      <c r="B55" s="22"/>
      <c r="C55" s="26">
        <v>45894</v>
      </c>
      <c r="D55" s="25" t="s">
        <v>2676</v>
      </c>
      <c r="E55" s="25" t="s">
        <v>2020</v>
      </c>
      <c r="F55" s="53" t="s">
        <v>3812</v>
      </c>
      <c r="G55" s="28">
        <v>4209.92</v>
      </c>
    </row>
    <row r="56" spans="1:7" x14ac:dyDescent="0.35">
      <c r="A56" s="22" t="s">
        <v>2549</v>
      </c>
      <c r="B56" s="22"/>
      <c r="C56" s="26">
        <v>45894</v>
      </c>
      <c r="D56" s="25" t="s">
        <v>2678</v>
      </c>
      <c r="E56" s="25" t="s">
        <v>2020</v>
      </c>
      <c r="F56" s="53" t="s">
        <v>3812</v>
      </c>
      <c r="G56" s="28">
        <v>123.63</v>
      </c>
    </row>
    <row r="57" spans="1:7" x14ac:dyDescent="0.35">
      <c r="A57" s="22" t="s">
        <v>2549</v>
      </c>
      <c r="B57" s="22"/>
      <c r="C57" s="26">
        <v>45894</v>
      </c>
      <c r="D57" s="25" t="s">
        <v>2679</v>
      </c>
      <c r="E57" s="25" t="s">
        <v>2020</v>
      </c>
      <c r="F57" s="53" t="s">
        <v>3812</v>
      </c>
      <c r="G57" s="28">
        <v>1762.5</v>
      </c>
    </row>
    <row r="58" spans="1:7" x14ac:dyDescent="0.35">
      <c r="A58" s="22" t="s">
        <v>2549</v>
      </c>
      <c r="B58" s="22"/>
      <c r="C58" s="26">
        <v>45894</v>
      </c>
      <c r="D58" s="25" t="s">
        <v>2680</v>
      </c>
      <c r="E58" s="25" t="s">
        <v>2020</v>
      </c>
      <c r="F58" s="53" t="s">
        <v>3812</v>
      </c>
      <c r="G58" s="28">
        <v>54337.630000000005</v>
      </c>
    </row>
    <row r="59" spans="1:7" x14ac:dyDescent="0.35">
      <c r="A59" s="22" t="s">
        <v>2549</v>
      </c>
      <c r="B59" s="22"/>
      <c r="C59" s="26">
        <v>45894</v>
      </c>
      <c r="D59" s="25" t="s">
        <v>2681</v>
      </c>
      <c r="E59" s="25" t="s">
        <v>2020</v>
      </c>
      <c r="F59" s="53" t="s">
        <v>3812</v>
      </c>
      <c r="G59" s="28">
        <v>996.66000000000008</v>
      </c>
    </row>
    <row r="60" spans="1:7" x14ac:dyDescent="0.35">
      <c r="A60" s="22" t="s">
        <v>2549</v>
      </c>
      <c r="B60" s="22"/>
      <c r="C60" s="26">
        <v>45894</v>
      </c>
      <c r="D60" s="25">
        <v>33571</v>
      </c>
      <c r="E60" s="25" t="s">
        <v>2020</v>
      </c>
      <c r="F60" s="53" t="s">
        <v>3812</v>
      </c>
      <c r="G60" s="28">
        <v>1602.25</v>
      </c>
    </row>
    <row r="61" spans="1:7" x14ac:dyDescent="0.35">
      <c r="A61" s="22" t="s">
        <v>2549</v>
      </c>
      <c r="B61" s="22"/>
      <c r="C61" s="26">
        <v>45894</v>
      </c>
      <c r="D61" s="25" t="s">
        <v>2682</v>
      </c>
      <c r="E61" s="25" t="s">
        <v>2020</v>
      </c>
      <c r="F61" s="53" t="s">
        <v>3812</v>
      </c>
      <c r="G61" s="28">
        <v>38322.51</v>
      </c>
    </row>
    <row r="62" spans="1:7" x14ac:dyDescent="0.35">
      <c r="A62" s="22" t="s">
        <v>2549</v>
      </c>
      <c r="B62" s="22"/>
      <c r="C62" s="26">
        <v>45894</v>
      </c>
      <c r="D62" s="25" t="s">
        <v>2683</v>
      </c>
      <c r="E62" s="25" t="s">
        <v>2020</v>
      </c>
      <c r="F62" s="53" t="s">
        <v>3812</v>
      </c>
      <c r="G62" s="28">
        <v>661.82</v>
      </c>
    </row>
    <row r="63" spans="1:7" x14ac:dyDescent="0.35">
      <c r="A63" s="22" t="s">
        <v>2549</v>
      </c>
      <c r="B63" s="22"/>
      <c r="C63" s="26">
        <v>45894</v>
      </c>
      <c r="D63" s="25" t="s">
        <v>2684</v>
      </c>
      <c r="E63" s="25" t="s">
        <v>2020</v>
      </c>
      <c r="F63" s="53" t="s">
        <v>3812</v>
      </c>
      <c r="G63" s="28">
        <v>19066.870000000003</v>
      </c>
    </row>
    <row r="64" spans="1:7" x14ac:dyDescent="0.35">
      <c r="A64" s="22" t="s">
        <v>2549</v>
      </c>
      <c r="B64" s="22"/>
      <c r="C64" s="26">
        <v>45894</v>
      </c>
      <c r="D64" s="25" t="s">
        <v>2685</v>
      </c>
      <c r="E64" s="25" t="s">
        <v>2020</v>
      </c>
      <c r="F64" s="53" t="s">
        <v>3812</v>
      </c>
      <c r="G64" s="28">
        <v>5030.2</v>
      </c>
    </row>
    <row r="65" spans="1:7" x14ac:dyDescent="0.35">
      <c r="A65" s="22" t="s">
        <v>2549</v>
      </c>
      <c r="B65" s="22"/>
      <c r="C65" s="26">
        <v>45894</v>
      </c>
      <c r="D65" s="25">
        <v>33950</v>
      </c>
      <c r="E65" s="25" t="s">
        <v>2020</v>
      </c>
      <c r="F65" s="53" t="s">
        <v>3812</v>
      </c>
      <c r="G65" s="28">
        <v>0</v>
      </c>
    </row>
    <row r="66" spans="1:7" x14ac:dyDescent="0.35">
      <c r="A66" s="22" t="s">
        <v>2549</v>
      </c>
      <c r="B66" s="22"/>
      <c r="C66" s="26">
        <v>45894</v>
      </c>
      <c r="D66" s="25" t="s">
        <v>2686</v>
      </c>
      <c r="E66" s="25" t="s">
        <v>2020</v>
      </c>
      <c r="F66" s="53" t="s">
        <v>3812</v>
      </c>
      <c r="G66" s="28">
        <v>145.35</v>
      </c>
    </row>
    <row r="67" spans="1:7" x14ac:dyDescent="0.35">
      <c r="A67" s="22" t="s">
        <v>2549</v>
      </c>
      <c r="B67" s="22"/>
      <c r="C67" s="26">
        <v>45894</v>
      </c>
      <c r="D67" s="25" t="s">
        <v>2687</v>
      </c>
      <c r="E67" s="25" t="s">
        <v>2020</v>
      </c>
      <c r="F67" s="53" t="s">
        <v>3812</v>
      </c>
      <c r="G67" s="28">
        <v>560</v>
      </c>
    </row>
    <row r="68" spans="1:7" x14ac:dyDescent="0.35">
      <c r="A68" s="22" t="s">
        <v>2549</v>
      </c>
      <c r="B68" s="22"/>
      <c r="C68" s="26">
        <v>45894</v>
      </c>
      <c r="D68" s="25" t="s">
        <v>2688</v>
      </c>
      <c r="E68" s="25" t="s">
        <v>2020</v>
      </c>
      <c r="F68" s="53" t="s">
        <v>3812</v>
      </c>
      <c r="G68" s="28">
        <v>1125</v>
      </c>
    </row>
    <row r="69" spans="1:7" x14ac:dyDescent="0.35">
      <c r="A69" s="22" t="s">
        <v>2549</v>
      </c>
      <c r="B69" s="22"/>
      <c r="C69" s="26">
        <v>45894</v>
      </c>
      <c r="D69" s="25" t="s">
        <v>2689</v>
      </c>
      <c r="E69" s="25" t="s">
        <v>2020</v>
      </c>
      <c r="F69" s="53" t="s">
        <v>3812</v>
      </c>
      <c r="G69" s="28">
        <v>9155.869999999999</v>
      </c>
    </row>
    <row r="70" spans="1:7" x14ac:dyDescent="0.35">
      <c r="A70" s="22" t="s">
        <v>2549</v>
      </c>
      <c r="B70" s="22"/>
      <c r="C70" s="26">
        <v>45894</v>
      </c>
      <c r="D70" s="25" t="s">
        <v>2690</v>
      </c>
      <c r="E70" s="25" t="s">
        <v>2020</v>
      </c>
      <c r="F70" s="53" t="s">
        <v>3812</v>
      </c>
      <c r="G70" s="28">
        <v>27246.81</v>
      </c>
    </row>
    <row r="71" spans="1:7" x14ac:dyDescent="0.35">
      <c r="A71" s="22" t="s">
        <v>2549</v>
      </c>
      <c r="B71" s="22"/>
      <c r="C71" s="26">
        <v>45894</v>
      </c>
      <c r="D71" s="25" t="s">
        <v>2691</v>
      </c>
      <c r="E71" s="25" t="s">
        <v>2831</v>
      </c>
      <c r="F71" s="53" t="s">
        <v>3812</v>
      </c>
      <c r="G71" s="28">
        <v>0</v>
      </c>
    </row>
    <row r="72" spans="1:7" x14ac:dyDescent="0.35">
      <c r="A72" s="22" t="s">
        <v>2549</v>
      </c>
      <c r="B72" s="22"/>
      <c r="C72" s="26">
        <v>45894</v>
      </c>
      <c r="D72" s="25">
        <v>36943</v>
      </c>
      <c r="E72" s="25" t="s">
        <v>1272</v>
      </c>
      <c r="F72" s="53" t="s">
        <v>3812</v>
      </c>
      <c r="G72" s="28">
        <v>20870.080000000002</v>
      </c>
    </row>
    <row r="73" spans="1:7" x14ac:dyDescent="0.35">
      <c r="A73" s="22" t="s">
        <v>2549</v>
      </c>
      <c r="B73" s="22"/>
      <c r="C73" s="26">
        <v>45894</v>
      </c>
      <c r="D73" s="25" t="s">
        <v>2692</v>
      </c>
      <c r="E73" s="25" t="s">
        <v>1269</v>
      </c>
      <c r="F73" s="53" t="s">
        <v>3812</v>
      </c>
      <c r="G73" s="28">
        <v>10721.09</v>
      </c>
    </row>
    <row r="74" spans="1:7" x14ac:dyDescent="0.35">
      <c r="A74" s="22" t="s">
        <v>2549</v>
      </c>
      <c r="B74" s="22"/>
      <c r="C74" s="26">
        <v>45895</v>
      </c>
      <c r="D74" s="25" t="s">
        <v>2693</v>
      </c>
      <c r="E74" s="25" t="s">
        <v>2020</v>
      </c>
      <c r="F74" s="53" t="s">
        <v>3812</v>
      </c>
      <c r="G74" s="28">
        <v>-2567.91</v>
      </c>
    </row>
    <row r="75" spans="1:7" x14ac:dyDescent="0.35">
      <c r="A75" s="22" t="s">
        <v>2549</v>
      </c>
      <c r="B75" s="22"/>
      <c r="C75" s="26">
        <v>45895</v>
      </c>
      <c r="D75" s="25" t="s">
        <v>2694</v>
      </c>
      <c r="E75" s="25" t="s">
        <v>2846</v>
      </c>
      <c r="F75" s="53" t="s">
        <v>3812</v>
      </c>
      <c r="G75" s="28">
        <v>0</v>
      </c>
    </row>
    <row r="76" spans="1:7" x14ac:dyDescent="0.35">
      <c r="A76" s="22" t="s">
        <v>2549</v>
      </c>
      <c r="B76" s="22"/>
      <c r="C76" s="26">
        <v>45896</v>
      </c>
      <c r="D76" s="25" t="s">
        <v>2695</v>
      </c>
      <c r="E76" s="25" t="s">
        <v>1035</v>
      </c>
      <c r="F76" s="53" t="s">
        <v>3812</v>
      </c>
      <c r="G76" s="28">
        <v>0</v>
      </c>
    </row>
    <row r="77" spans="1:7" x14ac:dyDescent="0.35">
      <c r="A77" s="22" t="s">
        <v>2549</v>
      </c>
      <c r="B77" s="22"/>
      <c r="C77" s="26">
        <v>45897</v>
      </c>
      <c r="D77" s="25" t="s">
        <v>2696</v>
      </c>
      <c r="E77" s="25" t="s">
        <v>2854</v>
      </c>
      <c r="F77" s="53" t="s">
        <v>3812</v>
      </c>
      <c r="G77" s="28">
        <v>6300.16</v>
      </c>
    </row>
    <row r="78" spans="1:7" x14ac:dyDescent="0.35">
      <c r="A78" s="22" t="s">
        <v>2549</v>
      </c>
      <c r="B78" s="22"/>
      <c r="C78" s="26">
        <v>45898</v>
      </c>
      <c r="D78" s="25" t="s">
        <v>2697</v>
      </c>
      <c r="E78" s="25" t="s">
        <v>2020</v>
      </c>
      <c r="F78" s="53" t="s">
        <v>3812</v>
      </c>
      <c r="G78" s="28">
        <v>0</v>
      </c>
    </row>
    <row r="79" spans="1:7" x14ac:dyDescent="0.35">
      <c r="A79" s="22" t="s">
        <v>2549</v>
      </c>
      <c r="B79" s="22"/>
      <c r="C79" s="26">
        <v>45898</v>
      </c>
      <c r="D79" s="25" t="s">
        <v>2698</v>
      </c>
      <c r="E79" s="25" t="s">
        <v>2846</v>
      </c>
      <c r="F79" s="53" t="s">
        <v>3812</v>
      </c>
      <c r="G79" s="28">
        <v>0</v>
      </c>
    </row>
    <row r="80" spans="1:7" x14ac:dyDescent="0.35">
      <c r="A80" s="22" t="s">
        <v>2549</v>
      </c>
      <c r="B80" s="22"/>
      <c r="C80" s="26">
        <v>45898</v>
      </c>
      <c r="D80" s="25" t="s">
        <v>2699</v>
      </c>
      <c r="E80" s="25" t="s">
        <v>1223</v>
      </c>
      <c r="F80" s="53" t="s">
        <v>3812</v>
      </c>
      <c r="G80" s="28">
        <v>0</v>
      </c>
    </row>
    <row r="81" spans="1:7" x14ac:dyDescent="0.35">
      <c r="A81" s="22" t="s">
        <v>2549</v>
      </c>
      <c r="B81" s="22"/>
      <c r="C81" s="26">
        <v>45898</v>
      </c>
      <c r="D81" s="25" t="s">
        <v>2700</v>
      </c>
      <c r="E81" s="25" t="s">
        <v>1684</v>
      </c>
      <c r="F81" s="53" t="s">
        <v>3812</v>
      </c>
      <c r="G81" s="28">
        <v>6292.32</v>
      </c>
    </row>
    <row r="82" spans="1:7" x14ac:dyDescent="0.35">
      <c r="A82" s="22" t="s">
        <v>2549</v>
      </c>
      <c r="B82" s="22"/>
      <c r="C82" s="26">
        <v>45898</v>
      </c>
      <c r="D82" s="25" t="s">
        <v>2701</v>
      </c>
      <c r="E82" s="25" t="s">
        <v>1085</v>
      </c>
      <c r="F82" s="53" t="s">
        <v>3812</v>
      </c>
      <c r="G82" s="28">
        <v>102.2</v>
      </c>
    </row>
    <row r="83" spans="1:7" x14ac:dyDescent="0.35">
      <c r="A83" s="22" t="s">
        <v>2549</v>
      </c>
      <c r="B83" s="22"/>
      <c r="C83" s="26">
        <v>45898</v>
      </c>
      <c r="D83" s="25">
        <v>38185</v>
      </c>
      <c r="E83" s="25" t="s">
        <v>2626</v>
      </c>
      <c r="F83" s="53" t="s">
        <v>3812</v>
      </c>
      <c r="G83" s="28">
        <v>55072.05</v>
      </c>
    </row>
    <row r="84" spans="1:7" x14ac:dyDescent="0.35">
      <c r="A84" s="22" t="s">
        <v>2549</v>
      </c>
      <c r="B84" s="22"/>
      <c r="C84" s="26">
        <v>45898</v>
      </c>
      <c r="D84" s="25">
        <v>38199</v>
      </c>
      <c r="E84" s="25" t="s">
        <v>2626</v>
      </c>
      <c r="F84" s="53" t="s">
        <v>3812</v>
      </c>
      <c r="G84" s="28">
        <v>48782.879999999997</v>
      </c>
    </row>
    <row r="85" spans="1:7" x14ac:dyDescent="0.35">
      <c r="A85" s="22" t="s">
        <v>2549</v>
      </c>
      <c r="B85" s="22"/>
      <c r="C85" s="26">
        <v>45898</v>
      </c>
      <c r="D85" s="25" t="s">
        <v>2702</v>
      </c>
      <c r="E85" s="25" t="s">
        <v>2626</v>
      </c>
      <c r="F85" s="53" t="s">
        <v>3812</v>
      </c>
      <c r="G85" s="28">
        <v>40331.72</v>
      </c>
    </row>
    <row r="86" spans="1:7" x14ac:dyDescent="0.35">
      <c r="A86" s="22" t="s">
        <v>2549</v>
      </c>
      <c r="B86" s="22"/>
      <c r="C86" s="26">
        <v>45898</v>
      </c>
      <c r="D86" s="25" t="s">
        <v>2703</v>
      </c>
      <c r="E86" s="25" t="s">
        <v>2631</v>
      </c>
      <c r="F86" s="53" t="s">
        <v>3812</v>
      </c>
      <c r="G86" s="28">
        <v>0</v>
      </c>
    </row>
    <row r="87" spans="1:7" x14ac:dyDescent="0.35">
      <c r="A87" s="22" t="s">
        <v>2549</v>
      </c>
      <c r="B87" s="22"/>
      <c r="C87" s="26">
        <v>45898</v>
      </c>
      <c r="D87" s="25">
        <v>38832</v>
      </c>
      <c r="E87" s="25" t="s">
        <v>2662</v>
      </c>
      <c r="F87" s="53" t="s">
        <v>3812</v>
      </c>
      <c r="G87" s="28">
        <v>3360.5899999999997</v>
      </c>
    </row>
    <row r="88" spans="1:7" x14ac:dyDescent="0.35">
      <c r="A88" s="22" t="s">
        <v>2549</v>
      </c>
      <c r="B88" s="22"/>
      <c r="C88" s="26">
        <v>45898</v>
      </c>
      <c r="D88" s="25">
        <v>38851</v>
      </c>
      <c r="E88" s="25" t="s">
        <v>2892</v>
      </c>
      <c r="F88" s="53" t="s">
        <v>3812</v>
      </c>
      <c r="G88" s="28">
        <v>126720</v>
      </c>
    </row>
    <row r="89" spans="1:7" x14ac:dyDescent="0.35">
      <c r="A89" s="22" t="s">
        <v>2549</v>
      </c>
      <c r="B89" s="22"/>
      <c r="C89" s="26">
        <v>45898</v>
      </c>
      <c r="D89" s="25">
        <v>38881</v>
      </c>
      <c r="E89" s="25" t="s">
        <v>2894</v>
      </c>
      <c r="F89" s="53" t="s">
        <v>3812</v>
      </c>
      <c r="G89" s="28">
        <v>340</v>
      </c>
    </row>
    <row r="90" spans="1:7" x14ac:dyDescent="0.35">
      <c r="A90" s="22" t="s">
        <v>2549</v>
      </c>
      <c r="B90" s="22"/>
      <c r="C90" s="26">
        <v>45898</v>
      </c>
      <c r="D90" s="25">
        <v>38893</v>
      </c>
      <c r="E90" s="25" t="s">
        <v>2894</v>
      </c>
      <c r="F90" s="53" t="s">
        <v>3812</v>
      </c>
      <c r="G90" s="28">
        <v>674.63999999999987</v>
      </c>
    </row>
    <row r="91" spans="1:7" x14ac:dyDescent="0.35">
      <c r="A91" s="22" t="s">
        <v>2549</v>
      </c>
      <c r="B91" s="22"/>
      <c r="C91" s="26">
        <v>45899</v>
      </c>
      <c r="D91" s="25" t="s">
        <v>2704</v>
      </c>
      <c r="E91" s="25" t="s">
        <v>2575</v>
      </c>
      <c r="F91" s="53" t="s">
        <v>3812</v>
      </c>
      <c r="G91" s="28">
        <v>0</v>
      </c>
    </row>
    <row r="92" spans="1:7" x14ac:dyDescent="0.35">
      <c r="A92" s="22" t="s">
        <v>2549</v>
      </c>
      <c r="B92" s="22"/>
      <c r="C92" s="26">
        <v>45899</v>
      </c>
      <c r="D92" s="25" t="s">
        <v>2705</v>
      </c>
      <c r="E92" s="25" t="s">
        <v>2462</v>
      </c>
      <c r="F92" s="53" t="s">
        <v>3812</v>
      </c>
      <c r="G92" s="28">
        <v>0</v>
      </c>
    </row>
    <row r="93" spans="1:7" x14ac:dyDescent="0.35">
      <c r="A93" s="22" t="s">
        <v>2549</v>
      </c>
      <c r="B93" s="22"/>
      <c r="C93" s="26">
        <v>45899</v>
      </c>
      <c r="D93" s="25" t="s">
        <v>2706</v>
      </c>
      <c r="E93" s="25" t="s">
        <v>2462</v>
      </c>
      <c r="F93" s="53" t="s">
        <v>3812</v>
      </c>
      <c r="G93" s="28">
        <v>0</v>
      </c>
    </row>
    <row r="94" spans="1:7" x14ac:dyDescent="0.35">
      <c r="A94" s="22" t="s">
        <v>2549</v>
      </c>
      <c r="B94" s="22"/>
      <c r="C94" s="26">
        <v>45899</v>
      </c>
      <c r="D94" s="25" t="s">
        <v>2707</v>
      </c>
      <c r="E94" s="25" t="s">
        <v>2547</v>
      </c>
      <c r="F94" s="53" t="s">
        <v>3812</v>
      </c>
      <c r="G94" s="28">
        <v>0</v>
      </c>
    </row>
    <row r="95" spans="1:7" x14ac:dyDescent="0.35">
      <c r="A95" s="22" t="s">
        <v>2549</v>
      </c>
      <c r="B95" s="22"/>
      <c r="C95" s="26">
        <v>45899</v>
      </c>
      <c r="D95" s="25" t="s">
        <v>2708</v>
      </c>
      <c r="E95" s="25" t="s">
        <v>2904</v>
      </c>
      <c r="F95" s="53" t="s">
        <v>3812</v>
      </c>
      <c r="G95" s="28">
        <v>0</v>
      </c>
    </row>
    <row r="96" spans="1:7" x14ac:dyDescent="0.35">
      <c r="A96" s="22" t="s">
        <v>2549</v>
      </c>
      <c r="B96" s="22"/>
      <c r="C96" s="26">
        <v>45899</v>
      </c>
      <c r="D96" s="25" t="s">
        <v>2709</v>
      </c>
      <c r="E96" s="25" t="s">
        <v>2906</v>
      </c>
      <c r="F96" s="53" t="s">
        <v>3812</v>
      </c>
      <c r="G96" s="28">
        <v>0</v>
      </c>
    </row>
    <row r="97" spans="1:7" x14ac:dyDescent="0.35">
      <c r="A97" s="22" t="s">
        <v>2549</v>
      </c>
      <c r="B97" s="22"/>
      <c r="C97" s="26">
        <v>45899</v>
      </c>
      <c r="D97" s="25" t="s">
        <v>2710</v>
      </c>
      <c r="E97" s="25" t="s">
        <v>301</v>
      </c>
      <c r="F97" s="53" t="s">
        <v>3812</v>
      </c>
      <c r="G97" s="28">
        <v>0</v>
      </c>
    </row>
    <row r="98" spans="1:7" x14ac:dyDescent="0.35">
      <c r="A98" s="22" t="s">
        <v>2549</v>
      </c>
      <c r="B98" s="22"/>
      <c r="C98" s="26">
        <v>45899</v>
      </c>
      <c r="D98" s="25" t="s">
        <v>2711</v>
      </c>
      <c r="E98" s="25" t="s">
        <v>301</v>
      </c>
      <c r="F98" s="53" t="s">
        <v>3812</v>
      </c>
      <c r="G98" s="28">
        <v>0</v>
      </c>
    </row>
    <row r="99" spans="1:7" x14ac:dyDescent="0.35">
      <c r="A99" s="22" t="s">
        <v>2549</v>
      </c>
      <c r="B99" s="22"/>
      <c r="C99" s="26">
        <v>45899</v>
      </c>
      <c r="D99" s="25" t="s">
        <v>2712</v>
      </c>
      <c r="E99" s="25" t="s">
        <v>301</v>
      </c>
      <c r="F99" s="53" t="s">
        <v>3812</v>
      </c>
      <c r="G99" s="28">
        <v>0</v>
      </c>
    </row>
    <row r="100" spans="1:7" x14ac:dyDescent="0.35">
      <c r="A100" s="22" t="s">
        <v>2549</v>
      </c>
      <c r="B100" s="22"/>
      <c r="C100" s="26">
        <v>45899</v>
      </c>
      <c r="D100" s="25" t="s">
        <v>2713</v>
      </c>
      <c r="E100" s="25" t="s">
        <v>1484</v>
      </c>
      <c r="F100" s="53" t="s">
        <v>3812</v>
      </c>
      <c r="G100" s="28">
        <v>3854.9700000000003</v>
      </c>
    </row>
    <row r="101" spans="1:7" x14ac:dyDescent="0.35">
      <c r="A101" s="22" t="s">
        <v>2549</v>
      </c>
      <c r="B101" s="22"/>
      <c r="C101" s="26">
        <v>45899</v>
      </c>
      <c r="D101" s="25" t="s">
        <v>2714</v>
      </c>
      <c r="E101" s="25" t="s">
        <v>1251</v>
      </c>
      <c r="F101" s="53" t="s">
        <v>3812</v>
      </c>
      <c r="G101" s="28">
        <v>0</v>
      </c>
    </row>
    <row r="102" spans="1:7" x14ac:dyDescent="0.35">
      <c r="A102" s="22" t="s">
        <v>2549</v>
      </c>
      <c r="B102" s="22"/>
      <c r="C102" s="26">
        <v>45899</v>
      </c>
      <c r="D102" s="25" t="s">
        <v>2715</v>
      </c>
      <c r="E102" s="25" t="s">
        <v>2921</v>
      </c>
      <c r="F102" s="53" t="s">
        <v>3812</v>
      </c>
      <c r="G102" s="28">
        <v>0</v>
      </c>
    </row>
    <row r="103" spans="1:7" x14ac:dyDescent="0.35">
      <c r="A103" s="22" t="s">
        <v>2549</v>
      </c>
      <c r="B103" s="22"/>
      <c r="C103" s="26">
        <v>45899</v>
      </c>
      <c r="D103" s="25" t="s">
        <v>2716</v>
      </c>
      <c r="E103" s="25" t="s">
        <v>2923</v>
      </c>
      <c r="F103" s="53" t="s">
        <v>3812</v>
      </c>
      <c r="G103" s="28">
        <v>0</v>
      </c>
    </row>
    <row r="104" spans="1:7" x14ac:dyDescent="0.35">
      <c r="A104" s="22" t="s">
        <v>2549</v>
      </c>
      <c r="B104" s="22"/>
      <c r="C104" s="26">
        <v>45899</v>
      </c>
      <c r="D104" s="25" t="s">
        <v>2717</v>
      </c>
      <c r="E104" s="25" t="s">
        <v>2067</v>
      </c>
      <c r="F104" s="53" t="s">
        <v>3812</v>
      </c>
      <c r="G104" s="28">
        <v>0</v>
      </c>
    </row>
    <row r="105" spans="1:7" x14ac:dyDescent="0.35">
      <c r="A105" s="22" t="s">
        <v>2549</v>
      </c>
      <c r="B105" s="22"/>
      <c r="C105" s="26">
        <v>45899</v>
      </c>
      <c r="D105" s="25" t="s">
        <v>2718</v>
      </c>
      <c r="E105" s="25" t="s">
        <v>2926</v>
      </c>
      <c r="F105" s="53" t="s">
        <v>3812</v>
      </c>
      <c r="G105" s="28">
        <v>0</v>
      </c>
    </row>
    <row r="106" spans="1:7" x14ac:dyDescent="0.35">
      <c r="A106" s="22" t="s">
        <v>2549</v>
      </c>
      <c r="B106" s="22"/>
      <c r="C106" s="26">
        <v>45899</v>
      </c>
      <c r="D106" s="25" t="s">
        <v>2719</v>
      </c>
      <c r="E106" s="25" t="s">
        <v>2926</v>
      </c>
      <c r="F106" s="53" t="s">
        <v>3812</v>
      </c>
      <c r="G106" s="28">
        <v>0</v>
      </c>
    </row>
    <row r="107" spans="1:7" x14ac:dyDescent="0.35">
      <c r="A107" s="22" t="s">
        <v>2549</v>
      </c>
      <c r="B107" s="22"/>
      <c r="C107" s="26">
        <v>45899</v>
      </c>
      <c r="D107" s="25" t="s">
        <v>2720</v>
      </c>
      <c r="E107" s="25" t="s">
        <v>2462</v>
      </c>
      <c r="F107" s="53" t="s">
        <v>3812</v>
      </c>
      <c r="G107" s="28">
        <v>0</v>
      </c>
    </row>
    <row r="108" spans="1:7" x14ac:dyDescent="0.35">
      <c r="A108" s="22" t="s">
        <v>2549</v>
      </c>
      <c r="B108" s="22"/>
      <c r="C108" s="26">
        <v>45899</v>
      </c>
      <c r="D108" s="25">
        <v>32888</v>
      </c>
      <c r="E108" s="25" t="s">
        <v>2931</v>
      </c>
      <c r="F108" s="53" t="s">
        <v>3812</v>
      </c>
      <c r="G108" s="28">
        <v>0</v>
      </c>
    </row>
    <row r="109" spans="1:7" x14ac:dyDescent="0.35">
      <c r="A109" s="22" t="s">
        <v>2549</v>
      </c>
      <c r="B109" s="22"/>
      <c r="C109" s="26">
        <v>45899</v>
      </c>
      <c r="D109" s="25" t="s">
        <v>2721</v>
      </c>
      <c r="E109" s="25" t="s">
        <v>2931</v>
      </c>
      <c r="F109" s="53" t="s">
        <v>3812</v>
      </c>
      <c r="G109" s="28">
        <v>0</v>
      </c>
    </row>
    <row r="110" spans="1:7" x14ac:dyDescent="0.35">
      <c r="A110" s="22" t="s">
        <v>2549</v>
      </c>
      <c r="B110" s="22"/>
      <c r="C110" s="26">
        <v>45899</v>
      </c>
      <c r="D110" s="25" t="s">
        <v>2722</v>
      </c>
      <c r="E110" s="25" t="s">
        <v>2970</v>
      </c>
      <c r="F110" s="53" t="s">
        <v>3812</v>
      </c>
      <c r="G110" s="28">
        <v>0</v>
      </c>
    </row>
    <row r="111" spans="1:7" x14ac:dyDescent="0.35">
      <c r="A111" s="22" t="s">
        <v>2549</v>
      </c>
      <c r="B111" s="22"/>
      <c r="C111" s="26">
        <v>45899</v>
      </c>
      <c r="D111" s="25" t="s">
        <v>2723</v>
      </c>
      <c r="E111" s="25" t="s">
        <v>2970</v>
      </c>
      <c r="F111" s="53" t="s">
        <v>3812</v>
      </c>
      <c r="G111" s="28">
        <v>0</v>
      </c>
    </row>
    <row r="112" spans="1:7" x14ac:dyDescent="0.35">
      <c r="A112" s="22" t="s">
        <v>2549</v>
      </c>
      <c r="B112" s="22"/>
      <c r="C112" s="26">
        <v>45899</v>
      </c>
      <c r="D112" s="25" t="s">
        <v>2724</v>
      </c>
      <c r="E112" s="25" t="s">
        <v>2973</v>
      </c>
      <c r="F112" s="53" t="s">
        <v>3812</v>
      </c>
      <c r="G112" s="28">
        <v>0</v>
      </c>
    </row>
    <row r="113" spans="1:7" x14ac:dyDescent="0.35">
      <c r="A113" s="22" t="s">
        <v>2549</v>
      </c>
      <c r="B113" s="22"/>
      <c r="C113" s="26">
        <v>45899</v>
      </c>
      <c r="D113" s="25" t="s">
        <v>2725</v>
      </c>
      <c r="E113" s="25" t="s">
        <v>2973</v>
      </c>
      <c r="F113" s="53" t="s">
        <v>3812</v>
      </c>
      <c r="G113" s="28">
        <v>0</v>
      </c>
    </row>
    <row r="114" spans="1:7" x14ac:dyDescent="0.35">
      <c r="A114" s="22" t="s">
        <v>2549</v>
      </c>
      <c r="B114" s="22"/>
      <c r="C114" s="26">
        <v>45899</v>
      </c>
      <c r="D114" s="25" t="s">
        <v>2726</v>
      </c>
      <c r="E114" s="25" t="s">
        <v>2575</v>
      </c>
      <c r="F114" s="53" t="s">
        <v>3812</v>
      </c>
      <c r="G114" s="28">
        <v>0</v>
      </c>
    </row>
    <row r="115" spans="1:7" x14ac:dyDescent="0.35">
      <c r="A115" s="22" t="s">
        <v>2549</v>
      </c>
      <c r="B115" s="22"/>
      <c r="C115" s="26">
        <v>45899</v>
      </c>
      <c r="D115" s="25" t="s">
        <v>2727</v>
      </c>
      <c r="E115" s="25" t="s">
        <v>1283</v>
      </c>
      <c r="F115" s="53" t="s">
        <v>3812</v>
      </c>
      <c r="G115" s="28">
        <v>0</v>
      </c>
    </row>
    <row r="116" spans="1:7" x14ac:dyDescent="0.35">
      <c r="A116" s="22" t="s">
        <v>2549</v>
      </c>
      <c r="B116" s="22"/>
      <c r="C116" s="26">
        <v>45899</v>
      </c>
      <c r="D116" s="25" t="s">
        <v>2728</v>
      </c>
      <c r="E116" s="25" t="s">
        <v>1283</v>
      </c>
      <c r="F116" s="53" t="s">
        <v>3812</v>
      </c>
      <c r="G116" s="28">
        <v>0</v>
      </c>
    </row>
    <row r="117" spans="1:7" x14ac:dyDescent="0.35">
      <c r="A117" s="22" t="s">
        <v>2549</v>
      </c>
      <c r="B117" s="22"/>
      <c r="C117" s="26">
        <v>45899</v>
      </c>
      <c r="D117" s="25" t="s">
        <v>2729</v>
      </c>
      <c r="E117" s="25" t="s">
        <v>1283</v>
      </c>
      <c r="F117" s="53" t="s">
        <v>3812</v>
      </c>
      <c r="G117" s="28">
        <v>0</v>
      </c>
    </row>
    <row r="118" spans="1:7" x14ac:dyDescent="0.35">
      <c r="A118" s="22" t="s">
        <v>2549</v>
      </c>
      <c r="B118" s="22"/>
      <c r="C118" s="26">
        <v>45899</v>
      </c>
      <c r="D118" s="25" t="s">
        <v>2730</v>
      </c>
      <c r="E118" s="25" t="s">
        <v>1283</v>
      </c>
      <c r="F118" s="53" t="s">
        <v>3812</v>
      </c>
      <c r="G118" s="28">
        <v>0</v>
      </c>
    </row>
    <row r="119" spans="1:7" x14ac:dyDescent="0.35">
      <c r="A119" s="22" t="s">
        <v>2549</v>
      </c>
      <c r="B119" s="22"/>
      <c r="C119" s="26">
        <v>45899</v>
      </c>
      <c r="D119" s="25" t="s">
        <v>2731</v>
      </c>
      <c r="E119" s="25" t="s">
        <v>1283</v>
      </c>
      <c r="F119" s="53" t="s">
        <v>3812</v>
      </c>
      <c r="G119" s="28">
        <v>0</v>
      </c>
    </row>
    <row r="120" spans="1:7" x14ac:dyDescent="0.35">
      <c r="A120" s="22" t="s">
        <v>2549</v>
      </c>
      <c r="B120" s="22"/>
      <c r="C120" s="26">
        <v>45899</v>
      </c>
      <c r="D120" s="25" t="s">
        <v>2732</v>
      </c>
      <c r="E120" s="25" t="s">
        <v>2092</v>
      </c>
      <c r="F120" s="53" t="s">
        <v>3812</v>
      </c>
      <c r="G120" s="28">
        <v>0</v>
      </c>
    </row>
    <row r="121" spans="1:7" x14ac:dyDescent="0.35">
      <c r="A121" s="22" t="s">
        <v>2549</v>
      </c>
      <c r="B121" s="22"/>
      <c r="C121" s="26">
        <v>45899</v>
      </c>
      <c r="D121" s="25" t="s">
        <v>2733</v>
      </c>
      <c r="E121" s="25" t="s">
        <v>2144</v>
      </c>
      <c r="F121" s="53" t="s">
        <v>3812</v>
      </c>
      <c r="G121" s="28">
        <v>0</v>
      </c>
    </row>
    <row r="122" spans="1:7" x14ac:dyDescent="0.35">
      <c r="A122" s="22" t="s">
        <v>2549</v>
      </c>
      <c r="B122" s="22"/>
      <c r="C122" s="26">
        <v>45899</v>
      </c>
      <c r="D122" s="25" t="s">
        <v>2734</v>
      </c>
      <c r="E122" s="25" t="s">
        <v>2144</v>
      </c>
      <c r="F122" s="53" t="s">
        <v>3812</v>
      </c>
      <c r="G122" s="28">
        <v>0</v>
      </c>
    </row>
    <row r="123" spans="1:7" x14ac:dyDescent="0.35">
      <c r="A123" s="22" t="s">
        <v>2549</v>
      </c>
      <c r="B123" s="22"/>
      <c r="C123" s="26">
        <v>45899</v>
      </c>
      <c r="D123" s="25" t="s">
        <v>2735</v>
      </c>
      <c r="E123" s="25" t="s">
        <v>2189</v>
      </c>
      <c r="F123" s="53" t="s">
        <v>3812</v>
      </c>
      <c r="G123" s="28">
        <v>0</v>
      </c>
    </row>
    <row r="124" spans="1:7" x14ac:dyDescent="0.35">
      <c r="A124" s="22" t="s">
        <v>2549</v>
      </c>
      <c r="B124" s="22"/>
      <c r="C124" s="26">
        <v>45899</v>
      </c>
      <c r="D124" s="25" t="s">
        <v>2736</v>
      </c>
      <c r="E124" s="25" t="s">
        <v>2189</v>
      </c>
      <c r="F124" s="53" t="s">
        <v>3812</v>
      </c>
      <c r="G124" s="28">
        <v>0</v>
      </c>
    </row>
    <row r="125" spans="1:7" x14ac:dyDescent="0.35">
      <c r="A125" s="22" t="s">
        <v>2549</v>
      </c>
      <c r="B125" s="22"/>
      <c r="C125" s="26">
        <v>45899</v>
      </c>
      <c r="D125" s="25" t="s">
        <v>2737</v>
      </c>
      <c r="E125" s="25" t="s">
        <v>2987</v>
      </c>
      <c r="F125" s="53" t="s">
        <v>3812</v>
      </c>
      <c r="G125" s="28">
        <v>0</v>
      </c>
    </row>
    <row r="126" spans="1:7" x14ac:dyDescent="0.35">
      <c r="A126" s="22" t="s">
        <v>2549</v>
      </c>
      <c r="B126" s="22"/>
      <c r="C126" s="26">
        <v>45899</v>
      </c>
      <c r="D126" s="25" t="s">
        <v>2738</v>
      </c>
      <c r="E126" s="25" t="s">
        <v>2989</v>
      </c>
      <c r="F126" s="53" t="s">
        <v>3812</v>
      </c>
      <c r="G126" s="28">
        <v>0</v>
      </c>
    </row>
    <row r="127" spans="1:7" x14ac:dyDescent="0.35">
      <c r="A127" s="22" t="s">
        <v>2549</v>
      </c>
      <c r="B127" s="22"/>
      <c r="C127" s="26">
        <v>45899</v>
      </c>
      <c r="D127" s="25" t="s">
        <v>2739</v>
      </c>
      <c r="E127" s="25" t="s">
        <v>2989</v>
      </c>
      <c r="F127" s="53" t="s">
        <v>3812</v>
      </c>
      <c r="G127" s="28">
        <v>0</v>
      </c>
    </row>
    <row r="128" spans="1:7" x14ac:dyDescent="0.35">
      <c r="A128" s="22" t="s">
        <v>2549</v>
      </c>
      <c r="B128" s="22"/>
      <c r="C128" s="26">
        <v>45899</v>
      </c>
      <c r="D128" s="25" t="s">
        <v>2740</v>
      </c>
      <c r="E128" s="25" t="s">
        <v>2197</v>
      </c>
      <c r="F128" s="53" t="s">
        <v>3812</v>
      </c>
      <c r="G128" s="28">
        <v>12589.500000000002</v>
      </c>
    </row>
    <row r="129" spans="1:7" x14ac:dyDescent="0.35">
      <c r="A129" s="22" t="s">
        <v>2549</v>
      </c>
      <c r="B129" s="22"/>
      <c r="C129" s="26">
        <v>45899</v>
      </c>
      <c r="D129" s="25" t="s">
        <v>2741</v>
      </c>
      <c r="E129" s="25" t="s">
        <v>2555</v>
      </c>
      <c r="F129" s="53" t="s">
        <v>3812</v>
      </c>
      <c r="G129" s="28">
        <v>0</v>
      </c>
    </row>
    <row r="130" spans="1:7" x14ac:dyDescent="0.35">
      <c r="A130" s="22" t="s">
        <v>2549</v>
      </c>
      <c r="B130" s="22"/>
      <c r="C130" s="26">
        <v>45899</v>
      </c>
      <c r="D130" s="25" t="s">
        <v>2742</v>
      </c>
      <c r="E130" s="25" t="s">
        <v>2555</v>
      </c>
      <c r="F130" s="53" t="s">
        <v>3812</v>
      </c>
      <c r="G130" s="28">
        <v>0</v>
      </c>
    </row>
    <row r="131" spans="1:7" x14ac:dyDescent="0.35">
      <c r="A131" s="22" t="s">
        <v>2549</v>
      </c>
      <c r="B131" s="22"/>
      <c r="C131" s="26">
        <v>45899</v>
      </c>
      <c r="D131" s="25" t="s">
        <v>2743</v>
      </c>
      <c r="E131" s="25" t="s">
        <v>2555</v>
      </c>
      <c r="F131" s="53" t="s">
        <v>3812</v>
      </c>
      <c r="G131" s="28">
        <v>0</v>
      </c>
    </row>
    <row r="132" spans="1:7" x14ac:dyDescent="0.35">
      <c r="A132" s="22" t="s">
        <v>2549</v>
      </c>
      <c r="B132" s="22"/>
      <c r="C132" s="26">
        <v>45899</v>
      </c>
      <c r="D132" s="25" t="s">
        <v>2744</v>
      </c>
      <c r="E132" s="25" t="s">
        <v>2555</v>
      </c>
      <c r="F132" s="53" t="s">
        <v>3812</v>
      </c>
      <c r="G132" s="28">
        <v>0</v>
      </c>
    </row>
    <row r="133" spans="1:7" x14ac:dyDescent="0.35">
      <c r="A133" s="22" t="s">
        <v>2549</v>
      </c>
      <c r="B133" s="22"/>
      <c r="C133" s="26">
        <v>45899</v>
      </c>
      <c r="D133" s="25" t="s">
        <v>2745</v>
      </c>
      <c r="E133" s="25" t="s">
        <v>2020</v>
      </c>
      <c r="F133" s="53" t="s">
        <v>3812</v>
      </c>
      <c r="G133" s="28">
        <v>0</v>
      </c>
    </row>
    <row r="134" spans="1:7" x14ac:dyDescent="0.35">
      <c r="A134" s="22" t="s">
        <v>2549</v>
      </c>
      <c r="B134" s="22"/>
      <c r="C134" s="26">
        <v>45899</v>
      </c>
      <c r="D134" s="25" t="s">
        <v>2746</v>
      </c>
      <c r="E134" s="25" t="s">
        <v>1283</v>
      </c>
      <c r="F134" s="53" t="s">
        <v>3812</v>
      </c>
      <c r="G134" s="28">
        <v>0</v>
      </c>
    </row>
    <row r="135" spans="1:7" x14ac:dyDescent="0.35">
      <c r="A135" s="22" t="s">
        <v>2549</v>
      </c>
      <c r="B135" s="22"/>
      <c r="C135" s="26">
        <v>45899</v>
      </c>
      <c r="D135" s="25" t="s">
        <v>2747</v>
      </c>
      <c r="E135" s="25" t="s">
        <v>2132</v>
      </c>
      <c r="F135" s="53" t="s">
        <v>3812</v>
      </c>
      <c r="G135" s="28">
        <v>0</v>
      </c>
    </row>
    <row r="136" spans="1:7" x14ac:dyDescent="0.35">
      <c r="A136" s="22" t="s">
        <v>2549</v>
      </c>
      <c r="B136" s="22"/>
      <c r="C136" s="26">
        <v>45899</v>
      </c>
      <c r="D136" s="25" t="s">
        <v>2748</v>
      </c>
      <c r="E136" s="25" t="s">
        <v>996</v>
      </c>
      <c r="F136" s="53" t="s">
        <v>3812</v>
      </c>
      <c r="G136" s="28">
        <v>0</v>
      </c>
    </row>
    <row r="137" spans="1:7" x14ac:dyDescent="0.35">
      <c r="A137" s="22" t="s">
        <v>2549</v>
      </c>
      <c r="B137" s="22"/>
      <c r="C137" s="26">
        <v>45899</v>
      </c>
      <c r="D137" s="25" t="s">
        <v>2749</v>
      </c>
      <c r="E137" s="25" t="s">
        <v>3025</v>
      </c>
      <c r="F137" s="53" t="s">
        <v>3812</v>
      </c>
      <c r="G137" s="28">
        <v>0</v>
      </c>
    </row>
    <row r="138" spans="1:7" x14ac:dyDescent="0.35">
      <c r="A138" s="22" t="s">
        <v>2549</v>
      </c>
      <c r="B138" s="22"/>
      <c r="C138" s="26">
        <v>45899</v>
      </c>
      <c r="D138" s="25" t="s">
        <v>2750</v>
      </c>
      <c r="E138" s="25" t="s">
        <v>2547</v>
      </c>
      <c r="F138" s="53" t="s">
        <v>3812</v>
      </c>
      <c r="G138" s="28">
        <v>0</v>
      </c>
    </row>
    <row r="139" spans="1:7" x14ac:dyDescent="0.35">
      <c r="A139" s="22" t="s">
        <v>2549</v>
      </c>
      <c r="B139" s="22"/>
      <c r="C139" s="26">
        <v>45899</v>
      </c>
      <c r="D139" s="25" t="s">
        <v>2751</v>
      </c>
      <c r="E139" s="25" t="s">
        <v>301</v>
      </c>
      <c r="F139" s="53" t="s">
        <v>3812</v>
      </c>
      <c r="G139" s="28">
        <v>0</v>
      </c>
    </row>
    <row r="140" spans="1:7" x14ac:dyDescent="0.35">
      <c r="A140" s="22" t="s">
        <v>2549</v>
      </c>
      <c r="B140" s="22"/>
      <c r="C140" s="26">
        <v>45899</v>
      </c>
      <c r="D140" s="25" t="s">
        <v>2752</v>
      </c>
      <c r="E140" s="25" t="s">
        <v>2020</v>
      </c>
      <c r="F140" s="53" t="s">
        <v>3812</v>
      </c>
      <c r="G140" s="28">
        <v>0</v>
      </c>
    </row>
    <row r="141" spans="1:7" x14ac:dyDescent="0.35">
      <c r="A141" s="22" t="s">
        <v>2549</v>
      </c>
      <c r="B141" s="22"/>
      <c r="C141" s="26">
        <v>45899</v>
      </c>
      <c r="D141" s="25" t="s">
        <v>2753</v>
      </c>
      <c r="E141" s="25" t="s">
        <v>2020</v>
      </c>
      <c r="F141" s="53" t="s">
        <v>3812</v>
      </c>
      <c r="G141" s="28">
        <v>0</v>
      </c>
    </row>
    <row r="142" spans="1:7" x14ac:dyDescent="0.35">
      <c r="A142" s="22" t="s">
        <v>2549</v>
      </c>
      <c r="B142" s="22"/>
      <c r="C142" s="26">
        <v>45899</v>
      </c>
      <c r="D142" s="25" t="s">
        <v>2754</v>
      </c>
      <c r="E142" s="25" t="s">
        <v>2020</v>
      </c>
      <c r="F142" s="53" t="s">
        <v>3812</v>
      </c>
      <c r="G142" s="28">
        <v>0</v>
      </c>
    </row>
    <row r="143" spans="1:7" x14ac:dyDescent="0.35">
      <c r="A143" s="22" t="s">
        <v>2549</v>
      </c>
      <c r="B143" s="22"/>
      <c r="C143" s="26">
        <v>45899</v>
      </c>
      <c r="D143" s="25" t="s">
        <v>2755</v>
      </c>
      <c r="E143" s="25" t="s">
        <v>2020</v>
      </c>
      <c r="F143" s="53" t="s">
        <v>3812</v>
      </c>
      <c r="G143" s="28">
        <v>0</v>
      </c>
    </row>
    <row r="144" spans="1:7" x14ac:dyDescent="0.35">
      <c r="A144" s="22" t="s">
        <v>2549</v>
      </c>
      <c r="B144" s="22"/>
      <c r="C144" s="26">
        <v>45899</v>
      </c>
      <c r="D144" s="25" t="s">
        <v>2756</v>
      </c>
      <c r="E144" s="25" t="s">
        <v>2020</v>
      </c>
      <c r="F144" s="53" t="s">
        <v>3812</v>
      </c>
      <c r="G144" s="28">
        <v>0</v>
      </c>
    </row>
    <row r="145" spans="1:7" x14ac:dyDescent="0.35">
      <c r="A145" s="22" t="s">
        <v>2549</v>
      </c>
      <c r="B145" s="22"/>
      <c r="C145" s="26">
        <v>45899</v>
      </c>
      <c r="D145" s="25" t="s">
        <v>2757</v>
      </c>
      <c r="E145" s="25" t="s">
        <v>2020</v>
      </c>
      <c r="F145" s="53" t="s">
        <v>3812</v>
      </c>
      <c r="G145" s="28">
        <v>0</v>
      </c>
    </row>
    <row r="146" spans="1:7" x14ac:dyDescent="0.35">
      <c r="A146" s="22" t="s">
        <v>2549</v>
      </c>
      <c r="B146" s="22"/>
      <c r="C146" s="26">
        <v>45899</v>
      </c>
      <c r="D146" s="25" t="s">
        <v>2758</v>
      </c>
      <c r="E146" s="25" t="s">
        <v>301</v>
      </c>
      <c r="F146" s="53" t="s">
        <v>3812</v>
      </c>
      <c r="G146" s="28">
        <v>0</v>
      </c>
    </row>
    <row r="147" spans="1:7" x14ac:dyDescent="0.35">
      <c r="A147" s="22" t="s">
        <v>2549</v>
      </c>
      <c r="B147" s="22"/>
      <c r="C147" s="26">
        <v>45899</v>
      </c>
      <c r="D147" s="25" t="s">
        <v>2759</v>
      </c>
      <c r="E147" s="25" t="s">
        <v>3037</v>
      </c>
      <c r="F147" s="53" t="s">
        <v>3812</v>
      </c>
      <c r="G147" s="28">
        <v>0</v>
      </c>
    </row>
    <row r="148" spans="1:7" x14ac:dyDescent="0.35">
      <c r="A148" s="22" t="s">
        <v>2549</v>
      </c>
      <c r="B148" s="22"/>
      <c r="C148" s="26">
        <v>45899</v>
      </c>
      <c r="D148" s="25" t="s">
        <v>2760</v>
      </c>
      <c r="E148" s="25" t="s">
        <v>2033</v>
      </c>
      <c r="F148" s="53" t="s">
        <v>3812</v>
      </c>
      <c r="G148" s="28">
        <v>0</v>
      </c>
    </row>
    <row r="149" spans="1:7" x14ac:dyDescent="0.35">
      <c r="A149" s="22" t="s">
        <v>2549</v>
      </c>
      <c r="B149" s="22"/>
      <c r="C149" s="26">
        <v>45899</v>
      </c>
      <c r="D149" s="25" t="s">
        <v>2761</v>
      </c>
      <c r="E149" s="25" t="s">
        <v>2033</v>
      </c>
      <c r="F149" s="53" t="s">
        <v>3812</v>
      </c>
      <c r="G149" s="28">
        <v>0</v>
      </c>
    </row>
    <row r="150" spans="1:7" x14ac:dyDescent="0.35">
      <c r="A150" s="22" t="s">
        <v>2549</v>
      </c>
      <c r="B150" s="22"/>
      <c r="C150" s="26">
        <v>45899</v>
      </c>
      <c r="D150" s="25" t="s">
        <v>2762</v>
      </c>
      <c r="E150" s="25" t="s">
        <v>2033</v>
      </c>
      <c r="F150" s="53" t="s">
        <v>3812</v>
      </c>
      <c r="G150" s="28">
        <v>0</v>
      </c>
    </row>
    <row r="151" spans="1:7" x14ac:dyDescent="0.35">
      <c r="A151" s="22" t="s">
        <v>2549</v>
      </c>
      <c r="B151" s="22"/>
      <c r="C151" s="26">
        <v>45899</v>
      </c>
      <c r="D151" s="25" t="s">
        <v>2763</v>
      </c>
      <c r="E151" s="25" t="s">
        <v>1608</v>
      </c>
      <c r="F151" s="53" t="s">
        <v>3812</v>
      </c>
      <c r="G151" s="28">
        <v>0</v>
      </c>
    </row>
    <row r="152" spans="1:7" x14ac:dyDescent="0.35">
      <c r="A152" s="22" t="s">
        <v>2549</v>
      </c>
      <c r="B152" s="22"/>
      <c r="C152" s="26">
        <v>45899</v>
      </c>
      <c r="D152" s="25" t="s">
        <v>2764</v>
      </c>
      <c r="E152" s="25" t="s">
        <v>2077</v>
      </c>
      <c r="F152" s="53" t="s">
        <v>3812</v>
      </c>
      <c r="G152" s="28">
        <v>0</v>
      </c>
    </row>
    <row r="153" spans="1:7" x14ac:dyDescent="0.35">
      <c r="A153" s="22" t="s">
        <v>2549</v>
      </c>
      <c r="B153" s="22"/>
      <c r="C153" s="26">
        <v>45899</v>
      </c>
      <c r="D153" s="25" t="s">
        <v>2765</v>
      </c>
      <c r="E153" s="25" t="s">
        <v>1251</v>
      </c>
      <c r="F153" s="53" t="s">
        <v>3812</v>
      </c>
      <c r="G153" s="28">
        <v>0</v>
      </c>
    </row>
    <row r="154" spans="1:7" x14ac:dyDescent="0.35">
      <c r="A154" s="22" t="s">
        <v>2549</v>
      </c>
      <c r="B154" s="22"/>
      <c r="C154" s="26">
        <v>45899</v>
      </c>
      <c r="D154" s="25" t="s">
        <v>2766</v>
      </c>
      <c r="E154" s="25" t="s">
        <v>2033</v>
      </c>
      <c r="F154" s="53" t="s">
        <v>3812</v>
      </c>
      <c r="G154" s="28">
        <v>9548.99</v>
      </c>
    </row>
    <row r="155" spans="1:7" x14ac:dyDescent="0.35">
      <c r="A155" s="22" t="s">
        <v>2549</v>
      </c>
      <c r="B155" s="22"/>
      <c r="C155" s="26">
        <v>45899</v>
      </c>
      <c r="D155" s="25" t="s">
        <v>2767</v>
      </c>
      <c r="E155" s="25" t="s">
        <v>2144</v>
      </c>
      <c r="F155" s="53" t="s">
        <v>3812</v>
      </c>
      <c r="G155" s="28">
        <v>0</v>
      </c>
    </row>
    <row r="156" spans="1:7" x14ac:dyDescent="0.35">
      <c r="A156" s="22" t="s">
        <v>2549</v>
      </c>
      <c r="B156" s="22"/>
      <c r="C156" s="26">
        <v>45899</v>
      </c>
      <c r="D156" s="25" t="s">
        <v>2768</v>
      </c>
      <c r="E156" s="25" t="s">
        <v>2144</v>
      </c>
      <c r="F156" s="53" t="s">
        <v>3812</v>
      </c>
      <c r="G156" s="28">
        <v>0</v>
      </c>
    </row>
    <row r="157" spans="1:7" x14ac:dyDescent="0.35">
      <c r="A157" s="22" t="s">
        <v>2549</v>
      </c>
      <c r="B157" s="22"/>
      <c r="C157" s="26">
        <v>45899</v>
      </c>
      <c r="D157" s="25" t="s">
        <v>2770</v>
      </c>
      <c r="E157" s="25" t="s">
        <v>2144</v>
      </c>
      <c r="F157" s="53" t="s">
        <v>3812</v>
      </c>
      <c r="G157" s="28">
        <v>0</v>
      </c>
    </row>
    <row r="158" spans="1:7" x14ac:dyDescent="0.35">
      <c r="A158" s="22" t="s">
        <v>2549</v>
      </c>
      <c r="B158" s="22"/>
      <c r="C158" s="26">
        <v>45899</v>
      </c>
      <c r="D158" s="25" t="s">
        <v>2771</v>
      </c>
      <c r="E158" s="25" t="s">
        <v>2144</v>
      </c>
      <c r="F158" s="53" t="s">
        <v>3812</v>
      </c>
      <c r="G158" s="28">
        <v>0</v>
      </c>
    </row>
    <row r="159" spans="1:7" x14ac:dyDescent="0.35">
      <c r="A159" s="22" t="s">
        <v>2549</v>
      </c>
      <c r="B159" s="22"/>
      <c r="C159" s="26">
        <v>45899</v>
      </c>
      <c r="D159" s="25" t="s">
        <v>2772</v>
      </c>
      <c r="E159" s="25" t="s">
        <v>2144</v>
      </c>
      <c r="F159" s="53" t="s">
        <v>3812</v>
      </c>
      <c r="G159" s="28">
        <v>0</v>
      </c>
    </row>
    <row r="160" spans="1:7" x14ac:dyDescent="0.35">
      <c r="A160" s="22" t="s">
        <v>2549</v>
      </c>
      <c r="B160" s="22"/>
      <c r="C160" s="26">
        <v>45899</v>
      </c>
      <c r="D160" s="25" t="s">
        <v>2773</v>
      </c>
      <c r="E160" s="25" t="s">
        <v>2575</v>
      </c>
      <c r="F160" s="53" t="s">
        <v>3812</v>
      </c>
      <c r="G160" s="28">
        <v>0</v>
      </c>
    </row>
    <row r="161" spans="1:7" x14ac:dyDescent="0.35">
      <c r="A161" s="22" t="s">
        <v>2549</v>
      </c>
      <c r="B161" s="22"/>
      <c r="C161" s="26">
        <v>45899</v>
      </c>
      <c r="D161" s="25" t="s">
        <v>2774</v>
      </c>
      <c r="E161" s="25" t="s">
        <v>3061</v>
      </c>
      <c r="F161" s="53" t="s">
        <v>3812</v>
      </c>
      <c r="G161" s="28">
        <v>0</v>
      </c>
    </row>
    <row r="162" spans="1:7" x14ac:dyDescent="0.35">
      <c r="A162" s="22" t="s">
        <v>2549</v>
      </c>
      <c r="B162" s="22"/>
      <c r="C162" s="26">
        <v>45899</v>
      </c>
      <c r="D162" s="25" t="s">
        <v>2775</v>
      </c>
      <c r="E162" s="25" t="s">
        <v>3061</v>
      </c>
      <c r="F162" s="53" t="s">
        <v>3812</v>
      </c>
      <c r="G162" s="28">
        <v>1120</v>
      </c>
    </row>
    <row r="163" spans="1:7" x14ac:dyDescent="0.35">
      <c r="A163" s="22" t="s">
        <v>2549</v>
      </c>
      <c r="B163" s="22"/>
      <c r="C163" s="26">
        <v>45899</v>
      </c>
      <c r="D163" s="25" t="s">
        <v>2776</v>
      </c>
      <c r="E163" s="25" t="s">
        <v>2846</v>
      </c>
      <c r="F163" s="53" t="s">
        <v>3812</v>
      </c>
      <c r="G163" s="28">
        <v>0</v>
      </c>
    </row>
    <row r="164" spans="1:7" x14ac:dyDescent="0.35">
      <c r="A164" s="22" t="s">
        <v>2549</v>
      </c>
      <c r="B164" s="22"/>
      <c r="C164" s="26">
        <v>45899</v>
      </c>
      <c r="D164" s="25" t="s">
        <v>2777</v>
      </c>
      <c r="E164" s="25" t="s">
        <v>2846</v>
      </c>
      <c r="F164" s="53" t="s">
        <v>3812</v>
      </c>
      <c r="G164" s="28">
        <v>0</v>
      </c>
    </row>
    <row r="165" spans="1:7" x14ac:dyDescent="0.35">
      <c r="A165" s="22" t="s">
        <v>2549</v>
      </c>
      <c r="B165" s="22"/>
      <c r="C165" s="26">
        <v>45899</v>
      </c>
      <c r="D165" s="25" t="s">
        <v>2778</v>
      </c>
      <c r="E165" s="25" t="s">
        <v>2396</v>
      </c>
      <c r="F165" s="53" t="s">
        <v>3812</v>
      </c>
      <c r="G165" s="28">
        <v>0</v>
      </c>
    </row>
    <row r="166" spans="1:7" x14ac:dyDescent="0.35">
      <c r="A166" s="22" t="s">
        <v>2549</v>
      </c>
      <c r="B166" s="22"/>
      <c r="C166" s="26">
        <v>45899</v>
      </c>
      <c r="D166" s="25" t="s">
        <v>2779</v>
      </c>
      <c r="E166" s="25" t="s">
        <v>2396</v>
      </c>
      <c r="F166" s="53" t="s">
        <v>3812</v>
      </c>
      <c r="G166" s="28">
        <v>0</v>
      </c>
    </row>
    <row r="167" spans="1:7" x14ac:dyDescent="0.35">
      <c r="A167" s="22" t="s">
        <v>2549</v>
      </c>
      <c r="B167" s="22"/>
      <c r="C167" s="26">
        <v>45899</v>
      </c>
      <c r="D167" s="25" t="s">
        <v>2780</v>
      </c>
      <c r="E167" s="25" t="s">
        <v>2396</v>
      </c>
      <c r="F167" s="53" t="s">
        <v>3812</v>
      </c>
      <c r="G167" s="28">
        <v>0</v>
      </c>
    </row>
    <row r="168" spans="1:7" x14ac:dyDescent="0.35">
      <c r="A168" s="22" t="s">
        <v>2549</v>
      </c>
      <c r="B168" s="22"/>
      <c r="C168" s="26">
        <v>45899</v>
      </c>
      <c r="D168" s="25" t="s">
        <v>2781</v>
      </c>
      <c r="E168" s="25" t="s">
        <v>2396</v>
      </c>
      <c r="F168" s="53" t="s">
        <v>3812</v>
      </c>
      <c r="G168" s="28">
        <v>0</v>
      </c>
    </row>
    <row r="169" spans="1:7" x14ac:dyDescent="0.35">
      <c r="A169" s="22" t="s">
        <v>2549</v>
      </c>
      <c r="B169" s="22"/>
      <c r="C169" s="26">
        <v>45899</v>
      </c>
      <c r="D169" s="25" t="s">
        <v>2782</v>
      </c>
      <c r="E169" s="25" t="s">
        <v>2396</v>
      </c>
      <c r="F169" s="53" t="s">
        <v>3812</v>
      </c>
      <c r="G169" s="28">
        <v>0</v>
      </c>
    </row>
    <row r="170" spans="1:7" x14ac:dyDescent="0.35">
      <c r="A170" s="22" t="s">
        <v>2549</v>
      </c>
      <c r="B170" s="22"/>
      <c r="C170" s="26">
        <v>45899</v>
      </c>
      <c r="D170" s="25" t="s">
        <v>2783</v>
      </c>
      <c r="E170" s="25" t="s">
        <v>1724</v>
      </c>
      <c r="F170" s="53" t="s">
        <v>3812</v>
      </c>
      <c r="G170" s="28">
        <v>0</v>
      </c>
    </row>
    <row r="171" spans="1:7" x14ac:dyDescent="0.35">
      <c r="A171" s="22" t="s">
        <v>2549</v>
      </c>
      <c r="B171" s="22"/>
      <c r="C171" s="26">
        <v>45899</v>
      </c>
      <c r="D171" s="25" t="s">
        <v>2784</v>
      </c>
      <c r="E171" s="25" t="s">
        <v>1724</v>
      </c>
      <c r="F171" s="53" t="s">
        <v>3812</v>
      </c>
      <c r="G171" s="28">
        <v>0</v>
      </c>
    </row>
    <row r="172" spans="1:7" x14ac:dyDescent="0.35">
      <c r="A172" s="22" t="s">
        <v>2549</v>
      </c>
      <c r="B172" s="22"/>
      <c r="C172" s="26">
        <v>45899</v>
      </c>
      <c r="D172" s="25" t="s">
        <v>2785</v>
      </c>
      <c r="E172" s="25" t="s">
        <v>2447</v>
      </c>
      <c r="F172" s="53" t="s">
        <v>3812</v>
      </c>
      <c r="G172" s="28">
        <v>0</v>
      </c>
    </row>
    <row r="173" spans="1:7" x14ac:dyDescent="0.35">
      <c r="A173" s="22" t="s">
        <v>2549</v>
      </c>
      <c r="B173" s="22"/>
      <c r="C173" s="26">
        <v>45899</v>
      </c>
      <c r="D173" s="25" t="s">
        <v>2786</v>
      </c>
      <c r="E173" s="25" t="s">
        <v>2447</v>
      </c>
      <c r="F173" s="53" t="s">
        <v>3812</v>
      </c>
      <c r="G173" s="28">
        <v>0</v>
      </c>
    </row>
    <row r="174" spans="1:7" x14ac:dyDescent="0.35">
      <c r="A174" s="22" t="s">
        <v>2549</v>
      </c>
      <c r="B174" s="22"/>
      <c r="C174" s="26">
        <v>45899</v>
      </c>
      <c r="D174" s="25" t="s">
        <v>2787</v>
      </c>
      <c r="E174" s="25" t="s">
        <v>1782</v>
      </c>
      <c r="F174" s="53" t="s">
        <v>3812</v>
      </c>
      <c r="G174" s="28">
        <v>0</v>
      </c>
    </row>
    <row r="175" spans="1:7" x14ac:dyDescent="0.35">
      <c r="A175" s="22" t="s">
        <v>2549</v>
      </c>
      <c r="B175" s="22"/>
      <c r="C175" s="26">
        <v>45899</v>
      </c>
      <c r="D175" s="25" t="s">
        <v>2788</v>
      </c>
      <c r="E175" s="25" t="s">
        <v>1782</v>
      </c>
      <c r="F175" s="53" t="s">
        <v>3812</v>
      </c>
      <c r="G175" s="28">
        <v>0</v>
      </c>
    </row>
    <row r="176" spans="1:7" x14ac:dyDescent="0.35">
      <c r="A176" s="22" t="s">
        <v>2549</v>
      </c>
      <c r="B176" s="22"/>
      <c r="C176" s="26">
        <v>45899</v>
      </c>
      <c r="D176" s="25" t="s">
        <v>2789</v>
      </c>
      <c r="E176" s="25" t="s">
        <v>1587</v>
      </c>
      <c r="F176" s="53" t="s">
        <v>3812</v>
      </c>
      <c r="G176" s="28">
        <v>0</v>
      </c>
    </row>
    <row r="177" spans="1:7" x14ac:dyDescent="0.35">
      <c r="A177" s="22" t="s">
        <v>2549</v>
      </c>
      <c r="B177" s="22"/>
      <c r="C177" s="26">
        <v>45899</v>
      </c>
      <c r="D177" s="25" t="s">
        <v>2790</v>
      </c>
      <c r="E177" s="25" t="s">
        <v>1587</v>
      </c>
      <c r="F177" s="53" t="s">
        <v>3812</v>
      </c>
      <c r="G177" s="28">
        <v>343.59</v>
      </c>
    </row>
    <row r="178" spans="1:7" x14ac:dyDescent="0.35">
      <c r="A178" s="22" t="s">
        <v>2549</v>
      </c>
      <c r="B178" s="22"/>
      <c r="C178" s="26">
        <v>45899</v>
      </c>
      <c r="D178" s="25" t="s">
        <v>2791</v>
      </c>
      <c r="E178" s="25" t="s">
        <v>1587</v>
      </c>
      <c r="F178" s="53" t="s">
        <v>3812</v>
      </c>
      <c r="G178" s="28">
        <v>0</v>
      </c>
    </row>
    <row r="179" spans="1:7" x14ac:dyDescent="0.35">
      <c r="A179" s="22" t="s">
        <v>2549</v>
      </c>
      <c r="B179" s="22"/>
      <c r="C179" s="26">
        <v>45899</v>
      </c>
      <c r="D179" s="25" t="s">
        <v>2792</v>
      </c>
      <c r="E179" s="25" t="s">
        <v>1587</v>
      </c>
      <c r="F179" s="53" t="s">
        <v>3812</v>
      </c>
      <c r="G179" s="28">
        <v>0</v>
      </c>
    </row>
    <row r="180" spans="1:7" x14ac:dyDescent="0.35">
      <c r="A180" s="22" t="s">
        <v>2549</v>
      </c>
      <c r="B180" s="22"/>
      <c r="C180" s="26">
        <v>45899</v>
      </c>
      <c r="D180" s="25" t="s">
        <v>2793</v>
      </c>
      <c r="E180" s="25" t="s">
        <v>1587</v>
      </c>
      <c r="F180" s="53" t="s">
        <v>3812</v>
      </c>
      <c r="G180" s="28">
        <v>0</v>
      </c>
    </row>
    <row r="181" spans="1:7" x14ac:dyDescent="0.35">
      <c r="A181" s="22" t="s">
        <v>2549</v>
      </c>
      <c r="B181" s="22"/>
      <c r="C181" s="26">
        <v>45899</v>
      </c>
      <c r="D181" s="25" t="s">
        <v>2794</v>
      </c>
      <c r="E181" s="25" t="s">
        <v>1334</v>
      </c>
      <c r="F181" s="53" t="s">
        <v>3812</v>
      </c>
      <c r="G181" s="28">
        <v>0</v>
      </c>
    </row>
    <row r="182" spans="1:7" x14ac:dyDescent="0.35">
      <c r="A182" s="22" t="s">
        <v>2549</v>
      </c>
      <c r="B182" s="22"/>
      <c r="C182" s="26">
        <v>45899</v>
      </c>
      <c r="D182" s="25" t="s">
        <v>2795</v>
      </c>
      <c r="E182" s="25" t="s">
        <v>1334</v>
      </c>
      <c r="F182" s="53" t="s">
        <v>3812</v>
      </c>
      <c r="G182" s="28">
        <v>0</v>
      </c>
    </row>
    <row r="183" spans="1:7" x14ac:dyDescent="0.35">
      <c r="A183" s="22" t="s">
        <v>2549</v>
      </c>
      <c r="B183" s="22"/>
      <c r="C183" s="26">
        <v>45899</v>
      </c>
      <c r="D183" s="25" t="s">
        <v>2796</v>
      </c>
      <c r="E183" s="25" t="s">
        <v>1334</v>
      </c>
      <c r="F183" s="53" t="s">
        <v>3812</v>
      </c>
      <c r="G183" s="28">
        <v>0</v>
      </c>
    </row>
    <row r="184" spans="1:7" x14ac:dyDescent="0.35">
      <c r="A184" s="22" t="s">
        <v>2549</v>
      </c>
      <c r="B184" s="22"/>
      <c r="C184" s="26">
        <v>45899</v>
      </c>
      <c r="D184" s="25" t="s">
        <v>2797</v>
      </c>
      <c r="E184" s="25" t="s">
        <v>3093</v>
      </c>
      <c r="F184" s="53" t="s">
        <v>3812</v>
      </c>
      <c r="G184" s="28">
        <v>0</v>
      </c>
    </row>
    <row r="185" spans="1:7" x14ac:dyDescent="0.35">
      <c r="A185" s="22" t="s">
        <v>2549</v>
      </c>
      <c r="B185" s="22"/>
      <c r="C185" s="26">
        <v>45899</v>
      </c>
      <c r="D185" s="25" t="s">
        <v>2798</v>
      </c>
      <c r="E185" s="25" t="s">
        <v>3095</v>
      </c>
      <c r="F185" s="53" t="s">
        <v>3812</v>
      </c>
      <c r="G185" s="28">
        <v>0</v>
      </c>
    </row>
    <row r="186" spans="1:7" x14ac:dyDescent="0.35">
      <c r="A186" s="22" t="s">
        <v>2549</v>
      </c>
      <c r="B186" s="22"/>
      <c r="C186" s="26">
        <v>45899</v>
      </c>
      <c r="D186" s="25" t="s">
        <v>2799</v>
      </c>
      <c r="E186" s="25" t="s">
        <v>2396</v>
      </c>
      <c r="F186" s="53" t="s">
        <v>3812</v>
      </c>
      <c r="G186" s="28">
        <v>0</v>
      </c>
    </row>
    <row r="187" spans="1:7" x14ac:dyDescent="0.35">
      <c r="A187" s="22" t="s">
        <v>2549</v>
      </c>
      <c r="B187" s="22"/>
      <c r="C187" s="26">
        <v>45899</v>
      </c>
      <c r="D187" s="25" t="s">
        <v>2800</v>
      </c>
      <c r="E187" s="25" t="s">
        <v>2396</v>
      </c>
      <c r="F187" s="53" t="s">
        <v>3812</v>
      </c>
      <c r="G187" s="28">
        <v>0</v>
      </c>
    </row>
    <row r="188" spans="1:7" x14ac:dyDescent="0.35">
      <c r="A188" s="22" t="s">
        <v>2549</v>
      </c>
      <c r="B188" s="22"/>
      <c r="C188" s="26">
        <v>45899</v>
      </c>
      <c r="D188" s="25" t="s">
        <v>2801</v>
      </c>
      <c r="E188" s="25" t="s">
        <v>2396</v>
      </c>
      <c r="F188" s="53" t="s">
        <v>3812</v>
      </c>
      <c r="G188" s="28">
        <v>0</v>
      </c>
    </row>
    <row r="189" spans="1:7" x14ac:dyDescent="0.35">
      <c r="A189" s="22" t="s">
        <v>2549</v>
      </c>
      <c r="B189" s="22"/>
      <c r="C189" s="26">
        <v>45899</v>
      </c>
      <c r="D189" s="25" t="s">
        <v>2802</v>
      </c>
      <c r="E189" s="25" t="s">
        <v>2396</v>
      </c>
      <c r="F189" s="53" t="s">
        <v>3812</v>
      </c>
      <c r="G189" s="28">
        <v>0</v>
      </c>
    </row>
    <row r="190" spans="1:7" x14ac:dyDescent="0.35">
      <c r="A190" s="22" t="s">
        <v>2549</v>
      </c>
      <c r="B190" s="22"/>
      <c r="C190" s="26">
        <v>45899</v>
      </c>
      <c r="D190" s="25" t="s">
        <v>2803</v>
      </c>
      <c r="E190" s="25" t="s">
        <v>2396</v>
      </c>
      <c r="F190" s="53" t="s">
        <v>3812</v>
      </c>
      <c r="G190" s="28">
        <v>0</v>
      </c>
    </row>
    <row r="191" spans="1:7" x14ac:dyDescent="0.35">
      <c r="A191" s="22" t="s">
        <v>2549</v>
      </c>
      <c r="B191" s="22"/>
      <c r="C191" s="26">
        <v>45899</v>
      </c>
      <c r="D191" s="25" t="s">
        <v>2804</v>
      </c>
      <c r="E191" s="25" t="s">
        <v>2396</v>
      </c>
      <c r="F191" s="53" t="s">
        <v>3812</v>
      </c>
      <c r="G191" s="28">
        <v>0</v>
      </c>
    </row>
    <row r="192" spans="1:7" x14ac:dyDescent="0.35">
      <c r="A192" s="22" t="s">
        <v>2549</v>
      </c>
      <c r="B192" s="22"/>
      <c r="C192" s="26">
        <v>45899</v>
      </c>
      <c r="D192" s="25">
        <v>34675</v>
      </c>
      <c r="E192" s="25" t="s">
        <v>1277</v>
      </c>
      <c r="F192" s="53" t="s">
        <v>3812</v>
      </c>
      <c r="G192" s="28">
        <v>0</v>
      </c>
    </row>
    <row r="193" spans="1:7" x14ac:dyDescent="0.35">
      <c r="A193" s="22" t="s">
        <v>2549</v>
      </c>
      <c r="B193" s="22"/>
      <c r="C193" s="26">
        <v>45899</v>
      </c>
      <c r="D193" s="25" t="s">
        <v>2805</v>
      </c>
      <c r="E193" s="25" t="s">
        <v>1179</v>
      </c>
      <c r="F193" s="53" t="s">
        <v>3812</v>
      </c>
      <c r="G193" s="28">
        <v>0</v>
      </c>
    </row>
    <row r="194" spans="1:7" x14ac:dyDescent="0.35">
      <c r="A194" s="22" t="s">
        <v>2549</v>
      </c>
      <c r="B194" s="22"/>
      <c r="C194" s="26">
        <v>45899</v>
      </c>
      <c r="D194" s="25" t="s">
        <v>2806</v>
      </c>
      <c r="E194" s="25" t="s">
        <v>1179</v>
      </c>
      <c r="F194" s="53" t="s">
        <v>3812</v>
      </c>
      <c r="G194" s="28">
        <v>0</v>
      </c>
    </row>
    <row r="195" spans="1:7" x14ac:dyDescent="0.35">
      <c r="A195" s="22" t="s">
        <v>2549</v>
      </c>
      <c r="B195" s="22"/>
      <c r="C195" s="26">
        <v>45899</v>
      </c>
      <c r="D195" s="25" t="s">
        <v>2807</v>
      </c>
      <c r="E195" s="25" t="s">
        <v>1179</v>
      </c>
      <c r="F195" s="53" t="s">
        <v>3812</v>
      </c>
      <c r="G195" s="28">
        <v>0</v>
      </c>
    </row>
    <row r="196" spans="1:7" x14ac:dyDescent="0.35">
      <c r="A196" s="22" t="s">
        <v>2549</v>
      </c>
      <c r="B196" s="22"/>
      <c r="C196" s="26">
        <v>45899</v>
      </c>
      <c r="D196" s="25" t="s">
        <v>2808</v>
      </c>
      <c r="E196" s="25" t="s">
        <v>1179</v>
      </c>
      <c r="F196" s="53" t="s">
        <v>3812</v>
      </c>
      <c r="G196" s="28">
        <v>0</v>
      </c>
    </row>
    <row r="197" spans="1:7" x14ac:dyDescent="0.35">
      <c r="A197" s="22" t="s">
        <v>2549</v>
      </c>
      <c r="B197" s="22"/>
      <c r="C197" s="26">
        <v>45899</v>
      </c>
      <c r="D197" s="25" t="s">
        <v>2809</v>
      </c>
      <c r="E197" s="25" t="s">
        <v>1179</v>
      </c>
      <c r="F197" s="53" t="s">
        <v>3812</v>
      </c>
      <c r="G197" s="28">
        <v>0</v>
      </c>
    </row>
    <row r="198" spans="1:7" x14ac:dyDescent="0.35">
      <c r="A198" s="22" t="s">
        <v>2549</v>
      </c>
      <c r="B198" s="22"/>
      <c r="C198" s="26">
        <v>45899</v>
      </c>
      <c r="D198" s="25" t="s">
        <v>2810</v>
      </c>
      <c r="E198" s="25" t="s">
        <v>1179</v>
      </c>
      <c r="F198" s="53" t="s">
        <v>3812</v>
      </c>
      <c r="G198" s="28">
        <v>0</v>
      </c>
    </row>
    <row r="199" spans="1:7" x14ac:dyDescent="0.35">
      <c r="A199" s="22" t="s">
        <v>2549</v>
      </c>
      <c r="B199" s="22"/>
      <c r="C199" s="26">
        <v>45899</v>
      </c>
      <c r="D199" s="25" t="s">
        <v>2811</v>
      </c>
      <c r="E199" s="25" t="s">
        <v>1179</v>
      </c>
      <c r="F199" s="53" t="s">
        <v>3812</v>
      </c>
      <c r="G199" s="28">
        <v>0</v>
      </c>
    </row>
    <row r="200" spans="1:7" x14ac:dyDescent="0.35">
      <c r="A200" s="22" t="s">
        <v>2549</v>
      </c>
      <c r="B200" s="22"/>
      <c r="C200" s="26">
        <v>45899</v>
      </c>
      <c r="D200" s="25" t="s">
        <v>2812</v>
      </c>
      <c r="E200" s="25" t="s">
        <v>1179</v>
      </c>
      <c r="F200" s="53" t="s">
        <v>3812</v>
      </c>
      <c r="G200" s="28">
        <v>0</v>
      </c>
    </row>
    <row r="201" spans="1:7" x14ac:dyDescent="0.35">
      <c r="A201" s="22" t="s">
        <v>2549</v>
      </c>
      <c r="B201" s="22"/>
      <c r="C201" s="26">
        <v>45899</v>
      </c>
      <c r="D201" s="25" t="s">
        <v>2813</v>
      </c>
      <c r="E201" s="25" t="s">
        <v>1179</v>
      </c>
      <c r="F201" s="53" t="s">
        <v>3812</v>
      </c>
      <c r="G201" s="28">
        <v>0</v>
      </c>
    </row>
    <row r="202" spans="1:7" x14ac:dyDescent="0.35">
      <c r="A202" s="22" t="s">
        <v>2549</v>
      </c>
      <c r="B202" s="22"/>
      <c r="C202" s="26">
        <v>45899</v>
      </c>
      <c r="D202" s="25" t="s">
        <v>2814</v>
      </c>
      <c r="E202" s="25" t="s">
        <v>3115</v>
      </c>
      <c r="F202" s="53" t="s">
        <v>3812</v>
      </c>
      <c r="G202" s="28">
        <v>0</v>
      </c>
    </row>
    <row r="203" spans="1:7" x14ac:dyDescent="0.35">
      <c r="A203" s="22" t="s">
        <v>2549</v>
      </c>
      <c r="B203" s="22"/>
      <c r="C203" s="26">
        <v>45899</v>
      </c>
      <c r="D203" s="25" t="s">
        <v>2815</v>
      </c>
      <c r="E203" s="25" t="s">
        <v>2530</v>
      </c>
      <c r="F203" s="53" t="s">
        <v>3812</v>
      </c>
      <c r="G203" s="28">
        <v>0</v>
      </c>
    </row>
    <row r="204" spans="1:7" x14ac:dyDescent="0.35">
      <c r="A204" s="22" t="s">
        <v>2549</v>
      </c>
      <c r="B204" s="22"/>
      <c r="C204" s="26">
        <v>45899</v>
      </c>
      <c r="D204" s="25" t="s">
        <v>2816</v>
      </c>
      <c r="E204" s="25" t="s">
        <v>301</v>
      </c>
      <c r="F204" s="53" t="s">
        <v>3812</v>
      </c>
      <c r="G204" s="28">
        <v>0</v>
      </c>
    </row>
    <row r="205" spans="1:7" x14ac:dyDescent="0.35">
      <c r="A205" s="22" t="s">
        <v>2549</v>
      </c>
      <c r="B205" s="22"/>
      <c r="C205" s="26">
        <v>45899</v>
      </c>
      <c r="D205" s="25" t="s">
        <v>2817</v>
      </c>
      <c r="E205" s="25" t="s">
        <v>301</v>
      </c>
      <c r="F205" s="53" t="s">
        <v>3812</v>
      </c>
      <c r="G205" s="28">
        <v>0</v>
      </c>
    </row>
    <row r="206" spans="1:7" x14ac:dyDescent="0.35">
      <c r="A206" s="22" t="s">
        <v>2549</v>
      </c>
      <c r="B206" s="22"/>
      <c r="C206" s="26">
        <v>45899</v>
      </c>
      <c r="D206" s="25" t="s">
        <v>2818</v>
      </c>
      <c r="E206" s="25" t="s">
        <v>1932</v>
      </c>
      <c r="F206" s="53" t="s">
        <v>3812</v>
      </c>
      <c r="G206" s="28">
        <v>0</v>
      </c>
    </row>
    <row r="207" spans="1:7" x14ac:dyDescent="0.35">
      <c r="A207" s="22" t="s">
        <v>2549</v>
      </c>
      <c r="B207" s="22"/>
      <c r="C207" s="26">
        <v>45899</v>
      </c>
      <c r="D207" s="25" t="s">
        <v>2819</v>
      </c>
      <c r="E207" s="25" t="s">
        <v>1932</v>
      </c>
      <c r="F207" s="53" t="s">
        <v>3812</v>
      </c>
      <c r="G207" s="28">
        <v>0</v>
      </c>
    </row>
    <row r="208" spans="1:7" x14ac:dyDescent="0.35">
      <c r="A208" s="22" t="s">
        <v>2549</v>
      </c>
      <c r="B208" s="22"/>
      <c r="C208" s="26">
        <v>45899</v>
      </c>
      <c r="D208" s="25" t="s">
        <v>2820</v>
      </c>
      <c r="E208" s="25" t="s">
        <v>1932</v>
      </c>
      <c r="F208" s="53" t="s">
        <v>3812</v>
      </c>
      <c r="G208" s="28">
        <v>0</v>
      </c>
    </row>
    <row r="209" spans="1:7" x14ac:dyDescent="0.35">
      <c r="A209" s="22" t="s">
        <v>2549</v>
      </c>
      <c r="B209" s="22"/>
      <c r="C209" s="26">
        <v>45899</v>
      </c>
      <c r="D209" s="25" t="s">
        <v>2821</v>
      </c>
      <c r="E209" s="25" t="s">
        <v>2424</v>
      </c>
      <c r="F209" s="53" t="s">
        <v>3812</v>
      </c>
      <c r="G209" s="28">
        <v>0</v>
      </c>
    </row>
    <row r="210" spans="1:7" x14ac:dyDescent="0.35">
      <c r="A210" s="22" t="s">
        <v>2549</v>
      </c>
      <c r="B210" s="22"/>
      <c r="C210" s="26">
        <v>45899</v>
      </c>
      <c r="D210" s="25" t="s">
        <v>2822</v>
      </c>
      <c r="E210" s="25" t="s">
        <v>1782</v>
      </c>
      <c r="F210" s="53" t="s">
        <v>3812</v>
      </c>
      <c r="G210" s="28">
        <v>0</v>
      </c>
    </row>
    <row r="211" spans="1:7" x14ac:dyDescent="0.35">
      <c r="A211" s="22" t="s">
        <v>2549</v>
      </c>
      <c r="B211" s="22"/>
      <c r="C211" s="26">
        <v>45899</v>
      </c>
      <c r="D211" s="25" t="s">
        <v>2823</v>
      </c>
      <c r="E211" s="25" t="s">
        <v>1782</v>
      </c>
      <c r="F211" s="53" t="s">
        <v>3812</v>
      </c>
      <c r="G211" s="28">
        <v>0</v>
      </c>
    </row>
    <row r="212" spans="1:7" x14ac:dyDescent="0.35">
      <c r="A212" s="22" t="s">
        <v>2549</v>
      </c>
      <c r="B212" s="22"/>
      <c r="C212" s="26">
        <v>45899</v>
      </c>
      <c r="D212" s="25" t="s">
        <v>2824</v>
      </c>
      <c r="E212" s="25" t="s">
        <v>2520</v>
      </c>
      <c r="F212" s="53" t="s">
        <v>3812</v>
      </c>
      <c r="G212" s="28">
        <v>0</v>
      </c>
    </row>
    <row r="213" spans="1:7" x14ac:dyDescent="0.35">
      <c r="A213" s="22" t="s">
        <v>2549</v>
      </c>
      <c r="B213" s="22"/>
      <c r="C213" s="26">
        <v>45899</v>
      </c>
      <c r="D213" s="25" t="s">
        <v>2825</v>
      </c>
      <c r="E213" s="25" t="s">
        <v>2520</v>
      </c>
      <c r="F213" s="53" t="s">
        <v>3812</v>
      </c>
      <c r="G213" s="28">
        <v>0</v>
      </c>
    </row>
    <row r="214" spans="1:7" x14ac:dyDescent="0.35">
      <c r="A214" s="22" t="s">
        <v>2549</v>
      </c>
      <c r="B214" s="22"/>
      <c r="C214" s="26">
        <v>45899</v>
      </c>
      <c r="D214" s="25">
        <v>34959</v>
      </c>
      <c r="E214" s="25" t="s">
        <v>1283</v>
      </c>
      <c r="F214" s="53" t="s">
        <v>3812</v>
      </c>
      <c r="G214" s="28">
        <v>0</v>
      </c>
    </row>
    <row r="215" spans="1:7" x14ac:dyDescent="0.35">
      <c r="A215" s="22" t="s">
        <v>2549</v>
      </c>
      <c r="B215" s="22"/>
      <c r="C215" s="26">
        <v>45899</v>
      </c>
      <c r="D215" s="25" t="s">
        <v>2826</v>
      </c>
      <c r="E215" s="25" t="s">
        <v>2079</v>
      </c>
      <c r="F215" s="53" t="s">
        <v>3812</v>
      </c>
      <c r="G215" s="28">
        <v>0</v>
      </c>
    </row>
    <row r="216" spans="1:7" x14ac:dyDescent="0.35">
      <c r="A216" s="22" t="s">
        <v>2549</v>
      </c>
      <c r="B216" s="22"/>
      <c r="C216" s="26">
        <v>45899</v>
      </c>
      <c r="D216" s="25" t="s">
        <v>2827</v>
      </c>
      <c r="E216" s="25" t="s">
        <v>1724</v>
      </c>
      <c r="F216" s="53" t="s">
        <v>3812</v>
      </c>
      <c r="G216" s="28">
        <v>0</v>
      </c>
    </row>
    <row r="217" spans="1:7" x14ac:dyDescent="0.35">
      <c r="A217" s="22" t="s">
        <v>2549</v>
      </c>
      <c r="B217" s="22"/>
      <c r="C217" s="26">
        <v>45899</v>
      </c>
      <c r="D217" s="25" t="s">
        <v>2828</v>
      </c>
      <c r="E217" s="25" t="s">
        <v>3132</v>
      </c>
      <c r="F217" s="53" t="s">
        <v>3812</v>
      </c>
      <c r="G217" s="28">
        <v>0</v>
      </c>
    </row>
    <row r="218" spans="1:7" x14ac:dyDescent="0.35">
      <c r="A218" s="22" t="s">
        <v>2549</v>
      </c>
      <c r="B218" s="22"/>
      <c r="C218" s="26">
        <v>45899</v>
      </c>
      <c r="D218" s="25" t="s">
        <v>2829</v>
      </c>
      <c r="E218" s="25" t="s">
        <v>1724</v>
      </c>
      <c r="F218" s="53" t="s">
        <v>3812</v>
      </c>
      <c r="G218" s="28">
        <v>0</v>
      </c>
    </row>
    <row r="219" spans="1:7" x14ac:dyDescent="0.35">
      <c r="A219" s="22" t="s">
        <v>2549</v>
      </c>
      <c r="B219" s="22"/>
      <c r="C219" s="26">
        <v>45899</v>
      </c>
      <c r="D219" s="25" t="s">
        <v>2830</v>
      </c>
      <c r="E219" s="25" t="s">
        <v>1724</v>
      </c>
      <c r="F219" s="53" t="s">
        <v>3812</v>
      </c>
      <c r="G219" s="28">
        <v>0</v>
      </c>
    </row>
    <row r="220" spans="1:7" x14ac:dyDescent="0.35">
      <c r="A220" s="22" t="s">
        <v>2549</v>
      </c>
      <c r="B220" s="22"/>
      <c r="C220" s="26">
        <v>45899</v>
      </c>
      <c r="D220" s="25" t="s">
        <v>2832</v>
      </c>
      <c r="E220" s="25" t="s">
        <v>1608</v>
      </c>
      <c r="F220" s="53" t="s">
        <v>3812</v>
      </c>
      <c r="G220" s="28">
        <v>0</v>
      </c>
    </row>
    <row r="221" spans="1:7" x14ac:dyDescent="0.35">
      <c r="A221" s="22" t="s">
        <v>2549</v>
      </c>
      <c r="B221" s="22"/>
      <c r="C221" s="26">
        <v>45899</v>
      </c>
      <c r="D221" s="25" t="s">
        <v>2833</v>
      </c>
      <c r="E221" s="25" t="s">
        <v>3139</v>
      </c>
      <c r="F221" s="53" t="s">
        <v>3812</v>
      </c>
      <c r="G221" s="28">
        <v>0</v>
      </c>
    </row>
    <row r="222" spans="1:7" x14ac:dyDescent="0.35">
      <c r="A222" s="22" t="s">
        <v>2549</v>
      </c>
      <c r="B222" s="22"/>
      <c r="C222" s="26">
        <v>45899</v>
      </c>
      <c r="D222" s="25" t="s">
        <v>2834</v>
      </c>
      <c r="E222" s="25" t="s">
        <v>3139</v>
      </c>
      <c r="F222" s="53" t="s">
        <v>3812</v>
      </c>
      <c r="G222" s="28">
        <v>0</v>
      </c>
    </row>
    <row r="223" spans="1:7" x14ac:dyDescent="0.35">
      <c r="A223" s="22" t="s">
        <v>2549</v>
      </c>
      <c r="B223" s="22"/>
      <c r="C223" s="26">
        <v>45899</v>
      </c>
      <c r="D223" s="25" t="s">
        <v>2835</v>
      </c>
      <c r="E223" s="25" t="s">
        <v>3144</v>
      </c>
      <c r="F223" s="53" t="s">
        <v>3812</v>
      </c>
      <c r="G223" s="28">
        <v>0</v>
      </c>
    </row>
    <row r="224" spans="1:7" x14ac:dyDescent="0.35">
      <c r="A224" s="22" t="s">
        <v>2549</v>
      </c>
      <c r="B224" s="22"/>
      <c r="C224" s="26">
        <v>45899</v>
      </c>
      <c r="D224" s="25" t="s">
        <v>2836</v>
      </c>
      <c r="E224" s="25" t="s">
        <v>3146</v>
      </c>
      <c r="F224" s="53" t="s">
        <v>3812</v>
      </c>
      <c r="G224" s="28">
        <v>267.47000000000003</v>
      </c>
    </row>
    <row r="225" spans="1:7" x14ac:dyDescent="0.35">
      <c r="A225" s="22" t="s">
        <v>2549</v>
      </c>
      <c r="B225" s="22"/>
      <c r="C225" s="26">
        <v>45899</v>
      </c>
      <c r="D225" s="25" t="s">
        <v>2837</v>
      </c>
      <c r="E225" s="25" t="s">
        <v>3148</v>
      </c>
      <c r="F225" s="53" t="s">
        <v>3812</v>
      </c>
      <c r="G225" s="28">
        <v>0</v>
      </c>
    </row>
    <row r="226" spans="1:7" x14ac:dyDescent="0.35">
      <c r="A226" s="22" t="s">
        <v>2549</v>
      </c>
      <c r="B226" s="22"/>
      <c r="C226" s="26">
        <v>45899</v>
      </c>
      <c r="D226" s="25" t="s">
        <v>2838</v>
      </c>
      <c r="E226" s="25" t="s">
        <v>3150</v>
      </c>
      <c r="F226" s="53" t="s">
        <v>3812</v>
      </c>
      <c r="G226" s="28">
        <v>0</v>
      </c>
    </row>
    <row r="227" spans="1:7" x14ac:dyDescent="0.35">
      <c r="A227" s="22" t="s">
        <v>2549</v>
      </c>
      <c r="B227" s="22"/>
      <c r="C227" s="26">
        <v>45899</v>
      </c>
      <c r="D227" s="25" t="s">
        <v>2839</v>
      </c>
      <c r="E227" s="25" t="s">
        <v>3153</v>
      </c>
      <c r="F227" s="53" t="s">
        <v>3812</v>
      </c>
      <c r="G227" s="28">
        <v>0</v>
      </c>
    </row>
    <row r="228" spans="1:7" x14ac:dyDescent="0.35">
      <c r="A228" s="22" t="s">
        <v>2549</v>
      </c>
      <c r="B228" s="22"/>
      <c r="C228" s="26">
        <v>45899</v>
      </c>
      <c r="D228" s="25" t="s">
        <v>2840</v>
      </c>
      <c r="E228" s="25" t="s">
        <v>3154</v>
      </c>
      <c r="F228" s="53" t="s">
        <v>3812</v>
      </c>
      <c r="G228" s="28">
        <v>0</v>
      </c>
    </row>
    <row r="229" spans="1:7" x14ac:dyDescent="0.35">
      <c r="A229" s="22" t="s">
        <v>2549</v>
      </c>
      <c r="B229" s="22"/>
      <c r="C229" s="26">
        <v>45899</v>
      </c>
      <c r="D229" s="25" t="s">
        <v>2841</v>
      </c>
      <c r="E229" s="25" t="s">
        <v>1920</v>
      </c>
      <c r="F229" s="53" t="s">
        <v>3812</v>
      </c>
      <c r="G229" s="28">
        <v>0</v>
      </c>
    </row>
    <row r="230" spans="1:7" x14ac:dyDescent="0.35">
      <c r="A230" s="22" t="s">
        <v>2549</v>
      </c>
      <c r="B230" s="22"/>
      <c r="C230" s="26">
        <v>45899</v>
      </c>
      <c r="D230" s="25" t="s">
        <v>2842</v>
      </c>
      <c r="E230" s="25" t="s">
        <v>1920</v>
      </c>
      <c r="F230" s="53" t="s">
        <v>3812</v>
      </c>
      <c r="G230" s="28">
        <v>0</v>
      </c>
    </row>
    <row r="231" spans="1:7" x14ac:dyDescent="0.35">
      <c r="A231" s="22" t="s">
        <v>2549</v>
      </c>
      <c r="B231" s="22"/>
      <c r="C231" s="26">
        <v>45899</v>
      </c>
      <c r="D231" s="25" t="s">
        <v>2843</v>
      </c>
      <c r="E231" s="25" t="s">
        <v>1920</v>
      </c>
      <c r="F231" s="53" t="s">
        <v>3812</v>
      </c>
      <c r="G231" s="28">
        <v>10.48</v>
      </c>
    </row>
    <row r="232" spans="1:7" x14ac:dyDescent="0.35">
      <c r="A232" s="22" t="s">
        <v>2549</v>
      </c>
      <c r="B232" s="22"/>
      <c r="C232" s="26">
        <v>45899</v>
      </c>
      <c r="D232" s="25" t="s">
        <v>2844</v>
      </c>
      <c r="E232" s="25" t="s">
        <v>1920</v>
      </c>
      <c r="F232" s="53" t="s">
        <v>3812</v>
      </c>
      <c r="G232" s="28">
        <v>0</v>
      </c>
    </row>
    <row r="233" spans="1:7" x14ac:dyDescent="0.35">
      <c r="A233" s="22" t="s">
        <v>2549</v>
      </c>
      <c r="B233" s="22"/>
      <c r="C233" s="26">
        <v>45899</v>
      </c>
      <c r="D233" s="25" t="s">
        <v>2845</v>
      </c>
      <c r="E233" s="25" t="s">
        <v>1920</v>
      </c>
      <c r="F233" s="53" t="s">
        <v>3812</v>
      </c>
      <c r="G233" s="28">
        <v>0</v>
      </c>
    </row>
    <row r="234" spans="1:7" x14ac:dyDescent="0.35">
      <c r="A234" s="22" t="s">
        <v>2549</v>
      </c>
      <c r="B234" s="22"/>
      <c r="C234" s="26">
        <v>45899</v>
      </c>
      <c r="D234" s="25" t="s">
        <v>2847</v>
      </c>
      <c r="E234" s="25" t="s">
        <v>1920</v>
      </c>
      <c r="F234" s="53" t="s">
        <v>3812</v>
      </c>
      <c r="G234" s="28">
        <v>0</v>
      </c>
    </row>
    <row r="235" spans="1:7" x14ac:dyDescent="0.35">
      <c r="A235" s="22" t="s">
        <v>2549</v>
      </c>
      <c r="B235" s="22"/>
      <c r="C235" s="26">
        <v>45899</v>
      </c>
      <c r="D235" s="25" t="s">
        <v>2848</v>
      </c>
      <c r="E235" s="25" t="s">
        <v>301</v>
      </c>
      <c r="F235" s="53" t="s">
        <v>3812</v>
      </c>
      <c r="G235" s="28">
        <v>0</v>
      </c>
    </row>
    <row r="236" spans="1:7" x14ac:dyDescent="0.35">
      <c r="A236" s="22" t="s">
        <v>2549</v>
      </c>
      <c r="B236" s="22"/>
      <c r="C236" s="26">
        <v>45899</v>
      </c>
      <c r="D236" s="25" t="s">
        <v>2849</v>
      </c>
      <c r="E236" s="25" t="s">
        <v>301</v>
      </c>
      <c r="F236" s="53" t="s">
        <v>3812</v>
      </c>
      <c r="G236" s="28">
        <v>0</v>
      </c>
    </row>
    <row r="237" spans="1:7" x14ac:dyDescent="0.35">
      <c r="A237" s="22" t="s">
        <v>2549</v>
      </c>
      <c r="B237" s="22"/>
      <c r="C237" s="26">
        <v>45899</v>
      </c>
      <c r="D237" s="25" t="s">
        <v>2850</v>
      </c>
      <c r="E237" s="25" t="s">
        <v>1782</v>
      </c>
      <c r="F237" s="53" t="s">
        <v>3812</v>
      </c>
      <c r="G237" s="28">
        <v>2201.64</v>
      </c>
    </row>
    <row r="238" spans="1:7" x14ac:dyDescent="0.35">
      <c r="A238" s="22" t="s">
        <v>2549</v>
      </c>
      <c r="B238" s="22"/>
      <c r="C238" s="26">
        <v>45899</v>
      </c>
      <c r="D238" s="25" t="s">
        <v>2851</v>
      </c>
      <c r="E238" s="25" t="s">
        <v>1223</v>
      </c>
      <c r="F238" s="53" t="s">
        <v>3812</v>
      </c>
      <c r="G238" s="28">
        <v>0</v>
      </c>
    </row>
    <row r="239" spans="1:7" x14ac:dyDescent="0.35">
      <c r="A239" s="22" t="s">
        <v>2549</v>
      </c>
      <c r="B239" s="22"/>
      <c r="C239" s="26">
        <v>45899</v>
      </c>
      <c r="D239" s="25" t="s">
        <v>2852</v>
      </c>
      <c r="E239" s="25" t="s">
        <v>1035</v>
      </c>
      <c r="F239" s="53" t="s">
        <v>3812</v>
      </c>
      <c r="G239" s="28">
        <v>0</v>
      </c>
    </row>
    <row r="240" spans="1:7" x14ac:dyDescent="0.35">
      <c r="A240" s="22" t="s">
        <v>2549</v>
      </c>
      <c r="B240" s="22"/>
      <c r="C240" s="26">
        <v>45899</v>
      </c>
      <c r="D240" s="25" t="s">
        <v>2853</v>
      </c>
      <c r="E240" s="25" t="s">
        <v>1035</v>
      </c>
      <c r="F240" s="53" t="s">
        <v>3812</v>
      </c>
      <c r="G240" s="28">
        <v>0</v>
      </c>
    </row>
    <row r="241" spans="1:7" x14ac:dyDescent="0.35">
      <c r="A241" s="22" t="s">
        <v>2549</v>
      </c>
      <c r="B241" s="22"/>
      <c r="C241" s="26">
        <v>45899</v>
      </c>
      <c r="D241" s="25" t="s">
        <v>2855</v>
      </c>
      <c r="E241" s="25" t="s">
        <v>1343</v>
      </c>
      <c r="F241" s="53" t="s">
        <v>3812</v>
      </c>
      <c r="G241" s="28">
        <v>0</v>
      </c>
    </row>
    <row r="242" spans="1:7" x14ac:dyDescent="0.35">
      <c r="A242" s="22" t="s">
        <v>2549</v>
      </c>
      <c r="B242" s="22"/>
      <c r="C242" s="26">
        <v>45899</v>
      </c>
      <c r="D242" s="25" t="s">
        <v>2856</v>
      </c>
      <c r="E242" s="25" t="s">
        <v>1343</v>
      </c>
      <c r="F242" s="53" t="s">
        <v>3812</v>
      </c>
      <c r="G242" s="28">
        <v>0</v>
      </c>
    </row>
    <row r="243" spans="1:7" x14ac:dyDescent="0.35">
      <c r="A243" s="22" t="s">
        <v>2549</v>
      </c>
      <c r="B243" s="22"/>
      <c r="C243" s="26">
        <v>45899</v>
      </c>
      <c r="D243" s="25" t="s">
        <v>2857</v>
      </c>
      <c r="E243" s="25" t="s">
        <v>1343</v>
      </c>
      <c r="F243" s="53" t="s">
        <v>3812</v>
      </c>
      <c r="G243" s="28">
        <v>0</v>
      </c>
    </row>
    <row r="244" spans="1:7" x14ac:dyDescent="0.35">
      <c r="A244" s="22" t="s">
        <v>2549</v>
      </c>
      <c r="B244" s="22"/>
      <c r="C244" s="26">
        <v>45899</v>
      </c>
      <c r="D244" s="25" t="s">
        <v>2858</v>
      </c>
      <c r="E244" s="25" t="s">
        <v>1223</v>
      </c>
      <c r="F244" s="53" t="s">
        <v>3812</v>
      </c>
      <c r="G244" s="28">
        <v>0</v>
      </c>
    </row>
    <row r="245" spans="1:7" x14ac:dyDescent="0.35">
      <c r="A245" s="22" t="s">
        <v>2549</v>
      </c>
      <c r="B245" s="22"/>
      <c r="C245" s="26">
        <v>45899</v>
      </c>
      <c r="D245" s="25" t="s">
        <v>2859</v>
      </c>
      <c r="E245" s="25" t="s">
        <v>1223</v>
      </c>
      <c r="F245" s="53" t="s">
        <v>3812</v>
      </c>
      <c r="G245" s="28">
        <v>0</v>
      </c>
    </row>
    <row r="246" spans="1:7" x14ac:dyDescent="0.35">
      <c r="A246" s="22" t="s">
        <v>2549</v>
      </c>
      <c r="B246" s="22"/>
      <c r="C246" s="26">
        <v>45899</v>
      </c>
      <c r="D246" s="25" t="s">
        <v>2860</v>
      </c>
      <c r="E246" s="25" t="s">
        <v>1663</v>
      </c>
      <c r="F246" s="53" t="s">
        <v>3812</v>
      </c>
      <c r="G246" s="28">
        <v>0</v>
      </c>
    </row>
    <row r="247" spans="1:7" x14ac:dyDescent="0.35">
      <c r="A247" s="22" t="s">
        <v>2549</v>
      </c>
      <c r="B247" s="22"/>
      <c r="C247" s="26">
        <v>45899</v>
      </c>
      <c r="D247" s="25" t="s">
        <v>2861</v>
      </c>
      <c r="E247" s="25" t="s">
        <v>1663</v>
      </c>
      <c r="F247" s="53" t="s">
        <v>3812</v>
      </c>
      <c r="G247" s="28">
        <v>0</v>
      </c>
    </row>
    <row r="248" spans="1:7" x14ac:dyDescent="0.35">
      <c r="A248" s="22" t="s">
        <v>2549</v>
      </c>
      <c r="B248" s="22"/>
      <c r="C248" s="26">
        <v>45899</v>
      </c>
      <c r="D248" s="25" t="s">
        <v>2862</v>
      </c>
      <c r="E248" s="25" t="s">
        <v>1757</v>
      </c>
      <c r="F248" s="53" t="s">
        <v>3812</v>
      </c>
      <c r="G248" s="28">
        <v>0</v>
      </c>
    </row>
    <row r="249" spans="1:7" x14ac:dyDescent="0.35">
      <c r="A249" s="22" t="s">
        <v>2549</v>
      </c>
      <c r="B249" s="22"/>
      <c r="C249" s="26">
        <v>45899</v>
      </c>
      <c r="D249" s="25" t="s">
        <v>2863</v>
      </c>
      <c r="E249" s="25" t="s">
        <v>1757</v>
      </c>
      <c r="F249" s="53" t="s">
        <v>3812</v>
      </c>
      <c r="G249" s="28">
        <v>0</v>
      </c>
    </row>
    <row r="250" spans="1:7" x14ac:dyDescent="0.35">
      <c r="A250" s="22" t="s">
        <v>2549</v>
      </c>
      <c r="B250" s="22"/>
      <c r="C250" s="26">
        <v>45899</v>
      </c>
      <c r="D250" s="25" t="s">
        <v>2864</v>
      </c>
      <c r="E250" s="25" t="s">
        <v>1757</v>
      </c>
      <c r="F250" s="53" t="s">
        <v>3812</v>
      </c>
      <c r="G250" s="28">
        <v>0</v>
      </c>
    </row>
    <row r="251" spans="1:7" x14ac:dyDescent="0.35">
      <c r="A251" s="22" t="s">
        <v>2549</v>
      </c>
      <c r="B251" s="22"/>
      <c r="C251" s="26">
        <v>45899</v>
      </c>
      <c r="D251" s="25" t="s">
        <v>2865</v>
      </c>
      <c r="E251" s="25" t="s">
        <v>1757</v>
      </c>
      <c r="F251" s="53" t="s">
        <v>3812</v>
      </c>
      <c r="G251" s="28">
        <v>0</v>
      </c>
    </row>
    <row r="252" spans="1:7" x14ac:dyDescent="0.35">
      <c r="A252" s="22" t="s">
        <v>2549</v>
      </c>
      <c r="B252" s="22"/>
      <c r="C252" s="26">
        <v>45899</v>
      </c>
      <c r="D252" s="25" t="s">
        <v>2866</v>
      </c>
      <c r="E252" s="25" t="s">
        <v>1757</v>
      </c>
      <c r="F252" s="53" t="s">
        <v>3812</v>
      </c>
      <c r="G252" s="28">
        <v>0</v>
      </c>
    </row>
    <row r="253" spans="1:7" x14ac:dyDescent="0.35">
      <c r="A253" s="22" t="s">
        <v>2549</v>
      </c>
      <c r="B253" s="22"/>
      <c r="C253" s="26">
        <v>45899</v>
      </c>
      <c r="D253" s="25" t="s">
        <v>2867</v>
      </c>
      <c r="E253" s="25" t="s">
        <v>1757</v>
      </c>
      <c r="F253" s="53" t="s">
        <v>3812</v>
      </c>
      <c r="G253" s="28">
        <v>0</v>
      </c>
    </row>
    <row r="254" spans="1:7" x14ac:dyDescent="0.35">
      <c r="A254" s="22" t="s">
        <v>2549</v>
      </c>
      <c r="B254" s="22"/>
      <c r="C254" s="26">
        <v>45899</v>
      </c>
      <c r="D254" s="25" t="s">
        <v>2868</v>
      </c>
      <c r="E254" s="25" t="s">
        <v>3212</v>
      </c>
      <c r="F254" s="53" t="s">
        <v>3812</v>
      </c>
      <c r="G254" s="28">
        <v>0</v>
      </c>
    </row>
    <row r="255" spans="1:7" x14ac:dyDescent="0.35">
      <c r="A255" s="22" t="s">
        <v>2549</v>
      </c>
      <c r="B255" s="22"/>
      <c r="C255" s="26">
        <v>45899</v>
      </c>
      <c r="D255" s="25" t="s">
        <v>2869</v>
      </c>
      <c r="E255" s="25" t="s">
        <v>3218</v>
      </c>
      <c r="F255" s="53" t="s">
        <v>3812</v>
      </c>
      <c r="G255" s="28">
        <v>0</v>
      </c>
    </row>
    <row r="256" spans="1:7" x14ac:dyDescent="0.35">
      <c r="A256" s="22" t="s">
        <v>2549</v>
      </c>
      <c r="B256" s="22"/>
      <c r="C256" s="26">
        <v>45899</v>
      </c>
      <c r="D256" s="25" t="s">
        <v>2870</v>
      </c>
      <c r="E256" s="25" t="s">
        <v>3218</v>
      </c>
      <c r="F256" s="53" t="s">
        <v>3812</v>
      </c>
      <c r="G256" s="28">
        <v>0</v>
      </c>
    </row>
    <row r="257" spans="1:7" x14ac:dyDescent="0.35">
      <c r="A257" s="22" t="s">
        <v>2549</v>
      </c>
      <c r="B257" s="22"/>
      <c r="C257" s="26">
        <v>45899</v>
      </c>
      <c r="D257" s="25" t="s">
        <v>2871</v>
      </c>
      <c r="E257" s="25" t="s">
        <v>2926</v>
      </c>
      <c r="F257" s="53" t="s">
        <v>3812</v>
      </c>
      <c r="G257" s="28">
        <v>0</v>
      </c>
    </row>
    <row r="258" spans="1:7" x14ac:dyDescent="0.35">
      <c r="A258" s="22" t="s">
        <v>2549</v>
      </c>
      <c r="B258" s="22"/>
      <c r="C258" s="26">
        <v>45899</v>
      </c>
      <c r="D258" s="25" t="s">
        <v>2872</v>
      </c>
      <c r="E258" s="25" t="s">
        <v>2514</v>
      </c>
      <c r="F258" s="53" t="s">
        <v>3812</v>
      </c>
      <c r="G258" s="28">
        <v>0</v>
      </c>
    </row>
    <row r="259" spans="1:7" x14ac:dyDescent="0.35">
      <c r="A259" s="22" t="s">
        <v>2549</v>
      </c>
      <c r="B259" s="22"/>
      <c r="C259" s="26">
        <v>45899</v>
      </c>
      <c r="D259" s="25" t="s">
        <v>2873</v>
      </c>
      <c r="E259" s="25" t="s">
        <v>1035</v>
      </c>
      <c r="F259" s="53" t="s">
        <v>3812</v>
      </c>
      <c r="G259" s="28">
        <v>0</v>
      </c>
    </row>
    <row r="260" spans="1:7" x14ac:dyDescent="0.35">
      <c r="A260" s="22" t="s">
        <v>2549</v>
      </c>
      <c r="B260" s="22"/>
      <c r="C260" s="26">
        <v>45899</v>
      </c>
      <c r="D260" s="25" t="s">
        <v>2874</v>
      </c>
      <c r="E260" s="25" t="s">
        <v>1035</v>
      </c>
      <c r="F260" s="53" t="s">
        <v>3812</v>
      </c>
      <c r="G260" s="28">
        <v>0</v>
      </c>
    </row>
    <row r="261" spans="1:7" x14ac:dyDescent="0.35">
      <c r="A261" s="22" t="s">
        <v>2549</v>
      </c>
      <c r="B261" s="22"/>
      <c r="C261" s="26">
        <v>45899</v>
      </c>
      <c r="D261" s="25" t="s">
        <v>2875</v>
      </c>
      <c r="E261" s="25" t="s">
        <v>1035</v>
      </c>
      <c r="F261" s="53" t="s">
        <v>3812</v>
      </c>
      <c r="G261" s="28">
        <v>0</v>
      </c>
    </row>
    <row r="262" spans="1:7" x14ac:dyDescent="0.35">
      <c r="A262" s="22" t="s">
        <v>2549</v>
      </c>
      <c r="B262" s="22"/>
      <c r="C262" s="26">
        <v>45899</v>
      </c>
      <c r="D262" s="25" t="s">
        <v>2876</v>
      </c>
      <c r="E262" s="25" t="s">
        <v>1035</v>
      </c>
      <c r="F262" s="53" t="s">
        <v>3812</v>
      </c>
      <c r="G262" s="28">
        <v>7.63</v>
      </c>
    </row>
    <row r="263" spans="1:7" x14ac:dyDescent="0.35">
      <c r="A263" s="22" t="s">
        <v>2549</v>
      </c>
      <c r="B263" s="22"/>
      <c r="C263" s="26">
        <v>45899</v>
      </c>
      <c r="D263" s="25" t="s">
        <v>2877</v>
      </c>
      <c r="E263" s="25" t="s">
        <v>1035</v>
      </c>
      <c r="F263" s="53" t="s">
        <v>3812</v>
      </c>
      <c r="G263" s="28">
        <v>0</v>
      </c>
    </row>
    <row r="264" spans="1:7" x14ac:dyDescent="0.35">
      <c r="A264" s="22" t="s">
        <v>2549</v>
      </c>
      <c r="B264" s="22"/>
      <c r="C264" s="26">
        <v>45899</v>
      </c>
      <c r="D264" s="25" t="s">
        <v>2878</v>
      </c>
      <c r="E264" s="25" t="s">
        <v>1035</v>
      </c>
      <c r="F264" s="53" t="s">
        <v>3812</v>
      </c>
      <c r="G264" s="28">
        <v>0</v>
      </c>
    </row>
    <row r="265" spans="1:7" x14ac:dyDescent="0.35">
      <c r="A265" s="22" t="s">
        <v>2549</v>
      </c>
      <c r="B265" s="22"/>
      <c r="C265" s="26">
        <v>45899</v>
      </c>
      <c r="D265" s="25" t="s">
        <v>2879</v>
      </c>
      <c r="E265" s="25" t="s">
        <v>1035</v>
      </c>
      <c r="F265" s="53" t="s">
        <v>3812</v>
      </c>
      <c r="G265" s="28">
        <v>0</v>
      </c>
    </row>
    <row r="266" spans="1:7" x14ac:dyDescent="0.35">
      <c r="A266" s="22" t="s">
        <v>2549</v>
      </c>
      <c r="B266" s="22"/>
      <c r="C266" s="26">
        <v>45899</v>
      </c>
      <c r="D266" s="25" t="s">
        <v>2880</v>
      </c>
      <c r="E266" s="25" t="s">
        <v>1035</v>
      </c>
      <c r="F266" s="53" t="s">
        <v>3812</v>
      </c>
      <c r="G266" s="28">
        <v>0</v>
      </c>
    </row>
    <row r="267" spans="1:7" x14ac:dyDescent="0.35">
      <c r="A267" s="22" t="s">
        <v>2549</v>
      </c>
      <c r="B267" s="22"/>
      <c r="C267" s="26">
        <v>45899</v>
      </c>
      <c r="D267" s="25" t="s">
        <v>2881</v>
      </c>
      <c r="E267" s="25" t="s">
        <v>1035</v>
      </c>
      <c r="F267" s="53" t="s">
        <v>3812</v>
      </c>
      <c r="G267" s="28">
        <v>0</v>
      </c>
    </row>
    <row r="268" spans="1:7" x14ac:dyDescent="0.35">
      <c r="A268" s="22" t="s">
        <v>2549</v>
      </c>
      <c r="B268" s="22"/>
      <c r="C268" s="26">
        <v>45899</v>
      </c>
      <c r="D268" s="25" t="s">
        <v>2882</v>
      </c>
      <c r="E268" s="25" t="s">
        <v>3230</v>
      </c>
      <c r="F268" s="53" t="s">
        <v>3812</v>
      </c>
      <c r="G268" s="28">
        <v>0</v>
      </c>
    </row>
    <row r="269" spans="1:7" x14ac:dyDescent="0.35">
      <c r="A269" s="22" t="s">
        <v>2549</v>
      </c>
      <c r="B269" s="22"/>
      <c r="C269" s="26">
        <v>45899</v>
      </c>
      <c r="D269" s="25" t="s">
        <v>2883</v>
      </c>
      <c r="E269" s="25" t="s">
        <v>2144</v>
      </c>
      <c r="F269" s="53" t="s">
        <v>3812</v>
      </c>
      <c r="G269" s="28">
        <v>0</v>
      </c>
    </row>
    <row r="270" spans="1:7" x14ac:dyDescent="0.35">
      <c r="A270" s="22" t="s">
        <v>2549</v>
      </c>
      <c r="B270" s="22"/>
      <c r="C270" s="26">
        <v>45899</v>
      </c>
      <c r="D270" s="25" t="s">
        <v>2884</v>
      </c>
      <c r="E270" s="25" t="s">
        <v>2144</v>
      </c>
      <c r="F270" s="53" t="s">
        <v>3812</v>
      </c>
      <c r="G270" s="28">
        <v>0</v>
      </c>
    </row>
    <row r="271" spans="1:7" x14ac:dyDescent="0.35">
      <c r="A271" s="22" t="s">
        <v>2549</v>
      </c>
      <c r="B271" s="22"/>
      <c r="C271" s="26">
        <v>45899</v>
      </c>
      <c r="D271" s="25" t="s">
        <v>2885</v>
      </c>
      <c r="E271" s="25" t="s">
        <v>2144</v>
      </c>
      <c r="F271" s="53" t="s">
        <v>3812</v>
      </c>
      <c r="G271" s="28">
        <v>0</v>
      </c>
    </row>
    <row r="272" spans="1:7" x14ac:dyDescent="0.35">
      <c r="A272" s="22" t="s">
        <v>2549</v>
      </c>
      <c r="B272" s="22"/>
      <c r="C272" s="26">
        <v>45899</v>
      </c>
      <c r="D272" s="25" t="s">
        <v>2886</v>
      </c>
      <c r="E272" s="25" t="s">
        <v>2144</v>
      </c>
      <c r="F272" s="53" t="s">
        <v>3812</v>
      </c>
      <c r="G272" s="28">
        <v>0</v>
      </c>
    </row>
    <row r="273" spans="1:7" x14ac:dyDescent="0.35">
      <c r="A273" s="22" t="s">
        <v>2549</v>
      </c>
      <c r="B273" s="22"/>
      <c r="C273" s="26">
        <v>45899</v>
      </c>
      <c r="D273" s="25" t="s">
        <v>2887</v>
      </c>
      <c r="E273" s="25" t="s">
        <v>2144</v>
      </c>
      <c r="F273" s="53" t="s">
        <v>3812</v>
      </c>
      <c r="G273" s="28">
        <v>0</v>
      </c>
    </row>
    <row r="274" spans="1:7" x14ac:dyDescent="0.35">
      <c r="A274" s="22" t="s">
        <v>2549</v>
      </c>
      <c r="B274" s="22"/>
      <c r="C274" s="26">
        <v>45899</v>
      </c>
      <c r="D274" s="25" t="s">
        <v>2888</v>
      </c>
      <c r="E274" s="25" t="s">
        <v>2539</v>
      </c>
      <c r="F274" s="53" t="s">
        <v>3812</v>
      </c>
      <c r="G274" s="28">
        <v>0</v>
      </c>
    </row>
    <row r="275" spans="1:7" x14ac:dyDescent="0.35">
      <c r="A275" s="22" t="s">
        <v>2549</v>
      </c>
      <c r="B275" s="22"/>
      <c r="C275" s="26">
        <v>45899</v>
      </c>
      <c r="D275" s="25" t="s">
        <v>2889</v>
      </c>
      <c r="E275" s="25" t="s">
        <v>2539</v>
      </c>
      <c r="F275" s="53" t="s">
        <v>3812</v>
      </c>
      <c r="G275" s="28">
        <v>0</v>
      </c>
    </row>
    <row r="276" spans="1:7" x14ac:dyDescent="0.35">
      <c r="A276" s="22" t="s">
        <v>2549</v>
      </c>
      <c r="B276" s="22"/>
      <c r="C276" s="26">
        <v>45899</v>
      </c>
      <c r="D276" s="25" t="s">
        <v>2890</v>
      </c>
      <c r="E276" s="25" t="s">
        <v>2539</v>
      </c>
      <c r="F276" s="53" t="s">
        <v>3812</v>
      </c>
      <c r="G276" s="28">
        <v>0</v>
      </c>
    </row>
    <row r="277" spans="1:7" x14ac:dyDescent="0.35">
      <c r="A277" s="22" t="s">
        <v>2549</v>
      </c>
      <c r="B277" s="22"/>
      <c r="C277" s="26">
        <v>45899</v>
      </c>
      <c r="D277" s="25" t="s">
        <v>2891</v>
      </c>
      <c r="E277" s="25" t="s">
        <v>1071</v>
      </c>
      <c r="F277" s="53" t="s">
        <v>3812</v>
      </c>
      <c r="G277" s="28">
        <v>0</v>
      </c>
    </row>
    <row r="278" spans="1:7" x14ac:dyDescent="0.35">
      <c r="A278" s="22" t="s">
        <v>2549</v>
      </c>
      <c r="B278" s="22"/>
      <c r="C278" s="26">
        <v>45899</v>
      </c>
      <c r="D278" s="25" t="s">
        <v>2893</v>
      </c>
      <c r="E278" s="25" t="s">
        <v>1060</v>
      </c>
      <c r="F278" s="53" t="s">
        <v>3812</v>
      </c>
      <c r="G278" s="28">
        <v>0</v>
      </c>
    </row>
    <row r="279" spans="1:7" x14ac:dyDescent="0.35">
      <c r="A279" s="22" t="s">
        <v>2549</v>
      </c>
      <c r="B279" s="22"/>
      <c r="C279" s="26">
        <v>45899</v>
      </c>
      <c r="D279" s="25" t="s">
        <v>2895</v>
      </c>
      <c r="E279" s="25" t="s">
        <v>2144</v>
      </c>
      <c r="F279" s="53" t="s">
        <v>3812</v>
      </c>
      <c r="G279" s="28">
        <v>0</v>
      </c>
    </row>
    <row r="280" spans="1:7" x14ac:dyDescent="0.35">
      <c r="A280" s="22" t="s">
        <v>2549</v>
      </c>
      <c r="B280" s="22"/>
      <c r="C280" s="26">
        <v>45899</v>
      </c>
      <c r="D280" s="25" t="s">
        <v>2896</v>
      </c>
      <c r="E280" s="25" t="s">
        <v>1060</v>
      </c>
      <c r="F280" s="53" t="s">
        <v>3812</v>
      </c>
      <c r="G280" s="28">
        <v>0</v>
      </c>
    </row>
    <row r="281" spans="1:7" x14ac:dyDescent="0.35">
      <c r="A281" s="22" t="s">
        <v>2549</v>
      </c>
      <c r="B281" s="22"/>
      <c r="C281" s="26">
        <v>45899</v>
      </c>
      <c r="D281" s="25" t="s">
        <v>2897</v>
      </c>
      <c r="E281" s="25" t="s">
        <v>1999</v>
      </c>
      <c r="F281" s="53" t="s">
        <v>3812</v>
      </c>
      <c r="G281" s="28">
        <v>0</v>
      </c>
    </row>
    <row r="282" spans="1:7" x14ac:dyDescent="0.35">
      <c r="A282" s="22" t="s">
        <v>2549</v>
      </c>
      <c r="B282" s="22"/>
      <c r="C282" s="26">
        <v>45899</v>
      </c>
      <c r="D282" s="25" t="s">
        <v>2898</v>
      </c>
      <c r="E282" s="25" t="s">
        <v>1999</v>
      </c>
      <c r="F282" s="53" t="s">
        <v>3812</v>
      </c>
      <c r="G282" s="28">
        <v>0</v>
      </c>
    </row>
    <row r="283" spans="1:7" x14ac:dyDescent="0.35">
      <c r="A283" s="22" t="s">
        <v>2549</v>
      </c>
      <c r="B283" s="22"/>
      <c r="C283" s="26">
        <v>45899</v>
      </c>
      <c r="D283" s="25" t="s">
        <v>2899</v>
      </c>
      <c r="E283" s="25" t="s">
        <v>1999</v>
      </c>
      <c r="F283" s="53" t="s">
        <v>3812</v>
      </c>
      <c r="G283" s="28">
        <v>0</v>
      </c>
    </row>
    <row r="284" spans="1:7" x14ac:dyDescent="0.35">
      <c r="A284" s="22" t="s">
        <v>2549</v>
      </c>
      <c r="B284" s="22"/>
      <c r="C284" s="26">
        <v>45899</v>
      </c>
      <c r="D284" s="25" t="s">
        <v>2900</v>
      </c>
      <c r="E284" s="25" t="s">
        <v>2396</v>
      </c>
      <c r="F284" s="53" t="s">
        <v>3812</v>
      </c>
      <c r="G284" s="28">
        <v>107465.38</v>
      </c>
    </row>
    <row r="285" spans="1:7" x14ac:dyDescent="0.35">
      <c r="A285" s="22" t="s">
        <v>2549</v>
      </c>
      <c r="B285" s="22"/>
      <c r="C285" s="26">
        <v>45899</v>
      </c>
      <c r="D285" s="25" t="s">
        <v>2901</v>
      </c>
      <c r="E285" s="25" t="s">
        <v>2348</v>
      </c>
      <c r="F285" s="53" t="s">
        <v>3812</v>
      </c>
      <c r="G285" s="28">
        <v>0</v>
      </c>
    </row>
    <row r="286" spans="1:7" x14ac:dyDescent="0.35">
      <c r="A286" s="22" t="s">
        <v>2549</v>
      </c>
      <c r="B286" s="22"/>
      <c r="C286" s="26">
        <v>45899</v>
      </c>
      <c r="D286" s="25" t="s">
        <v>2902</v>
      </c>
      <c r="E286" s="25" t="s">
        <v>1475</v>
      </c>
      <c r="F286" s="53" t="s">
        <v>3812</v>
      </c>
      <c r="G286" s="28">
        <v>571.46</v>
      </c>
    </row>
    <row r="287" spans="1:7" x14ac:dyDescent="0.35">
      <c r="A287" s="22" t="s">
        <v>2549</v>
      </c>
      <c r="B287" s="22"/>
      <c r="C287" s="26">
        <v>45899</v>
      </c>
      <c r="D287" s="25" t="s">
        <v>2903</v>
      </c>
      <c r="E287" s="25" t="s">
        <v>1475</v>
      </c>
      <c r="F287" s="53" t="s">
        <v>3812</v>
      </c>
      <c r="G287" s="28">
        <v>0</v>
      </c>
    </row>
    <row r="288" spans="1:7" x14ac:dyDescent="0.35">
      <c r="A288" s="22" t="s">
        <v>2549</v>
      </c>
      <c r="B288" s="22"/>
      <c r="C288" s="26">
        <v>45899</v>
      </c>
      <c r="D288" s="25" t="s">
        <v>2905</v>
      </c>
      <c r="E288" s="25" t="s">
        <v>1475</v>
      </c>
      <c r="F288" s="53" t="s">
        <v>3812</v>
      </c>
      <c r="G288" s="28">
        <v>1700.81</v>
      </c>
    </row>
    <row r="289" spans="1:7" x14ac:dyDescent="0.35">
      <c r="A289" s="22" t="s">
        <v>2549</v>
      </c>
      <c r="B289" s="22"/>
      <c r="C289" s="26">
        <v>45899</v>
      </c>
      <c r="D289" s="25" t="s">
        <v>2907</v>
      </c>
      <c r="E289" s="25" t="s">
        <v>1475</v>
      </c>
      <c r="F289" s="53" t="s">
        <v>3812</v>
      </c>
      <c r="G289" s="28">
        <v>0</v>
      </c>
    </row>
    <row r="290" spans="1:7" x14ac:dyDescent="0.35">
      <c r="A290" s="22" t="s">
        <v>2549</v>
      </c>
      <c r="B290" s="22"/>
      <c r="C290" s="26">
        <v>45899</v>
      </c>
      <c r="D290" s="25" t="s">
        <v>2908</v>
      </c>
      <c r="E290" s="25" t="s">
        <v>1475</v>
      </c>
      <c r="F290" s="53" t="s">
        <v>3812</v>
      </c>
      <c r="G290" s="28">
        <v>5696.98</v>
      </c>
    </row>
    <row r="291" spans="1:7" x14ac:dyDescent="0.35">
      <c r="A291" s="22" t="s">
        <v>2549</v>
      </c>
      <c r="B291" s="22"/>
      <c r="C291" s="26">
        <v>45899</v>
      </c>
      <c r="D291" s="25" t="s">
        <v>2909</v>
      </c>
      <c r="E291" s="25" t="s">
        <v>1475</v>
      </c>
      <c r="F291" s="53" t="s">
        <v>3812</v>
      </c>
      <c r="G291" s="28">
        <v>0</v>
      </c>
    </row>
    <row r="292" spans="1:7" x14ac:dyDescent="0.35">
      <c r="A292" s="22" t="s">
        <v>2549</v>
      </c>
      <c r="B292" s="22"/>
      <c r="C292" s="26">
        <v>45899</v>
      </c>
      <c r="D292" s="25" t="s">
        <v>2910</v>
      </c>
      <c r="E292" s="25" t="s">
        <v>1475</v>
      </c>
      <c r="F292" s="53" t="s">
        <v>3812</v>
      </c>
      <c r="G292" s="28">
        <v>0</v>
      </c>
    </row>
    <row r="293" spans="1:7" x14ac:dyDescent="0.35">
      <c r="A293" s="22" t="s">
        <v>2549</v>
      </c>
      <c r="B293" s="22"/>
      <c r="C293" s="26">
        <v>45899</v>
      </c>
      <c r="D293" s="25" t="s">
        <v>2911</v>
      </c>
      <c r="E293" s="25" t="s">
        <v>1475</v>
      </c>
      <c r="F293" s="53" t="s">
        <v>3812</v>
      </c>
      <c r="G293" s="28">
        <v>13261.26</v>
      </c>
    </row>
    <row r="294" spans="1:7" x14ac:dyDescent="0.35">
      <c r="A294" s="22" t="s">
        <v>2549</v>
      </c>
      <c r="B294" s="22"/>
      <c r="C294" s="26">
        <v>45899</v>
      </c>
      <c r="D294" s="25" t="s">
        <v>2912</v>
      </c>
      <c r="E294" s="25" t="s">
        <v>1475</v>
      </c>
      <c r="F294" s="53" t="s">
        <v>3812</v>
      </c>
      <c r="G294" s="28">
        <v>11728.64</v>
      </c>
    </row>
    <row r="295" spans="1:7" x14ac:dyDescent="0.35">
      <c r="A295" s="22" t="s">
        <v>2549</v>
      </c>
      <c r="B295" s="22"/>
      <c r="C295" s="26">
        <v>45899</v>
      </c>
      <c r="D295" s="25" t="s">
        <v>2913</v>
      </c>
      <c r="E295" s="25" t="s">
        <v>1475</v>
      </c>
      <c r="F295" s="53" t="s">
        <v>3812</v>
      </c>
      <c r="G295" s="28">
        <v>0</v>
      </c>
    </row>
    <row r="296" spans="1:7" x14ac:dyDescent="0.35">
      <c r="A296" s="22" t="s">
        <v>2549</v>
      </c>
      <c r="B296" s="22"/>
      <c r="C296" s="26">
        <v>45899</v>
      </c>
      <c r="D296" s="25" t="s">
        <v>2914</v>
      </c>
      <c r="E296" s="25" t="s">
        <v>1475</v>
      </c>
      <c r="F296" s="53" t="s">
        <v>3812</v>
      </c>
      <c r="G296" s="28">
        <v>1480.01</v>
      </c>
    </row>
    <row r="297" spans="1:7" x14ac:dyDescent="0.35">
      <c r="A297" s="22" t="s">
        <v>2549</v>
      </c>
      <c r="B297" s="22"/>
      <c r="C297" s="26">
        <v>45899</v>
      </c>
      <c r="D297" s="25" t="s">
        <v>2915</v>
      </c>
      <c r="E297" s="25" t="s">
        <v>1475</v>
      </c>
      <c r="F297" s="53" t="s">
        <v>3812</v>
      </c>
      <c r="G297" s="28">
        <v>0</v>
      </c>
    </row>
    <row r="298" spans="1:7" x14ac:dyDescent="0.35">
      <c r="A298" s="22" t="s">
        <v>2549</v>
      </c>
      <c r="B298" s="22"/>
      <c r="C298" s="26">
        <v>45899</v>
      </c>
      <c r="D298" s="25" t="s">
        <v>2916</v>
      </c>
      <c r="E298" s="25" t="s">
        <v>1475</v>
      </c>
      <c r="F298" s="53" t="s">
        <v>3812</v>
      </c>
      <c r="G298" s="28">
        <v>29501.14</v>
      </c>
    </row>
    <row r="299" spans="1:7" x14ac:dyDescent="0.35">
      <c r="A299" s="22" t="s">
        <v>2549</v>
      </c>
      <c r="B299" s="22"/>
      <c r="C299" s="26">
        <v>45899</v>
      </c>
      <c r="D299" s="25" t="s">
        <v>2917</v>
      </c>
      <c r="E299" s="25" t="s">
        <v>1475</v>
      </c>
      <c r="F299" s="53" t="s">
        <v>3812</v>
      </c>
      <c r="G299" s="28">
        <v>0</v>
      </c>
    </row>
    <row r="300" spans="1:7" x14ac:dyDescent="0.35">
      <c r="A300" s="22" t="s">
        <v>2549</v>
      </c>
      <c r="B300" s="22"/>
      <c r="C300" s="26">
        <v>45899</v>
      </c>
      <c r="D300" s="25" t="s">
        <v>2918</v>
      </c>
      <c r="E300" s="25" t="s">
        <v>1475</v>
      </c>
      <c r="F300" s="53" t="s">
        <v>3812</v>
      </c>
      <c r="G300" s="28">
        <v>16583</v>
      </c>
    </row>
    <row r="301" spans="1:7" x14ac:dyDescent="0.35">
      <c r="A301" s="22" t="s">
        <v>2549</v>
      </c>
      <c r="B301" s="22"/>
      <c r="C301" s="26">
        <v>45899</v>
      </c>
      <c r="D301" s="25" t="s">
        <v>2919</v>
      </c>
      <c r="E301" s="25" t="s">
        <v>1475</v>
      </c>
      <c r="F301" s="53" t="s">
        <v>3812</v>
      </c>
      <c r="G301" s="28">
        <v>14094.32</v>
      </c>
    </row>
    <row r="302" spans="1:7" x14ac:dyDescent="0.35">
      <c r="A302" s="22" t="s">
        <v>2549</v>
      </c>
      <c r="B302" s="22"/>
      <c r="C302" s="26">
        <v>45899</v>
      </c>
      <c r="D302" s="25" t="s">
        <v>2920</v>
      </c>
      <c r="E302" s="25" t="s">
        <v>1475</v>
      </c>
      <c r="F302" s="53" t="s">
        <v>3812</v>
      </c>
      <c r="G302" s="28">
        <v>0</v>
      </c>
    </row>
    <row r="303" spans="1:7" x14ac:dyDescent="0.35">
      <c r="A303" s="22" t="s">
        <v>2549</v>
      </c>
      <c r="B303" s="22"/>
      <c r="C303" s="26">
        <v>45899</v>
      </c>
      <c r="D303" s="25" t="s">
        <v>2922</v>
      </c>
      <c r="E303" s="25" t="s">
        <v>1475</v>
      </c>
      <c r="F303" s="53" t="s">
        <v>3812</v>
      </c>
      <c r="G303" s="28">
        <v>0</v>
      </c>
    </row>
    <row r="304" spans="1:7" x14ac:dyDescent="0.35">
      <c r="A304" s="22" t="s">
        <v>2549</v>
      </c>
      <c r="B304" s="22"/>
      <c r="C304" s="26">
        <v>45899</v>
      </c>
      <c r="D304" s="25" t="s">
        <v>2924</v>
      </c>
      <c r="E304" s="25" t="s">
        <v>1475</v>
      </c>
      <c r="F304" s="53" t="s">
        <v>3812</v>
      </c>
      <c r="G304" s="28">
        <v>1597.8899999999999</v>
      </c>
    </row>
    <row r="305" spans="1:7" x14ac:dyDescent="0.35">
      <c r="A305" s="22" t="s">
        <v>2549</v>
      </c>
      <c r="B305" s="22"/>
      <c r="C305" s="26">
        <v>45899</v>
      </c>
      <c r="D305" s="25" t="s">
        <v>2925</v>
      </c>
      <c r="E305" s="25" t="s">
        <v>1475</v>
      </c>
      <c r="F305" s="53" t="s">
        <v>3812</v>
      </c>
      <c r="G305" s="28">
        <v>0</v>
      </c>
    </row>
    <row r="306" spans="1:7" x14ac:dyDescent="0.35">
      <c r="A306" s="22" t="s">
        <v>2549</v>
      </c>
      <c r="B306" s="22"/>
      <c r="C306" s="26">
        <v>45899</v>
      </c>
      <c r="D306" s="25">
        <v>35818</v>
      </c>
      <c r="E306" s="25" t="s">
        <v>1277</v>
      </c>
      <c r="F306" s="53" t="s">
        <v>3812</v>
      </c>
      <c r="G306" s="28">
        <v>0</v>
      </c>
    </row>
    <row r="307" spans="1:7" x14ac:dyDescent="0.35">
      <c r="A307" s="22" t="s">
        <v>2549</v>
      </c>
      <c r="B307" s="22"/>
      <c r="C307" s="26">
        <v>45899</v>
      </c>
      <c r="D307" s="25" t="s">
        <v>2927</v>
      </c>
      <c r="E307" s="25" t="s">
        <v>1277</v>
      </c>
      <c r="F307" s="53" t="s">
        <v>3812</v>
      </c>
      <c r="G307" s="28">
        <v>0</v>
      </c>
    </row>
    <row r="308" spans="1:7" x14ac:dyDescent="0.35">
      <c r="A308" s="22" t="s">
        <v>2549</v>
      </c>
      <c r="B308" s="22"/>
      <c r="C308" s="26">
        <v>45899</v>
      </c>
      <c r="D308" s="25" t="s">
        <v>2928</v>
      </c>
      <c r="E308" s="25" t="s">
        <v>1947</v>
      </c>
      <c r="F308" s="53" t="s">
        <v>3812</v>
      </c>
      <c r="G308" s="28">
        <v>0</v>
      </c>
    </row>
    <row r="309" spans="1:7" x14ac:dyDescent="0.35">
      <c r="A309" s="22" t="s">
        <v>2549</v>
      </c>
      <c r="B309" s="22"/>
      <c r="C309" s="26">
        <v>45899</v>
      </c>
      <c r="D309" s="25" t="s">
        <v>2929</v>
      </c>
      <c r="E309" s="25" t="s">
        <v>1947</v>
      </c>
      <c r="F309" s="53" t="s">
        <v>3812</v>
      </c>
      <c r="G309" s="28">
        <v>0</v>
      </c>
    </row>
    <row r="310" spans="1:7" x14ac:dyDescent="0.35">
      <c r="A310" s="22" t="s">
        <v>2549</v>
      </c>
      <c r="B310" s="22"/>
      <c r="C310" s="26">
        <v>45899</v>
      </c>
      <c r="D310" s="25" t="s">
        <v>2930</v>
      </c>
      <c r="E310" s="25" t="s">
        <v>1947</v>
      </c>
      <c r="F310" s="53" t="s">
        <v>3812</v>
      </c>
      <c r="G310" s="28">
        <v>0</v>
      </c>
    </row>
    <row r="311" spans="1:7" x14ac:dyDescent="0.35">
      <c r="A311" s="22" t="s">
        <v>2549</v>
      </c>
      <c r="B311" s="22"/>
      <c r="C311" s="26">
        <v>45899</v>
      </c>
      <c r="D311" s="25" t="s">
        <v>2932</v>
      </c>
      <c r="E311" s="25" t="s">
        <v>1947</v>
      </c>
      <c r="F311" s="53" t="s">
        <v>3812</v>
      </c>
      <c r="G311" s="28">
        <v>0</v>
      </c>
    </row>
    <row r="312" spans="1:7" x14ac:dyDescent="0.35">
      <c r="A312" s="22" t="s">
        <v>2549</v>
      </c>
      <c r="B312" s="22"/>
      <c r="C312" s="26">
        <v>45899</v>
      </c>
      <c r="D312" s="25" t="s">
        <v>2933</v>
      </c>
      <c r="E312" s="25" t="s">
        <v>1947</v>
      </c>
      <c r="F312" s="53" t="s">
        <v>3812</v>
      </c>
      <c r="G312" s="28">
        <v>0</v>
      </c>
    </row>
    <row r="313" spans="1:7" x14ac:dyDescent="0.35">
      <c r="A313" s="22" t="s">
        <v>2549</v>
      </c>
      <c r="B313" s="22"/>
      <c r="C313" s="26">
        <v>45899</v>
      </c>
      <c r="D313" s="25" t="s">
        <v>2934</v>
      </c>
      <c r="E313" s="25" t="s">
        <v>1947</v>
      </c>
      <c r="F313" s="53" t="s">
        <v>3812</v>
      </c>
      <c r="G313" s="28">
        <v>0</v>
      </c>
    </row>
    <row r="314" spans="1:7" x14ac:dyDescent="0.35">
      <c r="A314" s="22" t="s">
        <v>2549</v>
      </c>
      <c r="B314" s="22"/>
      <c r="C314" s="26">
        <v>45899</v>
      </c>
      <c r="D314" s="25" t="s">
        <v>2935</v>
      </c>
      <c r="E314" s="25" t="s">
        <v>2086</v>
      </c>
      <c r="F314" s="53" t="s">
        <v>3812</v>
      </c>
      <c r="G314" s="28">
        <v>0</v>
      </c>
    </row>
    <row r="315" spans="1:7" x14ac:dyDescent="0.35">
      <c r="A315" s="22" t="s">
        <v>2549</v>
      </c>
      <c r="B315" s="22"/>
      <c r="C315" s="26">
        <v>45899</v>
      </c>
      <c r="D315" s="25" t="s">
        <v>2936</v>
      </c>
      <c r="E315" s="25" t="s">
        <v>2086</v>
      </c>
      <c r="F315" s="53" t="s">
        <v>3812</v>
      </c>
      <c r="G315" s="28">
        <v>0</v>
      </c>
    </row>
    <row r="316" spans="1:7" x14ac:dyDescent="0.35">
      <c r="A316" s="22" t="s">
        <v>2549</v>
      </c>
      <c r="B316" s="22"/>
      <c r="C316" s="26">
        <v>45899</v>
      </c>
      <c r="D316" s="25" t="s">
        <v>2937</v>
      </c>
      <c r="E316" s="25" t="s">
        <v>2424</v>
      </c>
      <c r="F316" s="53" t="s">
        <v>3812</v>
      </c>
      <c r="G316" s="28">
        <v>0</v>
      </c>
    </row>
    <row r="317" spans="1:7" x14ac:dyDescent="0.35">
      <c r="A317" s="22" t="s">
        <v>2549</v>
      </c>
      <c r="B317" s="22"/>
      <c r="C317" s="26">
        <v>45899</v>
      </c>
      <c r="D317" s="25" t="s">
        <v>2938</v>
      </c>
      <c r="E317" s="25" t="s">
        <v>2424</v>
      </c>
      <c r="F317" s="53" t="s">
        <v>3812</v>
      </c>
      <c r="G317" s="28">
        <v>0</v>
      </c>
    </row>
    <row r="318" spans="1:7" x14ac:dyDescent="0.35">
      <c r="A318" s="22" t="s">
        <v>2549</v>
      </c>
      <c r="B318" s="22"/>
      <c r="C318" s="26">
        <v>45899</v>
      </c>
      <c r="D318" s="25" t="s">
        <v>2939</v>
      </c>
      <c r="E318" s="25" t="s">
        <v>2424</v>
      </c>
      <c r="F318" s="53" t="s">
        <v>3812</v>
      </c>
      <c r="G318" s="28">
        <v>0</v>
      </c>
    </row>
    <row r="319" spans="1:7" x14ac:dyDescent="0.35">
      <c r="A319" s="22" t="s">
        <v>2549</v>
      </c>
      <c r="B319" s="22"/>
      <c r="C319" s="26">
        <v>45899</v>
      </c>
      <c r="D319" s="25" t="s">
        <v>2940</v>
      </c>
      <c r="E319" s="25" t="s">
        <v>2424</v>
      </c>
      <c r="F319" s="53" t="s">
        <v>3812</v>
      </c>
      <c r="G319" s="28">
        <v>0</v>
      </c>
    </row>
    <row r="320" spans="1:7" x14ac:dyDescent="0.35">
      <c r="A320" s="22" t="s">
        <v>2549</v>
      </c>
      <c r="B320" s="22"/>
      <c r="C320" s="26">
        <v>45899</v>
      </c>
      <c r="D320" s="25" t="s">
        <v>2941</v>
      </c>
      <c r="E320" s="25" t="s">
        <v>2424</v>
      </c>
      <c r="F320" s="53" t="s">
        <v>3812</v>
      </c>
      <c r="G320" s="28">
        <v>0</v>
      </c>
    </row>
    <row r="321" spans="1:7" x14ac:dyDescent="0.35">
      <c r="A321" s="22" t="s">
        <v>2549</v>
      </c>
      <c r="B321" s="22"/>
      <c r="C321" s="26">
        <v>45899</v>
      </c>
      <c r="D321" s="25" t="s">
        <v>2942</v>
      </c>
      <c r="E321" s="25" t="s">
        <v>2424</v>
      </c>
      <c r="F321" s="53" t="s">
        <v>3812</v>
      </c>
      <c r="G321" s="28">
        <v>0</v>
      </c>
    </row>
    <row r="322" spans="1:7" x14ac:dyDescent="0.35">
      <c r="A322" s="22" t="s">
        <v>2549</v>
      </c>
      <c r="B322" s="22"/>
      <c r="C322" s="26">
        <v>45899</v>
      </c>
      <c r="D322" s="25" t="s">
        <v>2943</v>
      </c>
      <c r="E322" s="25" t="s">
        <v>2424</v>
      </c>
      <c r="F322" s="53" t="s">
        <v>3812</v>
      </c>
      <c r="G322" s="28">
        <v>0</v>
      </c>
    </row>
    <row r="323" spans="1:7" x14ac:dyDescent="0.35">
      <c r="A323" s="22" t="s">
        <v>2549</v>
      </c>
      <c r="B323" s="22"/>
      <c r="C323" s="26">
        <v>45899</v>
      </c>
      <c r="D323" s="25" t="s">
        <v>2944</v>
      </c>
      <c r="E323" s="25" t="s">
        <v>3356</v>
      </c>
      <c r="F323" s="53" t="s">
        <v>3812</v>
      </c>
      <c r="G323" s="28">
        <v>0</v>
      </c>
    </row>
    <row r="324" spans="1:7" x14ac:dyDescent="0.35">
      <c r="A324" s="22" t="s">
        <v>2549</v>
      </c>
      <c r="B324" s="22"/>
      <c r="C324" s="26">
        <v>45899</v>
      </c>
      <c r="D324" s="25" t="s">
        <v>2945</v>
      </c>
      <c r="E324" s="25" t="s">
        <v>2462</v>
      </c>
      <c r="F324" s="53" t="s">
        <v>3812</v>
      </c>
      <c r="G324" s="28">
        <v>0</v>
      </c>
    </row>
    <row r="325" spans="1:7" x14ac:dyDescent="0.35">
      <c r="A325" s="22" t="s">
        <v>2549</v>
      </c>
      <c r="B325" s="22"/>
      <c r="C325" s="26">
        <v>45899</v>
      </c>
      <c r="D325" s="25" t="s">
        <v>2946</v>
      </c>
      <c r="E325" s="25" t="s">
        <v>2462</v>
      </c>
      <c r="F325" s="53" t="s">
        <v>3812</v>
      </c>
      <c r="G325" s="28">
        <v>0</v>
      </c>
    </row>
    <row r="326" spans="1:7" x14ac:dyDescent="0.35">
      <c r="A326" s="22" t="s">
        <v>2549</v>
      </c>
      <c r="B326" s="22"/>
      <c r="C326" s="26">
        <v>45899</v>
      </c>
      <c r="D326" s="25" t="s">
        <v>2947</v>
      </c>
      <c r="E326" s="25" t="s">
        <v>2541</v>
      </c>
      <c r="F326" s="53" t="s">
        <v>3812</v>
      </c>
      <c r="G326" s="28">
        <v>0</v>
      </c>
    </row>
    <row r="327" spans="1:7" x14ac:dyDescent="0.35">
      <c r="A327" s="22" t="s">
        <v>2549</v>
      </c>
      <c r="B327" s="22"/>
      <c r="C327" s="26">
        <v>45899</v>
      </c>
      <c r="D327" s="25" t="s">
        <v>2948</v>
      </c>
      <c r="E327" s="25" t="s">
        <v>2541</v>
      </c>
      <c r="F327" s="53" t="s">
        <v>3812</v>
      </c>
      <c r="G327" s="28">
        <v>0</v>
      </c>
    </row>
    <row r="328" spans="1:7" x14ac:dyDescent="0.35">
      <c r="A328" s="22" t="s">
        <v>2549</v>
      </c>
      <c r="B328" s="22"/>
      <c r="C328" s="26">
        <v>45899</v>
      </c>
      <c r="D328" s="25" t="s">
        <v>2949</v>
      </c>
      <c r="E328" s="25" t="s">
        <v>2541</v>
      </c>
      <c r="F328" s="53" t="s">
        <v>3812</v>
      </c>
      <c r="G328" s="28">
        <v>0</v>
      </c>
    </row>
    <row r="329" spans="1:7" x14ac:dyDescent="0.35">
      <c r="A329" s="22" t="s">
        <v>2549</v>
      </c>
      <c r="B329" s="22"/>
      <c r="C329" s="26">
        <v>45899</v>
      </c>
      <c r="D329" s="25" t="s">
        <v>2950</v>
      </c>
      <c r="E329" s="25" t="s">
        <v>3148</v>
      </c>
      <c r="F329" s="53" t="s">
        <v>3812</v>
      </c>
      <c r="G329" s="28">
        <v>0</v>
      </c>
    </row>
    <row r="330" spans="1:7" x14ac:dyDescent="0.35">
      <c r="A330" s="22" t="s">
        <v>2549</v>
      </c>
      <c r="B330" s="22"/>
      <c r="C330" s="26">
        <v>45899</v>
      </c>
      <c r="D330" s="25" t="s">
        <v>2951</v>
      </c>
      <c r="E330" s="25" t="s">
        <v>3148</v>
      </c>
      <c r="F330" s="53" t="s">
        <v>3812</v>
      </c>
      <c r="G330" s="28">
        <v>0</v>
      </c>
    </row>
    <row r="331" spans="1:7" x14ac:dyDescent="0.35">
      <c r="A331" s="22" t="s">
        <v>2549</v>
      </c>
      <c r="B331" s="22"/>
      <c r="C331" s="26">
        <v>45899</v>
      </c>
      <c r="D331" s="25" t="s">
        <v>2952</v>
      </c>
      <c r="E331" s="25" t="s">
        <v>2462</v>
      </c>
      <c r="F331" s="53" t="s">
        <v>3812</v>
      </c>
      <c r="G331" s="28">
        <v>0</v>
      </c>
    </row>
    <row r="332" spans="1:7" x14ac:dyDescent="0.35">
      <c r="A332" s="22" t="s">
        <v>2549</v>
      </c>
      <c r="B332" s="22"/>
      <c r="C332" s="26">
        <v>45899</v>
      </c>
      <c r="D332" s="25" t="s">
        <v>2953</v>
      </c>
      <c r="E332" s="25" t="s">
        <v>3359</v>
      </c>
      <c r="F332" s="53" t="s">
        <v>3812</v>
      </c>
      <c r="G332" s="28">
        <v>0</v>
      </c>
    </row>
    <row r="333" spans="1:7" x14ac:dyDescent="0.35">
      <c r="A333" s="22" t="s">
        <v>2549</v>
      </c>
      <c r="B333" s="22"/>
      <c r="C333" s="26">
        <v>45899</v>
      </c>
      <c r="D333" s="25" t="s">
        <v>2954</v>
      </c>
      <c r="E333" s="25" t="s">
        <v>3359</v>
      </c>
      <c r="F333" s="53" t="s">
        <v>3812</v>
      </c>
      <c r="G333" s="28">
        <v>0</v>
      </c>
    </row>
    <row r="334" spans="1:7" x14ac:dyDescent="0.35">
      <c r="A334" s="22" t="s">
        <v>2549</v>
      </c>
      <c r="B334" s="22"/>
      <c r="C334" s="26">
        <v>45899</v>
      </c>
      <c r="D334" s="25" t="s">
        <v>2955</v>
      </c>
      <c r="E334" s="25" t="s">
        <v>3359</v>
      </c>
      <c r="F334" s="53" t="s">
        <v>3812</v>
      </c>
      <c r="G334" s="28">
        <v>0</v>
      </c>
    </row>
    <row r="335" spans="1:7" x14ac:dyDescent="0.35">
      <c r="A335" s="22" t="s">
        <v>2549</v>
      </c>
      <c r="B335" s="22"/>
      <c r="C335" s="26">
        <v>45899</v>
      </c>
      <c r="D335" s="25" t="s">
        <v>2956</v>
      </c>
      <c r="E335" s="25" t="s">
        <v>3359</v>
      </c>
      <c r="F335" s="53" t="s">
        <v>3812</v>
      </c>
      <c r="G335" s="28">
        <v>0</v>
      </c>
    </row>
    <row r="336" spans="1:7" x14ac:dyDescent="0.35">
      <c r="A336" s="22" t="s">
        <v>2549</v>
      </c>
      <c r="B336" s="22"/>
      <c r="C336" s="26">
        <v>45899</v>
      </c>
      <c r="D336" s="25" t="s">
        <v>2957</v>
      </c>
      <c r="E336" s="25" t="s">
        <v>2487</v>
      </c>
      <c r="F336" s="53" t="s">
        <v>3812</v>
      </c>
      <c r="G336" s="28">
        <v>0</v>
      </c>
    </row>
    <row r="337" spans="1:7" x14ac:dyDescent="0.35">
      <c r="A337" s="22" t="s">
        <v>2549</v>
      </c>
      <c r="B337" s="22"/>
      <c r="C337" s="26">
        <v>45899</v>
      </c>
      <c r="D337" s="25" t="s">
        <v>2958</v>
      </c>
      <c r="E337" s="25" t="s">
        <v>301</v>
      </c>
      <c r="F337" s="53" t="s">
        <v>3812</v>
      </c>
      <c r="G337" s="28">
        <v>0</v>
      </c>
    </row>
    <row r="338" spans="1:7" x14ac:dyDescent="0.35">
      <c r="A338" s="22" t="s">
        <v>2549</v>
      </c>
      <c r="B338" s="22"/>
      <c r="C338" s="26">
        <v>45899</v>
      </c>
      <c r="D338" s="25" t="s">
        <v>2959</v>
      </c>
      <c r="E338" s="25" t="s">
        <v>301</v>
      </c>
      <c r="F338" s="53" t="s">
        <v>3812</v>
      </c>
      <c r="G338" s="28">
        <v>0</v>
      </c>
    </row>
    <row r="339" spans="1:7" x14ac:dyDescent="0.35">
      <c r="A339" s="22" t="s">
        <v>2549</v>
      </c>
      <c r="B339" s="22"/>
      <c r="C339" s="26">
        <v>45899</v>
      </c>
      <c r="D339" s="25" t="s">
        <v>2960</v>
      </c>
      <c r="E339" s="25" t="s">
        <v>301</v>
      </c>
      <c r="F339" s="53" t="s">
        <v>3812</v>
      </c>
      <c r="G339" s="28">
        <v>0</v>
      </c>
    </row>
    <row r="340" spans="1:7" x14ac:dyDescent="0.35">
      <c r="A340" s="22" t="s">
        <v>2549</v>
      </c>
      <c r="B340" s="22"/>
      <c r="C340" s="26">
        <v>45899</v>
      </c>
      <c r="D340" s="25" t="s">
        <v>2961</v>
      </c>
      <c r="E340" s="25" t="s">
        <v>301</v>
      </c>
      <c r="F340" s="53" t="s">
        <v>3812</v>
      </c>
      <c r="G340" s="28">
        <v>0</v>
      </c>
    </row>
    <row r="341" spans="1:7" x14ac:dyDescent="0.35">
      <c r="A341" s="22" t="s">
        <v>2549</v>
      </c>
      <c r="B341" s="22"/>
      <c r="C341" s="26">
        <v>45899</v>
      </c>
      <c r="D341" s="25" t="s">
        <v>2962</v>
      </c>
      <c r="E341" s="25" t="s">
        <v>3369</v>
      </c>
      <c r="F341" s="53" t="s">
        <v>3812</v>
      </c>
      <c r="G341" s="28">
        <v>0</v>
      </c>
    </row>
    <row r="342" spans="1:7" x14ac:dyDescent="0.35">
      <c r="A342" s="22" t="s">
        <v>2549</v>
      </c>
      <c r="B342" s="22"/>
      <c r="C342" s="26">
        <v>45899</v>
      </c>
      <c r="D342" s="25" t="s">
        <v>2963</v>
      </c>
      <c r="E342" s="25" t="s">
        <v>3371</v>
      </c>
      <c r="F342" s="53" t="s">
        <v>3812</v>
      </c>
      <c r="G342" s="28">
        <v>5.48</v>
      </c>
    </row>
    <row r="343" spans="1:7" x14ac:dyDescent="0.35">
      <c r="A343" s="22" t="s">
        <v>2549</v>
      </c>
      <c r="B343" s="22"/>
      <c r="C343" s="26">
        <v>45899</v>
      </c>
      <c r="D343" s="25" t="s">
        <v>2964</v>
      </c>
      <c r="E343" s="25" t="s">
        <v>1757</v>
      </c>
      <c r="F343" s="53" t="s">
        <v>3812</v>
      </c>
      <c r="G343" s="28">
        <v>0</v>
      </c>
    </row>
    <row r="344" spans="1:7" x14ac:dyDescent="0.35">
      <c r="A344" s="22" t="s">
        <v>2549</v>
      </c>
      <c r="B344" s="22"/>
      <c r="C344" s="26">
        <v>45899</v>
      </c>
      <c r="D344" s="25" t="s">
        <v>2965</v>
      </c>
      <c r="E344" s="25" t="s">
        <v>1757</v>
      </c>
      <c r="F344" s="53" t="s">
        <v>3812</v>
      </c>
      <c r="G344" s="28">
        <v>0</v>
      </c>
    </row>
    <row r="345" spans="1:7" x14ac:dyDescent="0.35">
      <c r="A345" s="22" t="s">
        <v>2549</v>
      </c>
      <c r="B345" s="22"/>
      <c r="C345" s="26">
        <v>45899</v>
      </c>
      <c r="D345" s="25" t="s">
        <v>2966</v>
      </c>
      <c r="E345" s="25" t="s">
        <v>1839</v>
      </c>
      <c r="F345" s="53" t="s">
        <v>3812</v>
      </c>
      <c r="G345" s="28">
        <v>0</v>
      </c>
    </row>
    <row r="346" spans="1:7" x14ac:dyDescent="0.35">
      <c r="A346" s="22" t="s">
        <v>2549</v>
      </c>
      <c r="B346" s="22"/>
      <c r="C346" s="26">
        <v>45899</v>
      </c>
      <c r="D346" s="25" t="s">
        <v>2967</v>
      </c>
      <c r="E346" s="25" t="s">
        <v>1839</v>
      </c>
      <c r="F346" s="53" t="s">
        <v>3812</v>
      </c>
      <c r="G346" s="28">
        <v>0</v>
      </c>
    </row>
    <row r="347" spans="1:7" x14ac:dyDescent="0.35">
      <c r="A347" s="22" t="s">
        <v>2549</v>
      </c>
      <c r="B347" s="22"/>
      <c r="C347" s="26">
        <v>45899</v>
      </c>
      <c r="D347" s="25" t="s">
        <v>2968</v>
      </c>
      <c r="E347" s="25" t="s">
        <v>1839</v>
      </c>
      <c r="F347" s="53" t="s">
        <v>3812</v>
      </c>
      <c r="G347" s="28">
        <v>0</v>
      </c>
    </row>
    <row r="348" spans="1:7" x14ac:dyDescent="0.35">
      <c r="A348" s="22" t="s">
        <v>2549</v>
      </c>
      <c r="B348" s="22"/>
      <c r="C348" s="26">
        <v>45899</v>
      </c>
      <c r="D348" s="25" t="s">
        <v>2969</v>
      </c>
      <c r="E348" s="25" t="s">
        <v>1839</v>
      </c>
      <c r="F348" s="53" t="s">
        <v>3812</v>
      </c>
      <c r="G348" s="28">
        <v>0</v>
      </c>
    </row>
    <row r="349" spans="1:7" x14ac:dyDescent="0.35">
      <c r="A349" s="22" t="s">
        <v>2549</v>
      </c>
      <c r="B349" s="22"/>
      <c r="C349" s="26">
        <v>45899</v>
      </c>
      <c r="D349" s="25" t="s">
        <v>2971</v>
      </c>
      <c r="E349" s="25" t="s">
        <v>1839</v>
      </c>
      <c r="F349" s="53" t="s">
        <v>3812</v>
      </c>
      <c r="G349" s="28">
        <v>0</v>
      </c>
    </row>
    <row r="350" spans="1:7" x14ac:dyDescent="0.35">
      <c r="A350" s="22" t="s">
        <v>2549</v>
      </c>
      <c r="B350" s="22"/>
      <c r="C350" s="26">
        <v>45899</v>
      </c>
      <c r="D350" s="25" t="s">
        <v>2972</v>
      </c>
      <c r="E350" s="25" t="s">
        <v>1839</v>
      </c>
      <c r="F350" s="53" t="s">
        <v>3812</v>
      </c>
      <c r="G350" s="28">
        <v>0</v>
      </c>
    </row>
    <row r="351" spans="1:7" x14ac:dyDescent="0.35">
      <c r="A351" s="22" t="s">
        <v>2549</v>
      </c>
      <c r="B351" s="22"/>
      <c r="C351" s="26">
        <v>45899</v>
      </c>
      <c r="D351" s="25" t="s">
        <v>2974</v>
      </c>
      <c r="E351" s="25" t="s">
        <v>2027</v>
      </c>
      <c r="F351" s="53" t="s">
        <v>3812</v>
      </c>
      <c r="G351" s="28">
        <v>0</v>
      </c>
    </row>
    <row r="352" spans="1:7" x14ac:dyDescent="0.35">
      <c r="A352" s="22" t="s">
        <v>2549</v>
      </c>
      <c r="B352" s="22"/>
      <c r="C352" s="26">
        <v>45899</v>
      </c>
      <c r="D352" s="25" t="s">
        <v>2975</v>
      </c>
      <c r="E352" s="25" t="s">
        <v>2027</v>
      </c>
      <c r="F352" s="53" t="s">
        <v>3812</v>
      </c>
      <c r="G352" s="28">
        <v>0</v>
      </c>
    </row>
    <row r="353" spans="1:7" x14ac:dyDescent="0.35">
      <c r="A353" s="22" t="s">
        <v>2549</v>
      </c>
      <c r="B353" s="22"/>
      <c r="C353" s="26">
        <v>45899</v>
      </c>
      <c r="D353" s="25" t="s">
        <v>2976</v>
      </c>
      <c r="E353" s="25" t="s">
        <v>2027</v>
      </c>
      <c r="F353" s="53" t="s">
        <v>3812</v>
      </c>
      <c r="G353" s="28">
        <v>0</v>
      </c>
    </row>
    <row r="354" spans="1:7" x14ac:dyDescent="0.35">
      <c r="A354" s="22" t="s">
        <v>2549</v>
      </c>
      <c r="B354" s="22"/>
      <c r="C354" s="26">
        <v>45899</v>
      </c>
      <c r="D354" s="25" t="s">
        <v>2977</v>
      </c>
      <c r="E354" s="25" t="s">
        <v>2027</v>
      </c>
      <c r="F354" s="53" t="s">
        <v>3812</v>
      </c>
      <c r="G354" s="28">
        <v>0</v>
      </c>
    </row>
    <row r="355" spans="1:7" x14ac:dyDescent="0.35">
      <c r="A355" s="22" t="s">
        <v>2549</v>
      </c>
      <c r="B355" s="22"/>
      <c r="C355" s="26">
        <v>45899</v>
      </c>
      <c r="D355" s="25" t="s">
        <v>2978</v>
      </c>
      <c r="E355" s="25" t="s">
        <v>2027</v>
      </c>
      <c r="F355" s="53" t="s">
        <v>3812</v>
      </c>
      <c r="G355" s="28">
        <v>0</v>
      </c>
    </row>
    <row r="356" spans="1:7" x14ac:dyDescent="0.35">
      <c r="A356" s="22" t="s">
        <v>2549</v>
      </c>
      <c r="B356" s="22"/>
      <c r="C356" s="26">
        <v>45899</v>
      </c>
      <c r="D356" s="25" t="s">
        <v>2979</v>
      </c>
      <c r="E356" s="25" t="s">
        <v>2027</v>
      </c>
      <c r="F356" s="53" t="s">
        <v>3812</v>
      </c>
      <c r="G356" s="28">
        <v>0</v>
      </c>
    </row>
    <row r="357" spans="1:7" x14ac:dyDescent="0.35">
      <c r="A357" s="22" t="s">
        <v>2549</v>
      </c>
      <c r="B357" s="22"/>
      <c r="C357" s="26">
        <v>45899</v>
      </c>
      <c r="D357" s="25" t="s">
        <v>2980</v>
      </c>
      <c r="E357" s="25" t="s">
        <v>1568</v>
      </c>
      <c r="F357" s="53" t="s">
        <v>3812</v>
      </c>
      <c r="G357" s="28">
        <v>0</v>
      </c>
    </row>
    <row r="358" spans="1:7" x14ac:dyDescent="0.35">
      <c r="A358" s="22" t="s">
        <v>2549</v>
      </c>
      <c r="B358" s="22"/>
      <c r="C358" s="26">
        <v>45899</v>
      </c>
      <c r="D358" s="25" t="s">
        <v>2981</v>
      </c>
      <c r="E358" s="25" t="s">
        <v>1568</v>
      </c>
      <c r="F358" s="53" t="s">
        <v>3812</v>
      </c>
      <c r="G358" s="28">
        <v>0</v>
      </c>
    </row>
    <row r="359" spans="1:7" x14ac:dyDescent="0.35">
      <c r="A359" s="22" t="s">
        <v>2549</v>
      </c>
      <c r="B359" s="22"/>
      <c r="C359" s="26">
        <v>45899</v>
      </c>
      <c r="D359" s="25" t="s">
        <v>2982</v>
      </c>
      <c r="E359" s="25" t="s">
        <v>1568</v>
      </c>
      <c r="F359" s="53" t="s">
        <v>3812</v>
      </c>
      <c r="G359" s="28">
        <v>0</v>
      </c>
    </row>
    <row r="360" spans="1:7" x14ac:dyDescent="0.35">
      <c r="A360" s="22" t="s">
        <v>2549</v>
      </c>
      <c r="B360" s="22"/>
      <c r="C360" s="26">
        <v>45899</v>
      </c>
      <c r="D360" s="25" t="s">
        <v>2983</v>
      </c>
      <c r="E360" s="25" t="s">
        <v>1371</v>
      </c>
      <c r="F360" s="53" t="s">
        <v>3812</v>
      </c>
      <c r="G360" s="28">
        <v>0</v>
      </c>
    </row>
    <row r="361" spans="1:7" x14ac:dyDescent="0.35">
      <c r="A361" s="22" t="s">
        <v>2549</v>
      </c>
      <c r="B361" s="22"/>
      <c r="C361" s="26">
        <v>45899</v>
      </c>
      <c r="D361" s="25" t="s">
        <v>2984</v>
      </c>
      <c r="E361" s="25" t="s">
        <v>1371</v>
      </c>
      <c r="F361" s="53" t="s">
        <v>3812</v>
      </c>
      <c r="G361" s="28">
        <v>0</v>
      </c>
    </row>
    <row r="362" spans="1:7" x14ac:dyDescent="0.35">
      <c r="A362" s="22" t="s">
        <v>2549</v>
      </c>
      <c r="B362" s="22"/>
      <c r="C362" s="26">
        <v>45899</v>
      </c>
      <c r="D362" s="25" t="s">
        <v>2985</v>
      </c>
      <c r="E362" s="25" t="s">
        <v>2831</v>
      </c>
      <c r="F362" s="53" t="s">
        <v>3812</v>
      </c>
      <c r="G362" s="28">
        <v>0</v>
      </c>
    </row>
    <row r="363" spans="1:7" x14ac:dyDescent="0.35">
      <c r="A363" s="22" t="s">
        <v>2549</v>
      </c>
      <c r="B363" s="22"/>
      <c r="C363" s="26">
        <v>45899</v>
      </c>
      <c r="D363" s="25" t="s">
        <v>2986</v>
      </c>
      <c r="E363" s="25" t="s">
        <v>3393</v>
      </c>
      <c r="F363" s="53" t="s">
        <v>3812</v>
      </c>
      <c r="G363" s="28">
        <v>0</v>
      </c>
    </row>
    <row r="364" spans="1:7" x14ac:dyDescent="0.35">
      <c r="A364" s="22" t="s">
        <v>2549</v>
      </c>
      <c r="B364" s="22"/>
      <c r="C364" s="26">
        <v>45899</v>
      </c>
      <c r="D364" s="25" t="s">
        <v>2988</v>
      </c>
      <c r="E364" s="25" t="s">
        <v>3393</v>
      </c>
      <c r="F364" s="53" t="s">
        <v>3812</v>
      </c>
      <c r="G364" s="28">
        <v>0</v>
      </c>
    </row>
    <row r="365" spans="1:7" x14ac:dyDescent="0.35">
      <c r="A365" s="22" t="s">
        <v>2549</v>
      </c>
      <c r="B365" s="22"/>
      <c r="C365" s="26">
        <v>45899</v>
      </c>
      <c r="D365" s="25" t="s">
        <v>2990</v>
      </c>
      <c r="E365" s="25" t="s">
        <v>3393</v>
      </c>
      <c r="F365" s="53" t="s">
        <v>3812</v>
      </c>
      <c r="G365" s="28">
        <v>0</v>
      </c>
    </row>
    <row r="366" spans="1:7" x14ac:dyDescent="0.35">
      <c r="A366" s="22" t="s">
        <v>2549</v>
      </c>
      <c r="B366" s="22"/>
      <c r="C366" s="26">
        <v>45899</v>
      </c>
      <c r="D366" s="25" t="s">
        <v>2991</v>
      </c>
      <c r="E366" s="25" t="s">
        <v>2079</v>
      </c>
      <c r="F366" s="53" t="s">
        <v>3812</v>
      </c>
      <c r="G366" s="28">
        <v>0</v>
      </c>
    </row>
    <row r="367" spans="1:7" x14ac:dyDescent="0.35">
      <c r="A367" s="22" t="s">
        <v>2549</v>
      </c>
      <c r="B367" s="22"/>
      <c r="C367" s="26">
        <v>45899</v>
      </c>
      <c r="D367" s="25" t="s">
        <v>2992</v>
      </c>
      <c r="E367" s="25" t="s">
        <v>2079</v>
      </c>
      <c r="F367" s="53" t="s">
        <v>3812</v>
      </c>
      <c r="G367" s="28">
        <v>0</v>
      </c>
    </row>
    <row r="368" spans="1:7" x14ac:dyDescent="0.35">
      <c r="A368" s="22" t="s">
        <v>2549</v>
      </c>
      <c r="B368" s="22"/>
      <c r="C368" s="26">
        <v>45899</v>
      </c>
      <c r="D368" s="25" t="s">
        <v>2993</v>
      </c>
      <c r="E368" s="25" t="s">
        <v>2027</v>
      </c>
      <c r="F368" s="53" t="s">
        <v>3812</v>
      </c>
      <c r="G368" s="28">
        <v>0</v>
      </c>
    </row>
    <row r="369" spans="1:7" x14ac:dyDescent="0.35">
      <c r="A369" s="22" t="s">
        <v>2549</v>
      </c>
      <c r="B369" s="22"/>
      <c r="C369" s="26">
        <v>45899</v>
      </c>
      <c r="D369" s="25" t="s">
        <v>2994</v>
      </c>
      <c r="E369" s="25" t="s">
        <v>1639</v>
      </c>
      <c r="F369" s="53" t="s">
        <v>3812</v>
      </c>
      <c r="G369" s="28">
        <v>0</v>
      </c>
    </row>
    <row r="370" spans="1:7" x14ac:dyDescent="0.35">
      <c r="A370" s="22" t="s">
        <v>2549</v>
      </c>
      <c r="B370" s="22"/>
      <c r="C370" s="26">
        <v>45899</v>
      </c>
      <c r="D370" s="25" t="s">
        <v>2995</v>
      </c>
      <c r="E370" s="25" t="s">
        <v>1639</v>
      </c>
      <c r="F370" s="53" t="s">
        <v>3812</v>
      </c>
      <c r="G370" s="28">
        <v>0</v>
      </c>
    </row>
    <row r="371" spans="1:7" x14ac:dyDescent="0.35">
      <c r="A371" s="22" t="s">
        <v>2549</v>
      </c>
      <c r="B371" s="22"/>
      <c r="C371" s="26">
        <v>45899</v>
      </c>
      <c r="D371" s="25" t="s">
        <v>2996</v>
      </c>
      <c r="E371" s="25" t="s">
        <v>1639</v>
      </c>
      <c r="F371" s="53" t="s">
        <v>3812</v>
      </c>
      <c r="G371" s="28">
        <v>0</v>
      </c>
    </row>
    <row r="372" spans="1:7" x14ac:dyDescent="0.35">
      <c r="A372" s="22" t="s">
        <v>2549</v>
      </c>
      <c r="B372" s="22"/>
      <c r="C372" s="26">
        <v>45899</v>
      </c>
      <c r="D372" s="25" t="s">
        <v>2997</v>
      </c>
      <c r="E372" s="25" t="s">
        <v>1639</v>
      </c>
      <c r="F372" s="53" t="s">
        <v>3812</v>
      </c>
      <c r="G372" s="28">
        <v>0</v>
      </c>
    </row>
    <row r="373" spans="1:7" x14ac:dyDescent="0.35">
      <c r="A373" s="22" t="s">
        <v>2549</v>
      </c>
      <c r="B373" s="22"/>
      <c r="C373" s="26">
        <v>45899</v>
      </c>
      <c r="D373" s="25" t="s">
        <v>2998</v>
      </c>
      <c r="E373" s="25" t="s">
        <v>1639</v>
      </c>
      <c r="F373" s="53" t="s">
        <v>3812</v>
      </c>
      <c r="G373" s="28">
        <v>0</v>
      </c>
    </row>
    <row r="374" spans="1:7" x14ac:dyDescent="0.35">
      <c r="A374" s="22" t="s">
        <v>2549</v>
      </c>
      <c r="B374" s="22"/>
      <c r="C374" s="26">
        <v>45899</v>
      </c>
      <c r="D374" s="25">
        <v>36512</v>
      </c>
      <c r="E374" s="25" t="s">
        <v>2231</v>
      </c>
      <c r="F374" s="53" t="s">
        <v>3812</v>
      </c>
      <c r="G374" s="28">
        <v>11839.48</v>
      </c>
    </row>
    <row r="375" spans="1:7" x14ac:dyDescent="0.35">
      <c r="A375" s="22" t="s">
        <v>2549</v>
      </c>
      <c r="B375" s="22"/>
      <c r="C375" s="26">
        <v>45899</v>
      </c>
      <c r="D375" s="25" t="s">
        <v>2999</v>
      </c>
      <c r="E375" s="25" t="s">
        <v>2487</v>
      </c>
      <c r="F375" s="53" t="s">
        <v>3812</v>
      </c>
      <c r="G375" s="28">
        <v>0</v>
      </c>
    </row>
    <row r="376" spans="1:7" x14ac:dyDescent="0.35">
      <c r="A376" s="22" t="s">
        <v>2549</v>
      </c>
      <c r="B376" s="22"/>
      <c r="C376" s="26">
        <v>45899</v>
      </c>
      <c r="D376" s="25" t="s">
        <v>3000</v>
      </c>
      <c r="E376" s="25" t="s">
        <v>2291</v>
      </c>
      <c r="F376" s="53" t="s">
        <v>3812</v>
      </c>
      <c r="G376" s="28">
        <v>0</v>
      </c>
    </row>
    <row r="377" spans="1:7" x14ac:dyDescent="0.35">
      <c r="A377" s="22" t="s">
        <v>2549</v>
      </c>
      <c r="B377" s="22"/>
      <c r="C377" s="26">
        <v>45899</v>
      </c>
      <c r="D377" s="25" t="s">
        <v>3001</v>
      </c>
      <c r="E377" s="25" t="s">
        <v>2291</v>
      </c>
      <c r="F377" s="53" t="s">
        <v>3812</v>
      </c>
      <c r="G377" s="28">
        <v>0</v>
      </c>
    </row>
    <row r="378" spans="1:7" x14ac:dyDescent="0.35">
      <c r="A378" s="22" t="s">
        <v>2549</v>
      </c>
      <c r="B378" s="22"/>
      <c r="C378" s="26">
        <v>45899</v>
      </c>
      <c r="D378" s="25" t="s">
        <v>3002</v>
      </c>
      <c r="E378" s="25" t="s">
        <v>2291</v>
      </c>
      <c r="F378" s="53" t="s">
        <v>3812</v>
      </c>
      <c r="G378" s="28">
        <v>0</v>
      </c>
    </row>
    <row r="379" spans="1:7" x14ac:dyDescent="0.35">
      <c r="A379" s="22" t="s">
        <v>2549</v>
      </c>
      <c r="B379" s="22"/>
      <c r="C379" s="26">
        <v>45899</v>
      </c>
      <c r="D379" s="25" t="s">
        <v>3003</v>
      </c>
      <c r="E379" s="25" t="s">
        <v>2291</v>
      </c>
      <c r="F379" s="53" t="s">
        <v>3812</v>
      </c>
      <c r="G379" s="28">
        <v>0</v>
      </c>
    </row>
    <row r="380" spans="1:7" x14ac:dyDescent="0.35">
      <c r="A380" s="22" t="s">
        <v>2549</v>
      </c>
      <c r="B380" s="22"/>
      <c r="C380" s="26">
        <v>45899</v>
      </c>
      <c r="D380" s="25" t="s">
        <v>3004</v>
      </c>
      <c r="E380" s="25" t="s">
        <v>2291</v>
      </c>
      <c r="F380" s="53" t="s">
        <v>3812</v>
      </c>
      <c r="G380" s="28">
        <v>0</v>
      </c>
    </row>
    <row r="381" spans="1:7" x14ac:dyDescent="0.35">
      <c r="A381" s="22" t="s">
        <v>2549</v>
      </c>
      <c r="B381" s="22"/>
      <c r="C381" s="26">
        <v>45899</v>
      </c>
      <c r="D381" s="25" t="s">
        <v>3005</v>
      </c>
      <c r="E381" s="25" t="s">
        <v>2291</v>
      </c>
      <c r="F381" s="53" t="s">
        <v>3812</v>
      </c>
      <c r="G381" s="28">
        <v>0</v>
      </c>
    </row>
    <row r="382" spans="1:7" x14ac:dyDescent="0.35">
      <c r="A382" s="22" t="s">
        <v>2549</v>
      </c>
      <c r="B382" s="22"/>
      <c r="C382" s="26">
        <v>45899</v>
      </c>
      <c r="D382" s="25" t="s">
        <v>3006</v>
      </c>
      <c r="E382" s="25" t="s">
        <v>2291</v>
      </c>
      <c r="F382" s="53" t="s">
        <v>3812</v>
      </c>
      <c r="G382" s="28">
        <v>0</v>
      </c>
    </row>
    <row r="383" spans="1:7" x14ac:dyDescent="0.35">
      <c r="A383" s="22" t="s">
        <v>2549</v>
      </c>
      <c r="B383" s="22"/>
      <c r="C383" s="26">
        <v>45899</v>
      </c>
      <c r="D383" s="25" t="s">
        <v>3007</v>
      </c>
      <c r="E383" s="25" t="s">
        <v>2291</v>
      </c>
      <c r="F383" s="53" t="s">
        <v>3812</v>
      </c>
      <c r="G383" s="28">
        <v>0</v>
      </c>
    </row>
    <row r="384" spans="1:7" x14ac:dyDescent="0.35">
      <c r="A384" s="22" t="s">
        <v>2549</v>
      </c>
      <c r="B384" s="22"/>
      <c r="C384" s="26">
        <v>45899</v>
      </c>
      <c r="D384" s="25" t="s">
        <v>3008</v>
      </c>
      <c r="E384" s="25" t="s">
        <v>2429</v>
      </c>
      <c r="F384" s="53" t="s">
        <v>3812</v>
      </c>
      <c r="G384" s="28">
        <v>0</v>
      </c>
    </row>
    <row r="385" spans="1:7" x14ac:dyDescent="0.35">
      <c r="A385" s="22" t="s">
        <v>2549</v>
      </c>
      <c r="B385" s="22"/>
      <c r="C385" s="26">
        <v>45899</v>
      </c>
      <c r="D385" s="25" t="s">
        <v>3009</v>
      </c>
      <c r="E385" s="25" t="s">
        <v>2429</v>
      </c>
      <c r="F385" s="53" t="s">
        <v>3812</v>
      </c>
      <c r="G385" s="28">
        <v>0</v>
      </c>
    </row>
    <row r="386" spans="1:7" x14ac:dyDescent="0.35">
      <c r="A386" s="22" t="s">
        <v>2549</v>
      </c>
      <c r="B386" s="22"/>
      <c r="C386" s="26">
        <v>45899</v>
      </c>
      <c r="D386" s="25" t="s">
        <v>3010</v>
      </c>
      <c r="E386" s="25" t="s">
        <v>2429</v>
      </c>
      <c r="F386" s="53" t="s">
        <v>3812</v>
      </c>
      <c r="G386" s="28">
        <v>0</v>
      </c>
    </row>
    <row r="387" spans="1:7" x14ac:dyDescent="0.35">
      <c r="A387" s="22" t="s">
        <v>2549</v>
      </c>
      <c r="B387" s="22"/>
      <c r="C387" s="26">
        <v>45899</v>
      </c>
      <c r="D387" s="25" t="s">
        <v>3011</v>
      </c>
      <c r="E387" s="25" t="s">
        <v>1179</v>
      </c>
      <c r="F387" s="53" t="s">
        <v>3812</v>
      </c>
      <c r="G387" s="28">
        <v>0</v>
      </c>
    </row>
    <row r="388" spans="1:7" x14ac:dyDescent="0.35">
      <c r="A388" s="22" t="s">
        <v>2549</v>
      </c>
      <c r="B388" s="22"/>
      <c r="C388" s="26">
        <v>45899</v>
      </c>
      <c r="D388" s="25" t="s">
        <v>3012</v>
      </c>
      <c r="E388" s="25" t="s">
        <v>1179</v>
      </c>
      <c r="F388" s="53" t="s">
        <v>3812</v>
      </c>
      <c r="G388" s="28">
        <v>0</v>
      </c>
    </row>
    <row r="389" spans="1:7" x14ac:dyDescent="0.35">
      <c r="A389" s="22" t="s">
        <v>2549</v>
      </c>
      <c r="B389" s="22"/>
      <c r="C389" s="26">
        <v>45899</v>
      </c>
      <c r="D389" s="25" t="s">
        <v>3013</v>
      </c>
      <c r="E389" s="25" t="s">
        <v>1179</v>
      </c>
      <c r="F389" s="53" t="s">
        <v>3812</v>
      </c>
      <c r="G389" s="28">
        <v>0</v>
      </c>
    </row>
    <row r="390" spans="1:7" x14ac:dyDescent="0.35">
      <c r="A390" s="22" t="s">
        <v>2549</v>
      </c>
      <c r="B390" s="22"/>
      <c r="C390" s="26">
        <v>45899</v>
      </c>
      <c r="D390" s="25" t="s">
        <v>3014</v>
      </c>
      <c r="E390" s="25" t="s">
        <v>1179</v>
      </c>
      <c r="F390" s="53" t="s">
        <v>3812</v>
      </c>
      <c r="G390" s="28">
        <v>0</v>
      </c>
    </row>
    <row r="391" spans="1:7" x14ac:dyDescent="0.35">
      <c r="A391" s="22" t="s">
        <v>2549</v>
      </c>
      <c r="B391" s="22"/>
      <c r="C391" s="26">
        <v>45899</v>
      </c>
      <c r="D391" s="25" t="s">
        <v>3015</v>
      </c>
      <c r="E391" s="25" t="s">
        <v>1363</v>
      </c>
      <c r="F391" s="53" t="s">
        <v>3812</v>
      </c>
      <c r="G391" s="28">
        <v>0</v>
      </c>
    </row>
    <row r="392" spans="1:7" x14ac:dyDescent="0.35">
      <c r="A392" s="22" t="s">
        <v>2549</v>
      </c>
      <c r="B392" s="22"/>
      <c r="C392" s="26">
        <v>45899</v>
      </c>
      <c r="D392" s="25" t="s">
        <v>3016</v>
      </c>
      <c r="E392" s="25" t="s">
        <v>1363</v>
      </c>
      <c r="F392" s="53" t="s">
        <v>3812</v>
      </c>
      <c r="G392" s="28">
        <v>0</v>
      </c>
    </row>
    <row r="393" spans="1:7" x14ac:dyDescent="0.35">
      <c r="A393" s="22" t="s">
        <v>2549</v>
      </c>
      <c r="B393" s="22"/>
      <c r="C393" s="26">
        <v>45899</v>
      </c>
      <c r="D393" s="25" t="s">
        <v>3017</v>
      </c>
      <c r="E393" s="25" t="s">
        <v>1426</v>
      </c>
      <c r="F393" s="53" t="s">
        <v>3812</v>
      </c>
      <c r="G393" s="28">
        <v>0</v>
      </c>
    </row>
    <row r="394" spans="1:7" x14ac:dyDescent="0.35">
      <c r="A394" s="22" t="s">
        <v>2549</v>
      </c>
      <c r="B394" s="22"/>
      <c r="C394" s="26">
        <v>45899</v>
      </c>
      <c r="D394" s="25" t="s">
        <v>3018</v>
      </c>
      <c r="E394" s="25" t="s">
        <v>1426</v>
      </c>
      <c r="F394" s="53" t="s">
        <v>3812</v>
      </c>
      <c r="G394" s="28">
        <v>0</v>
      </c>
    </row>
    <row r="395" spans="1:7" x14ac:dyDescent="0.35">
      <c r="A395" s="22" t="s">
        <v>2549</v>
      </c>
      <c r="B395" s="22"/>
      <c r="C395" s="26">
        <v>45899</v>
      </c>
      <c r="D395" s="25" t="s">
        <v>3019</v>
      </c>
      <c r="E395" s="25" t="s">
        <v>1426</v>
      </c>
      <c r="F395" s="53" t="s">
        <v>3812</v>
      </c>
      <c r="G395" s="28">
        <v>0</v>
      </c>
    </row>
    <row r="396" spans="1:7" x14ac:dyDescent="0.35">
      <c r="A396" s="22" t="s">
        <v>2549</v>
      </c>
      <c r="B396" s="22"/>
      <c r="C396" s="26">
        <v>45899</v>
      </c>
      <c r="D396" s="25" t="s">
        <v>3020</v>
      </c>
      <c r="E396" s="25" t="s">
        <v>1426</v>
      </c>
      <c r="F396" s="53" t="s">
        <v>3812</v>
      </c>
      <c r="G396" s="28">
        <v>0</v>
      </c>
    </row>
    <row r="397" spans="1:7" x14ac:dyDescent="0.35">
      <c r="A397" s="22" t="s">
        <v>2549</v>
      </c>
      <c r="B397" s="22"/>
      <c r="C397" s="26">
        <v>45899</v>
      </c>
      <c r="D397" s="25" t="s">
        <v>3021</v>
      </c>
      <c r="E397" s="25" t="s">
        <v>1426</v>
      </c>
      <c r="F397" s="53" t="s">
        <v>3812</v>
      </c>
      <c r="G397" s="28">
        <v>0</v>
      </c>
    </row>
    <row r="398" spans="1:7" x14ac:dyDescent="0.35">
      <c r="A398" s="22" t="s">
        <v>2549</v>
      </c>
      <c r="B398" s="22"/>
      <c r="C398" s="26">
        <v>45899</v>
      </c>
      <c r="D398" s="25" t="s">
        <v>3022</v>
      </c>
      <c r="E398" s="25" t="s">
        <v>1426</v>
      </c>
      <c r="F398" s="53" t="s">
        <v>3812</v>
      </c>
      <c r="G398" s="28">
        <v>0</v>
      </c>
    </row>
    <row r="399" spans="1:7" x14ac:dyDescent="0.35">
      <c r="A399" s="22" t="s">
        <v>2549</v>
      </c>
      <c r="B399" s="22"/>
      <c r="C399" s="26">
        <v>45899</v>
      </c>
      <c r="D399" s="25" t="s">
        <v>3023</v>
      </c>
      <c r="E399" s="25" t="s">
        <v>1426</v>
      </c>
      <c r="F399" s="53" t="s">
        <v>3812</v>
      </c>
      <c r="G399" s="28">
        <v>0</v>
      </c>
    </row>
    <row r="400" spans="1:7" x14ac:dyDescent="0.35">
      <c r="A400" s="22" t="s">
        <v>2549</v>
      </c>
      <c r="B400" s="22"/>
      <c r="C400" s="26">
        <v>45899</v>
      </c>
      <c r="D400" s="25" t="s">
        <v>3024</v>
      </c>
      <c r="E400" s="25" t="s">
        <v>1426</v>
      </c>
      <c r="F400" s="53" t="s">
        <v>3812</v>
      </c>
      <c r="G400" s="28">
        <v>0</v>
      </c>
    </row>
    <row r="401" spans="1:7" x14ac:dyDescent="0.35">
      <c r="A401" s="22" t="s">
        <v>2549</v>
      </c>
      <c r="B401" s="22"/>
      <c r="C401" s="26">
        <v>45899</v>
      </c>
      <c r="D401" s="25" t="s">
        <v>3026</v>
      </c>
      <c r="E401" s="25" t="s">
        <v>1426</v>
      </c>
      <c r="F401" s="53" t="s">
        <v>3812</v>
      </c>
      <c r="G401" s="28">
        <v>0</v>
      </c>
    </row>
    <row r="402" spans="1:7" x14ac:dyDescent="0.35">
      <c r="A402" s="22" t="s">
        <v>2549</v>
      </c>
      <c r="B402" s="22"/>
      <c r="C402" s="26">
        <v>45899</v>
      </c>
      <c r="D402" s="25" t="s">
        <v>3027</v>
      </c>
      <c r="E402" s="25" t="s">
        <v>1426</v>
      </c>
      <c r="F402" s="53" t="s">
        <v>3812</v>
      </c>
      <c r="G402" s="28">
        <v>0</v>
      </c>
    </row>
    <row r="403" spans="1:7" x14ac:dyDescent="0.35">
      <c r="A403" s="22" t="s">
        <v>2549</v>
      </c>
      <c r="B403" s="22"/>
      <c r="C403" s="26">
        <v>45899</v>
      </c>
      <c r="D403" s="25" t="s">
        <v>3028</v>
      </c>
      <c r="E403" s="25" t="s">
        <v>1426</v>
      </c>
      <c r="F403" s="53" t="s">
        <v>3812</v>
      </c>
      <c r="G403" s="28">
        <v>0</v>
      </c>
    </row>
    <row r="404" spans="1:7" x14ac:dyDescent="0.35">
      <c r="A404" s="22" t="s">
        <v>2549</v>
      </c>
      <c r="B404" s="22"/>
      <c r="C404" s="26">
        <v>45899</v>
      </c>
      <c r="D404" s="25" t="s">
        <v>3029</v>
      </c>
      <c r="E404" s="25" t="s">
        <v>1426</v>
      </c>
      <c r="F404" s="53" t="s">
        <v>3812</v>
      </c>
      <c r="G404" s="28">
        <v>0.56000000000000005</v>
      </c>
    </row>
    <row r="405" spans="1:7" x14ac:dyDescent="0.35">
      <c r="A405" s="22" t="s">
        <v>2549</v>
      </c>
      <c r="B405" s="22"/>
      <c r="C405" s="26">
        <v>45899</v>
      </c>
      <c r="D405" s="25" t="s">
        <v>3030</v>
      </c>
      <c r="E405" s="25" t="s">
        <v>1426</v>
      </c>
      <c r="F405" s="53" t="s">
        <v>3812</v>
      </c>
      <c r="G405" s="28">
        <v>0</v>
      </c>
    </row>
    <row r="406" spans="1:7" x14ac:dyDescent="0.35">
      <c r="A406" s="22" t="s">
        <v>2549</v>
      </c>
      <c r="B406" s="22"/>
      <c r="C406" s="26">
        <v>45899</v>
      </c>
      <c r="D406" s="25" t="s">
        <v>3031</v>
      </c>
      <c r="E406" s="25" t="s">
        <v>1924</v>
      </c>
      <c r="F406" s="53" t="s">
        <v>3812</v>
      </c>
      <c r="G406" s="28">
        <v>0</v>
      </c>
    </row>
    <row r="407" spans="1:7" x14ac:dyDescent="0.35">
      <c r="A407" s="22" t="s">
        <v>2549</v>
      </c>
      <c r="B407" s="22"/>
      <c r="C407" s="26">
        <v>45899</v>
      </c>
      <c r="D407" s="25" t="s">
        <v>3032</v>
      </c>
      <c r="E407" s="25" t="s">
        <v>1924</v>
      </c>
      <c r="F407" s="53" t="s">
        <v>3812</v>
      </c>
      <c r="G407" s="28">
        <v>0</v>
      </c>
    </row>
    <row r="408" spans="1:7" x14ac:dyDescent="0.35">
      <c r="A408" s="22" t="s">
        <v>2549</v>
      </c>
      <c r="B408" s="22"/>
      <c r="C408" s="26">
        <v>45899</v>
      </c>
      <c r="D408" s="25" t="s">
        <v>3033</v>
      </c>
      <c r="E408" s="25" t="s">
        <v>1924</v>
      </c>
      <c r="F408" s="53" t="s">
        <v>3812</v>
      </c>
      <c r="G408" s="28">
        <v>0</v>
      </c>
    </row>
    <row r="409" spans="1:7" x14ac:dyDescent="0.35">
      <c r="A409" s="22" t="s">
        <v>2549</v>
      </c>
      <c r="B409" s="22"/>
      <c r="C409" s="26">
        <v>45899</v>
      </c>
      <c r="D409" s="25" t="s">
        <v>3034</v>
      </c>
      <c r="E409" s="25" t="s">
        <v>1924</v>
      </c>
      <c r="F409" s="53" t="s">
        <v>3812</v>
      </c>
      <c r="G409" s="28">
        <v>0</v>
      </c>
    </row>
    <row r="410" spans="1:7" x14ac:dyDescent="0.35">
      <c r="A410" s="22" t="s">
        <v>2549</v>
      </c>
      <c r="B410" s="22"/>
      <c r="C410" s="26">
        <v>45899</v>
      </c>
      <c r="D410" s="25" t="s">
        <v>3035</v>
      </c>
      <c r="E410" s="25" t="s">
        <v>1924</v>
      </c>
      <c r="F410" s="53" t="s">
        <v>3812</v>
      </c>
      <c r="G410" s="28">
        <v>0</v>
      </c>
    </row>
    <row r="411" spans="1:7" x14ac:dyDescent="0.35">
      <c r="A411" s="22" t="s">
        <v>2549</v>
      </c>
      <c r="B411" s="22"/>
      <c r="C411" s="26">
        <v>45899</v>
      </c>
      <c r="D411" s="25" t="s">
        <v>3036</v>
      </c>
      <c r="E411" s="25" t="s">
        <v>3452</v>
      </c>
      <c r="F411" s="53" t="s">
        <v>3812</v>
      </c>
      <c r="G411" s="28">
        <v>48.79</v>
      </c>
    </row>
    <row r="412" spans="1:7" x14ac:dyDescent="0.35">
      <c r="A412" s="22" t="s">
        <v>2549</v>
      </c>
      <c r="B412" s="22"/>
      <c r="C412" s="26">
        <v>45899</v>
      </c>
      <c r="D412" s="25" t="s">
        <v>3038</v>
      </c>
      <c r="E412" s="25" t="s">
        <v>3452</v>
      </c>
      <c r="F412" s="53" t="s">
        <v>3812</v>
      </c>
      <c r="G412" s="28">
        <v>8.92</v>
      </c>
    </row>
    <row r="413" spans="1:7" x14ac:dyDescent="0.35">
      <c r="A413" s="22" t="s">
        <v>2549</v>
      </c>
      <c r="B413" s="22"/>
      <c r="C413" s="26">
        <v>45899</v>
      </c>
      <c r="D413" s="25" t="s">
        <v>3039</v>
      </c>
      <c r="E413" s="25" t="s">
        <v>1004</v>
      </c>
      <c r="F413" s="53" t="s">
        <v>3812</v>
      </c>
      <c r="G413" s="28">
        <v>0</v>
      </c>
    </row>
    <row r="414" spans="1:7" x14ac:dyDescent="0.35">
      <c r="A414" s="22" t="s">
        <v>2549</v>
      </c>
      <c r="B414" s="22"/>
      <c r="C414" s="26">
        <v>45899</v>
      </c>
      <c r="D414" s="25" t="s">
        <v>3040</v>
      </c>
      <c r="E414" s="25" t="s">
        <v>1004</v>
      </c>
      <c r="F414" s="53" t="s">
        <v>3812</v>
      </c>
      <c r="G414" s="28">
        <v>0</v>
      </c>
    </row>
    <row r="415" spans="1:7" x14ac:dyDescent="0.35">
      <c r="A415" s="22" t="s">
        <v>2549</v>
      </c>
      <c r="B415" s="22"/>
      <c r="C415" s="26">
        <v>45899</v>
      </c>
      <c r="D415" s="25" t="s">
        <v>3041</v>
      </c>
      <c r="E415" s="25" t="s">
        <v>1004</v>
      </c>
      <c r="F415" s="53" t="s">
        <v>3812</v>
      </c>
      <c r="G415" s="28">
        <v>0</v>
      </c>
    </row>
    <row r="416" spans="1:7" x14ac:dyDescent="0.35">
      <c r="A416" s="22" t="s">
        <v>2549</v>
      </c>
      <c r="B416" s="22"/>
      <c r="C416" s="26">
        <v>45899</v>
      </c>
      <c r="D416" s="25" t="s">
        <v>3042</v>
      </c>
      <c r="E416" s="25" t="s">
        <v>1684</v>
      </c>
      <c r="F416" s="53" t="s">
        <v>3812</v>
      </c>
      <c r="G416" s="28">
        <v>0</v>
      </c>
    </row>
    <row r="417" spans="1:7" x14ac:dyDescent="0.35">
      <c r="A417" s="22" t="s">
        <v>2549</v>
      </c>
      <c r="B417" s="22"/>
      <c r="C417" s="26">
        <v>45899</v>
      </c>
      <c r="D417" s="25" t="s">
        <v>3043</v>
      </c>
      <c r="E417" s="25" t="s">
        <v>1684</v>
      </c>
      <c r="F417" s="53" t="s">
        <v>3812</v>
      </c>
      <c r="G417" s="28">
        <v>0</v>
      </c>
    </row>
    <row r="418" spans="1:7" x14ac:dyDescent="0.35">
      <c r="A418" s="22" t="s">
        <v>2549</v>
      </c>
      <c r="B418" s="22"/>
      <c r="C418" s="26">
        <v>45899</v>
      </c>
      <c r="D418" s="25" t="s">
        <v>3044</v>
      </c>
      <c r="E418" s="25" t="s">
        <v>1684</v>
      </c>
      <c r="F418" s="53" t="s">
        <v>3812</v>
      </c>
      <c r="G418" s="28">
        <v>0</v>
      </c>
    </row>
    <row r="419" spans="1:7" x14ac:dyDescent="0.35">
      <c r="A419" s="22" t="s">
        <v>2549</v>
      </c>
      <c r="B419" s="22"/>
      <c r="C419" s="26">
        <v>45899</v>
      </c>
      <c r="D419" s="25" t="s">
        <v>3045</v>
      </c>
      <c r="E419" s="25" t="s">
        <v>1358</v>
      </c>
      <c r="F419" s="53" t="s">
        <v>3812</v>
      </c>
      <c r="G419" s="28">
        <v>0</v>
      </c>
    </row>
    <row r="420" spans="1:7" x14ac:dyDescent="0.35">
      <c r="A420" s="22" t="s">
        <v>2549</v>
      </c>
      <c r="B420" s="22"/>
      <c r="C420" s="26">
        <v>45899</v>
      </c>
      <c r="D420" s="25" t="s">
        <v>3046</v>
      </c>
      <c r="E420" s="25" t="s">
        <v>1358</v>
      </c>
      <c r="F420" s="53" t="s">
        <v>3812</v>
      </c>
      <c r="G420" s="28">
        <v>0</v>
      </c>
    </row>
    <row r="421" spans="1:7" x14ac:dyDescent="0.35">
      <c r="A421" s="22" t="s">
        <v>2549</v>
      </c>
      <c r="B421" s="22"/>
      <c r="C421" s="26">
        <v>45899</v>
      </c>
      <c r="D421" s="25" t="s">
        <v>3047</v>
      </c>
      <c r="E421" s="25" t="s">
        <v>1358</v>
      </c>
      <c r="F421" s="53" t="s">
        <v>3812</v>
      </c>
      <c r="G421" s="28">
        <v>0</v>
      </c>
    </row>
    <row r="422" spans="1:7" x14ac:dyDescent="0.35">
      <c r="A422" s="22" t="s">
        <v>2549</v>
      </c>
      <c r="B422" s="22"/>
      <c r="C422" s="26">
        <v>45899</v>
      </c>
      <c r="D422" s="25" t="s">
        <v>3048</v>
      </c>
      <c r="E422" s="25" t="s">
        <v>1358</v>
      </c>
      <c r="F422" s="53" t="s">
        <v>3812</v>
      </c>
      <c r="G422" s="28">
        <v>0</v>
      </c>
    </row>
    <row r="423" spans="1:7" x14ac:dyDescent="0.35">
      <c r="A423" s="22" t="s">
        <v>2549</v>
      </c>
      <c r="B423" s="22"/>
      <c r="C423" s="26">
        <v>45899</v>
      </c>
      <c r="D423" s="25" t="s">
        <v>3049</v>
      </c>
      <c r="E423" s="25" t="s">
        <v>1085</v>
      </c>
      <c r="F423" s="53" t="s">
        <v>3812</v>
      </c>
      <c r="G423" s="28">
        <v>600</v>
      </c>
    </row>
    <row r="424" spans="1:7" x14ac:dyDescent="0.35">
      <c r="A424" s="22" t="s">
        <v>2549</v>
      </c>
      <c r="B424" s="22"/>
      <c r="C424" s="26">
        <v>45899</v>
      </c>
      <c r="D424" s="25" t="s">
        <v>3050</v>
      </c>
      <c r="E424" s="25" t="s">
        <v>1085</v>
      </c>
      <c r="F424" s="53" t="s">
        <v>3812</v>
      </c>
      <c r="G424" s="28">
        <v>0</v>
      </c>
    </row>
    <row r="425" spans="1:7" x14ac:dyDescent="0.35">
      <c r="A425" s="22" t="s">
        <v>2549</v>
      </c>
      <c r="B425" s="22"/>
      <c r="C425" s="26">
        <v>45899</v>
      </c>
      <c r="D425" s="25" t="s">
        <v>3051</v>
      </c>
      <c r="E425" s="25" t="s">
        <v>1085</v>
      </c>
      <c r="F425" s="53" t="s">
        <v>3812</v>
      </c>
      <c r="G425" s="28">
        <v>0</v>
      </c>
    </row>
    <row r="426" spans="1:7" x14ac:dyDescent="0.35">
      <c r="A426" s="22" t="s">
        <v>2549</v>
      </c>
      <c r="B426" s="22"/>
      <c r="C426" s="26">
        <v>45899</v>
      </c>
      <c r="D426" s="25" t="s">
        <v>3052</v>
      </c>
      <c r="E426" s="25" t="s">
        <v>1085</v>
      </c>
      <c r="F426" s="53" t="s">
        <v>3812</v>
      </c>
      <c r="G426" s="28">
        <v>0</v>
      </c>
    </row>
    <row r="427" spans="1:7" x14ac:dyDescent="0.35">
      <c r="A427" s="22" t="s">
        <v>2549</v>
      </c>
      <c r="B427" s="22"/>
      <c r="C427" s="26">
        <v>45899</v>
      </c>
      <c r="D427" s="25" t="s">
        <v>3053</v>
      </c>
      <c r="E427" s="25" t="s">
        <v>1085</v>
      </c>
      <c r="F427" s="53" t="s">
        <v>3812</v>
      </c>
      <c r="G427" s="28">
        <v>0</v>
      </c>
    </row>
    <row r="428" spans="1:7" x14ac:dyDescent="0.35">
      <c r="A428" s="22" t="s">
        <v>2549</v>
      </c>
      <c r="B428" s="22"/>
      <c r="C428" s="26">
        <v>45899</v>
      </c>
      <c r="D428" s="25" t="s">
        <v>3054</v>
      </c>
      <c r="E428" s="25" t="s">
        <v>1085</v>
      </c>
      <c r="F428" s="53" t="s">
        <v>3812</v>
      </c>
      <c r="G428" s="28">
        <v>0</v>
      </c>
    </row>
    <row r="429" spans="1:7" x14ac:dyDescent="0.35">
      <c r="A429" s="22" t="s">
        <v>2549</v>
      </c>
      <c r="B429" s="22"/>
      <c r="C429" s="26">
        <v>45899</v>
      </c>
      <c r="D429" s="25" t="s">
        <v>3055</v>
      </c>
      <c r="E429" s="25" t="s">
        <v>1085</v>
      </c>
      <c r="F429" s="53" t="s">
        <v>3812</v>
      </c>
      <c r="G429" s="28">
        <v>0</v>
      </c>
    </row>
    <row r="430" spans="1:7" x14ac:dyDescent="0.35">
      <c r="A430" s="22" t="s">
        <v>2549</v>
      </c>
      <c r="B430" s="22"/>
      <c r="C430" s="26">
        <v>45899</v>
      </c>
      <c r="D430" s="25" t="s">
        <v>3056</v>
      </c>
      <c r="E430" s="25" t="s">
        <v>1085</v>
      </c>
      <c r="F430" s="53" t="s">
        <v>3812</v>
      </c>
      <c r="G430" s="28">
        <v>0</v>
      </c>
    </row>
    <row r="431" spans="1:7" x14ac:dyDescent="0.35">
      <c r="A431" s="22" t="s">
        <v>2549</v>
      </c>
      <c r="B431" s="22"/>
      <c r="C431" s="26">
        <v>45899</v>
      </c>
      <c r="D431" s="25" t="s">
        <v>3057</v>
      </c>
      <c r="E431" s="25" t="s">
        <v>1085</v>
      </c>
      <c r="F431" s="53" t="s">
        <v>3812</v>
      </c>
      <c r="G431" s="28">
        <v>0</v>
      </c>
    </row>
    <row r="432" spans="1:7" x14ac:dyDescent="0.35">
      <c r="A432" s="22" t="s">
        <v>2549</v>
      </c>
      <c r="B432" s="22"/>
      <c r="C432" s="26">
        <v>45899</v>
      </c>
      <c r="D432" s="25" t="s">
        <v>3058</v>
      </c>
      <c r="E432" s="25" t="s">
        <v>1085</v>
      </c>
      <c r="F432" s="53" t="s">
        <v>3812</v>
      </c>
      <c r="G432" s="28">
        <v>0</v>
      </c>
    </row>
    <row r="433" spans="1:7" x14ac:dyDescent="0.35">
      <c r="A433" s="22" t="s">
        <v>2549</v>
      </c>
      <c r="B433" s="22"/>
      <c r="C433" s="26">
        <v>45899</v>
      </c>
      <c r="D433" s="25" t="s">
        <v>3059</v>
      </c>
      <c r="E433" s="25" t="s">
        <v>1272</v>
      </c>
      <c r="F433" s="53" t="s">
        <v>3812</v>
      </c>
      <c r="G433" s="28">
        <v>0</v>
      </c>
    </row>
    <row r="434" spans="1:7" x14ac:dyDescent="0.35">
      <c r="A434" s="22" t="s">
        <v>2549</v>
      </c>
      <c r="B434" s="22"/>
      <c r="C434" s="26">
        <v>45899</v>
      </c>
      <c r="D434" s="25" t="s">
        <v>3060</v>
      </c>
      <c r="E434" s="25" t="s">
        <v>2247</v>
      </c>
      <c r="F434" s="53" t="s">
        <v>3812</v>
      </c>
      <c r="G434" s="28">
        <v>0</v>
      </c>
    </row>
    <row r="435" spans="1:7" x14ac:dyDescent="0.35">
      <c r="A435" s="22" t="s">
        <v>2549</v>
      </c>
      <c r="B435" s="22"/>
      <c r="C435" s="26">
        <v>45899</v>
      </c>
      <c r="D435" s="25" t="s">
        <v>3062</v>
      </c>
      <c r="E435" s="25" t="s">
        <v>1426</v>
      </c>
      <c r="F435" s="53" t="s">
        <v>3812</v>
      </c>
      <c r="G435" s="28">
        <v>0</v>
      </c>
    </row>
    <row r="436" spans="1:7" x14ac:dyDescent="0.35">
      <c r="A436" s="22" t="s">
        <v>2549</v>
      </c>
      <c r="B436" s="22"/>
      <c r="C436" s="26">
        <v>45899</v>
      </c>
      <c r="D436" s="25" t="s">
        <v>3063</v>
      </c>
      <c r="E436" s="25" t="s">
        <v>1272</v>
      </c>
      <c r="F436" s="53" t="s">
        <v>3812</v>
      </c>
      <c r="G436" s="28">
        <v>0</v>
      </c>
    </row>
    <row r="437" spans="1:7" x14ac:dyDescent="0.35">
      <c r="A437" s="22" t="s">
        <v>2549</v>
      </c>
      <c r="B437" s="22"/>
      <c r="C437" s="26">
        <v>45899</v>
      </c>
      <c r="D437" s="25" t="s">
        <v>3064</v>
      </c>
      <c r="E437" s="25" t="s">
        <v>2480</v>
      </c>
      <c r="F437" s="53" t="s">
        <v>3812</v>
      </c>
      <c r="G437" s="28">
        <v>0</v>
      </c>
    </row>
    <row r="438" spans="1:7" x14ac:dyDescent="0.35">
      <c r="A438" s="22" t="s">
        <v>2549</v>
      </c>
      <c r="B438" s="22"/>
      <c r="C438" s="26">
        <v>45899</v>
      </c>
      <c r="D438" s="25" t="s">
        <v>3065</v>
      </c>
      <c r="E438" s="25" t="s">
        <v>3230</v>
      </c>
      <c r="F438" s="53" t="s">
        <v>3812</v>
      </c>
      <c r="G438" s="28">
        <v>0</v>
      </c>
    </row>
    <row r="439" spans="1:7" x14ac:dyDescent="0.35">
      <c r="A439" s="22" t="s">
        <v>2549</v>
      </c>
      <c r="B439" s="22"/>
      <c r="C439" s="26">
        <v>45899</v>
      </c>
      <c r="D439" s="25" t="s">
        <v>3066</v>
      </c>
      <c r="E439" s="25" t="s">
        <v>2631</v>
      </c>
      <c r="F439" s="53" t="s">
        <v>3812</v>
      </c>
      <c r="G439" s="28">
        <v>0</v>
      </c>
    </row>
    <row r="440" spans="1:7" x14ac:dyDescent="0.35">
      <c r="A440" s="22" t="s">
        <v>2549</v>
      </c>
      <c r="B440" s="22"/>
      <c r="C440" s="26">
        <v>45899</v>
      </c>
      <c r="D440" s="25" t="s">
        <v>3067</v>
      </c>
      <c r="E440" s="25" t="s">
        <v>2631</v>
      </c>
      <c r="F440" s="53" t="s">
        <v>3812</v>
      </c>
      <c r="G440" s="28">
        <v>0</v>
      </c>
    </row>
    <row r="441" spans="1:7" x14ac:dyDescent="0.35">
      <c r="A441" s="22" t="s">
        <v>2549</v>
      </c>
      <c r="B441" s="22"/>
      <c r="C441" s="26">
        <v>45899</v>
      </c>
      <c r="D441" s="25" t="s">
        <v>3068</v>
      </c>
      <c r="E441" s="25" t="s">
        <v>2631</v>
      </c>
      <c r="F441" s="53" t="s">
        <v>3812</v>
      </c>
      <c r="G441" s="28">
        <v>0</v>
      </c>
    </row>
    <row r="442" spans="1:7" x14ac:dyDescent="0.35">
      <c r="A442" s="22" t="s">
        <v>2549</v>
      </c>
      <c r="B442" s="22"/>
      <c r="C442" s="26">
        <v>45899</v>
      </c>
      <c r="D442" s="25" t="s">
        <v>3069</v>
      </c>
      <c r="E442" s="25" t="s">
        <v>2631</v>
      </c>
      <c r="F442" s="53" t="s">
        <v>3812</v>
      </c>
      <c r="G442" s="28">
        <v>0</v>
      </c>
    </row>
    <row r="443" spans="1:7" x14ac:dyDescent="0.35">
      <c r="A443" s="22" t="s">
        <v>2549</v>
      </c>
      <c r="B443" s="22"/>
      <c r="C443" s="26">
        <v>45899</v>
      </c>
      <c r="D443" s="25" t="s">
        <v>3070</v>
      </c>
      <c r="E443" s="25" t="s">
        <v>2631</v>
      </c>
      <c r="F443" s="53" t="s">
        <v>3812</v>
      </c>
      <c r="G443" s="28">
        <v>0</v>
      </c>
    </row>
    <row r="444" spans="1:7" x14ac:dyDescent="0.35">
      <c r="A444" s="22" t="s">
        <v>2549</v>
      </c>
      <c r="B444" s="22"/>
      <c r="C444" s="26">
        <v>45899</v>
      </c>
      <c r="D444" s="25" t="s">
        <v>3071</v>
      </c>
      <c r="E444" s="25" t="s">
        <v>2631</v>
      </c>
      <c r="F444" s="53" t="s">
        <v>3812</v>
      </c>
      <c r="G444" s="28">
        <v>0</v>
      </c>
    </row>
    <row r="445" spans="1:7" x14ac:dyDescent="0.35">
      <c r="A445" s="22" t="s">
        <v>2549</v>
      </c>
      <c r="B445" s="22"/>
      <c r="C445" s="26">
        <v>45899</v>
      </c>
      <c r="D445" s="25" t="s">
        <v>3072</v>
      </c>
      <c r="E445" s="25" t="s">
        <v>1379</v>
      </c>
      <c r="F445" s="53" t="s">
        <v>3812</v>
      </c>
      <c r="G445" s="28">
        <v>0</v>
      </c>
    </row>
    <row r="446" spans="1:7" x14ac:dyDescent="0.35">
      <c r="A446" s="22" t="s">
        <v>2549</v>
      </c>
      <c r="B446" s="22"/>
      <c r="C446" s="26">
        <v>45899</v>
      </c>
      <c r="D446" s="25" t="s">
        <v>3073</v>
      </c>
      <c r="E446" s="25" t="s">
        <v>1379</v>
      </c>
      <c r="F446" s="53" t="s">
        <v>3812</v>
      </c>
      <c r="G446" s="28">
        <v>0</v>
      </c>
    </row>
    <row r="447" spans="1:7" x14ac:dyDescent="0.35">
      <c r="A447" s="22" t="s">
        <v>2549</v>
      </c>
      <c r="B447" s="22"/>
      <c r="C447" s="26">
        <v>45899</v>
      </c>
      <c r="D447" s="25" t="s">
        <v>3074</v>
      </c>
      <c r="E447" s="25" t="s">
        <v>1379</v>
      </c>
      <c r="F447" s="53" t="s">
        <v>3812</v>
      </c>
      <c r="G447" s="28">
        <v>0</v>
      </c>
    </row>
    <row r="448" spans="1:7" x14ac:dyDescent="0.35">
      <c r="A448" s="22" t="s">
        <v>2549</v>
      </c>
      <c r="B448" s="22"/>
      <c r="C448" s="26">
        <v>45899</v>
      </c>
      <c r="D448" s="25" t="s">
        <v>3075</v>
      </c>
      <c r="E448" s="25" t="s">
        <v>1379</v>
      </c>
      <c r="F448" s="53" t="s">
        <v>3812</v>
      </c>
      <c r="G448" s="28">
        <v>0</v>
      </c>
    </row>
    <row r="449" spans="1:7" x14ac:dyDescent="0.35">
      <c r="A449" s="22" t="s">
        <v>2549</v>
      </c>
      <c r="B449" s="22"/>
      <c r="C449" s="26">
        <v>45899</v>
      </c>
      <c r="D449" s="25" t="s">
        <v>3076</v>
      </c>
      <c r="E449" s="25" t="s">
        <v>1379</v>
      </c>
      <c r="F449" s="53" t="s">
        <v>3812</v>
      </c>
      <c r="G449" s="28">
        <v>0</v>
      </c>
    </row>
    <row r="450" spans="1:7" x14ac:dyDescent="0.35">
      <c r="A450" s="22" t="s">
        <v>2549</v>
      </c>
      <c r="B450" s="22"/>
      <c r="C450" s="26">
        <v>45899</v>
      </c>
      <c r="D450" s="25" t="s">
        <v>3077</v>
      </c>
      <c r="E450" s="25" t="s">
        <v>1379</v>
      </c>
      <c r="F450" s="53" t="s">
        <v>3812</v>
      </c>
      <c r="G450" s="28">
        <v>0</v>
      </c>
    </row>
    <row r="451" spans="1:7" x14ac:dyDescent="0.35">
      <c r="A451" s="22" t="s">
        <v>2549</v>
      </c>
      <c r="B451" s="22"/>
      <c r="C451" s="26">
        <v>45899</v>
      </c>
      <c r="D451" s="25" t="s">
        <v>3078</v>
      </c>
      <c r="E451" s="25" t="s">
        <v>2212</v>
      </c>
      <c r="F451" s="53" t="s">
        <v>3812</v>
      </c>
      <c r="G451" s="28">
        <v>0</v>
      </c>
    </row>
    <row r="452" spans="1:7" x14ac:dyDescent="0.35">
      <c r="A452" s="22" t="s">
        <v>2549</v>
      </c>
      <c r="B452" s="22"/>
      <c r="C452" s="26">
        <v>45899</v>
      </c>
      <c r="D452" s="25" t="s">
        <v>3079</v>
      </c>
      <c r="E452" s="25" t="s">
        <v>3468</v>
      </c>
      <c r="F452" s="53" t="s">
        <v>3812</v>
      </c>
      <c r="G452" s="28">
        <v>0</v>
      </c>
    </row>
    <row r="453" spans="1:7" x14ac:dyDescent="0.35">
      <c r="A453" s="22" t="s">
        <v>2549</v>
      </c>
      <c r="B453" s="22"/>
      <c r="C453" s="26">
        <v>45899</v>
      </c>
      <c r="D453" s="25" t="s">
        <v>3080</v>
      </c>
      <c r="E453" s="25" t="s">
        <v>2541</v>
      </c>
      <c r="F453" s="53" t="s">
        <v>3812</v>
      </c>
      <c r="G453" s="28">
        <v>0</v>
      </c>
    </row>
    <row r="454" spans="1:7" x14ac:dyDescent="0.35">
      <c r="A454" s="22" t="s">
        <v>2549</v>
      </c>
      <c r="B454" s="22"/>
      <c r="C454" s="26">
        <v>45899</v>
      </c>
      <c r="D454" s="25" t="s">
        <v>3081</v>
      </c>
      <c r="E454" s="25" t="s">
        <v>2846</v>
      </c>
      <c r="F454" s="53" t="s">
        <v>3812</v>
      </c>
      <c r="G454" s="28">
        <v>0</v>
      </c>
    </row>
    <row r="455" spans="1:7" x14ac:dyDescent="0.35">
      <c r="A455" s="22" t="s">
        <v>2549</v>
      </c>
      <c r="B455" s="22"/>
      <c r="C455" s="26">
        <v>45899</v>
      </c>
      <c r="D455" s="25" t="s">
        <v>3082</v>
      </c>
      <c r="E455" s="25" t="s">
        <v>1358</v>
      </c>
      <c r="F455" s="53" t="s">
        <v>3812</v>
      </c>
      <c r="G455" s="28">
        <v>0</v>
      </c>
    </row>
    <row r="456" spans="1:7" x14ac:dyDescent="0.35">
      <c r="A456" s="22" t="s">
        <v>2549</v>
      </c>
      <c r="B456" s="22"/>
      <c r="C456" s="26">
        <v>45899</v>
      </c>
      <c r="D456" s="25" t="s">
        <v>3083</v>
      </c>
      <c r="E456" s="25" t="s">
        <v>3469</v>
      </c>
      <c r="F456" s="53" t="s">
        <v>3812</v>
      </c>
      <c r="G456" s="28">
        <v>0</v>
      </c>
    </row>
    <row r="457" spans="1:7" x14ac:dyDescent="0.35">
      <c r="A457" s="22" t="s">
        <v>2549</v>
      </c>
      <c r="B457" s="22"/>
      <c r="C457" s="26">
        <v>45899</v>
      </c>
      <c r="D457" s="25" t="s">
        <v>3084</v>
      </c>
      <c r="E457" s="25" t="s">
        <v>3469</v>
      </c>
      <c r="F457" s="53" t="s">
        <v>3812</v>
      </c>
      <c r="G457" s="28">
        <v>0</v>
      </c>
    </row>
    <row r="458" spans="1:7" x14ac:dyDescent="0.35">
      <c r="A458" s="22" t="s">
        <v>2549</v>
      </c>
      <c r="B458" s="22"/>
      <c r="C458" s="26">
        <v>45899</v>
      </c>
      <c r="D458" s="25" t="s">
        <v>3085</v>
      </c>
      <c r="E458" s="25" t="s">
        <v>3469</v>
      </c>
      <c r="F458" s="53" t="s">
        <v>3812</v>
      </c>
      <c r="G458" s="28">
        <v>0</v>
      </c>
    </row>
    <row r="459" spans="1:7" x14ac:dyDescent="0.35">
      <c r="A459" s="22" t="s">
        <v>2549</v>
      </c>
      <c r="B459" s="22"/>
      <c r="C459" s="26">
        <v>45899</v>
      </c>
      <c r="D459" s="25" t="s">
        <v>3086</v>
      </c>
      <c r="E459" s="25" t="s">
        <v>2520</v>
      </c>
      <c r="F459" s="53" t="s">
        <v>3812</v>
      </c>
      <c r="G459" s="28">
        <v>0</v>
      </c>
    </row>
    <row r="460" spans="1:7" x14ac:dyDescent="0.35">
      <c r="A460" s="22" t="s">
        <v>2549</v>
      </c>
      <c r="B460" s="22"/>
      <c r="C460" s="26">
        <v>45899</v>
      </c>
      <c r="D460" s="25" t="s">
        <v>3087</v>
      </c>
      <c r="E460" s="25" t="s">
        <v>3470</v>
      </c>
      <c r="F460" s="53" t="s">
        <v>3812</v>
      </c>
      <c r="G460" s="28">
        <v>0</v>
      </c>
    </row>
    <row r="461" spans="1:7" x14ac:dyDescent="0.35">
      <c r="A461" s="22" t="s">
        <v>2549</v>
      </c>
      <c r="B461" s="22"/>
      <c r="C461" s="26">
        <v>45899</v>
      </c>
      <c r="D461" s="25" t="s">
        <v>3088</v>
      </c>
      <c r="E461" s="25" t="s">
        <v>1639</v>
      </c>
      <c r="F461" s="53" t="s">
        <v>3812</v>
      </c>
      <c r="G461" s="28">
        <v>0</v>
      </c>
    </row>
    <row r="462" spans="1:7" x14ac:dyDescent="0.35">
      <c r="A462" s="22" t="s">
        <v>2549</v>
      </c>
      <c r="B462" s="22"/>
      <c r="C462" s="26">
        <v>45899</v>
      </c>
      <c r="D462" s="25" t="s">
        <v>3089</v>
      </c>
      <c r="E462" s="25" t="s">
        <v>1639</v>
      </c>
      <c r="F462" s="53" t="s">
        <v>3812</v>
      </c>
      <c r="G462" s="28">
        <v>0</v>
      </c>
    </row>
    <row r="463" spans="1:7" x14ac:dyDescent="0.35">
      <c r="A463" s="22" t="s">
        <v>2549</v>
      </c>
      <c r="B463" s="22"/>
      <c r="C463" s="26">
        <v>45899</v>
      </c>
      <c r="D463" s="25" t="s">
        <v>3090</v>
      </c>
      <c r="E463" s="25" t="s">
        <v>1639</v>
      </c>
      <c r="F463" s="53" t="s">
        <v>3812</v>
      </c>
      <c r="G463" s="28">
        <v>0</v>
      </c>
    </row>
    <row r="464" spans="1:7" x14ac:dyDescent="0.35">
      <c r="A464" s="22" t="s">
        <v>2549</v>
      </c>
      <c r="B464" s="22"/>
      <c r="C464" s="26">
        <v>45899</v>
      </c>
      <c r="D464" s="25" t="s">
        <v>3091</v>
      </c>
      <c r="E464" s="25" t="s">
        <v>1475</v>
      </c>
      <c r="F464" s="53" t="s">
        <v>3812</v>
      </c>
      <c r="G464" s="28">
        <v>0</v>
      </c>
    </row>
    <row r="465" spans="1:7" x14ac:dyDescent="0.35">
      <c r="A465" s="22" t="s">
        <v>2549</v>
      </c>
      <c r="B465" s="22"/>
      <c r="C465" s="26">
        <v>45899</v>
      </c>
      <c r="D465" s="25" t="s">
        <v>3092</v>
      </c>
      <c r="E465" s="25" t="s">
        <v>1999</v>
      </c>
      <c r="F465" s="53" t="s">
        <v>3812</v>
      </c>
      <c r="G465" s="28">
        <v>0</v>
      </c>
    </row>
    <row r="466" spans="1:7" x14ac:dyDescent="0.35">
      <c r="A466" s="22" t="s">
        <v>2549</v>
      </c>
      <c r="B466" s="22"/>
      <c r="C466" s="26">
        <v>45899</v>
      </c>
      <c r="D466" s="25" t="s">
        <v>3094</v>
      </c>
      <c r="E466" s="25" t="s">
        <v>1999</v>
      </c>
      <c r="F466" s="53" t="s">
        <v>3812</v>
      </c>
      <c r="G466" s="28">
        <v>0</v>
      </c>
    </row>
    <row r="467" spans="1:7" x14ac:dyDescent="0.35">
      <c r="A467" s="22" t="s">
        <v>2549</v>
      </c>
      <c r="B467" s="22"/>
      <c r="C467" s="26">
        <v>45899</v>
      </c>
      <c r="D467" s="25" t="s">
        <v>3096</v>
      </c>
      <c r="E467" s="25" t="s">
        <v>1999</v>
      </c>
      <c r="F467" s="53" t="s">
        <v>3812</v>
      </c>
      <c r="G467" s="28">
        <v>0</v>
      </c>
    </row>
    <row r="468" spans="1:7" x14ac:dyDescent="0.35">
      <c r="A468" s="22" t="s">
        <v>2549</v>
      </c>
      <c r="B468" s="22"/>
      <c r="C468" s="26">
        <v>45899</v>
      </c>
      <c r="D468" s="25" t="s">
        <v>3097</v>
      </c>
      <c r="E468" s="25" t="s">
        <v>1999</v>
      </c>
      <c r="F468" s="53" t="s">
        <v>3812</v>
      </c>
      <c r="G468" s="28">
        <v>0</v>
      </c>
    </row>
    <row r="469" spans="1:7" x14ac:dyDescent="0.35">
      <c r="A469" s="22" t="s">
        <v>2549</v>
      </c>
      <c r="B469" s="22"/>
      <c r="C469" s="26">
        <v>45899</v>
      </c>
      <c r="D469" s="25" t="s">
        <v>3098</v>
      </c>
      <c r="E469" s="25" t="s">
        <v>1999</v>
      </c>
      <c r="F469" s="53" t="s">
        <v>3812</v>
      </c>
      <c r="G469" s="28">
        <v>0</v>
      </c>
    </row>
    <row r="470" spans="1:7" x14ac:dyDescent="0.35">
      <c r="A470" s="22" t="s">
        <v>2549</v>
      </c>
      <c r="B470" s="22"/>
      <c r="C470" s="26">
        <v>45899</v>
      </c>
      <c r="D470" s="25" t="s">
        <v>3099</v>
      </c>
      <c r="E470" s="25" t="s">
        <v>2266</v>
      </c>
      <c r="F470" s="53" t="s">
        <v>3812</v>
      </c>
      <c r="G470" s="28">
        <v>0</v>
      </c>
    </row>
    <row r="471" spans="1:7" x14ac:dyDescent="0.35">
      <c r="A471" s="22" t="s">
        <v>2549</v>
      </c>
      <c r="B471" s="22"/>
      <c r="C471" s="26">
        <v>45899</v>
      </c>
      <c r="D471" s="25" t="s">
        <v>3100</v>
      </c>
      <c r="E471" s="25" t="s">
        <v>2266</v>
      </c>
      <c r="F471" s="53" t="s">
        <v>3812</v>
      </c>
      <c r="G471" s="28">
        <v>0</v>
      </c>
    </row>
    <row r="472" spans="1:7" x14ac:dyDescent="0.35">
      <c r="A472" s="22" t="s">
        <v>2549</v>
      </c>
      <c r="B472" s="22"/>
      <c r="C472" s="26">
        <v>45899</v>
      </c>
      <c r="D472" s="25" t="s">
        <v>3101</v>
      </c>
      <c r="E472" s="25" t="s">
        <v>2266</v>
      </c>
      <c r="F472" s="53" t="s">
        <v>3812</v>
      </c>
      <c r="G472" s="28">
        <v>0</v>
      </c>
    </row>
    <row r="473" spans="1:7" x14ac:dyDescent="0.35">
      <c r="A473" s="22" t="s">
        <v>2549</v>
      </c>
      <c r="B473" s="22"/>
      <c r="C473" s="26">
        <v>45899</v>
      </c>
      <c r="D473" s="25" t="s">
        <v>3102</v>
      </c>
      <c r="E473" s="25" t="s">
        <v>2677</v>
      </c>
      <c r="F473" s="53" t="s">
        <v>3812</v>
      </c>
      <c r="G473" s="28">
        <v>0</v>
      </c>
    </row>
    <row r="474" spans="1:7" x14ac:dyDescent="0.35">
      <c r="A474" s="22" t="s">
        <v>2549</v>
      </c>
      <c r="B474" s="22"/>
      <c r="C474" s="26">
        <v>45899</v>
      </c>
      <c r="D474" s="25" t="s">
        <v>3103</v>
      </c>
      <c r="E474" s="25" t="s">
        <v>2266</v>
      </c>
      <c r="F474" s="53" t="s">
        <v>3812</v>
      </c>
      <c r="G474" s="28">
        <v>1750.43</v>
      </c>
    </row>
    <row r="475" spans="1:7" x14ac:dyDescent="0.35">
      <c r="A475" s="22" t="s">
        <v>2549</v>
      </c>
      <c r="B475" s="22"/>
      <c r="C475" s="26">
        <v>45899</v>
      </c>
      <c r="D475" s="25" t="s">
        <v>3104</v>
      </c>
      <c r="E475" s="25" t="s">
        <v>2266</v>
      </c>
      <c r="F475" s="53" t="s">
        <v>3812</v>
      </c>
      <c r="G475" s="28">
        <v>0</v>
      </c>
    </row>
    <row r="476" spans="1:7" x14ac:dyDescent="0.35">
      <c r="A476" s="22" t="s">
        <v>2549</v>
      </c>
      <c r="B476" s="22"/>
      <c r="C476" s="26">
        <v>45899</v>
      </c>
      <c r="D476" s="25" t="s">
        <v>3105</v>
      </c>
      <c r="E476" s="25" t="s">
        <v>2266</v>
      </c>
      <c r="F476" s="53" t="s">
        <v>3812</v>
      </c>
      <c r="G476" s="28">
        <v>0</v>
      </c>
    </row>
    <row r="477" spans="1:7" x14ac:dyDescent="0.35">
      <c r="A477" s="22" t="s">
        <v>2549</v>
      </c>
      <c r="B477" s="22"/>
      <c r="C477" s="26">
        <v>45899</v>
      </c>
      <c r="D477" s="25" t="s">
        <v>3106</v>
      </c>
      <c r="E477" s="25" t="s">
        <v>1343</v>
      </c>
      <c r="F477" s="53" t="s">
        <v>3812</v>
      </c>
      <c r="G477" s="28">
        <v>0</v>
      </c>
    </row>
    <row r="478" spans="1:7" x14ac:dyDescent="0.35">
      <c r="A478" s="22" t="s">
        <v>2549</v>
      </c>
      <c r="B478" s="22"/>
      <c r="C478" s="26">
        <v>45899</v>
      </c>
      <c r="D478" s="25" t="s">
        <v>3107</v>
      </c>
      <c r="E478" s="25" t="s">
        <v>3472</v>
      </c>
      <c r="F478" s="53" t="s">
        <v>3812</v>
      </c>
      <c r="G478" s="28">
        <v>0</v>
      </c>
    </row>
    <row r="479" spans="1:7" x14ac:dyDescent="0.35">
      <c r="A479" s="22" t="s">
        <v>2549</v>
      </c>
      <c r="B479" s="22"/>
      <c r="C479" s="26">
        <v>45899</v>
      </c>
      <c r="D479" s="25" t="s">
        <v>3108</v>
      </c>
      <c r="E479" s="25" t="s">
        <v>3472</v>
      </c>
      <c r="F479" s="53" t="s">
        <v>3812</v>
      </c>
      <c r="G479" s="28">
        <v>0</v>
      </c>
    </row>
    <row r="480" spans="1:7" x14ac:dyDescent="0.35">
      <c r="A480" s="22" t="s">
        <v>2549</v>
      </c>
      <c r="B480" s="22"/>
      <c r="C480" s="26">
        <v>45899</v>
      </c>
      <c r="D480" s="25" t="s">
        <v>3109</v>
      </c>
      <c r="E480" s="25" t="s">
        <v>3472</v>
      </c>
      <c r="F480" s="53" t="s">
        <v>3812</v>
      </c>
      <c r="G480" s="28">
        <v>0</v>
      </c>
    </row>
    <row r="481" spans="1:7" x14ac:dyDescent="0.35">
      <c r="A481" s="22" t="s">
        <v>2549</v>
      </c>
      <c r="B481" s="22"/>
      <c r="C481" s="26">
        <v>45899</v>
      </c>
      <c r="D481" s="25" t="s">
        <v>3110</v>
      </c>
      <c r="E481" s="25" t="s">
        <v>1071</v>
      </c>
      <c r="F481" s="53" t="s">
        <v>3812</v>
      </c>
      <c r="G481" s="28">
        <v>0</v>
      </c>
    </row>
    <row r="482" spans="1:7" x14ac:dyDescent="0.35">
      <c r="A482" s="22" t="s">
        <v>2549</v>
      </c>
      <c r="B482" s="22"/>
      <c r="C482" s="26">
        <v>45899</v>
      </c>
      <c r="D482" s="25" t="s">
        <v>3111</v>
      </c>
      <c r="E482" s="25" t="s">
        <v>2396</v>
      </c>
      <c r="F482" s="53" t="s">
        <v>3812</v>
      </c>
      <c r="G482" s="28">
        <v>0</v>
      </c>
    </row>
    <row r="483" spans="1:7" x14ac:dyDescent="0.35">
      <c r="A483" s="22" t="s">
        <v>2549</v>
      </c>
      <c r="B483" s="22"/>
      <c r="C483" s="26">
        <v>45899</v>
      </c>
      <c r="D483" s="25" t="s">
        <v>3112</v>
      </c>
      <c r="E483" s="25" t="s">
        <v>989</v>
      </c>
      <c r="F483" s="53" t="s">
        <v>3812</v>
      </c>
      <c r="G483" s="28">
        <v>3097.55</v>
      </c>
    </row>
    <row r="484" spans="1:7" x14ac:dyDescent="0.35">
      <c r="A484" s="22" t="s">
        <v>2549</v>
      </c>
      <c r="B484" s="22"/>
      <c r="C484" s="26">
        <v>45899</v>
      </c>
      <c r="D484" s="25" t="s">
        <v>3113</v>
      </c>
      <c r="E484" s="25" t="s">
        <v>2429</v>
      </c>
      <c r="F484" s="53" t="s">
        <v>3812</v>
      </c>
      <c r="G484" s="28">
        <v>0</v>
      </c>
    </row>
    <row r="485" spans="1:7" x14ac:dyDescent="0.35">
      <c r="A485" s="22" t="s">
        <v>2549</v>
      </c>
      <c r="B485" s="22"/>
      <c r="C485" s="26">
        <v>45899</v>
      </c>
      <c r="D485" s="25" t="s">
        <v>3114</v>
      </c>
      <c r="E485" s="25" t="s">
        <v>2429</v>
      </c>
      <c r="F485" s="53" t="s">
        <v>3812</v>
      </c>
      <c r="G485" s="28">
        <v>0</v>
      </c>
    </row>
    <row r="486" spans="1:7" x14ac:dyDescent="0.35">
      <c r="A486" s="22" t="s">
        <v>2549</v>
      </c>
      <c r="B486" s="22"/>
      <c r="C486" s="26">
        <v>45899</v>
      </c>
      <c r="D486" s="25" t="s">
        <v>3116</v>
      </c>
      <c r="E486" s="25" t="s">
        <v>2429</v>
      </c>
      <c r="F486" s="53" t="s">
        <v>3812</v>
      </c>
      <c r="G486" s="28">
        <v>0</v>
      </c>
    </row>
    <row r="487" spans="1:7" x14ac:dyDescent="0.35">
      <c r="A487" s="22" t="s">
        <v>2549</v>
      </c>
      <c r="B487" s="22"/>
      <c r="C487" s="26">
        <v>45899</v>
      </c>
      <c r="D487" s="25" t="s">
        <v>3117</v>
      </c>
      <c r="E487" s="25" t="s">
        <v>2429</v>
      </c>
      <c r="F487" s="53" t="s">
        <v>3812</v>
      </c>
      <c r="G487" s="28">
        <v>0</v>
      </c>
    </row>
    <row r="488" spans="1:7" x14ac:dyDescent="0.35">
      <c r="A488" s="22" t="s">
        <v>2549</v>
      </c>
      <c r="B488" s="22"/>
      <c r="C488" s="26">
        <v>45899</v>
      </c>
      <c r="D488" s="25" t="s">
        <v>3118</v>
      </c>
      <c r="E488" s="25" t="s">
        <v>3473</v>
      </c>
      <c r="F488" s="53" t="s">
        <v>3812</v>
      </c>
      <c r="G488" s="28">
        <v>0</v>
      </c>
    </row>
    <row r="489" spans="1:7" x14ac:dyDescent="0.35">
      <c r="A489" s="22" t="s">
        <v>2549</v>
      </c>
      <c r="B489" s="22"/>
      <c r="C489" s="26">
        <v>45899</v>
      </c>
      <c r="D489" s="25" t="s">
        <v>3119</v>
      </c>
      <c r="E489" s="25" t="s">
        <v>3474</v>
      </c>
      <c r="F489" s="53" t="s">
        <v>3812</v>
      </c>
      <c r="G489" s="28">
        <v>0</v>
      </c>
    </row>
    <row r="490" spans="1:7" x14ac:dyDescent="0.35">
      <c r="A490" s="22" t="s">
        <v>2549</v>
      </c>
      <c r="B490" s="22"/>
      <c r="C490" s="26">
        <v>45899</v>
      </c>
      <c r="D490" s="25" t="s">
        <v>3120</v>
      </c>
      <c r="E490" s="25" t="s">
        <v>3474</v>
      </c>
      <c r="F490" s="53" t="s">
        <v>3812</v>
      </c>
      <c r="G490" s="28">
        <v>0</v>
      </c>
    </row>
    <row r="491" spans="1:7" x14ac:dyDescent="0.35">
      <c r="A491" s="22" t="s">
        <v>2549</v>
      </c>
      <c r="B491" s="22"/>
      <c r="C491" s="26">
        <v>45899</v>
      </c>
      <c r="D491" s="25" t="s">
        <v>3121</v>
      </c>
      <c r="E491" s="25" t="s">
        <v>3474</v>
      </c>
      <c r="F491" s="53" t="s">
        <v>3812</v>
      </c>
      <c r="G491" s="28">
        <v>0</v>
      </c>
    </row>
    <row r="492" spans="1:7" x14ac:dyDescent="0.35">
      <c r="A492" s="22" t="s">
        <v>2549</v>
      </c>
      <c r="B492" s="22"/>
      <c r="C492" s="26">
        <v>45899</v>
      </c>
      <c r="D492" s="25" t="s">
        <v>3122</v>
      </c>
      <c r="E492" s="25" t="s">
        <v>3474</v>
      </c>
      <c r="F492" s="53" t="s">
        <v>3812</v>
      </c>
      <c r="G492" s="28">
        <v>0</v>
      </c>
    </row>
    <row r="493" spans="1:7" x14ac:dyDescent="0.35">
      <c r="A493" s="22" t="s">
        <v>2549</v>
      </c>
      <c r="B493" s="22"/>
      <c r="C493" s="26">
        <v>45899</v>
      </c>
      <c r="D493" s="25" t="s">
        <v>3123</v>
      </c>
      <c r="E493" s="25" t="s">
        <v>3472</v>
      </c>
      <c r="F493" s="53" t="s">
        <v>3812</v>
      </c>
      <c r="G493" s="28">
        <v>0</v>
      </c>
    </row>
    <row r="494" spans="1:7" x14ac:dyDescent="0.35">
      <c r="A494" s="22" t="s">
        <v>2549</v>
      </c>
      <c r="B494" s="22"/>
      <c r="C494" s="26">
        <v>45899</v>
      </c>
      <c r="D494" s="25" t="s">
        <v>3124</v>
      </c>
      <c r="E494" s="25" t="s">
        <v>3472</v>
      </c>
      <c r="F494" s="53" t="s">
        <v>3812</v>
      </c>
      <c r="G494" s="28">
        <v>0</v>
      </c>
    </row>
    <row r="495" spans="1:7" x14ac:dyDescent="0.35">
      <c r="A495" s="22" t="s">
        <v>2549</v>
      </c>
      <c r="B495" s="22"/>
      <c r="C495" s="26">
        <v>45899</v>
      </c>
      <c r="D495" s="25" t="s">
        <v>3125</v>
      </c>
      <c r="E495" s="25" t="s">
        <v>3475</v>
      </c>
      <c r="F495" s="53" t="s">
        <v>3812</v>
      </c>
      <c r="G495" s="28">
        <v>622.25</v>
      </c>
    </row>
    <row r="496" spans="1:7" x14ac:dyDescent="0.35">
      <c r="A496" s="22" t="s">
        <v>2549</v>
      </c>
      <c r="B496" s="22"/>
      <c r="C496" s="26">
        <v>45899</v>
      </c>
      <c r="D496" s="25" t="s">
        <v>3126</v>
      </c>
      <c r="E496" s="25" t="s">
        <v>3475</v>
      </c>
      <c r="F496" s="53" t="s">
        <v>3812</v>
      </c>
      <c r="G496" s="28">
        <v>0</v>
      </c>
    </row>
    <row r="497" spans="1:7" x14ac:dyDescent="0.35">
      <c r="A497" s="22" t="s">
        <v>2549</v>
      </c>
      <c r="B497" s="22"/>
      <c r="C497" s="26">
        <v>45899</v>
      </c>
      <c r="D497" s="25" t="s">
        <v>3127</v>
      </c>
      <c r="E497" s="25" t="s">
        <v>1280</v>
      </c>
      <c r="F497" s="53" t="s">
        <v>3812</v>
      </c>
      <c r="G497" s="28">
        <v>0</v>
      </c>
    </row>
    <row r="498" spans="1:7" x14ac:dyDescent="0.35">
      <c r="A498" s="22" t="s">
        <v>2549</v>
      </c>
      <c r="B498" s="22"/>
      <c r="C498" s="26">
        <v>45899</v>
      </c>
      <c r="D498" s="25" t="s">
        <v>3128</v>
      </c>
      <c r="E498" s="25" t="s">
        <v>3476</v>
      </c>
      <c r="F498" s="53" t="s">
        <v>3812</v>
      </c>
      <c r="G498" s="28">
        <v>0</v>
      </c>
    </row>
    <row r="499" spans="1:7" x14ac:dyDescent="0.35">
      <c r="A499" s="22" t="s">
        <v>2549</v>
      </c>
      <c r="B499" s="22"/>
      <c r="C499" s="26">
        <v>45899</v>
      </c>
      <c r="D499" s="25" t="s">
        <v>3129</v>
      </c>
      <c r="E499" s="25" t="s">
        <v>1263</v>
      </c>
      <c r="F499" s="53" t="s">
        <v>3812</v>
      </c>
      <c r="G499" s="28">
        <v>0</v>
      </c>
    </row>
    <row r="500" spans="1:7" x14ac:dyDescent="0.35">
      <c r="A500" s="22" t="s">
        <v>2549</v>
      </c>
      <c r="B500" s="22"/>
      <c r="C500" s="26">
        <v>45899</v>
      </c>
      <c r="D500" s="25" t="s">
        <v>3130</v>
      </c>
      <c r="E500" s="25" t="s">
        <v>1263</v>
      </c>
      <c r="F500" s="53" t="s">
        <v>3812</v>
      </c>
      <c r="G500" s="28">
        <v>0</v>
      </c>
    </row>
    <row r="501" spans="1:7" x14ac:dyDescent="0.35">
      <c r="A501" s="22" t="s">
        <v>2549</v>
      </c>
      <c r="B501" s="22"/>
      <c r="C501" s="26">
        <v>45899</v>
      </c>
      <c r="D501" s="25" t="s">
        <v>3131</v>
      </c>
      <c r="E501" s="25" t="s">
        <v>1263</v>
      </c>
      <c r="F501" s="53" t="s">
        <v>3812</v>
      </c>
      <c r="G501" s="28">
        <v>0</v>
      </c>
    </row>
    <row r="502" spans="1:7" x14ac:dyDescent="0.35">
      <c r="A502" s="22" t="s">
        <v>2549</v>
      </c>
      <c r="B502" s="22"/>
      <c r="C502" s="26">
        <v>45899</v>
      </c>
      <c r="D502" s="25" t="s">
        <v>3133</v>
      </c>
      <c r="E502" s="25" t="s">
        <v>1263</v>
      </c>
      <c r="F502" s="53" t="s">
        <v>3812</v>
      </c>
      <c r="G502" s="28">
        <v>0</v>
      </c>
    </row>
    <row r="503" spans="1:7" x14ac:dyDescent="0.35">
      <c r="A503" s="22" t="s">
        <v>2549</v>
      </c>
      <c r="B503" s="22"/>
      <c r="C503" s="26">
        <v>45899</v>
      </c>
      <c r="D503" s="25" t="s">
        <v>3134</v>
      </c>
      <c r="E503" s="25" t="s">
        <v>1263</v>
      </c>
      <c r="F503" s="53" t="s">
        <v>3812</v>
      </c>
      <c r="G503" s="28">
        <v>0</v>
      </c>
    </row>
    <row r="504" spans="1:7" x14ac:dyDescent="0.35">
      <c r="A504" s="22" t="s">
        <v>2549</v>
      </c>
      <c r="B504" s="22"/>
      <c r="C504" s="26">
        <v>45899</v>
      </c>
      <c r="D504" s="25" t="s">
        <v>3135</v>
      </c>
      <c r="E504" s="25" t="s">
        <v>1263</v>
      </c>
      <c r="F504" s="53" t="s">
        <v>3812</v>
      </c>
      <c r="G504" s="28">
        <v>0</v>
      </c>
    </row>
    <row r="505" spans="1:7" x14ac:dyDescent="0.35">
      <c r="A505" s="22" t="s">
        <v>2549</v>
      </c>
      <c r="B505" s="22"/>
      <c r="C505" s="26">
        <v>45899</v>
      </c>
      <c r="D505" s="25" t="s">
        <v>3136</v>
      </c>
      <c r="E505" s="25" t="s">
        <v>1263</v>
      </c>
      <c r="F505" s="53" t="s">
        <v>3812</v>
      </c>
      <c r="G505" s="28">
        <v>0</v>
      </c>
    </row>
    <row r="506" spans="1:7" x14ac:dyDescent="0.35">
      <c r="A506" s="22" t="s">
        <v>2549</v>
      </c>
      <c r="B506" s="22"/>
      <c r="C506" s="26">
        <v>45899</v>
      </c>
      <c r="D506" s="25" t="s">
        <v>3137</v>
      </c>
      <c r="E506" s="25" t="s">
        <v>1263</v>
      </c>
      <c r="F506" s="53" t="s">
        <v>3812</v>
      </c>
      <c r="G506" s="28">
        <v>0</v>
      </c>
    </row>
    <row r="507" spans="1:7" x14ac:dyDescent="0.35">
      <c r="A507" s="22" t="s">
        <v>2549</v>
      </c>
      <c r="B507" s="22"/>
      <c r="C507" s="26">
        <v>45899</v>
      </c>
      <c r="D507" s="25" t="s">
        <v>3138</v>
      </c>
      <c r="E507" s="25" t="s">
        <v>1629</v>
      </c>
      <c r="F507" s="53" t="s">
        <v>3812</v>
      </c>
      <c r="G507" s="28">
        <v>0</v>
      </c>
    </row>
    <row r="508" spans="1:7" x14ac:dyDescent="0.35">
      <c r="A508" s="22" t="s">
        <v>2549</v>
      </c>
      <c r="B508" s="22"/>
      <c r="C508" s="26">
        <v>45899</v>
      </c>
      <c r="D508" s="25" t="s">
        <v>3140</v>
      </c>
      <c r="E508" s="25" t="s">
        <v>3477</v>
      </c>
      <c r="F508" s="53" t="s">
        <v>3812</v>
      </c>
      <c r="G508" s="28">
        <v>0</v>
      </c>
    </row>
    <row r="509" spans="1:7" x14ac:dyDescent="0.35">
      <c r="A509" s="22" t="s">
        <v>2549</v>
      </c>
      <c r="B509" s="22"/>
      <c r="C509" s="26">
        <v>45899</v>
      </c>
      <c r="D509" s="25" t="s">
        <v>3141</v>
      </c>
      <c r="E509" s="25" t="s">
        <v>2313</v>
      </c>
      <c r="F509" s="53" t="s">
        <v>3812</v>
      </c>
      <c r="G509" s="28">
        <v>0</v>
      </c>
    </row>
    <row r="510" spans="1:7" x14ac:dyDescent="0.35">
      <c r="A510" s="22" t="s">
        <v>2549</v>
      </c>
      <c r="B510" s="22"/>
      <c r="C510" s="26">
        <v>45899</v>
      </c>
      <c r="D510" s="25" t="s">
        <v>3142</v>
      </c>
      <c r="E510" s="25" t="s">
        <v>2313</v>
      </c>
      <c r="F510" s="53" t="s">
        <v>3812</v>
      </c>
      <c r="G510" s="28">
        <v>0</v>
      </c>
    </row>
    <row r="511" spans="1:7" x14ac:dyDescent="0.35">
      <c r="A511" s="22" t="s">
        <v>2549</v>
      </c>
      <c r="B511" s="22"/>
      <c r="C511" s="26">
        <v>45899</v>
      </c>
      <c r="D511" s="25" t="s">
        <v>3143</v>
      </c>
      <c r="E511" s="25" t="s">
        <v>2313</v>
      </c>
      <c r="F511" s="53" t="s">
        <v>3812</v>
      </c>
      <c r="G511" s="28">
        <v>0</v>
      </c>
    </row>
    <row r="512" spans="1:7" x14ac:dyDescent="0.35">
      <c r="A512" s="22" t="s">
        <v>2549</v>
      </c>
      <c r="B512" s="22"/>
      <c r="C512" s="26">
        <v>45899</v>
      </c>
      <c r="D512" s="25" t="s">
        <v>3145</v>
      </c>
      <c r="E512" s="25" t="s">
        <v>2313</v>
      </c>
      <c r="F512" s="53" t="s">
        <v>3812</v>
      </c>
      <c r="G512" s="28">
        <v>0</v>
      </c>
    </row>
    <row r="513" spans="1:7" x14ac:dyDescent="0.35">
      <c r="A513" s="22" t="s">
        <v>2549</v>
      </c>
      <c r="B513" s="22"/>
      <c r="C513" s="26">
        <v>45899</v>
      </c>
      <c r="D513" s="25" t="s">
        <v>3147</v>
      </c>
      <c r="E513" s="25" t="s">
        <v>2313</v>
      </c>
      <c r="F513" s="53" t="s">
        <v>3812</v>
      </c>
      <c r="G513" s="28">
        <v>0</v>
      </c>
    </row>
    <row r="514" spans="1:7" x14ac:dyDescent="0.35">
      <c r="A514" s="22" t="s">
        <v>2549</v>
      </c>
      <c r="B514" s="22"/>
      <c r="C514" s="26">
        <v>45899</v>
      </c>
      <c r="D514" s="25" t="s">
        <v>3149</v>
      </c>
      <c r="E514" s="25" t="s">
        <v>2313</v>
      </c>
      <c r="F514" s="53" t="s">
        <v>3812</v>
      </c>
      <c r="G514" s="28">
        <v>0</v>
      </c>
    </row>
    <row r="515" spans="1:7" x14ac:dyDescent="0.35">
      <c r="A515" s="22" t="s">
        <v>2549</v>
      </c>
      <c r="B515" s="22"/>
      <c r="C515" s="26">
        <v>45899</v>
      </c>
      <c r="D515" s="25" t="s">
        <v>3151</v>
      </c>
      <c r="E515" s="25" t="s">
        <v>2313</v>
      </c>
      <c r="F515" s="53" t="s">
        <v>3812</v>
      </c>
      <c r="G515" s="28">
        <v>0</v>
      </c>
    </row>
    <row r="516" spans="1:7" x14ac:dyDescent="0.35">
      <c r="A516" s="22" t="s">
        <v>2549</v>
      </c>
      <c r="B516" s="22"/>
      <c r="C516" s="26">
        <v>45899</v>
      </c>
      <c r="D516" s="25" t="s">
        <v>3152</v>
      </c>
      <c r="E516" s="25" t="s">
        <v>2313</v>
      </c>
      <c r="F516" s="53" t="s">
        <v>3812</v>
      </c>
      <c r="G516" s="28">
        <v>0</v>
      </c>
    </row>
    <row r="517" spans="1:7" x14ac:dyDescent="0.35">
      <c r="A517" s="22" t="s">
        <v>2549</v>
      </c>
      <c r="B517" s="22"/>
      <c r="C517" s="26">
        <v>45899</v>
      </c>
      <c r="D517" s="25">
        <v>37789</v>
      </c>
      <c r="E517" s="25" t="s">
        <v>301</v>
      </c>
      <c r="F517" s="53" t="s">
        <v>3812</v>
      </c>
      <c r="G517" s="28">
        <v>0</v>
      </c>
    </row>
    <row r="518" spans="1:7" x14ac:dyDescent="0.35">
      <c r="A518" s="22" t="s">
        <v>2549</v>
      </c>
      <c r="B518" s="22"/>
      <c r="C518" s="26">
        <v>45899</v>
      </c>
      <c r="D518" s="25" t="s">
        <v>3155</v>
      </c>
      <c r="E518" s="25" t="s">
        <v>3470</v>
      </c>
      <c r="F518" s="53" t="s">
        <v>3812</v>
      </c>
      <c r="G518" s="28">
        <v>0</v>
      </c>
    </row>
    <row r="519" spans="1:7" x14ac:dyDescent="0.35">
      <c r="A519" s="22" t="s">
        <v>2549</v>
      </c>
      <c r="B519" s="22"/>
      <c r="C519" s="26">
        <v>45899</v>
      </c>
      <c r="D519" s="25" t="s">
        <v>3156</v>
      </c>
      <c r="E519" s="25" t="s">
        <v>999</v>
      </c>
      <c r="F519" s="53" t="s">
        <v>3812</v>
      </c>
      <c r="G519" s="28">
        <v>0</v>
      </c>
    </row>
    <row r="520" spans="1:7" x14ac:dyDescent="0.35">
      <c r="A520" s="22" t="s">
        <v>2549</v>
      </c>
      <c r="B520" s="22"/>
      <c r="C520" s="26">
        <v>45899</v>
      </c>
      <c r="D520" s="25" t="s">
        <v>3157</v>
      </c>
      <c r="E520" s="25" t="s">
        <v>999</v>
      </c>
      <c r="F520" s="53" t="s">
        <v>3812</v>
      </c>
      <c r="G520" s="28">
        <v>0</v>
      </c>
    </row>
    <row r="521" spans="1:7" x14ac:dyDescent="0.35">
      <c r="A521" s="22" t="s">
        <v>2549</v>
      </c>
      <c r="B521" s="22"/>
      <c r="C521" s="26">
        <v>45899</v>
      </c>
      <c r="D521" s="25" t="s">
        <v>3158</v>
      </c>
      <c r="E521" s="25" t="s">
        <v>2449</v>
      </c>
      <c r="F521" s="53" t="s">
        <v>3812</v>
      </c>
      <c r="G521" s="28">
        <v>0</v>
      </c>
    </row>
    <row r="522" spans="1:7" x14ac:dyDescent="0.35">
      <c r="A522" s="22" t="s">
        <v>2549</v>
      </c>
      <c r="B522" s="22"/>
      <c r="C522" s="26">
        <v>45899</v>
      </c>
      <c r="D522" s="25" t="s">
        <v>3159</v>
      </c>
      <c r="E522" s="25" t="s">
        <v>2449</v>
      </c>
      <c r="F522" s="53" t="s">
        <v>3812</v>
      </c>
      <c r="G522" s="28">
        <v>0</v>
      </c>
    </row>
    <row r="523" spans="1:7" x14ac:dyDescent="0.35">
      <c r="A523" s="22" t="s">
        <v>2549</v>
      </c>
      <c r="B523" s="22"/>
      <c r="C523" s="26">
        <v>45899</v>
      </c>
      <c r="D523" s="25" t="s">
        <v>3160</v>
      </c>
      <c r="E523" s="25" t="s">
        <v>3478</v>
      </c>
      <c r="F523" s="53" t="s">
        <v>3812</v>
      </c>
      <c r="G523" s="28">
        <v>0</v>
      </c>
    </row>
    <row r="524" spans="1:7" x14ac:dyDescent="0.35">
      <c r="A524" s="22" t="s">
        <v>2549</v>
      </c>
      <c r="B524" s="22"/>
      <c r="C524" s="26">
        <v>45899</v>
      </c>
      <c r="D524" s="25" t="s">
        <v>3161</v>
      </c>
      <c r="E524" s="25" t="s">
        <v>3478</v>
      </c>
      <c r="F524" s="53" t="s">
        <v>3812</v>
      </c>
      <c r="G524" s="28">
        <v>0</v>
      </c>
    </row>
    <row r="525" spans="1:7" x14ac:dyDescent="0.35">
      <c r="A525" s="22" t="s">
        <v>2549</v>
      </c>
      <c r="B525" s="22"/>
      <c r="C525" s="26">
        <v>45899</v>
      </c>
      <c r="D525" s="25" t="s">
        <v>3162</v>
      </c>
      <c r="E525" s="25" t="s">
        <v>3478</v>
      </c>
      <c r="F525" s="53" t="s">
        <v>3812</v>
      </c>
      <c r="G525" s="28">
        <v>0</v>
      </c>
    </row>
    <row r="526" spans="1:7" x14ac:dyDescent="0.35">
      <c r="A526" s="22" t="s">
        <v>2549</v>
      </c>
      <c r="B526" s="22"/>
      <c r="C526" s="26">
        <v>45899</v>
      </c>
      <c r="D526" s="25" t="s">
        <v>3163</v>
      </c>
      <c r="E526" s="25" t="s">
        <v>3478</v>
      </c>
      <c r="F526" s="53" t="s">
        <v>3812</v>
      </c>
      <c r="G526" s="28">
        <v>0</v>
      </c>
    </row>
    <row r="527" spans="1:7" x14ac:dyDescent="0.35">
      <c r="A527" s="22" t="s">
        <v>2549</v>
      </c>
      <c r="B527" s="22"/>
      <c r="C527" s="26">
        <v>45899</v>
      </c>
      <c r="D527" s="25" t="s">
        <v>3164</v>
      </c>
      <c r="E527" s="25" t="s">
        <v>3478</v>
      </c>
      <c r="F527" s="53" t="s">
        <v>3812</v>
      </c>
      <c r="G527" s="28">
        <v>0</v>
      </c>
    </row>
    <row r="528" spans="1:7" x14ac:dyDescent="0.35">
      <c r="A528" s="22" t="s">
        <v>2549</v>
      </c>
      <c r="B528" s="22"/>
      <c r="C528" s="26">
        <v>45899</v>
      </c>
      <c r="D528" s="25" t="s">
        <v>3165</v>
      </c>
      <c r="E528" s="25" t="s">
        <v>2144</v>
      </c>
      <c r="F528" s="53" t="s">
        <v>3812</v>
      </c>
      <c r="G528" s="28">
        <v>0</v>
      </c>
    </row>
    <row r="529" spans="1:7" x14ac:dyDescent="0.35">
      <c r="A529" s="22" t="s">
        <v>2549</v>
      </c>
      <c r="B529" s="22"/>
      <c r="C529" s="26">
        <v>45899</v>
      </c>
      <c r="D529" s="25" t="s">
        <v>3166</v>
      </c>
      <c r="E529" s="25" t="s">
        <v>2205</v>
      </c>
      <c r="F529" s="53" t="s">
        <v>3812</v>
      </c>
      <c r="G529" s="28">
        <v>0</v>
      </c>
    </row>
    <row r="530" spans="1:7" x14ac:dyDescent="0.35">
      <c r="A530" s="22" t="s">
        <v>2549</v>
      </c>
      <c r="B530" s="22"/>
      <c r="C530" s="26">
        <v>45899</v>
      </c>
      <c r="D530" s="25" t="s">
        <v>3167</v>
      </c>
      <c r="E530" s="25" t="s">
        <v>2205</v>
      </c>
      <c r="F530" s="53" t="s">
        <v>3812</v>
      </c>
      <c r="G530" s="28">
        <v>0</v>
      </c>
    </row>
    <row r="531" spans="1:7" x14ac:dyDescent="0.35">
      <c r="A531" s="22" t="s">
        <v>2549</v>
      </c>
      <c r="B531" s="22"/>
      <c r="C531" s="26">
        <v>45899</v>
      </c>
      <c r="D531" s="25" t="s">
        <v>3168</v>
      </c>
      <c r="E531" s="25" t="s">
        <v>2205</v>
      </c>
      <c r="F531" s="53" t="s">
        <v>3812</v>
      </c>
      <c r="G531" s="28">
        <v>0</v>
      </c>
    </row>
    <row r="532" spans="1:7" x14ac:dyDescent="0.35">
      <c r="A532" s="22" t="s">
        <v>2549</v>
      </c>
      <c r="B532" s="22"/>
      <c r="C532" s="26">
        <v>45899</v>
      </c>
      <c r="D532" s="25" t="s">
        <v>3169</v>
      </c>
      <c r="E532" s="25" t="s">
        <v>2392</v>
      </c>
      <c r="F532" s="53" t="s">
        <v>3812</v>
      </c>
      <c r="G532" s="28">
        <v>0</v>
      </c>
    </row>
    <row r="533" spans="1:7" x14ac:dyDescent="0.35">
      <c r="A533" s="22" t="s">
        <v>2549</v>
      </c>
      <c r="B533" s="22"/>
      <c r="C533" s="26">
        <v>45899</v>
      </c>
      <c r="D533" s="25" t="s">
        <v>3170</v>
      </c>
      <c r="E533" s="25" t="s">
        <v>2392</v>
      </c>
      <c r="F533" s="53" t="s">
        <v>3812</v>
      </c>
      <c r="G533" s="28">
        <v>0</v>
      </c>
    </row>
    <row r="534" spans="1:7" x14ac:dyDescent="0.35">
      <c r="A534" s="22" t="s">
        <v>2549</v>
      </c>
      <c r="B534" s="22"/>
      <c r="C534" s="26">
        <v>45899</v>
      </c>
      <c r="D534" s="25" t="s">
        <v>3171</v>
      </c>
      <c r="E534" s="25" t="s">
        <v>2392</v>
      </c>
      <c r="F534" s="53" t="s">
        <v>3812</v>
      </c>
      <c r="G534" s="28">
        <v>0</v>
      </c>
    </row>
    <row r="535" spans="1:7" x14ac:dyDescent="0.35">
      <c r="A535" s="22" t="s">
        <v>2549</v>
      </c>
      <c r="B535" s="22"/>
      <c r="C535" s="26">
        <v>45899</v>
      </c>
      <c r="D535" s="25" t="s">
        <v>3172</v>
      </c>
      <c r="E535" s="25" t="s">
        <v>2392</v>
      </c>
      <c r="F535" s="53" t="s">
        <v>3812</v>
      </c>
      <c r="G535" s="28">
        <v>0</v>
      </c>
    </row>
    <row r="536" spans="1:7" x14ac:dyDescent="0.35">
      <c r="A536" s="22" t="s">
        <v>2549</v>
      </c>
      <c r="B536" s="22"/>
      <c r="C536" s="26">
        <v>45899</v>
      </c>
      <c r="D536" s="25" t="s">
        <v>3173</v>
      </c>
      <c r="E536" s="25" t="s">
        <v>2392</v>
      </c>
      <c r="F536" s="53" t="s">
        <v>3812</v>
      </c>
      <c r="G536" s="28">
        <v>0</v>
      </c>
    </row>
    <row r="537" spans="1:7" x14ac:dyDescent="0.35">
      <c r="A537" s="22" t="s">
        <v>2549</v>
      </c>
      <c r="B537" s="22"/>
      <c r="C537" s="26">
        <v>45899</v>
      </c>
      <c r="D537" s="25" t="s">
        <v>3174</v>
      </c>
      <c r="E537" s="25" t="s">
        <v>2392</v>
      </c>
      <c r="F537" s="53" t="s">
        <v>3812</v>
      </c>
      <c r="G537" s="28">
        <v>0</v>
      </c>
    </row>
    <row r="538" spans="1:7" x14ac:dyDescent="0.35">
      <c r="A538" s="22" t="s">
        <v>2549</v>
      </c>
      <c r="B538" s="22"/>
      <c r="C538" s="26">
        <v>45899</v>
      </c>
      <c r="D538" s="25" t="s">
        <v>3175</v>
      </c>
      <c r="E538" s="25" t="s">
        <v>2392</v>
      </c>
      <c r="F538" s="53" t="s">
        <v>3812</v>
      </c>
      <c r="G538" s="28">
        <v>0</v>
      </c>
    </row>
    <row r="539" spans="1:7" x14ac:dyDescent="0.35">
      <c r="A539" s="22" t="s">
        <v>2549</v>
      </c>
      <c r="B539" s="22"/>
      <c r="C539" s="26">
        <v>45899</v>
      </c>
      <c r="D539" s="25" t="s">
        <v>3176</v>
      </c>
      <c r="E539" s="25" t="s">
        <v>2437</v>
      </c>
      <c r="F539" s="53" t="s">
        <v>3812</v>
      </c>
      <c r="G539" s="28">
        <v>0</v>
      </c>
    </row>
    <row r="540" spans="1:7" x14ac:dyDescent="0.35">
      <c r="A540" s="22" t="s">
        <v>2549</v>
      </c>
      <c r="B540" s="22"/>
      <c r="C540" s="26">
        <v>45899</v>
      </c>
      <c r="D540" s="25" t="s">
        <v>3177</v>
      </c>
      <c r="E540" s="25" t="s">
        <v>3479</v>
      </c>
      <c r="F540" s="53" t="s">
        <v>3812</v>
      </c>
      <c r="G540" s="28">
        <v>351.49</v>
      </c>
    </row>
    <row r="541" spans="1:7" x14ac:dyDescent="0.35">
      <c r="A541" s="22" t="s">
        <v>2549</v>
      </c>
      <c r="B541" s="22"/>
      <c r="C541" s="26">
        <v>45899</v>
      </c>
      <c r="D541" s="25" t="s">
        <v>3178</v>
      </c>
      <c r="E541" s="25" t="s">
        <v>3480</v>
      </c>
      <c r="F541" s="53" t="s">
        <v>3812</v>
      </c>
      <c r="G541" s="28">
        <v>0</v>
      </c>
    </row>
    <row r="542" spans="1:7" x14ac:dyDescent="0.35">
      <c r="A542" s="22" t="s">
        <v>2549</v>
      </c>
      <c r="B542" s="22"/>
      <c r="C542" s="26">
        <v>45899</v>
      </c>
      <c r="D542" s="25" t="s">
        <v>3179</v>
      </c>
      <c r="E542" s="25" t="s">
        <v>2437</v>
      </c>
      <c r="F542" s="53" t="s">
        <v>3812</v>
      </c>
      <c r="G542" s="28">
        <v>0</v>
      </c>
    </row>
    <row r="543" spans="1:7" x14ac:dyDescent="0.35">
      <c r="A543" s="22" t="s">
        <v>2549</v>
      </c>
      <c r="B543" s="22"/>
      <c r="C543" s="26">
        <v>45899</v>
      </c>
      <c r="D543" s="25" t="s">
        <v>3180</v>
      </c>
      <c r="E543" s="25" t="s">
        <v>2437</v>
      </c>
      <c r="F543" s="53" t="s">
        <v>3812</v>
      </c>
      <c r="G543" s="28">
        <v>0</v>
      </c>
    </row>
    <row r="544" spans="1:7" x14ac:dyDescent="0.35">
      <c r="A544" s="22" t="s">
        <v>2549</v>
      </c>
      <c r="B544" s="22"/>
      <c r="C544" s="26">
        <v>45899</v>
      </c>
      <c r="D544" s="25" t="s">
        <v>3181</v>
      </c>
      <c r="E544" s="25" t="s">
        <v>2437</v>
      </c>
      <c r="F544" s="53" t="s">
        <v>3812</v>
      </c>
      <c r="G544" s="28">
        <v>0</v>
      </c>
    </row>
    <row r="545" spans="1:7" x14ac:dyDescent="0.35">
      <c r="A545" s="22" t="s">
        <v>2549</v>
      </c>
      <c r="B545" s="22"/>
      <c r="C545" s="26">
        <v>45899</v>
      </c>
      <c r="D545" s="25" t="s">
        <v>3182</v>
      </c>
      <c r="E545" s="25" t="s">
        <v>1608</v>
      </c>
      <c r="F545" s="53" t="s">
        <v>3812</v>
      </c>
      <c r="G545" s="28">
        <v>0</v>
      </c>
    </row>
    <row r="546" spans="1:7" x14ac:dyDescent="0.35">
      <c r="A546" s="22" t="s">
        <v>2549</v>
      </c>
      <c r="B546" s="22"/>
      <c r="C546" s="26">
        <v>45899</v>
      </c>
      <c r="D546" s="25" t="s">
        <v>3183</v>
      </c>
      <c r="E546" s="25" t="s">
        <v>1608</v>
      </c>
      <c r="F546" s="53" t="s">
        <v>3812</v>
      </c>
      <c r="G546" s="28">
        <v>0</v>
      </c>
    </row>
    <row r="547" spans="1:7" x14ac:dyDescent="0.35">
      <c r="A547" s="22" t="s">
        <v>2549</v>
      </c>
      <c r="B547" s="22"/>
      <c r="C547" s="26">
        <v>45899</v>
      </c>
      <c r="D547" s="25" t="s">
        <v>3184</v>
      </c>
      <c r="E547" s="25" t="s">
        <v>1608</v>
      </c>
      <c r="F547" s="53" t="s">
        <v>3812</v>
      </c>
      <c r="G547" s="28">
        <v>0</v>
      </c>
    </row>
    <row r="548" spans="1:7" x14ac:dyDescent="0.35">
      <c r="A548" s="22" t="s">
        <v>2549</v>
      </c>
      <c r="B548" s="22"/>
      <c r="C548" s="26">
        <v>45899</v>
      </c>
      <c r="D548" s="25" t="s">
        <v>3185</v>
      </c>
      <c r="E548" s="25" t="s">
        <v>3481</v>
      </c>
      <c r="F548" s="53" t="s">
        <v>3812</v>
      </c>
      <c r="G548" s="28">
        <v>0</v>
      </c>
    </row>
    <row r="549" spans="1:7" x14ac:dyDescent="0.35">
      <c r="A549" s="22" t="s">
        <v>2549</v>
      </c>
      <c r="B549" s="22"/>
      <c r="C549" s="26">
        <v>45899</v>
      </c>
      <c r="D549" s="25" t="s">
        <v>3186</v>
      </c>
      <c r="E549" s="25" t="s">
        <v>3481</v>
      </c>
      <c r="F549" s="53" t="s">
        <v>3812</v>
      </c>
      <c r="G549" s="28">
        <v>0</v>
      </c>
    </row>
    <row r="550" spans="1:7" x14ac:dyDescent="0.35">
      <c r="A550" s="22" t="s">
        <v>2549</v>
      </c>
      <c r="B550" s="22"/>
      <c r="C550" s="26">
        <v>45899</v>
      </c>
      <c r="D550" s="25" t="s">
        <v>3187</v>
      </c>
      <c r="E550" s="25" t="s">
        <v>3481</v>
      </c>
      <c r="F550" s="53" t="s">
        <v>3812</v>
      </c>
      <c r="G550" s="28">
        <v>0</v>
      </c>
    </row>
    <row r="551" spans="1:7" x14ac:dyDescent="0.35">
      <c r="A551" s="22" t="s">
        <v>2549</v>
      </c>
      <c r="B551" s="22"/>
      <c r="C551" s="26">
        <v>45899</v>
      </c>
      <c r="D551" s="25" t="s">
        <v>3188</v>
      </c>
      <c r="E551" s="25" t="s">
        <v>3482</v>
      </c>
      <c r="F551" s="53" t="s">
        <v>3812</v>
      </c>
      <c r="G551" s="28">
        <v>0</v>
      </c>
    </row>
    <row r="552" spans="1:7" x14ac:dyDescent="0.35">
      <c r="A552" s="22" t="s">
        <v>2549</v>
      </c>
      <c r="B552" s="22"/>
      <c r="C552" s="26">
        <v>45899</v>
      </c>
      <c r="D552" s="25">
        <v>38034</v>
      </c>
      <c r="E552" s="25" t="s">
        <v>3483</v>
      </c>
      <c r="F552" s="53" t="s">
        <v>3812</v>
      </c>
      <c r="G552" s="28">
        <v>2645</v>
      </c>
    </row>
    <row r="553" spans="1:7" x14ac:dyDescent="0.35">
      <c r="A553" s="22" t="s">
        <v>2549</v>
      </c>
      <c r="B553" s="22"/>
      <c r="C553" s="26">
        <v>45899</v>
      </c>
      <c r="D553" s="25" t="s">
        <v>3189</v>
      </c>
      <c r="E553" s="25" t="s">
        <v>3479</v>
      </c>
      <c r="F553" s="53" t="s">
        <v>3812</v>
      </c>
      <c r="G553" s="28">
        <v>0</v>
      </c>
    </row>
    <row r="554" spans="1:7" x14ac:dyDescent="0.35">
      <c r="A554" s="22" t="s">
        <v>2549</v>
      </c>
      <c r="B554" s="22"/>
      <c r="C554" s="26">
        <v>45899</v>
      </c>
      <c r="D554" s="25" t="s">
        <v>3190</v>
      </c>
      <c r="E554" s="25" t="s">
        <v>2629</v>
      </c>
      <c r="F554" s="53" t="s">
        <v>3812</v>
      </c>
      <c r="G554" s="28">
        <v>0</v>
      </c>
    </row>
    <row r="555" spans="1:7" x14ac:dyDescent="0.35">
      <c r="A555" s="22" t="s">
        <v>2549</v>
      </c>
      <c r="B555" s="22"/>
      <c r="C555" s="26">
        <v>45899</v>
      </c>
      <c r="D555" s="25" t="s">
        <v>3191</v>
      </c>
      <c r="E555" s="25" t="s">
        <v>2629</v>
      </c>
      <c r="F555" s="53" t="s">
        <v>3812</v>
      </c>
      <c r="G555" s="28">
        <v>0</v>
      </c>
    </row>
    <row r="556" spans="1:7" x14ac:dyDescent="0.35">
      <c r="A556" s="22" t="s">
        <v>2549</v>
      </c>
      <c r="B556" s="22"/>
      <c r="C556" s="26">
        <v>45899</v>
      </c>
      <c r="D556" s="25" t="s">
        <v>3192</v>
      </c>
      <c r="E556" s="25" t="s">
        <v>2429</v>
      </c>
      <c r="F556" s="53" t="s">
        <v>3812</v>
      </c>
      <c r="G556" s="28">
        <v>0</v>
      </c>
    </row>
    <row r="557" spans="1:7" x14ac:dyDescent="0.35">
      <c r="A557" s="22" t="s">
        <v>2549</v>
      </c>
      <c r="B557" s="22"/>
      <c r="C557" s="26">
        <v>45899</v>
      </c>
      <c r="D557" s="25" t="s">
        <v>3193</v>
      </c>
      <c r="E557" s="25" t="s">
        <v>2429</v>
      </c>
      <c r="F557" s="53" t="s">
        <v>3812</v>
      </c>
      <c r="G557" s="28">
        <v>0</v>
      </c>
    </row>
    <row r="558" spans="1:7" x14ac:dyDescent="0.35">
      <c r="A558" s="22" t="s">
        <v>2549</v>
      </c>
      <c r="B558" s="22"/>
      <c r="C558" s="26">
        <v>45899</v>
      </c>
      <c r="D558" s="25">
        <v>38051</v>
      </c>
      <c r="E558" s="25" t="s">
        <v>3470</v>
      </c>
      <c r="F558" s="53" t="s">
        <v>3812</v>
      </c>
      <c r="G558" s="28">
        <v>54331.65</v>
      </c>
    </row>
    <row r="559" spans="1:7" x14ac:dyDescent="0.35">
      <c r="A559" s="22" t="s">
        <v>2549</v>
      </c>
      <c r="B559" s="22"/>
      <c r="C559" s="26">
        <v>45899</v>
      </c>
      <c r="D559" s="25" t="s">
        <v>3194</v>
      </c>
      <c r="E559" s="25" t="s">
        <v>1695</v>
      </c>
      <c r="F559" s="53" t="s">
        <v>3812</v>
      </c>
      <c r="G559" s="28">
        <v>0</v>
      </c>
    </row>
    <row r="560" spans="1:7" x14ac:dyDescent="0.35">
      <c r="A560" s="22" t="s">
        <v>2549</v>
      </c>
      <c r="B560" s="22"/>
      <c r="C560" s="26">
        <v>45899</v>
      </c>
      <c r="D560" s="25" t="s">
        <v>3195</v>
      </c>
      <c r="E560" s="25" t="s">
        <v>1695</v>
      </c>
      <c r="F560" s="53" t="s">
        <v>3812</v>
      </c>
      <c r="G560" s="28">
        <v>0</v>
      </c>
    </row>
    <row r="561" spans="1:7" x14ac:dyDescent="0.35">
      <c r="A561" s="22" t="s">
        <v>2549</v>
      </c>
      <c r="B561" s="22"/>
      <c r="C561" s="26">
        <v>45899</v>
      </c>
      <c r="D561" s="25" t="s">
        <v>3196</v>
      </c>
      <c r="E561" s="25" t="s">
        <v>1695</v>
      </c>
      <c r="F561" s="53" t="s">
        <v>3812</v>
      </c>
      <c r="G561" s="28">
        <v>0</v>
      </c>
    </row>
    <row r="562" spans="1:7" x14ac:dyDescent="0.35">
      <c r="A562" s="22" t="s">
        <v>2549</v>
      </c>
      <c r="B562" s="22"/>
      <c r="C562" s="26">
        <v>45899</v>
      </c>
      <c r="D562" s="25" t="s">
        <v>3197</v>
      </c>
      <c r="E562" s="25" t="s">
        <v>1695</v>
      </c>
      <c r="F562" s="53" t="s">
        <v>3812</v>
      </c>
      <c r="G562" s="28">
        <v>0</v>
      </c>
    </row>
    <row r="563" spans="1:7" x14ac:dyDescent="0.35">
      <c r="A563" s="22" t="s">
        <v>2549</v>
      </c>
      <c r="B563" s="22"/>
      <c r="C563" s="26">
        <v>45899</v>
      </c>
      <c r="D563" s="25" t="s">
        <v>3198</v>
      </c>
      <c r="E563" s="25" t="s">
        <v>3484</v>
      </c>
      <c r="F563" s="53" t="s">
        <v>3812</v>
      </c>
      <c r="G563" s="28">
        <v>0</v>
      </c>
    </row>
    <row r="564" spans="1:7" x14ac:dyDescent="0.35">
      <c r="A564" s="22" t="s">
        <v>2549</v>
      </c>
      <c r="B564" s="22"/>
      <c r="C564" s="26">
        <v>45899</v>
      </c>
      <c r="D564" s="25" t="s">
        <v>3199</v>
      </c>
      <c r="E564" s="25" t="s">
        <v>3484</v>
      </c>
      <c r="F564" s="53" t="s">
        <v>3812</v>
      </c>
      <c r="G564" s="28">
        <v>0</v>
      </c>
    </row>
    <row r="565" spans="1:7" x14ac:dyDescent="0.35">
      <c r="A565" s="22" t="s">
        <v>2549</v>
      </c>
      <c r="B565" s="22"/>
      <c r="C565" s="26">
        <v>45899</v>
      </c>
      <c r="D565" s="25" t="s">
        <v>3200</v>
      </c>
      <c r="E565" s="25" t="s">
        <v>3485</v>
      </c>
      <c r="F565" s="53" t="s">
        <v>3812</v>
      </c>
      <c r="G565" s="28">
        <v>0</v>
      </c>
    </row>
    <row r="566" spans="1:7" x14ac:dyDescent="0.35">
      <c r="A566" s="22" t="s">
        <v>2549</v>
      </c>
      <c r="B566" s="22"/>
      <c r="C566" s="26">
        <v>45899</v>
      </c>
      <c r="D566" s="25" t="s">
        <v>3201</v>
      </c>
      <c r="E566" s="25" t="s">
        <v>2212</v>
      </c>
      <c r="F566" s="53" t="s">
        <v>3812</v>
      </c>
      <c r="G566" s="28">
        <v>0</v>
      </c>
    </row>
    <row r="567" spans="1:7" x14ac:dyDescent="0.35">
      <c r="A567" s="22" t="s">
        <v>2549</v>
      </c>
      <c r="B567" s="22"/>
      <c r="C567" s="26">
        <v>45899</v>
      </c>
      <c r="D567" s="25" t="s">
        <v>3202</v>
      </c>
      <c r="E567" s="25" t="s">
        <v>3486</v>
      </c>
      <c r="F567" s="53" t="s">
        <v>3812</v>
      </c>
      <c r="G567" s="28">
        <v>0</v>
      </c>
    </row>
    <row r="568" spans="1:7" x14ac:dyDescent="0.35">
      <c r="A568" s="22" t="s">
        <v>2549</v>
      </c>
      <c r="B568" s="22"/>
      <c r="C568" s="26">
        <v>45899</v>
      </c>
      <c r="D568" s="25" t="s">
        <v>3203</v>
      </c>
      <c r="E568" s="25" t="s">
        <v>3486</v>
      </c>
      <c r="F568" s="53" t="s">
        <v>3812</v>
      </c>
      <c r="G568" s="28">
        <v>0</v>
      </c>
    </row>
    <row r="569" spans="1:7" x14ac:dyDescent="0.35">
      <c r="A569" s="22" t="s">
        <v>2549</v>
      </c>
      <c r="B569" s="22"/>
      <c r="C569" s="26">
        <v>45899</v>
      </c>
      <c r="D569" s="25" t="s">
        <v>3204</v>
      </c>
      <c r="E569" s="25" t="s">
        <v>3486</v>
      </c>
      <c r="F569" s="53" t="s">
        <v>3812</v>
      </c>
      <c r="G569" s="28">
        <v>0</v>
      </c>
    </row>
    <row r="570" spans="1:7" x14ac:dyDescent="0.35">
      <c r="A570" s="22" t="s">
        <v>2549</v>
      </c>
      <c r="B570" s="22"/>
      <c r="C570" s="26">
        <v>45899</v>
      </c>
      <c r="D570" s="25" t="s">
        <v>3205</v>
      </c>
      <c r="E570" s="25" t="s">
        <v>3486</v>
      </c>
      <c r="F570" s="53" t="s">
        <v>3812</v>
      </c>
      <c r="G570" s="28">
        <v>0</v>
      </c>
    </row>
    <row r="571" spans="1:7" x14ac:dyDescent="0.35">
      <c r="A571" s="22" t="s">
        <v>2549</v>
      </c>
      <c r="B571" s="22"/>
      <c r="C571" s="26">
        <v>45899</v>
      </c>
      <c r="D571" s="25" t="s">
        <v>3206</v>
      </c>
      <c r="E571" s="25" t="s">
        <v>3486</v>
      </c>
      <c r="F571" s="53" t="s">
        <v>3812</v>
      </c>
      <c r="G571" s="28">
        <v>0</v>
      </c>
    </row>
    <row r="572" spans="1:7" x14ac:dyDescent="0.35">
      <c r="A572" s="22" t="s">
        <v>2549</v>
      </c>
      <c r="B572" s="22"/>
      <c r="C572" s="26">
        <v>45899</v>
      </c>
      <c r="D572" s="25" t="s">
        <v>3207</v>
      </c>
      <c r="E572" s="25" t="s">
        <v>3486</v>
      </c>
      <c r="F572" s="53" t="s">
        <v>3812</v>
      </c>
      <c r="G572" s="28">
        <v>0</v>
      </c>
    </row>
    <row r="573" spans="1:7" x14ac:dyDescent="0.35">
      <c r="A573" s="22" t="s">
        <v>2549</v>
      </c>
      <c r="B573" s="22"/>
      <c r="C573" s="26">
        <v>45899</v>
      </c>
      <c r="D573" s="25" t="s">
        <v>3208</v>
      </c>
      <c r="E573" s="25" t="s">
        <v>3486</v>
      </c>
      <c r="F573" s="53" t="s">
        <v>3812</v>
      </c>
      <c r="G573" s="28">
        <v>0</v>
      </c>
    </row>
    <row r="574" spans="1:7" x14ac:dyDescent="0.35">
      <c r="A574" s="22" t="s">
        <v>2549</v>
      </c>
      <c r="B574" s="22"/>
      <c r="C574" s="26">
        <v>45899</v>
      </c>
      <c r="D574" s="25" t="s">
        <v>3209</v>
      </c>
      <c r="E574" s="25" t="s">
        <v>3486</v>
      </c>
      <c r="F574" s="53" t="s">
        <v>3812</v>
      </c>
      <c r="G574" s="28">
        <v>0</v>
      </c>
    </row>
    <row r="575" spans="1:7" x14ac:dyDescent="0.35">
      <c r="A575" s="22" t="s">
        <v>2549</v>
      </c>
      <c r="B575" s="22"/>
      <c r="C575" s="26">
        <v>45899</v>
      </c>
      <c r="D575" s="25" t="s">
        <v>3210</v>
      </c>
      <c r="E575" s="25" t="s">
        <v>3486</v>
      </c>
      <c r="F575" s="53" t="s">
        <v>3812</v>
      </c>
      <c r="G575" s="28">
        <v>0</v>
      </c>
    </row>
    <row r="576" spans="1:7" x14ac:dyDescent="0.35">
      <c r="A576" s="22" t="s">
        <v>2549</v>
      </c>
      <c r="B576" s="22"/>
      <c r="C576" s="26">
        <v>45899</v>
      </c>
      <c r="D576" s="25" t="s">
        <v>3211</v>
      </c>
      <c r="E576" s="25" t="s">
        <v>2027</v>
      </c>
      <c r="F576" s="53" t="s">
        <v>3812</v>
      </c>
      <c r="G576" s="28">
        <v>0</v>
      </c>
    </row>
    <row r="577" spans="1:7" x14ac:dyDescent="0.35">
      <c r="A577" s="22" t="s">
        <v>2549</v>
      </c>
      <c r="B577" s="22"/>
      <c r="C577" s="26">
        <v>45899</v>
      </c>
      <c r="D577" s="25" t="s">
        <v>3213</v>
      </c>
      <c r="E577" s="25" t="s">
        <v>2846</v>
      </c>
      <c r="F577" s="53" t="s">
        <v>3812</v>
      </c>
      <c r="G577" s="28">
        <v>0</v>
      </c>
    </row>
    <row r="578" spans="1:7" x14ac:dyDescent="0.35">
      <c r="A578" s="22" t="s">
        <v>2549</v>
      </c>
      <c r="B578" s="22"/>
      <c r="C578" s="26">
        <v>45899</v>
      </c>
      <c r="D578" s="25" t="s">
        <v>3214</v>
      </c>
      <c r="E578" s="25" t="s">
        <v>3154</v>
      </c>
      <c r="F578" s="53" t="s">
        <v>3812</v>
      </c>
      <c r="G578" s="28">
        <v>0</v>
      </c>
    </row>
    <row r="579" spans="1:7" x14ac:dyDescent="0.35">
      <c r="A579" s="22" t="s">
        <v>2549</v>
      </c>
      <c r="B579" s="22"/>
      <c r="C579" s="26">
        <v>45899</v>
      </c>
      <c r="D579" s="25" t="s">
        <v>3215</v>
      </c>
      <c r="E579" s="25" t="s">
        <v>2442</v>
      </c>
      <c r="F579" s="53" t="s">
        <v>3812</v>
      </c>
      <c r="G579" s="28">
        <v>0</v>
      </c>
    </row>
    <row r="580" spans="1:7" x14ac:dyDescent="0.35">
      <c r="A580" s="22" t="s">
        <v>2549</v>
      </c>
      <c r="B580" s="22"/>
      <c r="C580" s="26">
        <v>45899</v>
      </c>
      <c r="D580" s="25" t="s">
        <v>3216</v>
      </c>
      <c r="E580" s="25" t="s">
        <v>2442</v>
      </c>
      <c r="F580" s="53" t="s">
        <v>3812</v>
      </c>
      <c r="G580" s="28">
        <v>0</v>
      </c>
    </row>
    <row r="581" spans="1:7" x14ac:dyDescent="0.35">
      <c r="A581" s="22" t="s">
        <v>2549</v>
      </c>
      <c r="B581" s="22"/>
      <c r="C581" s="26">
        <v>45899</v>
      </c>
      <c r="D581" s="25" t="s">
        <v>3217</v>
      </c>
      <c r="E581" s="25" t="s">
        <v>2626</v>
      </c>
      <c r="F581" s="53" t="s">
        <v>3812</v>
      </c>
      <c r="G581" s="28">
        <v>37.35</v>
      </c>
    </row>
    <row r="582" spans="1:7" x14ac:dyDescent="0.35">
      <c r="A582" s="22" t="s">
        <v>2549</v>
      </c>
      <c r="B582" s="22"/>
      <c r="C582" s="26">
        <v>45899</v>
      </c>
      <c r="D582" s="25" t="s">
        <v>3219</v>
      </c>
      <c r="E582" s="25" t="s">
        <v>2626</v>
      </c>
      <c r="F582" s="53" t="s">
        <v>3812</v>
      </c>
      <c r="G582" s="28">
        <v>1200</v>
      </c>
    </row>
    <row r="583" spans="1:7" x14ac:dyDescent="0.35">
      <c r="A583" s="22" t="s">
        <v>2549</v>
      </c>
      <c r="B583" s="22"/>
      <c r="C583" s="26">
        <v>45899</v>
      </c>
      <c r="D583" s="25" t="s">
        <v>3220</v>
      </c>
      <c r="E583" s="25" t="s">
        <v>2626</v>
      </c>
      <c r="F583" s="53" t="s">
        <v>3812</v>
      </c>
      <c r="G583" s="28">
        <v>0</v>
      </c>
    </row>
    <row r="584" spans="1:7" x14ac:dyDescent="0.35">
      <c r="A584" s="22" t="s">
        <v>2549</v>
      </c>
      <c r="B584" s="22"/>
      <c r="C584" s="26">
        <v>45899</v>
      </c>
      <c r="D584" s="25" t="s">
        <v>3221</v>
      </c>
      <c r="E584" s="25" t="s">
        <v>2626</v>
      </c>
      <c r="F584" s="53" t="s">
        <v>3812</v>
      </c>
      <c r="G584" s="28">
        <v>0</v>
      </c>
    </row>
    <row r="585" spans="1:7" x14ac:dyDescent="0.35">
      <c r="A585" s="22" t="s">
        <v>2549</v>
      </c>
      <c r="B585" s="22"/>
      <c r="C585" s="26">
        <v>45899</v>
      </c>
      <c r="D585" s="25" t="s">
        <v>3222</v>
      </c>
      <c r="E585" s="25" t="s">
        <v>2626</v>
      </c>
      <c r="F585" s="53" t="s">
        <v>3812</v>
      </c>
      <c r="G585" s="28">
        <v>0</v>
      </c>
    </row>
    <row r="586" spans="1:7" x14ac:dyDescent="0.35">
      <c r="A586" s="22" t="s">
        <v>2549</v>
      </c>
      <c r="B586" s="22"/>
      <c r="C586" s="26">
        <v>45899</v>
      </c>
      <c r="D586" s="25" t="s">
        <v>3223</v>
      </c>
      <c r="E586" s="25" t="s">
        <v>2392</v>
      </c>
      <c r="F586" s="53" t="s">
        <v>3812</v>
      </c>
      <c r="G586" s="28">
        <v>0</v>
      </c>
    </row>
    <row r="587" spans="1:7" x14ac:dyDescent="0.35">
      <c r="A587" s="22" t="s">
        <v>2549</v>
      </c>
      <c r="B587" s="22"/>
      <c r="C587" s="26">
        <v>45899</v>
      </c>
      <c r="D587" s="25">
        <v>38229</v>
      </c>
      <c r="E587" s="25" t="s">
        <v>1426</v>
      </c>
      <c r="F587" s="53" t="s">
        <v>3812</v>
      </c>
      <c r="G587" s="28">
        <v>0</v>
      </c>
    </row>
    <row r="588" spans="1:7" x14ac:dyDescent="0.35">
      <c r="A588" s="22" t="s">
        <v>2549</v>
      </c>
      <c r="B588" s="22"/>
      <c r="C588" s="26">
        <v>45899</v>
      </c>
      <c r="D588" s="25">
        <v>38230</v>
      </c>
      <c r="E588" s="25" t="s">
        <v>3487</v>
      </c>
      <c r="F588" s="53" t="s">
        <v>3812</v>
      </c>
      <c r="G588" s="28">
        <v>24119</v>
      </c>
    </row>
    <row r="589" spans="1:7" x14ac:dyDescent="0.35">
      <c r="A589" s="22" t="s">
        <v>2549</v>
      </c>
      <c r="B589" s="22"/>
      <c r="C589" s="26">
        <v>45899</v>
      </c>
      <c r="D589" s="25" t="s">
        <v>3224</v>
      </c>
      <c r="E589" s="25" t="s">
        <v>1582</v>
      </c>
      <c r="F589" s="53" t="s">
        <v>3812</v>
      </c>
      <c r="G589" s="28">
        <v>0</v>
      </c>
    </row>
    <row r="590" spans="1:7" x14ac:dyDescent="0.35">
      <c r="A590" s="22" t="s">
        <v>2549</v>
      </c>
      <c r="B590" s="22"/>
      <c r="C590" s="26">
        <v>45899</v>
      </c>
      <c r="D590" s="25" t="s">
        <v>3225</v>
      </c>
      <c r="E590" s="25" t="s">
        <v>1582</v>
      </c>
      <c r="F590" s="53" t="s">
        <v>3812</v>
      </c>
      <c r="G590" s="28">
        <v>0</v>
      </c>
    </row>
    <row r="591" spans="1:7" x14ac:dyDescent="0.35">
      <c r="A591" s="22" t="s">
        <v>2549</v>
      </c>
      <c r="B591" s="22"/>
      <c r="C591" s="26">
        <v>45899</v>
      </c>
      <c r="D591" s="25" t="s">
        <v>3226</v>
      </c>
      <c r="E591" s="25" t="s">
        <v>1582</v>
      </c>
      <c r="F591" s="53" t="s">
        <v>3812</v>
      </c>
      <c r="G591" s="28">
        <v>0</v>
      </c>
    </row>
    <row r="592" spans="1:7" x14ac:dyDescent="0.35">
      <c r="A592" s="22" t="s">
        <v>2549</v>
      </c>
      <c r="B592" s="22"/>
      <c r="C592" s="26">
        <v>45899</v>
      </c>
      <c r="D592" s="25" t="s">
        <v>3227</v>
      </c>
      <c r="E592" s="25" t="s">
        <v>3488</v>
      </c>
      <c r="F592" s="53" t="s">
        <v>3812</v>
      </c>
      <c r="G592" s="28">
        <v>0</v>
      </c>
    </row>
    <row r="593" spans="1:7" x14ac:dyDescent="0.35">
      <c r="A593" s="22" t="s">
        <v>2549</v>
      </c>
      <c r="B593" s="22"/>
      <c r="C593" s="26">
        <v>45899</v>
      </c>
      <c r="D593" s="25" t="s">
        <v>3228</v>
      </c>
      <c r="E593" s="25" t="s">
        <v>2677</v>
      </c>
      <c r="F593" s="53" t="s">
        <v>3812</v>
      </c>
      <c r="G593" s="28">
        <v>2494.5700000000002</v>
      </c>
    </row>
    <row r="594" spans="1:7" x14ac:dyDescent="0.35">
      <c r="A594" s="22" t="s">
        <v>2549</v>
      </c>
      <c r="B594" s="22"/>
      <c r="C594" s="26">
        <v>45899</v>
      </c>
      <c r="D594" s="25" t="s">
        <v>3229</v>
      </c>
      <c r="E594" s="25" t="s">
        <v>2677</v>
      </c>
      <c r="F594" s="53" t="s">
        <v>3812</v>
      </c>
      <c r="G594" s="28">
        <v>4394.0499999999993</v>
      </c>
    </row>
    <row r="595" spans="1:7" x14ac:dyDescent="0.35">
      <c r="A595" s="22" t="s">
        <v>2549</v>
      </c>
      <c r="B595" s="22"/>
      <c r="C595" s="26">
        <v>45899</v>
      </c>
      <c r="D595" s="25">
        <v>38254</v>
      </c>
      <c r="E595" s="25" t="s">
        <v>2677</v>
      </c>
      <c r="F595" s="53" t="s">
        <v>3812</v>
      </c>
      <c r="G595" s="28">
        <v>70206.000000000015</v>
      </c>
    </row>
    <row r="596" spans="1:7" x14ac:dyDescent="0.35">
      <c r="A596" s="22" t="s">
        <v>2549</v>
      </c>
      <c r="B596" s="22"/>
      <c r="C596" s="26">
        <v>45899</v>
      </c>
      <c r="D596" s="25" t="s">
        <v>3231</v>
      </c>
      <c r="E596" s="25" t="s">
        <v>2677</v>
      </c>
      <c r="F596" s="53" t="s">
        <v>3812</v>
      </c>
      <c r="G596" s="28">
        <v>268894.41000000003</v>
      </c>
    </row>
    <row r="597" spans="1:7" x14ac:dyDescent="0.35">
      <c r="A597" s="22" t="s">
        <v>2549</v>
      </c>
      <c r="B597" s="22"/>
      <c r="C597" s="26">
        <v>45899</v>
      </c>
      <c r="D597" s="25" t="s">
        <v>3232</v>
      </c>
      <c r="E597" s="25" t="s">
        <v>2677</v>
      </c>
      <c r="F597" s="53" t="s">
        <v>3812</v>
      </c>
      <c r="G597" s="28">
        <v>32981.75</v>
      </c>
    </row>
    <row r="598" spans="1:7" x14ac:dyDescent="0.35">
      <c r="A598" s="22" t="s">
        <v>2549</v>
      </c>
      <c r="B598" s="22"/>
      <c r="C598" s="26">
        <v>45899</v>
      </c>
      <c r="D598" s="25" t="s">
        <v>3233</v>
      </c>
      <c r="E598" s="25" t="s">
        <v>2677</v>
      </c>
      <c r="F598" s="53" t="s">
        <v>3812</v>
      </c>
      <c r="G598" s="28">
        <v>72633.990000000005</v>
      </c>
    </row>
    <row r="599" spans="1:7" x14ac:dyDescent="0.35">
      <c r="A599" s="22" t="s">
        <v>2549</v>
      </c>
      <c r="B599" s="22"/>
      <c r="C599" s="26">
        <v>45899</v>
      </c>
      <c r="D599" s="25" t="s">
        <v>3234</v>
      </c>
      <c r="E599" s="25" t="s">
        <v>2677</v>
      </c>
      <c r="F599" s="53" t="s">
        <v>3812</v>
      </c>
      <c r="G599" s="28">
        <v>0</v>
      </c>
    </row>
    <row r="600" spans="1:7" x14ac:dyDescent="0.35">
      <c r="A600" s="22" t="s">
        <v>2549</v>
      </c>
      <c r="B600" s="22"/>
      <c r="C600" s="26">
        <v>45899</v>
      </c>
      <c r="D600" s="25" t="s">
        <v>3235</v>
      </c>
      <c r="E600" s="25" t="s">
        <v>2677</v>
      </c>
      <c r="F600" s="53" t="s">
        <v>3812</v>
      </c>
      <c r="G600" s="28">
        <v>2754.29</v>
      </c>
    </row>
    <row r="601" spans="1:7" x14ac:dyDescent="0.35">
      <c r="A601" s="22" t="s">
        <v>2549</v>
      </c>
      <c r="B601" s="22"/>
      <c r="C601" s="26">
        <v>45899</v>
      </c>
      <c r="D601" s="25" t="s">
        <v>3236</v>
      </c>
      <c r="E601" s="25" t="s">
        <v>2677</v>
      </c>
      <c r="F601" s="53" t="s">
        <v>3812</v>
      </c>
      <c r="G601" s="28">
        <v>0</v>
      </c>
    </row>
    <row r="602" spans="1:7" x14ac:dyDescent="0.35">
      <c r="A602" s="22" t="s">
        <v>2549</v>
      </c>
      <c r="B602" s="22"/>
      <c r="C602" s="26">
        <v>45899</v>
      </c>
      <c r="D602" s="25">
        <v>38263</v>
      </c>
      <c r="E602" s="25" t="s">
        <v>2677</v>
      </c>
      <c r="F602" s="53" t="s">
        <v>3812</v>
      </c>
      <c r="G602" s="28">
        <v>1203.22</v>
      </c>
    </row>
    <row r="603" spans="1:7" x14ac:dyDescent="0.35">
      <c r="A603" s="22" t="s">
        <v>2549</v>
      </c>
      <c r="B603" s="22"/>
      <c r="C603" s="26">
        <v>45899</v>
      </c>
      <c r="D603" s="25" t="s">
        <v>3237</v>
      </c>
      <c r="E603" s="25" t="s">
        <v>2677</v>
      </c>
      <c r="F603" s="53" t="s">
        <v>3812</v>
      </c>
      <c r="G603" s="28">
        <v>0</v>
      </c>
    </row>
    <row r="604" spans="1:7" x14ac:dyDescent="0.35">
      <c r="A604" s="22" t="s">
        <v>2549</v>
      </c>
      <c r="B604" s="22"/>
      <c r="C604" s="26">
        <v>45899</v>
      </c>
      <c r="D604" s="25" t="s">
        <v>3238</v>
      </c>
      <c r="E604" s="25" t="s">
        <v>2677</v>
      </c>
      <c r="F604" s="53" t="s">
        <v>3812</v>
      </c>
      <c r="G604" s="28">
        <v>0</v>
      </c>
    </row>
    <row r="605" spans="1:7" x14ac:dyDescent="0.35">
      <c r="A605" s="22" t="s">
        <v>2549</v>
      </c>
      <c r="B605" s="22"/>
      <c r="C605" s="26">
        <v>45899</v>
      </c>
      <c r="D605" s="25">
        <v>38265</v>
      </c>
      <c r="E605" s="25" t="s">
        <v>2677</v>
      </c>
      <c r="F605" s="53" t="s">
        <v>3812</v>
      </c>
      <c r="G605" s="28">
        <v>21741</v>
      </c>
    </row>
    <row r="606" spans="1:7" x14ac:dyDescent="0.35">
      <c r="A606" s="22" t="s">
        <v>2549</v>
      </c>
      <c r="B606" s="22"/>
      <c r="C606" s="26">
        <v>45899</v>
      </c>
      <c r="D606" s="25">
        <v>38266</v>
      </c>
      <c r="E606" s="25" t="s">
        <v>2677</v>
      </c>
      <c r="F606" s="53" t="s">
        <v>3812</v>
      </c>
      <c r="G606" s="28">
        <v>21848.110000000004</v>
      </c>
    </row>
    <row r="607" spans="1:7" x14ac:dyDescent="0.35">
      <c r="A607" s="22" t="s">
        <v>2549</v>
      </c>
      <c r="B607" s="22"/>
      <c r="C607" s="26">
        <v>45899</v>
      </c>
      <c r="D607" s="25" t="s">
        <v>3239</v>
      </c>
      <c r="E607" s="25" t="s">
        <v>2144</v>
      </c>
      <c r="F607" s="53" t="s">
        <v>3812</v>
      </c>
      <c r="G607" s="28">
        <v>0</v>
      </c>
    </row>
    <row r="608" spans="1:7" x14ac:dyDescent="0.35">
      <c r="A608" s="22" t="s">
        <v>2549</v>
      </c>
      <c r="B608" s="22"/>
      <c r="C608" s="26">
        <v>45899</v>
      </c>
      <c r="D608" s="25" t="s">
        <v>3240</v>
      </c>
      <c r="E608" s="25" t="s">
        <v>2144</v>
      </c>
      <c r="F608" s="53" t="s">
        <v>3812</v>
      </c>
      <c r="G608" s="28">
        <v>0</v>
      </c>
    </row>
    <row r="609" spans="1:7" x14ac:dyDescent="0.35">
      <c r="A609" s="22" t="s">
        <v>2549</v>
      </c>
      <c r="B609" s="22"/>
      <c r="C609" s="26">
        <v>45899</v>
      </c>
      <c r="D609" s="25" t="s">
        <v>3241</v>
      </c>
      <c r="E609" s="25" t="s">
        <v>3489</v>
      </c>
      <c r="F609" s="53" t="s">
        <v>3812</v>
      </c>
      <c r="G609" s="28">
        <v>0</v>
      </c>
    </row>
    <row r="610" spans="1:7" x14ac:dyDescent="0.35">
      <c r="A610" s="22" t="s">
        <v>2549</v>
      </c>
      <c r="B610" s="22"/>
      <c r="C610" s="26">
        <v>45899</v>
      </c>
      <c r="D610" s="25" t="s">
        <v>3242</v>
      </c>
      <c r="E610" s="25" t="s">
        <v>1459</v>
      </c>
      <c r="F610" s="53" t="s">
        <v>3812</v>
      </c>
      <c r="G610" s="28">
        <v>0</v>
      </c>
    </row>
    <row r="611" spans="1:7" x14ac:dyDescent="0.35">
      <c r="A611" s="22" t="s">
        <v>2549</v>
      </c>
      <c r="B611" s="22"/>
      <c r="C611" s="26">
        <v>45899</v>
      </c>
      <c r="D611" s="25" t="s">
        <v>3243</v>
      </c>
      <c r="E611" s="25" t="s">
        <v>2313</v>
      </c>
      <c r="F611" s="53" t="s">
        <v>3812</v>
      </c>
      <c r="G611" s="28">
        <v>0</v>
      </c>
    </row>
    <row r="612" spans="1:7" x14ac:dyDescent="0.35">
      <c r="A612" s="22" t="s">
        <v>2549</v>
      </c>
      <c r="B612" s="22"/>
      <c r="C612" s="26">
        <v>45899</v>
      </c>
      <c r="D612" s="25" t="s">
        <v>3244</v>
      </c>
      <c r="E612" s="25" t="s">
        <v>2313</v>
      </c>
      <c r="F612" s="53" t="s">
        <v>3812</v>
      </c>
      <c r="G612" s="28">
        <v>0</v>
      </c>
    </row>
    <row r="613" spans="1:7" x14ac:dyDescent="0.35">
      <c r="A613" s="22" t="s">
        <v>2549</v>
      </c>
      <c r="B613" s="22"/>
      <c r="C613" s="26">
        <v>45899</v>
      </c>
      <c r="D613" s="25" t="s">
        <v>3245</v>
      </c>
      <c r="E613" s="25" t="s">
        <v>2628</v>
      </c>
      <c r="F613" s="53" t="s">
        <v>3812</v>
      </c>
      <c r="G613" s="28">
        <v>0</v>
      </c>
    </row>
    <row r="614" spans="1:7" x14ac:dyDescent="0.35">
      <c r="A614" s="22" t="s">
        <v>2549</v>
      </c>
      <c r="B614" s="22"/>
      <c r="C614" s="26">
        <v>45899</v>
      </c>
      <c r="D614" s="25" t="s">
        <v>3246</v>
      </c>
      <c r="E614" s="25" t="s">
        <v>2628</v>
      </c>
      <c r="F614" s="53" t="s">
        <v>3812</v>
      </c>
      <c r="G614" s="28">
        <v>0</v>
      </c>
    </row>
    <row r="615" spans="1:7" x14ac:dyDescent="0.35">
      <c r="A615" s="22" t="s">
        <v>2549</v>
      </c>
      <c r="B615" s="22"/>
      <c r="C615" s="26">
        <v>45899</v>
      </c>
      <c r="D615" s="25" t="s">
        <v>3247</v>
      </c>
      <c r="E615" s="25" t="s">
        <v>2628</v>
      </c>
      <c r="F615" s="53" t="s">
        <v>3812</v>
      </c>
      <c r="G615" s="28">
        <v>0</v>
      </c>
    </row>
    <row r="616" spans="1:7" x14ac:dyDescent="0.35">
      <c r="A616" s="22" t="s">
        <v>2549</v>
      </c>
      <c r="B616" s="22"/>
      <c r="C616" s="26">
        <v>45899</v>
      </c>
      <c r="D616" s="25" t="s">
        <v>3248</v>
      </c>
      <c r="E616" s="25" t="s">
        <v>2628</v>
      </c>
      <c r="F616" s="53" t="s">
        <v>3812</v>
      </c>
      <c r="G616" s="28">
        <v>0</v>
      </c>
    </row>
    <row r="617" spans="1:7" x14ac:dyDescent="0.35">
      <c r="A617" s="22" t="s">
        <v>2549</v>
      </c>
      <c r="B617" s="22"/>
      <c r="C617" s="26">
        <v>45899</v>
      </c>
      <c r="D617" s="25" t="s">
        <v>3249</v>
      </c>
      <c r="E617" s="25" t="s">
        <v>1371</v>
      </c>
      <c r="F617" s="53" t="s">
        <v>3812</v>
      </c>
      <c r="G617" s="28">
        <v>0</v>
      </c>
    </row>
    <row r="618" spans="1:7" x14ac:dyDescent="0.35">
      <c r="A618" s="22" t="s">
        <v>2549</v>
      </c>
      <c r="B618" s="22"/>
      <c r="C618" s="26">
        <v>45899</v>
      </c>
      <c r="D618" s="25" t="s">
        <v>3250</v>
      </c>
      <c r="E618" s="25" t="s">
        <v>2629</v>
      </c>
      <c r="F618" s="53" t="s">
        <v>3812</v>
      </c>
      <c r="G618" s="28">
        <v>0</v>
      </c>
    </row>
    <row r="619" spans="1:7" x14ac:dyDescent="0.35">
      <c r="A619" s="22" t="s">
        <v>2549</v>
      </c>
      <c r="B619" s="22"/>
      <c r="C619" s="26">
        <v>45899</v>
      </c>
      <c r="D619" s="25" t="s">
        <v>3251</v>
      </c>
      <c r="E619" s="25" t="s">
        <v>2629</v>
      </c>
      <c r="F619" s="53" t="s">
        <v>3812</v>
      </c>
      <c r="G619" s="28">
        <v>0</v>
      </c>
    </row>
    <row r="620" spans="1:7" x14ac:dyDescent="0.35">
      <c r="A620" s="22" t="s">
        <v>2549</v>
      </c>
      <c r="B620" s="22"/>
      <c r="C620" s="26">
        <v>45899</v>
      </c>
      <c r="D620" s="25" t="s">
        <v>3252</v>
      </c>
      <c r="E620" s="25" t="s">
        <v>2629</v>
      </c>
      <c r="F620" s="53" t="s">
        <v>3812</v>
      </c>
      <c r="G620" s="28">
        <v>0</v>
      </c>
    </row>
    <row r="621" spans="1:7" x14ac:dyDescent="0.35">
      <c r="A621" s="22" t="s">
        <v>2549</v>
      </c>
      <c r="B621" s="22"/>
      <c r="C621" s="26">
        <v>45899</v>
      </c>
      <c r="D621" s="25" t="s">
        <v>3253</v>
      </c>
      <c r="E621" s="25" t="s">
        <v>1223</v>
      </c>
      <c r="F621" s="53" t="s">
        <v>3812</v>
      </c>
      <c r="G621" s="28">
        <v>32435.98</v>
      </c>
    </row>
    <row r="622" spans="1:7" x14ac:dyDescent="0.35">
      <c r="A622" s="22" t="s">
        <v>2549</v>
      </c>
      <c r="B622" s="22"/>
      <c r="C622" s="26">
        <v>45899</v>
      </c>
      <c r="D622" s="25" t="s">
        <v>3254</v>
      </c>
      <c r="E622" s="25" t="s">
        <v>1223</v>
      </c>
      <c r="F622" s="53" t="s">
        <v>3812</v>
      </c>
      <c r="G622" s="28">
        <v>0</v>
      </c>
    </row>
    <row r="623" spans="1:7" x14ac:dyDescent="0.35">
      <c r="A623" s="22" t="s">
        <v>2549</v>
      </c>
      <c r="B623" s="22"/>
      <c r="C623" s="26">
        <v>45899</v>
      </c>
      <c r="D623" s="25" t="s">
        <v>3255</v>
      </c>
      <c r="E623" s="25" t="s">
        <v>1223</v>
      </c>
      <c r="F623" s="53" t="s">
        <v>3812</v>
      </c>
      <c r="G623" s="28">
        <v>0</v>
      </c>
    </row>
    <row r="624" spans="1:7" x14ac:dyDescent="0.35">
      <c r="A624" s="22" t="s">
        <v>2549</v>
      </c>
      <c r="B624" s="22"/>
      <c r="C624" s="26">
        <v>45899</v>
      </c>
      <c r="D624" s="25" t="s">
        <v>3256</v>
      </c>
      <c r="E624" s="25" t="s">
        <v>1223</v>
      </c>
      <c r="F624" s="53" t="s">
        <v>3812</v>
      </c>
      <c r="G624" s="28">
        <v>0</v>
      </c>
    </row>
    <row r="625" spans="1:7" x14ac:dyDescent="0.35">
      <c r="A625" s="22" t="s">
        <v>2549</v>
      </c>
      <c r="B625" s="22"/>
      <c r="C625" s="26">
        <v>45899</v>
      </c>
      <c r="D625" s="25" t="s">
        <v>3257</v>
      </c>
      <c r="E625" s="25" t="s">
        <v>1060</v>
      </c>
      <c r="F625" s="53" t="s">
        <v>3812</v>
      </c>
      <c r="G625" s="28">
        <v>0</v>
      </c>
    </row>
    <row r="626" spans="1:7" x14ac:dyDescent="0.35">
      <c r="A626" s="22" t="s">
        <v>2549</v>
      </c>
      <c r="B626" s="22"/>
      <c r="C626" s="26">
        <v>45899</v>
      </c>
      <c r="D626" s="25" t="s">
        <v>3258</v>
      </c>
      <c r="E626" s="25" t="s">
        <v>1999</v>
      </c>
      <c r="F626" s="53" t="s">
        <v>3812</v>
      </c>
      <c r="G626" s="28">
        <v>0</v>
      </c>
    </row>
    <row r="627" spans="1:7" x14ac:dyDescent="0.35">
      <c r="A627" s="22" t="s">
        <v>2549</v>
      </c>
      <c r="B627" s="22"/>
      <c r="C627" s="26">
        <v>45899</v>
      </c>
      <c r="D627" s="25" t="s">
        <v>3259</v>
      </c>
      <c r="E627" s="25" t="s">
        <v>1269</v>
      </c>
      <c r="F627" s="53" t="s">
        <v>3812</v>
      </c>
      <c r="G627" s="28">
        <v>0</v>
      </c>
    </row>
    <row r="628" spans="1:7" x14ac:dyDescent="0.35">
      <c r="A628" s="22" t="s">
        <v>2549</v>
      </c>
      <c r="B628" s="22"/>
      <c r="C628" s="26">
        <v>45899</v>
      </c>
      <c r="D628" s="25" t="s">
        <v>3260</v>
      </c>
      <c r="E628" s="25" t="s">
        <v>1269</v>
      </c>
      <c r="F628" s="53" t="s">
        <v>3812</v>
      </c>
      <c r="G628" s="28">
        <v>0</v>
      </c>
    </row>
    <row r="629" spans="1:7" x14ac:dyDescent="0.35">
      <c r="A629" s="22" t="s">
        <v>2549</v>
      </c>
      <c r="B629" s="22"/>
      <c r="C629" s="26">
        <v>45899</v>
      </c>
      <c r="D629" s="25" t="s">
        <v>3261</v>
      </c>
      <c r="E629" s="25" t="s">
        <v>1450</v>
      </c>
      <c r="F629" s="53" t="s">
        <v>3812</v>
      </c>
      <c r="G629" s="28">
        <v>0</v>
      </c>
    </row>
    <row r="630" spans="1:7" x14ac:dyDescent="0.35">
      <c r="A630" s="22" t="s">
        <v>2549</v>
      </c>
      <c r="B630" s="22"/>
      <c r="C630" s="26">
        <v>45899</v>
      </c>
      <c r="D630" s="25" t="s">
        <v>3262</v>
      </c>
      <c r="E630" s="25" t="s">
        <v>1450</v>
      </c>
      <c r="F630" s="53" t="s">
        <v>3812</v>
      </c>
      <c r="G630" s="28">
        <v>0</v>
      </c>
    </row>
    <row r="631" spans="1:7" x14ac:dyDescent="0.35">
      <c r="A631" s="22" t="s">
        <v>2549</v>
      </c>
      <c r="B631" s="22"/>
      <c r="C631" s="26">
        <v>45899</v>
      </c>
      <c r="D631" s="25" t="s">
        <v>3263</v>
      </c>
      <c r="E631" s="25" t="s">
        <v>1450</v>
      </c>
      <c r="F631" s="53" t="s">
        <v>3812</v>
      </c>
      <c r="G631" s="28">
        <v>0</v>
      </c>
    </row>
    <row r="632" spans="1:7" x14ac:dyDescent="0.35">
      <c r="A632" s="22" t="s">
        <v>2549</v>
      </c>
      <c r="B632" s="22"/>
      <c r="C632" s="26">
        <v>45899</v>
      </c>
      <c r="D632" s="25" t="s">
        <v>3264</v>
      </c>
      <c r="E632" s="25" t="s">
        <v>1450</v>
      </c>
      <c r="F632" s="53" t="s">
        <v>3812</v>
      </c>
      <c r="G632" s="28">
        <v>0</v>
      </c>
    </row>
    <row r="633" spans="1:7" x14ac:dyDescent="0.35">
      <c r="A633" s="22" t="s">
        <v>2549</v>
      </c>
      <c r="B633" s="22"/>
      <c r="C633" s="26">
        <v>45899</v>
      </c>
      <c r="D633" s="25" t="s">
        <v>3265</v>
      </c>
      <c r="E633" s="25" t="s">
        <v>1450</v>
      </c>
      <c r="F633" s="53" t="s">
        <v>3812</v>
      </c>
      <c r="G633" s="28">
        <v>0</v>
      </c>
    </row>
    <row r="634" spans="1:7" x14ac:dyDescent="0.35">
      <c r="A634" s="22" t="s">
        <v>2549</v>
      </c>
      <c r="B634" s="22"/>
      <c r="C634" s="26">
        <v>45899</v>
      </c>
      <c r="D634" s="25" t="s">
        <v>3266</v>
      </c>
      <c r="E634" s="25" t="s">
        <v>1450</v>
      </c>
      <c r="F634" s="53" t="s">
        <v>3812</v>
      </c>
      <c r="G634" s="28">
        <v>0</v>
      </c>
    </row>
    <row r="635" spans="1:7" x14ac:dyDescent="0.35">
      <c r="A635" s="22" t="s">
        <v>2549</v>
      </c>
      <c r="B635" s="22"/>
      <c r="C635" s="26">
        <v>45899</v>
      </c>
      <c r="D635" s="25" t="s">
        <v>3267</v>
      </c>
      <c r="E635" s="25" t="s">
        <v>3490</v>
      </c>
      <c r="F635" s="53" t="s">
        <v>3812</v>
      </c>
      <c r="G635" s="28">
        <v>0</v>
      </c>
    </row>
    <row r="636" spans="1:7" x14ac:dyDescent="0.35">
      <c r="A636" s="22" t="s">
        <v>2549</v>
      </c>
      <c r="B636" s="22"/>
      <c r="C636" s="26">
        <v>45899</v>
      </c>
      <c r="D636" s="25" t="s">
        <v>3268</v>
      </c>
      <c r="E636" s="25" t="s">
        <v>1608</v>
      </c>
      <c r="F636" s="53" t="s">
        <v>3812</v>
      </c>
      <c r="G636" s="28">
        <v>0</v>
      </c>
    </row>
    <row r="637" spans="1:7" x14ac:dyDescent="0.35">
      <c r="A637" s="22" t="s">
        <v>2549</v>
      </c>
      <c r="B637" s="22"/>
      <c r="C637" s="26">
        <v>45899</v>
      </c>
      <c r="D637" s="25" t="s">
        <v>3269</v>
      </c>
      <c r="E637" s="25" t="s">
        <v>1223</v>
      </c>
      <c r="F637" s="53" t="s">
        <v>3812</v>
      </c>
      <c r="G637" s="28">
        <v>0</v>
      </c>
    </row>
    <row r="638" spans="1:7" x14ac:dyDescent="0.35">
      <c r="A638" s="22" t="s">
        <v>2549</v>
      </c>
      <c r="B638" s="22"/>
      <c r="C638" s="26">
        <v>45899</v>
      </c>
      <c r="D638" s="25" t="s">
        <v>3270</v>
      </c>
      <c r="E638" s="25" t="s">
        <v>3491</v>
      </c>
      <c r="F638" s="53" t="s">
        <v>3812</v>
      </c>
      <c r="G638" s="28">
        <v>0</v>
      </c>
    </row>
    <row r="639" spans="1:7" x14ac:dyDescent="0.35">
      <c r="A639" s="22" t="s">
        <v>2549</v>
      </c>
      <c r="B639" s="22"/>
      <c r="C639" s="26">
        <v>45899</v>
      </c>
      <c r="D639" s="25" t="s">
        <v>3271</v>
      </c>
      <c r="E639" s="25" t="s">
        <v>3485</v>
      </c>
      <c r="F639" s="53" t="s">
        <v>3812</v>
      </c>
      <c r="G639" s="28">
        <v>0</v>
      </c>
    </row>
    <row r="640" spans="1:7" x14ac:dyDescent="0.35">
      <c r="A640" s="22" t="s">
        <v>2549</v>
      </c>
      <c r="B640" s="22"/>
      <c r="C640" s="26">
        <v>45899</v>
      </c>
      <c r="D640" s="25">
        <v>38546</v>
      </c>
      <c r="E640" s="25" t="s">
        <v>2266</v>
      </c>
      <c r="F640" s="53" t="s">
        <v>3812</v>
      </c>
      <c r="G640" s="28">
        <v>42122.14</v>
      </c>
    </row>
    <row r="641" spans="1:7" x14ac:dyDescent="0.35">
      <c r="A641" s="22" t="s">
        <v>2549</v>
      </c>
      <c r="B641" s="22"/>
      <c r="C641" s="26">
        <v>45899</v>
      </c>
      <c r="D641" s="25" t="s">
        <v>3272</v>
      </c>
      <c r="E641" s="25" t="s">
        <v>3492</v>
      </c>
      <c r="F641" s="53" t="s">
        <v>3812</v>
      </c>
      <c r="G641" s="28">
        <v>0</v>
      </c>
    </row>
    <row r="642" spans="1:7" x14ac:dyDescent="0.35">
      <c r="A642" s="22" t="s">
        <v>2549</v>
      </c>
      <c r="B642" s="22"/>
      <c r="C642" s="26">
        <v>45899</v>
      </c>
      <c r="D642" s="25" t="s">
        <v>3273</v>
      </c>
      <c r="E642" s="25" t="s">
        <v>2205</v>
      </c>
      <c r="F642" s="53" t="s">
        <v>3812</v>
      </c>
      <c r="G642" s="28">
        <v>0</v>
      </c>
    </row>
    <row r="643" spans="1:7" x14ac:dyDescent="0.35">
      <c r="A643" s="22" t="s">
        <v>2549</v>
      </c>
      <c r="B643" s="22"/>
      <c r="C643" s="26">
        <v>45899</v>
      </c>
      <c r="D643" s="25" t="s">
        <v>3274</v>
      </c>
      <c r="E643" s="25" t="s">
        <v>2205</v>
      </c>
      <c r="F643" s="53" t="s">
        <v>3812</v>
      </c>
      <c r="G643" s="28">
        <v>0</v>
      </c>
    </row>
    <row r="644" spans="1:7" x14ac:dyDescent="0.35">
      <c r="A644" s="22" t="s">
        <v>2549</v>
      </c>
      <c r="B644" s="22"/>
      <c r="C644" s="26">
        <v>45899</v>
      </c>
      <c r="D644" s="25" t="s">
        <v>3275</v>
      </c>
      <c r="E644" s="25" t="s">
        <v>2205</v>
      </c>
      <c r="F644" s="53" t="s">
        <v>3812</v>
      </c>
      <c r="G644" s="28">
        <v>0</v>
      </c>
    </row>
    <row r="645" spans="1:7" x14ac:dyDescent="0.35">
      <c r="A645" s="22" t="s">
        <v>2549</v>
      </c>
      <c r="B645" s="22"/>
      <c r="C645" s="26">
        <v>45899</v>
      </c>
      <c r="D645" s="25" t="s">
        <v>3276</v>
      </c>
      <c r="E645" s="25" t="s">
        <v>2205</v>
      </c>
      <c r="F645" s="53" t="s">
        <v>3812</v>
      </c>
      <c r="G645" s="28">
        <v>0</v>
      </c>
    </row>
    <row r="646" spans="1:7" x14ac:dyDescent="0.35">
      <c r="A646" s="22" t="s">
        <v>2549</v>
      </c>
      <c r="B646" s="22"/>
      <c r="C646" s="26">
        <v>45899</v>
      </c>
      <c r="D646" s="25" t="s">
        <v>3277</v>
      </c>
      <c r="E646" s="25" t="s">
        <v>2205</v>
      </c>
      <c r="F646" s="53" t="s">
        <v>3812</v>
      </c>
      <c r="G646" s="28">
        <v>0</v>
      </c>
    </row>
    <row r="647" spans="1:7" x14ac:dyDescent="0.35">
      <c r="A647" s="22" t="s">
        <v>2549</v>
      </c>
      <c r="B647" s="22"/>
      <c r="C647" s="26">
        <v>45899</v>
      </c>
      <c r="D647" s="25" t="s">
        <v>3278</v>
      </c>
      <c r="E647" s="25" t="s">
        <v>3472</v>
      </c>
      <c r="F647" s="53" t="s">
        <v>3812</v>
      </c>
      <c r="G647" s="28">
        <v>0</v>
      </c>
    </row>
    <row r="648" spans="1:7" x14ac:dyDescent="0.35">
      <c r="A648" s="22" t="s">
        <v>2549</v>
      </c>
      <c r="B648" s="22"/>
      <c r="C648" s="26">
        <v>45899</v>
      </c>
      <c r="D648" s="25" t="s">
        <v>3279</v>
      </c>
      <c r="E648" s="25" t="s">
        <v>3472</v>
      </c>
      <c r="F648" s="53" t="s">
        <v>3812</v>
      </c>
      <c r="G648" s="28">
        <v>0</v>
      </c>
    </row>
    <row r="649" spans="1:7" x14ac:dyDescent="0.35">
      <c r="A649" s="22" t="s">
        <v>2549</v>
      </c>
      <c r="B649" s="22"/>
      <c r="C649" s="26">
        <v>45899</v>
      </c>
      <c r="D649" s="25" t="s">
        <v>3280</v>
      </c>
      <c r="E649" s="25" t="s">
        <v>3148</v>
      </c>
      <c r="F649" s="53" t="s">
        <v>3812</v>
      </c>
      <c r="G649" s="28">
        <v>0</v>
      </c>
    </row>
    <row r="650" spans="1:7" x14ac:dyDescent="0.35">
      <c r="A650" s="22" t="s">
        <v>2549</v>
      </c>
      <c r="B650" s="22"/>
      <c r="C650" s="26">
        <v>45899</v>
      </c>
      <c r="D650" s="25" t="s">
        <v>3281</v>
      </c>
      <c r="E650" s="25" t="s">
        <v>3493</v>
      </c>
      <c r="F650" s="53" t="s">
        <v>3812</v>
      </c>
      <c r="G650" s="28">
        <v>0</v>
      </c>
    </row>
    <row r="651" spans="1:7" x14ac:dyDescent="0.35">
      <c r="A651" s="22" t="s">
        <v>2549</v>
      </c>
      <c r="B651" s="22"/>
      <c r="C651" s="26">
        <v>45899</v>
      </c>
      <c r="D651" s="25" t="s">
        <v>3282</v>
      </c>
      <c r="E651" s="25" t="s">
        <v>3493</v>
      </c>
      <c r="F651" s="53" t="s">
        <v>3812</v>
      </c>
      <c r="G651" s="28">
        <v>0</v>
      </c>
    </row>
    <row r="652" spans="1:7" x14ac:dyDescent="0.35">
      <c r="A652" s="22" t="s">
        <v>2549</v>
      </c>
      <c r="B652" s="22"/>
      <c r="C652" s="26">
        <v>45899</v>
      </c>
      <c r="D652" s="25" t="s">
        <v>3283</v>
      </c>
      <c r="E652" s="25" t="s">
        <v>1223</v>
      </c>
      <c r="F652" s="53" t="s">
        <v>3812</v>
      </c>
      <c r="G652" s="28">
        <v>0</v>
      </c>
    </row>
    <row r="653" spans="1:7" x14ac:dyDescent="0.35">
      <c r="A653" s="22" t="s">
        <v>2549</v>
      </c>
      <c r="B653" s="22"/>
      <c r="C653" s="26">
        <v>45899</v>
      </c>
      <c r="D653" s="25" t="s">
        <v>3284</v>
      </c>
      <c r="E653" s="25" t="s">
        <v>1223</v>
      </c>
      <c r="F653" s="53" t="s">
        <v>3812</v>
      </c>
      <c r="G653" s="28">
        <v>0</v>
      </c>
    </row>
    <row r="654" spans="1:7" x14ac:dyDescent="0.35">
      <c r="A654" s="22" t="s">
        <v>2549</v>
      </c>
      <c r="B654" s="22"/>
      <c r="C654" s="26">
        <v>45899</v>
      </c>
      <c r="D654" s="25" t="s">
        <v>3285</v>
      </c>
      <c r="E654" s="25" t="s">
        <v>1223</v>
      </c>
      <c r="F654" s="53" t="s">
        <v>3812</v>
      </c>
      <c r="G654" s="28">
        <v>0</v>
      </c>
    </row>
    <row r="655" spans="1:7" x14ac:dyDescent="0.35">
      <c r="A655" s="22" t="s">
        <v>2549</v>
      </c>
      <c r="B655" s="22"/>
      <c r="C655" s="26">
        <v>45899</v>
      </c>
      <c r="D655" s="25" t="s">
        <v>3286</v>
      </c>
      <c r="E655" s="25" t="s">
        <v>1223</v>
      </c>
      <c r="F655" s="53" t="s">
        <v>3812</v>
      </c>
      <c r="G655" s="28">
        <v>0</v>
      </c>
    </row>
    <row r="656" spans="1:7" x14ac:dyDescent="0.35">
      <c r="A656" s="22" t="s">
        <v>2549</v>
      </c>
      <c r="B656" s="22"/>
      <c r="C656" s="26">
        <v>45899</v>
      </c>
      <c r="D656" s="25" t="s">
        <v>3287</v>
      </c>
      <c r="E656" s="25" t="s">
        <v>3494</v>
      </c>
      <c r="F656" s="53" t="s">
        <v>3812</v>
      </c>
      <c r="G656" s="28">
        <v>0</v>
      </c>
    </row>
    <row r="657" spans="1:7" x14ac:dyDescent="0.35">
      <c r="A657" s="22" t="s">
        <v>2549</v>
      </c>
      <c r="B657" s="22"/>
      <c r="C657" s="26">
        <v>45899</v>
      </c>
      <c r="D657" s="25" t="s">
        <v>3288</v>
      </c>
      <c r="E657" s="25" t="s">
        <v>1582</v>
      </c>
      <c r="F657" s="53" t="s">
        <v>3812</v>
      </c>
      <c r="G657" s="28">
        <v>185760.69000000006</v>
      </c>
    </row>
    <row r="658" spans="1:7" x14ac:dyDescent="0.35">
      <c r="A658" s="22" t="s">
        <v>2549</v>
      </c>
      <c r="B658" s="22"/>
      <c r="C658" s="26">
        <v>45899</v>
      </c>
      <c r="D658" s="25">
        <v>38651</v>
      </c>
      <c r="E658" s="25" t="s">
        <v>2231</v>
      </c>
      <c r="F658" s="53" t="s">
        <v>3812</v>
      </c>
      <c r="G658" s="28">
        <v>6400</v>
      </c>
    </row>
    <row r="659" spans="1:7" x14ac:dyDescent="0.35">
      <c r="A659" s="22" t="s">
        <v>2549</v>
      </c>
      <c r="B659" s="22"/>
      <c r="C659" s="26">
        <v>45899</v>
      </c>
      <c r="D659" s="25" t="s">
        <v>3289</v>
      </c>
      <c r="E659" s="25" t="s">
        <v>3495</v>
      </c>
      <c r="F659" s="53" t="s">
        <v>3812</v>
      </c>
      <c r="G659" s="28">
        <v>0</v>
      </c>
    </row>
    <row r="660" spans="1:7" x14ac:dyDescent="0.35">
      <c r="A660" s="22" t="s">
        <v>2549</v>
      </c>
      <c r="B660" s="22"/>
      <c r="C660" s="26">
        <v>45899</v>
      </c>
      <c r="D660" s="25" t="s">
        <v>3290</v>
      </c>
      <c r="E660" s="25" t="s">
        <v>2220</v>
      </c>
      <c r="F660" s="53" t="s">
        <v>3812</v>
      </c>
      <c r="G660" s="28">
        <v>55417.46</v>
      </c>
    </row>
    <row r="661" spans="1:7" x14ac:dyDescent="0.35">
      <c r="A661" s="22" t="s">
        <v>2549</v>
      </c>
      <c r="B661" s="22"/>
      <c r="C661" s="26">
        <v>45899</v>
      </c>
      <c r="D661" s="25" t="s">
        <v>3291</v>
      </c>
      <c r="E661" s="25" t="s">
        <v>2220</v>
      </c>
      <c r="F661" s="53" t="s">
        <v>3812</v>
      </c>
      <c r="G661" s="28">
        <v>0</v>
      </c>
    </row>
    <row r="662" spans="1:7" x14ac:dyDescent="0.35">
      <c r="A662" s="22" t="s">
        <v>2549</v>
      </c>
      <c r="B662" s="22"/>
      <c r="C662" s="26">
        <v>45899</v>
      </c>
      <c r="D662" s="25" t="s">
        <v>3292</v>
      </c>
      <c r="E662" s="25" t="s">
        <v>2392</v>
      </c>
      <c r="F662" s="53" t="s">
        <v>3812</v>
      </c>
      <c r="G662" s="28">
        <v>0</v>
      </c>
    </row>
    <row r="663" spans="1:7" x14ac:dyDescent="0.35">
      <c r="A663" s="22" t="s">
        <v>2549</v>
      </c>
      <c r="B663" s="22"/>
      <c r="C663" s="26">
        <v>45899</v>
      </c>
      <c r="D663" s="25" t="s">
        <v>3293</v>
      </c>
      <c r="E663" s="25" t="s">
        <v>2392</v>
      </c>
      <c r="F663" s="53" t="s">
        <v>3812</v>
      </c>
      <c r="G663" s="28">
        <v>0</v>
      </c>
    </row>
    <row r="664" spans="1:7" x14ac:dyDescent="0.35">
      <c r="A664" s="22" t="s">
        <v>2549</v>
      </c>
      <c r="B664" s="22"/>
      <c r="C664" s="26">
        <v>45899</v>
      </c>
      <c r="D664" s="25" t="s">
        <v>3294</v>
      </c>
      <c r="E664" s="25" t="s">
        <v>1269</v>
      </c>
      <c r="F664" s="53" t="s">
        <v>3812</v>
      </c>
      <c r="G664" s="28">
        <v>0</v>
      </c>
    </row>
    <row r="665" spans="1:7" x14ac:dyDescent="0.35">
      <c r="A665" s="22" t="s">
        <v>2549</v>
      </c>
      <c r="B665" s="22"/>
      <c r="C665" s="26">
        <v>45899</v>
      </c>
      <c r="D665" s="25" t="s">
        <v>3295</v>
      </c>
      <c r="E665" s="25" t="s">
        <v>2629</v>
      </c>
      <c r="F665" s="53" t="s">
        <v>3812</v>
      </c>
      <c r="G665" s="28">
        <v>0</v>
      </c>
    </row>
    <row r="666" spans="1:7" x14ac:dyDescent="0.35">
      <c r="A666" s="22" t="s">
        <v>2549</v>
      </c>
      <c r="B666" s="22"/>
      <c r="C666" s="26">
        <v>45899</v>
      </c>
      <c r="D666" s="25" t="s">
        <v>3296</v>
      </c>
      <c r="E666" s="25" t="s">
        <v>1223</v>
      </c>
      <c r="F666" s="53" t="s">
        <v>3812</v>
      </c>
      <c r="G666" s="28">
        <v>0</v>
      </c>
    </row>
    <row r="667" spans="1:7" x14ac:dyDescent="0.35">
      <c r="A667" s="22" t="s">
        <v>2549</v>
      </c>
      <c r="B667" s="22"/>
      <c r="C667" s="26">
        <v>45899</v>
      </c>
      <c r="D667" s="25" t="s">
        <v>3297</v>
      </c>
      <c r="E667" s="25" t="s">
        <v>1631</v>
      </c>
      <c r="F667" s="53" t="s">
        <v>3812</v>
      </c>
      <c r="G667" s="28">
        <v>0</v>
      </c>
    </row>
    <row r="668" spans="1:7" x14ac:dyDescent="0.35">
      <c r="A668" s="22" t="s">
        <v>2549</v>
      </c>
      <c r="B668" s="22"/>
      <c r="C668" s="26">
        <v>45899</v>
      </c>
      <c r="D668" s="25" t="s">
        <v>3298</v>
      </c>
      <c r="E668" s="25" t="s">
        <v>3492</v>
      </c>
      <c r="F668" s="53" t="s">
        <v>3812</v>
      </c>
      <c r="G668" s="28">
        <v>0</v>
      </c>
    </row>
    <row r="669" spans="1:7" x14ac:dyDescent="0.35">
      <c r="A669" s="22" t="s">
        <v>2549</v>
      </c>
      <c r="B669" s="22"/>
      <c r="C669" s="26">
        <v>45899</v>
      </c>
      <c r="D669" s="25">
        <v>38791</v>
      </c>
      <c r="E669" s="25" t="s">
        <v>3496</v>
      </c>
      <c r="F669" s="53" t="s">
        <v>3812</v>
      </c>
      <c r="G669" s="28">
        <v>3128.97</v>
      </c>
    </row>
    <row r="670" spans="1:7" x14ac:dyDescent="0.35">
      <c r="A670" s="22" t="s">
        <v>2549</v>
      </c>
      <c r="B670" s="22"/>
      <c r="C670" s="26">
        <v>45899</v>
      </c>
      <c r="D670" s="25">
        <v>38806</v>
      </c>
      <c r="E670" s="25" t="s">
        <v>3497</v>
      </c>
      <c r="F670" s="53" t="s">
        <v>3812</v>
      </c>
      <c r="G670" s="28">
        <v>90040</v>
      </c>
    </row>
    <row r="671" spans="1:7" x14ac:dyDescent="0.35">
      <c r="A671" s="22" t="s">
        <v>2549</v>
      </c>
      <c r="B671" s="22"/>
      <c r="C671" s="26">
        <v>45899</v>
      </c>
      <c r="D671" s="25">
        <v>38817</v>
      </c>
      <c r="E671" s="25" t="s">
        <v>3498</v>
      </c>
      <c r="F671" s="53" t="s">
        <v>3812</v>
      </c>
      <c r="G671" s="28">
        <v>3338.15</v>
      </c>
    </row>
    <row r="672" spans="1:7" x14ac:dyDescent="0.35">
      <c r="A672" s="22" t="s">
        <v>2549</v>
      </c>
      <c r="B672" s="22"/>
      <c r="C672" s="26">
        <v>45899</v>
      </c>
      <c r="D672" s="25">
        <v>38834</v>
      </c>
      <c r="E672" s="25" t="s">
        <v>3499</v>
      </c>
      <c r="F672" s="53" t="s">
        <v>3812</v>
      </c>
      <c r="G672" s="28">
        <v>29900</v>
      </c>
    </row>
    <row r="673" spans="1:7" x14ac:dyDescent="0.35">
      <c r="A673" s="22" t="s">
        <v>2549</v>
      </c>
      <c r="B673" s="22"/>
      <c r="C673" s="26">
        <v>45899</v>
      </c>
      <c r="D673" s="25">
        <v>38839</v>
      </c>
      <c r="E673" s="25" t="s">
        <v>3500</v>
      </c>
      <c r="F673" s="53" t="s">
        <v>3812</v>
      </c>
      <c r="G673" s="28">
        <v>1498.38</v>
      </c>
    </row>
    <row r="674" spans="1:7" x14ac:dyDescent="0.35">
      <c r="A674" s="22" t="s">
        <v>2549</v>
      </c>
      <c r="B674" s="22"/>
      <c r="C674" s="26">
        <v>45899</v>
      </c>
      <c r="D674" s="25">
        <v>38846</v>
      </c>
      <c r="E674" s="25" t="s">
        <v>3501</v>
      </c>
      <c r="F674" s="53" t="s">
        <v>3812</v>
      </c>
      <c r="G674" s="28">
        <v>5544.58</v>
      </c>
    </row>
    <row r="675" spans="1:7" x14ac:dyDescent="0.35">
      <c r="A675" s="22" t="s">
        <v>2549</v>
      </c>
      <c r="B675" s="22"/>
      <c r="C675" s="26">
        <v>45899</v>
      </c>
      <c r="D675" s="25">
        <v>38850</v>
      </c>
      <c r="E675" s="25" t="s">
        <v>2892</v>
      </c>
      <c r="F675" s="53" t="s">
        <v>3812</v>
      </c>
      <c r="G675" s="28">
        <v>30081.78</v>
      </c>
    </row>
    <row r="676" spans="1:7" x14ac:dyDescent="0.35">
      <c r="A676" s="22" t="s">
        <v>2549</v>
      </c>
      <c r="B676" s="22"/>
      <c r="C676" s="26">
        <v>45899</v>
      </c>
      <c r="D676" s="25">
        <v>38874</v>
      </c>
      <c r="E676" s="25" t="s">
        <v>3502</v>
      </c>
      <c r="F676" s="53" t="s">
        <v>3812</v>
      </c>
      <c r="G676" s="28">
        <v>705.25</v>
      </c>
    </row>
    <row r="677" spans="1:7" x14ac:dyDescent="0.35">
      <c r="A677" s="22" t="s">
        <v>2549</v>
      </c>
      <c r="B677" s="22"/>
      <c r="C677" s="26">
        <v>45899</v>
      </c>
      <c r="D677" s="25">
        <v>38889</v>
      </c>
      <c r="E677" s="25" t="s">
        <v>2629</v>
      </c>
      <c r="F677" s="53" t="s">
        <v>3812</v>
      </c>
      <c r="G677" s="28">
        <v>2080.0300000000002</v>
      </c>
    </row>
    <row r="678" spans="1:7" x14ac:dyDescent="0.35">
      <c r="A678" s="22" t="s">
        <v>2549</v>
      </c>
      <c r="B678" s="22"/>
      <c r="C678" s="26">
        <v>45899</v>
      </c>
      <c r="D678" s="25">
        <v>38953</v>
      </c>
      <c r="E678" s="25" t="s">
        <v>3496</v>
      </c>
      <c r="F678" s="53" t="s">
        <v>3812</v>
      </c>
      <c r="G678" s="28">
        <v>2254.2799999999997</v>
      </c>
    </row>
    <row r="679" spans="1:7" x14ac:dyDescent="0.35">
      <c r="A679" s="22" t="s">
        <v>2549</v>
      </c>
      <c r="B679" s="22"/>
      <c r="C679" s="26">
        <v>45899</v>
      </c>
      <c r="D679" s="25">
        <v>38954</v>
      </c>
      <c r="E679" s="25" t="s">
        <v>3503</v>
      </c>
      <c r="F679" s="53" t="s">
        <v>3812</v>
      </c>
      <c r="G679" s="28">
        <v>10400</v>
      </c>
    </row>
    <row r="680" spans="1:7" x14ac:dyDescent="0.35">
      <c r="A680" s="22" t="s">
        <v>2549</v>
      </c>
      <c r="B680" s="22"/>
      <c r="C680" s="26">
        <v>45899</v>
      </c>
      <c r="D680" s="25">
        <v>38970</v>
      </c>
      <c r="E680" s="25" t="s">
        <v>3504</v>
      </c>
      <c r="F680" s="53" t="s">
        <v>3812</v>
      </c>
      <c r="G680" s="28">
        <v>127.68</v>
      </c>
    </row>
    <row r="681" spans="1:7" x14ac:dyDescent="0.35">
      <c r="A681" s="22" t="s">
        <v>2549</v>
      </c>
      <c r="B681" s="22"/>
      <c r="C681" s="26">
        <v>45899</v>
      </c>
      <c r="D681" s="25">
        <v>38981</v>
      </c>
      <c r="E681" s="25" t="s">
        <v>3496</v>
      </c>
      <c r="F681" s="53" t="s">
        <v>3812</v>
      </c>
      <c r="G681" s="28">
        <v>793.26</v>
      </c>
    </row>
    <row r="682" spans="1:7" x14ac:dyDescent="0.35">
      <c r="A682" s="22" t="s">
        <v>2549</v>
      </c>
      <c r="B682" s="22"/>
      <c r="C682" s="26">
        <v>45899</v>
      </c>
      <c r="D682" s="25">
        <v>38983</v>
      </c>
      <c r="E682" s="25" t="s">
        <v>301</v>
      </c>
      <c r="F682" s="53" t="s">
        <v>3812</v>
      </c>
      <c r="G682" s="28">
        <v>23686.73</v>
      </c>
    </row>
    <row r="683" spans="1:7" x14ac:dyDescent="0.35">
      <c r="A683" s="22" t="s">
        <v>2549</v>
      </c>
      <c r="B683" s="22"/>
      <c r="C683" s="26">
        <v>45899</v>
      </c>
      <c r="D683" s="25">
        <v>38993</v>
      </c>
      <c r="E683" s="25" t="s">
        <v>1475</v>
      </c>
      <c r="F683" s="53" t="s">
        <v>3812</v>
      </c>
      <c r="G683" s="28">
        <v>32760</v>
      </c>
    </row>
    <row r="684" spans="1:7" x14ac:dyDescent="0.35">
      <c r="A684" s="22" t="s">
        <v>2549</v>
      </c>
      <c r="B684" s="22"/>
      <c r="C684" s="26">
        <v>45899</v>
      </c>
      <c r="D684" s="25">
        <v>38996</v>
      </c>
      <c r="E684" s="25" t="s">
        <v>1924</v>
      </c>
      <c r="F684" s="53" t="s">
        <v>3812</v>
      </c>
      <c r="G684" s="28">
        <v>1777.5</v>
      </c>
    </row>
    <row r="685" spans="1:7" x14ac:dyDescent="0.35">
      <c r="A685" s="22" t="s">
        <v>2549</v>
      </c>
      <c r="B685" s="22"/>
      <c r="C685" s="26">
        <v>45899</v>
      </c>
      <c r="D685" s="25">
        <v>39002</v>
      </c>
      <c r="E685" s="25" t="s">
        <v>3505</v>
      </c>
      <c r="F685" s="53" t="s">
        <v>3812</v>
      </c>
      <c r="G685" s="28">
        <v>30800</v>
      </c>
    </row>
    <row r="686" spans="1:7" x14ac:dyDescent="0.35">
      <c r="A686" s="22" t="s">
        <v>2549</v>
      </c>
      <c r="B686" s="22"/>
      <c r="C686" s="26">
        <v>45899</v>
      </c>
      <c r="D686" s="25">
        <v>39010</v>
      </c>
      <c r="E686" s="25" t="s">
        <v>3506</v>
      </c>
      <c r="F686" s="53" t="s">
        <v>3812</v>
      </c>
      <c r="G686" s="28">
        <v>709.87</v>
      </c>
    </row>
    <row r="687" spans="1:7" x14ac:dyDescent="0.35">
      <c r="A687" s="22" t="s">
        <v>2549</v>
      </c>
      <c r="B687" s="22"/>
      <c r="C687" s="26">
        <v>45899</v>
      </c>
      <c r="D687" s="25" t="s">
        <v>3299</v>
      </c>
      <c r="E687" s="25" t="s">
        <v>2454</v>
      </c>
      <c r="F687" s="53" t="s">
        <v>3812</v>
      </c>
      <c r="G687" s="28">
        <v>0</v>
      </c>
    </row>
    <row r="688" spans="1:7" x14ac:dyDescent="0.35">
      <c r="A688" s="22" t="s">
        <v>2549</v>
      </c>
      <c r="B688" s="22"/>
      <c r="C688" s="26">
        <v>45899</v>
      </c>
      <c r="D688" s="25" t="s">
        <v>3300</v>
      </c>
      <c r="E688" s="25" t="s">
        <v>1223</v>
      </c>
      <c r="F688" s="53" t="s">
        <v>3812</v>
      </c>
      <c r="G688" s="28">
        <v>0</v>
      </c>
    </row>
    <row r="689" spans="1:7" x14ac:dyDescent="0.35">
      <c r="A689" s="22" t="s">
        <v>2549</v>
      </c>
      <c r="B689" s="22"/>
      <c r="C689" s="26">
        <v>45899</v>
      </c>
      <c r="D689" s="25">
        <v>39090</v>
      </c>
      <c r="E689" s="25" t="s">
        <v>3507</v>
      </c>
      <c r="F689" s="53" t="s">
        <v>3812</v>
      </c>
      <c r="G689" s="28">
        <v>0</v>
      </c>
    </row>
    <row r="690" spans="1:7" x14ac:dyDescent="0.35">
      <c r="A690" s="22" t="s">
        <v>2549</v>
      </c>
      <c r="B690" s="22"/>
      <c r="C690" s="26">
        <v>45899</v>
      </c>
      <c r="D690" s="25">
        <v>39123</v>
      </c>
      <c r="E690" s="25" t="s">
        <v>3508</v>
      </c>
      <c r="F690" s="53" t="s">
        <v>3812</v>
      </c>
      <c r="G690" s="28">
        <v>0</v>
      </c>
    </row>
    <row r="691" spans="1:7" x14ac:dyDescent="0.35">
      <c r="A691" s="22" t="s">
        <v>2549</v>
      </c>
      <c r="B691" s="22"/>
      <c r="C691" s="26">
        <v>45900</v>
      </c>
      <c r="D691" s="25" t="s">
        <v>3301</v>
      </c>
      <c r="E691" s="25" t="s">
        <v>2603</v>
      </c>
      <c r="F691" s="53" t="s">
        <v>3812</v>
      </c>
      <c r="G691" s="28">
        <v>0</v>
      </c>
    </row>
    <row r="692" spans="1:7" x14ac:dyDescent="0.35">
      <c r="A692" s="22" t="s">
        <v>2549</v>
      </c>
      <c r="B692" s="22"/>
      <c r="C692" s="26">
        <v>45900</v>
      </c>
      <c r="D692" s="25" t="s">
        <v>3302</v>
      </c>
      <c r="E692" s="25" t="s">
        <v>2474</v>
      </c>
      <c r="F692" s="53" t="s">
        <v>3812</v>
      </c>
      <c r="G692" s="28">
        <v>0</v>
      </c>
    </row>
    <row r="693" spans="1:7" x14ac:dyDescent="0.35">
      <c r="A693" s="22" t="s">
        <v>2549</v>
      </c>
      <c r="B693" s="22"/>
      <c r="C693" s="26">
        <v>45900</v>
      </c>
      <c r="D693" s="25" t="s">
        <v>3303</v>
      </c>
      <c r="E693" s="25" t="s">
        <v>2904</v>
      </c>
      <c r="F693" s="53" t="s">
        <v>3812</v>
      </c>
      <c r="G693" s="28">
        <v>1421.79</v>
      </c>
    </row>
    <row r="694" spans="1:7" x14ac:dyDescent="0.35">
      <c r="A694" s="22" t="s">
        <v>2549</v>
      </c>
      <c r="B694" s="22"/>
      <c r="C694" s="26">
        <v>45900</v>
      </c>
      <c r="D694" s="25" t="s">
        <v>3304</v>
      </c>
      <c r="E694" s="25" t="s">
        <v>1484</v>
      </c>
      <c r="F694" s="53" t="s">
        <v>3812</v>
      </c>
      <c r="G694" s="28">
        <v>92649.31</v>
      </c>
    </row>
    <row r="695" spans="1:7" x14ac:dyDescent="0.35">
      <c r="A695" s="22" t="s">
        <v>2549</v>
      </c>
      <c r="B695" s="22"/>
      <c r="C695" s="26">
        <v>45900</v>
      </c>
      <c r="D695" s="25" t="s">
        <v>3305</v>
      </c>
      <c r="E695" s="25" t="s">
        <v>1484</v>
      </c>
      <c r="F695" s="53" t="s">
        <v>3812</v>
      </c>
      <c r="G695" s="28">
        <v>77496.3</v>
      </c>
    </row>
    <row r="696" spans="1:7" x14ac:dyDescent="0.35">
      <c r="A696" s="22" t="s">
        <v>2549</v>
      </c>
      <c r="B696" s="22"/>
      <c r="C696" s="26">
        <v>45900</v>
      </c>
      <c r="D696" s="25" t="s">
        <v>3306</v>
      </c>
      <c r="E696" s="25" t="s">
        <v>1484</v>
      </c>
      <c r="F696" s="53" t="s">
        <v>3812</v>
      </c>
      <c r="G696" s="28">
        <v>158263.4</v>
      </c>
    </row>
    <row r="697" spans="1:7" x14ac:dyDescent="0.35">
      <c r="A697" s="22" t="s">
        <v>2549</v>
      </c>
      <c r="B697" s="22"/>
      <c r="C697" s="26">
        <v>45900</v>
      </c>
      <c r="D697" s="25" t="s">
        <v>3307</v>
      </c>
      <c r="E697" s="25" t="s">
        <v>1484</v>
      </c>
      <c r="F697" s="53" t="s">
        <v>3812</v>
      </c>
      <c r="G697" s="28">
        <v>24326.89</v>
      </c>
    </row>
    <row r="698" spans="1:7" x14ac:dyDescent="0.35">
      <c r="A698" s="22" t="s">
        <v>2549</v>
      </c>
      <c r="B698" s="22"/>
      <c r="C698" s="26">
        <v>45900</v>
      </c>
      <c r="D698" s="25" t="s">
        <v>3308</v>
      </c>
      <c r="E698" s="25" t="s">
        <v>301</v>
      </c>
      <c r="F698" s="53" t="s">
        <v>3812</v>
      </c>
      <c r="G698" s="28">
        <v>0</v>
      </c>
    </row>
    <row r="699" spans="1:7" x14ac:dyDescent="0.35">
      <c r="A699" s="22" t="s">
        <v>2549</v>
      </c>
      <c r="B699" s="22"/>
      <c r="C699" s="26">
        <v>45900</v>
      </c>
      <c r="D699" s="25">
        <v>32212</v>
      </c>
      <c r="E699" s="25" t="s">
        <v>1484</v>
      </c>
      <c r="F699" s="53" t="s">
        <v>3812</v>
      </c>
      <c r="G699" s="28">
        <v>0</v>
      </c>
    </row>
    <row r="700" spans="1:7" x14ac:dyDescent="0.35">
      <c r="A700" s="22" t="s">
        <v>2549</v>
      </c>
      <c r="B700" s="22"/>
      <c r="C700" s="26">
        <v>45900</v>
      </c>
      <c r="D700" s="25" t="s">
        <v>3309</v>
      </c>
      <c r="E700" s="25" t="s">
        <v>1484</v>
      </c>
      <c r="F700" s="53" t="s">
        <v>3812</v>
      </c>
      <c r="G700" s="28">
        <v>2127.5100000000002</v>
      </c>
    </row>
    <row r="701" spans="1:7" x14ac:dyDescent="0.35">
      <c r="A701" s="22" t="s">
        <v>2549</v>
      </c>
      <c r="B701" s="22"/>
      <c r="C701" s="26">
        <v>45900</v>
      </c>
      <c r="D701" s="25" t="s">
        <v>3310</v>
      </c>
      <c r="E701" s="25" t="s">
        <v>1484</v>
      </c>
      <c r="F701" s="53" t="s">
        <v>3812</v>
      </c>
      <c r="G701" s="28">
        <v>32809.47</v>
      </c>
    </row>
    <row r="702" spans="1:7" x14ac:dyDescent="0.35">
      <c r="A702" s="22" t="s">
        <v>2549</v>
      </c>
      <c r="B702" s="22"/>
      <c r="C702" s="26">
        <v>45900</v>
      </c>
      <c r="D702" s="25" t="s">
        <v>3311</v>
      </c>
      <c r="E702" s="25" t="s">
        <v>301</v>
      </c>
      <c r="F702" s="53" t="s">
        <v>3812</v>
      </c>
      <c r="G702" s="28">
        <v>0</v>
      </c>
    </row>
    <row r="703" spans="1:7" x14ac:dyDescent="0.35">
      <c r="A703" s="22" t="s">
        <v>2549</v>
      </c>
      <c r="B703" s="22"/>
      <c r="C703" s="26">
        <v>45900</v>
      </c>
      <c r="D703" s="25" t="s">
        <v>3312</v>
      </c>
      <c r="E703" s="25" t="s">
        <v>301</v>
      </c>
      <c r="F703" s="53" t="s">
        <v>3812</v>
      </c>
      <c r="G703" s="28">
        <v>0</v>
      </c>
    </row>
    <row r="704" spans="1:7" x14ac:dyDescent="0.35">
      <c r="A704" s="22" t="s">
        <v>2549</v>
      </c>
      <c r="B704" s="22"/>
      <c r="C704" s="26">
        <v>45900</v>
      </c>
      <c r="D704" s="25" t="s">
        <v>3313</v>
      </c>
      <c r="E704" s="25" t="s">
        <v>2926</v>
      </c>
      <c r="F704" s="53" t="s">
        <v>3812</v>
      </c>
      <c r="G704" s="28">
        <v>0</v>
      </c>
    </row>
    <row r="705" spans="1:7" x14ac:dyDescent="0.35">
      <c r="A705" s="22" t="s">
        <v>2549</v>
      </c>
      <c r="B705" s="22"/>
      <c r="C705" s="26">
        <v>45900</v>
      </c>
      <c r="D705" s="25" t="s">
        <v>3314</v>
      </c>
      <c r="E705" s="25" t="s">
        <v>301</v>
      </c>
      <c r="F705" s="53" t="s">
        <v>3812</v>
      </c>
      <c r="G705" s="28">
        <v>0</v>
      </c>
    </row>
    <row r="706" spans="1:7" x14ac:dyDescent="0.35">
      <c r="A706" s="22" t="s">
        <v>2549</v>
      </c>
      <c r="B706" s="22"/>
      <c r="C706" s="26">
        <v>45900</v>
      </c>
      <c r="D706" s="25" t="s">
        <v>3315</v>
      </c>
      <c r="E706" s="25" t="s">
        <v>2555</v>
      </c>
      <c r="F706" s="53" t="s">
        <v>3812</v>
      </c>
      <c r="G706" s="28">
        <v>3259.34</v>
      </c>
    </row>
    <row r="707" spans="1:7" x14ac:dyDescent="0.35">
      <c r="A707" s="22" t="s">
        <v>2549</v>
      </c>
      <c r="B707" s="22"/>
      <c r="C707" s="26">
        <v>45900</v>
      </c>
      <c r="D707" s="25" t="s">
        <v>3316</v>
      </c>
      <c r="E707" s="25" t="s">
        <v>2555</v>
      </c>
      <c r="F707" s="53" t="s">
        <v>3812</v>
      </c>
      <c r="G707" s="28">
        <v>2593.4</v>
      </c>
    </row>
    <row r="708" spans="1:7" x14ac:dyDescent="0.35">
      <c r="A708" s="22" t="s">
        <v>2549</v>
      </c>
      <c r="B708" s="22"/>
      <c r="C708" s="26">
        <v>45900</v>
      </c>
      <c r="D708" s="25" t="s">
        <v>3317</v>
      </c>
      <c r="E708" s="25" t="s">
        <v>2555</v>
      </c>
      <c r="F708" s="53" t="s">
        <v>3812</v>
      </c>
      <c r="G708" s="28">
        <v>9081.1</v>
      </c>
    </row>
    <row r="709" spans="1:7" x14ac:dyDescent="0.35">
      <c r="A709" s="22" t="s">
        <v>2549</v>
      </c>
      <c r="B709" s="22"/>
      <c r="C709" s="26">
        <v>45900</v>
      </c>
      <c r="D709" s="25" t="s">
        <v>3318</v>
      </c>
      <c r="E709" s="25" t="s">
        <v>2555</v>
      </c>
      <c r="F709" s="53" t="s">
        <v>3812</v>
      </c>
      <c r="G709" s="28">
        <v>5745.5599999999995</v>
      </c>
    </row>
    <row r="710" spans="1:7" x14ac:dyDescent="0.35">
      <c r="A710" s="22" t="s">
        <v>2549</v>
      </c>
      <c r="B710" s="22"/>
      <c r="C710" s="26">
        <v>45900</v>
      </c>
      <c r="D710" s="25" t="s">
        <v>3319</v>
      </c>
      <c r="E710" s="25" t="s">
        <v>2555</v>
      </c>
      <c r="F710" s="53" t="s">
        <v>3812</v>
      </c>
      <c r="G710" s="28">
        <v>0</v>
      </c>
    </row>
    <row r="711" spans="1:7" x14ac:dyDescent="0.35">
      <c r="A711" s="22" t="s">
        <v>2549</v>
      </c>
      <c r="B711" s="22"/>
      <c r="C711" s="26">
        <v>45900</v>
      </c>
      <c r="D711" s="25" t="s">
        <v>3320</v>
      </c>
      <c r="E711" s="25" t="s">
        <v>2555</v>
      </c>
      <c r="F711" s="53" t="s">
        <v>3812</v>
      </c>
      <c r="G711" s="28">
        <v>2083.1799999999998</v>
      </c>
    </row>
    <row r="712" spans="1:7" x14ac:dyDescent="0.35">
      <c r="A712" s="22" t="s">
        <v>2549</v>
      </c>
      <c r="B712" s="22"/>
      <c r="C712" s="26">
        <v>45900</v>
      </c>
      <c r="D712" s="25" t="s">
        <v>3321</v>
      </c>
      <c r="E712" s="25" t="s">
        <v>2555</v>
      </c>
      <c r="F712" s="53" t="s">
        <v>3812</v>
      </c>
      <c r="G712" s="28">
        <v>2578.21</v>
      </c>
    </row>
    <row r="713" spans="1:7" x14ac:dyDescent="0.35">
      <c r="A713" s="22" t="s">
        <v>2549</v>
      </c>
      <c r="B713" s="22"/>
      <c r="C713" s="26">
        <v>45900</v>
      </c>
      <c r="D713" s="25" t="s">
        <v>3322</v>
      </c>
      <c r="E713" s="25" t="s">
        <v>2555</v>
      </c>
      <c r="F713" s="53" t="s">
        <v>3812</v>
      </c>
      <c r="G713" s="28">
        <v>3036.2499999999995</v>
      </c>
    </row>
    <row r="714" spans="1:7" x14ac:dyDescent="0.35">
      <c r="A714" s="22" t="s">
        <v>2549</v>
      </c>
      <c r="B714" s="22"/>
      <c r="C714" s="26">
        <v>45900</v>
      </c>
      <c r="D714" s="25" t="s">
        <v>3323</v>
      </c>
      <c r="E714" s="25" t="s">
        <v>301</v>
      </c>
      <c r="F714" s="53" t="s">
        <v>3812</v>
      </c>
      <c r="G714" s="28">
        <v>0</v>
      </c>
    </row>
    <row r="715" spans="1:7" x14ac:dyDescent="0.35">
      <c r="A715" s="22" t="s">
        <v>2549</v>
      </c>
      <c r="B715" s="22"/>
      <c r="C715" s="26">
        <v>45900</v>
      </c>
      <c r="D715" s="25" t="s">
        <v>3324</v>
      </c>
      <c r="E715" s="25" t="s">
        <v>301</v>
      </c>
      <c r="F715" s="53" t="s">
        <v>3812</v>
      </c>
      <c r="G715" s="28">
        <v>0</v>
      </c>
    </row>
    <row r="716" spans="1:7" x14ac:dyDescent="0.35">
      <c r="A716" s="22" t="s">
        <v>2549</v>
      </c>
      <c r="B716" s="22"/>
      <c r="C716" s="26">
        <v>45900</v>
      </c>
      <c r="D716" s="25" t="s">
        <v>3325</v>
      </c>
      <c r="E716" s="25" t="s">
        <v>2132</v>
      </c>
      <c r="F716" s="53" t="s">
        <v>3812</v>
      </c>
      <c r="G716" s="28">
        <v>1863.21</v>
      </c>
    </row>
    <row r="717" spans="1:7" x14ac:dyDescent="0.35">
      <c r="A717" s="22" t="s">
        <v>2549</v>
      </c>
      <c r="B717" s="22"/>
      <c r="C717" s="26">
        <v>45900</v>
      </c>
      <c r="D717" s="25">
        <v>33826</v>
      </c>
      <c r="E717" s="25" t="s">
        <v>301</v>
      </c>
      <c r="F717" s="53" t="s">
        <v>3812</v>
      </c>
      <c r="G717" s="28">
        <v>0</v>
      </c>
    </row>
    <row r="718" spans="1:7" x14ac:dyDescent="0.35">
      <c r="A718" s="22" t="s">
        <v>2549</v>
      </c>
      <c r="B718" s="22"/>
      <c r="C718" s="26">
        <v>45900</v>
      </c>
      <c r="D718" s="25" t="s">
        <v>3326</v>
      </c>
      <c r="E718" s="25" t="s">
        <v>301</v>
      </c>
      <c r="F718" s="53" t="s">
        <v>3812</v>
      </c>
      <c r="G718" s="28">
        <v>0</v>
      </c>
    </row>
    <row r="719" spans="1:7" x14ac:dyDescent="0.35">
      <c r="A719" s="22" t="s">
        <v>2549</v>
      </c>
      <c r="B719" s="22"/>
      <c r="C719" s="26">
        <v>45900</v>
      </c>
      <c r="D719" s="25" t="s">
        <v>3327</v>
      </c>
      <c r="E719" s="25" t="s">
        <v>301</v>
      </c>
      <c r="F719" s="53" t="s">
        <v>3812</v>
      </c>
      <c r="G719" s="28">
        <v>0</v>
      </c>
    </row>
    <row r="720" spans="1:7" x14ac:dyDescent="0.35">
      <c r="A720" s="22" t="s">
        <v>2549</v>
      </c>
      <c r="B720" s="22"/>
      <c r="C720" s="26">
        <v>45900</v>
      </c>
      <c r="D720" s="25" t="s">
        <v>3328</v>
      </c>
      <c r="E720" s="25" t="s">
        <v>301</v>
      </c>
      <c r="F720" s="53" t="s">
        <v>3812</v>
      </c>
      <c r="G720" s="28">
        <v>0</v>
      </c>
    </row>
    <row r="721" spans="1:7" x14ac:dyDescent="0.35">
      <c r="A721" s="22" t="s">
        <v>2549</v>
      </c>
      <c r="B721" s="22"/>
      <c r="C721" s="26">
        <v>45900</v>
      </c>
      <c r="D721" s="25" t="s">
        <v>3329</v>
      </c>
      <c r="E721" s="25" t="s">
        <v>301</v>
      </c>
      <c r="F721" s="53" t="s">
        <v>3812</v>
      </c>
      <c r="G721" s="28">
        <v>0</v>
      </c>
    </row>
    <row r="722" spans="1:7" x14ac:dyDescent="0.35">
      <c r="A722" s="22" t="s">
        <v>2549</v>
      </c>
      <c r="B722" s="22"/>
      <c r="C722" s="26">
        <v>45900</v>
      </c>
      <c r="D722" s="25" t="s">
        <v>3330</v>
      </c>
      <c r="E722" s="25" t="s">
        <v>301</v>
      </c>
      <c r="F722" s="53" t="s">
        <v>3812</v>
      </c>
      <c r="G722" s="28">
        <v>0</v>
      </c>
    </row>
    <row r="723" spans="1:7" x14ac:dyDescent="0.35">
      <c r="A723" s="22" t="s">
        <v>2549</v>
      </c>
      <c r="B723" s="22"/>
      <c r="C723" s="26">
        <v>45900</v>
      </c>
      <c r="D723" s="25">
        <v>33967</v>
      </c>
      <c r="E723" s="25" t="s">
        <v>301</v>
      </c>
      <c r="F723" s="53" t="s">
        <v>3812</v>
      </c>
      <c r="G723" s="28">
        <v>0</v>
      </c>
    </row>
    <row r="724" spans="1:7" x14ac:dyDescent="0.35">
      <c r="A724" s="22" t="s">
        <v>2549</v>
      </c>
      <c r="B724" s="22"/>
      <c r="C724" s="26">
        <v>45900</v>
      </c>
      <c r="D724" s="25">
        <v>33968</v>
      </c>
      <c r="E724" s="25" t="s">
        <v>301</v>
      </c>
      <c r="F724" s="53" t="s">
        <v>3812</v>
      </c>
      <c r="G724" s="28">
        <v>0</v>
      </c>
    </row>
    <row r="725" spans="1:7" x14ac:dyDescent="0.35">
      <c r="A725" s="22" t="s">
        <v>2549</v>
      </c>
      <c r="B725" s="22"/>
      <c r="C725" s="26">
        <v>45900</v>
      </c>
      <c r="D725" s="25" t="s">
        <v>3331</v>
      </c>
      <c r="E725" s="25" t="s">
        <v>2033</v>
      </c>
      <c r="F725" s="53" t="s">
        <v>3812</v>
      </c>
      <c r="G725" s="28">
        <v>9207.6</v>
      </c>
    </row>
    <row r="726" spans="1:7" x14ac:dyDescent="0.35">
      <c r="A726" s="22" t="s">
        <v>2549</v>
      </c>
      <c r="B726" s="22"/>
      <c r="C726" s="26">
        <v>45900</v>
      </c>
      <c r="D726" s="25" t="s">
        <v>3332</v>
      </c>
      <c r="E726" s="25" t="s">
        <v>2033</v>
      </c>
      <c r="F726" s="53" t="s">
        <v>3812</v>
      </c>
      <c r="G726" s="28">
        <v>2790</v>
      </c>
    </row>
    <row r="727" spans="1:7" x14ac:dyDescent="0.35">
      <c r="A727" s="22" t="s">
        <v>2549</v>
      </c>
      <c r="B727" s="22"/>
      <c r="C727" s="26">
        <v>45900</v>
      </c>
      <c r="D727" s="25" t="s">
        <v>3333</v>
      </c>
      <c r="E727" s="25" t="s">
        <v>2033</v>
      </c>
      <c r="F727" s="53" t="s">
        <v>3812</v>
      </c>
      <c r="G727" s="28">
        <v>18662.900000000001</v>
      </c>
    </row>
    <row r="728" spans="1:7" x14ac:dyDescent="0.35">
      <c r="A728" s="22" t="s">
        <v>2549</v>
      </c>
      <c r="B728" s="22"/>
      <c r="C728" s="26">
        <v>45900</v>
      </c>
      <c r="D728" s="25">
        <v>33999</v>
      </c>
      <c r="E728" s="25" t="s">
        <v>301</v>
      </c>
      <c r="F728" s="53" t="s">
        <v>3812</v>
      </c>
      <c r="G728" s="28">
        <v>0</v>
      </c>
    </row>
    <row r="729" spans="1:7" x14ac:dyDescent="0.35">
      <c r="A729" s="22" t="s">
        <v>2549</v>
      </c>
      <c r="B729" s="22"/>
      <c r="C729" s="26">
        <v>45900</v>
      </c>
      <c r="D729" s="25" t="s">
        <v>3334</v>
      </c>
      <c r="E729" s="25" t="s">
        <v>2033</v>
      </c>
      <c r="F729" s="53" t="s">
        <v>3812</v>
      </c>
      <c r="G729" s="28">
        <v>14593.32</v>
      </c>
    </row>
    <row r="730" spans="1:7" x14ac:dyDescent="0.35">
      <c r="A730" s="22" t="s">
        <v>2549</v>
      </c>
      <c r="B730" s="22"/>
      <c r="C730" s="26">
        <v>45900</v>
      </c>
      <c r="D730" s="25" t="s">
        <v>3335</v>
      </c>
      <c r="E730" s="25" t="s">
        <v>2033</v>
      </c>
      <c r="F730" s="53" t="s">
        <v>3812</v>
      </c>
      <c r="G730" s="28">
        <v>3598.88</v>
      </c>
    </row>
    <row r="731" spans="1:7" x14ac:dyDescent="0.35">
      <c r="A731" s="22" t="s">
        <v>2549</v>
      </c>
      <c r="B731" s="22"/>
      <c r="C731" s="26">
        <v>45900</v>
      </c>
      <c r="D731" s="25">
        <v>34128</v>
      </c>
      <c r="E731" s="25" t="s">
        <v>301</v>
      </c>
      <c r="F731" s="53" t="s">
        <v>3812</v>
      </c>
      <c r="G731" s="28">
        <v>0</v>
      </c>
    </row>
    <row r="732" spans="1:7" x14ac:dyDescent="0.35">
      <c r="A732" s="22" t="s">
        <v>2549</v>
      </c>
      <c r="B732" s="22"/>
      <c r="C732" s="26">
        <v>45900</v>
      </c>
      <c r="D732" s="25" t="s">
        <v>3336</v>
      </c>
      <c r="E732" s="25" t="s">
        <v>2467</v>
      </c>
      <c r="F732" s="53" t="s">
        <v>3812</v>
      </c>
      <c r="G732" s="28">
        <v>1738.9900000000002</v>
      </c>
    </row>
    <row r="733" spans="1:7" x14ac:dyDescent="0.35">
      <c r="A733" s="22" t="s">
        <v>2549</v>
      </c>
      <c r="B733" s="22"/>
      <c r="C733" s="26">
        <v>45900</v>
      </c>
      <c r="D733" s="25" t="s">
        <v>3337</v>
      </c>
      <c r="E733" s="25" t="s">
        <v>1724</v>
      </c>
      <c r="F733" s="53" t="s">
        <v>3812</v>
      </c>
      <c r="G733" s="28">
        <v>0</v>
      </c>
    </row>
    <row r="734" spans="1:7" x14ac:dyDescent="0.35">
      <c r="A734" s="22" t="s">
        <v>2549</v>
      </c>
      <c r="B734" s="22"/>
      <c r="C734" s="26">
        <v>45900</v>
      </c>
      <c r="D734" s="25" t="s">
        <v>3338</v>
      </c>
      <c r="E734" s="25" t="s">
        <v>1782</v>
      </c>
      <c r="F734" s="53" t="s">
        <v>3812</v>
      </c>
      <c r="G734" s="28">
        <v>0</v>
      </c>
    </row>
    <row r="735" spans="1:7" x14ac:dyDescent="0.35">
      <c r="A735" s="22" t="s">
        <v>2549</v>
      </c>
      <c r="B735" s="22"/>
      <c r="C735" s="26">
        <v>45900</v>
      </c>
      <c r="D735" s="25">
        <v>34529</v>
      </c>
      <c r="E735" s="25" t="s">
        <v>301</v>
      </c>
      <c r="F735" s="53" t="s">
        <v>3812</v>
      </c>
      <c r="G735" s="28">
        <v>0</v>
      </c>
    </row>
    <row r="736" spans="1:7" x14ac:dyDescent="0.35">
      <c r="A736" s="22" t="s">
        <v>2549</v>
      </c>
      <c r="B736" s="22"/>
      <c r="C736" s="26">
        <v>45900</v>
      </c>
      <c r="D736" s="25">
        <v>34753</v>
      </c>
      <c r="E736" s="25" t="s">
        <v>301</v>
      </c>
      <c r="F736" s="53" t="s">
        <v>3812</v>
      </c>
      <c r="G736" s="28">
        <v>0</v>
      </c>
    </row>
    <row r="737" spans="1:7" x14ac:dyDescent="0.35">
      <c r="A737" s="22" t="s">
        <v>2549</v>
      </c>
      <c r="B737" s="22"/>
      <c r="C737" s="26">
        <v>45900</v>
      </c>
      <c r="D737" s="25" t="s">
        <v>3339</v>
      </c>
      <c r="E737" s="25" t="s">
        <v>965</v>
      </c>
      <c r="F737" s="53" t="s">
        <v>3812</v>
      </c>
      <c r="G737" s="28">
        <v>0</v>
      </c>
    </row>
    <row r="738" spans="1:7" x14ac:dyDescent="0.35">
      <c r="A738" s="22" t="s">
        <v>2549</v>
      </c>
      <c r="B738" s="22"/>
      <c r="C738" s="26">
        <v>45900</v>
      </c>
      <c r="D738" s="25" t="s">
        <v>3340</v>
      </c>
      <c r="E738" s="25" t="s">
        <v>301</v>
      </c>
      <c r="F738" s="53" t="s">
        <v>3812</v>
      </c>
      <c r="G738" s="28">
        <v>0</v>
      </c>
    </row>
    <row r="739" spans="1:7" x14ac:dyDescent="0.35">
      <c r="A739" s="22" t="s">
        <v>2549</v>
      </c>
      <c r="B739" s="22"/>
      <c r="C739" s="26">
        <v>45900</v>
      </c>
      <c r="D739" s="25">
        <v>34768</v>
      </c>
      <c r="E739" s="25" t="s">
        <v>301</v>
      </c>
      <c r="F739" s="53" t="s">
        <v>3812</v>
      </c>
      <c r="G739" s="28">
        <v>0</v>
      </c>
    </row>
    <row r="740" spans="1:7" x14ac:dyDescent="0.35">
      <c r="A740" s="22" t="s">
        <v>2549</v>
      </c>
      <c r="B740" s="22"/>
      <c r="C740" s="26">
        <v>45900</v>
      </c>
      <c r="D740" s="25">
        <v>34769</v>
      </c>
      <c r="E740" s="25" t="s">
        <v>301</v>
      </c>
      <c r="F740" s="53" t="s">
        <v>3812</v>
      </c>
      <c r="G740" s="28">
        <v>0</v>
      </c>
    </row>
    <row r="741" spans="1:7" x14ac:dyDescent="0.35">
      <c r="A741" s="22" t="s">
        <v>2549</v>
      </c>
      <c r="B741" s="22"/>
      <c r="C741" s="26">
        <v>45900</v>
      </c>
      <c r="D741" s="25" t="s">
        <v>3341</v>
      </c>
      <c r="E741" s="25" t="s">
        <v>1932</v>
      </c>
      <c r="F741" s="53" t="s">
        <v>3812</v>
      </c>
      <c r="G741" s="28">
        <v>350</v>
      </c>
    </row>
    <row r="742" spans="1:7" x14ac:dyDescent="0.35">
      <c r="A742" s="22" t="s">
        <v>2549</v>
      </c>
      <c r="B742" s="22"/>
      <c r="C742" s="26">
        <v>45900</v>
      </c>
      <c r="D742" s="25" t="s">
        <v>3342</v>
      </c>
      <c r="E742" s="25" t="s">
        <v>301</v>
      </c>
      <c r="F742" s="53" t="s">
        <v>3812</v>
      </c>
      <c r="G742" s="28">
        <v>0</v>
      </c>
    </row>
    <row r="743" spans="1:7" x14ac:dyDescent="0.35">
      <c r="A743" s="22" t="s">
        <v>2549</v>
      </c>
      <c r="B743" s="22"/>
      <c r="C743" s="26">
        <v>45900</v>
      </c>
      <c r="D743" s="25" t="s">
        <v>3343</v>
      </c>
      <c r="E743" s="25" t="s">
        <v>3144</v>
      </c>
      <c r="F743" s="53" t="s">
        <v>3812</v>
      </c>
      <c r="G743" s="28">
        <v>9627.86</v>
      </c>
    </row>
    <row r="744" spans="1:7" x14ac:dyDescent="0.35">
      <c r="A744" s="22" t="s">
        <v>2549</v>
      </c>
      <c r="B744" s="22"/>
      <c r="C744" s="26">
        <v>45900</v>
      </c>
      <c r="D744" s="25" t="s">
        <v>3344</v>
      </c>
      <c r="E744" s="25" t="s">
        <v>3144</v>
      </c>
      <c r="F744" s="53" t="s">
        <v>3812</v>
      </c>
      <c r="G744" s="28">
        <v>12464.64</v>
      </c>
    </row>
    <row r="745" spans="1:7" x14ac:dyDescent="0.35">
      <c r="A745" s="22" t="s">
        <v>2549</v>
      </c>
      <c r="B745" s="22"/>
      <c r="C745" s="26">
        <v>45900</v>
      </c>
      <c r="D745" s="25" t="s">
        <v>3345</v>
      </c>
      <c r="E745" s="25" t="s">
        <v>2079</v>
      </c>
      <c r="F745" s="53" t="s">
        <v>3812</v>
      </c>
      <c r="G745" s="28">
        <v>0</v>
      </c>
    </row>
    <row r="746" spans="1:7" x14ac:dyDescent="0.35">
      <c r="A746" s="22" t="s">
        <v>2549</v>
      </c>
      <c r="B746" s="22"/>
      <c r="C746" s="26">
        <v>45900</v>
      </c>
      <c r="D746" s="25" t="s">
        <v>3346</v>
      </c>
      <c r="E746" s="25" t="s">
        <v>301</v>
      </c>
      <c r="F746" s="53" t="s">
        <v>3812</v>
      </c>
      <c r="G746" s="28">
        <v>0</v>
      </c>
    </row>
    <row r="747" spans="1:7" x14ac:dyDescent="0.35">
      <c r="A747" s="22" t="s">
        <v>2549</v>
      </c>
      <c r="B747" s="22"/>
      <c r="C747" s="26">
        <v>45900</v>
      </c>
      <c r="D747" s="25" t="s">
        <v>3347</v>
      </c>
      <c r="E747" s="25" t="s">
        <v>301</v>
      </c>
      <c r="F747" s="53" t="s">
        <v>3812</v>
      </c>
      <c r="G747" s="28">
        <v>0</v>
      </c>
    </row>
    <row r="748" spans="1:7" x14ac:dyDescent="0.35">
      <c r="A748" s="22" t="s">
        <v>2549</v>
      </c>
      <c r="B748" s="22"/>
      <c r="C748" s="26">
        <v>45900</v>
      </c>
      <c r="D748" s="25" t="s">
        <v>3348</v>
      </c>
      <c r="E748" s="25" t="s">
        <v>301</v>
      </c>
      <c r="F748" s="53" t="s">
        <v>3812</v>
      </c>
      <c r="G748" s="28">
        <v>0</v>
      </c>
    </row>
    <row r="749" spans="1:7" x14ac:dyDescent="0.35">
      <c r="A749" s="22" t="s">
        <v>2549</v>
      </c>
      <c r="B749" s="22"/>
      <c r="C749" s="26">
        <v>45900</v>
      </c>
      <c r="D749" s="25" t="s">
        <v>3349</v>
      </c>
      <c r="E749" s="25" t="s">
        <v>301</v>
      </c>
      <c r="F749" s="53" t="s">
        <v>3812</v>
      </c>
      <c r="G749" s="28">
        <v>0</v>
      </c>
    </row>
    <row r="750" spans="1:7" x14ac:dyDescent="0.35">
      <c r="A750" s="22" t="s">
        <v>2549</v>
      </c>
      <c r="B750" s="22"/>
      <c r="C750" s="26">
        <v>45900</v>
      </c>
      <c r="D750" s="25" t="s">
        <v>3350</v>
      </c>
      <c r="E750" s="25" t="s">
        <v>301</v>
      </c>
      <c r="F750" s="53" t="s">
        <v>3812</v>
      </c>
      <c r="G750" s="28">
        <v>0</v>
      </c>
    </row>
    <row r="751" spans="1:7" x14ac:dyDescent="0.35">
      <c r="A751" s="22" t="s">
        <v>2549</v>
      </c>
      <c r="B751" s="22"/>
      <c r="C751" s="26">
        <v>45900</v>
      </c>
      <c r="D751" s="25" t="s">
        <v>3351</v>
      </c>
      <c r="E751" s="25" t="s">
        <v>301</v>
      </c>
      <c r="F751" s="53" t="s">
        <v>3812</v>
      </c>
      <c r="G751" s="28">
        <v>0</v>
      </c>
    </row>
    <row r="752" spans="1:7" x14ac:dyDescent="0.35">
      <c r="A752" s="22" t="s">
        <v>2549</v>
      </c>
      <c r="B752" s="22"/>
      <c r="C752" s="26">
        <v>45900</v>
      </c>
      <c r="D752" s="25" t="s">
        <v>3352</v>
      </c>
      <c r="E752" s="25" t="s">
        <v>301</v>
      </c>
      <c r="F752" s="53" t="s">
        <v>3812</v>
      </c>
      <c r="G752" s="28">
        <v>0</v>
      </c>
    </row>
    <row r="753" spans="1:7" x14ac:dyDescent="0.35">
      <c r="A753" s="22" t="s">
        <v>2549</v>
      </c>
      <c r="B753" s="22"/>
      <c r="C753" s="26">
        <v>45900</v>
      </c>
      <c r="D753" s="25" t="s">
        <v>3353</v>
      </c>
      <c r="E753" s="25" t="s">
        <v>3476</v>
      </c>
      <c r="F753" s="53" t="s">
        <v>3812</v>
      </c>
      <c r="G753" s="28">
        <v>1106.25</v>
      </c>
    </row>
    <row r="754" spans="1:7" x14ac:dyDescent="0.35">
      <c r="A754" s="22" t="s">
        <v>2549</v>
      </c>
      <c r="B754" s="22"/>
      <c r="C754" s="26">
        <v>45900</v>
      </c>
      <c r="D754" s="25" t="s">
        <v>3354</v>
      </c>
      <c r="E754" s="25" t="s">
        <v>2467</v>
      </c>
      <c r="F754" s="53" t="s">
        <v>3812</v>
      </c>
      <c r="G754" s="28">
        <v>0</v>
      </c>
    </row>
    <row r="755" spans="1:7" x14ac:dyDescent="0.35">
      <c r="A755" s="22" t="s">
        <v>2549</v>
      </c>
      <c r="B755" s="22"/>
      <c r="C755" s="26">
        <v>45900</v>
      </c>
      <c r="D755" s="25">
        <v>35410</v>
      </c>
      <c r="E755" s="25" t="s">
        <v>3509</v>
      </c>
      <c r="F755" s="53" t="s">
        <v>3812</v>
      </c>
      <c r="G755" s="28">
        <v>0</v>
      </c>
    </row>
    <row r="756" spans="1:7" x14ac:dyDescent="0.35">
      <c r="A756" s="22" t="s">
        <v>2549</v>
      </c>
      <c r="B756" s="22"/>
      <c r="C756" s="26">
        <v>45900</v>
      </c>
      <c r="D756" s="25">
        <v>35411</v>
      </c>
      <c r="E756" s="25" t="s">
        <v>3509</v>
      </c>
      <c r="F756" s="53" t="s">
        <v>3812</v>
      </c>
      <c r="G756" s="28">
        <v>0</v>
      </c>
    </row>
    <row r="757" spans="1:7" x14ac:dyDescent="0.35">
      <c r="A757" s="22" t="s">
        <v>2549</v>
      </c>
      <c r="B757" s="22"/>
      <c r="C757" s="26">
        <v>45900</v>
      </c>
      <c r="D757" s="25" t="s">
        <v>3355</v>
      </c>
      <c r="E757" s="25" t="s">
        <v>3509</v>
      </c>
      <c r="F757" s="53" t="s">
        <v>3812</v>
      </c>
      <c r="G757" s="28">
        <v>0</v>
      </c>
    </row>
    <row r="758" spans="1:7" x14ac:dyDescent="0.35">
      <c r="A758" s="22" t="s">
        <v>2549</v>
      </c>
      <c r="B758" s="22"/>
      <c r="C758" s="26">
        <v>45900</v>
      </c>
      <c r="D758" s="25">
        <v>35413</v>
      </c>
      <c r="E758" s="25" t="s">
        <v>3509</v>
      </c>
      <c r="F758" s="53" t="s">
        <v>3812</v>
      </c>
      <c r="G758" s="28">
        <v>0</v>
      </c>
    </row>
    <row r="759" spans="1:7" x14ac:dyDescent="0.35">
      <c r="A759" s="22" t="s">
        <v>2549</v>
      </c>
      <c r="B759" s="22"/>
      <c r="C759" s="26">
        <v>45900</v>
      </c>
      <c r="D759" s="25">
        <v>35414</v>
      </c>
      <c r="E759" s="25" t="s">
        <v>3509</v>
      </c>
      <c r="F759" s="53" t="s">
        <v>3812</v>
      </c>
      <c r="G759" s="28">
        <v>0</v>
      </c>
    </row>
    <row r="760" spans="1:7" x14ac:dyDescent="0.35">
      <c r="A760" s="22" t="s">
        <v>2549</v>
      </c>
      <c r="B760" s="22"/>
      <c r="C760" s="26">
        <v>45900</v>
      </c>
      <c r="D760" s="25">
        <v>35415</v>
      </c>
      <c r="E760" s="25" t="s">
        <v>3509</v>
      </c>
      <c r="F760" s="53" t="s">
        <v>3812</v>
      </c>
      <c r="G760" s="28">
        <v>0</v>
      </c>
    </row>
    <row r="761" spans="1:7" x14ac:dyDescent="0.35">
      <c r="A761" s="22" t="s">
        <v>2549</v>
      </c>
      <c r="B761" s="22"/>
      <c r="C761" s="26">
        <v>45900</v>
      </c>
      <c r="D761" s="25">
        <v>35416</v>
      </c>
      <c r="E761" s="25" t="s">
        <v>3509</v>
      </c>
      <c r="F761" s="53" t="s">
        <v>3812</v>
      </c>
      <c r="G761" s="28">
        <v>0</v>
      </c>
    </row>
    <row r="762" spans="1:7" x14ac:dyDescent="0.35">
      <c r="A762" s="22" t="s">
        <v>2549</v>
      </c>
      <c r="B762" s="22"/>
      <c r="C762" s="26">
        <v>45900</v>
      </c>
      <c r="D762" s="25">
        <v>35417</v>
      </c>
      <c r="E762" s="25" t="s">
        <v>3509</v>
      </c>
      <c r="F762" s="53" t="s">
        <v>3812</v>
      </c>
      <c r="G762" s="28">
        <v>0</v>
      </c>
    </row>
    <row r="763" spans="1:7" x14ac:dyDescent="0.35">
      <c r="A763" s="22" t="s">
        <v>2549</v>
      </c>
      <c r="B763" s="22"/>
      <c r="C763" s="26">
        <v>45900</v>
      </c>
      <c r="D763" s="25">
        <v>35418</v>
      </c>
      <c r="E763" s="25" t="s">
        <v>3509</v>
      </c>
      <c r="F763" s="53" t="s">
        <v>3812</v>
      </c>
      <c r="G763" s="28">
        <v>0</v>
      </c>
    </row>
    <row r="764" spans="1:7" x14ac:dyDescent="0.35">
      <c r="A764" s="22" t="s">
        <v>2549</v>
      </c>
      <c r="B764" s="22"/>
      <c r="C764" s="26">
        <v>45900</v>
      </c>
      <c r="D764" s="25">
        <v>35419</v>
      </c>
      <c r="E764" s="25" t="s">
        <v>3509</v>
      </c>
      <c r="F764" s="53" t="s">
        <v>3812</v>
      </c>
      <c r="G764" s="28">
        <v>0</v>
      </c>
    </row>
    <row r="765" spans="1:7" x14ac:dyDescent="0.35">
      <c r="A765" s="22" t="s">
        <v>2549</v>
      </c>
      <c r="B765" s="22"/>
      <c r="C765" s="26">
        <v>45900</v>
      </c>
      <c r="D765" s="25">
        <v>35420</v>
      </c>
      <c r="E765" s="25" t="s">
        <v>3509</v>
      </c>
      <c r="F765" s="53" t="s">
        <v>3812</v>
      </c>
      <c r="G765" s="28">
        <v>0</v>
      </c>
    </row>
    <row r="766" spans="1:7" x14ac:dyDescent="0.35">
      <c r="A766" s="22" t="s">
        <v>2549</v>
      </c>
      <c r="B766" s="22"/>
      <c r="C766" s="26">
        <v>45900</v>
      </c>
      <c r="D766" s="25">
        <v>35421</v>
      </c>
      <c r="E766" s="25" t="s">
        <v>3509</v>
      </c>
      <c r="F766" s="53" t="s">
        <v>3812</v>
      </c>
      <c r="G766" s="28">
        <v>0</v>
      </c>
    </row>
    <row r="767" spans="1:7" x14ac:dyDescent="0.35">
      <c r="A767" s="22" t="s">
        <v>2549</v>
      </c>
      <c r="B767" s="22"/>
      <c r="C767" s="26">
        <v>45900</v>
      </c>
      <c r="D767" s="25" t="s">
        <v>3357</v>
      </c>
      <c r="E767" s="25" t="s">
        <v>3509</v>
      </c>
      <c r="F767" s="53" t="s">
        <v>3812</v>
      </c>
      <c r="G767" s="28">
        <v>0</v>
      </c>
    </row>
    <row r="768" spans="1:7" x14ac:dyDescent="0.35">
      <c r="A768" s="22" t="s">
        <v>2549</v>
      </c>
      <c r="B768" s="22"/>
      <c r="C768" s="26">
        <v>45900</v>
      </c>
      <c r="D768" s="25" t="s">
        <v>3358</v>
      </c>
      <c r="E768" s="25" t="s">
        <v>1757</v>
      </c>
      <c r="F768" s="53" t="s">
        <v>3812</v>
      </c>
      <c r="G768" s="28">
        <v>52357.24</v>
      </c>
    </row>
    <row r="769" spans="1:7" x14ac:dyDescent="0.35">
      <c r="A769" s="22" t="s">
        <v>2549</v>
      </c>
      <c r="B769" s="22"/>
      <c r="C769" s="26">
        <v>45900</v>
      </c>
      <c r="D769" s="25">
        <v>35434</v>
      </c>
      <c r="E769" s="25" t="s">
        <v>1757</v>
      </c>
      <c r="F769" s="53" t="s">
        <v>3812</v>
      </c>
      <c r="G769" s="28">
        <v>13892.579999999998</v>
      </c>
    </row>
    <row r="770" spans="1:7" x14ac:dyDescent="0.35">
      <c r="A770" s="22" t="s">
        <v>2549</v>
      </c>
      <c r="B770" s="22"/>
      <c r="C770" s="26">
        <v>45900</v>
      </c>
      <c r="D770" s="25" t="s">
        <v>3360</v>
      </c>
      <c r="E770" s="25" t="s">
        <v>1757</v>
      </c>
      <c r="F770" s="53" t="s">
        <v>3812</v>
      </c>
      <c r="G770" s="28">
        <v>946.14</v>
      </c>
    </row>
    <row r="771" spans="1:7" x14ac:dyDescent="0.35">
      <c r="A771" s="22" t="s">
        <v>2549</v>
      </c>
      <c r="B771" s="22"/>
      <c r="C771" s="26">
        <v>45900</v>
      </c>
      <c r="D771" s="25" t="s">
        <v>3361</v>
      </c>
      <c r="E771" s="25" t="s">
        <v>1757</v>
      </c>
      <c r="F771" s="53" t="s">
        <v>3812</v>
      </c>
      <c r="G771" s="28">
        <v>332.38</v>
      </c>
    </row>
    <row r="772" spans="1:7" x14ac:dyDescent="0.35">
      <c r="A772" s="22" t="s">
        <v>2549</v>
      </c>
      <c r="B772" s="22"/>
      <c r="C772" s="26">
        <v>45900</v>
      </c>
      <c r="D772" s="25" t="s">
        <v>3362</v>
      </c>
      <c r="E772" s="25" t="s">
        <v>1757</v>
      </c>
      <c r="F772" s="53" t="s">
        <v>3812</v>
      </c>
      <c r="G772" s="28">
        <v>0</v>
      </c>
    </row>
    <row r="773" spans="1:7" x14ac:dyDescent="0.35">
      <c r="A773" s="22" t="s">
        <v>2549</v>
      </c>
      <c r="B773" s="22"/>
      <c r="C773" s="26">
        <v>45900</v>
      </c>
      <c r="D773" s="25" t="s">
        <v>3363</v>
      </c>
      <c r="E773" s="25" t="s">
        <v>1757</v>
      </c>
      <c r="F773" s="53" t="s">
        <v>3812</v>
      </c>
      <c r="G773" s="28">
        <v>43962.13</v>
      </c>
    </row>
    <row r="774" spans="1:7" x14ac:dyDescent="0.35">
      <c r="A774" s="22" t="s">
        <v>2549</v>
      </c>
      <c r="B774" s="22"/>
      <c r="C774" s="26">
        <v>45900</v>
      </c>
      <c r="D774" s="25" t="s">
        <v>3364</v>
      </c>
      <c r="E774" s="25" t="s">
        <v>1757</v>
      </c>
      <c r="F774" s="53" t="s">
        <v>3812</v>
      </c>
      <c r="G774" s="28">
        <v>435.65</v>
      </c>
    </row>
    <row r="775" spans="1:7" x14ac:dyDescent="0.35">
      <c r="A775" s="22" t="s">
        <v>2549</v>
      </c>
      <c r="B775" s="22"/>
      <c r="C775" s="26">
        <v>45900</v>
      </c>
      <c r="D775" s="25" t="s">
        <v>3365</v>
      </c>
      <c r="E775" s="25" t="s">
        <v>1757</v>
      </c>
      <c r="F775" s="53" t="s">
        <v>3812</v>
      </c>
      <c r="G775" s="28">
        <v>1342.06</v>
      </c>
    </row>
    <row r="776" spans="1:7" x14ac:dyDescent="0.35">
      <c r="A776" s="22" t="s">
        <v>2549</v>
      </c>
      <c r="B776" s="22"/>
      <c r="C776" s="26">
        <v>45900</v>
      </c>
      <c r="D776" s="25" t="s">
        <v>3366</v>
      </c>
      <c r="E776" s="25" t="s">
        <v>1757</v>
      </c>
      <c r="F776" s="53" t="s">
        <v>3812</v>
      </c>
      <c r="G776" s="28">
        <v>3793.79</v>
      </c>
    </row>
    <row r="777" spans="1:7" x14ac:dyDescent="0.35">
      <c r="A777" s="22" t="s">
        <v>2549</v>
      </c>
      <c r="B777" s="22"/>
      <c r="C777" s="26">
        <v>45900</v>
      </c>
      <c r="D777" s="25" t="s">
        <v>3367</v>
      </c>
      <c r="E777" s="25" t="s">
        <v>1757</v>
      </c>
      <c r="F777" s="53" t="s">
        <v>3812</v>
      </c>
      <c r="G777" s="28">
        <v>0</v>
      </c>
    </row>
    <row r="778" spans="1:7" x14ac:dyDescent="0.35">
      <c r="A778" s="22" t="s">
        <v>2549</v>
      </c>
      <c r="B778" s="22"/>
      <c r="C778" s="26">
        <v>45900</v>
      </c>
      <c r="D778" s="25" t="s">
        <v>3368</v>
      </c>
      <c r="E778" s="25" t="s">
        <v>1757</v>
      </c>
      <c r="F778" s="53" t="s">
        <v>3812</v>
      </c>
      <c r="G778" s="28">
        <v>9777.1999999999989</v>
      </c>
    </row>
    <row r="779" spans="1:7" x14ac:dyDescent="0.35">
      <c r="A779" s="22" t="s">
        <v>2549</v>
      </c>
      <c r="B779" s="22"/>
      <c r="C779" s="26">
        <v>45900</v>
      </c>
      <c r="D779" s="25" t="s">
        <v>3370</v>
      </c>
      <c r="E779" s="25" t="s">
        <v>3212</v>
      </c>
      <c r="F779" s="53" t="s">
        <v>3812</v>
      </c>
      <c r="G779" s="28">
        <v>9000</v>
      </c>
    </row>
    <row r="780" spans="1:7" x14ac:dyDescent="0.35">
      <c r="A780" s="22" t="s">
        <v>2549</v>
      </c>
      <c r="B780" s="22"/>
      <c r="C780" s="26">
        <v>45900</v>
      </c>
      <c r="D780" s="25" t="s">
        <v>3372</v>
      </c>
      <c r="E780" s="25" t="s">
        <v>3218</v>
      </c>
      <c r="F780" s="53" t="s">
        <v>3812</v>
      </c>
      <c r="G780" s="28">
        <v>0</v>
      </c>
    </row>
    <row r="781" spans="1:7" x14ac:dyDescent="0.35">
      <c r="A781" s="22" t="s">
        <v>2549</v>
      </c>
      <c r="B781" s="22"/>
      <c r="C781" s="26">
        <v>45900</v>
      </c>
      <c r="D781" s="25">
        <v>35494</v>
      </c>
      <c r="E781" s="25" t="s">
        <v>3218</v>
      </c>
      <c r="F781" s="53" t="s">
        <v>3812</v>
      </c>
      <c r="G781" s="28">
        <v>94</v>
      </c>
    </row>
    <row r="782" spans="1:7" x14ac:dyDescent="0.35">
      <c r="A782" s="22" t="s">
        <v>2549</v>
      </c>
      <c r="B782" s="22"/>
      <c r="C782" s="26">
        <v>45900</v>
      </c>
      <c r="D782" s="25" t="s">
        <v>3373</v>
      </c>
      <c r="E782" s="25" t="s">
        <v>2514</v>
      </c>
      <c r="F782" s="53" t="s">
        <v>3812</v>
      </c>
      <c r="G782" s="28">
        <v>1073.28</v>
      </c>
    </row>
    <row r="783" spans="1:7" x14ac:dyDescent="0.35">
      <c r="A783" s="22" t="s">
        <v>2549</v>
      </c>
      <c r="B783" s="22"/>
      <c r="C783" s="26">
        <v>45900</v>
      </c>
      <c r="D783" s="25" t="s">
        <v>3374</v>
      </c>
      <c r="E783" s="25" t="s">
        <v>2514</v>
      </c>
      <c r="F783" s="53" t="s">
        <v>3812</v>
      </c>
      <c r="G783" s="28">
        <v>1505.52</v>
      </c>
    </row>
    <row r="784" spans="1:7" x14ac:dyDescent="0.35">
      <c r="A784" s="22" t="s">
        <v>2549</v>
      </c>
      <c r="B784" s="22"/>
      <c r="C784" s="26">
        <v>45900</v>
      </c>
      <c r="D784" s="25" t="s">
        <v>3375</v>
      </c>
      <c r="E784" s="25" t="s">
        <v>2514</v>
      </c>
      <c r="F784" s="53" t="s">
        <v>3812</v>
      </c>
      <c r="G784" s="28">
        <v>20938.5</v>
      </c>
    </row>
    <row r="785" spans="1:7" x14ac:dyDescent="0.35">
      <c r="A785" s="22" t="s">
        <v>2549</v>
      </c>
      <c r="B785" s="22"/>
      <c r="C785" s="26">
        <v>45900</v>
      </c>
      <c r="D785" s="25" t="s">
        <v>3376</v>
      </c>
      <c r="E785" s="25" t="s">
        <v>2514</v>
      </c>
      <c r="F785" s="53" t="s">
        <v>3812</v>
      </c>
      <c r="G785" s="28">
        <v>45</v>
      </c>
    </row>
    <row r="786" spans="1:7" x14ac:dyDescent="0.35">
      <c r="A786" s="22" t="s">
        <v>2549</v>
      </c>
      <c r="B786" s="22"/>
      <c r="C786" s="26">
        <v>45900</v>
      </c>
      <c r="D786" s="25" t="s">
        <v>3377</v>
      </c>
      <c r="E786" s="25" t="s">
        <v>2514</v>
      </c>
      <c r="F786" s="53" t="s">
        <v>3812</v>
      </c>
      <c r="G786" s="28">
        <v>0</v>
      </c>
    </row>
    <row r="787" spans="1:7" x14ac:dyDescent="0.35">
      <c r="A787" s="22" t="s">
        <v>2549</v>
      </c>
      <c r="B787" s="22"/>
      <c r="C787" s="26">
        <v>45900</v>
      </c>
      <c r="D787" s="25" t="s">
        <v>3378</v>
      </c>
      <c r="E787" s="25" t="s">
        <v>2514</v>
      </c>
      <c r="F787" s="53" t="s">
        <v>3812</v>
      </c>
      <c r="G787" s="28">
        <v>2044.7199999999998</v>
      </c>
    </row>
    <row r="788" spans="1:7" x14ac:dyDescent="0.35">
      <c r="A788" s="22" t="s">
        <v>2549</v>
      </c>
      <c r="B788" s="22"/>
      <c r="C788" s="26">
        <v>45900</v>
      </c>
      <c r="D788" s="25" t="s">
        <v>3379</v>
      </c>
      <c r="E788" s="25" t="s">
        <v>2514</v>
      </c>
      <c r="F788" s="53" t="s">
        <v>3812</v>
      </c>
      <c r="G788" s="28">
        <v>7436.4</v>
      </c>
    </row>
    <row r="789" spans="1:7" x14ac:dyDescent="0.35">
      <c r="A789" s="22" t="s">
        <v>2549</v>
      </c>
      <c r="B789" s="22"/>
      <c r="C789" s="26">
        <v>45900</v>
      </c>
      <c r="D789" s="25" t="s">
        <v>3380</v>
      </c>
      <c r="E789" s="25" t="s">
        <v>2514</v>
      </c>
      <c r="F789" s="53" t="s">
        <v>3812</v>
      </c>
      <c r="G789" s="28">
        <v>24.28</v>
      </c>
    </row>
    <row r="790" spans="1:7" x14ac:dyDescent="0.35">
      <c r="A790" s="22" t="s">
        <v>2549</v>
      </c>
      <c r="B790" s="22"/>
      <c r="C790" s="26">
        <v>45900</v>
      </c>
      <c r="D790" s="25" t="s">
        <v>3381</v>
      </c>
      <c r="E790" s="25" t="s">
        <v>2514</v>
      </c>
      <c r="F790" s="53" t="s">
        <v>3812</v>
      </c>
      <c r="G790" s="28">
        <v>2101.1999999999998</v>
      </c>
    </row>
    <row r="791" spans="1:7" x14ac:dyDescent="0.35">
      <c r="A791" s="22" t="s">
        <v>2549</v>
      </c>
      <c r="B791" s="22"/>
      <c r="C791" s="26">
        <v>45900</v>
      </c>
      <c r="D791" s="25" t="s">
        <v>3382</v>
      </c>
      <c r="E791" s="25" t="s">
        <v>2514</v>
      </c>
      <c r="F791" s="53" t="s">
        <v>3812</v>
      </c>
      <c r="G791" s="28">
        <v>727.28</v>
      </c>
    </row>
    <row r="792" spans="1:7" x14ac:dyDescent="0.35">
      <c r="A792" s="22" t="s">
        <v>2549</v>
      </c>
      <c r="B792" s="22"/>
      <c r="C792" s="26">
        <v>45900</v>
      </c>
      <c r="D792" s="25" t="s">
        <v>3383</v>
      </c>
      <c r="E792" s="25" t="s">
        <v>2514</v>
      </c>
      <c r="F792" s="53" t="s">
        <v>3812</v>
      </c>
      <c r="G792" s="28">
        <v>1873.33</v>
      </c>
    </row>
    <row r="793" spans="1:7" x14ac:dyDescent="0.35">
      <c r="A793" s="22" t="s">
        <v>2549</v>
      </c>
      <c r="B793" s="22"/>
      <c r="C793" s="26">
        <v>45900</v>
      </c>
      <c r="D793" s="25" t="s">
        <v>3384</v>
      </c>
      <c r="E793" s="25" t="s">
        <v>1035</v>
      </c>
      <c r="F793" s="53" t="s">
        <v>3812</v>
      </c>
      <c r="G793" s="28">
        <v>2215.38</v>
      </c>
    </row>
    <row r="794" spans="1:7" x14ac:dyDescent="0.35">
      <c r="A794" s="22" t="s">
        <v>2549</v>
      </c>
      <c r="B794" s="22"/>
      <c r="C794" s="26">
        <v>45900</v>
      </c>
      <c r="D794" s="25" t="s">
        <v>3385</v>
      </c>
      <c r="E794" s="25" t="s">
        <v>2396</v>
      </c>
      <c r="F794" s="53" t="s">
        <v>3812</v>
      </c>
      <c r="G794" s="28">
        <v>36902.449999999997</v>
      </c>
    </row>
    <row r="795" spans="1:7" x14ac:dyDescent="0.35">
      <c r="A795" s="22" t="s">
        <v>2549</v>
      </c>
      <c r="B795" s="22"/>
      <c r="C795" s="26">
        <v>45900</v>
      </c>
      <c r="D795" s="25" t="s">
        <v>3386</v>
      </c>
      <c r="E795" s="25" t="s">
        <v>1475</v>
      </c>
      <c r="F795" s="53" t="s">
        <v>3812</v>
      </c>
      <c r="G795" s="28">
        <v>43790.32</v>
      </c>
    </row>
    <row r="796" spans="1:7" x14ac:dyDescent="0.35">
      <c r="A796" s="22" t="s">
        <v>2549</v>
      </c>
      <c r="B796" s="22"/>
      <c r="C796" s="26">
        <v>45900</v>
      </c>
      <c r="D796" s="25" t="s">
        <v>3387</v>
      </c>
      <c r="E796" s="25" t="s">
        <v>1475</v>
      </c>
      <c r="F796" s="53" t="s">
        <v>3812</v>
      </c>
      <c r="G796" s="28">
        <v>302922.93</v>
      </c>
    </row>
    <row r="797" spans="1:7" x14ac:dyDescent="0.35">
      <c r="A797" s="22" t="s">
        <v>2549</v>
      </c>
      <c r="B797" s="22"/>
      <c r="C797" s="26">
        <v>45900</v>
      </c>
      <c r="D797" s="25" t="s">
        <v>3388</v>
      </c>
      <c r="E797" s="25" t="s">
        <v>1475</v>
      </c>
      <c r="F797" s="53" t="s">
        <v>3812</v>
      </c>
      <c r="G797" s="28">
        <v>72755.139999999985</v>
      </c>
    </row>
    <row r="798" spans="1:7" x14ac:dyDescent="0.35">
      <c r="A798" s="22" t="s">
        <v>2549</v>
      </c>
      <c r="B798" s="22"/>
      <c r="C798" s="26">
        <v>45900</v>
      </c>
      <c r="D798" s="25">
        <v>35797</v>
      </c>
      <c r="E798" s="25" t="s">
        <v>1475</v>
      </c>
      <c r="F798" s="53" t="s">
        <v>3812</v>
      </c>
      <c r="G798" s="28">
        <v>32609.54</v>
      </c>
    </row>
    <row r="799" spans="1:7" x14ac:dyDescent="0.35">
      <c r="A799" s="22" t="s">
        <v>2549</v>
      </c>
      <c r="B799" s="22"/>
      <c r="C799" s="26">
        <v>45900</v>
      </c>
      <c r="D799" s="25">
        <v>35799</v>
      </c>
      <c r="E799" s="25" t="s">
        <v>1475</v>
      </c>
      <c r="F799" s="53" t="s">
        <v>3812</v>
      </c>
      <c r="G799" s="28">
        <v>0</v>
      </c>
    </row>
    <row r="800" spans="1:7" x14ac:dyDescent="0.35">
      <c r="A800" s="22" t="s">
        <v>2549</v>
      </c>
      <c r="B800" s="22"/>
      <c r="C800" s="26">
        <v>45900</v>
      </c>
      <c r="D800" s="25" t="s">
        <v>3389</v>
      </c>
      <c r="E800" s="25" t="s">
        <v>1475</v>
      </c>
      <c r="F800" s="53" t="s">
        <v>3812</v>
      </c>
      <c r="G800" s="28">
        <v>43846.5</v>
      </c>
    </row>
    <row r="801" spans="1:7" x14ac:dyDescent="0.35">
      <c r="A801" s="22" t="s">
        <v>2549</v>
      </c>
      <c r="B801" s="22"/>
      <c r="C801" s="26">
        <v>45900</v>
      </c>
      <c r="D801" s="25" t="s">
        <v>3390</v>
      </c>
      <c r="E801" s="25" t="s">
        <v>1475</v>
      </c>
      <c r="F801" s="53" t="s">
        <v>3812</v>
      </c>
      <c r="G801" s="28">
        <v>7530.8700000000008</v>
      </c>
    </row>
    <row r="802" spans="1:7" x14ac:dyDescent="0.35">
      <c r="A802" s="22" t="s">
        <v>2549</v>
      </c>
      <c r="B802" s="22"/>
      <c r="C802" s="26">
        <v>45900</v>
      </c>
      <c r="D802" s="25">
        <v>35806</v>
      </c>
      <c r="E802" s="25" t="s">
        <v>1475</v>
      </c>
      <c r="F802" s="53" t="s">
        <v>3812</v>
      </c>
      <c r="G802" s="28">
        <v>9294.6599999999944</v>
      </c>
    </row>
    <row r="803" spans="1:7" x14ac:dyDescent="0.35">
      <c r="A803" s="22" t="s">
        <v>2549</v>
      </c>
      <c r="B803" s="22"/>
      <c r="C803" s="26">
        <v>45900</v>
      </c>
      <c r="D803" s="25" t="s">
        <v>3391</v>
      </c>
      <c r="E803" s="25" t="s">
        <v>1475</v>
      </c>
      <c r="F803" s="53" t="s">
        <v>3812</v>
      </c>
      <c r="G803" s="28">
        <v>159237.71</v>
      </c>
    </row>
    <row r="804" spans="1:7" x14ac:dyDescent="0.35">
      <c r="A804" s="22" t="s">
        <v>2549</v>
      </c>
      <c r="B804" s="22"/>
      <c r="C804" s="26">
        <v>45900</v>
      </c>
      <c r="D804" s="25" t="s">
        <v>3392</v>
      </c>
      <c r="E804" s="25" t="s">
        <v>1475</v>
      </c>
      <c r="F804" s="53" t="s">
        <v>3812</v>
      </c>
      <c r="G804" s="28">
        <v>32921.159999999996</v>
      </c>
    </row>
    <row r="805" spans="1:7" x14ac:dyDescent="0.35">
      <c r="A805" s="22" t="s">
        <v>2549</v>
      </c>
      <c r="B805" s="22"/>
      <c r="C805" s="26">
        <v>45900</v>
      </c>
      <c r="D805" s="25">
        <v>35811</v>
      </c>
      <c r="E805" s="25" t="s">
        <v>1475</v>
      </c>
      <c r="F805" s="53" t="s">
        <v>3812</v>
      </c>
      <c r="G805" s="28">
        <v>80186.399999999994</v>
      </c>
    </row>
    <row r="806" spans="1:7" x14ac:dyDescent="0.35">
      <c r="A806" s="22" t="s">
        <v>2549</v>
      </c>
      <c r="B806" s="22"/>
      <c r="C806" s="26">
        <v>45900</v>
      </c>
      <c r="D806" s="25" t="s">
        <v>3394</v>
      </c>
      <c r="E806" s="25" t="s">
        <v>1475</v>
      </c>
      <c r="F806" s="53" t="s">
        <v>3812</v>
      </c>
      <c r="G806" s="28">
        <v>10482.630000000001</v>
      </c>
    </row>
    <row r="807" spans="1:7" x14ac:dyDescent="0.35">
      <c r="A807" s="22" t="s">
        <v>2549</v>
      </c>
      <c r="B807" s="22"/>
      <c r="C807" s="26">
        <v>45900</v>
      </c>
      <c r="D807" s="25" t="s">
        <v>3395</v>
      </c>
      <c r="E807" s="25" t="s">
        <v>2459</v>
      </c>
      <c r="F807" s="53" t="s">
        <v>3812</v>
      </c>
      <c r="G807" s="28">
        <v>106.95</v>
      </c>
    </row>
    <row r="808" spans="1:7" x14ac:dyDescent="0.35">
      <c r="A808" s="22" t="s">
        <v>2549</v>
      </c>
      <c r="B808" s="22"/>
      <c r="C808" s="26">
        <v>45900</v>
      </c>
      <c r="D808" s="25" t="s">
        <v>3396</v>
      </c>
      <c r="E808" s="25" t="s">
        <v>2462</v>
      </c>
      <c r="F808" s="53" t="s">
        <v>3812</v>
      </c>
      <c r="G808" s="28">
        <v>195091.02999999997</v>
      </c>
    </row>
    <row r="809" spans="1:7" x14ac:dyDescent="0.35">
      <c r="A809" s="22" t="s">
        <v>2549</v>
      </c>
      <c r="B809" s="22"/>
      <c r="C809" s="26">
        <v>45900</v>
      </c>
      <c r="D809" s="25" t="s">
        <v>3397</v>
      </c>
      <c r="E809" s="25" t="s">
        <v>3359</v>
      </c>
      <c r="F809" s="53" t="s">
        <v>3812</v>
      </c>
      <c r="G809" s="28">
        <v>0</v>
      </c>
    </row>
    <row r="810" spans="1:7" x14ac:dyDescent="0.35">
      <c r="A810" s="22" t="s">
        <v>2549</v>
      </c>
      <c r="B810" s="22"/>
      <c r="C810" s="26">
        <v>45900</v>
      </c>
      <c r="D810" s="25" t="s">
        <v>3398</v>
      </c>
      <c r="E810" s="25" t="s">
        <v>301</v>
      </c>
      <c r="F810" s="53" t="s">
        <v>3812</v>
      </c>
      <c r="G810" s="28">
        <v>0</v>
      </c>
    </row>
    <row r="811" spans="1:7" x14ac:dyDescent="0.35">
      <c r="A811" s="22" t="s">
        <v>2549</v>
      </c>
      <c r="B811" s="22"/>
      <c r="C811" s="26">
        <v>45900</v>
      </c>
      <c r="D811" s="25" t="s">
        <v>3399</v>
      </c>
      <c r="E811" s="25" t="s">
        <v>301</v>
      </c>
      <c r="F811" s="53" t="s">
        <v>3812</v>
      </c>
      <c r="G811" s="28">
        <v>0</v>
      </c>
    </row>
    <row r="812" spans="1:7" x14ac:dyDescent="0.35">
      <c r="A812" s="22" t="s">
        <v>2549</v>
      </c>
      <c r="B812" s="22"/>
      <c r="C812" s="26">
        <v>45900</v>
      </c>
      <c r="D812" s="25" t="s">
        <v>3400</v>
      </c>
      <c r="E812" s="25" t="s">
        <v>301</v>
      </c>
      <c r="F812" s="53" t="s">
        <v>3812</v>
      </c>
      <c r="G812" s="28">
        <v>0</v>
      </c>
    </row>
    <row r="813" spans="1:7" x14ac:dyDescent="0.35">
      <c r="A813" s="22" t="s">
        <v>2549</v>
      </c>
      <c r="B813" s="22"/>
      <c r="C813" s="26">
        <v>45900</v>
      </c>
      <c r="D813" s="25" t="s">
        <v>3401</v>
      </c>
      <c r="E813" s="25" t="s">
        <v>301</v>
      </c>
      <c r="F813" s="53" t="s">
        <v>3812</v>
      </c>
      <c r="G813" s="28">
        <v>0</v>
      </c>
    </row>
    <row r="814" spans="1:7" x14ac:dyDescent="0.35">
      <c r="A814" s="22" t="s">
        <v>2549</v>
      </c>
      <c r="B814" s="22"/>
      <c r="C814" s="26">
        <v>45900</v>
      </c>
      <c r="D814" s="25" t="s">
        <v>3402</v>
      </c>
      <c r="E814" s="25" t="s">
        <v>3369</v>
      </c>
      <c r="F814" s="53" t="s">
        <v>3812</v>
      </c>
      <c r="G814" s="28">
        <v>340</v>
      </c>
    </row>
    <row r="815" spans="1:7" x14ac:dyDescent="0.35">
      <c r="A815" s="22" t="s">
        <v>2549</v>
      </c>
      <c r="B815" s="22"/>
      <c r="C815" s="26">
        <v>45900</v>
      </c>
      <c r="D815" s="25">
        <v>36196</v>
      </c>
      <c r="E815" s="25" t="s">
        <v>301</v>
      </c>
      <c r="F815" s="53" t="s">
        <v>3812</v>
      </c>
      <c r="G815" s="28">
        <v>0</v>
      </c>
    </row>
    <row r="816" spans="1:7" x14ac:dyDescent="0.35">
      <c r="A816" s="22" t="s">
        <v>2549</v>
      </c>
      <c r="B816" s="22"/>
      <c r="C816" s="26">
        <v>45900</v>
      </c>
      <c r="D816" s="25" t="s">
        <v>3403</v>
      </c>
      <c r="E816" s="25" t="s">
        <v>3371</v>
      </c>
      <c r="F816" s="53" t="s">
        <v>3812</v>
      </c>
      <c r="G816" s="28">
        <v>4260</v>
      </c>
    </row>
    <row r="817" spans="1:7" x14ac:dyDescent="0.35">
      <c r="A817" s="22" t="s">
        <v>2549</v>
      </c>
      <c r="B817" s="22"/>
      <c r="C817" s="26">
        <v>45900</v>
      </c>
      <c r="D817" s="25">
        <v>36303</v>
      </c>
      <c r="E817" s="25" t="s">
        <v>301</v>
      </c>
      <c r="F817" s="53" t="s">
        <v>3812</v>
      </c>
      <c r="G817" s="28">
        <v>0</v>
      </c>
    </row>
    <row r="818" spans="1:7" x14ac:dyDescent="0.35">
      <c r="A818" s="22" t="s">
        <v>2549</v>
      </c>
      <c r="B818" s="22"/>
      <c r="C818" s="26">
        <v>45900</v>
      </c>
      <c r="D818" s="25" t="s">
        <v>3404</v>
      </c>
      <c r="E818" s="25" t="s">
        <v>2027</v>
      </c>
      <c r="F818" s="53" t="s">
        <v>3812</v>
      </c>
      <c r="G818" s="28">
        <v>0</v>
      </c>
    </row>
    <row r="819" spans="1:7" x14ac:dyDescent="0.35">
      <c r="A819" s="22" t="s">
        <v>2549</v>
      </c>
      <c r="B819" s="22"/>
      <c r="C819" s="26">
        <v>45900</v>
      </c>
      <c r="D819" s="25" t="s">
        <v>3405</v>
      </c>
      <c r="E819" s="25" t="s">
        <v>301</v>
      </c>
      <c r="F819" s="53" t="s">
        <v>3812</v>
      </c>
      <c r="G819" s="28">
        <v>0</v>
      </c>
    </row>
    <row r="820" spans="1:7" x14ac:dyDescent="0.35">
      <c r="A820" s="22" t="s">
        <v>2549</v>
      </c>
      <c r="B820" s="22"/>
      <c r="C820" s="26">
        <v>45900</v>
      </c>
      <c r="D820" s="25">
        <v>36477</v>
      </c>
      <c r="E820" s="25" t="s">
        <v>301</v>
      </c>
      <c r="F820" s="53" t="s">
        <v>3812</v>
      </c>
      <c r="G820" s="28">
        <v>0</v>
      </c>
    </row>
    <row r="821" spans="1:7" x14ac:dyDescent="0.35">
      <c r="A821" s="22" t="s">
        <v>2549</v>
      </c>
      <c r="B821" s="22"/>
      <c r="C821" s="26">
        <v>45900</v>
      </c>
      <c r="D821" s="25">
        <v>36478</v>
      </c>
      <c r="E821" s="25" t="s">
        <v>301</v>
      </c>
      <c r="F821" s="53" t="s">
        <v>3812</v>
      </c>
      <c r="G821" s="28">
        <v>0</v>
      </c>
    </row>
    <row r="822" spans="1:7" x14ac:dyDescent="0.35">
      <c r="A822" s="22" t="s">
        <v>2549</v>
      </c>
      <c r="B822" s="22"/>
      <c r="C822" s="26">
        <v>45900</v>
      </c>
      <c r="D822" s="25">
        <v>36479</v>
      </c>
      <c r="E822" s="25" t="s">
        <v>301</v>
      </c>
      <c r="F822" s="53" t="s">
        <v>3812</v>
      </c>
      <c r="G822" s="28">
        <v>0</v>
      </c>
    </row>
    <row r="823" spans="1:7" x14ac:dyDescent="0.35">
      <c r="A823" s="22" t="s">
        <v>2549</v>
      </c>
      <c r="B823" s="22"/>
      <c r="C823" s="26">
        <v>45900</v>
      </c>
      <c r="D823" s="25">
        <v>36509</v>
      </c>
      <c r="E823" s="25" t="s">
        <v>301</v>
      </c>
      <c r="F823" s="53" t="s">
        <v>3812</v>
      </c>
      <c r="G823" s="28">
        <v>0</v>
      </c>
    </row>
    <row r="824" spans="1:7" x14ac:dyDescent="0.35">
      <c r="A824" s="22" t="s">
        <v>2549</v>
      </c>
      <c r="B824" s="22"/>
      <c r="C824" s="26">
        <v>45900</v>
      </c>
      <c r="D824" s="25">
        <v>36628</v>
      </c>
      <c r="E824" s="25" t="s">
        <v>301</v>
      </c>
      <c r="F824" s="53" t="s">
        <v>3812</v>
      </c>
      <c r="G824" s="28">
        <v>0</v>
      </c>
    </row>
    <row r="825" spans="1:7" x14ac:dyDescent="0.35">
      <c r="A825" s="22" t="s">
        <v>2549</v>
      </c>
      <c r="B825" s="22"/>
      <c r="C825" s="26">
        <v>45900</v>
      </c>
      <c r="D825" s="25">
        <v>36643</v>
      </c>
      <c r="E825" s="25" t="s">
        <v>1757</v>
      </c>
      <c r="F825" s="53" t="s">
        <v>3812</v>
      </c>
      <c r="G825" s="28">
        <v>346.5</v>
      </c>
    </row>
    <row r="826" spans="1:7" x14ac:dyDescent="0.35">
      <c r="A826" s="22" t="s">
        <v>2549</v>
      </c>
      <c r="B826" s="22"/>
      <c r="C826" s="26">
        <v>45900</v>
      </c>
      <c r="D826" s="25" t="s">
        <v>3406</v>
      </c>
      <c r="E826" s="25" t="s">
        <v>2429</v>
      </c>
      <c r="F826" s="53" t="s">
        <v>3812</v>
      </c>
      <c r="G826" s="28">
        <v>1271.3599999999999</v>
      </c>
    </row>
    <row r="827" spans="1:7" x14ac:dyDescent="0.35">
      <c r="A827" s="22" t="s">
        <v>2549</v>
      </c>
      <c r="B827" s="22"/>
      <c r="C827" s="26">
        <v>45900</v>
      </c>
      <c r="D827" s="25" t="s">
        <v>3407</v>
      </c>
      <c r="E827" s="25" t="s">
        <v>2429</v>
      </c>
      <c r="F827" s="53" t="s">
        <v>3812</v>
      </c>
      <c r="G827" s="28">
        <v>54.3</v>
      </c>
    </row>
    <row r="828" spans="1:7" x14ac:dyDescent="0.35">
      <c r="A828" s="22" t="s">
        <v>2549</v>
      </c>
      <c r="B828" s="22"/>
      <c r="C828" s="26">
        <v>45900</v>
      </c>
      <c r="D828" s="25" t="s">
        <v>3408</v>
      </c>
      <c r="E828" s="25" t="s">
        <v>1426</v>
      </c>
      <c r="F828" s="53" t="s">
        <v>3812</v>
      </c>
      <c r="G828" s="28">
        <v>16476.370000000003</v>
      </c>
    </row>
    <row r="829" spans="1:7" x14ac:dyDescent="0.35">
      <c r="A829" s="22" t="s">
        <v>2549</v>
      </c>
      <c r="B829" s="22"/>
      <c r="C829" s="26">
        <v>45900</v>
      </c>
      <c r="D829" s="25" t="s">
        <v>3409</v>
      </c>
      <c r="E829" s="25" t="s">
        <v>1712</v>
      </c>
      <c r="F829" s="53" t="s">
        <v>3812</v>
      </c>
      <c r="G829" s="28">
        <v>5445</v>
      </c>
    </row>
    <row r="830" spans="1:7" x14ac:dyDescent="0.35">
      <c r="A830" s="22" t="s">
        <v>2549</v>
      </c>
      <c r="B830" s="22"/>
      <c r="C830" s="26">
        <v>45900</v>
      </c>
      <c r="D830" s="25">
        <v>36928</v>
      </c>
      <c r="E830" s="25" t="s">
        <v>301</v>
      </c>
      <c r="F830" s="53" t="s">
        <v>3812</v>
      </c>
      <c r="G830" s="28">
        <v>0</v>
      </c>
    </row>
    <row r="831" spans="1:7" x14ac:dyDescent="0.35">
      <c r="A831" s="22" t="s">
        <v>2549</v>
      </c>
      <c r="B831" s="22"/>
      <c r="C831" s="26">
        <v>45900</v>
      </c>
      <c r="D831" s="25" t="s">
        <v>3410</v>
      </c>
      <c r="E831" s="25" t="s">
        <v>3510</v>
      </c>
      <c r="F831" s="53" t="s">
        <v>3812</v>
      </c>
      <c r="G831" s="28">
        <v>191.36</v>
      </c>
    </row>
    <row r="832" spans="1:7" x14ac:dyDescent="0.35">
      <c r="A832" s="22" t="s">
        <v>2549</v>
      </c>
      <c r="B832" s="22"/>
      <c r="C832" s="26">
        <v>45900</v>
      </c>
      <c r="D832" s="25" t="s">
        <v>3411</v>
      </c>
      <c r="E832" s="25" t="s">
        <v>992</v>
      </c>
      <c r="F832" s="53" t="s">
        <v>3812</v>
      </c>
      <c r="G832" s="28">
        <v>1014.75</v>
      </c>
    </row>
    <row r="833" spans="1:7" x14ac:dyDescent="0.35">
      <c r="A833" s="22" t="s">
        <v>2549</v>
      </c>
      <c r="B833" s="22"/>
      <c r="C833" s="26">
        <v>45900</v>
      </c>
      <c r="D833" s="25" t="s">
        <v>3412</v>
      </c>
      <c r="E833" s="25" t="s">
        <v>1999</v>
      </c>
      <c r="F833" s="53" t="s">
        <v>3812</v>
      </c>
      <c r="G833" s="28">
        <v>64142.18</v>
      </c>
    </row>
    <row r="834" spans="1:7" x14ac:dyDescent="0.35">
      <c r="A834" s="22" t="s">
        <v>2549</v>
      </c>
      <c r="B834" s="22"/>
      <c r="C834" s="26">
        <v>45900</v>
      </c>
      <c r="D834" s="25" t="s">
        <v>3413</v>
      </c>
      <c r="E834" s="25" t="s">
        <v>301</v>
      </c>
      <c r="F834" s="53" t="s">
        <v>3812</v>
      </c>
      <c r="G834" s="28">
        <v>0</v>
      </c>
    </row>
    <row r="835" spans="1:7" x14ac:dyDescent="0.35">
      <c r="A835" s="22" t="s">
        <v>2549</v>
      </c>
      <c r="B835" s="22"/>
      <c r="C835" s="26">
        <v>45900</v>
      </c>
      <c r="D835" s="25" t="s">
        <v>3414</v>
      </c>
      <c r="E835" s="25" t="s">
        <v>301</v>
      </c>
      <c r="F835" s="53" t="s">
        <v>3812</v>
      </c>
      <c r="G835" s="28">
        <v>0</v>
      </c>
    </row>
    <row r="836" spans="1:7" x14ac:dyDescent="0.35">
      <c r="A836" s="22" t="s">
        <v>2549</v>
      </c>
      <c r="B836" s="22"/>
      <c r="C836" s="26">
        <v>45900</v>
      </c>
      <c r="D836" s="25" t="s">
        <v>3415</v>
      </c>
      <c r="E836" s="25" t="s">
        <v>301</v>
      </c>
      <c r="F836" s="53" t="s">
        <v>3812</v>
      </c>
      <c r="G836" s="28">
        <v>0</v>
      </c>
    </row>
    <row r="837" spans="1:7" x14ac:dyDescent="0.35">
      <c r="A837" s="22" t="s">
        <v>2549</v>
      </c>
      <c r="B837" s="22"/>
      <c r="C837" s="26">
        <v>45900</v>
      </c>
      <c r="D837" s="25" t="s">
        <v>3416</v>
      </c>
      <c r="E837" s="25" t="s">
        <v>301</v>
      </c>
      <c r="F837" s="53" t="s">
        <v>3812</v>
      </c>
      <c r="G837" s="28">
        <v>0</v>
      </c>
    </row>
    <row r="838" spans="1:7" x14ac:dyDescent="0.35">
      <c r="A838" s="22" t="s">
        <v>2549</v>
      </c>
      <c r="B838" s="22"/>
      <c r="C838" s="26">
        <v>45900</v>
      </c>
      <c r="D838" s="25">
        <v>37354</v>
      </c>
      <c r="E838" s="25" t="s">
        <v>3511</v>
      </c>
      <c r="F838" s="53" t="s">
        <v>3812</v>
      </c>
      <c r="G838" s="28">
        <v>6882</v>
      </c>
    </row>
    <row r="839" spans="1:7" x14ac:dyDescent="0.35">
      <c r="A839" s="22" t="s">
        <v>2549</v>
      </c>
      <c r="B839" s="22"/>
      <c r="C839" s="26">
        <v>45900</v>
      </c>
      <c r="D839" s="25" t="s">
        <v>3417</v>
      </c>
      <c r="E839" s="25" t="s">
        <v>2396</v>
      </c>
      <c r="F839" s="53" t="s">
        <v>3812</v>
      </c>
      <c r="G839" s="28">
        <v>0</v>
      </c>
    </row>
    <row r="840" spans="1:7" x14ac:dyDescent="0.35">
      <c r="A840" s="22" t="s">
        <v>2549</v>
      </c>
      <c r="B840" s="22"/>
      <c r="C840" s="26">
        <v>45900</v>
      </c>
      <c r="D840" s="25" t="s">
        <v>3418</v>
      </c>
      <c r="E840" s="25" t="s">
        <v>1757</v>
      </c>
      <c r="F840" s="53" t="s">
        <v>3812</v>
      </c>
      <c r="G840" s="28">
        <v>2085.5700000000002</v>
      </c>
    </row>
    <row r="841" spans="1:7" x14ac:dyDescent="0.35">
      <c r="A841" s="22" t="s">
        <v>2549</v>
      </c>
      <c r="B841" s="22"/>
      <c r="C841" s="26">
        <v>45900</v>
      </c>
      <c r="D841" s="25">
        <v>37625</v>
      </c>
      <c r="E841" s="25" t="s">
        <v>1280</v>
      </c>
      <c r="F841" s="53" t="s">
        <v>3812</v>
      </c>
      <c r="G841" s="28">
        <v>2450.48</v>
      </c>
    </row>
    <row r="842" spans="1:7" x14ac:dyDescent="0.35">
      <c r="A842" s="22" t="s">
        <v>2549</v>
      </c>
      <c r="B842" s="22"/>
      <c r="C842" s="26">
        <v>45900</v>
      </c>
      <c r="D842" s="25" t="s">
        <v>3419</v>
      </c>
      <c r="E842" s="25" t="s">
        <v>1280</v>
      </c>
      <c r="F842" s="53" t="s">
        <v>3812</v>
      </c>
      <c r="G842" s="28">
        <v>2989.9700000000003</v>
      </c>
    </row>
    <row r="843" spans="1:7" x14ac:dyDescent="0.35">
      <c r="A843" s="22" t="s">
        <v>2549</v>
      </c>
      <c r="B843" s="22"/>
      <c r="C843" s="26">
        <v>45900</v>
      </c>
      <c r="D843" s="25">
        <v>37644</v>
      </c>
      <c r="E843" s="25" t="s">
        <v>1280</v>
      </c>
      <c r="F843" s="53" t="s">
        <v>3812</v>
      </c>
      <c r="G843" s="28">
        <v>17455.420000000002</v>
      </c>
    </row>
    <row r="844" spans="1:7" x14ac:dyDescent="0.35">
      <c r="A844" s="22" t="s">
        <v>2549</v>
      </c>
      <c r="B844" s="22"/>
      <c r="C844" s="26">
        <v>45900</v>
      </c>
      <c r="D844" s="25" t="s">
        <v>3420</v>
      </c>
      <c r="E844" s="25" t="s">
        <v>1280</v>
      </c>
      <c r="F844" s="53" t="s">
        <v>3812</v>
      </c>
      <c r="G844" s="28">
        <v>1963.93</v>
      </c>
    </row>
    <row r="845" spans="1:7" x14ac:dyDescent="0.35">
      <c r="A845" s="22" t="s">
        <v>2549</v>
      </c>
      <c r="B845" s="22"/>
      <c r="C845" s="26">
        <v>45900</v>
      </c>
      <c r="D845" s="25" t="s">
        <v>3421</v>
      </c>
      <c r="E845" s="25" t="s">
        <v>1280</v>
      </c>
      <c r="F845" s="53" t="s">
        <v>3812</v>
      </c>
      <c r="G845" s="28">
        <v>2638.99</v>
      </c>
    </row>
    <row r="846" spans="1:7" x14ac:dyDescent="0.35">
      <c r="A846" s="22" t="s">
        <v>2549</v>
      </c>
      <c r="B846" s="22"/>
      <c r="C846" s="26">
        <v>45900</v>
      </c>
      <c r="D846" s="25" t="s">
        <v>3422</v>
      </c>
      <c r="E846" s="25" t="s">
        <v>3491</v>
      </c>
      <c r="F846" s="53" t="s">
        <v>3812</v>
      </c>
      <c r="G846" s="28">
        <v>0</v>
      </c>
    </row>
    <row r="847" spans="1:7" x14ac:dyDescent="0.35">
      <c r="A847" s="22" t="s">
        <v>2549</v>
      </c>
      <c r="B847" s="22"/>
      <c r="C847" s="26">
        <v>45900</v>
      </c>
      <c r="D847" s="25" t="s">
        <v>3423</v>
      </c>
      <c r="E847" s="25" t="s">
        <v>3491</v>
      </c>
      <c r="F847" s="53" t="s">
        <v>3812</v>
      </c>
      <c r="G847" s="28">
        <v>0</v>
      </c>
    </row>
    <row r="848" spans="1:7" x14ac:dyDescent="0.35">
      <c r="A848" s="22" t="s">
        <v>2549</v>
      </c>
      <c r="B848" s="22"/>
      <c r="C848" s="26">
        <v>45900</v>
      </c>
      <c r="D848" s="25" t="s">
        <v>3424</v>
      </c>
      <c r="E848" s="25" t="s">
        <v>2313</v>
      </c>
      <c r="F848" s="53" t="s">
        <v>3812</v>
      </c>
      <c r="G848" s="28">
        <v>19528.2</v>
      </c>
    </row>
    <row r="849" spans="1:7" x14ac:dyDescent="0.35">
      <c r="A849" s="22" t="s">
        <v>2549</v>
      </c>
      <c r="B849" s="22"/>
      <c r="C849" s="26">
        <v>45900</v>
      </c>
      <c r="D849" s="25" t="s">
        <v>3425</v>
      </c>
      <c r="E849" s="25" t="s">
        <v>2313</v>
      </c>
      <c r="F849" s="53" t="s">
        <v>3812</v>
      </c>
      <c r="G849" s="28">
        <v>6266.52</v>
      </c>
    </row>
    <row r="850" spans="1:7" x14ac:dyDescent="0.35">
      <c r="A850" s="22" t="s">
        <v>2549</v>
      </c>
      <c r="B850" s="22"/>
      <c r="C850" s="26">
        <v>45900</v>
      </c>
      <c r="D850" s="25" t="s">
        <v>3426</v>
      </c>
      <c r="E850" s="25" t="s">
        <v>2313</v>
      </c>
      <c r="F850" s="53" t="s">
        <v>3812</v>
      </c>
      <c r="G850" s="28">
        <v>645.04999999999995</v>
      </c>
    </row>
    <row r="851" spans="1:7" x14ac:dyDescent="0.35">
      <c r="A851" s="22" t="s">
        <v>2549</v>
      </c>
      <c r="B851" s="22"/>
      <c r="C851" s="26">
        <v>45900</v>
      </c>
      <c r="D851" s="25" t="s">
        <v>3427</v>
      </c>
      <c r="E851" s="25" t="s">
        <v>2313</v>
      </c>
      <c r="F851" s="53" t="s">
        <v>3812</v>
      </c>
      <c r="G851" s="28">
        <v>500</v>
      </c>
    </row>
    <row r="852" spans="1:7" x14ac:dyDescent="0.35">
      <c r="A852" s="22" t="s">
        <v>2549</v>
      </c>
      <c r="B852" s="22"/>
      <c r="C852" s="26">
        <v>45900</v>
      </c>
      <c r="D852" s="25">
        <v>37776</v>
      </c>
      <c r="E852" s="25" t="s">
        <v>2313</v>
      </c>
      <c r="F852" s="53" t="s">
        <v>3812</v>
      </c>
      <c r="G852" s="28">
        <v>288</v>
      </c>
    </row>
    <row r="853" spans="1:7" x14ac:dyDescent="0.35">
      <c r="A853" s="22" t="s">
        <v>2549</v>
      </c>
      <c r="B853" s="22"/>
      <c r="C853" s="26">
        <v>45900</v>
      </c>
      <c r="D853" s="25" t="s">
        <v>3428</v>
      </c>
      <c r="E853" s="25" t="s">
        <v>2313</v>
      </c>
      <c r="F853" s="53" t="s">
        <v>3812</v>
      </c>
      <c r="G853" s="28">
        <v>54.54</v>
      </c>
    </row>
    <row r="854" spans="1:7" x14ac:dyDescent="0.35">
      <c r="A854" s="22" t="s">
        <v>2549</v>
      </c>
      <c r="B854" s="22"/>
      <c r="C854" s="26">
        <v>45900</v>
      </c>
      <c r="D854" s="25">
        <v>37903</v>
      </c>
      <c r="E854" s="25" t="s">
        <v>2144</v>
      </c>
      <c r="F854" s="53" t="s">
        <v>3812</v>
      </c>
      <c r="G854" s="28">
        <v>945</v>
      </c>
    </row>
    <row r="855" spans="1:7" x14ac:dyDescent="0.35">
      <c r="A855" s="22" t="s">
        <v>2549</v>
      </c>
      <c r="B855" s="22"/>
      <c r="C855" s="26">
        <v>45900</v>
      </c>
      <c r="D855" s="25" t="s">
        <v>3429</v>
      </c>
      <c r="E855" s="25" t="s">
        <v>2144</v>
      </c>
      <c r="F855" s="53" t="s">
        <v>3812</v>
      </c>
      <c r="G855" s="28">
        <v>153267.85999999999</v>
      </c>
    </row>
    <row r="856" spans="1:7" x14ac:dyDescent="0.35">
      <c r="A856" s="22" t="s">
        <v>2549</v>
      </c>
      <c r="B856" s="22"/>
      <c r="C856" s="26">
        <v>45900</v>
      </c>
      <c r="D856" s="25" t="s">
        <v>3430</v>
      </c>
      <c r="E856" s="25" t="s">
        <v>2220</v>
      </c>
      <c r="F856" s="53" t="s">
        <v>3812</v>
      </c>
      <c r="G856" s="28">
        <v>32292</v>
      </c>
    </row>
    <row r="857" spans="1:7" x14ac:dyDescent="0.35">
      <c r="A857" s="22" t="s">
        <v>2549</v>
      </c>
      <c r="B857" s="22"/>
      <c r="C857" s="26">
        <v>45900</v>
      </c>
      <c r="D857" s="25" t="s">
        <v>3431</v>
      </c>
      <c r="E857" s="25" t="s">
        <v>2220</v>
      </c>
      <c r="F857" s="53" t="s">
        <v>3812</v>
      </c>
      <c r="G857" s="28">
        <v>0</v>
      </c>
    </row>
    <row r="858" spans="1:7" x14ac:dyDescent="0.35">
      <c r="A858" s="22" t="s">
        <v>2549</v>
      </c>
      <c r="B858" s="22"/>
      <c r="C858" s="26">
        <v>45900</v>
      </c>
      <c r="D858" s="25" t="s">
        <v>3432</v>
      </c>
      <c r="E858" s="25" t="s">
        <v>2220</v>
      </c>
      <c r="F858" s="53" t="s">
        <v>3812</v>
      </c>
      <c r="G858" s="28">
        <v>6113.98</v>
      </c>
    </row>
    <row r="859" spans="1:7" x14ac:dyDescent="0.35">
      <c r="A859" s="22" t="s">
        <v>2549</v>
      </c>
      <c r="B859" s="22"/>
      <c r="C859" s="26">
        <v>45900</v>
      </c>
      <c r="D859" s="25" t="s">
        <v>3433</v>
      </c>
      <c r="E859" s="25" t="s">
        <v>2220</v>
      </c>
      <c r="F859" s="53" t="s">
        <v>3812</v>
      </c>
      <c r="G859" s="28">
        <v>29035.5</v>
      </c>
    </row>
    <row r="860" spans="1:7" x14ac:dyDescent="0.35">
      <c r="A860" s="22" t="s">
        <v>2549</v>
      </c>
      <c r="B860" s="22"/>
      <c r="C860" s="26">
        <v>45900</v>
      </c>
      <c r="D860" s="25" t="s">
        <v>3434</v>
      </c>
      <c r="E860" s="25" t="s">
        <v>2220</v>
      </c>
      <c r="F860" s="53" t="s">
        <v>3812</v>
      </c>
      <c r="G860" s="28">
        <v>0</v>
      </c>
    </row>
    <row r="861" spans="1:7" x14ac:dyDescent="0.35">
      <c r="A861" s="22" t="s">
        <v>2549</v>
      </c>
      <c r="B861" s="22"/>
      <c r="C861" s="26">
        <v>45900</v>
      </c>
      <c r="D861" s="25" t="s">
        <v>3435</v>
      </c>
      <c r="E861" s="25" t="s">
        <v>2220</v>
      </c>
      <c r="F861" s="53" t="s">
        <v>3812</v>
      </c>
      <c r="G861" s="28">
        <v>70297.64</v>
      </c>
    </row>
    <row r="862" spans="1:7" x14ac:dyDescent="0.35">
      <c r="A862" s="22" t="s">
        <v>2549</v>
      </c>
      <c r="B862" s="22"/>
      <c r="C862" s="26">
        <v>45900</v>
      </c>
      <c r="D862" s="25" t="s">
        <v>3436</v>
      </c>
      <c r="E862" s="25" t="s">
        <v>2220</v>
      </c>
      <c r="F862" s="53" t="s">
        <v>3812</v>
      </c>
      <c r="G862" s="28">
        <v>0</v>
      </c>
    </row>
    <row r="863" spans="1:7" x14ac:dyDescent="0.35">
      <c r="A863" s="22" t="s">
        <v>2549</v>
      </c>
      <c r="B863" s="22"/>
      <c r="C863" s="26">
        <v>45900</v>
      </c>
      <c r="D863" s="25" t="s">
        <v>3437</v>
      </c>
      <c r="E863" s="25" t="s">
        <v>2220</v>
      </c>
      <c r="F863" s="53" t="s">
        <v>3812</v>
      </c>
      <c r="G863" s="28">
        <v>1199.97</v>
      </c>
    </row>
    <row r="864" spans="1:7" x14ac:dyDescent="0.35">
      <c r="A864" s="22" t="s">
        <v>2549</v>
      </c>
      <c r="B864" s="22"/>
      <c r="C864" s="26">
        <v>45900</v>
      </c>
      <c r="D864" s="25" t="s">
        <v>3438</v>
      </c>
      <c r="E864" s="25" t="s">
        <v>2220</v>
      </c>
      <c r="F864" s="53" t="s">
        <v>3812</v>
      </c>
      <c r="G864" s="28">
        <v>4182.88</v>
      </c>
    </row>
    <row r="865" spans="1:7" x14ac:dyDescent="0.35">
      <c r="A865" s="22" t="s">
        <v>2549</v>
      </c>
      <c r="B865" s="22"/>
      <c r="C865" s="26">
        <v>45900</v>
      </c>
      <c r="D865" s="25" t="s">
        <v>3439</v>
      </c>
      <c r="E865" s="25" t="s">
        <v>3512</v>
      </c>
      <c r="F865" s="53" t="s">
        <v>3812</v>
      </c>
      <c r="G865" s="28">
        <v>250</v>
      </c>
    </row>
    <row r="866" spans="1:7" x14ac:dyDescent="0.35">
      <c r="A866" s="22" t="s">
        <v>2549</v>
      </c>
      <c r="B866" s="22"/>
      <c r="C866" s="26">
        <v>45900</v>
      </c>
      <c r="D866" s="25">
        <v>38055</v>
      </c>
      <c r="E866" s="25" t="s">
        <v>301</v>
      </c>
      <c r="F866" s="53" t="s">
        <v>3812</v>
      </c>
      <c r="G866" s="28">
        <v>0</v>
      </c>
    </row>
    <row r="867" spans="1:7" x14ac:dyDescent="0.35">
      <c r="A867" s="22" t="s">
        <v>2549</v>
      </c>
      <c r="B867" s="22"/>
      <c r="C867" s="26">
        <v>45900</v>
      </c>
      <c r="D867" s="25" t="s">
        <v>3440</v>
      </c>
      <c r="E867" s="25" t="s">
        <v>2276</v>
      </c>
      <c r="F867" s="53" t="s">
        <v>3812</v>
      </c>
      <c r="G867" s="28">
        <v>4610.8999999999996</v>
      </c>
    </row>
    <row r="868" spans="1:7" x14ac:dyDescent="0.35">
      <c r="A868" s="22" t="s">
        <v>2549</v>
      </c>
      <c r="B868" s="22"/>
      <c r="C868" s="26">
        <v>45900</v>
      </c>
      <c r="D868" s="25">
        <v>38172</v>
      </c>
      <c r="E868" s="25" t="s">
        <v>301</v>
      </c>
      <c r="F868" s="53" t="s">
        <v>3812</v>
      </c>
      <c r="G868" s="28">
        <v>0</v>
      </c>
    </row>
    <row r="869" spans="1:7" x14ac:dyDescent="0.35">
      <c r="A869" s="22" t="s">
        <v>2549</v>
      </c>
      <c r="B869" s="22"/>
      <c r="C869" s="26">
        <v>45900</v>
      </c>
      <c r="D869" s="25" t="s">
        <v>3441</v>
      </c>
      <c r="E869" s="25" t="s">
        <v>301</v>
      </c>
      <c r="F869" s="53" t="s">
        <v>3812</v>
      </c>
      <c r="G869" s="28">
        <v>0</v>
      </c>
    </row>
    <row r="870" spans="1:7" x14ac:dyDescent="0.35">
      <c r="A870" s="22" t="s">
        <v>2549</v>
      </c>
      <c r="B870" s="22"/>
      <c r="C870" s="26">
        <v>45900</v>
      </c>
      <c r="D870" s="25" t="s">
        <v>3442</v>
      </c>
      <c r="E870" s="25" t="s">
        <v>301</v>
      </c>
      <c r="F870" s="53" t="s">
        <v>3812</v>
      </c>
      <c r="G870" s="28">
        <v>0</v>
      </c>
    </row>
    <row r="871" spans="1:7" x14ac:dyDescent="0.35">
      <c r="A871" s="22" t="s">
        <v>2549</v>
      </c>
      <c r="B871" s="22"/>
      <c r="C871" s="26">
        <v>45900</v>
      </c>
      <c r="D871" s="25" t="s">
        <v>3443</v>
      </c>
      <c r="E871" s="25" t="s">
        <v>301</v>
      </c>
      <c r="F871" s="53" t="s">
        <v>3812</v>
      </c>
      <c r="G871" s="28">
        <v>0</v>
      </c>
    </row>
    <row r="872" spans="1:7" x14ac:dyDescent="0.35">
      <c r="A872" s="22" t="s">
        <v>2549</v>
      </c>
      <c r="B872" s="22"/>
      <c r="C872" s="26">
        <v>45900</v>
      </c>
      <c r="D872" s="25" t="s">
        <v>3444</v>
      </c>
      <c r="E872" s="25" t="s">
        <v>301</v>
      </c>
      <c r="F872" s="53" t="s">
        <v>3812</v>
      </c>
      <c r="G872" s="28">
        <v>0</v>
      </c>
    </row>
    <row r="873" spans="1:7" x14ac:dyDescent="0.35">
      <c r="A873" s="22" t="s">
        <v>2549</v>
      </c>
      <c r="B873" s="22"/>
      <c r="C873" s="26">
        <v>45900</v>
      </c>
      <c r="D873" s="25">
        <v>38215</v>
      </c>
      <c r="E873" s="25" t="s">
        <v>3513</v>
      </c>
      <c r="F873" s="53" t="s">
        <v>3812</v>
      </c>
      <c r="G873" s="28">
        <v>7903.98</v>
      </c>
    </row>
    <row r="874" spans="1:7" x14ac:dyDescent="0.35">
      <c r="A874" s="22" t="s">
        <v>2549</v>
      </c>
      <c r="B874" s="22"/>
      <c r="C874" s="26">
        <v>45900</v>
      </c>
      <c r="D874" s="25" t="s">
        <v>3445</v>
      </c>
      <c r="E874" s="25" t="s">
        <v>301</v>
      </c>
      <c r="F874" s="53" t="s">
        <v>3812</v>
      </c>
      <c r="G874" s="28">
        <v>0</v>
      </c>
    </row>
    <row r="875" spans="1:7" x14ac:dyDescent="0.35">
      <c r="A875" s="22" t="s">
        <v>2549</v>
      </c>
      <c r="B875" s="22"/>
      <c r="C875" s="26">
        <v>45900</v>
      </c>
      <c r="D875" s="25" t="s">
        <v>3446</v>
      </c>
      <c r="E875" s="25" t="s">
        <v>301</v>
      </c>
      <c r="F875" s="53" t="s">
        <v>3812</v>
      </c>
      <c r="G875" s="28">
        <v>0</v>
      </c>
    </row>
    <row r="876" spans="1:7" x14ac:dyDescent="0.35">
      <c r="A876" s="22" t="s">
        <v>2549</v>
      </c>
      <c r="B876" s="22"/>
      <c r="C876" s="26">
        <v>45900</v>
      </c>
      <c r="D876" s="25" t="s">
        <v>3447</v>
      </c>
      <c r="E876" s="25" t="s">
        <v>301</v>
      </c>
      <c r="F876" s="53" t="s">
        <v>3812</v>
      </c>
      <c r="G876" s="28">
        <v>0</v>
      </c>
    </row>
    <row r="877" spans="1:7" x14ac:dyDescent="0.35">
      <c r="A877" s="22" t="s">
        <v>2549</v>
      </c>
      <c r="B877" s="22"/>
      <c r="C877" s="26">
        <v>45900</v>
      </c>
      <c r="D877" s="25" t="s">
        <v>3448</v>
      </c>
      <c r="E877" s="25" t="s">
        <v>301</v>
      </c>
      <c r="F877" s="53" t="s">
        <v>3812</v>
      </c>
      <c r="G877" s="28">
        <v>0</v>
      </c>
    </row>
    <row r="878" spans="1:7" x14ac:dyDescent="0.35">
      <c r="A878" s="22" t="s">
        <v>2549</v>
      </c>
      <c r="B878" s="22"/>
      <c r="C878" s="26">
        <v>45900</v>
      </c>
      <c r="D878" s="25" t="s">
        <v>3449</v>
      </c>
      <c r="E878" s="25" t="s">
        <v>301</v>
      </c>
      <c r="F878" s="53" t="s">
        <v>3812</v>
      </c>
      <c r="G878" s="28">
        <v>0</v>
      </c>
    </row>
    <row r="879" spans="1:7" x14ac:dyDescent="0.35">
      <c r="A879" s="22" t="s">
        <v>2549</v>
      </c>
      <c r="B879" s="22"/>
      <c r="C879" s="26">
        <v>45900</v>
      </c>
      <c r="D879" s="25">
        <v>38262</v>
      </c>
      <c r="E879" s="25" t="s">
        <v>2677</v>
      </c>
      <c r="F879" s="53" t="s">
        <v>3812</v>
      </c>
      <c r="G879" s="28">
        <v>2800.02</v>
      </c>
    </row>
    <row r="880" spans="1:7" x14ac:dyDescent="0.35">
      <c r="A880" s="22" t="s">
        <v>2549</v>
      </c>
      <c r="B880" s="22"/>
      <c r="C880" s="26">
        <v>45900</v>
      </c>
      <c r="D880" s="25" t="s">
        <v>3450</v>
      </c>
      <c r="E880" s="25" t="s">
        <v>2677</v>
      </c>
      <c r="F880" s="53" t="s">
        <v>3812</v>
      </c>
      <c r="G880" s="28">
        <v>19600.199999999997</v>
      </c>
    </row>
    <row r="881" spans="1:7" x14ac:dyDescent="0.35">
      <c r="A881" s="22" t="s">
        <v>2549</v>
      </c>
      <c r="B881" s="22"/>
      <c r="C881" s="26">
        <v>45900</v>
      </c>
      <c r="D881" s="25">
        <v>38267</v>
      </c>
      <c r="E881" s="25" t="s">
        <v>2677</v>
      </c>
      <c r="F881" s="53" t="s">
        <v>3812</v>
      </c>
      <c r="G881" s="28">
        <v>7385.8899999999994</v>
      </c>
    </row>
    <row r="882" spans="1:7" x14ac:dyDescent="0.35">
      <c r="A882" s="22" t="s">
        <v>2549</v>
      </c>
      <c r="B882" s="22"/>
      <c r="C882" s="26">
        <v>45900</v>
      </c>
      <c r="D882" s="25">
        <v>38317</v>
      </c>
      <c r="E882" s="25" t="s">
        <v>3514</v>
      </c>
      <c r="F882" s="53" t="s">
        <v>3812</v>
      </c>
      <c r="G882" s="28">
        <v>43245.59</v>
      </c>
    </row>
    <row r="883" spans="1:7" x14ac:dyDescent="0.35">
      <c r="A883" s="22" t="s">
        <v>2549</v>
      </c>
      <c r="B883" s="22"/>
      <c r="C883" s="26">
        <v>45900</v>
      </c>
      <c r="D883" s="25" t="s">
        <v>3451</v>
      </c>
      <c r="E883" s="25" t="s">
        <v>2079</v>
      </c>
      <c r="F883" s="53" t="s">
        <v>3812</v>
      </c>
      <c r="G883" s="28">
        <v>747.5</v>
      </c>
    </row>
    <row r="884" spans="1:7" x14ac:dyDescent="0.35">
      <c r="A884" s="22" t="s">
        <v>2549</v>
      </c>
      <c r="B884" s="22"/>
      <c r="C884" s="26">
        <v>45900</v>
      </c>
      <c r="D884" s="25" t="s">
        <v>3453</v>
      </c>
      <c r="E884" s="25" t="s">
        <v>2079</v>
      </c>
      <c r="F884" s="53" t="s">
        <v>3812</v>
      </c>
      <c r="G884" s="28">
        <v>813.28</v>
      </c>
    </row>
    <row r="885" spans="1:7" x14ac:dyDescent="0.35">
      <c r="A885" s="22" t="s">
        <v>2549</v>
      </c>
      <c r="B885" s="22"/>
      <c r="C885" s="26">
        <v>45900</v>
      </c>
      <c r="D885" s="25">
        <v>38407</v>
      </c>
      <c r="E885" s="25" t="s">
        <v>2220</v>
      </c>
      <c r="F885" s="53" t="s">
        <v>3812</v>
      </c>
      <c r="G885" s="28">
        <v>0</v>
      </c>
    </row>
    <row r="886" spans="1:7" x14ac:dyDescent="0.35">
      <c r="A886" s="22" t="s">
        <v>2549</v>
      </c>
      <c r="B886" s="22"/>
      <c r="C886" s="26">
        <v>45900</v>
      </c>
      <c r="D886" s="25">
        <v>38473</v>
      </c>
      <c r="E886" s="25" t="s">
        <v>1637</v>
      </c>
      <c r="F886" s="53" t="s">
        <v>3812</v>
      </c>
      <c r="G886" s="28">
        <v>17076.490000000002</v>
      </c>
    </row>
    <row r="887" spans="1:7" x14ac:dyDescent="0.35">
      <c r="A887" s="22" t="s">
        <v>2549</v>
      </c>
      <c r="B887" s="22"/>
      <c r="C887" s="26">
        <v>45900</v>
      </c>
      <c r="D887" s="25" t="s">
        <v>3454</v>
      </c>
      <c r="E887" s="25" t="s">
        <v>301</v>
      </c>
      <c r="F887" s="53" t="s">
        <v>3812</v>
      </c>
      <c r="G887" s="28">
        <v>0</v>
      </c>
    </row>
    <row r="888" spans="1:7" x14ac:dyDescent="0.35">
      <c r="A888" s="22" t="s">
        <v>2549</v>
      </c>
      <c r="B888" s="22"/>
      <c r="C888" s="26">
        <v>45900</v>
      </c>
      <c r="D888" s="25" t="s">
        <v>3455</v>
      </c>
      <c r="E888" s="25" t="s">
        <v>3515</v>
      </c>
      <c r="F888" s="53" t="s">
        <v>3812</v>
      </c>
      <c r="G888" s="28">
        <v>0</v>
      </c>
    </row>
    <row r="889" spans="1:7" x14ac:dyDescent="0.35">
      <c r="A889" s="22" t="s">
        <v>2549</v>
      </c>
      <c r="B889" s="22"/>
      <c r="C889" s="26">
        <v>45900</v>
      </c>
      <c r="D889" s="25" t="s">
        <v>3456</v>
      </c>
      <c r="E889" s="25" t="s">
        <v>3516</v>
      </c>
      <c r="F889" s="53" t="s">
        <v>3812</v>
      </c>
      <c r="G889" s="28">
        <v>523.35</v>
      </c>
    </row>
    <row r="890" spans="1:7" x14ac:dyDescent="0.35">
      <c r="A890" s="22" t="s">
        <v>2549</v>
      </c>
      <c r="B890" s="22"/>
      <c r="C890" s="26">
        <v>45900</v>
      </c>
      <c r="D890" s="25" t="s">
        <v>3457</v>
      </c>
      <c r="E890" s="25" t="s">
        <v>3517</v>
      </c>
      <c r="F890" s="53" t="s">
        <v>3812</v>
      </c>
      <c r="G890" s="28">
        <v>14924.64</v>
      </c>
    </row>
    <row r="891" spans="1:7" x14ac:dyDescent="0.35">
      <c r="A891" s="22" t="s">
        <v>2549</v>
      </c>
      <c r="B891" s="22"/>
      <c r="C891" s="26">
        <v>45900</v>
      </c>
      <c r="D891" s="25">
        <v>38527</v>
      </c>
      <c r="E891" s="25" t="s">
        <v>3518</v>
      </c>
      <c r="F891" s="53" t="s">
        <v>3812</v>
      </c>
      <c r="G891" s="28">
        <v>2040</v>
      </c>
    </row>
    <row r="892" spans="1:7" x14ac:dyDescent="0.35">
      <c r="A892" s="22" t="s">
        <v>2549</v>
      </c>
      <c r="B892" s="22"/>
      <c r="C892" s="26">
        <v>45900</v>
      </c>
      <c r="D892" s="25" t="s">
        <v>3458</v>
      </c>
      <c r="E892" s="25" t="s">
        <v>1920</v>
      </c>
      <c r="F892" s="53" t="s">
        <v>3812</v>
      </c>
      <c r="G892" s="28">
        <v>0</v>
      </c>
    </row>
    <row r="893" spans="1:7" x14ac:dyDescent="0.35">
      <c r="A893" s="22" t="s">
        <v>2549</v>
      </c>
      <c r="B893" s="22"/>
      <c r="C893" s="26">
        <v>45900</v>
      </c>
      <c r="D893" s="25" t="s">
        <v>3459</v>
      </c>
      <c r="E893" s="25" t="s">
        <v>1920</v>
      </c>
      <c r="F893" s="53" t="s">
        <v>3812</v>
      </c>
      <c r="G893" s="28">
        <v>0</v>
      </c>
    </row>
    <row r="894" spans="1:7" x14ac:dyDescent="0.35">
      <c r="A894" s="22" t="s">
        <v>2549</v>
      </c>
      <c r="B894" s="22"/>
      <c r="C894" s="26">
        <v>45900</v>
      </c>
      <c r="D894" s="25" t="s">
        <v>3460</v>
      </c>
      <c r="E894" s="25" t="s">
        <v>1920</v>
      </c>
      <c r="F894" s="53" t="s">
        <v>3812</v>
      </c>
      <c r="G894" s="28">
        <v>0</v>
      </c>
    </row>
    <row r="895" spans="1:7" x14ac:dyDescent="0.35">
      <c r="A895" s="22" t="s">
        <v>2549</v>
      </c>
      <c r="B895" s="22"/>
      <c r="C895" s="26">
        <v>45900</v>
      </c>
      <c r="D895" s="25">
        <v>38553</v>
      </c>
      <c r="E895" s="25" t="s">
        <v>301</v>
      </c>
      <c r="F895" s="53" t="s">
        <v>3812</v>
      </c>
      <c r="G895" s="28">
        <v>0</v>
      </c>
    </row>
    <row r="896" spans="1:7" x14ac:dyDescent="0.35">
      <c r="A896" s="22" t="s">
        <v>2549</v>
      </c>
      <c r="B896" s="22"/>
      <c r="C896" s="26">
        <v>45900</v>
      </c>
      <c r="D896" s="25" t="s">
        <v>3461</v>
      </c>
      <c r="E896" s="25" t="s">
        <v>301</v>
      </c>
      <c r="F896" s="53" t="s">
        <v>3812</v>
      </c>
      <c r="G896" s="28">
        <v>0</v>
      </c>
    </row>
    <row r="897" spans="1:7" x14ac:dyDescent="0.35">
      <c r="A897" s="22" t="s">
        <v>2549</v>
      </c>
      <c r="B897" s="22"/>
      <c r="C897" s="26">
        <v>45900</v>
      </c>
      <c r="D897" s="25">
        <v>38557</v>
      </c>
      <c r="E897" s="25" t="s">
        <v>301</v>
      </c>
      <c r="F897" s="53" t="s">
        <v>3812</v>
      </c>
      <c r="G897" s="28">
        <v>1981.1000000000001</v>
      </c>
    </row>
    <row r="898" spans="1:7" x14ac:dyDescent="0.35">
      <c r="A898" s="22" t="s">
        <v>2549</v>
      </c>
      <c r="B898" s="22"/>
      <c r="C898" s="26">
        <v>45900</v>
      </c>
      <c r="D898" s="25">
        <v>38603</v>
      </c>
      <c r="E898" s="25" t="s">
        <v>3519</v>
      </c>
      <c r="F898" s="53" t="s">
        <v>3812</v>
      </c>
      <c r="G898" s="28">
        <v>1025.79</v>
      </c>
    </row>
    <row r="899" spans="1:7" x14ac:dyDescent="0.35">
      <c r="A899" s="22" t="s">
        <v>2549</v>
      </c>
      <c r="B899" s="22"/>
      <c r="C899" s="26">
        <v>45900</v>
      </c>
      <c r="D899" s="25" t="s">
        <v>3462</v>
      </c>
      <c r="E899" s="25" t="s">
        <v>1484</v>
      </c>
      <c r="F899" s="53" t="s">
        <v>3812</v>
      </c>
      <c r="G899" s="28">
        <v>900</v>
      </c>
    </row>
    <row r="900" spans="1:7" x14ac:dyDescent="0.35">
      <c r="A900" s="22" t="s">
        <v>2549</v>
      </c>
      <c r="B900" s="22"/>
      <c r="C900" s="26">
        <v>45900</v>
      </c>
      <c r="D900" s="25">
        <v>38607</v>
      </c>
      <c r="E900" s="25" t="s">
        <v>3514</v>
      </c>
      <c r="F900" s="53" t="s">
        <v>3812</v>
      </c>
      <c r="G900" s="28">
        <v>4616.5</v>
      </c>
    </row>
    <row r="901" spans="1:7" x14ac:dyDescent="0.35">
      <c r="A901" s="22" t="s">
        <v>2549</v>
      </c>
      <c r="B901" s="22"/>
      <c r="C901" s="26">
        <v>45900</v>
      </c>
      <c r="D901" s="25">
        <v>38621</v>
      </c>
      <c r="E901" s="25" t="s">
        <v>2459</v>
      </c>
      <c r="F901" s="53" t="s">
        <v>3812</v>
      </c>
      <c r="G901" s="28">
        <v>18109.689999999999</v>
      </c>
    </row>
    <row r="902" spans="1:7" x14ac:dyDescent="0.35">
      <c r="A902" s="22" t="s">
        <v>2549</v>
      </c>
      <c r="B902" s="22"/>
      <c r="C902" s="26">
        <v>45900</v>
      </c>
      <c r="D902" s="25">
        <v>38627</v>
      </c>
      <c r="E902" s="25" t="s">
        <v>2144</v>
      </c>
      <c r="F902" s="53" t="s">
        <v>3812</v>
      </c>
      <c r="G902" s="28">
        <v>3668.16</v>
      </c>
    </row>
    <row r="903" spans="1:7" x14ac:dyDescent="0.35">
      <c r="A903" s="22" t="s">
        <v>2549</v>
      </c>
      <c r="B903" s="22"/>
      <c r="C903" s="26">
        <v>45900</v>
      </c>
      <c r="D903" s="25">
        <v>38636</v>
      </c>
      <c r="E903" s="25" t="s">
        <v>3494</v>
      </c>
      <c r="F903" s="53" t="s">
        <v>3812</v>
      </c>
      <c r="G903" s="28">
        <v>6920</v>
      </c>
    </row>
    <row r="904" spans="1:7" x14ac:dyDescent="0.35">
      <c r="A904" s="22" t="s">
        <v>2549</v>
      </c>
      <c r="B904" s="22"/>
      <c r="C904" s="26">
        <v>45900</v>
      </c>
      <c r="D904" s="25">
        <v>38670</v>
      </c>
      <c r="E904" s="25" t="s">
        <v>2386</v>
      </c>
      <c r="F904" s="53" t="s">
        <v>3812</v>
      </c>
      <c r="G904" s="28">
        <v>157976</v>
      </c>
    </row>
    <row r="905" spans="1:7" x14ac:dyDescent="0.35">
      <c r="A905" s="22" t="s">
        <v>2549</v>
      </c>
      <c r="B905" s="22"/>
      <c r="C905" s="26">
        <v>45900</v>
      </c>
      <c r="D905" s="25">
        <v>38671</v>
      </c>
      <c r="E905" s="25" t="s">
        <v>2220</v>
      </c>
      <c r="F905" s="53" t="s">
        <v>3812</v>
      </c>
      <c r="G905" s="28">
        <v>28395.789999999997</v>
      </c>
    </row>
    <row r="906" spans="1:7" x14ac:dyDescent="0.35">
      <c r="A906" s="22" t="s">
        <v>2549</v>
      </c>
      <c r="B906" s="22"/>
      <c r="C906" s="26">
        <v>45900</v>
      </c>
      <c r="D906" s="25" t="s">
        <v>3463</v>
      </c>
      <c r="E906" s="25" t="s">
        <v>2220</v>
      </c>
      <c r="F906" s="53" t="s">
        <v>3812</v>
      </c>
      <c r="G906" s="28">
        <v>57659.76</v>
      </c>
    </row>
    <row r="907" spans="1:7" x14ac:dyDescent="0.35">
      <c r="A907" s="22" t="s">
        <v>2549</v>
      </c>
      <c r="B907" s="22"/>
      <c r="C907" s="26">
        <v>45900</v>
      </c>
      <c r="D907" s="25">
        <v>38674</v>
      </c>
      <c r="E907" s="25" t="s">
        <v>3520</v>
      </c>
      <c r="F907" s="53" t="s">
        <v>3812</v>
      </c>
      <c r="G907" s="28">
        <v>151</v>
      </c>
    </row>
    <row r="908" spans="1:7" x14ac:dyDescent="0.35">
      <c r="A908" s="22" t="s">
        <v>2549</v>
      </c>
      <c r="B908" s="22"/>
      <c r="C908" s="26">
        <v>45900</v>
      </c>
      <c r="D908" s="25">
        <v>38701</v>
      </c>
      <c r="E908" s="25" t="s">
        <v>3502</v>
      </c>
      <c r="F908" s="53" t="s">
        <v>3812</v>
      </c>
      <c r="G908" s="28">
        <v>634.73</v>
      </c>
    </row>
    <row r="909" spans="1:7" x14ac:dyDescent="0.35">
      <c r="A909" s="22" t="s">
        <v>2549</v>
      </c>
      <c r="B909" s="22"/>
      <c r="C909" s="26">
        <v>45900</v>
      </c>
      <c r="D909" s="25">
        <v>38718</v>
      </c>
      <c r="E909" s="25" t="s">
        <v>3521</v>
      </c>
      <c r="F909" s="53" t="s">
        <v>3812</v>
      </c>
      <c r="G909" s="28">
        <v>1247.75</v>
      </c>
    </row>
    <row r="910" spans="1:7" x14ac:dyDescent="0.35">
      <c r="A910" s="22" t="s">
        <v>2549</v>
      </c>
      <c r="B910" s="22"/>
      <c r="C910" s="26">
        <v>45900</v>
      </c>
      <c r="D910" s="25">
        <v>38721</v>
      </c>
      <c r="E910" s="25" t="s">
        <v>3522</v>
      </c>
      <c r="F910" s="53" t="s">
        <v>3812</v>
      </c>
      <c r="G910" s="28">
        <v>200</v>
      </c>
    </row>
    <row r="911" spans="1:7" x14ac:dyDescent="0.35">
      <c r="A911" s="22" t="s">
        <v>2549</v>
      </c>
      <c r="B911" s="22"/>
      <c r="C911" s="26">
        <v>45900</v>
      </c>
      <c r="D911" s="25">
        <v>38726</v>
      </c>
      <c r="E911" s="25" t="s">
        <v>3523</v>
      </c>
      <c r="F911" s="53" t="s">
        <v>3812</v>
      </c>
      <c r="G911" s="28">
        <v>1800</v>
      </c>
    </row>
    <row r="912" spans="1:7" x14ac:dyDescent="0.35">
      <c r="A912" s="22" t="s">
        <v>2549</v>
      </c>
      <c r="B912" s="22"/>
      <c r="C912" s="26">
        <v>45900</v>
      </c>
      <c r="D912" s="25" t="s">
        <v>3464</v>
      </c>
      <c r="E912" s="25" t="s">
        <v>3524</v>
      </c>
      <c r="F912" s="53" t="s">
        <v>3812</v>
      </c>
      <c r="G912" s="28">
        <v>433.65</v>
      </c>
    </row>
    <row r="913" spans="1:7" x14ac:dyDescent="0.35">
      <c r="A913" s="22" t="s">
        <v>2549</v>
      </c>
      <c r="B913" s="22"/>
      <c r="C913" s="26">
        <v>45900</v>
      </c>
      <c r="D913" s="25">
        <v>38744</v>
      </c>
      <c r="E913" s="25" t="s">
        <v>3525</v>
      </c>
      <c r="F913" s="53" t="s">
        <v>3812</v>
      </c>
      <c r="G913" s="28">
        <v>1900.32</v>
      </c>
    </row>
    <row r="914" spans="1:7" x14ac:dyDescent="0.35">
      <c r="A914" s="22" t="s">
        <v>2549</v>
      </c>
      <c r="B914" s="22"/>
      <c r="C914" s="26">
        <v>45900</v>
      </c>
      <c r="D914" s="25">
        <v>38749</v>
      </c>
      <c r="E914" s="25" t="s">
        <v>2480</v>
      </c>
      <c r="F914" s="53" t="s">
        <v>3812</v>
      </c>
      <c r="G914" s="28">
        <v>0</v>
      </c>
    </row>
    <row r="915" spans="1:7" x14ac:dyDescent="0.35">
      <c r="A915" s="22" t="s">
        <v>2549</v>
      </c>
      <c r="B915" s="22"/>
      <c r="C915" s="26">
        <v>45900</v>
      </c>
      <c r="D915" s="25">
        <v>38758</v>
      </c>
      <c r="E915" s="25" t="s">
        <v>3475</v>
      </c>
      <c r="F915" s="53" t="s">
        <v>3812</v>
      </c>
      <c r="G915" s="28">
        <v>328.57</v>
      </c>
    </row>
    <row r="916" spans="1:7" x14ac:dyDescent="0.35">
      <c r="A916" s="22" t="s">
        <v>2549</v>
      </c>
      <c r="B916" s="22"/>
      <c r="C916" s="26">
        <v>45900</v>
      </c>
      <c r="D916" s="25">
        <v>38785</v>
      </c>
      <c r="E916" s="25" t="s">
        <v>3526</v>
      </c>
      <c r="F916" s="53" t="s">
        <v>3812</v>
      </c>
      <c r="G916" s="28">
        <v>2604</v>
      </c>
    </row>
    <row r="917" spans="1:7" x14ac:dyDescent="0.35">
      <c r="A917" s="22" t="s">
        <v>2549</v>
      </c>
      <c r="B917" s="22"/>
      <c r="C917" s="26">
        <v>45900</v>
      </c>
      <c r="D917" s="25">
        <v>38793</v>
      </c>
      <c r="E917" s="25" t="s">
        <v>2189</v>
      </c>
      <c r="F917" s="53" t="s">
        <v>3812</v>
      </c>
      <c r="G917" s="28">
        <v>200</v>
      </c>
    </row>
    <row r="918" spans="1:7" x14ac:dyDescent="0.35">
      <c r="A918" s="22" t="s">
        <v>2549</v>
      </c>
      <c r="B918" s="22"/>
      <c r="C918" s="26">
        <v>45900</v>
      </c>
      <c r="D918" s="25">
        <v>38795</v>
      </c>
      <c r="E918" s="25" t="s">
        <v>3527</v>
      </c>
      <c r="F918" s="53" t="s">
        <v>3812</v>
      </c>
      <c r="G918" s="28">
        <v>162.78</v>
      </c>
    </row>
    <row r="919" spans="1:7" x14ac:dyDescent="0.35">
      <c r="A919" s="22" t="s">
        <v>2549</v>
      </c>
      <c r="B919" s="22"/>
      <c r="C919" s="26">
        <v>45900</v>
      </c>
      <c r="D919" s="25">
        <v>38796</v>
      </c>
      <c r="E919" s="25" t="s">
        <v>3528</v>
      </c>
      <c r="F919" s="53" t="s">
        <v>3812</v>
      </c>
      <c r="G919" s="28">
        <v>465</v>
      </c>
    </row>
    <row r="920" spans="1:7" x14ac:dyDescent="0.35">
      <c r="A920" s="22" t="s">
        <v>2549</v>
      </c>
      <c r="B920" s="22"/>
      <c r="C920" s="26">
        <v>45900</v>
      </c>
      <c r="D920" s="25">
        <v>38799</v>
      </c>
      <c r="E920" s="25" t="s">
        <v>3529</v>
      </c>
      <c r="F920" s="53" t="s">
        <v>3812</v>
      </c>
      <c r="G920" s="28">
        <v>2740</v>
      </c>
    </row>
    <row r="921" spans="1:7" x14ac:dyDescent="0.35">
      <c r="A921" s="22" t="s">
        <v>2549</v>
      </c>
      <c r="B921" s="22"/>
      <c r="C921" s="26">
        <v>45900</v>
      </c>
      <c r="D921" s="25">
        <v>38800</v>
      </c>
      <c r="E921" s="25" t="s">
        <v>3530</v>
      </c>
      <c r="F921" s="53" t="s">
        <v>3812</v>
      </c>
      <c r="G921" s="28">
        <v>15750</v>
      </c>
    </row>
    <row r="922" spans="1:7" x14ac:dyDescent="0.35">
      <c r="A922" s="22" t="s">
        <v>2549</v>
      </c>
      <c r="B922" s="22"/>
      <c r="C922" s="26">
        <v>45900</v>
      </c>
      <c r="D922" s="25">
        <v>38801</v>
      </c>
      <c r="E922" s="25" t="s">
        <v>3531</v>
      </c>
      <c r="F922" s="53" t="s">
        <v>3812</v>
      </c>
      <c r="G922" s="28">
        <v>900</v>
      </c>
    </row>
    <row r="923" spans="1:7" x14ac:dyDescent="0.35">
      <c r="A923" s="22" t="s">
        <v>2549</v>
      </c>
      <c r="B923" s="22"/>
      <c r="C923" s="26">
        <v>45900</v>
      </c>
      <c r="D923" s="25">
        <v>38803</v>
      </c>
      <c r="E923" s="25" t="s">
        <v>3532</v>
      </c>
      <c r="F923" s="53" t="s">
        <v>3812</v>
      </c>
      <c r="G923" s="28">
        <v>3216</v>
      </c>
    </row>
    <row r="924" spans="1:7" x14ac:dyDescent="0.35">
      <c r="A924" s="22" t="s">
        <v>2549</v>
      </c>
      <c r="B924" s="22"/>
      <c r="C924" s="26">
        <v>45900</v>
      </c>
      <c r="D924" s="25" t="s">
        <v>3465</v>
      </c>
      <c r="E924" s="25" t="s">
        <v>3533</v>
      </c>
      <c r="F924" s="53" t="s">
        <v>3812</v>
      </c>
      <c r="G924" s="28">
        <v>0.06</v>
      </c>
    </row>
    <row r="925" spans="1:7" x14ac:dyDescent="0.35">
      <c r="A925" s="22" t="s">
        <v>2549</v>
      </c>
      <c r="B925" s="22"/>
      <c r="C925" s="26">
        <v>45900</v>
      </c>
      <c r="D925" s="25">
        <v>38809</v>
      </c>
      <c r="E925" s="25" t="s">
        <v>3534</v>
      </c>
      <c r="F925" s="53" t="s">
        <v>3812</v>
      </c>
      <c r="G925" s="28">
        <v>7476.6999999999989</v>
      </c>
    </row>
    <row r="926" spans="1:7" x14ac:dyDescent="0.35">
      <c r="A926" s="22" t="s">
        <v>2549</v>
      </c>
      <c r="B926" s="22"/>
      <c r="C926" s="26">
        <v>45900</v>
      </c>
      <c r="D926" s="25">
        <v>38815</v>
      </c>
      <c r="E926" s="25" t="s">
        <v>3535</v>
      </c>
      <c r="F926" s="53" t="s">
        <v>3812</v>
      </c>
      <c r="G926" s="28">
        <v>1708</v>
      </c>
    </row>
    <row r="927" spans="1:7" x14ac:dyDescent="0.35">
      <c r="A927" s="22" t="s">
        <v>2549</v>
      </c>
      <c r="B927" s="22"/>
      <c r="C927" s="26">
        <v>45900</v>
      </c>
      <c r="D927" s="25">
        <v>38818</v>
      </c>
      <c r="E927" s="25" t="s">
        <v>3536</v>
      </c>
      <c r="F927" s="53" t="s">
        <v>3812</v>
      </c>
      <c r="G927" s="28">
        <v>775</v>
      </c>
    </row>
    <row r="928" spans="1:7" x14ac:dyDescent="0.35">
      <c r="A928" s="22" t="s">
        <v>2549</v>
      </c>
      <c r="B928" s="22"/>
      <c r="C928" s="26">
        <v>45900</v>
      </c>
      <c r="D928" s="25">
        <v>38820</v>
      </c>
      <c r="E928" s="25" t="s">
        <v>3537</v>
      </c>
      <c r="F928" s="53" t="s">
        <v>3812</v>
      </c>
      <c r="G928" s="28">
        <v>102500.28000000001</v>
      </c>
    </row>
    <row r="929" spans="1:7" x14ac:dyDescent="0.35">
      <c r="A929" s="22" t="s">
        <v>2549</v>
      </c>
      <c r="B929" s="22"/>
      <c r="C929" s="26">
        <v>45900</v>
      </c>
      <c r="D929" s="25" t="s">
        <v>3466</v>
      </c>
      <c r="E929" s="25" t="s">
        <v>3537</v>
      </c>
      <c r="F929" s="53" t="s">
        <v>3812</v>
      </c>
      <c r="G929" s="28">
        <v>0</v>
      </c>
    </row>
    <row r="930" spans="1:7" x14ac:dyDescent="0.35">
      <c r="A930" s="22" t="s">
        <v>2549</v>
      </c>
      <c r="B930" s="22"/>
      <c r="C930" s="26">
        <v>45900</v>
      </c>
      <c r="D930" s="25" t="s">
        <v>3467</v>
      </c>
      <c r="E930" s="25" t="s">
        <v>3537</v>
      </c>
      <c r="F930" s="53" t="s">
        <v>3812</v>
      </c>
      <c r="G930" s="28">
        <v>403.22</v>
      </c>
    </row>
    <row r="931" spans="1:7" x14ac:dyDescent="0.35">
      <c r="A931" s="22" t="s">
        <v>2549</v>
      </c>
      <c r="B931" s="22"/>
      <c r="C931" s="26">
        <v>45900</v>
      </c>
      <c r="D931" s="25">
        <v>38824</v>
      </c>
      <c r="E931" s="25" t="s">
        <v>3538</v>
      </c>
      <c r="F931" s="53" t="s">
        <v>3812</v>
      </c>
      <c r="G931" s="28">
        <v>687.5</v>
      </c>
    </row>
    <row r="932" spans="1:7" x14ac:dyDescent="0.35">
      <c r="A932" s="22" t="s">
        <v>2549</v>
      </c>
      <c r="B932" s="22"/>
      <c r="C932" s="26">
        <v>45900</v>
      </c>
      <c r="D932" s="25">
        <v>38835</v>
      </c>
      <c r="E932" s="25" t="s">
        <v>3539</v>
      </c>
      <c r="F932" s="53" t="s">
        <v>3812</v>
      </c>
      <c r="G932" s="28">
        <v>1756.69</v>
      </c>
    </row>
    <row r="933" spans="1:7" x14ac:dyDescent="0.35">
      <c r="A933" s="22" t="s">
        <v>2549</v>
      </c>
      <c r="B933" s="22"/>
      <c r="C933" s="26">
        <v>45900</v>
      </c>
      <c r="D933" s="25">
        <v>38842</v>
      </c>
      <c r="E933" s="25" t="s">
        <v>3540</v>
      </c>
      <c r="F933" s="53" t="s">
        <v>3812</v>
      </c>
      <c r="G933" s="28">
        <v>58630</v>
      </c>
    </row>
    <row r="934" spans="1:7" x14ac:dyDescent="0.35">
      <c r="A934" s="22" t="s">
        <v>2549</v>
      </c>
      <c r="B934" s="22"/>
      <c r="C934" s="26">
        <v>45900</v>
      </c>
      <c r="D934" s="25">
        <v>38843</v>
      </c>
      <c r="E934" s="25" t="s">
        <v>3497</v>
      </c>
      <c r="F934" s="53" t="s">
        <v>3812</v>
      </c>
      <c r="G934" s="28">
        <v>625</v>
      </c>
    </row>
    <row r="935" spans="1:7" x14ac:dyDescent="0.35">
      <c r="A935" s="22" t="s">
        <v>2549</v>
      </c>
      <c r="B935" s="22"/>
      <c r="C935" s="26">
        <v>45900</v>
      </c>
      <c r="D935" s="25">
        <v>38849</v>
      </c>
      <c r="E935" s="25" t="s">
        <v>3541</v>
      </c>
      <c r="F935" s="53" t="s">
        <v>3812</v>
      </c>
      <c r="G935" s="28">
        <v>33300</v>
      </c>
    </row>
    <row r="936" spans="1:7" x14ac:dyDescent="0.35">
      <c r="A936" s="22" t="s">
        <v>2549</v>
      </c>
      <c r="B936" s="22"/>
      <c r="C936" s="26">
        <v>45900</v>
      </c>
      <c r="D936" s="25">
        <v>38853</v>
      </c>
      <c r="E936" s="25" t="s">
        <v>3542</v>
      </c>
      <c r="F936" s="53" t="s">
        <v>3812</v>
      </c>
      <c r="G936" s="28">
        <v>1209.6099999999999</v>
      </c>
    </row>
    <row r="937" spans="1:7" x14ac:dyDescent="0.35">
      <c r="A937" s="22" t="s">
        <v>2549</v>
      </c>
      <c r="B937" s="22"/>
      <c r="C937" s="26">
        <v>45900</v>
      </c>
      <c r="D937" s="25">
        <v>38854</v>
      </c>
      <c r="E937" s="25" t="s">
        <v>3543</v>
      </c>
      <c r="F937" s="53" t="s">
        <v>3812</v>
      </c>
      <c r="G937" s="28">
        <v>31500</v>
      </c>
    </row>
    <row r="938" spans="1:7" x14ac:dyDescent="0.35">
      <c r="A938" s="22" t="s">
        <v>2549</v>
      </c>
      <c r="B938" s="22"/>
      <c r="C938" s="26">
        <v>45900</v>
      </c>
      <c r="D938" s="25">
        <v>38855</v>
      </c>
      <c r="E938" s="25" t="s">
        <v>3544</v>
      </c>
      <c r="F938" s="53" t="s">
        <v>3812</v>
      </c>
      <c r="G938" s="28">
        <v>15800</v>
      </c>
    </row>
    <row r="939" spans="1:7" x14ac:dyDescent="0.35">
      <c r="A939" s="22" t="s">
        <v>2549</v>
      </c>
      <c r="B939" s="22"/>
      <c r="C939" s="26">
        <v>45900</v>
      </c>
      <c r="D939" s="25">
        <v>38856</v>
      </c>
      <c r="E939" s="25" t="s">
        <v>3545</v>
      </c>
      <c r="F939" s="53" t="s">
        <v>3812</v>
      </c>
      <c r="G939" s="28">
        <v>900</v>
      </c>
    </row>
    <row r="940" spans="1:7" x14ac:dyDescent="0.35">
      <c r="A940" s="22" t="s">
        <v>2549</v>
      </c>
      <c r="B940" s="22"/>
      <c r="C940" s="26">
        <v>45900</v>
      </c>
      <c r="D940" s="25">
        <v>38865</v>
      </c>
      <c r="E940" s="25" t="s">
        <v>3546</v>
      </c>
      <c r="F940" s="53" t="s">
        <v>3812</v>
      </c>
      <c r="G940" s="28">
        <v>350</v>
      </c>
    </row>
    <row r="941" spans="1:7" x14ac:dyDescent="0.35">
      <c r="A941" s="22" t="s">
        <v>2549</v>
      </c>
      <c r="B941" s="22"/>
      <c r="C941" s="26">
        <v>45900</v>
      </c>
      <c r="D941" s="25">
        <v>38867</v>
      </c>
      <c r="E941" s="25" t="s">
        <v>3547</v>
      </c>
      <c r="F941" s="53" t="s">
        <v>3812</v>
      </c>
      <c r="G941" s="28">
        <v>413.1</v>
      </c>
    </row>
    <row r="942" spans="1:7" x14ac:dyDescent="0.35">
      <c r="A942" s="22" t="s">
        <v>2549</v>
      </c>
      <c r="B942" s="22"/>
      <c r="C942" s="26">
        <v>45900</v>
      </c>
      <c r="D942" s="25">
        <v>38868</v>
      </c>
      <c r="E942" s="25" t="s">
        <v>3548</v>
      </c>
      <c r="F942" s="53" t="s">
        <v>3812</v>
      </c>
      <c r="G942" s="28">
        <v>2306.2399999999998</v>
      </c>
    </row>
    <row r="943" spans="1:7" x14ac:dyDescent="0.35">
      <c r="A943" s="22" t="s">
        <v>2549</v>
      </c>
      <c r="B943" s="22"/>
      <c r="C943" s="26">
        <v>45900</v>
      </c>
      <c r="D943" s="25">
        <v>38871</v>
      </c>
      <c r="E943" s="25" t="s">
        <v>3500</v>
      </c>
      <c r="F943" s="53" t="s">
        <v>3812</v>
      </c>
      <c r="G943" s="28">
        <v>4169.7</v>
      </c>
    </row>
    <row r="944" spans="1:7" x14ac:dyDescent="0.35">
      <c r="A944" s="22" t="s">
        <v>2549</v>
      </c>
      <c r="B944" s="22"/>
      <c r="C944" s="26">
        <v>45900</v>
      </c>
      <c r="D944" s="25">
        <v>38873</v>
      </c>
      <c r="E944" s="25" t="s">
        <v>3536</v>
      </c>
      <c r="F944" s="53" t="s">
        <v>3812</v>
      </c>
      <c r="G944" s="28">
        <v>759.24</v>
      </c>
    </row>
    <row r="945" spans="1:7" x14ac:dyDescent="0.35">
      <c r="A945" s="22" t="s">
        <v>2549</v>
      </c>
      <c r="B945" s="22"/>
      <c r="C945" s="26">
        <v>45900</v>
      </c>
      <c r="D945" s="25">
        <v>38880</v>
      </c>
      <c r="E945" s="25" t="s">
        <v>1656</v>
      </c>
      <c r="F945" s="53" t="s">
        <v>3812</v>
      </c>
      <c r="G945" s="28">
        <v>1234.24</v>
      </c>
    </row>
    <row r="946" spans="1:7" x14ac:dyDescent="0.35">
      <c r="A946" s="22" t="s">
        <v>2549</v>
      </c>
      <c r="B946" s="22"/>
      <c r="C946" s="26">
        <v>45900</v>
      </c>
      <c r="D946" s="25">
        <v>38884</v>
      </c>
      <c r="E946" s="25" t="s">
        <v>3545</v>
      </c>
      <c r="F946" s="53" t="s">
        <v>3812</v>
      </c>
      <c r="G946" s="28">
        <v>450</v>
      </c>
    </row>
    <row r="947" spans="1:7" x14ac:dyDescent="0.35">
      <c r="A947" s="22" t="s">
        <v>2549</v>
      </c>
      <c r="B947" s="22"/>
      <c r="C947" s="26">
        <v>45900</v>
      </c>
      <c r="D947" s="25">
        <v>38904</v>
      </c>
      <c r="E947" s="25" t="s">
        <v>3549</v>
      </c>
      <c r="F947" s="53" t="s">
        <v>3812</v>
      </c>
      <c r="G947" s="28">
        <v>1247.75</v>
      </c>
    </row>
    <row r="948" spans="1:7" x14ac:dyDescent="0.35">
      <c r="A948" s="22" t="s">
        <v>2549</v>
      </c>
      <c r="B948" s="22"/>
      <c r="C948" s="26">
        <v>45900</v>
      </c>
      <c r="D948" s="25">
        <v>38909</v>
      </c>
      <c r="E948" s="25" t="s">
        <v>3550</v>
      </c>
      <c r="F948" s="53" t="s">
        <v>3812</v>
      </c>
      <c r="G948" s="28">
        <v>10907.779999999999</v>
      </c>
    </row>
    <row r="949" spans="1:7" x14ac:dyDescent="0.35">
      <c r="A949" s="22" t="s">
        <v>2549</v>
      </c>
      <c r="B949" s="22"/>
      <c r="C949" s="26">
        <v>45900</v>
      </c>
      <c r="D949" s="25">
        <v>38911</v>
      </c>
      <c r="E949" s="25" t="s">
        <v>3551</v>
      </c>
      <c r="F949" s="53" t="s">
        <v>3812</v>
      </c>
      <c r="G949" s="28">
        <v>880</v>
      </c>
    </row>
    <row r="950" spans="1:7" x14ac:dyDescent="0.35">
      <c r="A950" s="22" t="s">
        <v>2549</v>
      </c>
      <c r="B950" s="22"/>
      <c r="C950" s="26">
        <v>45900</v>
      </c>
      <c r="D950" s="25">
        <v>38912</v>
      </c>
      <c r="E950" s="25" t="s">
        <v>3552</v>
      </c>
      <c r="F950" s="53" t="s">
        <v>3812</v>
      </c>
      <c r="G950" s="28">
        <v>23482</v>
      </c>
    </row>
    <row r="951" spans="1:7" x14ac:dyDescent="0.35">
      <c r="A951" s="22" t="s">
        <v>2549</v>
      </c>
      <c r="B951" s="22"/>
      <c r="C951" s="26">
        <v>45900</v>
      </c>
      <c r="D951" s="25">
        <v>38913</v>
      </c>
      <c r="E951" s="25" t="s">
        <v>3553</v>
      </c>
      <c r="F951" s="53" t="s">
        <v>3812</v>
      </c>
      <c r="G951" s="28">
        <v>200</v>
      </c>
    </row>
    <row r="952" spans="1:7" x14ac:dyDescent="0.35">
      <c r="A952" s="22" t="s">
        <v>2549</v>
      </c>
      <c r="B952" s="22"/>
      <c r="C952" s="26">
        <v>45900</v>
      </c>
      <c r="D952" s="25">
        <v>38915</v>
      </c>
      <c r="E952" s="25" t="s">
        <v>3554</v>
      </c>
      <c r="F952" s="53" t="s">
        <v>3812</v>
      </c>
      <c r="G952" s="28">
        <v>177.19</v>
      </c>
    </row>
    <row r="953" spans="1:7" x14ac:dyDescent="0.35">
      <c r="A953" s="22" t="s">
        <v>2549</v>
      </c>
      <c r="B953" s="22"/>
      <c r="C953" s="26">
        <v>45900</v>
      </c>
      <c r="D953" s="25">
        <v>38916</v>
      </c>
      <c r="E953" s="25" t="s">
        <v>3555</v>
      </c>
      <c r="F953" s="53" t="s">
        <v>3812</v>
      </c>
      <c r="G953" s="28">
        <v>108.5</v>
      </c>
    </row>
    <row r="954" spans="1:7" x14ac:dyDescent="0.35">
      <c r="A954" s="22" t="s">
        <v>2549</v>
      </c>
      <c r="B954" s="22"/>
      <c r="C954" s="26">
        <v>45900</v>
      </c>
      <c r="D954" s="25">
        <v>38921</v>
      </c>
      <c r="E954" s="25" t="s">
        <v>3556</v>
      </c>
      <c r="F954" s="53" t="s">
        <v>3812</v>
      </c>
      <c r="G954" s="28">
        <v>54.25</v>
      </c>
    </row>
    <row r="955" spans="1:7" x14ac:dyDescent="0.35">
      <c r="A955" s="22" t="s">
        <v>2549</v>
      </c>
      <c r="B955" s="22"/>
      <c r="C955" s="26">
        <v>45900</v>
      </c>
      <c r="D955" s="25">
        <v>38942</v>
      </c>
      <c r="E955" s="25" t="s">
        <v>3557</v>
      </c>
      <c r="F955" s="53" t="s">
        <v>3812</v>
      </c>
      <c r="G955" s="28">
        <v>462.5</v>
      </c>
    </row>
    <row r="956" spans="1:7" x14ac:dyDescent="0.35">
      <c r="A956" s="22" t="s">
        <v>2549</v>
      </c>
      <c r="B956" s="22"/>
      <c r="C956" s="26">
        <v>45900</v>
      </c>
      <c r="D956" s="25">
        <v>38946</v>
      </c>
      <c r="E956" s="25" t="s">
        <v>3558</v>
      </c>
      <c r="F956" s="53" t="s">
        <v>3812</v>
      </c>
      <c r="G956" s="28">
        <v>2800</v>
      </c>
    </row>
    <row r="957" spans="1:7" x14ac:dyDescent="0.35">
      <c r="A957" s="22" t="s">
        <v>2549</v>
      </c>
      <c r="B957" s="22"/>
      <c r="C957" s="26">
        <v>45900</v>
      </c>
      <c r="D957" s="25">
        <v>38957</v>
      </c>
      <c r="E957" s="25" t="s">
        <v>3559</v>
      </c>
      <c r="F957" s="53" t="s">
        <v>3812</v>
      </c>
      <c r="G957" s="28">
        <v>569.63</v>
      </c>
    </row>
    <row r="958" spans="1:7" x14ac:dyDescent="0.35">
      <c r="A958" s="22" t="s">
        <v>2549</v>
      </c>
      <c r="B958" s="22"/>
      <c r="C958" s="26">
        <v>45900</v>
      </c>
      <c r="D958" s="25">
        <v>38962</v>
      </c>
      <c r="E958" s="25" t="s">
        <v>3560</v>
      </c>
      <c r="F958" s="53" t="s">
        <v>3812</v>
      </c>
      <c r="G958" s="28">
        <v>92.4</v>
      </c>
    </row>
    <row r="959" spans="1:7" x14ac:dyDescent="0.35">
      <c r="A959" s="22" t="s">
        <v>2549</v>
      </c>
      <c r="B959" s="22"/>
      <c r="C959" s="26">
        <v>45900</v>
      </c>
      <c r="D959" s="25">
        <v>38963</v>
      </c>
      <c r="E959" s="25" t="s">
        <v>3561</v>
      </c>
      <c r="F959" s="53" t="s">
        <v>3812</v>
      </c>
      <c r="G959" s="28">
        <v>103.27</v>
      </c>
    </row>
    <row r="960" spans="1:7" x14ac:dyDescent="0.35">
      <c r="A960" s="22" t="s">
        <v>2549</v>
      </c>
      <c r="B960" s="22"/>
      <c r="C960" s="26">
        <v>45900</v>
      </c>
      <c r="D960" s="25">
        <v>38965</v>
      </c>
      <c r="E960" s="25" t="s">
        <v>3562</v>
      </c>
      <c r="F960" s="53" t="s">
        <v>3812</v>
      </c>
      <c r="G960" s="28">
        <v>350</v>
      </c>
    </row>
    <row r="961" spans="1:7" x14ac:dyDescent="0.35">
      <c r="A961" s="22" t="s">
        <v>2549</v>
      </c>
      <c r="B961" s="22"/>
      <c r="C961" s="26">
        <v>45900</v>
      </c>
      <c r="D961" s="25">
        <v>38974</v>
      </c>
      <c r="E961" s="25" t="s">
        <v>3563</v>
      </c>
      <c r="F961" s="53" t="s">
        <v>3812</v>
      </c>
      <c r="G961" s="28">
        <v>450</v>
      </c>
    </row>
    <row r="962" spans="1:7" x14ac:dyDescent="0.35">
      <c r="A962" s="22" t="s">
        <v>2549</v>
      </c>
      <c r="B962" s="22"/>
      <c r="C962" s="26">
        <v>45900</v>
      </c>
      <c r="D962" s="25">
        <v>38984</v>
      </c>
      <c r="E962" s="25" t="s">
        <v>1840</v>
      </c>
      <c r="F962" s="53" t="s">
        <v>3812</v>
      </c>
      <c r="G962" s="28">
        <v>1984</v>
      </c>
    </row>
    <row r="963" spans="1:7" x14ac:dyDescent="0.35">
      <c r="A963" s="22" t="s">
        <v>2549</v>
      </c>
      <c r="B963" s="22"/>
      <c r="C963" s="26">
        <v>45900</v>
      </c>
      <c r="D963" s="25">
        <v>38985</v>
      </c>
      <c r="E963" s="25" t="s">
        <v>3564</v>
      </c>
      <c r="F963" s="53" t="s">
        <v>3812</v>
      </c>
      <c r="G963" s="28">
        <v>2248</v>
      </c>
    </row>
    <row r="964" spans="1:7" x14ac:dyDescent="0.35">
      <c r="A964" s="22" t="s">
        <v>2549</v>
      </c>
      <c r="B964" s="22"/>
      <c r="C964" s="26">
        <v>45900</v>
      </c>
      <c r="D964" s="25">
        <v>38992</v>
      </c>
      <c r="E964" s="25" t="s">
        <v>2258</v>
      </c>
      <c r="F964" s="53" t="s">
        <v>3812</v>
      </c>
      <c r="G964" s="28">
        <v>14079.71</v>
      </c>
    </row>
    <row r="965" spans="1:7" x14ac:dyDescent="0.35">
      <c r="A965" s="22" t="s">
        <v>2549</v>
      </c>
      <c r="B965" s="22"/>
      <c r="C965" s="26">
        <v>45900</v>
      </c>
      <c r="D965" s="25">
        <v>38997</v>
      </c>
      <c r="E965" s="25" t="s">
        <v>1924</v>
      </c>
      <c r="F965" s="53" t="s">
        <v>3812</v>
      </c>
      <c r="G965" s="28">
        <v>15560</v>
      </c>
    </row>
    <row r="966" spans="1:7" x14ac:dyDescent="0.35">
      <c r="A966" s="22" t="s">
        <v>2549</v>
      </c>
      <c r="B966" s="22"/>
      <c r="C966" s="26">
        <v>45900</v>
      </c>
      <c r="D966" s="25">
        <v>38998</v>
      </c>
      <c r="E966" s="25" t="s">
        <v>3565</v>
      </c>
      <c r="F966" s="53" t="s">
        <v>3812</v>
      </c>
      <c r="G966" s="28">
        <v>697.5</v>
      </c>
    </row>
    <row r="967" spans="1:7" x14ac:dyDescent="0.35">
      <c r="A967" s="22" t="s">
        <v>2549</v>
      </c>
      <c r="B967" s="22"/>
      <c r="C967" s="26">
        <v>45900</v>
      </c>
      <c r="D967" s="25">
        <v>39003</v>
      </c>
      <c r="E967" s="25" t="s">
        <v>3566</v>
      </c>
      <c r="F967" s="53" t="s">
        <v>3812</v>
      </c>
      <c r="G967" s="28">
        <v>11883.55</v>
      </c>
    </row>
    <row r="968" spans="1:7" x14ac:dyDescent="0.35">
      <c r="A968" s="22" t="s">
        <v>2549</v>
      </c>
      <c r="B968" s="22"/>
      <c r="C968" s="26">
        <v>45900</v>
      </c>
      <c r="D968" s="25">
        <v>39009</v>
      </c>
      <c r="E968" s="25" t="s">
        <v>3565</v>
      </c>
      <c r="F968" s="53" t="s">
        <v>3812</v>
      </c>
      <c r="G968" s="28">
        <v>4500</v>
      </c>
    </row>
    <row r="969" spans="1:7" x14ac:dyDescent="0.35">
      <c r="A969" s="22" t="s">
        <v>2549</v>
      </c>
      <c r="B969" s="22"/>
      <c r="C969" s="26">
        <v>45900</v>
      </c>
      <c r="D969" s="25">
        <v>39063</v>
      </c>
      <c r="E969" s="25" t="s">
        <v>3567</v>
      </c>
      <c r="F969" s="53" t="s">
        <v>3812</v>
      </c>
      <c r="G969" s="28">
        <v>4464</v>
      </c>
    </row>
    <row r="970" spans="1:7" x14ac:dyDescent="0.35">
      <c r="A970" s="22" t="s">
        <v>2549</v>
      </c>
      <c r="B970" s="22"/>
      <c r="C970" s="26">
        <v>45900</v>
      </c>
      <c r="D970" s="25">
        <v>39073</v>
      </c>
      <c r="E970" s="25" t="s">
        <v>3544</v>
      </c>
      <c r="F970" s="53" t="s">
        <v>3812</v>
      </c>
      <c r="G970" s="28">
        <v>13200</v>
      </c>
    </row>
    <row r="971" spans="1:7" x14ac:dyDescent="0.35">
      <c r="A971" s="22" t="s">
        <v>2549</v>
      </c>
      <c r="B971" s="22"/>
      <c r="C971" s="26">
        <v>45900</v>
      </c>
      <c r="D971" s="25">
        <v>39074</v>
      </c>
      <c r="E971" s="25" t="s">
        <v>3544</v>
      </c>
      <c r="F971" s="53" t="s">
        <v>3812</v>
      </c>
      <c r="G971" s="28">
        <v>10200</v>
      </c>
    </row>
    <row r="972" spans="1:7" x14ac:dyDescent="0.35">
      <c r="A972" s="22" t="s">
        <v>2549</v>
      </c>
      <c r="B972" s="22"/>
      <c r="C972" s="26">
        <v>45900</v>
      </c>
      <c r="D972" s="25">
        <v>39084</v>
      </c>
      <c r="E972" s="25" t="s">
        <v>2459</v>
      </c>
      <c r="F972" s="53" t="s">
        <v>3812</v>
      </c>
      <c r="G972" s="28">
        <v>12023.44</v>
      </c>
    </row>
    <row r="973" spans="1:7" x14ac:dyDescent="0.35">
      <c r="A973" s="22" t="s">
        <v>2549</v>
      </c>
      <c r="B973" s="22"/>
      <c r="C973" s="26">
        <v>45900</v>
      </c>
      <c r="D973" s="25">
        <v>39086</v>
      </c>
      <c r="E973" s="25" t="s">
        <v>301</v>
      </c>
      <c r="F973" s="53" t="s">
        <v>3812</v>
      </c>
      <c r="G973" s="28">
        <v>0</v>
      </c>
    </row>
    <row r="974" spans="1:7" x14ac:dyDescent="0.35">
      <c r="A974" s="22" t="s">
        <v>2549</v>
      </c>
      <c r="B974" s="22"/>
      <c r="C974" s="26">
        <v>45900</v>
      </c>
      <c r="D974" s="25" t="s">
        <v>3471</v>
      </c>
      <c r="E974" s="25" t="s">
        <v>301</v>
      </c>
      <c r="F974" s="53" t="s">
        <v>3812</v>
      </c>
      <c r="G974" s="28">
        <v>0</v>
      </c>
    </row>
    <row r="975" spans="1:7" x14ac:dyDescent="0.35">
      <c r="A975" s="22" t="s">
        <v>2549</v>
      </c>
      <c r="B975" s="22"/>
      <c r="C975" s="26">
        <v>45900</v>
      </c>
      <c r="D975" s="25">
        <v>39088</v>
      </c>
      <c r="E975" s="25" t="s">
        <v>3568</v>
      </c>
      <c r="F975" s="53" t="s">
        <v>3812</v>
      </c>
      <c r="G975" s="28">
        <v>6417</v>
      </c>
    </row>
    <row r="976" spans="1:7" x14ac:dyDescent="0.35">
      <c r="A976" s="22" t="s">
        <v>2549</v>
      </c>
      <c r="B976" s="22"/>
      <c r="C976" s="26">
        <v>45900</v>
      </c>
      <c r="D976" s="25">
        <v>39089</v>
      </c>
      <c r="E976" s="25" t="s">
        <v>3500</v>
      </c>
      <c r="F976" s="53" t="s">
        <v>3812</v>
      </c>
      <c r="G976" s="28">
        <v>355.95</v>
      </c>
    </row>
    <row r="977" spans="1:7" x14ac:dyDescent="0.35">
      <c r="A977" s="22" t="s">
        <v>2549</v>
      </c>
      <c r="B977" s="22"/>
      <c r="C977" s="26">
        <v>45900</v>
      </c>
      <c r="D977" s="25">
        <v>39091</v>
      </c>
      <c r="E977" s="25" t="s">
        <v>992</v>
      </c>
      <c r="F977" s="53" t="s">
        <v>3812</v>
      </c>
      <c r="G977" s="28">
        <v>44.55</v>
      </c>
    </row>
    <row r="978" spans="1:7" x14ac:dyDescent="0.35">
      <c r="A978" s="22" t="s">
        <v>2549</v>
      </c>
      <c r="B978" s="22"/>
      <c r="C978" s="26">
        <v>45900</v>
      </c>
      <c r="D978" s="25">
        <v>39092</v>
      </c>
      <c r="E978" s="25" t="s">
        <v>3481</v>
      </c>
      <c r="F978" s="53" t="s">
        <v>3812</v>
      </c>
      <c r="G978" s="28">
        <v>29496.36</v>
      </c>
    </row>
    <row r="979" spans="1:7" x14ac:dyDescent="0.35">
      <c r="A979" s="22" t="s">
        <v>2549</v>
      </c>
      <c r="B979" s="22"/>
      <c r="C979" s="26">
        <v>45900</v>
      </c>
      <c r="D979" s="25">
        <v>39093</v>
      </c>
      <c r="E979" s="25" t="s">
        <v>2892</v>
      </c>
      <c r="F979" s="53" t="s">
        <v>3812</v>
      </c>
      <c r="G979" s="28">
        <v>1050.5</v>
      </c>
    </row>
    <row r="980" spans="1:7" x14ac:dyDescent="0.35">
      <c r="A980" s="22" t="s">
        <v>2549</v>
      </c>
      <c r="B980" s="22"/>
      <c r="C980" s="26">
        <v>45900</v>
      </c>
      <c r="D980" s="25">
        <v>39094</v>
      </c>
      <c r="E980" s="25" t="s">
        <v>1334</v>
      </c>
      <c r="F980" s="53" t="s">
        <v>3812</v>
      </c>
      <c r="G980" s="28">
        <v>7871.44</v>
      </c>
    </row>
    <row r="981" spans="1:7" x14ac:dyDescent="0.35">
      <c r="A981" s="22" t="s">
        <v>2549</v>
      </c>
      <c r="B981" s="22"/>
      <c r="C981" s="26">
        <v>45900</v>
      </c>
      <c r="D981" s="25">
        <v>39095</v>
      </c>
      <c r="E981" s="25" t="s">
        <v>1358</v>
      </c>
      <c r="F981" s="53" t="s">
        <v>3812</v>
      </c>
      <c r="G981" s="28">
        <v>458.63</v>
      </c>
    </row>
    <row r="982" spans="1:7" x14ac:dyDescent="0.35">
      <c r="A982" s="22" t="s">
        <v>2549</v>
      </c>
      <c r="B982" s="22"/>
      <c r="C982" s="26">
        <v>45900</v>
      </c>
      <c r="D982" s="25">
        <v>39096</v>
      </c>
      <c r="E982" s="25" t="s">
        <v>1371</v>
      </c>
      <c r="F982" s="53" t="s">
        <v>3812</v>
      </c>
      <c r="G982" s="28">
        <v>2244.7600000000002</v>
      </c>
    </row>
    <row r="983" spans="1:7" x14ac:dyDescent="0.35">
      <c r="A983" s="22" t="s">
        <v>2549</v>
      </c>
      <c r="B983" s="22"/>
      <c r="C983" s="26">
        <v>45900</v>
      </c>
      <c r="D983" s="25">
        <v>39097</v>
      </c>
      <c r="E983" s="25" t="s">
        <v>1376</v>
      </c>
      <c r="F983" s="53" t="s">
        <v>3812</v>
      </c>
      <c r="G983" s="28">
        <v>12.82</v>
      </c>
    </row>
    <row r="984" spans="1:7" x14ac:dyDescent="0.35">
      <c r="A984" s="22" t="s">
        <v>2549</v>
      </c>
      <c r="B984" s="22"/>
      <c r="C984" s="26">
        <v>45900</v>
      </c>
      <c r="D984" s="25">
        <v>39098</v>
      </c>
      <c r="E984" s="25" t="s">
        <v>1426</v>
      </c>
      <c r="F984" s="53" t="s">
        <v>3812</v>
      </c>
      <c r="G984" s="28">
        <v>6125.19</v>
      </c>
    </row>
    <row r="985" spans="1:7" x14ac:dyDescent="0.35">
      <c r="A985" s="22" t="s">
        <v>2549</v>
      </c>
      <c r="B985" s="22"/>
      <c r="C985" s="26">
        <v>45900</v>
      </c>
      <c r="D985" s="25">
        <v>39099</v>
      </c>
      <c r="E985" s="25" t="s">
        <v>3474</v>
      </c>
      <c r="F985" s="53" t="s">
        <v>3812</v>
      </c>
      <c r="G985" s="28">
        <v>8009.75</v>
      </c>
    </row>
    <row r="986" spans="1:7" x14ac:dyDescent="0.35">
      <c r="A986" s="22" t="s">
        <v>2549</v>
      </c>
      <c r="B986" s="22"/>
      <c r="C986" s="26">
        <v>45900</v>
      </c>
      <c r="D986" s="25">
        <v>39100</v>
      </c>
      <c r="E986" s="25" t="s">
        <v>3569</v>
      </c>
      <c r="F986" s="53" t="s">
        <v>3812</v>
      </c>
      <c r="G986" s="28">
        <v>613.85</v>
      </c>
    </row>
    <row r="987" spans="1:7" x14ac:dyDescent="0.35">
      <c r="A987" s="22" t="s">
        <v>2549</v>
      </c>
      <c r="B987" s="22"/>
      <c r="C987" s="26">
        <v>45900</v>
      </c>
      <c r="D987" s="25">
        <v>39101</v>
      </c>
      <c r="E987" s="25" t="s">
        <v>3554</v>
      </c>
      <c r="F987" s="53" t="s">
        <v>3812</v>
      </c>
      <c r="G987" s="28">
        <v>18.72</v>
      </c>
    </row>
    <row r="988" spans="1:7" x14ac:dyDescent="0.35">
      <c r="A988" s="22" t="s">
        <v>2549</v>
      </c>
      <c r="B988" s="22"/>
      <c r="C988" s="26">
        <v>45900</v>
      </c>
      <c r="D988" s="25">
        <v>39102</v>
      </c>
      <c r="E988" s="25" t="s">
        <v>3570</v>
      </c>
      <c r="F988" s="53" t="s">
        <v>3812</v>
      </c>
      <c r="G988" s="28">
        <v>4326.6000000000004</v>
      </c>
    </row>
    <row r="989" spans="1:7" x14ac:dyDescent="0.35">
      <c r="A989" s="22" t="s">
        <v>2549</v>
      </c>
      <c r="B989" s="22"/>
      <c r="C989" s="26">
        <v>45900</v>
      </c>
      <c r="D989" s="25">
        <v>39103</v>
      </c>
      <c r="E989" s="25" t="s">
        <v>1656</v>
      </c>
      <c r="F989" s="53" t="s">
        <v>3812</v>
      </c>
      <c r="G989" s="28">
        <v>9360</v>
      </c>
    </row>
    <row r="990" spans="1:7" x14ac:dyDescent="0.35">
      <c r="A990" s="22" t="s">
        <v>2549</v>
      </c>
      <c r="B990" s="22"/>
      <c r="C990" s="26">
        <v>45900</v>
      </c>
      <c r="D990" s="25">
        <v>39104</v>
      </c>
      <c r="E990" s="25" t="s">
        <v>2906</v>
      </c>
      <c r="F990" s="53" t="s">
        <v>3812</v>
      </c>
      <c r="G990" s="28">
        <v>1254.52</v>
      </c>
    </row>
    <row r="991" spans="1:7" x14ac:dyDescent="0.35">
      <c r="A991" s="22" t="s">
        <v>2549</v>
      </c>
      <c r="B991" s="22"/>
      <c r="C991" s="26">
        <v>45900</v>
      </c>
      <c r="D991" s="25">
        <v>39105</v>
      </c>
      <c r="E991" s="25" t="s">
        <v>3534</v>
      </c>
      <c r="F991" s="53" t="s">
        <v>3812</v>
      </c>
      <c r="G991" s="28">
        <v>1125.1500000000001</v>
      </c>
    </row>
    <row r="992" spans="1:7" x14ac:dyDescent="0.35">
      <c r="A992" s="22" t="s">
        <v>2549</v>
      </c>
      <c r="B992" s="22"/>
      <c r="C992" s="26">
        <v>45900</v>
      </c>
      <c r="D992" s="25">
        <v>39106</v>
      </c>
      <c r="E992" s="25" t="s">
        <v>3571</v>
      </c>
      <c r="F992" s="53" t="s">
        <v>3812</v>
      </c>
      <c r="G992" s="28">
        <v>93.11</v>
      </c>
    </row>
    <row r="993" spans="1:7" x14ac:dyDescent="0.35">
      <c r="A993" s="22" t="s">
        <v>2549</v>
      </c>
      <c r="B993" s="22"/>
      <c r="C993" s="26">
        <v>45900</v>
      </c>
      <c r="D993" s="25">
        <v>39107</v>
      </c>
      <c r="E993" s="25" t="s">
        <v>3230</v>
      </c>
      <c r="F993" s="53" t="s">
        <v>3812</v>
      </c>
      <c r="G993" s="28">
        <v>117734.84</v>
      </c>
    </row>
    <row r="994" spans="1:7" x14ac:dyDescent="0.35">
      <c r="A994" s="22" t="s">
        <v>2549</v>
      </c>
      <c r="B994" s="22"/>
      <c r="C994" s="26">
        <v>45900</v>
      </c>
      <c r="D994" s="25">
        <v>39108</v>
      </c>
      <c r="E994" s="25" t="s">
        <v>2467</v>
      </c>
      <c r="F994" s="53" t="s">
        <v>3812</v>
      </c>
      <c r="G994" s="28">
        <v>29470.66</v>
      </c>
    </row>
    <row r="995" spans="1:7" x14ac:dyDescent="0.35">
      <c r="A995" s="22" t="s">
        <v>2549</v>
      </c>
      <c r="B995" s="22"/>
      <c r="C995" s="26">
        <v>45900</v>
      </c>
      <c r="D995" s="25">
        <v>39109</v>
      </c>
      <c r="E995" s="25" t="s">
        <v>1839</v>
      </c>
      <c r="F995" s="53" t="s">
        <v>3812</v>
      </c>
      <c r="G995" s="28">
        <v>5470.79</v>
      </c>
    </row>
    <row r="996" spans="1:7" x14ac:dyDescent="0.35">
      <c r="A996" s="22" t="s">
        <v>2549</v>
      </c>
      <c r="B996" s="22"/>
      <c r="C996" s="26">
        <v>45900</v>
      </c>
      <c r="D996" s="25">
        <v>39110</v>
      </c>
      <c r="E996" s="25" t="s">
        <v>1919</v>
      </c>
      <c r="F996" s="53" t="s">
        <v>3812</v>
      </c>
      <c r="G996" s="28">
        <v>359.32</v>
      </c>
    </row>
    <row r="997" spans="1:7" x14ac:dyDescent="0.35">
      <c r="A997" s="22" t="s">
        <v>2549</v>
      </c>
      <c r="B997" s="22"/>
      <c r="C997" s="26">
        <v>45900</v>
      </c>
      <c r="D997" s="25">
        <v>39111</v>
      </c>
      <c r="E997" s="25" t="s">
        <v>1999</v>
      </c>
      <c r="F997" s="53" t="s">
        <v>3812</v>
      </c>
      <c r="G997" s="28">
        <v>44417.43</v>
      </c>
    </row>
    <row r="998" spans="1:7" x14ac:dyDescent="0.35">
      <c r="A998" s="22" t="s">
        <v>2549</v>
      </c>
      <c r="B998" s="22"/>
      <c r="C998" s="26">
        <v>45900</v>
      </c>
      <c r="D998" s="25">
        <v>39112</v>
      </c>
      <c r="E998" s="25" t="s">
        <v>2555</v>
      </c>
      <c r="F998" s="53" t="s">
        <v>3812</v>
      </c>
      <c r="G998" s="28">
        <v>8081.07</v>
      </c>
    </row>
    <row r="999" spans="1:7" x14ac:dyDescent="0.35">
      <c r="A999" s="22" t="s">
        <v>2549</v>
      </c>
      <c r="B999" s="22"/>
      <c r="C999" s="26">
        <v>45900</v>
      </c>
      <c r="D999" s="25">
        <v>39113</v>
      </c>
      <c r="E999" s="25" t="s">
        <v>2846</v>
      </c>
      <c r="F999" s="53" t="s">
        <v>3812</v>
      </c>
      <c r="G999" s="28">
        <v>4721.4400000000005</v>
      </c>
    </row>
    <row r="1000" spans="1:7" x14ac:dyDescent="0.35">
      <c r="A1000" s="22" t="s">
        <v>2549</v>
      </c>
      <c r="B1000" s="22"/>
      <c r="C1000" s="26">
        <v>45900</v>
      </c>
      <c r="D1000" s="25">
        <v>39114</v>
      </c>
      <c r="E1000" s="25" t="s">
        <v>2027</v>
      </c>
      <c r="F1000" s="53" t="s">
        <v>3812</v>
      </c>
      <c r="G1000" s="28">
        <v>22883.119999999999</v>
      </c>
    </row>
    <row r="1001" spans="1:7" x14ac:dyDescent="0.35">
      <c r="A1001" s="22" t="s">
        <v>2549</v>
      </c>
      <c r="B1001" s="22"/>
      <c r="C1001" s="26">
        <v>45900</v>
      </c>
      <c r="D1001" s="25">
        <v>39115</v>
      </c>
      <c r="E1001" s="25" t="s">
        <v>2067</v>
      </c>
      <c r="F1001" s="53" t="s">
        <v>3812</v>
      </c>
      <c r="G1001" s="28">
        <v>29074.390000000003</v>
      </c>
    </row>
    <row r="1002" spans="1:7" x14ac:dyDescent="0.35">
      <c r="A1002" s="22" t="s">
        <v>2549</v>
      </c>
      <c r="B1002" s="22"/>
      <c r="C1002" s="26">
        <v>45900</v>
      </c>
      <c r="D1002" s="25">
        <v>39116</v>
      </c>
      <c r="E1002" s="25" t="s">
        <v>2575</v>
      </c>
      <c r="F1002" s="53" t="s">
        <v>3812</v>
      </c>
      <c r="G1002" s="28">
        <v>235.88</v>
      </c>
    </row>
    <row r="1003" spans="1:7" x14ac:dyDescent="0.35">
      <c r="A1003" s="22" t="s">
        <v>2549</v>
      </c>
      <c r="B1003" s="22"/>
      <c r="C1003" s="26">
        <v>45900</v>
      </c>
      <c r="D1003" s="25">
        <v>39117</v>
      </c>
      <c r="E1003" s="25" t="s">
        <v>2144</v>
      </c>
      <c r="F1003" s="53" t="s">
        <v>3812</v>
      </c>
      <c r="G1003" s="28">
        <v>11048.619999999999</v>
      </c>
    </row>
    <row r="1004" spans="1:7" x14ac:dyDescent="0.35">
      <c r="A1004" s="22" t="s">
        <v>2549</v>
      </c>
      <c r="B1004" s="22"/>
      <c r="C1004" s="26">
        <v>45900</v>
      </c>
      <c r="D1004" s="25">
        <v>39118</v>
      </c>
      <c r="E1004" s="25" t="s">
        <v>2629</v>
      </c>
      <c r="F1004" s="53" t="s">
        <v>3812</v>
      </c>
      <c r="G1004" s="28">
        <v>8730.48</v>
      </c>
    </row>
    <row r="1005" spans="1:7" x14ac:dyDescent="0.35">
      <c r="A1005" s="22" t="s">
        <v>2549</v>
      </c>
      <c r="B1005" s="22"/>
      <c r="C1005" s="26">
        <v>45900</v>
      </c>
      <c r="D1005" s="25">
        <v>39119</v>
      </c>
      <c r="E1005" s="25" t="s">
        <v>3476</v>
      </c>
      <c r="F1005" s="53" t="s">
        <v>3812</v>
      </c>
      <c r="G1005" s="28">
        <v>768.7</v>
      </c>
    </row>
    <row r="1006" spans="1:7" x14ac:dyDescent="0.35">
      <c r="A1006" s="22" t="s">
        <v>2549</v>
      </c>
      <c r="B1006" s="22"/>
      <c r="C1006" s="26">
        <v>45900</v>
      </c>
      <c r="D1006" s="25">
        <v>39120</v>
      </c>
      <c r="E1006" s="25" t="s">
        <v>3572</v>
      </c>
      <c r="F1006" s="53" t="s">
        <v>3812</v>
      </c>
      <c r="G1006" s="28">
        <v>181.41</v>
      </c>
    </row>
    <row r="1007" spans="1:7" x14ac:dyDescent="0.35">
      <c r="A1007" s="22" t="s">
        <v>2549</v>
      </c>
      <c r="B1007" s="22"/>
      <c r="C1007" s="26">
        <v>45900</v>
      </c>
      <c r="D1007" s="25">
        <v>39121</v>
      </c>
      <c r="E1007" s="25" t="s">
        <v>3144</v>
      </c>
      <c r="F1007" s="53" t="s">
        <v>3812</v>
      </c>
      <c r="G1007" s="28">
        <v>330.77</v>
      </c>
    </row>
    <row r="1008" spans="1:7" x14ac:dyDescent="0.35">
      <c r="A1008" s="22" t="s">
        <v>2549</v>
      </c>
      <c r="B1008" s="22"/>
      <c r="C1008" s="26">
        <v>45900</v>
      </c>
      <c r="D1008" s="25">
        <v>39122</v>
      </c>
      <c r="E1008" s="25" t="s">
        <v>2459</v>
      </c>
      <c r="F1008" s="53" t="s">
        <v>3812</v>
      </c>
      <c r="G1008" s="28">
        <v>4462.1899999999996</v>
      </c>
    </row>
    <row r="1009" spans="1:7" x14ac:dyDescent="0.35">
      <c r="A1009" s="22" t="s">
        <v>2549</v>
      </c>
      <c r="B1009" s="22"/>
      <c r="C1009" s="26">
        <v>45900</v>
      </c>
      <c r="D1009" s="25">
        <v>39124</v>
      </c>
      <c r="E1009" s="25" t="s">
        <v>2392</v>
      </c>
      <c r="F1009" s="53" t="s">
        <v>3812</v>
      </c>
      <c r="G1009" s="28">
        <v>10792.45</v>
      </c>
    </row>
    <row r="1010" spans="1:7" x14ac:dyDescent="0.35">
      <c r="A1010" s="22" t="s">
        <v>2549</v>
      </c>
      <c r="B1010" s="18"/>
      <c r="C1010" s="26">
        <v>45877</v>
      </c>
      <c r="D1010" s="35" t="s">
        <v>2646</v>
      </c>
      <c r="E1010" s="25" t="s">
        <v>2662</v>
      </c>
      <c r="F1010" s="53" t="s">
        <v>3813</v>
      </c>
      <c r="G1010" s="28">
        <v>120</v>
      </c>
    </row>
    <row r="1011" spans="1:7" x14ac:dyDescent="0.35">
      <c r="A1011" s="22" t="s">
        <v>2549</v>
      </c>
      <c r="B1011" s="18"/>
      <c r="C1011" s="26">
        <v>45881</v>
      </c>
      <c r="D1011" s="25" t="s">
        <v>2658</v>
      </c>
      <c r="E1011" s="25" t="s">
        <v>1263</v>
      </c>
      <c r="F1011" s="53" t="s">
        <v>3813</v>
      </c>
      <c r="G1011" s="28">
        <v>1955</v>
      </c>
    </row>
    <row r="1012" spans="1:7" x14ac:dyDescent="0.35">
      <c r="A1012" s="22" t="s">
        <v>2549</v>
      </c>
      <c r="B1012" s="18"/>
      <c r="C1012" s="26">
        <v>45895</v>
      </c>
      <c r="D1012" s="25" t="s">
        <v>3573</v>
      </c>
      <c r="E1012" s="25" t="s">
        <v>2020</v>
      </c>
      <c r="F1012" s="53" t="s">
        <v>3813</v>
      </c>
      <c r="G1012" s="28">
        <v>-18900</v>
      </c>
    </row>
    <row r="1013" spans="1:7" x14ac:dyDescent="0.35">
      <c r="A1013" s="22" t="s">
        <v>2549</v>
      </c>
      <c r="B1013" s="18"/>
      <c r="C1013" s="26">
        <v>45898</v>
      </c>
      <c r="D1013" s="25">
        <v>38881</v>
      </c>
      <c r="E1013" s="25" t="s">
        <v>2894</v>
      </c>
      <c r="F1013" s="53" t="s">
        <v>3813</v>
      </c>
      <c r="G1013" s="28">
        <v>16.97</v>
      </c>
    </row>
    <row r="1014" spans="1:7" x14ac:dyDescent="0.35">
      <c r="A1014" s="22" t="s">
        <v>2549</v>
      </c>
      <c r="B1014" s="18"/>
      <c r="C1014" s="26">
        <v>45899</v>
      </c>
      <c r="D1014" s="25">
        <v>32888</v>
      </c>
      <c r="E1014" s="25" t="s">
        <v>2931</v>
      </c>
      <c r="F1014" s="53" t="s">
        <v>3813</v>
      </c>
      <c r="G1014" s="28">
        <v>0</v>
      </c>
    </row>
    <row r="1015" spans="1:7" x14ac:dyDescent="0.35">
      <c r="A1015" s="22" t="s">
        <v>2549</v>
      </c>
      <c r="B1015" s="18"/>
      <c r="C1015" s="26">
        <v>45899</v>
      </c>
      <c r="D1015" s="25" t="s">
        <v>2740</v>
      </c>
      <c r="E1015" s="25" t="s">
        <v>2197</v>
      </c>
      <c r="F1015" s="53" t="s">
        <v>3813</v>
      </c>
      <c r="G1015" s="28">
        <v>0</v>
      </c>
    </row>
    <row r="1016" spans="1:7" x14ac:dyDescent="0.35">
      <c r="A1016" s="22" t="s">
        <v>2549</v>
      </c>
      <c r="B1016" s="18"/>
      <c r="C1016" s="26">
        <v>45899</v>
      </c>
      <c r="D1016" s="25" t="s">
        <v>2850</v>
      </c>
      <c r="E1016" s="25" t="s">
        <v>1782</v>
      </c>
      <c r="F1016" s="53" t="s">
        <v>3813</v>
      </c>
      <c r="G1016" s="28">
        <v>484.5</v>
      </c>
    </row>
    <row r="1017" spans="1:7" x14ac:dyDescent="0.35">
      <c r="A1017" s="22" t="s">
        <v>2549</v>
      </c>
      <c r="B1017" s="18"/>
      <c r="C1017" s="26">
        <v>45899</v>
      </c>
      <c r="D1017" s="25" t="s">
        <v>2900</v>
      </c>
      <c r="E1017" s="25" t="s">
        <v>2396</v>
      </c>
      <c r="F1017" s="53" t="s">
        <v>3813</v>
      </c>
      <c r="G1017" s="28">
        <v>22888.74</v>
      </c>
    </row>
    <row r="1018" spans="1:7" x14ac:dyDescent="0.35">
      <c r="A1018" s="22" t="s">
        <v>2549</v>
      </c>
      <c r="B1018" s="18"/>
      <c r="C1018" s="26">
        <v>45899</v>
      </c>
      <c r="D1018" s="25" t="s">
        <v>2908</v>
      </c>
      <c r="E1018" s="25" t="s">
        <v>1475</v>
      </c>
      <c r="F1018" s="53" t="s">
        <v>3813</v>
      </c>
      <c r="G1018" s="28">
        <v>9987.5</v>
      </c>
    </row>
    <row r="1019" spans="1:7" x14ac:dyDescent="0.35">
      <c r="A1019" s="22" t="s">
        <v>2549</v>
      </c>
      <c r="B1019" s="18"/>
      <c r="C1019" s="26">
        <v>45899</v>
      </c>
      <c r="D1019" s="25" t="s">
        <v>2918</v>
      </c>
      <c r="E1019" s="25" t="s">
        <v>1475</v>
      </c>
      <c r="F1019" s="53" t="s">
        <v>3813</v>
      </c>
      <c r="G1019" s="28">
        <v>56736.619999999995</v>
      </c>
    </row>
    <row r="1020" spans="1:7" x14ac:dyDescent="0.35">
      <c r="A1020" s="22" t="s">
        <v>2549</v>
      </c>
      <c r="B1020" s="18"/>
      <c r="C1020" s="26">
        <v>45899</v>
      </c>
      <c r="D1020" s="25">
        <v>36512</v>
      </c>
      <c r="E1020" s="25" t="s">
        <v>2231</v>
      </c>
      <c r="F1020" s="53" t="s">
        <v>3813</v>
      </c>
      <c r="G1020" s="28">
        <v>355</v>
      </c>
    </row>
    <row r="1021" spans="1:7" x14ac:dyDescent="0.35">
      <c r="A1021" s="22" t="s">
        <v>2549</v>
      </c>
      <c r="B1021" s="18"/>
      <c r="C1021" s="26">
        <v>45899</v>
      </c>
      <c r="D1021" s="25" t="s">
        <v>3178</v>
      </c>
      <c r="E1021" s="25" t="s">
        <v>3480</v>
      </c>
      <c r="F1021" s="53" t="s">
        <v>3813</v>
      </c>
      <c r="G1021" s="28">
        <v>0</v>
      </c>
    </row>
    <row r="1022" spans="1:7" x14ac:dyDescent="0.35">
      <c r="A1022" s="22" t="s">
        <v>2549</v>
      </c>
      <c r="B1022" s="18"/>
      <c r="C1022" s="26">
        <v>45899</v>
      </c>
      <c r="D1022" s="25">
        <v>38051</v>
      </c>
      <c r="E1022" s="25" t="s">
        <v>3470</v>
      </c>
      <c r="F1022" s="53" t="s">
        <v>3813</v>
      </c>
      <c r="G1022" s="28">
        <v>680</v>
      </c>
    </row>
    <row r="1023" spans="1:7" x14ac:dyDescent="0.35">
      <c r="A1023" s="22" t="s">
        <v>2549</v>
      </c>
      <c r="B1023" s="18"/>
      <c r="C1023" s="26">
        <v>45899</v>
      </c>
      <c r="D1023" s="25">
        <v>38230</v>
      </c>
      <c r="E1023" s="25" t="s">
        <v>3487</v>
      </c>
      <c r="F1023" s="53" t="s">
        <v>3813</v>
      </c>
      <c r="G1023" s="28">
        <v>85</v>
      </c>
    </row>
    <row r="1024" spans="1:7" x14ac:dyDescent="0.35">
      <c r="A1024" s="22" t="s">
        <v>2549</v>
      </c>
      <c r="B1024" s="18"/>
      <c r="C1024" s="26">
        <v>45899</v>
      </c>
      <c r="D1024" s="25">
        <v>38254</v>
      </c>
      <c r="E1024" s="25" t="s">
        <v>2677</v>
      </c>
      <c r="F1024" s="53" t="s">
        <v>3813</v>
      </c>
      <c r="G1024" s="28">
        <v>9650</v>
      </c>
    </row>
    <row r="1025" spans="1:7" x14ac:dyDescent="0.35">
      <c r="A1025" s="22" t="s">
        <v>2549</v>
      </c>
      <c r="B1025" s="18"/>
      <c r="C1025" s="26">
        <v>45899</v>
      </c>
      <c r="D1025" s="25" t="s">
        <v>3232</v>
      </c>
      <c r="E1025" s="25" t="s">
        <v>2677</v>
      </c>
      <c r="F1025" s="53" t="s">
        <v>3813</v>
      </c>
      <c r="G1025" s="28">
        <v>7155.75</v>
      </c>
    </row>
    <row r="1026" spans="1:7" x14ac:dyDescent="0.35">
      <c r="A1026" s="22" t="s">
        <v>2549</v>
      </c>
      <c r="B1026" s="18"/>
      <c r="C1026" s="26">
        <v>45899</v>
      </c>
      <c r="D1026" s="25" t="s">
        <v>3233</v>
      </c>
      <c r="E1026" s="25" t="s">
        <v>2677</v>
      </c>
      <c r="F1026" s="53" t="s">
        <v>3813</v>
      </c>
      <c r="G1026" s="28">
        <v>9270.7800000000007</v>
      </c>
    </row>
    <row r="1027" spans="1:7" x14ac:dyDescent="0.35">
      <c r="A1027" s="22" t="s">
        <v>2549</v>
      </c>
      <c r="B1027" s="18"/>
      <c r="C1027" s="26">
        <v>45899</v>
      </c>
      <c r="D1027" s="25">
        <v>38546</v>
      </c>
      <c r="E1027" s="25" t="s">
        <v>2266</v>
      </c>
      <c r="F1027" s="53" t="s">
        <v>3813</v>
      </c>
      <c r="G1027" s="28">
        <v>0</v>
      </c>
    </row>
    <row r="1028" spans="1:7" x14ac:dyDescent="0.35">
      <c r="A1028" s="22" t="s">
        <v>2549</v>
      </c>
      <c r="B1028" s="18"/>
      <c r="C1028" s="26">
        <v>45899</v>
      </c>
      <c r="D1028" s="25">
        <v>38651</v>
      </c>
      <c r="E1028" s="25" t="s">
        <v>2231</v>
      </c>
      <c r="F1028" s="53" t="s">
        <v>3813</v>
      </c>
      <c r="G1028" s="28">
        <v>450</v>
      </c>
    </row>
    <row r="1029" spans="1:7" x14ac:dyDescent="0.35">
      <c r="A1029" s="22" t="s">
        <v>2549</v>
      </c>
      <c r="B1029" s="18"/>
      <c r="C1029" s="26">
        <v>45899</v>
      </c>
      <c r="D1029" s="25" t="s">
        <v>3290</v>
      </c>
      <c r="E1029" s="25" t="s">
        <v>2220</v>
      </c>
      <c r="F1029" s="53" t="s">
        <v>3813</v>
      </c>
      <c r="G1029" s="28">
        <v>983.73</v>
      </c>
    </row>
    <row r="1030" spans="1:7" x14ac:dyDescent="0.35">
      <c r="A1030" s="22" t="s">
        <v>2549</v>
      </c>
      <c r="B1030" s="18"/>
      <c r="C1030" s="26">
        <v>45899</v>
      </c>
      <c r="D1030" s="25">
        <v>38806</v>
      </c>
      <c r="E1030" s="25" t="s">
        <v>3497</v>
      </c>
      <c r="F1030" s="53" t="s">
        <v>3813</v>
      </c>
      <c r="G1030" s="28">
        <v>750</v>
      </c>
    </row>
    <row r="1031" spans="1:7" x14ac:dyDescent="0.35">
      <c r="A1031" s="22" t="s">
        <v>2549</v>
      </c>
      <c r="B1031" s="18"/>
      <c r="C1031" s="26">
        <v>45899</v>
      </c>
      <c r="D1031" s="25">
        <v>38817</v>
      </c>
      <c r="E1031" s="25" t="s">
        <v>3498</v>
      </c>
      <c r="F1031" s="53" t="s">
        <v>3813</v>
      </c>
      <c r="G1031" s="28">
        <v>110.1</v>
      </c>
    </row>
    <row r="1032" spans="1:7" x14ac:dyDescent="0.35">
      <c r="A1032" s="22" t="s">
        <v>2549</v>
      </c>
      <c r="B1032" s="18"/>
      <c r="C1032" s="26">
        <v>45899</v>
      </c>
      <c r="D1032" s="25">
        <v>38846</v>
      </c>
      <c r="E1032" s="25" t="s">
        <v>3501</v>
      </c>
      <c r="F1032" s="53" t="s">
        <v>3813</v>
      </c>
      <c r="G1032" s="28">
        <v>209.05</v>
      </c>
    </row>
    <row r="1033" spans="1:7" x14ac:dyDescent="0.35">
      <c r="A1033" s="22" t="s">
        <v>2549</v>
      </c>
      <c r="B1033" s="18"/>
      <c r="C1033" s="26">
        <v>45899</v>
      </c>
      <c r="D1033" s="25">
        <v>38889</v>
      </c>
      <c r="E1033" s="25" t="s">
        <v>2629</v>
      </c>
      <c r="F1033" s="53" t="s">
        <v>3813</v>
      </c>
      <c r="G1033" s="28">
        <v>118.52</v>
      </c>
    </row>
    <row r="1034" spans="1:7" x14ac:dyDescent="0.35">
      <c r="A1034" s="22" t="s">
        <v>2549</v>
      </c>
      <c r="B1034" s="18"/>
      <c r="C1034" s="26">
        <v>45899</v>
      </c>
      <c r="D1034" s="25">
        <v>38954</v>
      </c>
      <c r="E1034" s="25" t="s">
        <v>3503</v>
      </c>
      <c r="F1034" s="53" t="s">
        <v>3813</v>
      </c>
      <c r="G1034" s="28">
        <v>455</v>
      </c>
    </row>
    <row r="1035" spans="1:7" x14ac:dyDescent="0.35">
      <c r="A1035" s="22" t="s">
        <v>2549</v>
      </c>
      <c r="B1035" s="18"/>
      <c r="C1035" s="26">
        <v>45900</v>
      </c>
      <c r="D1035" s="25" t="s">
        <v>3311</v>
      </c>
      <c r="E1035" s="25" t="s">
        <v>301</v>
      </c>
      <c r="F1035" s="53" t="s">
        <v>3813</v>
      </c>
      <c r="G1035" s="28">
        <v>0</v>
      </c>
    </row>
    <row r="1036" spans="1:7" x14ac:dyDescent="0.35">
      <c r="A1036" s="22" t="s">
        <v>2549</v>
      </c>
      <c r="B1036" s="18"/>
      <c r="C1036" s="26">
        <v>45900</v>
      </c>
      <c r="D1036" s="25" t="s">
        <v>3574</v>
      </c>
      <c r="E1036" s="25" t="s">
        <v>3508</v>
      </c>
      <c r="F1036" s="53" t="s">
        <v>3813</v>
      </c>
      <c r="G1036" s="28">
        <v>2907.31</v>
      </c>
    </row>
    <row r="1037" spans="1:7" x14ac:dyDescent="0.35">
      <c r="A1037" s="22" t="s">
        <v>2549</v>
      </c>
      <c r="B1037" s="18"/>
      <c r="C1037" s="26">
        <v>45900</v>
      </c>
      <c r="D1037" s="25" t="s">
        <v>3324</v>
      </c>
      <c r="E1037" s="25" t="s">
        <v>301</v>
      </c>
      <c r="F1037" s="53" t="s">
        <v>3813</v>
      </c>
      <c r="G1037" s="28">
        <v>0</v>
      </c>
    </row>
    <row r="1038" spans="1:7" x14ac:dyDescent="0.35">
      <c r="A1038" s="22" t="s">
        <v>2549</v>
      </c>
      <c r="B1038" s="18"/>
      <c r="C1038" s="26">
        <v>45900</v>
      </c>
      <c r="D1038" s="25" t="s">
        <v>3326</v>
      </c>
      <c r="E1038" s="25" t="s">
        <v>301</v>
      </c>
      <c r="F1038" s="53" t="s">
        <v>3813</v>
      </c>
      <c r="G1038" s="28">
        <v>0</v>
      </c>
    </row>
    <row r="1039" spans="1:7" x14ac:dyDescent="0.35">
      <c r="A1039" s="22" t="s">
        <v>2549</v>
      </c>
      <c r="B1039" s="18"/>
      <c r="C1039" s="26">
        <v>45900</v>
      </c>
      <c r="D1039" s="25" t="s">
        <v>3327</v>
      </c>
      <c r="E1039" s="25" t="s">
        <v>301</v>
      </c>
      <c r="F1039" s="53" t="s">
        <v>3813</v>
      </c>
      <c r="G1039" s="28">
        <v>0</v>
      </c>
    </row>
    <row r="1040" spans="1:7" x14ac:dyDescent="0.35">
      <c r="A1040" s="22" t="s">
        <v>2549</v>
      </c>
      <c r="B1040" s="18"/>
      <c r="C1040" s="26">
        <v>45900</v>
      </c>
      <c r="D1040" s="25" t="s">
        <v>3328</v>
      </c>
      <c r="E1040" s="25" t="s">
        <v>301</v>
      </c>
      <c r="F1040" s="53" t="s">
        <v>3813</v>
      </c>
      <c r="G1040" s="28">
        <v>0</v>
      </c>
    </row>
    <row r="1041" spans="1:7" x14ac:dyDescent="0.35">
      <c r="A1041" s="22" t="s">
        <v>2549</v>
      </c>
      <c r="B1041" s="18"/>
      <c r="C1041" s="26">
        <v>45900</v>
      </c>
      <c r="D1041" s="25" t="s">
        <v>3329</v>
      </c>
      <c r="E1041" s="25" t="s">
        <v>301</v>
      </c>
      <c r="F1041" s="53" t="s">
        <v>3813</v>
      </c>
      <c r="G1041" s="28">
        <v>0</v>
      </c>
    </row>
    <row r="1042" spans="1:7" x14ac:dyDescent="0.35">
      <c r="A1042" s="22" t="s">
        <v>2549</v>
      </c>
      <c r="B1042" s="18"/>
      <c r="C1042" s="26">
        <v>45900</v>
      </c>
      <c r="D1042" s="25" t="s">
        <v>3350</v>
      </c>
      <c r="E1042" s="25" t="s">
        <v>301</v>
      </c>
      <c r="F1042" s="53" t="s">
        <v>3813</v>
      </c>
      <c r="G1042" s="28">
        <v>0</v>
      </c>
    </row>
    <row r="1043" spans="1:7" x14ac:dyDescent="0.35">
      <c r="A1043" s="22" t="s">
        <v>2549</v>
      </c>
      <c r="B1043" s="18"/>
      <c r="C1043" s="26">
        <v>45900</v>
      </c>
      <c r="D1043" s="25" t="s">
        <v>3357</v>
      </c>
      <c r="E1043" s="25" t="s">
        <v>3509</v>
      </c>
      <c r="F1043" s="53" t="s">
        <v>3813</v>
      </c>
      <c r="G1043" s="28">
        <v>0</v>
      </c>
    </row>
    <row r="1044" spans="1:7" x14ac:dyDescent="0.35">
      <c r="A1044" s="22" t="s">
        <v>2549</v>
      </c>
      <c r="B1044" s="18"/>
      <c r="C1044" s="26">
        <v>45900</v>
      </c>
      <c r="D1044" s="25" t="s">
        <v>3358</v>
      </c>
      <c r="E1044" s="25" t="s">
        <v>1757</v>
      </c>
      <c r="F1044" s="53" t="s">
        <v>3813</v>
      </c>
      <c r="G1044" s="28">
        <v>8003.78</v>
      </c>
    </row>
    <row r="1045" spans="1:7" x14ac:dyDescent="0.35">
      <c r="A1045" s="22" t="s">
        <v>2549</v>
      </c>
      <c r="B1045" s="18"/>
      <c r="C1045" s="26">
        <v>45900</v>
      </c>
      <c r="D1045" s="25" t="s">
        <v>3365</v>
      </c>
      <c r="E1045" s="25" t="s">
        <v>1757</v>
      </c>
      <c r="F1045" s="53" t="s">
        <v>3813</v>
      </c>
      <c r="G1045" s="28">
        <v>3603.25</v>
      </c>
    </row>
    <row r="1046" spans="1:7" x14ac:dyDescent="0.35">
      <c r="A1046" s="22" t="s">
        <v>2549</v>
      </c>
      <c r="B1046" s="18"/>
      <c r="C1046" s="26">
        <v>45900</v>
      </c>
      <c r="D1046" s="25" t="s">
        <v>3377</v>
      </c>
      <c r="E1046" s="25" t="s">
        <v>2514</v>
      </c>
      <c r="F1046" s="53" t="s">
        <v>3813</v>
      </c>
      <c r="G1046" s="28">
        <v>121.39</v>
      </c>
    </row>
    <row r="1047" spans="1:7" x14ac:dyDescent="0.35">
      <c r="A1047" s="22" t="s">
        <v>2549</v>
      </c>
      <c r="B1047" s="18"/>
      <c r="C1047" s="26">
        <v>45900</v>
      </c>
      <c r="D1047" s="25" t="s">
        <v>3395</v>
      </c>
      <c r="E1047" s="25" t="s">
        <v>2459</v>
      </c>
      <c r="F1047" s="53" t="s">
        <v>3813</v>
      </c>
      <c r="G1047" s="28">
        <v>300</v>
      </c>
    </row>
    <row r="1048" spans="1:7" x14ac:dyDescent="0.35">
      <c r="A1048" s="22" t="s">
        <v>2549</v>
      </c>
      <c r="B1048" s="18"/>
      <c r="C1048" s="26">
        <v>45900</v>
      </c>
      <c r="D1048" s="25" t="s">
        <v>3575</v>
      </c>
      <c r="E1048" s="25" t="s">
        <v>3576</v>
      </c>
      <c r="F1048" s="53" t="s">
        <v>3813</v>
      </c>
      <c r="G1048" s="28">
        <v>7000</v>
      </c>
    </row>
    <row r="1049" spans="1:7" x14ac:dyDescent="0.35">
      <c r="A1049" s="22" t="s">
        <v>2549</v>
      </c>
      <c r="B1049" s="18"/>
      <c r="C1049" s="26">
        <v>45900</v>
      </c>
      <c r="D1049" s="25" t="s">
        <v>3398</v>
      </c>
      <c r="E1049" s="25" t="s">
        <v>301</v>
      </c>
      <c r="F1049" s="53" t="s">
        <v>3813</v>
      </c>
      <c r="G1049" s="28">
        <v>0</v>
      </c>
    </row>
    <row r="1050" spans="1:7" x14ac:dyDescent="0.35">
      <c r="A1050" s="22" t="s">
        <v>2549</v>
      </c>
      <c r="B1050" s="18"/>
      <c r="C1050" s="26">
        <v>45900</v>
      </c>
      <c r="D1050" s="25" t="s">
        <v>3399</v>
      </c>
      <c r="E1050" s="25" t="s">
        <v>301</v>
      </c>
      <c r="F1050" s="53" t="s">
        <v>3813</v>
      </c>
      <c r="G1050" s="28">
        <v>0</v>
      </c>
    </row>
    <row r="1051" spans="1:7" x14ac:dyDescent="0.35">
      <c r="A1051" s="22" t="s">
        <v>2549</v>
      </c>
      <c r="B1051" s="18"/>
      <c r="C1051" s="26">
        <v>45900</v>
      </c>
      <c r="D1051" s="25" t="s">
        <v>3400</v>
      </c>
      <c r="E1051" s="25" t="s">
        <v>301</v>
      </c>
      <c r="F1051" s="53" t="s">
        <v>3813</v>
      </c>
      <c r="G1051" s="28">
        <v>0</v>
      </c>
    </row>
    <row r="1052" spans="1:7" x14ac:dyDescent="0.35">
      <c r="A1052" s="22" t="s">
        <v>2549</v>
      </c>
      <c r="B1052" s="18"/>
      <c r="C1052" s="26">
        <v>45900</v>
      </c>
      <c r="D1052" s="25" t="s">
        <v>3401</v>
      </c>
      <c r="E1052" s="25" t="s">
        <v>301</v>
      </c>
      <c r="F1052" s="53" t="s">
        <v>3813</v>
      </c>
      <c r="G1052" s="28">
        <v>0</v>
      </c>
    </row>
    <row r="1053" spans="1:7" x14ac:dyDescent="0.35">
      <c r="A1053" s="22" t="s">
        <v>2549</v>
      </c>
      <c r="B1053" s="18"/>
      <c r="C1053" s="26">
        <v>45900</v>
      </c>
      <c r="D1053" s="25" t="s">
        <v>3412</v>
      </c>
      <c r="E1053" s="25" t="s">
        <v>1999</v>
      </c>
      <c r="F1053" s="53" t="s">
        <v>3813</v>
      </c>
      <c r="G1053" s="28">
        <v>3099.25</v>
      </c>
    </row>
    <row r="1054" spans="1:7" x14ac:dyDescent="0.35">
      <c r="A1054" s="22" t="s">
        <v>2549</v>
      </c>
      <c r="B1054" s="18"/>
      <c r="C1054" s="26">
        <v>45900</v>
      </c>
      <c r="D1054" s="25" t="s">
        <v>3416</v>
      </c>
      <c r="E1054" s="25" t="s">
        <v>301</v>
      </c>
      <c r="F1054" s="53" t="s">
        <v>3813</v>
      </c>
      <c r="G1054" s="28">
        <v>0</v>
      </c>
    </row>
    <row r="1055" spans="1:7" x14ac:dyDescent="0.35">
      <c r="A1055" s="22" t="s">
        <v>2549</v>
      </c>
      <c r="B1055" s="18"/>
      <c r="C1055" s="26">
        <v>45900</v>
      </c>
      <c r="D1055" s="25">
        <v>37354</v>
      </c>
      <c r="E1055" s="25" t="s">
        <v>3511</v>
      </c>
      <c r="F1055" s="53" t="s">
        <v>3813</v>
      </c>
      <c r="G1055" s="28">
        <v>400</v>
      </c>
    </row>
    <row r="1056" spans="1:7" x14ac:dyDescent="0.35">
      <c r="A1056" s="22" t="s">
        <v>2549</v>
      </c>
      <c r="B1056" s="18"/>
      <c r="C1056" s="26">
        <v>45900</v>
      </c>
      <c r="D1056" s="25" t="s">
        <v>3429</v>
      </c>
      <c r="E1056" s="25" t="s">
        <v>2144</v>
      </c>
      <c r="F1056" s="53" t="s">
        <v>3813</v>
      </c>
      <c r="G1056" s="28">
        <v>15488.2</v>
      </c>
    </row>
    <row r="1057" spans="1:7" x14ac:dyDescent="0.35">
      <c r="A1057" s="22" t="s">
        <v>2549</v>
      </c>
      <c r="B1057" s="18"/>
      <c r="C1057" s="26">
        <v>45900</v>
      </c>
      <c r="D1057" s="25" t="s">
        <v>3435</v>
      </c>
      <c r="E1057" s="25" t="s">
        <v>2220</v>
      </c>
      <c r="F1057" s="53" t="s">
        <v>3813</v>
      </c>
      <c r="G1057" s="28">
        <v>78228.36</v>
      </c>
    </row>
    <row r="1058" spans="1:7" x14ac:dyDescent="0.35">
      <c r="A1058" s="22" t="s">
        <v>2549</v>
      </c>
      <c r="B1058" s="18"/>
      <c r="C1058" s="26">
        <v>45900</v>
      </c>
      <c r="D1058" s="25" t="s">
        <v>3445</v>
      </c>
      <c r="E1058" s="25" t="s">
        <v>301</v>
      </c>
      <c r="F1058" s="53" t="s">
        <v>3813</v>
      </c>
      <c r="G1058" s="28">
        <v>0</v>
      </c>
    </row>
    <row r="1059" spans="1:7" x14ac:dyDescent="0.35">
      <c r="A1059" s="22" t="s">
        <v>2549</v>
      </c>
      <c r="B1059" s="18"/>
      <c r="C1059" s="26">
        <v>45900</v>
      </c>
      <c r="D1059" s="25">
        <v>38262</v>
      </c>
      <c r="E1059" s="25" t="s">
        <v>2677</v>
      </c>
      <c r="F1059" s="53" t="s">
        <v>3813</v>
      </c>
      <c r="G1059" s="28">
        <v>9650</v>
      </c>
    </row>
    <row r="1060" spans="1:7" x14ac:dyDescent="0.35">
      <c r="A1060" s="22" t="s">
        <v>2549</v>
      </c>
      <c r="B1060" s="18"/>
      <c r="C1060" s="26">
        <v>45900</v>
      </c>
      <c r="D1060" s="25" t="s">
        <v>3450</v>
      </c>
      <c r="E1060" s="25" t="s">
        <v>2677</v>
      </c>
      <c r="F1060" s="53" t="s">
        <v>3813</v>
      </c>
      <c r="G1060" s="28">
        <v>3395.46</v>
      </c>
    </row>
    <row r="1061" spans="1:7" x14ac:dyDescent="0.35">
      <c r="A1061" s="22" t="s">
        <v>2549</v>
      </c>
      <c r="B1061" s="18"/>
      <c r="C1061" s="26">
        <v>45900</v>
      </c>
      <c r="D1061" s="25">
        <v>38527</v>
      </c>
      <c r="E1061" s="25" t="s">
        <v>3518</v>
      </c>
      <c r="F1061" s="53" t="s">
        <v>3813</v>
      </c>
      <c r="G1061" s="28">
        <v>500</v>
      </c>
    </row>
    <row r="1062" spans="1:7" x14ac:dyDescent="0.35">
      <c r="A1062" s="22" t="s">
        <v>2549</v>
      </c>
      <c r="B1062" s="18"/>
      <c r="C1062" s="26">
        <v>45900</v>
      </c>
      <c r="D1062" s="25">
        <v>38557</v>
      </c>
      <c r="E1062" s="25" t="s">
        <v>301</v>
      </c>
      <c r="F1062" s="53" t="s">
        <v>3813</v>
      </c>
      <c r="G1062" s="28">
        <v>4381.5</v>
      </c>
    </row>
    <row r="1063" spans="1:7" x14ac:dyDescent="0.35">
      <c r="A1063" s="22" t="s">
        <v>2549</v>
      </c>
      <c r="B1063" s="18"/>
      <c r="C1063" s="26">
        <v>45900</v>
      </c>
      <c r="D1063" s="25">
        <v>38621</v>
      </c>
      <c r="E1063" s="25" t="s">
        <v>2459</v>
      </c>
      <c r="F1063" s="53" t="s">
        <v>3813</v>
      </c>
      <c r="G1063" s="28">
        <v>600</v>
      </c>
    </row>
    <row r="1064" spans="1:7" x14ac:dyDescent="0.35">
      <c r="A1064" s="22" t="s">
        <v>2549</v>
      </c>
      <c r="B1064" s="18"/>
      <c r="C1064" s="26">
        <v>45900</v>
      </c>
      <c r="D1064" s="25">
        <v>38726</v>
      </c>
      <c r="E1064" s="25" t="s">
        <v>3523</v>
      </c>
      <c r="F1064" s="53" t="s">
        <v>3813</v>
      </c>
      <c r="G1064" s="28">
        <v>170</v>
      </c>
    </row>
    <row r="1065" spans="1:7" x14ac:dyDescent="0.35">
      <c r="A1065" s="22" t="s">
        <v>2549</v>
      </c>
      <c r="B1065" s="18"/>
      <c r="C1065" s="26">
        <v>45900</v>
      </c>
      <c r="D1065" s="25">
        <v>38744</v>
      </c>
      <c r="E1065" s="25" t="s">
        <v>3525</v>
      </c>
      <c r="F1065" s="53" t="s">
        <v>3813</v>
      </c>
      <c r="G1065" s="28">
        <v>650</v>
      </c>
    </row>
    <row r="1066" spans="1:7" x14ac:dyDescent="0.35">
      <c r="A1066" s="22" t="s">
        <v>2549</v>
      </c>
      <c r="B1066" s="18"/>
      <c r="C1066" s="26">
        <v>45900</v>
      </c>
      <c r="D1066" s="25">
        <v>38758</v>
      </c>
      <c r="E1066" s="25" t="s">
        <v>3475</v>
      </c>
      <c r="F1066" s="53" t="s">
        <v>3813</v>
      </c>
      <c r="G1066" s="28">
        <v>16.260000000000002</v>
      </c>
    </row>
    <row r="1067" spans="1:7" x14ac:dyDescent="0.35">
      <c r="A1067" s="22" t="s">
        <v>2549</v>
      </c>
      <c r="B1067" s="18"/>
      <c r="C1067" s="26">
        <v>45900</v>
      </c>
      <c r="D1067" s="25">
        <v>38800</v>
      </c>
      <c r="E1067" s="25" t="s">
        <v>3530</v>
      </c>
      <c r="F1067" s="53" t="s">
        <v>3813</v>
      </c>
      <c r="G1067" s="28">
        <v>534.33000000000004</v>
      </c>
    </row>
    <row r="1068" spans="1:7" x14ac:dyDescent="0.35">
      <c r="A1068" s="22" t="s">
        <v>2549</v>
      </c>
      <c r="B1068" s="18"/>
      <c r="C1068" s="26">
        <v>45900</v>
      </c>
      <c r="D1068" s="25">
        <v>38801</v>
      </c>
      <c r="E1068" s="25" t="s">
        <v>3531</v>
      </c>
      <c r="F1068" s="53" t="s">
        <v>3813</v>
      </c>
      <c r="G1068" s="28">
        <v>44.73</v>
      </c>
    </row>
    <row r="1069" spans="1:7" x14ac:dyDescent="0.35">
      <c r="A1069" s="22" t="s">
        <v>2549</v>
      </c>
      <c r="B1069" s="18"/>
      <c r="C1069" s="26">
        <v>45900</v>
      </c>
      <c r="D1069" s="25">
        <v>38803</v>
      </c>
      <c r="E1069" s="25" t="s">
        <v>3532</v>
      </c>
      <c r="F1069" s="53" t="s">
        <v>3813</v>
      </c>
      <c r="G1069" s="28">
        <v>250</v>
      </c>
    </row>
    <row r="1070" spans="1:7" x14ac:dyDescent="0.35">
      <c r="A1070" s="22" t="s">
        <v>2549</v>
      </c>
      <c r="B1070" s="18"/>
      <c r="C1070" s="26">
        <v>45900</v>
      </c>
      <c r="D1070" s="25">
        <v>38807</v>
      </c>
      <c r="E1070" s="25" t="s">
        <v>3577</v>
      </c>
      <c r="F1070" s="53" t="s">
        <v>3813</v>
      </c>
      <c r="G1070" s="28">
        <v>9967.1999999999989</v>
      </c>
    </row>
    <row r="1071" spans="1:7" x14ac:dyDescent="0.35">
      <c r="A1071" s="22" t="s">
        <v>2549</v>
      </c>
      <c r="B1071" s="18"/>
      <c r="C1071" s="26">
        <v>45900</v>
      </c>
      <c r="D1071" s="25">
        <v>38820</v>
      </c>
      <c r="E1071" s="25" t="s">
        <v>3537</v>
      </c>
      <c r="F1071" s="53" t="s">
        <v>3813</v>
      </c>
      <c r="G1071" s="28">
        <v>-50000</v>
      </c>
    </row>
    <row r="1072" spans="1:7" x14ac:dyDescent="0.35">
      <c r="A1072" s="22" t="s">
        <v>2549</v>
      </c>
      <c r="B1072" s="18"/>
      <c r="C1072" s="26">
        <v>45900</v>
      </c>
      <c r="D1072" s="25">
        <v>38822</v>
      </c>
      <c r="E1072" s="25" t="s">
        <v>3578</v>
      </c>
      <c r="F1072" s="53" t="s">
        <v>3813</v>
      </c>
      <c r="G1072" s="28">
        <v>4332.9799999999996</v>
      </c>
    </row>
    <row r="1073" spans="1:7" x14ac:dyDescent="0.35">
      <c r="A1073" s="22" t="s">
        <v>2549</v>
      </c>
      <c r="B1073" s="18"/>
      <c r="C1073" s="26">
        <v>45900</v>
      </c>
      <c r="D1073" s="25">
        <v>38835</v>
      </c>
      <c r="E1073" s="25" t="s">
        <v>3539</v>
      </c>
      <c r="F1073" s="53" t="s">
        <v>3813</v>
      </c>
      <c r="G1073" s="28">
        <v>51.69</v>
      </c>
    </row>
    <row r="1074" spans="1:7" x14ac:dyDescent="0.35">
      <c r="A1074" s="22" t="s">
        <v>2549</v>
      </c>
      <c r="B1074" s="18"/>
      <c r="C1074" s="26">
        <v>45900</v>
      </c>
      <c r="D1074" s="25">
        <v>38843</v>
      </c>
      <c r="E1074" s="25" t="s">
        <v>3497</v>
      </c>
      <c r="F1074" s="53" t="s">
        <v>3813</v>
      </c>
      <c r="G1074" s="28">
        <v>17.18</v>
      </c>
    </row>
    <row r="1075" spans="1:7" x14ac:dyDescent="0.35">
      <c r="A1075" s="22" t="s">
        <v>2549</v>
      </c>
      <c r="B1075" s="18"/>
      <c r="C1075" s="26">
        <v>45900</v>
      </c>
      <c r="D1075" s="25">
        <v>38852</v>
      </c>
      <c r="E1075" s="25" t="s">
        <v>3492</v>
      </c>
      <c r="F1075" s="53" t="s">
        <v>3813</v>
      </c>
      <c r="G1075" s="28">
        <v>2894.52</v>
      </c>
    </row>
    <row r="1076" spans="1:7" x14ac:dyDescent="0.35">
      <c r="A1076" s="22" t="s">
        <v>2549</v>
      </c>
      <c r="B1076" s="18"/>
      <c r="C1076" s="26">
        <v>45900</v>
      </c>
      <c r="D1076" s="25">
        <v>38853</v>
      </c>
      <c r="E1076" s="25" t="s">
        <v>3542</v>
      </c>
      <c r="F1076" s="53" t="s">
        <v>3813</v>
      </c>
      <c r="G1076" s="28">
        <v>55</v>
      </c>
    </row>
    <row r="1077" spans="1:7" x14ac:dyDescent="0.35">
      <c r="A1077" s="22" t="s">
        <v>2549</v>
      </c>
      <c r="B1077" s="18"/>
      <c r="C1077" s="26">
        <v>45900</v>
      </c>
      <c r="D1077" s="25">
        <v>38854</v>
      </c>
      <c r="E1077" s="25" t="s">
        <v>3543</v>
      </c>
      <c r="F1077" s="53" t="s">
        <v>3813</v>
      </c>
      <c r="G1077" s="28">
        <v>189.46</v>
      </c>
    </row>
    <row r="1078" spans="1:7" x14ac:dyDescent="0.35">
      <c r="A1078" s="22" t="s">
        <v>2549</v>
      </c>
      <c r="B1078" s="18"/>
      <c r="C1078" s="26">
        <v>45900</v>
      </c>
      <c r="D1078" s="25">
        <v>38865</v>
      </c>
      <c r="E1078" s="25" t="s">
        <v>3546</v>
      </c>
      <c r="F1078" s="53" t="s">
        <v>3813</v>
      </c>
      <c r="G1078" s="28">
        <v>10.41</v>
      </c>
    </row>
    <row r="1079" spans="1:7" x14ac:dyDescent="0.35">
      <c r="A1079" s="22" t="s">
        <v>2549</v>
      </c>
      <c r="B1079" s="18"/>
      <c r="C1079" s="26">
        <v>45900</v>
      </c>
      <c r="D1079" s="25">
        <v>38884</v>
      </c>
      <c r="E1079" s="25" t="s">
        <v>3545</v>
      </c>
      <c r="F1079" s="53" t="s">
        <v>3813</v>
      </c>
      <c r="G1079" s="28">
        <v>13.39</v>
      </c>
    </row>
    <row r="1080" spans="1:7" x14ac:dyDescent="0.35">
      <c r="A1080" s="22" t="s">
        <v>2549</v>
      </c>
      <c r="B1080" s="18"/>
      <c r="C1080" s="26">
        <v>45900</v>
      </c>
      <c r="D1080" s="25">
        <v>38905</v>
      </c>
      <c r="E1080" s="25" t="s">
        <v>3579</v>
      </c>
      <c r="F1080" s="53" t="s">
        <v>3813</v>
      </c>
      <c r="G1080" s="28">
        <v>45000</v>
      </c>
    </row>
    <row r="1081" spans="1:7" x14ac:dyDescent="0.35">
      <c r="A1081" s="22" t="s">
        <v>2549</v>
      </c>
      <c r="B1081" s="18"/>
      <c r="C1081" s="26">
        <v>45900</v>
      </c>
      <c r="D1081" s="25">
        <v>38942</v>
      </c>
      <c r="E1081" s="25" t="s">
        <v>3557</v>
      </c>
      <c r="F1081" s="53" t="s">
        <v>3813</v>
      </c>
      <c r="G1081" s="28">
        <v>14.91</v>
      </c>
    </row>
    <row r="1082" spans="1:7" x14ac:dyDescent="0.35">
      <c r="A1082" s="22" t="s">
        <v>2549</v>
      </c>
      <c r="B1082" s="18"/>
      <c r="C1082" s="26">
        <v>45900</v>
      </c>
      <c r="D1082" s="25">
        <v>38959</v>
      </c>
      <c r="E1082" s="25" t="s">
        <v>2854</v>
      </c>
      <c r="F1082" s="53" t="s">
        <v>3813</v>
      </c>
      <c r="G1082" s="28">
        <v>1415.38</v>
      </c>
    </row>
    <row r="1083" spans="1:7" x14ac:dyDescent="0.35">
      <c r="A1083" s="22" t="s">
        <v>2549</v>
      </c>
      <c r="B1083" s="18"/>
      <c r="C1083" s="26">
        <v>45900</v>
      </c>
      <c r="D1083" s="25">
        <v>38987</v>
      </c>
      <c r="E1083" s="25" t="s">
        <v>2906</v>
      </c>
      <c r="F1083" s="53" t="s">
        <v>3813</v>
      </c>
      <c r="G1083" s="28">
        <v>514.48</v>
      </c>
    </row>
    <row r="1084" spans="1:7" x14ac:dyDescent="0.35">
      <c r="A1084" s="22" t="s">
        <v>2549</v>
      </c>
      <c r="B1084" s="18"/>
      <c r="C1084" s="26">
        <v>45900</v>
      </c>
      <c r="D1084" s="25">
        <v>38997</v>
      </c>
      <c r="E1084" s="25" t="s">
        <v>1924</v>
      </c>
      <c r="F1084" s="53" t="s">
        <v>3813</v>
      </c>
      <c r="G1084" s="28">
        <v>1094.5</v>
      </c>
    </row>
    <row r="1085" spans="1:7" x14ac:dyDescent="0.35">
      <c r="A1085" s="22" t="s">
        <v>2549</v>
      </c>
      <c r="B1085" s="18"/>
      <c r="C1085" s="26">
        <v>45900</v>
      </c>
      <c r="D1085" s="25">
        <v>39012</v>
      </c>
      <c r="E1085" s="25" t="s">
        <v>3497</v>
      </c>
      <c r="F1085" s="53" t="s">
        <v>3813</v>
      </c>
      <c r="G1085" s="28">
        <v>36000</v>
      </c>
    </row>
    <row r="1086" spans="1:7" x14ac:dyDescent="0.35">
      <c r="A1086" s="22" t="s">
        <v>2549</v>
      </c>
      <c r="B1086" s="18"/>
      <c r="C1086" s="26">
        <v>45900</v>
      </c>
      <c r="D1086" s="25">
        <v>39073</v>
      </c>
      <c r="E1086" s="25" t="s">
        <v>3544</v>
      </c>
      <c r="F1086" s="53" t="s">
        <v>3813</v>
      </c>
      <c r="G1086" s="28">
        <v>425</v>
      </c>
    </row>
    <row r="1087" spans="1:7" x14ac:dyDescent="0.35">
      <c r="A1087" s="22" t="s">
        <v>2549</v>
      </c>
      <c r="B1087" s="18"/>
      <c r="C1087" s="26">
        <v>45900</v>
      </c>
      <c r="D1087" s="25">
        <v>39074</v>
      </c>
      <c r="E1087" s="25" t="s">
        <v>3544</v>
      </c>
      <c r="F1087" s="53" t="s">
        <v>3813</v>
      </c>
      <c r="G1087" s="28">
        <v>425</v>
      </c>
    </row>
    <row r="1088" spans="1:7" x14ac:dyDescent="0.35">
      <c r="A1088" s="22" t="s">
        <v>2549</v>
      </c>
      <c r="B1088" s="18"/>
      <c r="C1088" s="26">
        <v>45900</v>
      </c>
      <c r="D1088" s="25">
        <v>39084</v>
      </c>
      <c r="E1088" s="25" t="s">
        <v>2459</v>
      </c>
      <c r="F1088" s="53" t="s">
        <v>3813</v>
      </c>
      <c r="G1088" s="28">
        <v>600</v>
      </c>
    </row>
    <row r="1089" spans="1:7" x14ac:dyDescent="0.35">
      <c r="A1089" s="22" t="s">
        <v>2549</v>
      </c>
      <c r="B1089" s="18"/>
      <c r="C1089" s="26">
        <v>45900</v>
      </c>
      <c r="D1089" s="25">
        <v>39086</v>
      </c>
      <c r="E1089" s="25" t="s">
        <v>301</v>
      </c>
      <c r="F1089" s="53" t="s">
        <v>3813</v>
      </c>
      <c r="G1089" s="28">
        <v>0</v>
      </c>
    </row>
    <row r="1090" spans="1:7" x14ac:dyDescent="0.35">
      <c r="A1090" s="22" t="s">
        <v>2549</v>
      </c>
      <c r="B1090" s="18"/>
      <c r="C1090" s="26">
        <v>45900</v>
      </c>
      <c r="D1090" s="25" t="s">
        <v>3471</v>
      </c>
      <c r="E1090" s="25" t="s">
        <v>301</v>
      </c>
      <c r="F1090" s="53" t="s">
        <v>3813</v>
      </c>
      <c r="G1090" s="28">
        <v>0</v>
      </c>
    </row>
    <row r="1091" spans="1:7" x14ac:dyDescent="0.35">
      <c r="A1091" s="22" t="s">
        <v>2549</v>
      </c>
      <c r="C1091" s="26">
        <v>45873</v>
      </c>
      <c r="D1091" s="25" t="s">
        <v>2638</v>
      </c>
      <c r="E1091" s="25" t="s">
        <v>1475</v>
      </c>
      <c r="F1091" s="60" t="s">
        <v>4052</v>
      </c>
      <c r="G1091" s="28">
        <v>22599.1</v>
      </c>
    </row>
    <row r="1092" spans="1:7" x14ac:dyDescent="0.35">
      <c r="A1092" s="22" t="s">
        <v>2549</v>
      </c>
      <c r="C1092" s="26">
        <v>45873</v>
      </c>
      <c r="D1092" s="25">
        <v>38633</v>
      </c>
      <c r="E1092" s="25" t="s">
        <v>2644</v>
      </c>
      <c r="F1092" s="60" t="s">
        <v>4052</v>
      </c>
      <c r="G1092" s="28">
        <v>257.11</v>
      </c>
    </row>
    <row r="1093" spans="1:7" x14ac:dyDescent="0.35">
      <c r="A1093" s="22" t="s">
        <v>2549</v>
      </c>
      <c r="C1093" s="26">
        <v>45876</v>
      </c>
      <c r="D1093" s="25">
        <v>37687</v>
      </c>
      <c r="E1093" s="25" t="s">
        <v>1263</v>
      </c>
      <c r="F1093" s="60" t="s">
        <v>4052</v>
      </c>
      <c r="G1093" s="28">
        <v>50.4</v>
      </c>
    </row>
    <row r="1094" spans="1:7" x14ac:dyDescent="0.35">
      <c r="A1094" s="22" t="s">
        <v>2549</v>
      </c>
      <c r="C1094" s="26">
        <v>45876</v>
      </c>
      <c r="D1094" s="25">
        <v>38661</v>
      </c>
      <c r="E1094" s="25" t="s">
        <v>2650</v>
      </c>
      <c r="F1094" s="60" t="s">
        <v>4052</v>
      </c>
      <c r="G1094" s="28">
        <v>2100</v>
      </c>
    </row>
    <row r="1095" spans="1:7" x14ac:dyDescent="0.35">
      <c r="A1095" s="22" t="s">
        <v>2549</v>
      </c>
      <c r="C1095" s="26">
        <v>45877</v>
      </c>
      <c r="D1095" s="25">
        <v>36248</v>
      </c>
      <c r="E1095" s="25" t="s">
        <v>1839</v>
      </c>
      <c r="F1095" s="60" t="s">
        <v>4052</v>
      </c>
      <c r="G1095" s="28">
        <v>7.28</v>
      </c>
    </row>
    <row r="1096" spans="1:7" x14ac:dyDescent="0.35">
      <c r="A1096" s="22" t="s">
        <v>2549</v>
      </c>
      <c r="C1096" s="26">
        <v>45877</v>
      </c>
      <c r="D1096" s="25">
        <v>36250</v>
      </c>
      <c r="E1096" s="25" t="s">
        <v>1839</v>
      </c>
      <c r="F1096" s="60" t="s">
        <v>4052</v>
      </c>
      <c r="G1096" s="28">
        <v>1499.88</v>
      </c>
    </row>
    <row r="1097" spans="1:7" x14ac:dyDescent="0.35">
      <c r="A1097" s="22" t="s">
        <v>2549</v>
      </c>
      <c r="C1097" s="26">
        <v>45880</v>
      </c>
      <c r="D1097" s="25">
        <v>38260</v>
      </c>
      <c r="E1097" s="25" t="s">
        <v>2677</v>
      </c>
      <c r="F1097" s="60" t="s">
        <v>4052</v>
      </c>
      <c r="G1097" s="28">
        <v>770.3</v>
      </c>
    </row>
    <row r="1098" spans="1:7" x14ac:dyDescent="0.35">
      <c r="A1098" s="22" t="s">
        <v>2549</v>
      </c>
      <c r="C1098" s="26">
        <v>45880</v>
      </c>
      <c r="D1098" s="25">
        <v>38579</v>
      </c>
      <c r="E1098" s="25" t="s">
        <v>2205</v>
      </c>
      <c r="F1098" s="60" t="s">
        <v>4052</v>
      </c>
      <c r="G1098" s="28">
        <v>1455</v>
      </c>
    </row>
    <row r="1099" spans="1:7" x14ac:dyDescent="0.35">
      <c r="A1099" s="22" t="s">
        <v>2549</v>
      </c>
      <c r="C1099" s="26">
        <v>45881</v>
      </c>
      <c r="D1099" s="25" t="s">
        <v>2661</v>
      </c>
      <c r="E1099" s="25" t="s">
        <v>1263</v>
      </c>
      <c r="F1099" s="60" t="s">
        <v>4052</v>
      </c>
      <c r="G1099" s="28">
        <v>4433.1099999999997</v>
      </c>
    </row>
    <row r="1100" spans="1:7" x14ac:dyDescent="0.35">
      <c r="A1100" s="22" t="s">
        <v>2549</v>
      </c>
      <c r="C1100" s="26">
        <v>45881</v>
      </c>
      <c r="D1100" s="25" t="s">
        <v>2667</v>
      </c>
      <c r="E1100" s="25" t="s">
        <v>2677</v>
      </c>
      <c r="F1100" s="60" t="s">
        <v>4052</v>
      </c>
      <c r="G1100" s="28">
        <v>3119.06</v>
      </c>
    </row>
    <row r="1101" spans="1:7" x14ac:dyDescent="0.35">
      <c r="A1101" s="22" t="s">
        <v>2549</v>
      </c>
      <c r="C1101" s="26">
        <v>45881</v>
      </c>
      <c r="D1101" s="25">
        <v>38268</v>
      </c>
      <c r="E1101" s="25" t="s">
        <v>2677</v>
      </c>
      <c r="F1101" s="60" t="s">
        <v>4052</v>
      </c>
      <c r="G1101" s="28">
        <v>59.89</v>
      </c>
    </row>
    <row r="1102" spans="1:7" x14ac:dyDescent="0.35">
      <c r="A1102" s="22" t="s">
        <v>2549</v>
      </c>
      <c r="C1102" s="26">
        <v>45882</v>
      </c>
      <c r="D1102" s="25" t="s">
        <v>2672</v>
      </c>
      <c r="E1102" s="25" t="s">
        <v>2626</v>
      </c>
      <c r="F1102" s="60" t="s">
        <v>4052</v>
      </c>
      <c r="G1102" s="28">
        <v>538.21</v>
      </c>
    </row>
    <row r="1103" spans="1:7" x14ac:dyDescent="0.35">
      <c r="A1103" s="22" t="s">
        <v>2549</v>
      </c>
      <c r="C1103" s="26">
        <v>45887</v>
      </c>
      <c r="D1103" s="25">
        <v>38857</v>
      </c>
      <c r="E1103" s="25" t="s">
        <v>2769</v>
      </c>
      <c r="F1103" s="60" t="s">
        <v>4052</v>
      </c>
      <c r="G1103" s="28">
        <v>1820</v>
      </c>
    </row>
    <row r="1104" spans="1:7" x14ac:dyDescent="0.35">
      <c r="A1104" s="22" t="s">
        <v>2549</v>
      </c>
      <c r="C1104" s="26">
        <v>45894</v>
      </c>
      <c r="D1104" s="25">
        <v>33571</v>
      </c>
      <c r="E1104" s="25" t="s">
        <v>2020</v>
      </c>
      <c r="F1104" s="60" t="s">
        <v>4052</v>
      </c>
      <c r="G1104" s="28">
        <v>109.04</v>
      </c>
    </row>
    <row r="1105" spans="1:7" x14ac:dyDescent="0.35">
      <c r="A1105" s="22" t="s">
        <v>2549</v>
      </c>
      <c r="C1105" s="26">
        <v>45894</v>
      </c>
      <c r="D1105" s="25" t="s">
        <v>4033</v>
      </c>
      <c r="E1105" s="25" t="s">
        <v>2020</v>
      </c>
      <c r="F1105" s="60" t="s">
        <v>4052</v>
      </c>
      <c r="G1105" s="28">
        <v>1.83</v>
      </c>
    </row>
    <row r="1106" spans="1:7" x14ac:dyDescent="0.35">
      <c r="A1106" s="22" t="s">
        <v>2549</v>
      </c>
      <c r="C1106" s="26">
        <v>45894</v>
      </c>
      <c r="D1106" s="25" t="s">
        <v>2685</v>
      </c>
      <c r="E1106" s="25" t="s">
        <v>2020</v>
      </c>
      <c r="F1106" s="60" t="s">
        <v>4052</v>
      </c>
      <c r="G1106" s="28">
        <v>5434.29</v>
      </c>
    </row>
    <row r="1107" spans="1:7" x14ac:dyDescent="0.35">
      <c r="A1107" s="22" t="s">
        <v>2549</v>
      </c>
      <c r="C1107" s="26">
        <v>45894</v>
      </c>
      <c r="D1107" s="25" t="s">
        <v>2689</v>
      </c>
      <c r="E1107" s="25" t="s">
        <v>2020</v>
      </c>
      <c r="F1107" s="60" t="s">
        <v>4052</v>
      </c>
      <c r="G1107" s="28">
        <v>13225.78</v>
      </c>
    </row>
    <row r="1108" spans="1:7" x14ac:dyDescent="0.35">
      <c r="A1108" s="22" t="s">
        <v>2549</v>
      </c>
      <c r="C1108" s="26">
        <v>45894</v>
      </c>
      <c r="D1108" s="25">
        <v>36943</v>
      </c>
      <c r="E1108" s="25" t="s">
        <v>1272</v>
      </c>
      <c r="F1108" s="60" t="s">
        <v>4052</v>
      </c>
      <c r="G1108" s="28">
        <v>0</v>
      </c>
    </row>
    <row r="1109" spans="1:7" x14ac:dyDescent="0.35">
      <c r="A1109" s="22" t="s">
        <v>2549</v>
      </c>
      <c r="C1109" s="26">
        <v>45898</v>
      </c>
      <c r="D1109" s="25">
        <v>38185</v>
      </c>
      <c r="E1109" s="25" t="s">
        <v>2626</v>
      </c>
      <c r="F1109" s="60" t="s">
        <v>4052</v>
      </c>
      <c r="G1109" s="28">
        <v>4800.01</v>
      </c>
    </row>
    <row r="1110" spans="1:7" x14ac:dyDescent="0.35">
      <c r="A1110" s="22" t="s">
        <v>2549</v>
      </c>
      <c r="C1110" s="26">
        <v>45898</v>
      </c>
      <c r="D1110" s="25">
        <v>38199</v>
      </c>
      <c r="E1110" s="25" t="s">
        <v>2626</v>
      </c>
      <c r="F1110" s="60" t="s">
        <v>4052</v>
      </c>
      <c r="G1110" s="28">
        <v>5718.88</v>
      </c>
    </row>
    <row r="1111" spans="1:7" x14ac:dyDescent="0.35">
      <c r="A1111" s="22" t="s">
        <v>2549</v>
      </c>
      <c r="C1111" s="26">
        <v>45898</v>
      </c>
      <c r="D1111" s="25" t="s">
        <v>2702</v>
      </c>
      <c r="E1111" s="25" t="s">
        <v>2626</v>
      </c>
      <c r="F1111" s="60" t="s">
        <v>4052</v>
      </c>
      <c r="G1111" s="28">
        <v>4539.33</v>
      </c>
    </row>
    <row r="1112" spans="1:7" x14ac:dyDescent="0.35">
      <c r="A1112" s="22" t="s">
        <v>2549</v>
      </c>
      <c r="C1112" s="26">
        <v>45898</v>
      </c>
      <c r="D1112" s="25">
        <v>38851</v>
      </c>
      <c r="E1112" s="25" t="s">
        <v>2892</v>
      </c>
      <c r="F1112" s="60" t="s">
        <v>4052</v>
      </c>
      <c r="G1112" s="28">
        <v>4550</v>
      </c>
    </row>
    <row r="1113" spans="1:7" x14ac:dyDescent="0.35">
      <c r="A1113" s="22" t="s">
        <v>2549</v>
      </c>
      <c r="C1113" s="26">
        <v>45898</v>
      </c>
      <c r="D1113" s="25">
        <v>38881</v>
      </c>
      <c r="E1113" s="25" t="s">
        <v>2894</v>
      </c>
      <c r="F1113" s="60" t="s">
        <v>4052</v>
      </c>
      <c r="G1113" s="28">
        <v>250</v>
      </c>
    </row>
    <row r="1114" spans="1:7" x14ac:dyDescent="0.35">
      <c r="A1114" s="22" t="s">
        <v>2549</v>
      </c>
      <c r="C1114" s="26">
        <v>45898</v>
      </c>
      <c r="D1114" s="25">
        <v>38893</v>
      </c>
      <c r="E1114" s="25" t="s">
        <v>2894</v>
      </c>
      <c r="F1114" s="60" t="s">
        <v>4052</v>
      </c>
      <c r="G1114" s="28">
        <v>887</v>
      </c>
    </row>
    <row r="1115" spans="1:7" x14ac:dyDescent="0.35">
      <c r="A1115" s="22" t="s">
        <v>2549</v>
      </c>
      <c r="C1115" s="26">
        <v>45898</v>
      </c>
      <c r="D1115" s="25">
        <v>39125</v>
      </c>
      <c r="E1115" s="25" t="s">
        <v>1223</v>
      </c>
      <c r="F1115" s="60" t="s">
        <v>4052</v>
      </c>
      <c r="G1115" s="28">
        <v>509579.86</v>
      </c>
    </row>
    <row r="1116" spans="1:7" x14ac:dyDescent="0.35">
      <c r="A1116" s="22" t="s">
        <v>2549</v>
      </c>
      <c r="C1116" s="26">
        <v>45899</v>
      </c>
      <c r="D1116" s="25">
        <v>35818</v>
      </c>
      <c r="E1116" s="25" t="s">
        <v>1277</v>
      </c>
      <c r="F1116" s="60" t="s">
        <v>4052</v>
      </c>
      <c r="G1116" s="28">
        <v>7735.76</v>
      </c>
    </row>
    <row r="1117" spans="1:7" x14ac:dyDescent="0.35">
      <c r="A1117" s="22" t="s">
        <v>2549</v>
      </c>
      <c r="C1117" s="26">
        <v>45899</v>
      </c>
      <c r="D1117" s="25">
        <v>36512</v>
      </c>
      <c r="E1117" s="25" t="s">
        <v>2231</v>
      </c>
      <c r="F1117" s="60" t="s">
        <v>4052</v>
      </c>
      <c r="G1117" s="28">
        <v>2472.11</v>
      </c>
    </row>
    <row r="1118" spans="1:7" x14ac:dyDescent="0.35">
      <c r="A1118" s="22" t="s">
        <v>2549</v>
      </c>
      <c r="C1118" s="26">
        <v>45899</v>
      </c>
      <c r="D1118" s="25" t="s">
        <v>3112</v>
      </c>
      <c r="E1118" s="25" t="s">
        <v>989</v>
      </c>
      <c r="F1118" s="60" t="s">
        <v>4052</v>
      </c>
      <c r="G1118" s="28">
        <v>632.30999999999995</v>
      </c>
    </row>
    <row r="1119" spans="1:7" x14ac:dyDescent="0.35">
      <c r="A1119" s="22" t="s">
        <v>2549</v>
      </c>
      <c r="C1119" s="26">
        <v>45899</v>
      </c>
      <c r="D1119" s="25">
        <v>38051</v>
      </c>
      <c r="E1119" s="25" t="s">
        <v>3470</v>
      </c>
      <c r="F1119" s="60" t="s">
        <v>4052</v>
      </c>
      <c r="G1119" s="28">
        <v>2440</v>
      </c>
    </row>
    <row r="1120" spans="1:7" x14ac:dyDescent="0.35">
      <c r="A1120" s="22" t="s">
        <v>2549</v>
      </c>
      <c r="C1120" s="26">
        <v>45899</v>
      </c>
      <c r="D1120" s="25">
        <v>38229</v>
      </c>
      <c r="E1120" s="25" t="s">
        <v>1426</v>
      </c>
      <c r="F1120" s="60" t="s">
        <v>4052</v>
      </c>
      <c r="G1120" s="28">
        <v>749.08</v>
      </c>
    </row>
    <row r="1121" spans="1:7" x14ac:dyDescent="0.35">
      <c r="A1121" s="22" t="s">
        <v>2549</v>
      </c>
      <c r="C1121" s="26">
        <v>45899</v>
      </c>
      <c r="D1121" s="25">
        <v>38230</v>
      </c>
      <c r="E1121" s="25" t="s">
        <v>3487</v>
      </c>
      <c r="F1121" s="60" t="s">
        <v>4052</v>
      </c>
      <c r="G1121" s="28">
        <v>1725</v>
      </c>
    </row>
    <row r="1122" spans="1:7" x14ac:dyDescent="0.35">
      <c r="A1122" s="22" t="s">
        <v>2549</v>
      </c>
      <c r="C1122" s="26">
        <v>45899</v>
      </c>
      <c r="D1122" s="25" t="s">
        <v>3229</v>
      </c>
      <c r="E1122" s="25" t="s">
        <v>2677</v>
      </c>
      <c r="F1122" s="60" t="s">
        <v>4052</v>
      </c>
      <c r="G1122" s="28">
        <v>3894.55</v>
      </c>
    </row>
    <row r="1123" spans="1:7" x14ac:dyDescent="0.35">
      <c r="A1123" s="22" t="s">
        <v>2549</v>
      </c>
      <c r="C1123" s="26">
        <v>45899</v>
      </c>
      <c r="D1123" s="25">
        <v>38254</v>
      </c>
      <c r="E1123" s="25" t="s">
        <v>2677</v>
      </c>
      <c r="F1123" s="60" t="s">
        <v>4052</v>
      </c>
      <c r="G1123" s="28">
        <v>9126.7800000000007</v>
      </c>
    </row>
    <row r="1124" spans="1:7" x14ac:dyDescent="0.35">
      <c r="A1124" s="22" t="s">
        <v>2549</v>
      </c>
      <c r="C1124" s="26">
        <v>45899</v>
      </c>
      <c r="D1124" s="25" t="s">
        <v>3231</v>
      </c>
      <c r="E1124" s="25" t="s">
        <v>2677</v>
      </c>
      <c r="F1124" s="60" t="s">
        <v>4052</v>
      </c>
      <c r="G1124" s="28">
        <v>36013.69</v>
      </c>
    </row>
    <row r="1125" spans="1:7" x14ac:dyDescent="0.35">
      <c r="A1125" s="22" t="s">
        <v>2549</v>
      </c>
      <c r="C1125" s="26">
        <v>45899</v>
      </c>
      <c r="D1125" s="25" t="s">
        <v>3232</v>
      </c>
      <c r="E1125" s="25" t="s">
        <v>2677</v>
      </c>
      <c r="F1125" s="60" t="s">
        <v>4052</v>
      </c>
      <c r="G1125" s="28">
        <v>3623.9</v>
      </c>
    </row>
    <row r="1126" spans="1:7" x14ac:dyDescent="0.35">
      <c r="A1126" s="22" t="s">
        <v>2549</v>
      </c>
      <c r="C1126" s="26">
        <v>45899</v>
      </c>
      <c r="D1126" s="25" t="s">
        <v>3233</v>
      </c>
      <c r="E1126" s="25" t="s">
        <v>2677</v>
      </c>
      <c r="F1126" s="60" t="s">
        <v>4052</v>
      </c>
      <c r="G1126" s="28">
        <v>15172</v>
      </c>
    </row>
    <row r="1127" spans="1:7" x14ac:dyDescent="0.35">
      <c r="A1127" s="22" t="s">
        <v>2549</v>
      </c>
      <c r="C1127" s="26">
        <v>45899</v>
      </c>
      <c r="D1127" s="25">
        <v>38263</v>
      </c>
      <c r="E1127" s="25" t="s">
        <v>2677</v>
      </c>
      <c r="F1127" s="60" t="s">
        <v>4052</v>
      </c>
      <c r="G1127" s="28">
        <v>156.41999999999999</v>
      </c>
    </row>
    <row r="1128" spans="1:7" x14ac:dyDescent="0.35">
      <c r="A1128" s="22" t="s">
        <v>2549</v>
      </c>
      <c r="C1128" s="26">
        <v>45899</v>
      </c>
      <c r="D1128" s="25">
        <v>38265</v>
      </c>
      <c r="E1128" s="25" t="s">
        <v>2677</v>
      </c>
      <c r="F1128" s="60" t="s">
        <v>4052</v>
      </c>
      <c r="G1128" s="28">
        <v>2826.34</v>
      </c>
    </row>
    <row r="1129" spans="1:7" x14ac:dyDescent="0.35">
      <c r="A1129" s="22" t="s">
        <v>2549</v>
      </c>
      <c r="C1129" s="26">
        <v>45899</v>
      </c>
      <c r="D1129" s="25">
        <v>38266</v>
      </c>
      <c r="E1129" s="25" t="s">
        <v>2677</v>
      </c>
      <c r="F1129" s="60" t="s">
        <v>4052</v>
      </c>
      <c r="G1129" s="28">
        <v>2840.25</v>
      </c>
    </row>
    <row r="1130" spans="1:7" x14ac:dyDescent="0.35">
      <c r="A1130" s="22" t="s">
        <v>2549</v>
      </c>
      <c r="C1130" s="26">
        <v>45899</v>
      </c>
      <c r="D1130" s="25">
        <v>38546</v>
      </c>
      <c r="E1130" s="25" t="s">
        <v>2266</v>
      </c>
      <c r="F1130" s="60" t="s">
        <v>4052</v>
      </c>
      <c r="G1130" s="28">
        <v>2018</v>
      </c>
    </row>
    <row r="1131" spans="1:7" x14ac:dyDescent="0.35">
      <c r="A1131" s="22" t="s">
        <v>2549</v>
      </c>
      <c r="C1131" s="26">
        <v>45899</v>
      </c>
      <c r="D1131" s="25" t="s">
        <v>3288</v>
      </c>
      <c r="E1131" s="25" t="s">
        <v>1582</v>
      </c>
      <c r="F1131" s="60" t="s">
        <v>4052</v>
      </c>
      <c r="G1131" s="28">
        <v>26382.55</v>
      </c>
    </row>
    <row r="1132" spans="1:7" x14ac:dyDescent="0.35">
      <c r="A1132" s="22" t="s">
        <v>2549</v>
      </c>
      <c r="C1132" s="26">
        <v>45899</v>
      </c>
      <c r="D1132" s="25">
        <v>38651</v>
      </c>
      <c r="E1132" s="25" t="s">
        <v>2231</v>
      </c>
      <c r="F1132" s="60" t="s">
        <v>4052</v>
      </c>
      <c r="G1132" s="28">
        <v>2064.11</v>
      </c>
    </row>
    <row r="1133" spans="1:7" x14ac:dyDescent="0.35">
      <c r="A1133" s="22" t="s">
        <v>2549</v>
      </c>
      <c r="C1133" s="26">
        <v>45899</v>
      </c>
      <c r="D1133" s="25">
        <v>38791</v>
      </c>
      <c r="E1133" s="25" t="s">
        <v>3496</v>
      </c>
      <c r="F1133" s="60" t="s">
        <v>4052</v>
      </c>
      <c r="G1133" s="28">
        <v>847.22</v>
      </c>
    </row>
    <row r="1134" spans="1:7" x14ac:dyDescent="0.35">
      <c r="A1134" s="22" t="s">
        <v>2549</v>
      </c>
      <c r="C1134" s="26">
        <v>45899</v>
      </c>
      <c r="D1134" s="25">
        <v>38817</v>
      </c>
      <c r="E1134" s="25" t="s">
        <v>3498</v>
      </c>
      <c r="F1134" s="60" t="s">
        <v>4052</v>
      </c>
      <c r="G1134" s="28">
        <v>665.5</v>
      </c>
    </row>
    <row r="1135" spans="1:7" x14ac:dyDescent="0.35">
      <c r="A1135" s="22" t="s">
        <v>2549</v>
      </c>
      <c r="C1135" s="26">
        <v>45899</v>
      </c>
      <c r="D1135" s="25">
        <v>38834</v>
      </c>
      <c r="E1135" s="25" t="s">
        <v>3499</v>
      </c>
      <c r="F1135" s="60" t="s">
        <v>4052</v>
      </c>
      <c r="G1135" s="28">
        <v>4313.13</v>
      </c>
    </row>
    <row r="1136" spans="1:7" x14ac:dyDescent="0.35">
      <c r="A1136" s="22" t="s">
        <v>2549</v>
      </c>
      <c r="C1136" s="26">
        <v>45899</v>
      </c>
      <c r="D1136" s="25">
        <v>38839</v>
      </c>
      <c r="E1136" s="25" t="s">
        <v>3500</v>
      </c>
      <c r="F1136" s="60" t="s">
        <v>4052</v>
      </c>
      <c r="G1136" s="28">
        <v>500</v>
      </c>
    </row>
    <row r="1137" spans="1:7" x14ac:dyDescent="0.35">
      <c r="A1137" s="22" t="s">
        <v>2549</v>
      </c>
      <c r="C1137" s="26">
        <v>45899</v>
      </c>
      <c r="D1137" s="25">
        <v>38846</v>
      </c>
      <c r="E1137" s="25" t="s">
        <v>3501</v>
      </c>
      <c r="F1137" s="60" t="s">
        <v>4052</v>
      </c>
      <c r="G1137" s="28">
        <v>1600</v>
      </c>
    </row>
    <row r="1138" spans="1:7" x14ac:dyDescent="0.35">
      <c r="A1138" s="22" t="s">
        <v>2549</v>
      </c>
      <c r="C1138" s="26">
        <v>45899</v>
      </c>
      <c r="D1138" s="25">
        <v>38874</v>
      </c>
      <c r="E1138" s="25" t="s">
        <v>3502</v>
      </c>
      <c r="F1138" s="60" t="s">
        <v>4052</v>
      </c>
      <c r="G1138" s="28">
        <v>2200</v>
      </c>
    </row>
    <row r="1139" spans="1:7" x14ac:dyDescent="0.35">
      <c r="A1139" s="22" t="s">
        <v>2549</v>
      </c>
      <c r="C1139" s="26">
        <v>45899</v>
      </c>
      <c r="D1139" s="25">
        <v>38889</v>
      </c>
      <c r="E1139" s="25" t="s">
        <v>2629</v>
      </c>
      <c r="F1139" s="60" t="s">
        <v>4052</v>
      </c>
      <c r="G1139" s="28">
        <v>2057.27</v>
      </c>
    </row>
    <row r="1140" spans="1:7" x14ac:dyDescent="0.35">
      <c r="A1140" s="22" t="s">
        <v>2549</v>
      </c>
      <c r="C1140" s="26">
        <v>45899</v>
      </c>
      <c r="D1140" s="25">
        <v>38953</v>
      </c>
      <c r="E1140" s="25" t="s">
        <v>3496</v>
      </c>
      <c r="F1140" s="60" t="s">
        <v>4052</v>
      </c>
      <c r="G1140" s="28">
        <v>600</v>
      </c>
    </row>
    <row r="1141" spans="1:7" x14ac:dyDescent="0.35">
      <c r="A1141" s="22" t="s">
        <v>2549</v>
      </c>
      <c r="C1141" s="26">
        <v>45899</v>
      </c>
      <c r="D1141" s="25">
        <v>38954</v>
      </c>
      <c r="E1141" s="25" t="s">
        <v>3503</v>
      </c>
      <c r="F1141" s="60" t="s">
        <v>4052</v>
      </c>
      <c r="G1141" s="28">
        <v>350</v>
      </c>
    </row>
    <row r="1142" spans="1:7" x14ac:dyDescent="0.35">
      <c r="A1142" s="22" t="s">
        <v>2549</v>
      </c>
      <c r="C1142" s="26">
        <v>45899</v>
      </c>
      <c r="D1142" s="25">
        <v>38970</v>
      </c>
      <c r="E1142" s="25" t="s">
        <v>3504</v>
      </c>
      <c r="F1142" s="60" t="s">
        <v>4052</v>
      </c>
      <c r="G1142" s="28">
        <v>350</v>
      </c>
    </row>
    <row r="1143" spans="1:7" x14ac:dyDescent="0.35">
      <c r="A1143" s="22" t="s">
        <v>2549</v>
      </c>
      <c r="C1143" s="26">
        <v>45899</v>
      </c>
      <c r="D1143" s="25">
        <v>38981</v>
      </c>
      <c r="E1143" s="25" t="s">
        <v>3496</v>
      </c>
      <c r="F1143" s="60" t="s">
        <v>4052</v>
      </c>
      <c r="G1143" s="28">
        <v>370</v>
      </c>
    </row>
    <row r="1144" spans="1:7" x14ac:dyDescent="0.35">
      <c r="A1144" s="22" t="s">
        <v>2549</v>
      </c>
      <c r="C1144" s="26">
        <v>45899</v>
      </c>
      <c r="D1144" s="25">
        <v>38993</v>
      </c>
      <c r="E1144" s="25" t="s">
        <v>1475</v>
      </c>
      <c r="F1144" s="60" t="s">
        <v>4052</v>
      </c>
      <c r="G1144" s="28">
        <v>6712.5</v>
      </c>
    </row>
    <row r="1145" spans="1:7" x14ac:dyDescent="0.35">
      <c r="A1145" s="22" t="s">
        <v>2549</v>
      </c>
      <c r="C1145" s="26">
        <v>45899</v>
      </c>
      <c r="D1145" s="25">
        <v>38996</v>
      </c>
      <c r="E1145" s="25" t="s">
        <v>1924</v>
      </c>
      <c r="F1145" s="60" t="s">
        <v>4052</v>
      </c>
      <c r="G1145" s="28">
        <v>350</v>
      </c>
    </row>
    <row r="1146" spans="1:7" x14ac:dyDescent="0.35">
      <c r="A1146" s="22" t="s">
        <v>2549</v>
      </c>
      <c r="C1146" s="26">
        <v>45899</v>
      </c>
      <c r="D1146" s="25">
        <v>39002</v>
      </c>
      <c r="E1146" s="25" t="s">
        <v>3505</v>
      </c>
      <c r="F1146" s="60" t="s">
        <v>4052</v>
      </c>
      <c r="G1146" s="28">
        <v>1900</v>
      </c>
    </row>
    <row r="1147" spans="1:7" x14ac:dyDescent="0.35">
      <c r="A1147" s="22" t="s">
        <v>2549</v>
      </c>
      <c r="C1147" s="26">
        <v>45899</v>
      </c>
      <c r="D1147" s="25">
        <v>39010</v>
      </c>
      <c r="E1147" s="25" t="s">
        <v>3506</v>
      </c>
      <c r="F1147" s="60" t="s">
        <v>4052</v>
      </c>
      <c r="G1147" s="28">
        <v>693</v>
      </c>
    </row>
    <row r="1148" spans="1:7" x14ac:dyDescent="0.35">
      <c r="A1148" s="22" t="s">
        <v>2549</v>
      </c>
      <c r="C1148" s="26">
        <v>45900</v>
      </c>
      <c r="D1148" s="25" t="s">
        <v>4035</v>
      </c>
      <c r="E1148" s="25" t="s">
        <v>4034</v>
      </c>
      <c r="F1148" s="60" t="s">
        <v>4052</v>
      </c>
      <c r="G1148" s="28">
        <v>541.25</v>
      </c>
    </row>
    <row r="1149" spans="1:7" x14ac:dyDescent="0.35">
      <c r="A1149" s="22" t="s">
        <v>2549</v>
      </c>
      <c r="C1149" s="26">
        <v>45900</v>
      </c>
      <c r="D1149" s="25" t="s">
        <v>3322</v>
      </c>
      <c r="E1149" s="25" t="s">
        <v>2555</v>
      </c>
      <c r="F1149" s="60" t="s">
        <v>4052</v>
      </c>
      <c r="G1149" s="28">
        <v>730.89</v>
      </c>
    </row>
    <row r="1150" spans="1:7" x14ac:dyDescent="0.35">
      <c r="A1150" s="22" t="s">
        <v>2549</v>
      </c>
      <c r="C1150" s="26">
        <v>45900</v>
      </c>
      <c r="D1150" s="25">
        <v>33967</v>
      </c>
      <c r="E1150" s="25" t="s">
        <v>301</v>
      </c>
      <c r="F1150" s="60" t="s">
        <v>4052</v>
      </c>
      <c r="G1150" s="28">
        <v>0</v>
      </c>
    </row>
    <row r="1151" spans="1:7" x14ac:dyDescent="0.35">
      <c r="A1151" s="22" t="s">
        <v>2549</v>
      </c>
      <c r="C1151" s="26">
        <v>45900</v>
      </c>
      <c r="D1151" s="25" t="s">
        <v>3334</v>
      </c>
      <c r="E1151" s="25" t="s">
        <v>2033</v>
      </c>
      <c r="F1151" s="60" t="s">
        <v>4052</v>
      </c>
      <c r="G1151" s="28">
        <v>7230.75</v>
      </c>
    </row>
    <row r="1152" spans="1:7" x14ac:dyDescent="0.35">
      <c r="A1152" s="22" t="s">
        <v>2549</v>
      </c>
      <c r="C1152" s="26">
        <v>45900</v>
      </c>
      <c r="D1152" s="25">
        <v>34382</v>
      </c>
      <c r="E1152" s="25" t="s">
        <v>301</v>
      </c>
      <c r="F1152" s="60" t="s">
        <v>4052</v>
      </c>
      <c r="G1152" s="28">
        <v>0</v>
      </c>
    </row>
    <row r="1153" spans="1:7" x14ac:dyDescent="0.35">
      <c r="A1153" s="22" t="s">
        <v>2549</v>
      </c>
      <c r="C1153" s="26">
        <v>45900</v>
      </c>
      <c r="D1153" s="25" t="s">
        <v>4036</v>
      </c>
      <c r="E1153" s="25" t="s">
        <v>3139</v>
      </c>
      <c r="F1153" s="60" t="s">
        <v>4052</v>
      </c>
      <c r="G1153" s="28">
        <v>0.28000000000000003</v>
      </c>
    </row>
    <row r="1154" spans="1:7" x14ac:dyDescent="0.35">
      <c r="A1154" s="22" t="s">
        <v>2549</v>
      </c>
      <c r="C1154" s="26">
        <v>45900</v>
      </c>
      <c r="D1154" s="25" t="s">
        <v>3343</v>
      </c>
      <c r="E1154" s="25" t="s">
        <v>3144</v>
      </c>
      <c r="F1154" s="60" t="s">
        <v>4052</v>
      </c>
      <c r="G1154" s="28">
        <v>13366.38</v>
      </c>
    </row>
    <row r="1155" spans="1:7" x14ac:dyDescent="0.35">
      <c r="A1155" s="22" t="s">
        <v>2549</v>
      </c>
      <c r="C1155" s="26">
        <v>45900</v>
      </c>
      <c r="D1155" s="25" t="s">
        <v>3358</v>
      </c>
      <c r="E1155" s="25" t="s">
        <v>1757</v>
      </c>
      <c r="F1155" s="60" t="s">
        <v>4052</v>
      </c>
      <c r="G1155" s="28">
        <v>12512.58</v>
      </c>
    </row>
    <row r="1156" spans="1:7" x14ac:dyDescent="0.35">
      <c r="A1156" s="22" t="s">
        <v>2549</v>
      </c>
      <c r="C1156" s="26">
        <v>45900</v>
      </c>
      <c r="D1156" s="25">
        <v>35434</v>
      </c>
      <c r="E1156" s="25" t="s">
        <v>1757</v>
      </c>
      <c r="F1156" s="60" t="s">
        <v>4052</v>
      </c>
      <c r="G1156" s="28">
        <v>1847.68</v>
      </c>
    </row>
    <row r="1157" spans="1:7" x14ac:dyDescent="0.35">
      <c r="A1157" s="22" t="s">
        <v>2549</v>
      </c>
      <c r="C1157" s="26">
        <v>45900</v>
      </c>
      <c r="D1157" s="25" t="s">
        <v>3368</v>
      </c>
      <c r="E1157" s="25" t="s">
        <v>1757</v>
      </c>
      <c r="F1157" s="60" t="s">
        <v>4052</v>
      </c>
      <c r="G1157" s="28">
        <v>1471.5</v>
      </c>
    </row>
    <row r="1158" spans="1:7" x14ac:dyDescent="0.35">
      <c r="A1158" s="22" t="s">
        <v>2549</v>
      </c>
      <c r="C1158" s="26">
        <v>45900</v>
      </c>
      <c r="D1158" s="25">
        <v>35494</v>
      </c>
      <c r="E1158" s="25" t="s">
        <v>3218</v>
      </c>
      <c r="F1158" s="60" t="s">
        <v>4052</v>
      </c>
      <c r="G1158" s="28">
        <v>292.52</v>
      </c>
    </row>
    <row r="1159" spans="1:7" x14ac:dyDescent="0.35">
      <c r="A1159" s="22" t="s">
        <v>2549</v>
      </c>
      <c r="C1159" s="26">
        <v>45900</v>
      </c>
      <c r="D1159" s="25" t="s">
        <v>3377</v>
      </c>
      <c r="E1159" s="25" t="s">
        <v>2514</v>
      </c>
      <c r="F1159" s="60" t="s">
        <v>4052</v>
      </c>
      <c r="G1159" s="28">
        <v>4315.75</v>
      </c>
    </row>
    <row r="1160" spans="1:7" x14ac:dyDescent="0.35">
      <c r="A1160" s="22" t="s">
        <v>2549</v>
      </c>
      <c r="C1160" s="26">
        <v>45900</v>
      </c>
      <c r="D1160" s="25" t="s">
        <v>3379</v>
      </c>
      <c r="E1160" s="25" t="s">
        <v>2514</v>
      </c>
      <c r="F1160" s="60" t="s">
        <v>4052</v>
      </c>
      <c r="G1160" s="28">
        <v>1194.6300000000001</v>
      </c>
    </row>
    <row r="1161" spans="1:7" x14ac:dyDescent="0.35">
      <c r="A1161" s="22" t="s">
        <v>2549</v>
      </c>
      <c r="C1161" s="26">
        <v>45900</v>
      </c>
      <c r="D1161" s="25" t="s">
        <v>3386</v>
      </c>
      <c r="E1161" s="25" t="s">
        <v>1475</v>
      </c>
      <c r="F1161" s="60" t="s">
        <v>4052</v>
      </c>
      <c r="G1161" s="28">
        <v>4817.0200000000004</v>
      </c>
    </row>
    <row r="1162" spans="1:7" x14ac:dyDescent="0.35">
      <c r="A1162" s="22" t="s">
        <v>2549</v>
      </c>
      <c r="C1162" s="26">
        <v>45900</v>
      </c>
      <c r="D1162" s="25" t="s">
        <v>3388</v>
      </c>
      <c r="E1162" s="25" t="s">
        <v>1475</v>
      </c>
      <c r="F1162" s="60" t="s">
        <v>4052</v>
      </c>
      <c r="G1162" s="28">
        <v>9505.74</v>
      </c>
    </row>
    <row r="1163" spans="1:7" x14ac:dyDescent="0.35">
      <c r="A1163" s="22" t="s">
        <v>2549</v>
      </c>
      <c r="C1163" s="26">
        <v>45900</v>
      </c>
      <c r="D1163" s="25">
        <v>35797</v>
      </c>
      <c r="E1163" s="25" t="s">
        <v>1475</v>
      </c>
      <c r="F1163" s="60" t="s">
        <v>4052</v>
      </c>
      <c r="G1163" s="28">
        <v>10327.44</v>
      </c>
    </row>
    <row r="1164" spans="1:7" x14ac:dyDescent="0.35">
      <c r="A1164" s="22" t="s">
        <v>2549</v>
      </c>
      <c r="C1164" s="26">
        <v>45900</v>
      </c>
      <c r="D1164" s="25" t="s">
        <v>3389</v>
      </c>
      <c r="E1164" s="25" t="s">
        <v>1475</v>
      </c>
      <c r="F1164" s="60" t="s">
        <v>4052</v>
      </c>
      <c r="G1164" s="28">
        <v>8252.7000000000007</v>
      </c>
    </row>
    <row r="1165" spans="1:7" x14ac:dyDescent="0.35">
      <c r="A1165" s="22" t="s">
        <v>2549</v>
      </c>
      <c r="C1165" s="26">
        <v>45900</v>
      </c>
      <c r="D1165" s="25" t="s">
        <v>3390</v>
      </c>
      <c r="E1165" s="25" t="s">
        <v>1475</v>
      </c>
      <c r="F1165" s="60" t="s">
        <v>4052</v>
      </c>
      <c r="G1165" s="28">
        <v>11819.71</v>
      </c>
    </row>
    <row r="1166" spans="1:7" x14ac:dyDescent="0.35">
      <c r="A1166" s="22" t="s">
        <v>2549</v>
      </c>
      <c r="C1166" s="26">
        <v>45900</v>
      </c>
      <c r="D1166" s="25">
        <v>35806</v>
      </c>
      <c r="E1166" s="25" t="s">
        <v>1475</v>
      </c>
      <c r="F1166" s="60" t="s">
        <v>4052</v>
      </c>
      <c r="G1166" s="28">
        <v>1022.42</v>
      </c>
    </row>
    <row r="1167" spans="1:7" x14ac:dyDescent="0.35">
      <c r="A1167" s="22" t="s">
        <v>2549</v>
      </c>
      <c r="C1167" s="26">
        <v>45900</v>
      </c>
      <c r="D1167" s="25" t="s">
        <v>3391</v>
      </c>
      <c r="E1167" s="25" t="s">
        <v>1475</v>
      </c>
      <c r="F1167" s="60" t="s">
        <v>4052</v>
      </c>
      <c r="G1167" s="28">
        <v>19232.13</v>
      </c>
    </row>
    <row r="1168" spans="1:7" x14ac:dyDescent="0.35">
      <c r="A1168" s="22" t="s">
        <v>2549</v>
      </c>
      <c r="C1168" s="26">
        <v>45900</v>
      </c>
      <c r="D1168" s="25" t="s">
        <v>3392</v>
      </c>
      <c r="E1168" s="25" t="s">
        <v>1475</v>
      </c>
      <c r="F1168" s="60" t="s">
        <v>4052</v>
      </c>
      <c r="G1168" s="28">
        <v>4901.51</v>
      </c>
    </row>
    <row r="1169" spans="1:7" x14ac:dyDescent="0.35">
      <c r="A1169" s="22" t="s">
        <v>2549</v>
      </c>
      <c r="C1169" s="26">
        <v>45900</v>
      </c>
      <c r="D1169" s="25">
        <v>35811</v>
      </c>
      <c r="E1169" s="25" t="s">
        <v>1475</v>
      </c>
      <c r="F1169" s="60" t="s">
        <v>4052</v>
      </c>
      <c r="G1169" s="28">
        <v>16880.89</v>
      </c>
    </row>
    <row r="1170" spans="1:7" x14ac:dyDescent="0.35">
      <c r="A1170" s="22" t="s">
        <v>2549</v>
      </c>
      <c r="C1170" s="26">
        <v>45900</v>
      </c>
      <c r="D1170" s="25" t="s">
        <v>3394</v>
      </c>
      <c r="E1170" s="25" t="s">
        <v>1475</v>
      </c>
      <c r="F1170" s="60" t="s">
        <v>4052</v>
      </c>
      <c r="G1170" s="28">
        <v>7960.82</v>
      </c>
    </row>
    <row r="1171" spans="1:7" x14ac:dyDescent="0.35">
      <c r="A1171" s="22" t="s">
        <v>2549</v>
      </c>
      <c r="C1171" s="26">
        <v>45900</v>
      </c>
      <c r="D1171" s="25" t="s">
        <v>3395</v>
      </c>
      <c r="E1171" s="25" t="s">
        <v>2459</v>
      </c>
      <c r="F1171" s="60" t="s">
        <v>4052</v>
      </c>
      <c r="G1171" s="28">
        <v>-500</v>
      </c>
    </row>
    <row r="1172" spans="1:7" x14ac:dyDescent="0.35">
      <c r="A1172" s="22" t="s">
        <v>2549</v>
      </c>
      <c r="C1172" s="26">
        <v>45900</v>
      </c>
      <c r="D1172" s="25" t="s">
        <v>3575</v>
      </c>
      <c r="E1172" s="25" t="s">
        <v>3576</v>
      </c>
      <c r="F1172" s="60" t="s">
        <v>4052</v>
      </c>
      <c r="G1172" s="28">
        <v>4923</v>
      </c>
    </row>
    <row r="1173" spans="1:7" x14ac:dyDescent="0.35">
      <c r="A1173" s="22" t="s">
        <v>2549</v>
      </c>
      <c r="C1173" s="26">
        <v>45900</v>
      </c>
      <c r="D1173" s="25" t="s">
        <v>4037</v>
      </c>
      <c r="E1173" s="25" t="s">
        <v>2831</v>
      </c>
      <c r="F1173" s="60" t="s">
        <v>4052</v>
      </c>
      <c r="G1173" s="28">
        <v>0.01</v>
      </c>
    </row>
    <row r="1174" spans="1:7" x14ac:dyDescent="0.35">
      <c r="A1174" s="22" t="s">
        <v>2549</v>
      </c>
      <c r="C1174" s="26">
        <v>45900</v>
      </c>
      <c r="D1174" s="25" t="s">
        <v>3408</v>
      </c>
      <c r="E1174" s="25" t="s">
        <v>1426</v>
      </c>
      <c r="F1174" s="60" t="s">
        <v>4052</v>
      </c>
      <c r="G1174" s="28">
        <v>4729.99</v>
      </c>
    </row>
    <row r="1175" spans="1:7" x14ac:dyDescent="0.35">
      <c r="A1175" s="22" t="s">
        <v>2549</v>
      </c>
      <c r="C1175" s="26">
        <v>45900</v>
      </c>
      <c r="D1175" s="25" t="s">
        <v>3410</v>
      </c>
      <c r="E1175" s="25" t="s">
        <v>3510</v>
      </c>
      <c r="F1175" s="60" t="s">
        <v>4052</v>
      </c>
      <c r="G1175" s="28">
        <v>1162.5899999999999</v>
      </c>
    </row>
    <row r="1176" spans="1:7" x14ac:dyDescent="0.35">
      <c r="A1176" s="22" t="s">
        <v>2549</v>
      </c>
      <c r="C1176" s="26">
        <v>45900</v>
      </c>
      <c r="D1176" s="25" t="s">
        <v>4038</v>
      </c>
      <c r="E1176" s="25" t="s">
        <v>2541</v>
      </c>
      <c r="F1176" s="60" t="s">
        <v>4052</v>
      </c>
      <c r="G1176" s="28">
        <v>1</v>
      </c>
    </row>
    <row r="1177" spans="1:7" x14ac:dyDescent="0.35">
      <c r="A1177" s="22" t="s">
        <v>2549</v>
      </c>
      <c r="C1177" s="26">
        <v>45900</v>
      </c>
      <c r="D1177" s="25">
        <v>37354</v>
      </c>
      <c r="E1177" s="25" t="s">
        <v>3511</v>
      </c>
      <c r="F1177" s="60" t="s">
        <v>4052</v>
      </c>
      <c r="G1177" s="28">
        <v>4000</v>
      </c>
    </row>
    <row r="1178" spans="1:7" x14ac:dyDescent="0.35">
      <c r="A1178" s="22" t="s">
        <v>2549</v>
      </c>
      <c r="C1178" s="26">
        <v>45900</v>
      </c>
      <c r="D1178" s="25">
        <v>37625</v>
      </c>
      <c r="E1178" s="25" t="s">
        <v>1280</v>
      </c>
      <c r="F1178" s="60" t="s">
        <v>4052</v>
      </c>
      <c r="G1178" s="28">
        <v>15690.18</v>
      </c>
    </row>
    <row r="1179" spans="1:7" x14ac:dyDescent="0.35">
      <c r="A1179" s="22" t="s">
        <v>2549</v>
      </c>
      <c r="C1179" s="26">
        <v>45900</v>
      </c>
      <c r="D1179" s="25">
        <v>37644</v>
      </c>
      <c r="E1179" s="25" t="s">
        <v>1280</v>
      </c>
      <c r="F1179" s="60" t="s">
        <v>4052</v>
      </c>
      <c r="G1179" s="28">
        <v>3264.14</v>
      </c>
    </row>
    <row r="1180" spans="1:7" x14ac:dyDescent="0.35">
      <c r="A1180" s="22" t="s">
        <v>2549</v>
      </c>
      <c r="C1180" s="26">
        <v>45900</v>
      </c>
      <c r="D1180" s="25">
        <v>37776</v>
      </c>
      <c r="E1180" s="25" t="s">
        <v>2313</v>
      </c>
      <c r="F1180" s="60" t="s">
        <v>4052</v>
      </c>
      <c r="G1180" s="28">
        <v>86.73</v>
      </c>
    </row>
    <row r="1181" spans="1:7" x14ac:dyDescent="0.35">
      <c r="A1181" s="22" t="s">
        <v>2549</v>
      </c>
      <c r="C1181" s="26">
        <v>45900</v>
      </c>
      <c r="D1181" s="25">
        <v>37903</v>
      </c>
      <c r="E1181" s="25" t="s">
        <v>2144</v>
      </c>
      <c r="F1181" s="60" t="s">
        <v>4052</v>
      </c>
      <c r="G1181" s="28">
        <v>1050</v>
      </c>
    </row>
    <row r="1182" spans="1:7" x14ac:dyDescent="0.35">
      <c r="A1182" s="22" t="s">
        <v>2549</v>
      </c>
      <c r="C1182" s="26">
        <v>45900</v>
      </c>
      <c r="D1182" s="25" t="s">
        <v>3430</v>
      </c>
      <c r="E1182" s="25" t="s">
        <v>2220</v>
      </c>
      <c r="F1182" s="60" t="s">
        <v>4052</v>
      </c>
      <c r="G1182" s="28">
        <v>8195.0400000000009</v>
      </c>
    </row>
    <row r="1183" spans="1:7" x14ac:dyDescent="0.35">
      <c r="A1183" s="22" t="s">
        <v>2549</v>
      </c>
      <c r="C1183" s="26">
        <v>45900</v>
      </c>
      <c r="D1183" s="25" t="s">
        <v>3435</v>
      </c>
      <c r="E1183" s="25" t="s">
        <v>2220</v>
      </c>
      <c r="F1183" s="60" t="s">
        <v>4052</v>
      </c>
      <c r="G1183" s="28">
        <v>18305.29</v>
      </c>
    </row>
    <row r="1184" spans="1:7" x14ac:dyDescent="0.35">
      <c r="A1184" s="22" t="s">
        <v>2549</v>
      </c>
      <c r="C1184" s="26">
        <v>45900</v>
      </c>
      <c r="D1184" s="25" t="s">
        <v>3437</v>
      </c>
      <c r="E1184" s="25" t="s">
        <v>2220</v>
      </c>
      <c r="F1184" s="60" t="s">
        <v>4052</v>
      </c>
      <c r="G1184" s="28">
        <v>1711.96</v>
      </c>
    </row>
    <row r="1185" spans="1:7" x14ac:dyDescent="0.35">
      <c r="A1185" s="22" t="s">
        <v>2549</v>
      </c>
      <c r="C1185" s="26">
        <v>45900</v>
      </c>
      <c r="D1185" s="25" t="s">
        <v>4040</v>
      </c>
      <c r="E1185" s="25" t="s">
        <v>4039</v>
      </c>
      <c r="F1185" s="60" t="s">
        <v>4052</v>
      </c>
      <c r="G1185" s="28">
        <v>0.02</v>
      </c>
    </row>
    <row r="1186" spans="1:7" x14ac:dyDescent="0.35">
      <c r="A1186" s="22" t="s">
        <v>2549</v>
      </c>
      <c r="C1186" s="26">
        <v>45900</v>
      </c>
      <c r="D1186" s="25" t="s">
        <v>4042</v>
      </c>
      <c r="E1186" s="25" t="s">
        <v>4041</v>
      </c>
      <c r="F1186" s="60" t="s">
        <v>4052</v>
      </c>
      <c r="G1186" s="28">
        <v>114.07</v>
      </c>
    </row>
    <row r="1187" spans="1:7" x14ac:dyDescent="0.35">
      <c r="A1187" s="22" t="s">
        <v>2549</v>
      </c>
      <c r="C1187" s="26">
        <v>45900</v>
      </c>
      <c r="D1187" s="25">
        <v>38215</v>
      </c>
      <c r="E1187" s="25" t="s">
        <v>3513</v>
      </c>
      <c r="F1187" s="60" t="s">
        <v>4052</v>
      </c>
      <c r="G1187" s="28">
        <v>2513.25</v>
      </c>
    </row>
    <row r="1188" spans="1:7" x14ac:dyDescent="0.35">
      <c r="A1188" s="22" t="s">
        <v>2549</v>
      </c>
      <c r="C1188" s="26">
        <v>45900</v>
      </c>
      <c r="D1188" s="25">
        <v>38262</v>
      </c>
      <c r="E1188" s="25" t="s">
        <v>2677</v>
      </c>
      <c r="F1188" s="60" t="s">
        <v>4052</v>
      </c>
      <c r="G1188" s="28">
        <v>364</v>
      </c>
    </row>
    <row r="1189" spans="1:7" x14ac:dyDescent="0.35">
      <c r="A1189" s="22" t="s">
        <v>2549</v>
      </c>
      <c r="C1189" s="26">
        <v>45900</v>
      </c>
      <c r="D1189" s="25" t="s">
        <v>3450</v>
      </c>
      <c r="E1189" s="25" t="s">
        <v>2677</v>
      </c>
      <c r="F1189" s="60" t="s">
        <v>4052</v>
      </c>
      <c r="G1189" s="28">
        <v>7850.61</v>
      </c>
    </row>
    <row r="1190" spans="1:7" x14ac:dyDescent="0.35">
      <c r="A1190" s="22" t="s">
        <v>2549</v>
      </c>
      <c r="C1190" s="26">
        <v>45900</v>
      </c>
      <c r="D1190" s="25">
        <v>38267</v>
      </c>
      <c r="E1190" s="25" t="s">
        <v>2677</v>
      </c>
      <c r="F1190" s="60" t="s">
        <v>4052</v>
      </c>
      <c r="G1190" s="28">
        <v>960.17</v>
      </c>
    </row>
    <row r="1191" spans="1:7" x14ac:dyDescent="0.35">
      <c r="A1191" s="22" t="s">
        <v>2549</v>
      </c>
      <c r="C1191" s="26">
        <v>45900</v>
      </c>
      <c r="D1191" s="25">
        <v>38317</v>
      </c>
      <c r="E1191" s="25" t="s">
        <v>3514</v>
      </c>
      <c r="F1191" s="60" t="s">
        <v>4052</v>
      </c>
      <c r="G1191" s="28">
        <v>2500</v>
      </c>
    </row>
    <row r="1192" spans="1:7" x14ac:dyDescent="0.35">
      <c r="A1192" s="22" t="s">
        <v>2549</v>
      </c>
      <c r="C1192" s="26">
        <v>45900</v>
      </c>
      <c r="D1192" s="25">
        <v>38473</v>
      </c>
      <c r="E1192" s="25" t="s">
        <v>1637</v>
      </c>
      <c r="F1192" s="60" t="s">
        <v>4052</v>
      </c>
      <c r="G1192" s="28">
        <v>8645</v>
      </c>
    </row>
    <row r="1193" spans="1:7" x14ac:dyDescent="0.35">
      <c r="A1193" s="22" t="s">
        <v>2549</v>
      </c>
      <c r="C1193" s="26">
        <v>45900</v>
      </c>
      <c r="D1193" s="25" t="s">
        <v>3462</v>
      </c>
      <c r="E1193" s="25" t="s">
        <v>1484</v>
      </c>
      <c r="F1193" s="60" t="s">
        <v>4052</v>
      </c>
      <c r="G1193" s="28">
        <v>135</v>
      </c>
    </row>
    <row r="1194" spans="1:7" x14ac:dyDescent="0.35">
      <c r="A1194" s="22" t="s">
        <v>2549</v>
      </c>
      <c r="C1194" s="26">
        <v>45900</v>
      </c>
      <c r="D1194" s="25">
        <v>38607</v>
      </c>
      <c r="E1194" s="25" t="s">
        <v>3514</v>
      </c>
      <c r="F1194" s="60" t="s">
        <v>4052</v>
      </c>
      <c r="G1194" s="28">
        <v>1400</v>
      </c>
    </row>
    <row r="1195" spans="1:7" x14ac:dyDescent="0.35">
      <c r="A1195" s="22" t="s">
        <v>2549</v>
      </c>
      <c r="C1195" s="26">
        <v>45900</v>
      </c>
      <c r="D1195" s="25">
        <v>38621</v>
      </c>
      <c r="E1195" s="25" t="s">
        <v>2459</v>
      </c>
      <c r="F1195" s="60" t="s">
        <v>4052</v>
      </c>
      <c r="G1195" s="28">
        <v>5537.5</v>
      </c>
    </row>
    <row r="1196" spans="1:7" x14ac:dyDescent="0.35">
      <c r="A1196" s="22" t="s">
        <v>2549</v>
      </c>
      <c r="C1196" s="26">
        <v>45900</v>
      </c>
      <c r="D1196" s="25">
        <v>38627</v>
      </c>
      <c r="E1196" s="25" t="s">
        <v>2144</v>
      </c>
      <c r="F1196" s="60" t="s">
        <v>4052</v>
      </c>
      <c r="G1196" s="28">
        <v>307.20999999999998</v>
      </c>
    </row>
    <row r="1197" spans="1:7" x14ac:dyDescent="0.35">
      <c r="A1197" s="22" t="s">
        <v>2549</v>
      </c>
      <c r="C1197" s="26">
        <v>45900</v>
      </c>
      <c r="D1197" s="25">
        <v>38636</v>
      </c>
      <c r="E1197" s="25" t="s">
        <v>3494</v>
      </c>
      <c r="F1197" s="60" t="s">
        <v>4052</v>
      </c>
      <c r="G1197" s="28">
        <v>1850</v>
      </c>
    </row>
    <row r="1198" spans="1:7" x14ac:dyDescent="0.35">
      <c r="A1198" s="22" t="s">
        <v>2549</v>
      </c>
      <c r="C1198" s="26">
        <v>45900</v>
      </c>
      <c r="D1198" s="25" t="s">
        <v>4043</v>
      </c>
      <c r="E1198" s="25" t="s">
        <v>2854</v>
      </c>
      <c r="F1198" s="60" t="s">
        <v>4052</v>
      </c>
      <c r="G1198" s="28">
        <v>2700</v>
      </c>
    </row>
    <row r="1199" spans="1:7" x14ac:dyDescent="0.35">
      <c r="A1199" s="22" t="s">
        <v>2549</v>
      </c>
      <c r="C1199" s="26">
        <v>45900</v>
      </c>
      <c r="D1199" s="25">
        <v>38670</v>
      </c>
      <c r="E1199" s="25" t="s">
        <v>2386</v>
      </c>
      <c r="F1199" s="60" t="s">
        <v>4052</v>
      </c>
      <c r="G1199" s="28">
        <v>0</v>
      </c>
    </row>
    <row r="1200" spans="1:7" x14ac:dyDescent="0.35">
      <c r="A1200" s="22" t="s">
        <v>2549</v>
      </c>
      <c r="C1200" s="26">
        <v>45900</v>
      </c>
      <c r="D1200" s="25" t="s">
        <v>3463</v>
      </c>
      <c r="E1200" s="25" t="s">
        <v>2220</v>
      </c>
      <c r="F1200" s="60" t="s">
        <v>4052</v>
      </c>
      <c r="G1200" s="28">
        <v>25843.3</v>
      </c>
    </row>
    <row r="1201" spans="1:7" x14ac:dyDescent="0.35">
      <c r="A1201" s="22" t="s">
        <v>2549</v>
      </c>
      <c r="C1201" s="26">
        <v>45900</v>
      </c>
      <c r="D1201" s="25" t="s">
        <v>4045</v>
      </c>
      <c r="E1201" s="25" t="s">
        <v>4044</v>
      </c>
      <c r="F1201" s="60" t="s">
        <v>4052</v>
      </c>
      <c r="G1201" s="28">
        <v>0.01</v>
      </c>
    </row>
    <row r="1202" spans="1:7" x14ac:dyDescent="0.35">
      <c r="A1202" s="22" t="s">
        <v>2549</v>
      </c>
      <c r="C1202" s="26">
        <v>45900</v>
      </c>
      <c r="D1202" s="25">
        <v>38701</v>
      </c>
      <c r="E1202" s="25" t="s">
        <v>3502</v>
      </c>
      <c r="F1202" s="60" t="s">
        <v>4052</v>
      </c>
      <c r="G1202" s="28">
        <v>1975</v>
      </c>
    </row>
    <row r="1203" spans="1:7" x14ac:dyDescent="0.35">
      <c r="A1203" s="22" t="s">
        <v>2549</v>
      </c>
      <c r="C1203" s="26">
        <v>45900</v>
      </c>
      <c r="D1203" s="25">
        <v>38718</v>
      </c>
      <c r="E1203" s="25" t="s">
        <v>3521</v>
      </c>
      <c r="F1203" s="60" t="s">
        <v>4052</v>
      </c>
      <c r="G1203" s="28">
        <v>750</v>
      </c>
    </row>
    <row r="1204" spans="1:7" x14ac:dyDescent="0.35">
      <c r="A1204" s="22" t="s">
        <v>2549</v>
      </c>
      <c r="C1204" s="26">
        <v>45900</v>
      </c>
      <c r="D1204" s="25">
        <v>38726</v>
      </c>
      <c r="E1204" s="25" t="s">
        <v>3523</v>
      </c>
      <c r="F1204" s="60" t="s">
        <v>4052</v>
      </c>
      <c r="G1204" s="28">
        <v>1250</v>
      </c>
    </row>
    <row r="1205" spans="1:7" x14ac:dyDescent="0.35">
      <c r="A1205" s="22" t="s">
        <v>2549</v>
      </c>
      <c r="C1205" s="26">
        <v>45900</v>
      </c>
      <c r="D1205" s="25">
        <v>38758</v>
      </c>
      <c r="E1205" s="25" t="s">
        <v>3475</v>
      </c>
      <c r="F1205" s="60" t="s">
        <v>4052</v>
      </c>
      <c r="G1205" s="28">
        <v>700</v>
      </c>
    </row>
    <row r="1206" spans="1:7" x14ac:dyDescent="0.35">
      <c r="A1206" s="22" t="s">
        <v>2549</v>
      </c>
      <c r="C1206" s="26">
        <v>45900</v>
      </c>
      <c r="D1206" s="25">
        <v>38785</v>
      </c>
      <c r="E1206" s="25" t="s">
        <v>3526</v>
      </c>
      <c r="F1206" s="60" t="s">
        <v>4052</v>
      </c>
      <c r="G1206" s="28">
        <v>857.38</v>
      </c>
    </row>
    <row r="1207" spans="1:7" x14ac:dyDescent="0.35">
      <c r="A1207" s="22" t="s">
        <v>2549</v>
      </c>
      <c r="C1207" s="26">
        <v>45900</v>
      </c>
      <c r="D1207" s="25">
        <v>38793</v>
      </c>
      <c r="E1207" s="25" t="s">
        <v>2189</v>
      </c>
      <c r="F1207" s="60" t="s">
        <v>4052</v>
      </c>
      <c r="G1207" s="28">
        <v>25</v>
      </c>
    </row>
    <row r="1208" spans="1:7" x14ac:dyDescent="0.35">
      <c r="A1208" s="22" t="s">
        <v>2549</v>
      </c>
      <c r="C1208" s="26">
        <v>45900</v>
      </c>
      <c r="D1208" s="25">
        <v>38795</v>
      </c>
      <c r="E1208" s="25" t="s">
        <v>3527</v>
      </c>
      <c r="F1208" s="60" t="s">
        <v>4052</v>
      </c>
      <c r="G1208" s="28">
        <v>286.63</v>
      </c>
    </row>
    <row r="1209" spans="1:7" x14ac:dyDescent="0.35">
      <c r="A1209" s="22" t="s">
        <v>2549</v>
      </c>
      <c r="C1209" s="26">
        <v>45900</v>
      </c>
      <c r="D1209" s="25">
        <v>38796</v>
      </c>
      <c r="E1209" s="25" t="s">
        <v>3528</v>
      </c>
      <c r="F1209" s="60" t="s">
        <v>4052</v>
      </c>
      <c r="G1209" s="28">
        <v>285</v>
      </c>
    </row>
    <row r="1210" spans="1:7" x14ac:dyDescent="0.35">
      <c r="A1210" s="22" t="s">
        <v>2549</v>
      </c>
      <c r="C1210" s="26">
        <v>45900</v>
      </c>
      <c r="D1210" s="25">
        <v>38799</v>
      </c>
      <c r="E1210" s="25" t="s">
        <v>3529</v>
      </c>
      <c r="F1210" s="60" t="s">
        <v>4052</v>
      </c>
      <c r="G1210" s="28">
        <v>75.34</v>
      </c>
    </row>
    <row r="1211" spans="1:7" x14ac:dyDescent="0.35">
      <c r="A1211" s="22" t="s">
        <v>2549</v>
      </c>
      <c r="C1211" s="26">
        <v>45900</v>
      </c>
      <c r="D1211" s="25">
        <v>38800</v>
      </c>
      <c r="E1211" s="25" t="s">
        <v>3530</v>
      </c>
      <c r="F1211" s="60" t="s">
        <v>4052</v>
      </c>
      <c r="G1211" s="28">
        <v>3170</v>
      </c>
    </row>
    <row r="1212" spans="1:7" x14ac:dyDescent="0.35">
      <c r="A1212" s="22" t="s">
        <v>2549</v>
      </c>
      <c r="C1212" s="26">
        <v>45900</v>
      </c>
      <c r="D1212" s="25">
        <v>38801</v>
      </c>
      <c r="E1212" s="25" t="s">
        <v>3531</v>
      </c>
      <c r="F1212" s="60" t="s">
        <v>4052</v>
      </c>
      <c r="G1212" s="28">
        <v>652.53</v>
      </c>
    </row>
    <row r="1213" spans="1:7" x14ac:dyDescent="0.35">
      <c r="A1213" s="22" t="s">
        <v>2549</v>
      </c>
      <c r="C1213" s="26">
        <v>45900</v>
      </c>
      <c r="D1213" s="25">
        <v>38803</v>
      </c>
      <c r="E1213" s="25" t="s">
        <v>3532</v>
      </c>
      <c r="F1213" s="60" t="s">
        <v>4052</v>
      </c>
      <c r="G1213" s="28">
        <v>1616.6</v>
      </c>
    </row>
    <row r="1214" spans="1:7" x14ac:dyDescent="0.35">
      <c r="A1214" s="22" t="s">
        <v>2549</v>
      </c>
      <c r="C1214" s="26">
        <v>45900</v>
      </c>
      <c r="D1214" s="25">
        <v>38809</v>
      </c>
      <c r="E1214" s="25" t="s">
        <v>3534</v>
      </c>
      <c r="F1214" s="60" t="s">
        <v>4052</v>
      </c>
      <c r="G1214" s="28">
        <v>1529.19</v>
      </c>
    </row>
    <row r="1215" spans="1:7" x14ac:dyDescent="0.35">
      <c r="A1215" s="22" t="s">
        <v>2549</v>
      </c>
      <c r="C1215" s="26">
        <v>45900</v>
      </c>
      <c r="D1215" s="25">
        <v>38815</v>
      </c>
      <c r="E1215" s="25" t="s">
        <v>3535</v>
      </c>
      <c r="F1215" s="60" t="s">
        <v>4052</v>
      </c>
      <c r="G1215" s="28">
        <v>2180</v>
      </c>
    </row>
    <row r="1216" spans="1:7" x14ac:dyDescent="0.35">
      <c r="A1216" s="22" t="s">
        <v>2549</v>
      </c>
      <c r="C1216" s="26">
        <v>45900</v>
      </c>
      <c r="D1216" s="25">
        <v>38820</v>
      </c>
      <c r="E1216" s="25" t="s">
        <v>3537</v>
      </c>
      <c r="F1216" s="60" t="s">
        <v>4052</v>
      </c>
      <c r="G1216" s="28">
        <v>9000</v>
      </c>
    </row>
    <row r="1217" spans="1:7" x14ac:dyDescent="0.35">
      <c r="A1217" s="22" t="s">
        <v>2549</v>
      </c>
      <c r="C1217" s="26">
        <v>45900</v>
      </c>
      <c r="D1217" s="25">
        <v>38822</v>
      </c>
      <c r="E1217" s="25" t="s">
        <v>3578</v>
      </c>
      <c r="F1217" s="60" t="s">
        <v>4052</v>
      </c>
      <c r="G1217" s="28">
        <v>325.02999999999997</v>
      </c>
    </row>
    <row r="1218" spans="1:7" x14ac:dyDescent="0.35">
      <c r="A1218" s="22" t="s">
        <v>2549</v>
      </c>
      <c r="C1218" s="26">
        <v>45900</v>
      </c>
      <c r="D1218" s="25">
        <v>38853</v>
      </c>
      <c r="E1218" s="25" t="s">
        <v>3542</v>
      </c>
      <c r="F1218" s="60" t="s">
        <v>4052</v>
      </c>
      <c r="G1218" s="28">
        <v>672.97</v>
      </c>
    </row>
    <row r="1219" spans="1:7" x14ac:dyDescent="0.35">
      <c r="A1219" s="22" t="s">
        <v>2549</v>
      </c>
      <c r="C1219" s="26">
        <v>45900</v>
      </c>
      <c r="D1219" s="25">
        <v>38854</v>
      </c>
      <c r="E1219" s="25" t="s">
        <v>3543</v>
      </c>
      <c r="F1219" s="60" t="s">
        <v>4052</v>
      </c>
      <c r="G1219" s="28">
        <v>3779.52</v>
      </c>
    </row>
    <row r="1220" spans="1:7" x14ac:dyDescent="0.35">
      <c r="A1220" s="22" t="s">
        <v>2549</v>
      </c>
      <c r="C1220" s="26">
        <v>45900</v>
      </c>
      <c r="D1220" s="25">
        <v>38855</v>
      </c>
      <c r="E1220" s="25" t="s">
        <v>3544</v>
      </c>
      <c r="F1220" s="60" t="s">
        <v>4052</v>
      </c>
      <c r="G1220" s="28">
        <v>1663.75</v>
      </c>
    </row>
    <row r="1221" spans="1:7" x14ac:dyDescent="0.35">
      <c r="A1221" s="22" t="s">
        <v>2549</v>
      </c>
      <c r="C1221" s="26">
        <v>45900</v>
      </c>
      <c r="D1221" s="25">
        <v>38868</v>
      </c>
      <c r="E1221" s="25" t="s">
        <v>3548</v>
      </c>
      <c r="F1221" s="60" t="s">
        <v>4052</v>
      </c>
      <c r="G1221" s="28">
        <v>500</v>
      </c>
    </row>
    <row r="1222" spans="1:7" x14ac:dyDescent="0.35">
      <c r="A1222" s="22" t="s">
        <v>2549</v>
      </c>
      <c r="C1222" s="26">
        <v>45900</v>
      </c>
      <c r="D1222" s="25">
        <v>38871</v>
      </c>
      <c r="E1222" s="25" t="s">
        <v>3500</v>
      </c>
      <c r="F1222" s="60" t="s">
        <v>4052</v>
      </c>
      <c r="G1222" s="28">
        <v>1165.3499999999999</v>
      </c>
    </row>
    <row r="1223" spans="1:7" x14ac:dyDescent="0.35">
      <c r="A1223" s="22" t="s">
        <v>2549</v>
      </c>
      <c r="C1223" s="26">
        <v>45900</v>
      </c>
      <c r="D1223" s="25">
        <v>38880</v>
      </c>
      <c r="E1223" s="25" t="s">
        <v>1656</v>
      </c>
      <c r="F1223" s="60" t="s">
        <v>4052</v>
      </c>
      <c r="G1223" s="28">
        <v>900</v>
      </c>
    </row>
    <row r="1224" spans="1:7" x14ac:dyDescent="0.35">
      <c r="A1224" s="22" t="s">
        <v>2549</v>
      </c>
      <c r="C1224" s="26">
        <v>45900</v>
      </c>
      <c r="D1224" s="25">
        <v>38884</v>
      </c>
      <c r="E1224" s="25" t="s">
        <v>3545</v>
      </c>
      <c r="F1224" s="60" t="s">
        <v>4052</v>
      </c>
      <c r="G1224" s="28">
        <v>0</v>
      </c>
    </row>
    <row r="1225" spans="1:7" x14ac:dyDescent="0.35">
      <c r="A1225" s="22" t="s">
        <v>2549</v>
      </c>
      <c r="C1225" s="26">
        <v>45900</v>
      </c>
      <c r="D1225" s="25">
        <v>38904</v>
      </c>
      <c r="E1225" s="25" t="s">
        <v>3549</v>
      </c>
      <c r="F1225" s="60" t="s">
        <v>4052</v>
      </c>
      <c r="G1225" s="28">
        <v>1420</v>
      </c>
    </row>
    <row r="1226" spans="1:7" x14ac:dyDescent="0.35">
      <c r="A1226" s="22" t="s">
        <v>2549</v>
      </c>
      <c r="C1226" s="26">
        <v>45900</v>
      </c>
      <c r="D1226" s="25">
        <v>38909</v>
      </c>
      <c r="E1226" s="25" t="s">
        <v>3550</v>
      </c>
      <c r="F1226" s="60" t="s">
        <v>4052</v>
      </c>
      <c r="G1226" s="28">
        <v>1625</v>
      </c>
    </row>
    <row r="1227" spans="1:7" x14ac:dyDescent="0.35">
      <c r="A1227" s="22" t="s">
        <v>2549</v>
      </c>
      <c r="C1227" s="26">
        <v>45900</v>
      </c>
      <c r="D1227" s="25">
        <v>38912</v>
      </c>
      <c r="E1227" s="25" t="s">
        <v>3552</v>
      </c>
      <c r="F1227" s="60" t="s">
        <v>4052</v>
      </c>
      <c r="G1227" s="28">
        <v>5464.8099999999995</v>
      </c>
    </row>
    <row r="1228" spans="1:7" x14ac:dyDescent="0.35">
      <c r="A1228" s="22" t="s">
        <v>2549</v>
      </c>
      <c r="C1228" s="26">
        <v>45900</v>
      </c>
      <c r="D1228" s="25">
        <v>38913</v>
      </c>
      <c r="E1228" s="25" t="s">
        <v>3553</v>
      </c>
      <c r="F1228" s="60" t="s">
        <v>4052</v>
      </c>
      <c r="G1228" s="28">
        <v>27.17</v>
      </c>
    </row>
    <row r="1229" spans="1:7" x14ac:dyDescent="0.35">
      <c r="A1229" s="22" t="s">
        <v>2549</v>
      </c>
      <c r="C1229" s="26">
        <v>45900</v>
      </c>
      <c r="D1229" s="25">
        <v>38915</v>
      </c>
      <c r="E1229" s="25" t="s">
        <v>3554</v>
      </c>
      <c r="F1229" s="60" t="s">
        <v>4052</v>
      </c>
      <c r="G1229" s="28">
        <v>409.9</v>
      </c>
    </row>
    <row r="1230" spans="1:7" x14ac:dyDescent="0.35">
      <c r="A1230" s="22" t="s">
        <v>2549</v>
      </c>
      <c r="C1230" s="26">
        <v>45900</v>
      </c>
      <c r="D1230" s="25">
        <v>38916</v>
      </c>
      <c r="E1230" s="25" t="s">
        <v>3555</v>
      </c>
      <c r="F1230" s="60" t="s">
        <v>4052</v>
      </c>
      <c r="G1230" s="28">
        <v>553.87</v>
      </c>
    </row>
    <row r="1231" spans="1:7" x14ac:dyDescent="0.35">
      <c r="A1231" s="22" t="s">
        <v>2549</v>
      </c>
      <c r="C1231" s="26">
        <v>45900</v>
      </c>
      <c r="D1231" s="25">
        <v>38921</v>
      </c>
      <c r="E1231" s="25" t="s">
        <v>3556</v>
      </c>
      <c r="F1231" s="60" t="s">
        <v>4052</v>
      </c>
      <c r="G1231" s="28">
        <v>180.95</v>
      </c>
    </row>
    <row r="1232" spans="1:7" x14ac:dyDescent="0.35">
      <c r="A1232" s="22" t="s">
        <v>2549</v>
      </c>
      <c r="C1232" s="26">
        <v>45900</v>
      </c>
      <c r="D1232" s="25">
        <v>38942</v>
      </c>
      <c r="E1232" s="25" t="s">
        <v>3557</v>
      </c>
      <c r="F1232" s="60" t="s">
        <v>4052</v>
      </c>
      <c r="G1232" s="28">
        <v>40</v>
      </c>
    </row>
    <row r="1233" spans="1:7" x14ac:dyDescent="0.35">
      <c r="A1233" s="22" t="s">
        <v>2549</v>
      </c>
      <c r="C1233" s="26">
        <v>45900</v>
      </c>
      <c r="D1233" s="25">
        <v>38946</v>
      </c>
      <c r="E1233" s="25" t="s">
        <v>3558</v>
      </c>
      <c r="F1233" s="60" t="s">
        <v>4052</v>
      </c>
      <c r="G1233" s="28">
        <v>965.5</v>
      </c>
    </row>
    <row r="1234" spans="1:7" x14ac:dyDescent="0.35">
      <c r="A1234" s="22" t="s">
        <v>2549</v>
      </c>
      <c r="C1234" s="26">
        <v>45900</v>
      </c>
      <c r="D1234" s="25">
        <v>38959</v>
      </c>
      <c r="E1234" s="25" t="s">
        <v>2854</v>
      </c>
      <c r="F1234" s="60" t="s">
        <v>4052</v>
      </c>
      <c r="G1234" s="28">
        <v>1329</v>
      </c>
    </row>
    <row r="1235" spans="1:7" x14ac:dyDescent="0.35">
      <c r="A1235" s="22" t="s">
        <v>2549</v>
      </c>
      <c r="C1235" s="26">
        <v>45900</v>
      </c>
      <c r="D1235" s="25">
        <v>38965</v>
      </c>
      <c r="E1235" s="25" t="s">
        <v>3562</v>
      </c>
      <c r="F1235" s="60" t="s">
        <v>4052</v>
      </c>
      <c r="G1235" s="28">
        <v>569.25</v>
      </c>
    </row>
    <row r="1236" spans="1:7" x14ac:dyDescent="0.35">
      <c r="A1236" s="22" t="s">
        <v>2549</v>
      </c>
      <c r="C1236" s="26">
        <v>45900</v>
      </c>
      <c r="D1236" s="25">
        <v>38974</v>
      </c>
      <c r="E1236" s="25" t="s">
        <v>3563</v>
      </c>
      <c r="F1236" s="60" t="s">
        <v>4052</v>
      </c>
      <c r="G1236" s="28">
        <v>487.85</v>
      </c>
    </row>
    <row r="1237" spans="1:7" x14ac:dyDescent="0.35">
      <c r="A1237" s="22" t="s">
        <v>2549</v>
      </c>
      <c r="C1237" s="26">
        <v>45900</v>
      </c>
      <c r="D1237" s="25">
        <v>38985</v>
      </c>
      <c r="E1237" s="25" t="s">
        <v>3564</v>
      </c>
      <c r="F1237" s="60" t="s">
        <v>4052</v>
      </c>
      <c r="G1237" s="28">
        <v>434.92</v>
      </c>
    </row>
    <row r="1238" spans="1:7" x14ac:dyDescent="0.35">
      <c r="A1238" s="22" t="s">
        <v>2549</v>
      </c>
      <c r="C1238" s="26">
        <v>45900</v>
      </c>
      <c r="D1238" s="25">
        <v>38992</v>
      </c>
      <c r="E1238" s="25" t="s">
        <v>2258</v>
      </c>
      <c r="F1238" s="60" t="s">
        <v>4052</v>
      </c>
      <c r="G1238" s="28">
        <v>980</v>
      </c>
    </row>
    <row r="1239" spans="1:7" x14ac:dyDescent="0.35">
      <c r="A1239" s="22" t="s">
        <v>2549</v>
      </c>
      <c r="C1239" s="26">
        <v>45900</v>
      </c>
      <c r="D1239" s="25">
        <v>38997</v>
      </c>
      <c r="E1239" s="25" t="s">
        <v>1924</v>
      </c>
      <c r="F1239" s="60" t="s">
        <v>4052</v>
      </c>
      <c r="G1239" s="28">
        <v>1687</v>
      </c>
    </row>
    <row r="1240" spans="1:7" x14ac:dyDescent="0.35">
      <c r="A1240" s="22" t="s">
        <v>2549</v>
      </c>
      <c r="C1240" s="26">
        <v>45900</v>
      </c>
      <c r="D1240" s="25">
        <v>38998</v>
      </c>
      <c r="E1240" s="25" t="s">
        <v>3565</v>
      </c>
      <c r="F1240" s="60" t="s">
        <v>4052</v>
      </c>
      <c r="G1240" s="28">
        <v>646.12</v>
      </c>
    </row>
    <row r="1241" spans="1:7" x14ac:dyDescent="0.35">
      <c r="A1241" s="22" t="s">
        <v>2549</v>
      </c>
      <c r="C1241" s="26">
        <v>45900</v>
      </c>
      <c r="D1241" s="25">
        <v>38999</v>
      </c>
      <c r="E1241" s="25" t="s">
        <v>2429</v>
      </c>
      <c r="F1241" s="60" t="s">
        <v>4052</v>
      </c>
      <c r="G1241" s="28">
        <v>3060</v>
      </c>
    </row>
    <row r="1242" spans="1:7" x14ac:dyDescent="0.35">
      <c r="A1242" s="22" t="s">
        <v>2549</v>
      </c>
      <c r="C1242" s="26">
        <v>45900</v>
      </c>
      <c r="D1242" s="25">
        <v>39003</v>
      </c>
      <c r="E1242" s="25" t="s">
        <v>3566</v>
      </c>
      <c r="F1242" s="60" t="s">
        <v>4052</v>
      </c>
      <c r="G1242" s="28">
        <v>2575.75</v>
      </c>
    </row>
    <row r="1243" spans="1:7" x14ac:dyDescent="0.35">
      <c r="A1243" s="22" t="s">
        <v>2549</v>
      </c>
      <c r="C1243" s="26">
        <v>45900</v>
      </c>
      <c r="D1243" s="25">
        <v>39009</v>
      </c>
      <c r="E1243" s="25" t="s">
        <v>3565</v>
      </c>
      <c r="F1243" s="60" t="s">
        <v>4052</v>
      </c>
      <c r="G1243" s="28">
        <v>1649.25</v>
      </c>
    </row>
    <row r="1244" spans="1:7" x14ac:dyDescent="0.35">
      <c r="A1244" s="22" t="s">
        <v>2549</v>
      </c>
      <c r="C1244" s="26">
        <v>45900</v>
      </c>
      <c r="D1244" s="25">
        <v>39063</v>
      </c>
      <c r="E1244" s="25" t="s">
        <v>3567</v>
      </c>
      <c r="F1244" s="60" t="s">
        <v>4052</v>
      </c>
      <c r="G1244" s="28">
        <v>781</v>
      </c>
    </row>
    <row r="1245" spans="1:7" x14ac:dyDescent="0.35">
      <c r="A1245" s="22" t="s">
        <v>2549</v>
      </c>
      <c r="C1245" s="26">
        <v>45900</v>
      </c>
      <c r="D1245" s="25">
        <v>39073</v>
      </c>
      <c r="E1245" s="25" t="s">
        <v>3544</v>
      </c>
      <c r="F1245" s="60" t="s">
        <v>4052</v>
      </c>
      <c r="G1245" s="28">
        <v>629.22</v>
      </c>
    </row>
    <row r="1246" spans="1:7" x14ac:dyDescent="0.35">
      <c r="A1246" s="22" t="s">
        <v>2549</v>
      </c>
      <c r="C1246" s="26">
        <v>45900</v>
      </c>
      <c r="D1246" s="25">
        <v>39074</v>
      </c>
      <c r="E1246" s="25" t="s">
        <v>3544</v>
      </c>
      <c r="F1246" s="60" t="s">
        <v>4052</v>
      </c>
      <c r="G1246" s="28">
        <v>862.5</v>
      </c>
    </row>
    <row r="1247" spans="1:7" x14ac:dyDescent="0.35">
      <c r="A1247" s="22" t="s">
        <v>2549</v>
      </c>
      <c r="C1247" s="26">
        <v>45900</v>
      </c>
      <c r="D1247" s="25">
        <v>39084</v>
      </c>
      <c r="E1247" s="25" t="s">
        <v>2459</v>
      </c>
      <c r="F1247" s="60" t="s">
        <v>4052</v>
      </c>
      <c r="G1247" s="28">
        <v>4500</v>
      </c>
    </row>
    <row r="1248" spans="1:7" x14ac:dyDescent="0.35">
      <c r="A1248" s="22" t="s">
        <v>2549</v>
      </c>
      <c r="C1248" s="26">
        <v>45900</v>
      </c>
      <c r="D1248" s="25">
        <v>39085</v>
      </c>
      <c r="E1248" s="25" t="s">
        <v>4046</v>
      </c>
      <c r="F1248" s="60" t="s">
        <v>4052</v>
      </c>
      <c r="G1248" s="28">
        <v>1331.91</v>
      </c>
    </row>
    <row r="1249" spans="1:8" x14ac:dyDescent="0.35">
      <c r="A1249" s="22" t="s">
        <v>2549</v>
      </c>
      <c r="C1249" s="26">
        <v>45900</v>
      </c>
      <c r="D1249" s="25">
        <v>39087</v>
      </c>
      <c r="E1249" s="25" t="s">
        <v>1358</v>
      </c>
      <c r="F1249" s="60" t="s">
        <v>4052</v>
      </c>
      <c r="G1249" s="28">
        <v>11.76</v>
      </c>
    </row>
    <row r="1250" spans="1:8" x14ac:dyDescent="0.35">
      <c r="A1250" s="22" t="s">
        <v>2549</v>
      </c>
      <c r="C1250" s="26">
        <v>45900</v>
      </c>
      <c r="D1250" s="25">
        <v>39088</v>
      </c>
      <c r="E1250" s="25" t="s">
        <v>3568</v>
      </c>
      <c r="F1250" s="60" t="s">
        <v>4052</v>
      </c>
      <c r="G1250" s="28">
        <v>2230</v>
      </c>
    </row>
    <row r="1251" spans="1:8" x14ac:dyDescent="0.35">
      <c r="A1251" s="22" t="s">
        <v>2549</v>
      </c>
      <c r="C1251" s="26">
        <v>45900</v>
      </c>
      <c r="D1251" s="25">
        <v>39089</v>
      </c>
      <c r="E1251" s="25" t="s">
        <v>3500</v>
      </c>
      <c r="F1251" s="60" t="s">
        <v>4052</v>
      </c>
      <c r="G1251" s="28">
        <v>200</v>
      </c>
    </row>
    <row r="1252" spans="1:8" x14ac:dyDescent="0.35">
      <c r="A1252" s="22" t="s">
        <v>2549</v>
      </c>
      <c r="C1252" s="26">
        <v>45900</v>
      </c>
      <c r="D1252" s="25">
        <v>39102</v>
      </c>
      <c r="E1252" s="25" t="s">
        <v>3570</v>
      </c>
      <c r="F1252" s="60" t="s">
        <v>4052</v>
      </c>
      <c r="G1252" s="28">
        <v>0.02</v>
      </c>
    </row>
    <row r="1253" spans="1:8" x14ac:dyDescent="0.35">
      <c r="A1253" s="22" t="s">
        <v>2549</v>
      </c>
      <c r="C1253" s="26">
        <v>45900</v>
      </c>
      <c r="D1253" s="25">
        <v>39107</v>
      </c>
      <c r="E1253" s="25" t="s">
        <v>3230</v>
      </c>
      <c r="F1253" s="60" t="s">
        <v>4052</v>
      </c>
      <c r="G1253" s="28">
        <v>0.13</v>
      </c>
    </row>
    <row r="1254" spans="1:8" x14ac:dyDescent="0.35">
      <c r="A1254" s="22" t="s">
        <v>2549</v>
      </c>
      <c r="C1254" s="26">
        <v>45900</v>
      </c>
      <c r="D1254" s="25">
        <v>39111</v>
      </c>
      <c r="E1254" s="25" t="s">
        <v>1999</v>
      </c>
      <c r="F1254" s="60" t="s">
        <v>4052</v>
      </c>
      <c r="G1254" s="28">
        <v>1</v>
      </c>
    </row>
    <row r="1255" spans="1:8" x14ac:dyDescent="0.35">
      <c r="A1255" s="22" t="s">
        <v>2549</v>
      </c>
      <c r="C1255" s="26">
        <v>45900</v>
      </c>
      <c r="D1255" s="25">
        <v>39115</v>
      </c>
      <c r="E1255" s="25" t="s">
        <v>2067</v>
      </c>
      <c r="F1255" s="60" t="s">
        <v>4052</v>
      </c>
      <c r="G1255" s="28">
        <v>0.08</v>
      </c>
    </row>
    <row r="1256" spans="1:8" x14ac:dyDescent="0.35">
      <c r="A1256" s="22" t="s">
        <v>2549</v>
      </c>
      <c r="C1256" s="26">
        <v>45900</v>
      </c>
      <c r="D1256" s="25">
        <v>39122</v>
      </c>
      <c r="E1256" s="25" t="s">
        <v>2459</v>
      </c>
      <c r="F1256" s="60" t="s">
        <v>4052</v>
      </c>
      <c r="G1256" s="28">
        <v>0.01</v>
      </c>
    </row>
    <row r="1257" spans="1:8" x14ac:dyDescent="0.35">
      <c r="A1257" s="22" t="s">
        <v>2549</v>
      </c>
      <c r="C1257" s="26">
        <v>45900</v>
      </c>
      <c r="D1257" s="25">
        <v>39124</v>
      </c>
      <c r="E1257" s="25" t="s">
        <v>2392</v>
      </c>
      <c r="F1257" s="60" t="s">
        <v>4052</v>
      </c>
      <c r="G1257" s="28">
        <v>0.01</v>
      </c>
    </row>
    <row r="1258" spans="1:8" x14ac:dyDescent="0.35">
      <c r="A1258" s="22"/>
      <c r="B1258" s="22" t="s">
        <v>2550</v>
      </c>
      <c r="C1258" s="26">
        <v>45870</v>
      </c>
      <c r="D1258" s="25" t="s">
        <v>2637</v>
      </c>
      <c r="E1258" s="25" t="s">
        <v>1263</v>
      </c>
      <c r="F1258" s="53" t="s">
        <v>3812</v>
      </c>
      <c r="H1258" s="28">
        <v>38753.19</v>
      </c>
    </row>
    <row r="1259" spans="1:8" x14ac:dyDescent="0.35">
      <c r="A1259" s="22"/>
      <c r="B1259" s="22" t="s">
        <v>2550</v>
      </c>
      <c r="C1259" s="26">
        <v>45873</v>
      </c>
      <c r="D1259" s="25" t="s">
        <v>2638</v>
      </c>
      <c r="E1259" s="25" t="s">
        <v>1475</v>
      </c>
      <c r="F1259" s="53" t="s">
        <v>3812</v>
      </c>
      <c r="H1259" s="28">
        <v>17770.829999999998</v>
      </c>
    </row>
    <row r="1260" spans="1:8" x14ac:dyDescent="0.35">
      <c r="A1260" s="22"/>
      <c r="B1260" s="22" t="s">
        <v>2550</v>
      </c>
      <c r="C1260" s="26">
        <v>45873</v>
      </c>
      <c r="D1260" s="25">
        <v>38633</v>
      </c>
      <c r="E1260" s="25" t="s">
        <v>2644</v>
      </c>
      <c r="F1260" s="53" t="s">
        <v>3812</v>
      </c>
      <c r="H1260" s="28">
        <v>1066.07</v>
      </c>
    </row>
    <row r="1261" spans="1:8" x14ac:dyDescent="0.35">
      <c r="A1261" s="22"/>
      <c r="B1261" s="22" t="s">
        <v>2550</v>
      </c>
      <c r="C1261" s="26">
        <v>45874</v>
      </c>
      <c r="D1261" s="25" t="s">
        <v>2639</v>
      </c>
      <c r="E1261" s="25" t="s">
        <v>1582</v>
      </c>
      <c r="F1261" s="53" t="s">
        <v>3812</v>
      </c>
      <c r="H1261" s="28">
        <v>11850.06</v>
      </c>
    </row>
    <row r="1262" spans="1:8" x14ac:dyDescent="0.35">
      <c r="A1262" s="22"/>
      <c r="B1262" s="22" t="s">
        <v>2550</v>
      </c>
      <c r="C1262" s="26">
        <v>45874</v>
      </c>
      <c r="D1262" s="25" t="s">
        <v>2640</v>
      </c>
      <c r="E1262" s="25" t="s">
        <v>2628</v>
      </c>
      <c r="F1262" s="53" t="s">
        <v>3812</v>
      </c>
      <c r="H1262" s="28">
        <v>13724.09</v>
      </c>
    </row>
    <row r="1263" spans="1:8" x14ac:dyDescent="0.35">
      <c r="A1263" s="22"/>
      <c r="B1263" s="22" t="s">
        <v>2550</v>
      </c>
      <c r="C1263" s="26">
        <v>45874</v>
      </c>
      <c r="D1263" s="25" t="s">
        <v>2641</v>
      </c>
      <c r="E1263" s="25" t="s">
        <v>2628</v>
      </c>
      <c r="F1263" s="53" t="s">
        <v>3812</v>
      </c>
      <c r="H1263" s="28">
        <v>8320.26</v>
      </c>
    </row>
    <row r="1264" spans="1:8" x14ac:dyDescent="0.35">
      <c r="A1264" s="22"/>
      <c r="B1264" s="22" t="s">
        <v>2550</v>
      </c>
      <c r="C1264" s="26">
        <v>45874</v>
      </c>
      <c r="D1264" s="25" t="s">
        <v>2642</v>
      </c>
      <c r="E1264" s="25" t="s">
        <v>2628</v>
      </c>
      <c r="F1264" s="53" t="s">
        <v>3812</v>
      </c>
      <c r="H1264" s="28">
        <v>1850</v>
      </c>
    </row>
    <row r="1265" spans="1:8" x14ac:dyDescent="0.35">
      <c r="A1265" s="22"/>
      <c r="B1265" s="22" t="s">
        <v>2550</v>
      </c>
      <c r="C1265" s="26">
        <v>45876</v>
      </c>
      <c r="D1265" s="25">
        <v>37687</v>
      </c>
      <c r="E1265" s="25" t="s">
        <v>1263</v>
      </c>
      <c r="F1265" s="53" t="s">
        <v>3812</v>
      </c>
      <c r="H1265" s="28">
        <v>256</v>
      </c>
    </row>
    <row r="1266" spans="1:8" x14ac:dyDescent="0.35">
      <c r="A1266" s="22"/>
      <c r="B1266" s="22" t="s">
        <v>2550</v>
      </c>
      <c r="C1266" s="26">
        <v>45876</v>
      </c>
      <c r="D1266" s="25" t="s">
        <v>2643</v>
      </c>
      <c r="E1266" s="25" t="s">
        <v>1263</v>
      </c>
      <c r="F1266" s="53" t="s">
        <v>3812</v>
      </c>
      <c r="H1266" s="28">
        <v>136.08000000000001</v>
      </c>
    </row>
    <row r="1267" spans="1:8" x14ac:dyDescent="0.35">
      <c r="A1267" s="22"/>
      <c r="B1267" s="22" t="s">
        <v>2550</v>
      </c>
      <c r="C1267" s="26">
        <v>45876</v>
      </c>
      <c r="D1267" s="25">
        <v>38661</v>
      </c>
      <c r="E1267" s="25" t="s">
        <v>2650</v>
      </c>
      <c r="F1267" s="53" t="s">
        <v>3812</v>
      </c>
      <c r="H1267" s="28">
        <v>5066</v>
      </c>
    </row>
    <row r="1268" spans="1:8" x14ac:dyDescent="0.35">
      <c r="A1268" s="22"/>
      <c r="B1268" s="22" t="s">
        <v>2550</v>
      </c>
      <c r="C1268" s="26">
        <v>45877</v>
      </c>
      <c r="D1268" s="25">
        <v>36248</v>
      </c>
      <c r="E1268" s="25" t="s">
        <v>1839</v>
      </c>
      <c r="F1268" s="53" t="s">
        <v>3812</v>
      </c>
      <c r="H1268" s="28">
        <v>36.36</v>
      </c>
    </row>
    <row r="1269" spans="1:8" x14ac:dyDescent="0.35">
      <c r="A1269" s="22"/>
      <c r="B1269" s="22" t="s">
        <v>2550</v>
      </c>
      <c r="C1269" s="26">
        <v>45877</v>
      </c>
      <c r="D1269" s="25">
        <v>36250</v>
      </c>
      <c r="E1269" s="25" t="s">
        <v>1839</v>
      </c>
      <c r="F1269" s="53" t="s">
        <v>3812</v>
      </c>
      <c r="H1269" s="28">
        <v>11139.99</v>
      </c>
    </row>
    <row r="1270" spans="1:8" x14ac:dyDescent="0.35">
      <c r="A1270" s="22"/>
      <c r="B1270" s="22" t="s">
        <v>2550</v>
      </c>
      <c r="C1270" s="26">
        <v>45877</v>
      </c>
      <c r="D1270" s="25" t="s">
        <v>2645</v>
      </c>
      <c r="E1270" s="25" t="s">
        <v>1035</v>
      </c>
      <c r="F1270" s="53" t="s">
        <v>3812</v>
      </c>
      <c r="H1270" s="28">
        <v>0</v>
      </c>
    </row>
    <row r="1271" spans="1:8" x14ac:dyDescent="0.35">
      <c r="A1271" s="22"/>
      <c r="B1271" s="22" t="s">
        <v>2550</v>
      </c>
      <c r="C1271" s="26">
        <v>45877</v>
      </c>
      <c r="D1271" s="25">
        <v>38292</v>
      </c>
      <c r="E1271" s="25" t="s">
        <v>2662</v>
      </c>
      <c r="F1271" s="53" t="s">
        <v>3812</v>
      </c>
      <c r="H1271" s="28">
        <v>11678.810000000001</v>
      </c>
    </row>
    <row r="1272" spans="1:8" x14ac:dyDescent="0.35">
      <c r="A1272" s="22"/>
      <c r="B1272" s="22" t="s">
        <v>2550</v>
      </c>
      <c r="C1272" s="26">
        <v>45877</v>
      </c>
      <c r="D1272" s="25" t="s">
        <v>2646</v>
      </c>
      <c r="E1272" s="25" t="s">
        <v>2662</v>
      </c>
      <c r="F1272" s="53" t="s">
        <v>3812</v>
      </c>
      <c r="H1272" s="28">
        <v>13696.2</v>
      </c>
    </row>
    <row r="1273" spans="1:8" x14ac:dyDescent="0.35">
      <c r="A1273" s="22"/>
      <c r="B1273" s="22" t="s">
        <v>2550</v>
      </c>
      <c r="C1273" s="26">
        <v>45880</v>
      </c>
      <c r="D1273" s="25" t="s">
        <v>2647</v>
      </c>
      <c r="E1273" s="25" t="s">
        <v>1179</v>
      </c>
      <c r="F1273" s="53" t="s">
        <v>3812</v>
      </c>
      <c r="H1273" s="28">
        <v>338.1</v>
      </c>
    </row>
    <row r="1274" spans="1:8" x14ac:dyDescent="0.35">
      <c r="A1274" s="22"/>
      <c r="B1274" s="22" t="s">
        <v>2550</v>
      </c>
      <c r="C1274" s="26">
        <v>45880</v>
      </c>
      <c r="D1274" s="25">
        <v>38259</v>
      </c>
      <c r="E1274" s="25" t="s">
        <v>2677</v>
      </c>
      <c r="F1274" s="53" t="s">
        <v>3812</v>
      </c>
      <c r="H1274" s="28">
        <v>326.43</v>
      </c>
    </row>
    <row r="1275" spans="1:8" x14ac:dyDescent="0.35">
      <c r="A1275" s="22"/>
      <c r="B1275" s="22" t="s">
        <v>2550</v>
      </c>
      <c r="C1275" s="26">
        <v>45880</v>
      </c>
      <c r="D1275" s="25">
        <v>38260</v>
      </c>
      <c r="E1275" s="25" t="s">
        <v>2677</v>
      </c>
      <c r="F1275" s="53" t="s">
        <v>3812</v>
      </c>
      <c r="H1275" s="28">
        <v>5925.3899999999994</v>
      </c>
    </row>
    <row r="1276" spans="1:8" x14ac:dyDescent="0.35">
      <c r="A1276" s="22"/>
      <c r="B1276" s="22" t="s">
        <v>2550</v>
      </c>
      <c r="C1276" s="26">
        <v>45880</v>
      </c>
      <c r="D1276" s="25">
        <v>38579</v>
      </c>
      <c r="E1276" s="25" t="s">
        <v>2205</v>
      </c>
      <c r="F1276" s="53" t="s">
        <v>3812</v>
      </c>
      <c r="H1276" s="28">
        <v>1350</v>
      </c>
    </row>
    <row r="1277" spans="1:8" x14ac:dyDescent="0.35">
      <c r="A1277" s="22"/>
      <c r="B1277" s="22" t="s">
        <v>2550</v>
      </c>
      <c r="C1277" s="26">
        <v>45881</v>
      </c>
      <c r="D1277" s="25" t="s">
        <v>2648</v>
      </c>
      <c r="E1277" s="25" t="s">
        <v>1179</v>
      </c>
      <c r="F1277" s="53" t="s">
        <v>3812</v>
      </c>
      <c r="H1277" s="28">
        <v>0</v>
      </c>
    </row>
    <row r="1278" spans="1:8" x14ac:dyDescent="0.35">
      <c r="A1278" s="22"/>
      <c r="B1278" s="22" t="s">
        <v>2550</v>
      </c>
      <c r="C1278" s="26">
        <v>45881</v>
      </c>
      <c r="D1278" s="25" t="s">
        <v>2649</v>
      </c>
      <c r="E1278" s="25" t="s">
        <v>1179</v>
      </c>
      <c r="F1278" s="53" t="s">
        <v>3812</v>
      </c>
      <c r="H1278" s="28">
        <v>0</v>
      </c>
    </row>
    <row r="1279" spans="1:8" x14ac:dyDescent="0.35">
      <c r="A1279" s="22"/>
      <c r="B1279" s="22" t="s">
        <v>2550</v>
      </c>
      <c r="C1279" s="26">
        <v>45881</v>
      </c>
      <c r="D1279" s="25" t="s">
        <v>2651</v>
      </c>
      <c r="E1279" s="25" t="s">
        <v>1004</v>
      </c>
      <c r="F1279" s="53" t="s">
        <v>3812</v>
      </c>
      <c r="H1279" s="28">
        <v>0</v>
      </c>
    </row>
    <row r="1280" spans="1:8" x14ac:dyDescent="0.35">
      <c r="A1280" s="22"/>
      <c r="B1280" s="22" t="s">
        <v>2550</v>
      </c>
      <c r="C1280" s="26">
        <v>45881</v>
      </c>
      <c r="D1280" s="25" t="s">
        <v>2652</v>
      </c>
      <c r="E1280" s="25" t="s">
        <v>1004</v>
      </c>
      <c r="F1280" s="53" t="s">
        <v>3812</v>
      </c>
      <c r="H1280" s="28">
        <v>6344.1100000000006</v>
      </c>
    </row>
    <row r="1281" spans="1:8" x14ac:dyDescent="0.35">
      <c r="A1281" s="22"/>
      <c r="B1281" s="22" t="s">
        <v>2550</v>
      </c>
      <c r="C1281" s="26">
        <v>45881</v>
      </c>
      <c r="D1281" s="25" t="s">
        <v>2653</v>
      </c>
      <c r="E1281" s="25" t="s">
        <v>1004</v>
      </c>
      <c r="F1281" s="53" t="s">
        <v>3812</v>
      </c>
      <c r="H1281" s="28">
        <v>0</v>
      </c>
    </row>
    <row r="1282" spans="1:8" x14ac:dyDescent="0.35">
      <c r="A1282" s="22"/>
      <c r="B1282" s="22" t="s">
        <v>2550</v>
      </c>
      <c r="C1282" s="26">
        <v>45881</v>
      </c>
      <c r="D1282" s="25" t="s">
        <v>2654</v>
      </c>
      <c r="E1282" s="25" t="s">
        <v>1263</v>
      </c>
      <c r="F1282" s="53" t="s">
        <v>3812</v>
      </c>
      <c r="H1282" s="28">
        <v>33360</v>
      </c>
    </row>
    <row r="1283" spans="1:8" x14ac:dyDescent="0.35">
      <c r="A1283" s="22"/>
      <c r="B1283" s="22" t="s">
        <v>2550</v>
      </c>
      <c r="C1283" s="26">
        <v>45881</v>
      </c>
      <c r="D1283" s="25" t="s">
        <v>2655</v>
      </c>
      <c r="E1283" s="25" t="s">
        <v>1263</v>
      </c>
      <c r="F1283" s="53" t="s">
        <v>3812</v>
      </c>
      <c r="H1283" s="28">
        <v>29600.639999999999</v>
      </c>
    </row>
    <row r="1284" spans="1:8" x14ac:dyDescent="0.35">
      <c r="A1284" s="22"/>
      <c r="B1284" s="22" t="s">
        <v>2550</v>
      </c>
      <c r="C1284" s="26">
        <v>45881</v>
      </c>
      <c r="D1284" s="25" t="s">
        <v>2656</v>
      </c>
      <c r="E1284" s="25" t="s">
        <v>1263</v>
      </c>
      <c r="F1284" s="53" t="s">
        <v>3812</v>
      </c>
      <c r="H1284" s="28">
        <v>1026</v>
      </c>
    </row>
    <row r="1285" spans="1:8" x14ac:dyDescent="0.35">
      <c r="A1285" s="22"/>
      <c r="B1285" s="22" t="s">
        <v>2550</v>
      </c>
      <c r="C1285" s="26">
        <v>45881</v>
      </c>
      <c r="D1285" s="25" t="s">
        <v>2657</v>
      </c>
      <c r="E1285" s="25" t="s">
        <v>1263</v>
      </c>
      <c r="F1285" s="53" t="s">
        <v>3812</v>
      </c>
      <c r="H1285" s="28">
        <v>50080.54</v>
      </c>
    </row>
    <row r="1286" spans="1:8" x14ac:dyDescent="0.35">
      <c r="A1286" s="22"/>
      <c r="B1286" s="22" t="s">
        <v>2550</v>
      </c>
      <c r="C1286" s="26">
        <v>45881</v>
      </c>
      <c r="D1286" s="25" t="s">
        <v>2658</v>
      </c>
      <c r="E1286" s="25" t="s">
        <v>1263</v>
      </c>
      <c r="F1286" s="53" t="s">
        <v>3812</v>
      </c>
      <c r="H1286" s="28">
        <v>50056.76</v>
      </c>
    </row>
    <row r="1287" spans="1:8" x14ac:dyDescent="0.35">
      <c r="A1287" s="22"/>
      <c r="B1287" s="22" t="s">
        <v>2550</v>
      </c>
      <c r="C1287" s="26">
        <v>45881</v>
      </c>
      <c r="D1287" s="25" t="s">
        <v>2659</v>
      </c>
      <c r="E1287" s="25" t="s">
        <v>1263</v>
      </c>
      <c r="F1287" s="53" t="s">
        <v>3812</v>
      </c>
      <c r="H1287" s="28">
        <v>0</v>
      </c>
    </row>
    <row r="1288" spans="1:8" x14ac:dyDescent="0.35">
      <c r="A1288" s="22"/>
      <c r="B1288" s="22" t="s">
        <v>2550</v>
      </c>
      <c r="C1288" s="26">
        <v>45881</v>
      </c>
      <c r="D1288" s="25" t="s">
        <v>2660</v>
      </c>
      <c r="E1288" s="25" t="s">
        <v>1263</v>
      </c>
      <c r="F1288" s="53" t="s">
        <v>3812</v>
      </c>
      <c r="H1288" s="28">
        <v>11383.099999999999</v>
      </c>
    </row>
    <row r="1289" spans="1:8" x14ac:dyDescent="0.35">
      <c r="A1289" s="22"/>
      <c r="B1289" s="22" t="s">
        <v>2550</v>
      </c>
      <c r="C1289" s="26">
        <v>45881</v>
      </c>
      <c r="D1289" s="25" t="s">
        <v>2661</v>
      </c>
      <c r="E1289" s="25" t="s">
        <v>1263</v>
      </c>
      <c r="F1289" s="53" t="s">
        <v>3812</v>
      </c>
      <c r="H1289" s="28">
        <v>35342.19</v>
      </c>
    </row>
    <row r="1290" spans="1:8" x14ac:dyDescent="0.35">
      <c r="A1290" s="22"/>
      <c r="B1290" s="22" t="s">
        <v>2550</v>
      </c>
      <c r="C1290" s="26">
        <v>45881</v>
      </c>
      <c r="D1290" s="25" t="s">
        <v>2663</v>
      </c>
      <c r="E1290" s="25" t="s">
        <v>1263</v>
      </c>
      <c r="F1290" s="53" t="s">
        <v>3812</v>
      </c>
      <c r="H1290" s="28">
        <v>0</v>
      </c>
    </row>
    <row r="1291" spans="1:8" x14ac:dyDescent="0.35">
      <c r="A1291" s="22"/>
      <c r="B1291" s="22" t="s">
        <v>2550</v>
      </c>
      <c r="C1291" s="26">
        <v>45881</v>
      </c>
      <c r="D1291" s="25" t="s">
        <v>2664</v>
      </c>
      <c r="E1291" s="25" t="s">
        <v>1263</v>
      </c>
      <c r="F1291" s="53" t="s">
        <v>3812</v>
      </c>
      <c r="H1291" s="28">
        <v>2872</v>
      </c>
    </row>
    <row r="1292" spans="1:8" x14ac:dyDescent="0.35">
      <c r="A1292" s="22"/>
      <c r="B1292" s="22" t="s">
        <v>2550</v>
      </c>
      <c r="C1292" s="26">
        <v>45881</v>
      </c>
      <c r="D1292" s="25" t="s">
        <v>2665</v>
      </c>
      <c r="E1292" s="25" t="s">
        <v>2677</v>
      </c>
      <c r="F1292" s="53" t="s">
        <v>3812</v>
      </c>
      <c r="H1292" s="28">
        <v>8905.2200000000012</v>
      </c>
    </row>
    <row r="1293" spans="1:8" x14ac:dyDescent="0.35">
      <c r="A1293" s="22"/>
      <c r="B1293" s="22" t="s">
        <v>2550</v>
      </c>
      <c r="C1293" s="26">
        <v>45881</v>
      </c>
      <c r="D1293" s="25" t="s">
        <v>2666</v>
      </c>
      <c r="E1293" s="25" t="s">
        <v>2677</v>
      </c>
      <c r="F1293" s="53" t="s">
        <v>3812</v>
      </c>
      <c r="H1293" s="28">
        <v>177.14</v>
      </c>
    </row>
    <row r="1294" spans="1:8" x14ac:dyDescent="0.35">
      <c r="A1294" s="22"/>
      <c r="B1294" s="22" t="s">
        <v>2550</v>
      </c>
      <c r="C1294" s="26">
        <v>45881</v>
      </c>
      <c r="D1294" s="25" t="s">
        <v>2667</v>
      </c>
      <c r="E1294" s="25" t="s">
        <v>2677</v>
      </c>
      <c r="F1294" s="53" t="s">
        <v>3812</v>
      </c>
      <c r="H1294" s="28">
        <v>5561.55</v>
      </c>
    </row>
    <row r="1295" spans="1:8" x14ac:dyDescent="0.35">
      <c r="A1295" s="22"/>
      <c r="B1295" s="22" t="s">
        <v>2550</v>
      </c>
      <c r="C1295" s="26">
        <v>45881</v>
      </c>
      <c r="D1295" s="25" t="s">
        <v>2668</v>
      </c>
      <c r="E1295" s="25" t="s">
        <v>2677</v>
      </c>
      <c r="F1295" s="53" t="s">
        <v>3812</v>
      </c>
      <c r="H1295" s="28">
        <v>22730</v>
      </c>
    </row>
    <row r="1296" spans="1:8" x14ac:dyDescent="0.35">
      <c r="A1296" s="22"/>
      <c r="B1296" s="22" t="s">
        <v>2550</v>
      </c>
      <c r="C1296" s="26">
        <v>45881</v>
      </c>
      <c r="D1296" s="25">
        <v>38256</v>
      </c>
      <c r="E1296" s="25" t="s">
        <v>2677</v>
      </c>
      <c r="F1296" s="53" t="s">
        <v>3812</v>
      </c>
      <c r="H1296" s="28">
        <v>8134</v>
      </c>
    </row>
    <row r="1297" spans="1:8" x14ac:dyDescent="0.35">
      <c r="A1297" s="22"/>
      <c r="B1297" s="22" t="s">
        <v>2550</v>
      </c>
      <c r="C1297" s="26">
        <v>45881</v>
      </c>
      <c r="D1297" s="25">
        <v>38257</v>
      </c>
      <c r="E1297" s="25" t="s">
        <v>2677</v>
      </c>
      <c r="F1297" s="53" t="s">
        <v>3812</v>
      </c>
      <c r="H1297" s="28">
        <v>4373.4799999999996</v>
      </c>
    </row>
    <row r="1298" spans="1:8" x14ac:dyDescent="0.35">
      <c r="A1298" s="22"/>
      <c r="B1298" s="22" t="s">
        <v>2550</v>
      </c>
      <c r="C1298" s="26">
        <v>45881</v>
      </c>
      <c r="D1298" s="25">
        <v>38268</v>
      </c>
      <c r="E1298" s="25" t="s">
        <v>2677</v>
      </c>
      <c r="F1298" s="53" t="s">
        <v>3812</v>
      </c>
      <c r="H1298" s="28">
        <v>460.68</v>
      </c>
    </row>
    <row r="1299" spans="1:8" x14ac:dyDescent="0.35">
      <c r="A1299" s="22"/>
      <c r="B1299" s="22" t="s">
        <v>2550</v>
      </c>
      <c r="C1299" s="26">
        <v>45881</v>
      </c>
      <c r="D1299" s="25">
        <v>38331</v>
      </c>
      <c r="E1299" s="25" t="s">
        <v>2629</v>
      </c>
      <c r="F1299" s="53" t="s">
        <v>3812</v>
      </c>
      <c r="H1299" s="28">
        <v>7573.34</v>
      </c>
    </row>
    <row r="1300" spans="1:8" x14ac:dyDescent="0.35">
      <c r="A1300" s="22"/>
      <c r="B1300" s="22" t="s">
        <v>2550</v>
      </c>
      <c r="C1300" s="26">
        <v>45881</v>
      </c>
      <c r="D1300" s="25">
        <v>38375</v>
      </c>
      <c r="E1300" s="25" t="s">
        <v>2677</v>
      </c>
      <c r="F1300" s="53" t="s">
        <v>3812</v>
      </c>
      <c r="H1300" s="28">
        <v>1185.5999999999999</v>
      </c>
    </row>
    <row r="1301" spans="1:8" x14ac:dyDescent="0.35">
      <c r="A1301" s="22"/>
      <c r="B1301" s="22" t="s">
        <v>2550</v>
      </c>
      <c r="C1301" s="26">
        <v>45882</v>
      </c>
      <c r="D1301" s="25" t="s">
        <v>2669</v>
      </c>
      <c r="E1301" s="25" t="s">
        <v>2020</v>
      </c>
      <c r="F1301" s="53" t="s">
        <v>3812</v>
      </c>
      <c r="H1301" s="28">
        <v>966.86</v>
      </c>
    </row>
    <row r="1302" spans="1:8" x14ac:dyDescent="0.35">
      <c r="A1302" s="22"/>
      <c r="B1302" s="22" t="s">
        <v>2550</v>
      </c>
      <c r="C1302" s="26">
        <v>45882</v>
      </c>
      <c r="D1302" s="25" t="s">
        <v>2670</v>
      </c>
      <c r="E1302" s="25" t="s">
        <v>2020</v>
      </c>
      <c r="F1302" s="53" t="s">
        <v>3812</v>
      </c>
      <c r="H1302" s="28">
        <v>0</v>
      </c>
    </row>
    <row r="1303" spans="1:8" x14ac:dyDescent="0.35">
      <c r="A1303" s="22"/>
      <c r="B1303" s="22" t="s">
        <v>2550</v>
      </c>
      <c r="C1303" s="26">
        <v>45882</v>
      </c>
      <c r="D1303" s="25" t="s">
        <v>2671</v>
      </c>
      <c r="E1303" s="25" t="s">
        <v>1263</v>
      </c>
      <c r="F1303" s="53" t="s">
        <v>3812</v>
      </c>
      <c r="H1303" s="28">
        <v>7652.82</v>
      </c>
    </row>
    <row r="1304" spans="1:8" x14ac:dyDescent="0.35">
      <c r="A1304" s="22"/>
      <c r="B1304" s="22" t="s">
        <v>2550</v>
      </c>
      <c r="C1304" s="26">
        <v>45882</v>
      </c>
      <c r="D1304" s="25" t="s">
        <v>2672</v>
      </c>
      <c r="E1304" s="25" t="s">
        <v>2626</v>
      </c>
      <c r="F1304" s="53" t="s">
        <v>3812</v>
      </c>
      <c r="H1304" s="28">
        <v>5142.8599999999997</v>
      </c>
    </row>
    <row r="1305" spans="1:8" x14ac:dyDescent="0.35">
      <c r="A1305" s="22"/>
      <c r="B1305" s="22" t="s">
        <v>2550</v>
      </c>
      <c r="C1305" s="26">
        <v>45887</v>
      </c>
      <c r="D1305" s="25">
        <v>38857</v>
      </c>
      <c r="E1305" s="25" t="s">
        <v>2769</v>
      </c>
      <c r="F1305" s="53" t="s">
        <v>3812</v>
      </c>
      <c r="H1305" s="28">
        <v>12815.6</v>
      </c>
    </row>
    <row r="1306" spans="1:8" x14ac:dyDescent="0.35">
      <c r="A1306" s="22"/>
      <c r="B1306" s="22" t="s">
        <v>2550</v>
      </c>
      <c r="C1306" s="26">
        <v>45890</v>
      </c>
      <c r="D1306" s="25" t="s">
        <v>2673</v>
      </c>
      <c r="E1306" s="25" t="s">
        <v>1475</v>
      </c>
      <c r="F1306" s="53" t="s">
        <v>3812</v>
      </c>
      <c r="H1306" s="28">
        <v>47953.5</v>
      </c>
    </row>
    <row r="1307" spans="1:8" x14ac:dyDescent="0.35">
      <c r="A1307" s="22"/>
      <c r="B1307" s="22" t="s">
        <v>2550</v>
      </c>
      <c r="C1307" s="26">
        <v>45892</v>
      </c>
      <c r="D1307" s="25" t="s">
        <v>2674</v>
      </c>
      <c r="E1307" s="25" t="s">
        <v>1269</v>
      </c>
      <c r="F1307" s="53" t="s">
        <v>3812</v>
      </c>
      <c r="H1307" s="28">
        <v>40481.729999999996</v>
      </c>
    </row>
    <row r="1308" spans="1:8" x14ac:dyDescent="0.35">
      <c r="A1308" s="22"/>
      <c r="B1308" s="22" t="s">
        <v>2550</v>
      </c>
      <c r="C1308" s="26">
        <v>45894</v>
      </c>
      <c r="D1308" s="25" t="s">
        <v>2675</v>
      </c>
      <c r="E1308" s="25" t="s">
        <v>2020</v>
      </c>
      <c r="F1308" s="53" t="s">
        <v>3812</v>
      </c>
      <c r="H1308" s="28">
        <v>7558.58</v>
      </c>
    </row>
    <row r="1309" spans="1:8" x14ac:dyDescent="0.35">
      <c r="A1309" s="22"/>
      <c r="B1309" s="22" t="s">
        <v>2550</v>
      </c>
      <c r="C1309" s="26">
        <v>45894</v>
      </c>
      <c r="D1309" s="25" t="s">
        <v>2676</v>
      </c>
      <c r="E1309" s="25" t="s">
        <v>2020</v>
      </c>
      <c r="F1309" s="53" t="s">
        <v>3812</v>
      </c>
      <c r="H1309" s="28">
        <v>4209.92</v>
      </c>
    </row>
    <row r="1310" spans="1:8" x14ac:dyDescent="0.35">
      <c r="A1310" s="22"/>
      <c r="B1310" s="22" t="s">
        <v>2550</v>
      </c>
      <c r="C1310" s="26">
        <v>45894</v>
      </c>
      <c r="D1310" s="25" t="s">
        <v>2678</v>
      </c>
      <c r="E1310" s="25" t="s">
        <v>2020</v>
      </c>
      <c r="F1310" s="53" t="s">
        <v>3812</v>
      </c>
      <c r="H1310" s="28">
        <v>123.63</v>
      </c>
    </row>
    <row r="1311" spans="1:8" x14ac:dyDescent="0.35">
      <c r="A1311" s="22"/>
      <c r="B1311" s="22" t="s">
        <v>2550</v>
      </c>
      <c r="C1311" s="26">
        <v>45894</v>
      </c>
      <c r="D1311" s="25" t="s">
        <v>2679</v>
      </c>
      <c r="E1311" s="25" t="s">
        <v>2020</v>
      </c>
      <c r="F1311" s="53" t="s">
        <v>3812</v>
      </c>
      <c r="H1311" s="28">
        <v>1762.5</v>
      </c>
    </row>
    <row r="1312" spans="1:8" x14ac:dyDescent="0.35">
      <c r="A1312" s="22"/>
      <c r="B1312" s="22" t="s">
        <v>2550</v>
      </c>
      <c r="C1312" s="26">
        <v>45894</v>
      </c>
      <c r="D1312" s="25" t="s">
        <v>2680</v>
      </c>
      <c r="E1312" s="25" t="s">
        <v>2020</v>
      </c>
      <c r="F1312" s="53" t="s">
        <v>3812</v>
      </c>
      <c r="H1312" s="28">
        <v>54337.630000000005</v>
      </c>
    </row>
    <row r="1313" spans="1:8" x14ac:dyDescent="0.35">
      <c r="A1313" s="22"/>
      <c r="B1313" s="22" t="s">
        <v>2550</v>
      </c>
      <c r="C1313" s="26">
        <v>45894</v>
      </c>
      <c r="D1313" s="25" t="s">
        <v>2681</v>
      </c>
      <c r="E1313" s="25" t="s">
        <v>2020</v>
      </c>
      <c r="F1313" s="53" t="s">
        <v>3812</v>
      </c>
      <c r="H1313" s="28">
        <v>996.66000000000008</v>
      </c>
    </row>
    <row r="1314" spans="1:8" x14ac:dyDescent="0.35">
      <c r="A1314" s="22"/>
      <c r="B1314" s="22" t="s">
        <v>2550</v>
      </c>
      <c r="C1314" s="26">
        <v>45894</v>
      </c>
      <c r="D1314" s="25">
        <v>33571</v>
      </c>
      <c r="E1314" s="25" t="s">
        <v>2020</v>
      </c>
      <c r="F1314" s="53" t="s">
        <v>3812</v>
      </c>
      <c r="H1314" s="28">
        <v>1602.25</v>
      </c>
    </row>
    <row r="1315" spans="1:8" x14ac:dyDescent="0.35">
      <c r="A1315" s="22"/>
      <c r="B1315" s="22" t="s">
        <v>2550</v>
      </c>
      <c r="C1315" s="26">
        <v>45894</v>
      </c>
      <c r="D1315" s="25" t="s">
        <v>2682</v>
      </c>
      <c r="E1315" s="25" t="s">
        <v>2020</v>
      </c>
      <c r="F1315" s="53" t="s">
        <v>3812</v>
      </c>
      <c r="H1315" s="28">
        <v>38322.51</v>
      </c>
    </row>
    <row r="1316" spans="1:8" x14ac:dyDescent="0.35">
      <c r="A1316" s="22"/>
      <c r="B1316" s="22" t="s">
        <v>2550</v>
      </c>
      <c r="C1316" s="26">
        <v>45894</v>
      </c>
      <c r="D1316" s="25" t="s">
        <v>2683</v>
      </c>
      <c r="E1316" s="25" t="s">
        <v>2020</v>
      </c>
      <c r="F1316" s="53" t="s">
        <v>3812</v>
      </c>
      <c r="H1316" s="28">
        <v>661.82</v>
      </c>
    </row>
    <row r="1317" spans="1:8" x14ac:dyDescent="0.35">
      <c r="A1317" s="22"/>
      <c r="B1317" s="22" t="s">
        <v>2550</v>
      </c>
      <c r="C1317" s="26">
        <v>45894</v>
      </c>
      <c r="D1317" s="25" t="s">
        <v>2684</v>
      </c>
      <c r="E1317" s="25" t="s">
        <v>2020</v>
      </c>
      <c r="F1317" s="53" t="s">
        <v>3812</v>
      </c>
      <c r="H1317" s="28">
        <v>19066.870000000003</v>
      </c>
    </row>
    <row r="1318" spans="1:8" x14ac:dyDescent="0.35">
      <c r="A1318" s="22"/>
      <c r="B1318" s="22" t="s">
        <v>2550</v>
      </c>
      <c r="C1318" s="26">
        <v>45894</v>
      </c>
      <c r="D1318" s="25" t="s">
        <v>2685</v>
      </c>
      <c r="E1318" s="25" t="s">
        <v>2020</v>
      </c>
      <c r="F1318" s="53" t="s">
        <v>3812</v>
      </c>
      <c r="H1318" s="28">
        <v>5030.2</v>
      </c>
    </row>
    <row r="1319" spans="1:8" x14ac:dyDescent="0.35">
      <c r="A1319" s="22"/>
      <c r="B1319" s="22" t="s">
        <v>2550</v>
      </c>
      <c r="C1319" s="26">
        <v>45894</v>
      </c>
      <c r="D1319" s="25">
        <v>33950</v>
      </c>
      <c r="E1319" s="25" t="s">
        <v>2020</v>
      </c>
      <c r="F1319" s="53" t="s">
        <v>3812</v>
      </c>
      <c r="H1319" s="28">
        <v>0</v>
      </c>
    </row>
    <row r="1320" spans="1:8" x14ac:dyDescent="0.35">
      <c r="A1320" s="22"/>
      <c r="B1320" s="22" t="s">
        <v>2550</v>
      </c>
      <c r="C1320" s="26">
        <v>45894</v>
      </c>
      <c r="D1320" s="25" t="s">
        <v>2686</v>
      </c>
      <c r="E1320" s="25" t="s">
        <v>2020</v>
      </c>
      <c r="F1320" s="53" t="s">
        <v>3812</v>
      </c>
      <c r="H1320" s="28">
        <v>145.35</v>
      </c>
    </row>
    <row r="1321" spans="1:8" x14ac:dyDescent="0.35">
      <c r="A1321" s="22"/>
      <c r="B1321" s="22" t="s">
        <v>2550</v>
      </c>
      <c r="C1321" s="26">
        <v>45894</v>
      </c>
      <c r="D1321" s="25" t="s">
        <v>2687</v>
      </c>
      <c r="E1321" s="25" t="s">
        <v>2020</v>
      </c>
      <c r="F1321" s="53" t="s">
        <v>3812</v>
      </c>
      <c r="H1321" s="28">
        <v>560</v>
      </c>
    </row>
    <row r="1322" spans="1:8" x14ac:dyDescent="0.35">
      <c r="A1322" s="22"/>
      <c r="B1322" s="22" t="s">
        <v>2550</v>
      </c>
      <c r="C1322" s="26">
        <v>45894</v>
      </c>
      <c r="D1322" s="25" t="s">
        <v>2688</v>
      </c>
      <c r="E1322" s="25" t="s">
        <v>2020</v>
      </c>
      <c r="F1322" s="53" t="s">
        <v>3812</v>
      </c>
      <c r="H1322" s="28">
        <v>1125</v>
      </c>
    </row>
    <row r="1323" spans="1:8" x14ac:dyDescent="0.35">
      <c r="A1323" s="22"/>
      <c r="B1323" s="22" t="s">
        <v>2550</v>
      </c>
      <c r="C1323" s="26">
        <v>45894</v>
      </c>
      <c r="D1323" s="25" t="s">
        <v>2689</v>
      </c>
      <c r="E1323" s="25" t="s">
        <v>2020</v>
      </c>
      <c r="F1323" s="53" t="s">
        <v>3812</v>
      </c>
      <c r="H1323" s="28">
        <v>9155.869999999999</v>
      </c>
    </row>
    <row r="1324" spans="1:8" x14ac:dyDescent="0.35">
      <c r="A1324" s="22"/>
      <c r="B1324" s="22" t="s">
        <v>2550</v>
      </c>
      <c r="C1324" s="26">
        <v>45894</v>
      </c>
      <c r="D1324" s="25" t="s">
        <v>2690</v>
      </c>
      <c r="E1324" s="25" t="s">
        <v>2020</v>
      </c>
      <c r="F1324" s="53" t="s">
        <v>3812</v>
      </c>
      <c r="H1324" s="28">
        <v>27246.81</v>
      </c>
    </row>
    <row r="1325" spans="1:8" x14ac:dyDescent="0.35">
      <c r="A1325" s="22"/>
      <c r="B1325" s="22" t="s">
        <v>2550</v>
      </c>
      <c r="C1325" s="26">
        <v>45894</v>
      </c>
      <c r="D1325" s="25" t="s">
        <v>2691</v>
      </c>
      <c r="E1325" s="25" t="s">
        <v>2831</v>
      </c>
      <c r="F1325" s="53" t="s">
        <v>3812</v>
      </c>
      <c r="H1325" s="28">
        <v>0</v>
      </c>
    </row>
    <row r="1326" spans="1:8" x14ac:dyDescent="0.35">
      <c r="A1326" s="22"/>
      <c r="B1326" s="22" t="s">
        <v>2550</v>
      </c>
      <c r="C1326" s="26">
        <v>45894</v>
      </c>
      <c r="D1326" s="25">
        <v>36943</v>
      </c>
      <c r="E1326" s="25" t="s">
        <v>1272</v>
      </c>
      <c r="F1326" s="53" t="s">
        <v>3812</v>
      </c>
      <c r="H1326" s="28">
        <v>20870.080000000002</v>
      </c>
    </row>
    <row r="1327" spans="1:8" x14ac:dyDescent="0.35">
      <c r="A1327" s="22"/>
      <c r="B1327" s="22" t="s">
        <v>2550</v>
      </c>
      <c r="C1327" s="26">
        <v>45894</v>
      </c>
      <c r="D1327" s="25" t="s">
        <v>2692</v>
      </c>
      <c r="E1327" s="25" t="s">
        <v>1269</v>
      </c>
      <c r="F1327" s="53" t="s">
        <v>3812</v>
      </c>
      <c r="H1327" s="28">
        <v>10721.09</v>
      </c>
    </row>
    <row r="1328" spans="1:8" x14ac:dyDescent="0.35">
      <c r="A1328" s="22"/>
      <c r="B1328" s="22" t="s">
        <v>2550</v>
      </c>
      <c r="C1328" s="26">
        <v>45895</v>
      </c>
      <c r="D1328" s="25" t="s">
        <v>2693</v>
      </c>
      <c r="E1328" s="25" t="s">
        <v>2020</v>
      </c>
      <c r="F1328" s="53" t="s">
        <v>3812</v>
      </c>
      <c r="H1328" s="28">
        <v>-2567.91</v>
      </c>
    </row>
    <row r="1329" spans="1:8" x14ac:dyDescent="0.35">
      <c r="A1329" s="22"/>
      <c r="B1329" s="22" t="s">
        <v>2550</v>
      </c>
      <c r="C1329" s="26">
        <v>45895</v>
      </c>
      <c r="D1329" s="25" t="s">
        <v>2694</v>
      </c>
      <c r="E1329" s="25" t="s">
        <v>2846</v>
      </c>
      <c r="F1329" s="53" t="s">
        <v>3812</v>
      </c>
      <c r="H1329" s="28">
        <v>0</v>
      </c>
    </row>
    <row r="1330" spans="1:8" x14ac:dyDescent="0.35">
      <c r="A1330" s="22"/>
      <c r="B1330" s="22" t="s">
        <v>2550</v>
      </c>
      <c r="C1330" s="26">
        <v>45896</v>
      </c>
      <c r="D1330" s="25" t="s">
        <v>2695</v>
      </c>
      <c r="E1330" s="25" t="s">
        <v>1035</v>
      </c>
      <c r="F1330" s="53" t="s">
        <v>3812</v>
      </c>
      <c r="H1330" s="28">
        <v>0</v>
      </c>
    </row>
    <row r="1331" spans="1:8" x14ac:dyDescent="0.35">
      <c r="A1331" s="22"/>
      <c r="B1331" s="22" t="s">
        <v>2550</v>
      </c>
      <c r="C1331" s="26">
        <v>45897</v>
      </c>
      <c r="D1331" s="25" t="s">
        <v>2696</v>
      </c>
      <c r="E1331" s="25" t="s">
        <v>2854</v>
      </c>
      <c r="F1331" s="53" t="s">
        <v>3812</v>
      </c>
      <c r="H1331" s="28">
        <v>6300.16</v>
      </c>
    </row>
    <row r="1332" spans="1:8" x14ac:dyDescent="0.35">
      <c r="A1332" s="22"/>
      <c r="B1332" s="22" t="s">
        <v>2550</v>
      </c>
      <c r="C1332" s="26">
        <v>45898</v>
      </c>
      <c r="D1332" s="25" t="s">
        <v>2697</v>
      </c>
      <c r="E1332" s="25" t="s">
        <v>2020</v>
      </c>
      <c r="F1332" s="53" t="s">
        <v>3812</v>
      </c>
      <c r="H1332" s="28">
        <v>0</v>
      </c>
    </row>
    <row r="1333" spans="1:8" x14ac:dyDescent="0.35">
      <c r="A1333" s="22"/>
      <c r="B1333" s="22" t="s">
        <v>2550</v>
      </c>
      <c r="C1333" s="26">
        <v>45898</v>
      </c>
      <c r="D1333" s="25" t="s">
        <v>2698</v>
      </c>
      <c r="E1333" s="25" t="s">
        <v>2846</v>
      </c>
      <c r="F1333" s="53" t="s">
        <v>3812</v>
      </c>
      <c r="H1333" s="28">
        <v>0</v>
      </c>
    </row>
    <row r="1334" spans="1:8" x14ac:dyDescent="0.35">
      <c r="A1334" s="22"/>
      <c r="B1334" s="22" t="s">
        <v>2550</v>
      </c>
      <c r="C1334" s="26">
        <v>45898</v>
      </c>
      <c r="D1334" s="25" t="s">
        <v>2699</v>
      </c>
      <c r="E1334" s="25" t="s">
        <v>1223</v>
      </c>
      <c r="F1334" s="53" t="s">
        <v>3812</v>
      </c>
      <c r="H1334" s="28">
        <v>0</v>
      </c>
    </row>
    <row r="1335" spans="1:8" x14ac:dyDescent="0.35">
      <c r="A1335" s="22"/>
      <c r="B1335" s="22" t="s">
        <v>2550</v>
      </c>
      <c r="C1335" s="26">
        <v>45898</v>
      </c>
      <c r="D1335" s="25" t="s">
        <v>2700</v>
      </c>
      <c r="E1335" s="25" t="s">
        <v>1684</v>
      </c>
      <c r="F1335" s="53" t="s">
        <v>3812</v>
      </c>
      <c r="H1335" s="28">
        <v>6292.32</v>
      </c>
    </row>
    <row r="1336" spans="1:8" x14ac:dyDescent="0.35">
      <c r="A1336" s="22"/>
      <c r="B1336" s="22" t="s">
        <v>2550</v>
      </c>
      <c r="C1336" s="26">
        <v>45898</v>
      </c>
      <c r="D1336" s="25" t="s">
        <v>2701</v>
      </c>
      <c r="E1336" s="25" t="s">
        <v>1085</v>
      </c>
      <c r="F1336" s="53" t="s">
        <v>3812</v>
      </c>
      <c r="H1336" s="28">
        <v>102.2</v>
      </c>
    </row>
    <row r="1337" spans="1:8" x14ac:dyDescent="0.35">
      <c r="A1337" s="22"/>
      <c r="B1337" s="22" t="s">
        <v>2550</v>
      </c>
      <c r="C1337" s="26">
        <v>45898</v>
      </c>
      <c r="D1337" s="25">
        <v>38185</v>
      </c>
      <c r="E1337" s="25" t="s">
        <v>2626</v>
      </c>
      <c r="F1337" s="53" t="s">
        <v>3812</v>
      </c>
      <c r="H1337" s="28">
        <v>55072.05</v>
      </c>
    </row>
    <row r="1338" spans="1:8" x14ac:dyDescent="0.35">
      <c r="A1338" s="22"/>
      <c r="B1338" s="22" t="s">
        <v>2550</v>
      </c>
      <c r="C1338" s="26">
        <v>45898</v>
      </c>
      <c r="D1338" s="25">
        <v>38199</v>
      </c>
      <c r="E1338" s="25" t="s">
        <v>2626</v>
      </c>
      <c r="F1338" s="53" t="s">
        <v>3812</v>
      </c>
      <c r="H1338" s="28">
        <v>48782.879999999997</v>
      </c>
    </row>
    <row r="1339" spans="1:8" x14ac:dyDescent="0.35">
      <c r="A1339" s="22"/>
      <c r="B1339" s="22" t="s">
        <v>2550</v>
      </c>
      <c r="C1339" s="26">
        <v>45898</v>
      </c>
      <c r="D1339" s="25" t="s">
        <v>2702</v>
      </c>
      <c r="E1339" s="25" t="s">
        <v>2626</v>
      </c>
      <c r="F1339" s="53" t="s">
        <v>3812</v>
      </c>
      <c r="H1339" s="28">
        <v>40331.72</v>
      </c>
    </row>
    <row r="1340" spans="1:8" x14ac:dyDescent="0.35">
      <c r="A1340" s="22"/>
      <c r="B1340" s="22" t="s">
        <v>2550</v>
      </c>
      <c r="C1340" s="26">
        <v>45898</v>
      </c>
      <c r="D1340" s="25" t="s">
        <v>2703</v>
      </c>
      <c r="E1340" s="25" t="s">
        <v>2631</v>
      </c>
      <c r="F1340" s="53" t="s">
        <v>3812</v>
      </c>
      <c r="H1340" s="28">
        <v>0</v>
      </c>
    </row>
    <row r="1341" spans="1:8" x14ac:dyDescent="0.35">
      <c r="A1341" s="22"/>
      <c r="B1341" s="22" t="s">
        <v>2550</v>
      </c>
      <c r="C1341" s="26">
        <v>45898</v>
      </c>
      <c r="D1341" s="25">
        <v>38832</v>
      </c>
      <c r="E1341" s="25" t="s">
        <v>2662</v>
      </c>
      <c r="F1341" s="53" t="s">
        <v>3812</v>
      </c>
      <c r="H1341" s="28">
        <v>3360.5899999999997</v>
      </c>
    </row>
    <row r="1342" spans="1:8" x14ac:dyDescent="0.35">
      <c r="A1342" s="22"/>
      <c r="B1342" s="22" t="s">
        <v>2550</v>
      </c>
      <c r="C1342" s="26">
        <v>45898</v>
      </c>
      <c r="D1342" s="25">
        <v>38851</v>
      </c>
      <c r="E1342" s="25" t="s">
        <v>2892</v>
      </c>
      <c r="F1342" s="53" t="s">
        <v>3812</v>
      </c>
      <c r="H1342" s="28">
        <v>126720</v>
      </c>
    </row>
    <row r="1343" spans="1:8" x14ac:dyDescent="0.35">
      <c r="A1343" s="22"/>
      <c r="B1343" s="22" t="s">
        <v>2550</v>
      </c>
      <c r="C1343" s="26">
        <v>45898</v>
      </c>
      <c r="D1343" s="25">
        <v>38881</v>
      </c>
      <c r="E1343" s="25" t="s">
        <v>2894</v>
      </c>
      <c r="F1343" s="53" t="s">
        <v>3812</v>
      </c>
      <c r="H1343" s="28">
        <v>340</v>
      </c>
    </row>
    <row r="1344" spans="1:8" x14ac:dyDescent="0.35">
      <c r="A1344" s="22"/>
      <c r="B1344" s="22" t="s">
        <v>2550</v>
      </c>
      <c r="C1344" s="26">
        <v>45898</v>
      </c>
      <c r="D1344" s="25">
        <v>38893</v>
      </c>
      <c r="E1344" s="25" t="s">
        <v>2894</v>
      </c>
      <c r="F1344" s="53" t="s">
        <v>3812</v>
      </c>
      <c r="H1344" s="28">
        <v>674.63999999999987</v>
      </c>
    </row>
    <row r="1345" spans="1:8" x14ac:dyDescent="0.35">
      <c r="A1345" s="22"/>
      <c r="B1345" s="22" t="s">
        <v>2550</v>
      </c>
      <c r="C1345" s="26">
        <v>45899</v>
      </c>
      <c r="D1345" s="25" t="s">
        <v>2704</v>
      </c>
      <c r="E1345" s="25" t="s">
        <v>2575</v>
      </c>
      <c r="F1345" s="53" t="s">
        <v>3812</v>
      </c>
      <c r="H1345" s="28">
        <v>0</v>
      </c>
    </row>
    <row r="1346" spans="1:8" x14ac:dyDescent="0.35">
      <c r="A1346" s="22"/>
      <c r="B1346" s="22" t="s">
        <v>2550</v>
      </c>
      <c r="C1346" s="26">
        <v>45899</v>
      </c>
      <c r="D1346" s="25" t="s">
        <v>2705</v>
      </c>
      <c r="E1346" s="25" t="s">
        <v>2462</v>
      </c>
      <c r="F1346" s="53" t="s">
        <v>3812</v>
      </c>
      <c r="H1346" s="28">
        <v>0</v>
      </c>
    </row>
    <row r="1347" spans="1:8" x14ac:dyDescent="0.35">
      <c r="A1347" s="22"/>
      <c r="B1347" s="22" t="s">
        <v>2550</v>
      </c>
      <c r="C1347" s="26">
        <v>45899</v>
      </c>
      <c r="D1347" s="25" t="s">
        <v>2706</v>
      </c>
      <c r="E1347" s="25" t="s">
        <v>2462</v>
      </c>
      <c r="F1347" s="53" t="s">
        <v>3812</v>
      </c>
      <c r="H1347" s="28">
        <v>0</v>
      </c>
    </row>
    <row r="1348" spans="1:8" x14ac:dyDescent="0.35">
      <c r="A1348" s="22"/>
      <c r="B1348" s="22" t="s">
        <v>2550</v>
      </c>
      <c r="C1348" s="26">
        <v>45899</v>
      </c>
      <c r="D1348" s="25" t="s">
        <v>2707</v>
      </c>
      <c r="E1348" s="25" t="s">
        <v>2547</v>
      </c>
      <c r="F1348" s="53" t="s">
        <v>3812</v>
      </c>
      <c r="H1348" s="28">
        <v>0</v>
      </c>
    </row>
    <row r="1349" spans="1:8" x14ac:dyDescent="0.35">
      <c r="A1349" s="22"/>
      <c r="B1349" s="22" t="s">
        <v>2550</v>
      </c>
      <c r="C1349" s="26">
        <v>45899</v>
      </c>
      <c r="D1349" s="25" t="s">
        <v>2708</v>
      </c>
      <c r="E1349" s="25" t="s">
        <v>2904</v>
      </c>
      <c r="F1349" s="53" t="s">
        <v>3812</v>
      </c>
      <c r="H1349" s="28">
        <v>0</v>
      </c>
    </row>
    <row r="1350" spans="1:8" x14ac:dyDescent="0.35">
      <c r="A1350" s="22"/>
      <c r="B1350" s="22" t="s">
        <v>2550</v>
      </c>
      <c r="C1350" s="26">
        <v>45899</v>
      </c>
      <c r="D1350" s="25" t="s">
        <v>2709</v>
      </c>
      <c r="E1350" s="25" t="s">
        <v>2906</v>
      </c>
      <c r="F1350" s="53" t="s">
        <v>3812</v>
      </c>
      <c r="H1350" s="28">
        <v>0</v>
      </c>
    </row>
    <row r="1351" spans="1:8" x14ac:dyDescent="0.35">
      <c r="A1351" s="22"/>
      <c r="B1351" s="22" t="s">
        <v>2550</v>
      </c>
      <c r="C1351" s="26">
        <v>45899</v>
      </c>
      <c r="D1351" s="25" t="s">
        <v>2710</v>
      </c>
      <c r="E1351" s="25" t="s">
        <v>301</v>
      </c>
      <c r="F1351" s="53" t="s">
        <v>3812</v>
      </c>
      <c r="H1351" s="28">
        <v>0</v>
      </c>
    </row>
    <row r="1352" spans="1:8" x14ac:dyDescent="0.35">
      <c r="A1352" s="22"/>
      <c r="B1352" s="22" t="s">
        <v>2550</v>
      </c>
      <c r="C1352" s="26">
        <v>45899</v>
      </c>
      <c r="D1352" s="25" t="s">
        <v>2711</v>
      </c>
      <c r="E1352" s="25" t="s">
        <v>301</v>
      </c>
      <c r="F1352" s="53" t="s">
        <v>3812</v>
      </c>
      <c r="H1352" s="28">
        <v>0</v>
      </c>
    </row>
    <row r="1353" spans="1:8" x14ac:dyDescent="0.35">
      <c r="A1353" s="22"/>
      <c r="B1353" s="22" t="s">
        <v>2550</v>
      </c>
      <c r="C1353" s="26">
        <v>45899</v>
      </c>
      <c r="D1353" s="25" t="s">
        <v>2712</v>
      </c>
      <c r="E1353" s="25" t="s">
        <v>301</v>
      </c>
      <c r="F1353" s="53" t="s">
        <v>3812</v>
      </c>
      <c r="H1353" s="28">
        <v>0</v>
      </c>
    </row>
    <row r="1354" spans="1:8" x14ac:dyDescent="0.35">
      <c r="A1354" s="22"/>
      <c r="B1354" s="22" t="s">
        <v>2550</v>
      </c>
      <c r="C1354" s="26">
        <v>45899</v>
      </c>
      <c r="D1354" s="25" t="s">
        <v>2713</v>
      </c>
      <c r="E1354" s="25" t="s">
        <v>1484</v>
      </c>
      <c r="F1354" s="53" t="s">
        <v>3812</v>
      </c>
      <c r="H1354" s="28">
        <v>3854.9700000000003</v>
      </c>
    </row>
    <row r="1355" spans="1:8" x14ac:dyDescent="0.35">
      <c r="A1355" s="22"/>
      <c r="B1355" s="22" t="s">
        <v>2550</v>
      </c>
      <c r="C1355" s="26">
        <v>45899</v>
      </c>
      <c r="D1355" s="25" t="s">
        <v>2714</v>
      </c>
      <c r="E1355" s="25" t="s">
        <v>1251</v>
      </c>
      <c r="F1355" s="53" t="s">
        <v>3812</v>
      </c>
      <c r="H1355" s="28">
        <v>0</v>
      </c>
    </row>
    <row r="1356" spans="1:8" x14ac:dyDescent="0.35">
      <c r="A1356" s="22"/>
      <c r="B1356" s="22" t="s">
        <v>2550</v>
      </c>
      <c r="C1356" s="26">
        <v>45899</v>
      </c>
      <c r="D1356" s="25" t="s">
        <v>2715</v>
      </c>
      <c r="E1356" s="25" t="s">
        <v>2921</v>
      </c>
      <c r="F1356" s="53" t="s">
        <v>3812</v>
      </c>
      <c r="H1356" s="28">
        <v>0</v>
      </c>
    </row>
    <row r="1357" spans="1:8" x14ac:dyDescent="0.35">
      <c r="A1357" s="22"/>
      <c r="B1357" s="22" t="s">
        <v>2550</v>
      </c>
      <c r="C1357" s="26">
        <v>45899</v>
      </c>
      <c r="D1357" s="25" t="s">
        <v>2716</v>
      </c>
      <c r="E1357" s="25" t="s">
        <v>2923</v>
      </c>
      <c r="F1357" s="53" t="s">
        <v>3812</v>
      </c>
      <c r="H1357" s="28">
        <v>0</v>
      </c>
    </row>
    <row r="1358" spans="1:8" x14ac:dyDescent="0.35">
      <c r="A1358" s="22"/>
      <c r="B1358" s="22" t="s">
        <v>2550</v>
      </c>
      <c r="C1358" s="26">
        <v>45899</v>
      </c>
      <c r="D1358" s="25" t="s">
        <v>2717</v>
      </c>
      <c r="E1358" s="25" t="s">
        <v>2067</v>
      </c>
      <c r="F1358" s="53" t="s">
        <v>3812</v>
      </c>
      <c r="H1358" s="28">
        <v>0</v>
      </c>
    </row>
    <row r="1359" spans="1:8" x14ac:dyDescent="0.35">
      <c r="A1359" s="22"/>
      <c r="B1359" s="22" t="s">
        <v>2550</v>
      </c>
      <c r="C1359" s="26">
        <v>45899</v>
      </c>
      <c r="D1359" s="25" t="s">
        <v>2718</v>
      </c>
      <c r="E1359" s="25" t="s">
        <v>2926</v>
      </c>
      <c r="F1359" s="53" t="s">
        <v>3812</v>
      </c>
      <c r="H1359" s="28">
        <v>0</v>
      </c>
    </row>
    <row r="1360" spans="1:8" x14ac:dyDescent="0.35">
      <c r="A1360" s="22"/>
      <c r="B1360" s="22" t="s">
        <v>2550</v>
      </c>
      <c r="C1360" s="26">
        <v>45899</v>
      </c>
      <c r="D1360" s="25" t="s">
        <v>2719</v>
      </c>
      <c r="E1360" s="25" t="s">
        <v>2926</v>
      </c>
      <c r="F1360" s="53" t="s">
        <v>3812</v>
      </c>
      <c r="H1360" s="28">
        <v>0</v>
      </c>
    </row>
    <row r="1361" spans="1:8" x14ac:dyDescent="0.35">
      <c r="A1361" s="22"/>
      <c r="B1361" s="22" t="s">
        <v>2550</v>
      </c>
      <c r="C1361" s="26">
        <v>45899</v>
      </c>
      <c r="D1361" s="25" t="s">
        <v>2720</v>
      </c>
      <c r="E1361" s="25" t="s">
        <v>2462</v>
      </c>
      <c r="F1361" s="53" t="s">
        <v>3812</v>
      </c>
      <c r="H1361" s="28">
        <v>0</v>
      </c>
    </row>
    <row r="1362" spans="1:8" x14ac:dyDescent="0.35">
      <c r="A1362" s="22"/>
      <c r="B1362" s="22" t="s">
        <v>2550</v>
      </c>
      <c r="C1362" s="26">
        <v>45899</v>
      </c>
      <c r="D1362" s="25">
        <v>32888</v>
      </c>
      <c r="E1362" s="25" t="s">
        <v>2931</v>
      </c>
      <c r="F1362" s="53" t="s">
        <v>3812</v>
      </c>
      <c r="H1362" s="28">
        <v>0</v>
      </c>
    </row>
    <row r="1363" spans="1:8" x14ac:dyDescent="0.35">
      <c r="A1363" s="22"/>
      <c r="B1363" s="22" t="s">
        <v>2550</v>
      </c>
      <c r="C1363" s="26">
        <v>45899</v>
      </c>
      <c r="D1363" s="25" t="s">
        <v>2721</v>
      </c>
      <c r="E1363" s="25" t="s">
        <v>2931</v>
      </c>
      <c r="F1363" s="53" t="s">
        <v>3812</v>
      </c>
      <c r="H1363" s="28">
        <v>0</v>
      </c>
    </row>
    <row r="1364" spans="1:8" x14ac:dyDescent="0.35">
      <c r="A1364" s="22"/>
      <c r="B1364" s="22" t="s">
        <v>2550</v>
      </c>
      <c r="C1364" s="26">
        <v>45899</v>
      </c>
      <c r="D1364" s="25" t="s">
        <v>2722</v>
      </c>
      <c r="E1364" s="25" t="s">
        <v>2970</v>
      </c>
      <c r="F1364" s="53" t="s">
        <v>3812</v>
      </c>
      <c r="H1364" s="28">
        <v>0</v>
      </c>
    </row>
    <row r="1365" spans="1:8" x14ac:dyDescent="0.35">
      <c r="A1365" s="22"/>
      <c r="B1365" s="22" t="s">
        <v>2550</v>
      </c>
      <c r="C1365" s="26">
        <v>45899</v>
      </c>
      <c r="D1365" s="25" t="s">
        <v>2723</v>
      </c>
      <c r="E1365" s="25" t="s">
        <v>2970</v>
      </c>
      <c r="F1365" s="53" t="s">
        <v>3812</v>
      </c>
      <c r="H1365" s="28">
        <v>0</v>
      </c>
    </row>
    <row r="1366" spans="1:8" x14ac:dyDescent="0.35">
      <c r="A1366" s="22"/>
      <c r="B1366" s="22" t="s">
        <v>2550</v>
      </c>
      <c r="C1366" s="26">
        <v>45899</v>
      </c>
      <c r="D1366" s="25" t="s">
        <v>2724</v>
      </c>
      <c r="E1366" s="25" t="s">
        <v>2973</v>
      </c>
      <c r="F1366" s="53" t="s">
        <v>3812</v>
      </c>
      <c r="H1366" s="28">
        <v>0</v>
      </c>
    </row>
    <row r="1367" spans="1:8" x14ac:dyDescent="0.35">
      <c r="A1367" s="22"/>
      <c r="B1367" s="22" t="s">
        <v>2550</v>
      </c>
      <c r="C1367" s="26">
        <v>45899</v>
      </c>
      <c r="D1367" s="25" t="s">
        <v>2725</v>
      </c>
      <c r="E1367" s="25" t="s">
        <v>2973</v>
      </c>
      <c r="F1367" s="53" t="s">
        <v>3812</v>
      </c>
      <c r="H1367" s="28">
        <v>0</v>
      </c>
    </row>
    <row r="1368" spans="1:8" x14ac:dyDescent="0.35">
      <c r="A1368" s="22"/>
      <c r="B1368" s="22" t="s">
        <v>2550</v>
      </c>
      <c r="C1368" s="26">
        <v>45899</v>
      </c>
      <c r="D1368" s="25" t="s">
        <v>2726</v>
      </c>
      <c r="E1368" s="25" t="s">
        <v>2575</v>
      </c>
      <c r="F1368" s="53" t="s">
        <v>3812</v>
      </c>
      <c r="H1368" s="28">
        <v>0</v>
      </c>
    </row>
    <row r="1369" spans="1:8" x14ac:dyDescent="0.35">
      <c r="A1369" s="22"/>
      <c r="B1369" s="22" t="s">
        <v>2550</v>
      </c>
      <c r="C1369" s="26">
        <v>45899</v>
      </c>
      <c r="D1369" s="25" t="s">
        <v>2727</v>
      </c>
      <c r="E1369" s="25" t="s">
        <v>1283</v>
      </c>
      <c r="F1369" s="53" t="s">
        <v>3812</v>
      </c>
      <c r="H1369" s="28">
        <v>0</v>
      </c>
    </row>
    <row r="1370" spans="1:8" x14ac:dyDescent="0.35">
      <c r="A1370" s="22"/>
      <c r="B1370" s="22" t="s">
        <v>2550</v>
      </c>
      <c r="C1370" s="26">
        <v>45899</v>
      </c>
      <c r="D1370" s="25" t="s">
        <v>2728</v>
      </c>
      <c r="E1370" s="25" t="s">
        <v>1283</v>
      </c>
      <c r="F1370" s="53" t="s">
        <v>3812</v>
      </c>
      <c r="H1370" s="28">
        <v>0</v>
      </c>
    </row>
    <row r="1371" spans="1:8" x14ac:dyDescent="0.35">
      <c r="A1371" s="22"/>
      <c r="B1371" s="22" t="s">
        <v>2550</v>
      </c>
      <c r="C1371" s="26">
        <v>45899</v>
      </c>
      <c r="D1371" s="25" t="s">
        <v>2729</v>
      </c>
      <c r="E1371" s="25" t="s">
        <v>1283</v>
      </c>
      <c r="F1371" s="53" t="s">
        <v>3812</v>
      </c>
      <c r="H1371" s="28">
        <v>0</v>
      </c>
    </row>
    <row r="1372" spans="1:8" x14ac:dyDescent="0.35">
      <c r="A1372" s="22"/>
      <c r="B1372" s="22" t="s">
        <v>2550</v>
      </c>
      <c r="C1372" s="26">
        <v>45899</v>
      </c>
      <c r="D1372" s="25" t="s">
        <v>2730</v>
      </c>
      <c r="E1372" s="25" t="s">
        <v>1283</v>
      </c>
      <c r="F1372" s="53" t="s">
        <v>3812</v>
      </c>
      <c r="H1372" s="28">
        <v>0</v>
      </c>
    </row>
    <row r="1373" spans="1:8" x14ac:dyDescent="0.35">
      <c r="A1373" s="22"/>
      <c r="B1373" s="22" t="s">
        <v>2550</v>
      </c>
      <c r="C1373" s="26">
        <v>45899</v>
      </c>
      <c r="D1373" s="25" t="s">
        <v>2731</v>
      </c>
      <c r="E1373" s="25" t="s">
        <v>1283</v>
      </c>
      <c r="F1373" s="53" t="s">
        <v>3812</v>
      </c>
      <c r="H1373" s="28">
        <v>0</v>
      </c>
    </row>
    <row r="1374" spans="1:8" x14ac:dyDescent="0.35">
      <c r="A1374" s="22"/>
      <c r="B1374" s="22" t="s">
        <v>2550</v>
      </c>
      <c r="C1374" s="26">
        <v>45899</v>
      </c>
      <c r="D1374" s="25" t="s">
        <v>2732</v>
      </c>
      <c r="E1374" s="25" t="s">
        <v>2092</v>
      </c>
      <c r="F1374" s="53" t="s">
        <v>3812</v>
      </c>
      <c r="H1374" s="28">
        <v>0</v>
      </c>
    </row>
    <row r="1375" spans="1:8" x14ac:dyDescent="0.35">
      <c r="A1375" s="22"/>
      <c r="B1375" s="22" t="s">
        <v>2550</v>
      </c>
      <c r="C1375" s="26">
        <v>45899</v>
      </c>
      <c r="D1375" s="25" t="s">
        <v>2733</v>
      </c>
      <c r="E1375" s="25" t="s">
        <v>2144</v>
      </c>
      <c r="F1375" s="53" t="s">
        <v>3812</v>
      </c>
      <c r="H1375" s="28">
        <v>0</v>
      </c>
    </row>
    <row r="1376" spans="1:8" x14ac:dyDescent="0.35">
      <c r="A1376" s="22"/>
      <c r="B1376" s="22" t="s">
        <v>2550</v>
      </c>
      <c r="C1376" s="26">
        <v>45899</v>
      </c>
      <c r="D1376" s="25" t="s">
        <v>2734</v>
      </c>
      <c r="E1376" s="25" t="s">
        <v>2144</v>
      </c>
      <c r="F1376" s="53" t="s">
        <v>3812</v>
      </c>
      <c r="H1376" s="28">
        <v>0</v>
      </c>
    </row>
    <row r="1377" spans="1:8" x14ac:dyDescent="0.35">
      <c r="A1377" s="22"/>
      <c r="B1377" s="22" t="s">
        <v>2550</v>
      </c>
      <c r="C1377" s="26">
        <v>45899</v>
      </c>
      <c r="D1377" s="25" t="s">
        <v>2735</v>
      </c>
      <c r="E1377" s="25" t="s">
        <v>2189</v>
      </c>
      <c r="F1377" s="53" t="s">
        <v>3812</v>
      </c>
      <c r="H1377" s="28">
        <v>0</v>
      </c>
    </row>
    <row r="1378" spans="1:8" x14ac:dyDescent="0.35">
      <c r="A1378" s="22"/>
      <c r="B1378" s="22" t="s">
        <v>2550</v>
      </c>
      <c r="C1378" s="26">
        <v>45899</v>
      </c>
      <c r="D1378" s="25" t="s">
        <v>2736</v>
      </c>
      <c r="E1378" s="25" t="s">
        <v>2189</v>
      </c>
      <c r="F1378" s="53" t="s">
        <v>3812</v>
      </c>
      <c r="H1378" s="28">
        <v>0</v>
      </c>
    </row>
    <row r="1379" spans="1:8" x14ac:dyDescent="0.35">
      <c r="A1379" s="22"/>
      <c r="B1379" s="22" t="s">
        <v>2550</v>
      </c>
      <c r="C1379" s="26">
        <v>45899</v>
      </c>
      <c r="D1379" s="25" t="s">
        <v>2737</v>
      </c>
      <c r="E1379" s="25" t="s">
        <v>2987</v>
      </c>
      <c r="F1379" s="53" t="s">
        <v>3812</v>
      </c>
      <c r="H1379" s="28">
        <v>0</v>
      </c>
    </row>
    <row r="1380" spans="1:8" x14ac:dyDescent="0.35">
      <c r="A1380" s="22"/>
      <c r="B1380" s="22" t="s">
        <v>2550</v>
      </c>
      <c r="C1380" s="26">
        <v>45899</v>
      </c>
      <c r="D1380" s="25" t="s">
        <v>2738</v>
      </c>
      <c r="E1380" s="25" t="s">
        <v>2989</v>
      </c>
      <c r="F1380" s="53" t="s">
        <v>3812</v>
      </c>
      <c r="H1380" s="28">
        <v>0</v>
      </c>
    </row>
    <row r="1381" spans="1:8" x14ac:dyDescent="0.35">
      <c r="A1381" s="22"/>
      <c r="B1381" s="22" t="s">
        <v>2550</v>
      </c>
      <c r="C1381" s="26">
        <v>45899</v>
      </c>
      <c r="D1381" s="25" t="s">
        <v>2739</v>
      </c>
      <c r="E1381" s="25" t="s">
        <v>2989</v>
      </c>
      <c r="F1381" s="53" t="s">
        <v>3812</v>
      </c>
      <c r="H1381" s="28">
        <v>0</v>
      </c>
    </row>
    <row r="1382" spans="1:8" x14ac:dyDescent="0.35">
      <c r="A1382" s="22"/>
      <c r="B1382" s="22" t="s">
        <v>2550</v>
      </c>
      <c r="C1382" s="26">
        <v>45899</v>
      </c>
      <c r="D1382" s="25" t="s">
        <v>2740</v>
      </c>
      <c r="E1382" s="25" t="s">
        <v>2197</v>
      </c>
      <c r="F1382" s="53" t="s">
        <v>3812</v>
      </c>
      <c r="H1382" s="28">
        <v>12589.500000000002</v>
      </c>
    </row>
    <row r="1383" spans="1:8" x14ac:dyDescent="0.35">
      <c r="A1383" s="22"/>
      <c r="B1383" s="22" t="s">
        <v>2550</v>
      </c>
      <c r="C1383" s="26">
        <v>45899</v>
      </c>
      <c r="D1383" s="25" t="s">
        <v>2741</v>
      </c>
      <c r="E1383" s="25" t="s">
        <v>2555</v>
      </c>
      <c r="F1383" s="53" t="s">
        <v>3812</v>
      </c>
      <c r="H1383" s="28">
        <v>0</v>
      </c>
    </row>
    <row r="1384" spans="1:8" x14ac:dyDescent="0.35">
      <c r="A1384" s="22"/>
      <c r="B1384" s="22" t="s">
        <v>2550</v>
      </c>
      <c r="C1384" s="26">
        <v>45899</v>
      </c>
      <c r="D1384" s="25" t="s">
        <v>2742</v>
      </c>
      <c r="E1384" s="25" t="s">
        <v>2555</v>
      </c>
      <c r="F1384" s="53" t="s">
        <v>3812</v>
      </c>
      <c r="H1384" s="28">
        <v>0</v>
      </c>
    </row>
    <row r="1385" spans="1:8" x14ac:dyDescent="0.35">
      <c r="A1385" s="22"/>
      <c r="B1385" s="22" t="s">
        <v>2550</v>
      </c>
      <c r="C1385" s="26">
        <v>45899</v>
      </c>
      <c r="D1385" s="25" t="s">
        <v>2743</v>
      </c>
      <c r="E1385" s="25" t="s">
        <v>2555</v>
      </c>
      <c r="F1385" s="53" t="s">
        <v>3812</v>
      </c>
      <c r="H1385" s="28">
        <v>0</v>
      </c>
    </row>
    <row r="1386" spans="1:8" x14ac:dyDescent="0.35">
      <c r="A1386" s="22"/>
      <c r="B1386" s="22" t="s">
        <v>2550</v>
      </c>
      <c r="C1386" s="26">
        <v>45899</v>
      </c>
      <c r="D1386" s="25" t="s">
        <v>2744</v>
      </c>
      <c r="E1386" s="25" t="s">
        <v>2555</v>
      </c>
      <c r="F1386" s="53" t="s">
        <v>3812</v>
      </c>
      <c r="H1386" s="28">
        <v>0</v>
      </c>
    </row>
    <row r="1387" spans="1:8" x14ac:dyDescent="0.35">
      <c r="A1387" s="22"/>
      <c r="B1387" s="22" t="s">
        <v>2550</v>
      </c>
      <c r="C1387" s="26">
        <v>45899</v>
      </c>
      <c r="D1387" s="25" t="s">
        <v>2745</v>
      </c>
      <c r="E1387" s="25" t="s">
        <v>2020</v>
      </c>
      <c r="F1387" s="53" t="s">
        <v>3812</v>
      </c>
      <c r="H1387" s="28">
        <v>0</v>
      </c>
    </row>
    <row r="1388" spans="1:8" x14ac:dyDescent="0.35">
      <c r="A1388" s="22"/>
      <c r="B1388" s="22" t="s">
        <v>2550</v>
      </c>
      <c r="C1388" s="26">
        <v>45899</v>
      </c>
      <c r="D1388" s="25" t="s">
        <v>2746</v>
      </c>
      <c r="E1388" s="25" t="s">
        <v>1283</v>
      </c>
      <c r="F1388" s="53" t="s">
        <v>3812</v>
      </c>
      <c r="H1388" s="28">
        <v>0</v>
      </c>
    </row>
    <row r="1389" spans="1:8" x14ac:dyDescent="0.35">
      <c r="A1389" s="22"/>
      <c r="B1389" s="22" t="s">
        <v>2550</v>
      </c>
      <c r="C1389" s="26">
        <v>45899</v>
      </c>
      <c r="D1389" s="25" t="s">
        <v>2747</v>
      </c>
      <c r="E1389" s="25" t="s">
        <v>2132</v>
      </c>
      <c r="F1389" s="53" t="s">
        <v>3812</v>
      </c>
      <c r="H1389" s="28">
        <v>0</v>
      </c>
    </row>
    <row r="1390" spans="1:8" x14ac:dyDescent="0.35">
      <c r="A1390" s="22"/>
      <c r="B1390" s="22" t="s">
        <v>2550</v>
      </c>
      <c r="C1390" s="26">
        <v>45899</v>
      </c>
      <c r="D1390" s="25" t="s">
        <v>2748</v>
      </c>
      <c r="E1390" s="25" t="s">
        <v>996</v>
      </c>
      <c r="F1390" s="53" t="s">
        <v>3812</v>
      </c>
      <c r="H1390" s="28">
        <v>0</v>
      </c>
    </row>
    <row r="1391" spans="1:8" x14ac:dyDescent="0.35">
      <c r="A1391" s="22"/>
      <c r="B1391" s="22" t="s">
        <v>2550</v>
      </c>
      <c r="C1391" s="26">
        <v>45899</v>
      </c>
      <c r="D1391" s="25" t="s">
        <v>2749</v>
      </c>
      <c r="E1391" s="25" t="s">
        <v>3025</v>
      </c>
      <c r="F1391" s="53" t="s">
        <v>3812</v>
      </c>
      <c r="H1391" s="28">
        <v>0</v>
      </c>
    </row>
    <row r="1392" spans="1:8" x14ac:dyDescent="0.35">
      <c r="A1392" s="22"/>
      <c r="B1392" s="22" t="s">
        <v>2550</v>
      </c>
      <c r="C1392" s="26">
        <v>45899</v>
      </c>
      <c r="D1392" s="25" t="s">
        <v>2750</v>
      </c>
      <c r="E1392" s="25" t="s">
        <v>2547</v>
      </c>
      <c r="F1392" s="53" t="s">
        <v>3812</v>
      </c>
      <c r="H1392" s="28">
        <v>0</v>
      </c>
    </row>
    <row r="1393" spans="1:8" x14ac:dyDescent="0.35">
      <c r="A1393" s="22"/>
      <c r="B1393" s="22" t="s">
        <v>2550</v>
      </c>
      <c r="C1393" s="26">
        <v>45899</v>
      </c>
      <c r="D1393" s="25" t="s">
        <v>2751</v>
      </c>
      <c r="E1393" s="25" t="s">
        <v>301</v>
      </c>
      <c r="F1393" s="53" t="s">
        <v>3812</v>
      </c>
      <c r="H1393" s="28">
        <v>0</v>
      </c>
    </row>
    <row r="1394" spans="1:8" x14ac:dyDescent="0.35">
      <c r="A1394" s="22"/>
      <c r="B1394" s="22" t="s">
        <v>2550</v>
      </c>
      <c r="C1394" s="26">
        <v>45899</v>
      </c>
      <c r="D1394" s="25" t="s">
        <v>2752</v>
      </c>
      <c r="E1394" s="25" t="s">
        <v>2020</v>
      </c>
      <c r="F1394" s="53" t="s">
        <v>3812</v>
      </c>
      <c r="H1394" s="28">
        <v>0</v>
      </c>
    </row>
    <row r="1395" spans="1:8" x14ac:dyDescent="0.35">
      <c r="A1395" s="22"/>
      <c r="B1395" s="22" t="s">
        <v>2550</v>
      </c>
      <c r="C1395" s="26">
        <v>45899</v>
      </c>
      <c r="D1395" s="25" t="s">
        <v>2753</v>
      </c>
      <c r="E1395" s="25" t="s">
        <v>2020</v>
      </c>
      <c r="F1395" s="53" t="s">
        <v>3812</v>
      </c>
      <c r="H1395" s="28">
        <v>0</v>
      </c>
    </row>
    <row r="1396" spans="1:8" x14ac:dyDescent="0.35">
      <c r="A1396" s="22"/>
      <c r="B1396" s="22" t="s">
        <v>2550</v>
      </c>
      <c r="C1396" s="26">
        <v>45899</v>
      </c>
      <c r="D1396" s="25" t="s">
        <v>2754</v>
      </c>
      <c r="E1396" s="25" t="s">
        <v>2020</v>
      </c>
      <c r="F1396" s="53" t="s">
        <v>3812</v>
      </c>
      <c r="H1396" s="28">
        <v>0</v>
      </c>
    </row>
    <row r="1397" spans="1:8" x14ac:dyDescent="0.35">
      <c r="A1397" s="22"/>
      <c r="B1397" s="22" t="s">
        <v>2550</v>
      </c>
      <c r="C1397" s="26">
        <v>45899</v>
      </c>
      <c r="D1397" s="25" t="s">
        <v>2755</v>
      </c>
      <c r="E1397" s="25" t="s">
        <v>2020</v>
      </c>
      <c r="F1397" s="53" t="s">
        <v>3812</v>
      </c>
      <c r="H1397" s="28">
        <v>0</v>
      </c>
    </row>
    <row r="1398" spans="1:8" x14ac:dyDescent="0.35">
      <c r="A1398" s="22"/>
      <c r="B1398" s="22" t="s">
        <v>2550</v>
      </c>
      <c r="C1398" s="26">
        <v>45899</v>
      </c>
      <c r="D1398" s="25" t="s">
        <v>2756</v>
      </c>
      <c r="E1398" s="25" t="s">
        <v>2020</v>
      </c>
      <c r="F1398" s="53" t="s">
        <v>3812</v>
      </c>
      <c r="H1398" s="28">
        <v>0</v>
      </c>
    </row>
    <row r="1399" spans="1:8" x14ac:dyDescent="0.35">
      <c r="A1399" s="22"/>
      <c r="B1399" s="22" t="s">
        <v>2550</v>
      </c>
      <c r="C1399" s="26">
        <v>45899</v>
      </c>
      <c r="D1399" s="25" t="s">
        <v>2757</v>
      </c>
      <c r="E1399" s="25" t="s">
        <v>2020</v>
      </c>
      <c r="F1399" s="53" t="s">
        <v>3812</v>
      </c>
      <c r="H1399" s="28">
        <v>0</v>
      </c>
    </row>
    <row r="1400" spans="1:8" x14ac:dyDescent="0.35">
      <c r="A1400" s="22"/>
      <c r="B1400" s="22" t="s">
        <v>2550</v>
      </c>
      <c r="C1400" s="26">
        <v>45899</v>
      </c>
      <c r="D1400" s="25" t="s">
        <v>2758</v>
      </c>
      <c r="E1400" s="25" t="s">
        <v>301</v>
      </c>
      <c r="F1400" s="53" t="s">
        <v>3812</v>
      </c>
      <c r="H1400" s="28">
        <v>0</v>
      </c>
    </row>
    <row r="1401" spans="1:8" x14ac:dyDescent="0.35">
      <c r="A1401" s="22"/>
      <c r="B1401" s="22" t="s">
        <v>2550</v>
      </c>
      <c r="C1401" s="26">
        <v>45899</v>
      </c>
      <c r="D1401" s="25" t="s">
        <v>2759</v>
      </c>
      <c r="E1401" s="25" t="s">
        <v>3037</v>
      </c>
      <c r="F1401" s="53" t="s">
        <v>3812</v>
      </c>
      <c r="H1401" s="28">
        <v>0</v>
      </c>
    </row>
    <row r="1402" spans="1:8" x14ac:dyDescent="0.35">
      <c r="A1402" s="22"/>
      <c r="B1402" s="22" t="s">
        <v>2550</v>
      </c>
      <c r="C1402" s="26">
        <v>45899</v>
      </c>
      <c r="D1402" s="25" t="s">
        <v>2760</v>
      </c>
      <c r="E1402" s="25" t="s">
        <v>2033</v>
      </c>
      <c r="F1402" s="53" t="s">
        <v>3812</v>
      </c>
      <c r="H1402" s="28">
        <v>0</v>
      </c>
    </row>
    <row r="1403" spans="1:8" x14ac:dyDescent="0.35">
      <c r="A1403" s="22"/>
      <c r="B1403" s="22" t="s">
        <v>2550</v>
      </c>
      <c r="C1403" s="26">
        <v>45899</v>
      </c>
      <c r="D1403" s="25" t="s">
        <v>2761</v>
      </c>
      <c r="E1403" s="25" t="s">
        <v>2033</v>
      </c>
      <c r="F1403" s="53" t="s">
        <v>3812</v>
      </c>
      <c r="H1403" s="28">
        <v>0</v>
      </c>
    </row>
    <row r="1404" spans="1:8" x14ac:dyDescent="0.35">
      <c r="A1404" s="22"/>
      <c r="B1404" s="22" t="s">
        <v>2550</v>
      </c>
      <c r="C1404" s="26">
        <v>45899</v>
      </c>
      <c r="D1404" s="25" t="s">
        <v>2762</v>
      </c>
      <c r="E1404" s="25" t="s">
        <v>2033</v>
      </c>
      <c r="F1404" s="53" t="s">
        <v>3812</v>
      </c>
      <c r="H1404" s="28">
        <v>0</v>
      </c>
    </row>
    <row r="1405" spans="1:8" x14ac:dyDescent="0.35">
      <c r="A1405" s="22"/>
      <c r="B1405" s="22" t="s">
        <v>2550</v>
      </c>
      <c r="C1405" s="26">
        <v>45899</v>
      </c>
      <c r="D1405" s="25" t="s">
        <v>2763</v>
      </c>
      <c r="E1405" s="25" t="s">
        <v>1608</v>
      </c>
      <c r="F1405" s="53" t="s">
        <v>3812</v>
      </c>
      <c r="H1405" s="28">
        <v>0</v>
      </c>
    </row>
    <row r="1406" spans="1:8" x14ac:dyDescent="0.35">
      <c r="A1406" s="22"/>
      <c r="B1406" s="22" t="s">
        <v>2550</v>
      </c>
      <c r="C1406" s="26">
        <v>45899</v>
      </c>
      <c r="D1406" s="25" t="s">
        <v>2764</v>
      </c>
      <c r="E1406" s="25" t="s">
        <v>2077</v>
      </c>
      <c r="F1406" s="53" t="s">
        <v>3812</v>
      </c>
      <c r="H1406" s="28">
        <v>0</v>
      </c>
    </row>
    <row r="1407" spans="1:8" x14ac:dyDescent="0.35">
      <c r="A1407" s="22"/>
      <c r="B1407" s="22" t="s">
        <v>2550</v>
      </c>
      <c r="C1407" s="26">
        <v>45899</v>
      </c>
      <c r="D1407" s="25" t="s">
        <v>2765</v>
      </c>
      <c r="E1407" s="25" t="s">
        <v>1251</v>
      </c>
      <c r="F1407" s="53" t="s">
        <v>3812</v>
      </c>
      <c r="H1407" s="28">
        <v>0</v>
      </c>
    </row>
    <row r="1408" spans="1:8" x14ac:dyDescent="0.35">
      <c r="A1408" s="22"/>
      <c r="B1408" s="22" t="s">
        <v>2550</v>
      </c>
      <c r="C1408" s="26">
        <v>45899</v>
      </c>
      <c r="D1408" s="25" t="s">
        <v>2766</v>
      </c>
      <c r="E1408" s="25" t="s">
        <v>2033</v>
      </c>
      <c r="F1408" s="53" t="s">
        <v>3812</v>
      </c>
      <c r="H1408" s="28">
        <v>9548.99</v>
      </c>
    </row>
    <row r="1409" spans="1:8" x14ac:dyDescent="0.35">
      <c r="A1409" s="22"/>
      <c r="B1409" s="22" t="s">
        <v>2550</v>
      </c>
      <c r="C1409" s="26">
        <v>45899</v>
      </c>
      <c r="D1409" s="25" t="s">
        <v>2767</v>
      </c>
      <c r="E1409" s="25" t="s">
        <v>2144</v>
      </c>
      <c r="F1409" s="53" t="s">
        <v>3812</v>
      </c>
      <c r="H1409" s="28">
        <v>0</v>
      </c>
    </row>
    <row r="1410" spans="1:8" x14ac:dyDescent="0.35">
      <c r="A1410" s="22"/>
      <c r="B1410" s="22" t="s">
        <v>2550</v>
      </c>
      <c r="C1410" s="26">
        <v>45899</v>
      </c>
      <c r="D1410" s="25" t="s">
        <v>2768</v>
      </c>
      <c r="E1410" s="25" t="s">
        <v>2144</v>
      </c>
      <c r="F1410" s="53" t="s">
        <v>3812</v>
      </c>
      <c r="H1410" s="28">
        <v>0</v>
      </c>
    </row>
    <row r="1411" spans="1:8" x14ac:dyDescent="0.35">
      <c r="A1411" s="22"/>
      <c r="B1411" s="22" t="s">
        <v>2550</v>
      </c>
      <c r="C1411" s="26">
        <v>45899</v>
      </c>
      <c r="D1411" s="25" t="s">
        <v>2770</v>
      </c>
      <c r="E1411" s="25" t="s">
        <v>2144</v>
      </c>
      <c r="F1411" s="53" t="s">
        <v>3812</v>
      </c>
      <c r="H1411" s="28">
        <v>0</v>
      </c>
    </row>
    <row r="1412" spans="1:8" x14ac:dyDescent="0.35">
      <c r="A1412" s="22"/>
      <c r="B1412" s="22" t="s">
        <v>2550</v>
      </c>
      <c r="C1412" s="26">
        <v>45899</v>
      </c>
      <c r="D1412" s="25" t="s">
        <v>2771</v>
      </c>
      <c r="E1412" s="25" t="s">
        <v>2144</v>
      </c>
      <c r="F1412" s="53" t="s">
        <v>3812</v>
      </c>
      <c r="H1412" s="28">
        <v>0</v>
      </c>
    </row>
    <row r="1413" spans="1:8" x14ac:dyDescent="0.35">
      <c r="A1413" s="22"/>
      <c r="B1413" s="22" t="s">
        <v>2550</v>
      </c>
      <c r="C1413" s="26">
        <v>45899</v>
      </c>
      <c r="D1413" s="25" t="s">
        <v>2772</v>
      </c>
      <c r="E1413" s="25" t="s">
        <v>2144</v>
      </c>
      <c r="F1413" s="53" t="s">
        <v>3812</v>
      </c>
      <c r="H1413" s="28">
        <v>0</v>
      </c>
    </row>
    <row r="1414" spans="1:8" x14ac:dyDescent="0.35">
      <c r="A1414" s="22"/>
      <c r="B1414" s="22" t="s">
        <v>2550</v>
      </c>
      <c r="C1414" s="26">
        <v>45899</v>
      </c>
      <c r="D1414" s="25" t="s">
        <v>2773</v>
      </c>
      <c r="E1414" s="25" t="s">
        <v>2575</v>
      </c>
      <c r="F1414" s="53" t="s">
        <v>3812</v>
      </c>
      <c r="H1414" s="28">
        <v>0</v>
      </c>
    </row>
    <row r="1415" spans="1:8" x14ac:dyDescent="0.35">
      <c r="A1415" s="22"/>
      <c r="B1415" s="22" t="s">
        <v>2550</v>
      </c>
      <c r="C1415" s="26">
        <v>45899</v>
      </c>
      <c r="D1415" s="25" t="s">
        <v>2774</v>
      </c>
      <c r="E1415" s="25" t="s">
        <v>3061</v>
      </c>
      <c r="F1415" s="53" t="s">
        <v>3812</v>
      </c>
      <c r="H1415" s="28">
        <v>0</v>
      </c>
    </row>
    <row r="1416" spans="1:8" x14ac:dyDescent="0.35">
      <c r="A1416" s="22"/>
      <c r="B1416" s="22" t="s">
        <v>2550</v>
      </c>
      <c r="C1416" s="26">
        <v>45899</v>
      </c>
      <c r="D1416" s="25" t="s">
        <v>2775</v>
      </c>
      <c r="E1416" s="25" t="s">
        <v>3061</v>
      </c>
      <c r="F1416" s="53" t="s">
        <v>3812</v>
      </c>
      <c r="H1416" s="28">
        <v>1120</v>
      </c>
    </row>
    <row r="1417" spans="1:8" x14ac:dyDescent="0.35">
      <c r="A1417" s="22"/>
      <c r="B1417" s="22" t="s">
        <v>2550</v>
      </c>
      <c r="C1417" s="26">
        <v>45899</v>
      </c>
      <c r="D1417" s="25" t="s">
        <v>2776</v>
      </c>
      <c r="E1417" s="25" t="s">
        <v>2846</v>
      </c>
      <c r="F1417" s="53" t="s">
        <v>3812</v>
      </c>
      <c r="H1417" s="28">
        <v>0</v>
      </c>
    </row>
    <row r="1418" spans="1:8" x14ac:dyDescent="0.35">
      <c r="A1418" s="22"/>
      <c r="B1418" s="22" t="s">
        <v>2550</v>
      </c>
      <c r="C1418" s="26">
        <v>45899</v>
      </c>
      <c r="D1418" s="25" t="s">
        <v>2777</v>
      </c>
      <c r="E1418" s="25" t="s">
        <v>2846</v>
      </c>
      <c r="F1418" s="53" t="s">
        <v>3812</v>
      </c>
      <c r="H1418" s="28">
        <v>0</v>
      </c>
    </row>
    <row r="1419" spans="1:8" x14ac:dyDescent="0.35">
      <c r="A1419" s="22"/>
      <c r="B1419" s="22" t="s">
        <v>2550</v>
      </c>
      <c r="C1419" s="26">
        <v>45899</v>
      </c>
      <c r="D1419" s="25" t="s">
        <v>2778</v>
      </c>
      <c r="E1419" s="25" t="s">
        <v>2396</v>
      </c>
      <c r="F1419" s="53" t="s">
        <v>3812</v>
      </c>
      <c r="H1419" s="28">
        <v>0</v>
      </c>
    </row>
    <row r="1420" spans="1:8" x14ac:dyDescent="0.35">
      <c r="A1420" s="22"/>
      <c r="B1420" s="22" t="s">
        <v>2550</v>
      </c>
      <c r="C1420" s="26">
        <v>45899</v>
      </c>
      <c r="D1420" s="25" t="s">
        <v>2779</v>
      </c>
      <c r="E1420" s="25" t="s">
        <v>2396</v>
      </c>
      <c r="F1420" s="53" t="s">
        <v>3812</v>
      </c>
      <c r="H1420" s="28">
        <v>0</v>
      </c>
    </row>
    <row r="1421" spans="1:8" x14ac:dyDescent="0.35">
      <c r="A1421" s="22"/>
      <c r="B1421" s="22" t="s">
        <v>2550</v>
      </c>
      <c r="C1421" s="26">
        <v>45899</v>
      </c>
      <c r="D1421" s="25" t="s">
        <v>2780</v>
      </c>
      <c r="E1421" s="25" t="s">
        <v>2396</v>
      </c>
      <c r="F1421" s="53" t="s">
        <v>3812</v>
      </c>
      <c r="H1421" s="28">
        <v>0</v>
      </c>
    </row>
    <row r="1422" spans="1:8" x14ac:dyDescent="0.35">
      <c r="A1422" s="22"/>
      <c r="B1422" s="22" t="s">
        <v>2550</v>
      </c>
      <c r="C1422" s="26">
        <v>45899</v>
      </c>
      <c r="D1422" s="25" t="s">
        <v>2781</v>
      </c>
      <c r="E1422" s="25" t="s">
        <v>2396</v>
      </c>
      <c r="F1422" s="53" t="s">
        <v>3812</v>
      </c>
      <c r="H1422" s="28">
        <v>0</v>
      </c>
    </row>
    <row r="1423" spans="1:8" x14ac:dyDescent="0.35">
      <c r="A1423" s="22"/>
      <c r="B1423" s="22" t="s">
        <v>2550</v>
      </c>
      <c r="C1423" s="26">
        <v>45899</v>
      </c>
      <c r="D1423" s="25" t="s">
        <v>2782</v>
      </c>
      <c r="E1423" s="25" t="s">
        <v>2396</v>
      </c>
      <c r="F1423" s="53" t="s">
        <v>3812</v>
      </c>
      <c r="H1423" s="28">
        <v>0</v>
      </c>
    </row>
    <row r="1424" spans="1:8" x14ac:dyDescent="0.35">
      <c r="A1424" s="22"/>
      <c r="B1424" s="22" t="s">
        <v>2550</v>
      </c>
      <c r="C1424" s="26">
        <v>45899</v>
      </c>
      <c r="D1424" s="25" t="s">
        <v>2783</v>
      </c>
      <c r="E1424" s="25" t="s">
        <v>1724</v>
      </c>
      <c r="F1424" s="53" t="s">
        <v>3812</v>
      </c>
      <c r="H1424" s="28">
        <v>0</v>
      </c>
    </row>
    <row r="1425" spans="1:8" x14ac:dyDescent="0.35">
      <c r="A1425" s="22"/>
      <c r="B1425" s="22" t="s">
        <v>2550</v>
      </c>
      <c r="C1425" s="26">
        <v>45899</v>
      </c>
      <c r="D1425" s="25" t="s">
        <v>2784</v>
      </c>
      <c r="E1425" s="25" t="s">
        <v>1724</v>
      </c>
      <c r="F1425" s="53" t="s">
        <v>3812</v>
      </c>
      <c r="H1425" s="28">
        <v>0</v>
      </c>
    </row>
    <row r="1426" spans="1:8" x14ac:dyDescent="0.35">
      <c r="A1426" s="22"/>
      <c r="B1426" s="22" t="s">
        <v>2550</v>
      </c>
      <c r="C1426" s="26">
        <v>45899</v>
      </c>
      <c r="D1426" s="25" t="s">
        <v>2785</v>
      </c>
      <c r="E1426" s="25" t="s">
        <v>2447</v>
      </c>
      <c r="F1426" s="53" t="s">
        <v>3812</v>
      </c>
      <c r="H1426" s="28">
        <v>0</v>
      </c>
    </row>
    <row r="1427" spans="1:8" x14ac:dyDescent="0.35">
      <c r="A1427" s="22"/>
      <c r="B1427" s="22" t="s">
        <v>2550</v>
      </c>
      <c r="C1427" s="26">
        <v>45899</v>
      </c>
      <c r="D1427" s="25" t="s">
        <v>2786</v>
      </c>
      <c r="E1427" s="25" t="s">
        <v>2447</v>
      </c>
      <c r="F1427" s="53" t="s">
        <v>3812</v>
      </c>
      <c r="H1427" s="28">
        <v>0</v>
      </c>
    </row>
    <row r="1428" spans="1:8" x14ac:dyDescent="0.35">
      <c r="A1428" s="22"/>
      <c r="B1428" s="22" t="s">
        <v>2550</v>
      </c>
      <c r="C1428" s="26">
        <v>45899</v>
      </c>
      <c r="D1428" s="25" t="s">
        <v>2787</v>
      </c>
      <c r="E1428" s="25" t="s">
        <v>1782</v>
      </c>
      <c r="F1428" s="53" t="s">
        <v>3812</v>
      </c>
      <c r="H1428" s="28">
        <v>0</v>
      </c>
    </row>
    <row r="1429" spans="1:8" x14ac:dyDescent="0.35">
      <c r="A1429" s="22"/>
      <c r="B1429" s="22" t="s">
        <v>2550</v>
      </c>
      <c r="C1429" s="26">
        <v>45899</v>
      </c>
      <c r="D1429" s="25" t="s">
        <v>2788</v>
      </c>
      <c r="E1429" s="25" t="s">
        <v>1782</v>
      </c>
      <c r="F1429" s="53" t="s">
        <v>3812</v>
      </c>
      <c r="H1429" s="28">
        <v>0</v>
      </c>
    </row>
    <row r="1430" spans="1:8" x14ac:dyDescent="0.35">
      <c r="A1430" s="22"/>
      <c r="B1430" s="22" t="s">
        <v>2550</v>
      </c>
      <c r="C1430" s="26">
        <v>45899</v>
      </c>
      <c r="D1430" s="25" t="s">
        <v>2789</v>
      </c>
      <c r="E1430" s="25" t="s">
        <v>1587</v>
      </c>
      <c r="F1430" s="53" t="s">
        <v>3812</v>
      </c>
      <c r="H1430" s="28">
        <v>0</v>
      </c>
    </row>
    <row r="1431" spans="1:8" x14ac:dyDescent="0.35">
      <c r="A1431" s="22"/>
      <c r="B1431" s="22" t="s">
        <v>2550</v>
      </c>
      <c r="C1431" s="26">
        <v>45899</v>
      </c>
      <c r="D1431" s="25" t="s">
        <v>2790</v>
      </c>
      <c r="E1431" s="25" t="s">
        <v>1587</v>
      </c>
      <c r="F1431" s="53" t="s">
        <v>3812</v>
      </c>
      <c r="H1431" s="28">
        <v>343.59</v>
      </c>
    </row>
    <row r="1432" spans="1:8" x14ac:dyDescent="0.35">
      <c r="A1432" s="22"/>
      <c r="B1432" s="22" t="s">
        <v>2550</v>
      </c>
      <c r="C1432" s="26">
        <v>45899</v>
      </c>
      <c r="D1432" s="25" t="s">
        <v>2791</v>
      </c>
      <c r="E1432" s="25" t="s">
        <v>1587</v>
      </c>
      <c r="F1432" s="53" t="s">
        <v>3812</v>
      </c>
      <c r="H1432" s="28">
        <v>0</v>
      </c>
    </row>
    <row r="1433" spans="1:8" x14ac:dyDescent="0.35">
      <c r="A1433" s="22"/>
      <c r="B1433" s="22" t="s">
        <v>2550</v>
      </c>
      <c r="C1433" s="26">
        <v>45899</v>
      </c>
      <c r="D1433" s="25" t="s">
        <v>2792</v>
      </c>
      <c r="E1433" s="25" t="s">
        <v>1587</v>
      </c>
      <c r="F1433" s="53" t="s">
        <v>3812</v>
      </c>
      <c r="H1433" s="28">
        <v>0</v>
      </c>
    </row>
    <row r="1434" spans="1:8" x14ac:dyDescent="0.35">
      <c r="A1434" s="22"/>
      <c r="B1434" s="22" t="s">
        <v>2550</v>
      </c>
      <c r="C1434" s="26">
        <v>45899</v>
      </c>
      <c r="D1434" s="25" t="s">
        <v>2793</v>
      </c>
      <c r="E1434" s="25" t="s">
        <v>1587</v>
      </c>
      <c r="F1434" s="53" t="s">
        <v>3812</v>
      </c>
      <c r="H1434" s="28">
        <v>0</v>
      </c>
    </row>
    <row r="1435" spans="1:8" x14ac:dyDescent="0.35">
      <c r="A1435" s="22"/>
      <c r="B1435" s="22" t="s">
        <v>2550</v>
      </c>
      <c r="C1435" s="26">
        <v>45899</v>
      </c>
      <c r="D1435" s="25" t="s">
        <v>2794</v>
      </c>
      <c r="E1435" s="25" t="s">
        <v>1334</v>
      </c>
      <c r="F1435" s="53" t="s">
        <v>3812</v>
      </c>
      <c r="H1435" s="28">
        <v>0</v>
      </c>
    </row>
    <row r="1436" spans="1:8" x14ac:dyDescent="0.35">
      <c r="A1436" s="22"/>
      <c r="B1436" s="22" t="s">
        <v>2550</v>
      </c>
      <c r="C1436" s="26">
        <v>45899</v>
      </c>
      <c r="D1436" s="25" t="s">
        <v>2795</v>
      </c>
      <c r="E1436" s="25" t="s">
        <v>1334</v>
      </c>
      <c r="F1436" s="53" t="s">
        <v>3812</v>
      </c>
      <c r="H1436" s="28">
        <v>0</v>
      </c>
    </row>
    <row r="1437" spans="1:8" x14ac:dyDescent="0.35">
      <c r="A1437" s="22"/>
      <c r="B1437" s="22" t="s">
        <v>2550</v>
      </c>
      <c r="C1437" s="26">
        <v>45899</v>
      </c>
      <c r="D1437" s="25" t="s">
        <v>2796</v>
      </c>
      <c r="E1437" s="25" t="s">
        <v>1334</v>
      </c>
      <c r="F1437" s="53" t="s">
        <v>3812</v>
      </c>
      <c r="H1437" s="28">
        <v>0</v>
      </c>
    </row>
    <row r="1438" spans="1:8" x14ac:dyDescent="0.35">
      <c r="A1438" s="22"/>
      <c r="B1438" s="22" t="s">
        <v>2550</v>
      </c>
      <c r="C1438" s="26">
        <v>45899</v>
      </c>
      <c r="D1438" s="25" t="s">
        <v>2797</v>
      </c>
      <c r="E1438" s="25" t="s">
        <v>3093</v>
      </c>
      <c r="F1438" s="53" t="s">
        <v>3812</v>
      </c>
      <c r="H1438" s="28">
        <v>0</v>
      </c>
    </row>
    <row r="1439" spans="1:8" x14ac:dyDescent="0.35">
      <c r="A1439" s="22"/>
      <c r="B1439" s="22" t="s">
        <v>2550</v>
      </c>
      <c r="C1439" s="26">
        <v>45899</v>
      </c>
      <c r="D1439" s="25" t="s">
        <v>2798</v>
      </c>
      <c r="E1439" s="25" t="s">
        <v>3095</v>
      </c>
      <c r="F1439" s="53" t="s">
        <v>3812</v>
      </c>
      <c r="H1439" s="28">
        <v>0</v>
      </c>
    </row>
    <row r="1440" spans="1:8" x14ac:dyDescent="0.35">
      <c r="A1440" s="22"/>
      <c r="B1440" s="22" t="s">
        <v>2550</v>
      </c>
      <c r="C1440" s="26">
        <v>45899</v>
      </c>
      <c r="D1440" s="25" t="s">
        <v>2799</v>
      </c>
      <c r="E1440" s="25" t="s">
        <v>2396</v>
      </c>
      <c r="F1440" s="53" t="s">
        <v>3812</v>
      </c>
      <c r="H1440" s="28">
        <v>0</v>
      </c>
    </row>
    <row r="1441" spans="1:8" x14ac:dyDescent="0.35">
      <c r="A1441" s="22"/>
      <c r="B1441" s="22" t="s">
        <v>2550</v>
      </c>
      <c r="C1441" s="26">
        <v>45899</v>
      </c>
      <c r="D1441" s="25" t="s">
        <v>2800</v>
      </c>
      <c r="E1441" s="25" t="s">
        <v>2396</v>
      </c>
      <c r="F1441" s="53" t="s">
        <v>3812</v>
      </c>
      <c r="H1441" s="28">
        <v>0</v>
      </c>
    </row>
    <row r="1442" spans="1:8" x14ac:dyDescent="0.35">
      <c r="A1442" s="22"/>
      <c r="B1442" s="22" t="s">
        <v>2550</v>
      </c>
      <c r="C1442" s="26">
        <v>45899</v>
      </c>
      <c r="D1442" s="25" t="s">
        <v>2801</v>
      </c>
      <c r="E1442" s="25" t="s">
        <v>2396</v>
      </c>
      <c r="F1442" s="53" t="s">
        <v>3812</v>
      </c>
      <c r="H1442" s="28">
        <v>0</v>
      </c>
    </row>
    <row r="1443" spans="1:8" x14ac:dyDescent="0.35">
      <c r="A1443" s="22"/>
      <c r="B1443" s="22" t="s">
        <v>2550</v>
      </c>
      <c r="C1443" s="26">
        <v>45899</v>
      </c>
      <c r="D1443" s="25" t="s">
        <v>2802</v>
      </c>
      <c r="E1443" s="25" t="s">
        <v>2396</v>
      </c>
      <c r="F1443" s="53" t="s">
        <v>3812</v>
      </c>
      <c r="H1443" s="28">
        <v>0</v>
      </c>
    </row>
    <row r="1444" spans="1:8" x14ac:dyDescent="0.35">
      <c r="A1444" s="22"/>
      <c r="B1444" s="22" t="s">
        <v>2550</v>
      </c>
      <c r="C1444" s="26">
        <v>45899</v>
      </c>
      <c r="D1444" s="25" t="s">
        <v>2803</v>
      </c>
      <c r="E1444" s="25" t="s">
        <v>2396</v>
      </c>
      <c r="F1444" s="53" t="s">
        <v>3812</v>
      </c>
      <c r="H1444" s="28">
        <v>0</v>
      </c>
    </row>
    <row r="1445" spans="1:8" x14ac:dyDescent="0.35">
      <c r="A1445" s="22"/>
      <c r="B1445" s="22" t="s">
        <v>2550</v>
      </c>
      <c r="C1445" s="26">
        <v>45899</v>
      </c>
      <c r="D1445" s="25" t="s">
        <v>2804</v>
      </c>
      <c r="E1445" s="25" t="s">
        <v>2396</v>
      </c>
      <c r="F1445" s="53" t="s">
        <v>3812</v>
      </c>
      <c r="H1445" s="28">
        <v>0</v>
      </c>
    </row>
    <row r="1446" spans="1:8" x14ac:dyDescent="0.35">
      <c r="A1446" s="22"/>
      <c r="B1446" s="22" t="s">
        <v>2550</v>
      </c>
      <c r="C1446" s="26">
        <v>45899</v>
      </c>
      <c r="D1446" s="25">
        <v>34675</v>
      </c>
      <c r="E1446" s="25" t="s">
        <v>1277</v>
      </c>
      <c r="F1446" s="53" t="s">
        <v>3812</v>
      </c>
      <c r="H1446" s="28">
        <v>0</v>
      </c>
    </row>
    <row r="1447" spans="1:8" x14ac:dyDescent="0.35">
      <c r="A1447" s="22"/>
      <c r="B1447" s="22" t="s">
        <v>2550</v>
      </c>
      <c r="C1447" s="26">
        <v>45899</v>
      </c>
      <c r="D1447" s="25" t="s">
        <v>2805</v>
      </c>
      <c r="E1447" s="25" t="s">
        <v>1179</v>
      </c>
      <c r="F1447" s="53" t="s">
        <v>3812</v>
      </c>
      <c r="H1447" s="28">
        <v>0</v>
      </c>
    </row>
    <row r="1448" spans="1:8" x14ac:dyDescent="0.35">
      <c r="A1448" s="22"/>
      <c r="B1448" s="22" t="s">
        <v>2550</v>
      </c>
      <c r="C1448" s="26">
        <v>45899</v>
      </c>
      <c r="D1448" s="25" t="s">
        <v>2806</v>
      </c>
      <c r="E1448" s="25" t="s">
        <v>1179</v>
      </c>
      <c r="F1448" s="53" t="s">
        <v>3812</v>
      </c>
      <c r="H1448" s="28">
        <v>0</v>
      </c>
    </row>
    <row r="1449" spans="1:8" x14ac:dyDescent="0.35">
      <c r="A1449" s="22"/>
      <c r="B1449" s="22" t="s">
        <v>2550</v>
      </c>
      <c r="C1449" s="26">
        <v>45899</v>
      </c>
      <c r="D1449" s="25" t="s">
        <v>2807</v>
      </c>
      <c r="E1449" s="25" t="s">
        <v>1179</v>
      </c>
      <c r="F1449" s="53" t="s">
        <v>3812</v>
      </c>
      <c r="H1449" s="28">
        <v>0</v>
      </c>
    </row>
    <row r="1450" spans="1:8" x14ac:dyDescent="0.35">
      <c r="A1450" s="22"/>
      <c r="B1450" s="22" t="s">
        <v>2550</v>
      </c>
      <c r="C1450" s="26">
        <v>45899</v>
      </c>
      <c r="D1450" s="25" t="s">
        <v>2808</v>
      </c>
      <c r="E1450" s="25" t="s">
        <v>1179</v>
      </c>
      <c r="F1450" s="53" t="s">
        <v>3812</v>
      </c>
      <c r="H1450" s="28">
        <v>0</v>
      </c>
    </row>
    <row r="1451" spans="1:8" x14ac:dyDescent="0.35">
      <c r="A1451" s="22"/>
      <c r="B1451" s="22" t="s">
        <v>2550</v>
      </c>
      <c r="C1451" s="26">
        <v>45899</v>
      </c>
      <c r="D1451" s="25" t="s">
        <v>2809</v>
      </c>
      <c r="E1451" s="25" t="s">
        <v>1179</v>
      </c>
      <c r="F1451" s="53" t="s">
        <v>3812</v>
      </c>
      <c r="H1451" s="28">
        <v>0</v>
      </c>
    </row>
    <row r="1452" spans="1:8" x14ac:dyDescent="0.35">
      <c r="A1452" s="22"/>
      <c r="B1452" s="22" t="s">
        <v>2550</v>
      </c>
      <c r="C1452" s="26">
        <v>45899</v>
      </c>
      <c r="D1452" s="25" t="s">
        <v>2810</v>
      </c>
      <c r="E1452" s="25" t="s">
        <v>1179</v>
      </c>
      <c r="F1452" s="53" t="s">
        <v>3812</v>
      </c>
      <c r="H1452" s="28">
        <v>0</v>
      </c>
    </row>
    <row r="1453" spans="1:8" x14ac:dyDescent="0.35">
      <c r="A1453" s="22"/>
      <c r="B1453" s="22" t="s">
        <v>2550</v>
      </c>
      <c r="C1453" s="26">
        <v>45899</v>
      </c>
      <c r="D1453" s="25" t="s">
        <v>2811</v>
      </c>
      <c r="E1453" s="25" t="s">
        <v>1179</v>
      </c>
      <c r="F1453" s="53" t="s">
        <v>3812</v>
      </c>
      <c r="H1453" s="28">
        <v>0</v>
      </c>
    </row>
    <row r="1454" spans="1:8" x14ac:dyDescent="0.35">
      <c r="A1454" s="22"/>
      <c r="B1454" s="22" t="s">
        <v>2550</v>
      </c>
      <c r="C1454" s="26">
        <v>45899</v>
      </c>
      <c r="D1454" s="25" t="s">
        <v>2812</v>
      </c>
      <c r="E1454" s="25" t="s">
        <v>1179</v>
      </c>
      <c r="F1454" s="53" t="s">
        <v>3812</v>
      </c>
      <c r="H1454" s="28">
        <v>0</v>
      </c>
    </row>
    <row r="1455" spans="1:8" x14ac:dyDescent="0.35">
      <c r="A1455" s="22"/>
      <c r="B1455" s="22" t="s">
        <v>2550</v>
      </c>
      <c r="C1455" s="26">
        <v>45899</v>
      </c>
      <c r="D1455" s="25" t="s">
        <v>2813</v>
      </c>
      <c r="E1455" s="25" t="s">
        <v>1179</v>
      </c>
      <c r="F1455" s="53" t="s">
        <v>3812</v>
      </c>
      <c r="H1455" s="28">
        <v>0</v>
      </c>
    </row>
    <row r="1456" spans="1:8" x14ac:dyDescent="0.35">
      <c r="A1456" s="22"/>
      <c r="B1456" s="22" t="s">
        <v>2550</v>
      </c>
      <c r="C1456" s="26">
        <v>45899</v>
      </c>
      <c r="D1456" s="25" t="s">
        <v>2814</v>
      </c>
      <c r="E1456" s="25" t="s">
        <v>3115</v>
      </c>
      <c r="F1456" s="53" t="s">
        <v>3812</v>
      </c>
      <c r="H1456" s="28">
        <v>0</v>
      </c>
    </row>
    <row r="1457" spans="1:8" x14ac:dyDescent="0.35">
      <c r="A1457" s="22"/>
      <c r="B1457" s="22" t="s">
        <v>2550</v>
      </c>
      <c r="C1457" s="26">
        <v>45899</v>
      </c>
      <c r="D1457" s="25" t="s">
        <v>2815</v>
      </c>
      <c r="E1457" s="25" t="s">
        <v>2530</v>
      </c>
      <c r="F1457" s="53" t="s">
        <v>3812</v>
      </c>
      <c r="H1457" s="28">
        <v>0</v>
      </c>
    </row>
    <row r="1458" spans="1:8" x14ac:dyDescent="0.35">
      <c r="A1458" s="22"/>
      <c r="B1458" s="22" t="s">
        <v>2550</v>
      </c>
      <c r="C1458" s="26">
        <v>45899</v>
      </c>
      <c r="D1458" s="25" t="s">
        <v>2816</v>
      </c>
      <c r="E1458" s="25" t="s">
        <v>301</v>
      </c>
      <c r="F1458" s="53" t="s">
        <v>3812</v>
      </c>
      <c r="H1458" s="28">
        <v>0</v>
      </c>
    </row>
    <row r="1459" spans="1:8" x14ac:dyDescent="0.35">
      <c r="A1459" s="22"/>
      <c r="B1459" s="22" t="s">
        <v>2550</v>
      </c>
      <c r="C1459" s="26">
        <v>45899</v>
      </c>
      <c r="D1459" s="25" t="s">
        <v>2817</v>
      </c>
      <c r="E1459" s="25" t="s">
        <v>301</v>
      </c>
      <c r="F1459" s="53" t="s">
        <v>3812</v>
      </c>
      <c r="H1459" s="28">
        <v>0</v>
      </c>
    </row>
    <row r="1460" spans="1:8" x14ac:dyDescent="0.35">
      <c r="A1460" s="22"/>
      <c r="B1460" s="22" t="s">
        <v>2550</v>
      </c>
      <c r="C1460" s="26">
        <v>45899</v>
      </c>
      <c r="D1460" s="25" t="s">
        <v>2818</v>
      </c>
      <c r="E1460" s="25" t="s">
        <v>1932</v>
      </c>
      <c r="F1460" s="53" t="s">
        <v>3812</v>
      </c>
      <c r="H1460" s="28">
        <v>0</v>
      </c>
    </row>
    <row r="1461" spans="1:8" x14ac:dyDescent="0.35">
      <c r="A1461" s="22"/>
      <c r="B1461" s="22" t="s">
        <v>2550</v>
      </c>
      <c r="C1461" s="26">
        <v>45899</v>
      </c>
      <c r="D1461" s="25" t="s">
        <v>2819</v>
      </c>
      <c r="E1461" s="25" t="s">
        <v>1932</v>
      </c>
      <c r="F1461" s="53" t="s">
        <v>3812</v>
      </c>
      <c r="H1461" s="28">
        <v>0</v>
      </c>
    </row>
    <row r="1462" spans="1:8" x14ac:dyDescent="0.35">
      <c r="A1462" s="22"/>
      <c r="B1462" s="22" t="s">
        <v>2550</v>
      </c>
      <c r="C1462" s="26">
        <v>45899</v>
      </c>
      <c r="D1462" s="25" t="s">
        <v>2820</v>
      </c>
      <c r="E1462" s="25" t="s">
        <v>1932</v>
      </c>
      <c r="F1462" s="53" t="s">
        <v>3812</v>
      </c>
      <c r="H1462" s="28">
        <v>0</v>
      </c>
    </row>
    <row r="1463" spans="1:8" x14ac:dyDescent="0.35">
      <c r="A1463" s="22"/>
      <c r="B1463" s="22" t="s">
        <v>2550</v>
      </c>
      <c r="C1463" s="26">
        <v>45899</v>
      </c>
      <c r="D1463" s="25" t="s">
        <v>2821</v>
      </c>
      <c r="E1463" s="25" t="s">
        <v>2424</v>
      </c>
      <c r="F1463" s="53" t="s">
        <v>3812</v>
      </c>
      <c r="H1463" s="28">
        <v>0</v>
      </c>
    </row>
    <row r="1464" spans="1:8" x14ac:dyDescent="0.35">
      <c r="A1464" s="22"/>
      <c r="B1464" s="22" t="s">
        <v>2550</v>
      </c>
      <c r="C1464" s="26">
        <v>45899</v>
      </c>
      <c r="D1464" s="25" t="s">
        <v>2822</v>
      </c>
      <c r="E1464" s="25" t="s">
        <v>1782</v>
      </c>
      <c r="F1464" s="53" t="s">
        <v>3812</v>
      </c>
      <c r="H1464" s="28">
        <v>0</v>
      </c>
    </row>
    <row r="1465" spans="1:8" x14ac:dyDescent="0.35">
      <c r="A1465" s="22"/>
      <c r="B1465" s="22" t="s">
        <v>2550</v>
      </c>
      <c r="C1465" s="26">
        <v>45899</v>
      </c>
      <c r="D1465" s="25" t="s">
        <v>2823</v>
      </c>
      <c r="E1465" s="25" t="s">
        <v>1782</v>
      </c>
      <c r="F1465" s="53" t="s">
        <v>3812</v>
      </c>
      <c r="H1465" s="28">
        <v>0</v>
      </c>
    </row>
    <row r="1466" spans="1:8" x14ac:dyDescent="0.35">
      <c r="A1466" s="22"/>
      <c r="B1466" s="22" t="s">
        <v>2550</v>
      </c>
      <c r="C1466" s="26">
        <v>45899</v>
      </c>
      <c r="D1466" s="25" t="s">
        <v>2824</v>
      </c>
      <c r="E1466" s="25" t="s">
        <v>2520</v>
      </c>
      <c r="F1466" s="53" t="s">
        <v>3812</v>
      </c>
      <c r="H1466" s="28">
        <v>0</v>
      </c>
    </row>
    <row r="1467" spans="1:8" x14ac:dyDescent="0.35">
      <c r="A1467" s="22"/>
      <c r="B1467" s="22" t="s">
        <v>2550</v>
      </c>
      <c r="C1467" s="26">
        <v>45899</v>
      </c>
      <c r="D1467" s="25" t="s">
        <v>2825</v>
      </c>
      <c r="E1467" s="25" t="s">
        <v>2520</v>
      </c>
      <c r="F1467" s="53" t="s">
        <v>3812</v>
      </c>
      <c r="H1467" s="28">
        <v>0</v>
      </c>
    </row>
    <row r="1468" spans="1:8" x14ac:dyDescent="0.35">
      <c r="A1468" s="22"/>
      <c r="B1468" s="22" t="s">
        <v>2550</v>
      </c>
      <c r="C1468" s="26">
        <v>45899</v>
      </c>
      <c r="D1468" s="25">
        <v>34959</v>
      </c>
      <c r="E1468" s="25" t="s">
        <v>1283</v>
      </c>
      <c r="F1468" s="53" t="s">
        <v>3812</v>
      </c>
      <c r="H1468" s="28">
        <v>0</v>
      </c>
    </row>
    <row r="1469" spans="1:8" x14ac:dyDescent="0.35">
      <c r="A1469" s="22"/>
      <c r="B1469" s="22" t="s">
        <v>2550</v>
      </c>
      <c r="C1469" s="26">
        <v>45899</v>
      </c>
      <c r="D1469" s="25" t="s">
        <v>2826</v>
      </c>
      <c r="E1469" s="25" t="s">
        <v>2079</v>
      </c>
      <c r="F1469" s="53" t="s">
        <v>3812</v>
      </c>
      <c r="H1469" s="28">
        <v>0</v>
      </c>
    </row>
    <row r="1470" spans="1:8" x14ac:dyDescent="0.35">
      <c r="A1470" s="22"/>
      <c r="B1470" s="22" t="s">
        <v>2550</v>
      </c>
      <c r="C1470" s="26">
        <v>45899</v>
      </c>
      <c r="D1470" s="25" t="s">
        <v>2827</v>
      </c>
      <c r="E1470" s="25" t="s">
        <v>1724</v>
      </c>
      <c r="F1470" s="53" t="s">
        <v>3812</v>
      </c>
      <c r="H1470" s="28">
        <v>0</v>
      </c>
    </row>
    <row r="1471" spans="1:8" x14ac:dyDescent="0.35">
      <c r="A1471" s="22"/>
      <c r="B1471" s="22" t="s">
        <v>2550</v>
      </c>
      <c r="C1471" s="26">
        <v>45899</v>
      </c>
      <c r="D1471" s="25" t="s">
        <v>2828</v>
      </c>
      <c r="E1471" s="25" t="s">
        <v>3132</v>
      </c>
      <c r="F1471" s="53" t="s">
        <v>3812</v>
      </c>
      <c r="H1471" s="28">
        <v>0</v>
      </c>
    </row>
    <row r="1472" spans="1:8" x14ac:dyDescent="0.35">
      <c r="A1472" s="22"/>
      <c r="B1472" s="22" t="s">
        <v>2550</v>
      </c>
      <c r="C1472" s="26">
        <v>45899</v>
      </c>
      <c r="D1472" s="25" t="s">
        <v>2829</v>
      </c>
      <c r="E1472" s="25" t="s">
        <v>1724</v>
      </c>
      <c r="F1472" s="53" t="s">
        <v>3812</v>
      </c>
      <c r="H1472" s="28">
        <v>0</v>
      </c>
    </row>
    <row r="1473" spans="1:8" x14ac:dyDescent="0.35">
      <c r="A1473" s="22"/>
      <c r="B1473" s="22" t="s">
        <v>2550</v>
      </c>
      <c r="C1473" s="26">
        <v>45899</v>
      </c>
      <c r="D1473" s="25" t="s">
        <v>2830</v>
      </c>
      <c r="E1473" s="25" t="s">
        <v>1724</v>
      </c>
      <c r="F1473" s="53" t="s">
        <v>3812</v>
      </c>
      <c r="H1473" s="28">
        <v>0</v>
      </c>
    </row>
    <row r="1474" spans="1:8" x14ac:dyDescent="0.35">
      <c r="A1474" s="22"/>
      <c r="B1474" s="22" t="s">
        <v>2550</v>
      </c>
      <c r="C1474" s="26">
        <v>45899</v>
      </c>
      <c r="D1474" s="25" t="s">
        <v>2832</v>
      </c>
      <c r="E1474" s="25" t="s">
        <v>1608</v>
      </c>
      <c r="F1474" s="53" t="s">
        <v>3812</v>
      </c>
      <c r="H1474" s="28">
        <v>0</v>
      </c>
    </row>
    <row r="1475" spans="1:8" x14ac:dyDescent="0.35">
      <c r="A1475" s="22"/>
      <c r="B1475" s="22" t="s">
        <v>2550</v>
      </c>
      <c r="C1475" s="26">
        <v>45899</v>
      </c>
      <c r="D1475" s="25" t="s">
        <v>2833</v>
      </c>
      <c r="E1475" s="25" t="s">
        <v>3139</v>
      </c>
      <c r="F1475" s="53" t="s">
        <v>3812</v>
      </c>
      <c r="H1475" s="28">
        <v>0</v>
      </c>
    </row>
    <row r="1476" spans="1:8" x14ac:dyDescent="0.35">
      <c r="A1476" s="22"/>
      <c r="B1476" s="22" t="s">
        <v>2550</v>
      </c>
      <c r="C1476" s="26">
        <v>45899</v>
      </c>
      <c r="D1476" s="25" t="s">
        <v>2834</v>
      </c>
      <c r="E1476" s="25" t="s">
        <v>3139</v>
      </c>
      <c r="F1476" s="53" t="s">
        <v>3812</v>
      </c>
      <c r="H1476" s="28">
        <v>0</v>
      </c>
    </row>
    <row r="1477" spans="1:8" x14ac:dyDescent="0.35">
      <c r="A1477" s="22"/>
      <c r="B1477" s="22" t="s">
        <v>2550</v>
      </c>
      <c r="C1477" s="26">
        <v>45899</v>
      </c>
      <c r="D1477" s="25" t="s">
        <v>2835</v>
      </c>
      <c r="E1477" s="25" t="s">
        <v>3144</v>
      </c>
      <c r="F1477" s="53" t="s">
        <v>3812</v>
      </c>
      <c r="H1477" s="28">
        <v>0</v>
      </c>
    </row>
    <row r="1478" spans="1:8" x14ac:dyDescent="0.35">
      <c r="A1478" s="22"/>
      <c r="B1478" s="22" t="s">
        <v>2550</v>
      </c>
      <c r="C1478" s="26">
        <v>45899</v>
      </c>
      <c r="D1478" s="25" t="s">
        <v>2836</v>
      </c>
      <c r="E1478" s="25" t="s">
        <v>3146</v>
      </c>
      <c r="F1478" s="53" t="s">
        <v>3812</v>
      </c>
      <c r="H1478" s="28">
        <v>267.47000000000003</v>
      </c>
    </row>
    <row r="1479" spans="1:8" x14ac:dyDescent="0.35">
      <c r="A1479" s="22"/>
      <c r="B1479" s="22" t="s">
        <v>2550</v>
      </c>
      <c r="C1479" s="26">
        <v>45899</v>
      </c>
      <c r="D1479" s="25" t="s">
        <v>2837</v>
      </c>
      <c r="E1479" s="25" t="s">
        <v>3148</v>
      </c>
      <c r="F1479" s="53" t="s">
        <v>3812</v>
      </c>
      <c r="H1479" s="28">
        <v>0</v>
      </c>
    </row>
    <row r="1480" spans="1:8" x14ac:dyDescent="0.35">
      <c r="A1480" s="22"/>
      <c r="B1480" s="22" t="s">
        <v>2550</v>
      </c>
      <c r="C1480" s="26">
        <v>45899</v>
      </c>
      <c r="D1480" s="25" t="s">
        <v>2838</v>
      </c>
      <c r="E1480" s="25" t="s">
        <v>3150</v>
      </c>
      <c r="F1480" s="53" t="s">
        <v>3812</v>
      </c>
      <c r="H1480" s="28">
        <v>0</v>
      </c>
    </row>
    <row r="1481" spans="1:8" x14ac:dyDescent="0.35">
      <c r="A1481" s="22"/>
      <c r="B1481" s="22" t="s">
        <v>2550</v>
      </c>
      <c r="C1481" s="26">
        <v>45899</v>
      </c>
      <c r="D1481" s="25" t="s">
        <v>2839</v>
      </c>
      <c r="E1481" s="25" t="s">
        <v>3153</v>
      </c>
      <c r="F1481" s="53" t="s">
        <v>3812</v>
      </c>
      <c r="H1481" s="28">
        <v>0</v>
      </c>
    </row>
    <row r="1482" spans="1:8" x14ac:dyDescent="0.35">
      <c r="A1482" s="22"/>
      <c r="B1482" s="22" t="s">
        <v>2550</v>
      </c>
      <c r="C1482" s="26">
        <v>45899</v>
      </c>
      <c r="D1482" s="25" t="s">
        <v>2840</v>
      </c>
      <c r="E1482" s="25" t="s">
        <v>3154</v>
      </c>
      <c r="F1482" s="53" t="s">
        <v>3812</v>
      </c>
      <c r="H1482" s="28">
        <v>0</v>
      </c>
    </row>
    <row r="1483" spans="1:8" x14ac:dyDescent="0.35">
      <c r="A1483" s="22"/>
      <c r="B1483" s="22" t="s">
        <v>2550</v>
      </c>
      <c r="C1483" s="26">
        <v>45899</v>
      </c>
      <c r="D1483" s="25" t="s">
        <v>2841</v>
      </c>
      <c r="E1483" s="25" t="s">
        <v>1920</v>
      </c>
      <c r="F1483" s="53" t="s">
        <v>3812</v>
      </c>
      <c r="H1483" s="28">
        <v>0</v>
      </c>
    </row>
    <row r="1484" spans="1:8" x14ac:dyDescent="0.35">
      <c r="A1484" s="22"/>
      <c r="B1484" s="22" t="s">
        <v>2550</v>
      </c>
      <c r="C1484" s="26">
        <v>45899</v>
      </c>
      <c r="D1484" s="25" t="s">
        <v>2842</v>
      </c>
      <c r="E1484" s="25" t="s">
        <v>1920</v>
      </c>
      <c r="F1484" s="53" t="s">
        <v>3812</v>
      </c>
      <c r="H1484" s="28">
        <v>0</v>
      </c>
    </row>
    <row r="1485" spans="1:8" x14ac:dyDescent="0.35">
      <c r="A1485" s="22"/>
      <c r="B1485" s="22" t="s">
        <v>2550</v>
      </c>
      <c r="C1485" s="26">
        <v>45899</v>
      </c>
      <c r="D1485" s="25" t="s">
        <v>2843</v>
      </c>
      <c r="E1485" s="25" t="s">
        <v>1920</v>
      </c>
      <c r="F1485" s="53" t="s">
        <v>3812</v>
      </c>
      <c r="H1485" s="28">
        <v>10.48</v>
      </c>
    </row>
    <row r="1486" spans="1:8" x14ac:dyDescent="0.35">
      <c r="A1486" s="22"/>
      <c r="B1486" s="22" t="s">
        <v>2550</v>
      </c>
      <c r="C1486" s="26">
        <v>45899</v>
      </c>
      <c r="D1486" s="25" t="s">
        <v>2844</v>
      </c>
      <c r="E1486" s="25" t="s">
        <v>1920</v>
      </c>
      <c r="F1486" s="53" t="s">
        <v>3812</v>
      </c>
      <c r="H1486" s="28">
        <v>0</v>
      </c>
    </row>
    <row r="1487" spans="1:8" x14ac:dyDescent="0.35">
      <c r="A1487" s="22"/>
      <c r="B1487" s="22" t="s">
        <v>2550</v>
      </c>
      <c r="C1487" s="26">
        <v>45899</v>
      </c>
      <c r="D1487" s="25" t="s">
        <v>2845</v>
      </c>
      <c r="E1487" s="25" t="s">
        <v>1920</v>
      </c>
      <c r="F1487" s="53" t="s">
        <v>3812</v>
      </c>
      <c r="H1487" s="28">
        <v>0</v>
      </c>
    </row>
    <row r="1488" spans="1:8" x14ac:dyDescent="0.35">
      <c r="A1488" s="22"/>
      <c r="B1488" s="22" t="s">
        <v>2550</v>
      </c>
      <c r="C1488" s="26">
        <v>45899</v>
      </c>
      <c r="D1488" s="25" t="s">
        <v>2847</v>
      </c>
      <c r="E1488" s="25" t="s">
        <v>1920</v>
      </c>
      <c r="F1488" s="53" t="s">
        <v>3812</v>
      </c>
      <c r="H1488" s="28">
        <v>0</v>
      </c>
    </row>
    <row r="1489" spans="1:8" x14ac:dyDescent="0.35">
      <c r="A1489" s="22"/>
      <c r="B1489" s="22" t="s">
        <v>2550</v>
      </c>
      <c r="C1489" s="26">
        <v>45899</v>
      </c>
      <c r="D1489" s="25" t="s">
        <v>2848</v>
      </c>
      <c r="E1489" s="25" t="s">
        <v>301</v>
      </c>
      <c r="F1489" s="53" t="s">
        <v>3812</v>
      </c>
      <c r="H1489" s="28">
        <v>0</v>
      </c>
    </row>
    <row r="1490" spans="1:8" x14ac:dyDescent="0.35">
      <c r="A1490" s="22"/>
      <c r="B1490" s="22" t="s">
        <v>2550</v>
      </c>
      <c r="C1490" s="26">
        <v>45899</v>
      </c>
      <c r="D1490" s="25" t="s">
        <v>2849</v>
      </c>
      <c r="E1490" s="25" t="s">
        <v>301</v>
      </c>
      <c r="F1490" s="53" t="s">
        <v>3812</v>
      </c>
      <c r="H1490" s="28">
        <v>0</v>
      </c>
    </row>
    <row r="1491" spans="1:8" x14ac:dyDescent="0.35">
      <c r="A1491" s="22"/>
      <c r="B1491" s="22" t="s">
        <v>2550</v>
      </c>
      <c r="C1491" s="26">
        <v>45899</v>
      </c>
      <c r="D1491" s="25" t="s">
        <v>2850</v>
      </c>
      <c r="E1491" s="25" t="s">
        <v>1782</v>
      </c>
      <c r="F1491" s="53" t="s">
        <v>3812</v>
      </c>
      <c r="H1491" s="28">
        <v>2201.64</v>
      </c>
    </row>
    <row r="1492" spans="1:8" x14ac:dyDescent="0.35">
      <c r="A1492" s="22"/>
      <c r="B1492" s="22" t="s">
        <v>2550</v>
      </c>
      <c r="C1492" s="26">
        <v>45899</v>
      </c>
      <c r="D1492" s="25" t="s">
        <v>2851</v>
      </c>
      <c r="E1492" s="25" t="s">
        <v>1223</v>
      </c>
      <c r="F1492" s="53" t="s">
        <v>3812</v>
      </c>
      <c r="H1492" s="28">
        <v>0</v>
      </c>
    </row>
    <row r="1493" spans="1:8" x14ac:dyDescent="0.35">
      <c r="A1493" s="22"/>
      <c r="B1493" s="22" t="s">
        <v>2550</v>
      </c>
      <c r="C1493" s="26">
        <v>45899</v>
      </c>
      <c r="D1493" s="25" t="s">
        <v>2852</v>
      </c>
      <c r="E1493" s="25" t="s">
        <v>1035</v>
      </c>
      <c r="F1493" s="53" t="s">
        <v>3812</v>
      </c>
      <c r="H1493" s="28">
        <v>0</v>
      </c>
    </row>
    <row r="1494" spans="1:8" x14ac:dyDescent="0.35">
      <c r="A1494" s="22"/>
      <c r="B1494" s="22" t="s">
        <v>2550</v>
      </c>
      <c r="C1494" s="26">
        <v>45899</v>
      </c>
      <c r="D1494" s="25" t="s">
        <v>2853</v>
      </c>
      <c r="E1494" s="25" t="s">
        <v>1035</v>
      </c>
      <c r="F1494" s="53" t="s">
        <v>3812</v>
      </c>
      <c r="H1494" s="28">
        <v>0</v>
      </c>
    </row>
    <row r="1495" spans="1:8" x14ac:dyDescent="0.35">
      <c r="A1495" s="22"/>
      <c r="B1495" s="22" t="s">
        <v>2550</v>
      </c>
      <c r="C1495" s="26">
        <v>45899</v>
      </c>
      <c r="D1495" s="25" t="s">
        <v>2855</v>
      </c>
      <c r="E1495" s="25" t="s">
        <v>1343</v>
      </c>
      <c r="F1495" s="53" t="s">
        <v>3812</v>
      </c>
      <c r="H1495" s="28">
        <v>0</v>
      </c>
    </row>
    <row r="1496" spans="1:8" x14ac:dyDescent="0.35">
      <c r="A1496" s="22"/>
      <c r="B1496" s="22" t="s">
        <v>2550</v>
      </c>
      <c r="C1496" s="26">
        <v>45899</v>
      </c>
      <c r="D1496" s="25" t="s">
        <v>2856</v>
      </c>
      <c r="E1496" s="25" t="s">
        <v>1343</v>
      </c>
      <c r="F1496" s="53" t="s">
        <v>3812</v>
      </c>
      <c r="H1496" s="28">
        <v>0</v>
      </c>
    </row>
    <row r="1497" spans="1:8" x14ac:dyDescent="0.35">
      <c r="A1497" s="22"/>
      <c r="B1497" s="22" t="s">
        <v>2550</v>
      </c>
      <c r="C1497" s="26">
        <v>45899</v>
      </c>
      <c r="D1497" s="25" t="s">
        <v>2857</v>
      </c>
      <c r="E1497" s="25" t="s">
        <v>1343</v>
      </c>
      <c r="F1497" s="53" t="s">
        <v>3812</v>
      </c>
      <c r="H1497" s="28">
        <v>0</v>
      </c>
    </row>
    <row r="1498" spans="1:8" x14ac:dyDescent="0.35">
      <c r="A1498" s="22"/>
      <c r="B1498" s="22" t="s">
        <v>2550</v>
      </c>
      <c r="C1498" s="26">
        <v>45899</v>
      </c>
      <c r="D1498" s="25" t="s">
        <v>2858</v>
      </c>
      <c r="E1498" s="25" t="s">
        <v>1223</v>
      </c>
      <c r="F1498" s="53" t="s">
        <v>3812</v>
      </c>
      <c r="H1498" s="28">
        <v>0</v>
      </c>
    </row>
    <row r="1499" spans="1:8" x14ac:dyDescent="0.35">
      <c r="A1499" s="22"/>
      <c r="B1499" s="22" t="s">
        <v>2550</v>
      </c>
      <c r="C1499" s="26">
        <v>45899</v>
      </c>
      <c r="D1499" s="25" t="s">
        <v>2859</v>
      </c>
      <c r="E1499" s="25" t="s">
        <v>1223</v>
      </c>
      <c r="F1499" s="53" t="s">
        <v>3812</v>
      </c>
      <c r="H1499" s="28">
        <v>0</v>
      </c>
    </row>
    <row r="1500" spans="1:8" x14ac:dyDescent="0.35">
      <c r="A1500" s="22"/>
      <c r="B1500" s="22" t="s">
        <v>2550</v>
      </c>
      <c r="C1500" s="26">
        <v>45899</v>
      </c>
      <c r="D1500" s="25" t="s">
        <v>2860</v>
      </c>
      <c r="E1500" s="25" t="s">
        <v>1663</v>
      </c>
      <c r="F1500" s="53" t="s">
        <v>3812</v>
      </c>
      <c r="H1500" s="28">
        <v>0</v>
      </c>
    </row>
    <row r="1501" spans="1:8" x14ac:dyDescent="0.35">
      <c r="A1501" s="22"/>
      <c r="B1501" s="22" t="s">
        <v>2550</v>
      </c>
      <c r="C1501" s="26">
        <v>45899</v>
      </c>
      <c r="D1501" s="25" t="s">
        <v>2861</v>
      </c>
      <c r="E1501" s="25" t="s">
        <v>1663</v>
      </c>
      <c r="F1501" s="53" t="s">
        <v>3812</v>
      </c>
      <c r="H1501" s="28">
        <v>0</v>
      </c>
    </row>
    <row r="1502" spans="1:8" x14ac:dyDescent="0.35">
      <c r="A1502" s="22"/>
      <c r="B1502" s="22" t="s">
        <v>2550</v>
      </c>
      <c r="C1502" s="26">
        <v>45899</v>
      </c>
      <c r="D1502" s="25" t="s">
        <v>2862</v>
      </c>
      <c r="E1502" s="25" t="s">
        <v>1757</v>
      </c>
      <c r="F1502" s="53" t="s">
        <v>3812</v>
      </c>
      <c r="H1502" s="28">
        <v>0</v>
      </c>
    </row>
    <row r="1503" spans="1:8" x14ac:dyDescent="0.35">
      <c r="A1503" s="22"/>
      <c r="B1503" s="22" t="s">
        <v>2550</v>
      </c>
      <c r="C1503" s="26">
        <v>45899</v>
      </c>
      <c r="D1503" s="25" t="s">
        <v>2863</v>
      </c>
      <c r="E1503" s="25" t="s">
        <v>1757</v>
      </c>
      <c r="F1503" s="53" t="s">
        <v>3812</v>
      </c>
      <c r="H1503" s="28">
        <v>0</v>
      </c>
    </row>
    <row r="1504" spans="1:8" x14ac:dyDescent="0.35">
      <c r="A1504" s="22"/>
      <c r="B1504" s="22" t="s">
        <v>2550</v>
      </c>
      <c r="C1504" s="26">
        <v>45899</v>
      </c>
      <c r="D1504" s="25" t="s">
        <v>2864</v>
      </c>
      <c r="E1504" s="25" t="s">
        <v>1757</v>
      </c>
      <c r="F1504" s="53" t="s">
        <v>3812</v>
      </c>
      <c r="H1504" s="28">
        <v>0</v>
      </c>
    </row>
    <row r="1505" spans="1:8" x14ac:dyDescent="0.35">
      <c r="A1505" s="22"/>
      <c r="B1505" s="22" t="s">
        <v>2550</v>
      </c>
      <c r="C1505" s="26">
        <v>45899</v>
      </c>
      <c r="D1505" s="25" t="s">
        <v>2865</v>
      </c>
      <c r="E1505" s="25" t="s">
        <v>1757</v>
      </c>
      <c r="F1505" s="53" t="s">
        <v>3812</v>
      </c>
      <c r="H1505" s="28">
        <v>0</v>
      </c>
    </row>
    <row r="1506" spans="1:8" x14ac:dyDescent="0.35">
      <c r="A1506" s="22"/>
      <c r="B1506" s="22" t="s">
        <v>2550</v>
      </c>
      <c r="C1506" s="26">
        <v>45899</v>
      </c>
      <c r="D1506" s="25" t="s">
        <v>2866</v>
      </c>
      <c r="E1506" s="25" t="s">
        <v>1757</v>
      </c>
      <c r="F1506" s="53" t="s">
        <v>3812</v>
      </c>
      <c r="H1506" s="28">
        <v>0</v>
      </c>
    </row>
    <row r="1507" spans="1:8" x14ac:dyDescent="0.35">
      <c r="A1507" s="22"/>
      <c r="B1507" s="22" t="s">
        <v>2550</v>
      </c>
      <c r="C1507" s="26">
        <v>45899</v>
      </c>
      <c r="D1507" s="25" t="s">
        <v>2867</v>
      </c>
      <c r="E1507" s="25" t="s">
        <v>1757</v>
      </c>
      <c r="F1507" s="53" t="s">
        <v>3812</v>
      </c>
      <c r="H1507" s="28">
        <v>0</v>
      </c>
    </row>
    <row r="1508" spans="1:8" x14ac:dyDescent="0.35">
      <c r="A1508" s="22"/>
      <c r="B1508" s="22" t="s">
        <v>2550</v>
      </c>
      <c r="C1508" s="26">
        <v>45899</v>
      </c>
      <c r="D1508" s="25" t="s">
        <v>2868</v>
      </c>
      <c r="E1508" s="25" t="s">
        <v>3212</v>
      </c>
      <c r="F1508" s="53" t="s">
        <v>3812</v>
      </c>
      <c r="H1508" s="28">
        <v>0</v>
      </c>
    </row>
    <row r="1509" spans="1:8" x14ac:dyDescent="0.35">
      <c r="A1509" s="22"/>
      <c r="B1509" s="22" t="s">
        <v>2550</v>
      </c>
      <c r="C1509" s="26">
        <v>45899</v>
      </c>
      <c r="D1509" s="25" t="s">
        <v>2869</v>
      </c>
      <c r="E1509" s="25" t="s">
        <v>3218</v>
      </c>
      <c r="F1509" s="53" t="s">
        <v>3812</v>
      </c>
      <c r="H1509" s="28">
        <v>0</v>
      </c>
    </row>
    <row r="1510" spans="1:8" x14ac:dyDescent="0.35">
      <c r="A1510" s="22"/>
      <c r="B1510" s="22" t="s">
        <v>2550</v>
      </c>
      <c r="C1510" s="26">
        <v>45899</v>
      </c>
      <c r="D1510" s="25" t="s">
        <v>2870</v>
      </c>
      <c r="E1510" s="25" t="s">
        <v>3218</v>
      </c>
      <c r="F1510" s="53" t="s">
        <v>3812</v>
      </c>
      <c r="H1510" s="28">
        <v>0</v>
      </c>
    </row>
    <row r="1511" spans="1:8" x14ac:dyDescent="0.35">
      <c r="A1511" s="22"/>
      <c r="B1511" s="22" t="s">
        <v>2550</v>
      </c>
      <c r="C1511" s="26">
        <v>45899</v>
      </c>
      <c r="D1511" s="25" t="s">
        <v>2871</v>
      </c>
      <c r="E1511" s="25" t="s">
        <v>2926</v>
      </c>
      <c r="F1511" s="53" t="s">
        <v>3812</v>
      </c>
      <c r="H1511" s="28">
        <v>0</v>
      </c>
    </row>
    <row r="1512" spans="1:8" x14ac:dyDescent="0.35">
      <c r="A1512" s="22"/>
      <c r="B1512" s="22" t="s">
        <v>2550</v>
      </c>
      <c r="C1512" s="26">
        <v>45899</v>
      </c>
      <c r="D1512" s="25" t="s">
        <v>2872</v>
      </c>
      <c r="E1512" s="25" t="s">
        <v>2514</v>
      </c>
      <c r="F1512" s="53" t="s">
        <v>3812</v>
      </c>
      <c r="H1512" s="28">
        <v>0</v>
      </c>
    </row>
    <row r="1513" spans="1:8" x14ac:dyDescent="0.35">
      <c r="A1513" s="22"/>
      <c r="B1513" s="22" t="s">
        <v>2550</v>
      </c>
      <c r="C1513" s="26">
        <v>45899</v>
      </c>
      <c r="D1513" s="25" t="s">
        <v>2873</v>
      </c>
      <c r="E1513" s="25" t="s">
        <v>1035</v>
      </c>
      <c r="F1513" s="53" t="s">
        <v>3812</v>
      </c>
      <c r="H1513" s="28">
        <v>0</v>
      </c>
    </row>
    <row r="1514" spans="1:8" x14ac:dyDescent="0.35">
      <c r="A1514" s="22"/>
      <c r="B1514" s="22" t="s">
        <v>2550</v>
      </c>
      <c r="C1514" s="26">
        <v>45899</v>
      </c>
      <c r="D1514" s="25" t="s">
        <v>2874</v>
      </c>
      <c r="E1514" s="25" t="s">
        <v>1035</v>
      </c>
      <c r="F1514" s="53" t="s">
        <v>3812</v>
      </c>
      <c r="H1514" s="28">
        <v>0</v>
      </c>
    </row>
    <row r="1515" spans="1:8" x14ac:dyDescent="0.35">
      <c r="A1515" s="22"/>
      <c r="B1515" s="22" t="s">
        <v>2550</v>
      </c>
      <c r="C1515" s="26">
        <v>45899</v>
      </c>
      <c r="D1515" s="25" t="s">
        <v>2875</v>
      </c>
      <c r="E1515" s="25" t="s">
        <v>1035</v>
      </c>
      <c r="F1515" s="53" t="s">
        <v>3812</v>
      </c>
      <c r="H1515" s="28">
        <v>0</v>
      </c>
    </row>
    <row r="1516" spans="1:8" x14ac:dyDescent="0.35">
      <c r="A1516" s="22"/>
      <c r="B1516" s="22" t="s">
        <v>2550</v>
      </c>
      <c r="C1516" s="26">
        <v>45899</v>
      </c>
      <c r="D1516" s="25" t="s">
        <v>2876</v>
      </c>
      <c r="E1516" s="25" t="s">
        <v>1035</v>
      </c>
      <c r="F1516" s="53" t="s">
        <v>3812</v>
      </c>
      <c r="H1516" s="28">
        <v>7.63</v>
      </c>
    </row>
    <row r="1517" spans="1:8" x14ac:dyDescent="0.35">
      <c r="A1517" s="22"/>
      <c r="B1517" s="22" t="s">
        <v>2550</v>
      </c>
      <c r="C1517" s="26">
        <v>45899</v>
      </c>
      <c r="D1517" s="25" t="s">
        <v>2877</v>
      </c>
      <c r="E1517" s="25" t="s">
        <v>1035</v>
      </c>
      <c r="F1517" s="53" t="s">
        <v>3812</v>
      </c>
      <c r="H1517" s="28">
        <v>0</v>
      </c>
    </row>
    <row r="1518" spans="1:8" x14ac:dyDescent="0.35">
      <c r="A1518" s="22"/>
      <c r="B1518" s="22" t="s">
        <v>2550</v>
      </c>
      <c r="C1518" s="26">
        <v>45899</v>
      </c>
      <c r="D1518" s="25" t="s">
        <v>2878</v>
      </c>
      <c r="E1518" s="25" t="s">
        <v>1035</v>
      </c>
      <c r="F1518" s="53" t="s">
        <v>3812</v>
      </c>
      <c r="H1518" s="28">
        <v>0</v>
      </c>
    </row>
    <row r="1519" spans="1:8" x14ac:dyDescent="0.35">
      <c r="A1519" s="22"/>
      <c r="B1519" s="22" t="s">
        <v>2550</v>
      </c>
      <c r="C1519" s="26">
        <v>45899</v>
      </c>
      <c r="D1519" s="25" t="s">
        <v>2879</v>
      </c>
      <c r="E1519" s="25" t="s">
        <v>1035</v>
      </c>
      <c r="F1519" s="53" t="s">
        <v>3812</v>
      </c>
      <c r="H1519" s="28">
        <v>0</v>
      </c>
    </row>
    <row r="1520" spans="1:8" x14ac:dyDescent="0.35">
      <c r="A1520" s="22"/>
      <c r="B1520" s="22" t="s">
        <v>2550</v>
      </c>
      <c r="C1520" s="26">
        <v>45899</v>
      </c>
      <c r="D1520" s="25" t="s">
        <v>2880</v>
      </c>
      <c r="E1520" s="25" t="s">
        <v>1035</v>
      </c>
      <c r="F1520" s="53" t="s">
        <v>3812</v>
      </c>
      <c r="H1520" s="28">
        <v>0</v>
      </c>
    </row>
    <row r="1521" spans="1:8" x14ac:dyDescent="0.35">
      <c r="A1521" s="22"/>
      <c r="B1521" s="22" t="s">
        <v>2550</v>
      </c>
      <c r="C1521" s="26">
        <v>45899</v>
      </c>
      <c r="D1521" s="25" t="s">
        <v>2881</v>
      </c>
      <c r="E1521" s="25" t="s">
        <v>1035</v>
      </c>
      <c r="F1521" s="53" t="s">
        <v>3812</v>
      </c>
      <c r="H1521" s="28">
        <v>0</v>
      </c>
    </row>
    <row r="1522" spans="1:8" x14ac:dyDescent="0.35">
      <c r="A1522" s="22"/>
      <c r="B1522" s="22" t="s">
        <v>2550</v>
      </c>
      <c r="C1522" s="26">
        <v>45899</v>
      </c>
      <c r="D1522" s="25" t="s">
        <v>2882</v>
      </c>
      <c r="E1522" s="25" t="s">
        <v>3230</v>
      </c>
      <c r="F1522" s="53" t="s">
        <v>3812</v>
      </c>
      <c r="H1522" s="28">
        <v>0</v>
      </c>
    </row>
    <row r="1523" spans="1:8" x14ac:dyDescent="0.35">
      <c r="A1523" s="22"/>
      <c r="B1523" s="22" t="s">
        <v>2550</v>
      </c>
      <c r="C1523" s="26">
        <v>45899</v>
      </c>
      <c r="D1523" s="25" t="s">
        <v>2883</v>
      </c>
      <c r="E1523" s="25" t="s">
        <v>2144</v>
      </c>
      <c r="F1523" s="53" t="s">
        <v>3812</v>
      </c>
      <c r="H1523" s="28">
        <v>0</v>
      </c>
    </row>
    <row r="1524" spans="1:8" x14ac:dyDescent="0.35">
      <c r="A1524" s="22"/>
      <c r="B1524" s="22" t="s">
        <v>2550</v>
      </c>
      <c r="C1524" s="26">
        <v>45899</v>
      </c>
      <c r="D1524" s="25" t="s">
        <v>2884</v>
      </c>
      <c r="E1524" s="25" t="s">
        <v>2144</v>
      </c>
      <c r="F1524" s="53" t="s">
        <v>3812</v>
      </c>
      <c r="H1524" s="28">
        <v>0</v>
      </c>
    </row>
    <row r="1525" spans="1:8" x14ac:dyDescent="0.35">
      <c r="A1525" s="22"/>
      <c r="B1525" s="22" t="s">
        <v>2550</v>
      </c>
      <c r="C1525" s="26">
        <v>45899</v>
      </c>
      <c r="D1525" s="25" t="s">
        <v>2885</v>
      </c>
      <c r="E1525" s="25" t="s">
        <v>2144</v>
      </c>
      <c r="F1525" s="53" t="s">
        <v>3812</v>
      </c>
      <c r="H1525" s="28">
        <v>0</v>
      </c>
    </row>
    <row r="1526" spans="1:8" x14ac:dyDescent="0.35">
      <c r="A1526" s="22"/>
      <c r="B1526" s="22" t="s">
        <v>2550</v>
      </c>
      <c r="C1526" s="26">
        <v>45899</v>
      </c>
      <c r="D1526" s="25" t="s">
        <v>2886</v>
      </c>
      <c r="E1526" s="25" t="s">
        <v>2144</v>
      </c>
      <c r="F1526" s="53" t="s">
        <v>3812</v>
      </c>
      <c r="H1526" s="28">
        <v>0</v>
      </c>
    </row>
    <row r="1527" spans="1:8" x14ac:dyDescent="0.35">
      <c r="A1527" s="22"/>
      <c r="B1527" s="22" t="s">
        <v>2550</v>
      </c>
      <c r="C1527" s="26">
        <v>45899</v>
      </c>
      <c r="D1527" s="25" t="s">
        <v>2887</v>
      </c>
      <c r="E1527" s="25" t="s">
        <v>2144</v>
      </c>
      <c r="F1527" s="53" t="s">
        <v>3812</v>
      </c>
      <c r="H1527" s="28">
        <v>0</v>
      </c>
    </row>
    <row r="1528" spans="1:8" x14ac:dyDescent="0.35">
      <c r="A1528" s="22"/>
      <c r="B1528" s="22" t="s">
        <v>2550</v>
      </c>
      <c r="C1528" s="26">
        <v>45899</v>
      </c>
      <c r="D1528" s="25" t="s">
        <v>2888</v>
      </c>
      <c r="E1528" s="25" t="s">
        <v>2539</v>
      </c>
      <c r="F1528" s="53" t="s">
        <v>3812</v>
      </c>
      <c r="H1528" s="28">
        <v>0</v>
      </c>
    </row>
    <row r="1529" spans="1:8" x14ac:dyDescent="0.35">
      <c r="A1529" s="22"/>
      <c r="B1529" s="22" t="s">
        <v>2550</v>
      </c>
      <c r="C1529" s="26">
        <v>45899</v>
      </c>
      <c r="D1529" s="25" t="s">
        <v>2889</v>
      </c>
      <c r="E1529" s="25" t="s">
        <v>2539</v>
      </c>
      <c r="F1529" s="53" t="s">
        <v>3812</v>
      </c>
      <c r="H1529" s="28">
        <v>0</v>
      </c>
    </row>
    <row r="1530" spans="1:8" x14ac:dyDescent="0.35">
      <c r="A1530" s="22"/>
      <c r="B1530" s="22" t="s">
        <v>2550</v>
      </c>
      <c r="C1530" s="26">
        <v>45899</v>
      </c>
      <c r="D1530" s="25" t="s">
        <v>2890</v>
      </c>
      <c r="E1530" s="25" t="s">
        <v>2539</v>
      </c>
      <c r="F1530" s="53" t="s">
        <v>3812</v>
      </c>
      <c r="H1530" s="28">
        <v>0</v>
      </c>
    </row>
    <row r="1531" spans="1:8" x14ac:dyDescent="0.35">
      <c r="A1531" s="22"/>
      <c r="B1531" s="22" t="s">
        <v>2550</v>
      </c>
      <c r="C1531" s="26">
        <v>45899</v>
      </c>
      <c r="D1531" s="25" t="s">
        <v>2891</v>
      </c>
      <c r="E1531" s="25" t="s">
        <v>1071</v>
      </c>
      <c r="F1531" s="53" t="s">
        <v>3812</v>
      </c>
      <c r="H1531" s="28">
        <v>0</v>
      </c>
    </row>
    <row r="1532" spans="1:8" x14ac:dyDescent="0.35">
      <c r="A1532" s="22"/>
      <c r="B1532" s="22" t="s">
        <v>2550</v>
      </c>
      <c r="C1532" s="26">
        <v>45899</v>
      </c>
      <c r="D1532" s="25" t="s">
        <v>2893</v>
      </c>
      <c r="E1532" s="25" t="s">
        <v>1060</v>
      </c>
      <c r="F1532" s="53" t="s">
        <v>3812</v>
      </c>
      <c r="H1532" s="28">
        <v>0</v>
      </c>
    </row>
    <row r="1533" spans="1:8" x14ac:dyDescent="0.35">
      <c r="A1533" s="22"/>
      <c r="B1533" s="22" t="s">
        <v>2550</v>
      </c>
      <c r="C1533" s="26">
        <v>45899</v>
      </c>
      <c r="D1533" s="25" t="s">
        <v>2895</v>
      </c>
      <c r="E1533" s="25" t="s">
        <v>2144</v>
      </c>
      <c r="F1533" s="53" t="s">
        <v>3812</v>
      </c>
      <c r="H1533" s="28">
        <v>0</v>
      </c>
    </row>
    <row r="1534" spans="1:8" x14ac:dyDescent="0.35">
      <c r="A1534" s="22"/>
      <c r="B1534" s="22" t="s">
        <v>2550</v>
      </c>
      <c r="C1534" s="26">
        <v>45899</v>
      </c>
      <c r="D1534" s="25" t="s">
        <v>2896</v>
      </c>
      <c r="E1534" s="25" t="s">
        <v>1060</v>
      </c>
      <c r="F1534" s="53" t="s">
        <v>3812</v>
      </c>
      <c r="H1534" s="28">
        <v>0</v>
      </c>
    </row>
    <row r="1535" spans="1:8" x14ac:dyDescent="0.35">
      <c r="A1535" s="22"/>
      <c r="B1535" s="22" t="s">
        <v>2550</v>
      </c>
      <c r="C1535" s="26">
        <v>45899</v>
      </c>
      <c r="D1535" s="25" t="s">
        <v>2897</v>
      </c>
      <c r="E1535" s="25" t="s">
        <v>1999</v>
      </c>
      <c r="F1535" s="53" t="s">
        <v>3812</v>
      </c>
      <c r="H1535" s="28">
        <v>0</v>
      </c>
    </row>
    <row r="1536" spans="1:8" x14ac:dyDescent="0.35">
      <c r="A1536" s="22"/>
      <c r="B1536" s="22" t="s">
        <v>2550</v>
      </c>
      <c r="C1536" s="26">
        <v>45899</v>
      </c>
      <c r="D1536" s="25" t="s">
        <v>2898</v>
      </c>
      <c r="E1536" s="25" t="s">
        <v>1999</v>
      </c>
      <c r="F1536" s="53" t="s">
        <v>3812</v>
      </c>
      <c r="H1536" s="28">
        <v>0</v>
      </c>
    </row>
    <row r="1537" spans="1:8" x14ac:dyDescent="0.35">
      <c r="A1537" s="22"/>
      <c r="B1537" s="22" t="s">
        <v>2550</v>
      </c>
      <c r="C1537" s="26">
        <v>45899</v>
      </c>
      <c r="D1537" s="25" t="s">
        <v>2899</v>
      </c>
      <c r="E1537" s="25" t="s">
        <v>1999</v>
      </c>
      <c r="F1537" s="53" t="s">
        <v>3812</v>
      </c>
      <c r="H1537" s="28">
        <v>0</v>
      </c>
    </row>
    <row r="1538" spans="1:8" x14ac:dyDescent="0.35">
      <c r="A1538" s="22"/>
      <c r="B1538" s="22" t="s">
        <v>2550</v>
      </c>
      <c r="C1538" s="26">
        <v>45899</v>
      </c>
      <c r="D1538" s="25" t="s">
        <v>2900</v>
      </c>
      <c r="E1538" s="25" t="s">
        <v>2396</v>
      </c>
      <c r="F1538" s="53" t="s">
        <v>3812</v>
      </c>
      <c r="H1538" s="28">
        <v>107465.38</v>
      </c>
    </row>
    <row r="1539" spans="1:8" x14ac:dyDescent="0.35">
      <c r="A1539" s="22"/>
      <c r="B1539" s="22" t="s">
        <v>2550</v>
      </c>
      <c r="C1539" s="26">
        <v>45899</v>
      </c>
      <c r="D1539" s="25" t="s">
        <v>2901</v>
      </c>
      <c r="E1539" s="25" t="s">
        <v>2348</v>
      </c>
      <c r="F1539" s="53" t="s">
        <v>3812</v>
      </c>
      <c r="H1539" s="28">
        <v>0</v>
      </c>
    </row>
    <row r="1540" spans="1:8" x14ac:dyDescent="0.35">
      <c r="A1540" s="22"/>
      <c r="B1540" s="22" t="s">
        <v>2550</v>
      </c>
      <c r="C1540" s="26">
        <v>45899</v>
      </c>
      <c r="D1540" s="25" t="s">
        <v>2902</v>
      </c>
      <c r="E1540" s="25" t="s">
        <v>1475</v>
      </c>
      <c r="F1540" s="53" t="s">
        <v>3812</v>
      </c>
      <c r="H1540" s="28">
        <v>571.46</v>
      </c>
    </row>
    <row r="1541" spans="1:8" x14ac:dyDescent="0.35">
      <c r="A1541" s="22"/>
      <c r="B1541" s="22" t="s">
        <v>2550</v>
      </c>
      <c r="C1541" s="26">
        <v>45899</v>
      </c>
      <c r="D1541" s="25" t="s">
        <v>2903</v>
      </c>
      <c r="E1541" s="25" t="s">
        <v>1475</v>
      </c>
      <c r="F1541" s="53" t="s">
        <v>3812</v>
      </c>
      <c r="H1541" s="28">
        <v>0</v>
      </c>
    </row>
    <row r="1542" spans="1:8" x14ac:dyDescent="0.35">
      <c r="A1542" s="22"/>
      <c r="B1542" s="22" t="s">
        <v>2550</v>
      </c>
      <c r="C1542" s="26">
        <v>45899</v>
      </c>
      <c r="D1542" s="25" t="s">
        <v>2905</v>
      </c>
      <c r="E1542" s="25" t="s">
        <v>1475</v>
      </c>
      <c r="F1542" s="53" t="s">
        <v>3812</v>
      </c>
      <c r="H1542" s="28">
        <v>1700.81</v>
      </c>
    </row>
    <row r="1543" spans="1:8" x14ac:dyDescent="0.35">
      <c r="A1543" s="22"/>
      <c r="B1543" s="22" t="s">
        <v>2550</v>
      </c>
      <c r="C1543" s="26">
        <v>45899</v>
      </c>
      <c r="D1543" s="25" t="s">
        <v>2907</v>
      </c>
      <c r="E1543" s="25" t="s">
        <v>1475</v>
      </c>
      <c r="F1543" s="53" t="s">
        <v>3812</v>
      </c>
      <c r="H1543" s="28">
        <v>0</v>
      </c>
    </row>
    <row r="1544" spans="1:8" x14ac:dyDescent="0.35">
      <c r="A1544" s="22"/>
      <c r="B1544" s="22" t="s">
        <v>2550</v>
      </c>
      <c r="C1544" s="26">
        <v>45899</v>
      </c>
      <c r="D1544" s="25" t="s">
        <v>2908</v>
      </c>
      <c r="E1544" s="25" t="s">
        <v>1475</v>
      </c>
      <c r="F1544" s="53" t="s">
        <v>3812</v>
      </c>
      <c r="H1544" s="28">
        <v>5696.98</v>
      </c>
    </row>
    <row r="1545" spans="1:8" x14ac:dyDescent="0.35">
      <c r="A1545" s="22"/>
      <c r="B1545" s="22" t="s">
        <v>2550</v>
      </c>
      <c r="C1545" s="26">
        <v>45899</v>
      </c>
      <c r="D1545" s="25" t="s">
        <v>2909</v>
      </c>
      <c r="E1545" s="25" t="s">
        <v>1475</v>
      </c>
      <c r="F1545" s="53" t="s">
        <v>3812</v>
      </c>
      <c r="H1545" s="28">
        <v>0</v>
      </c>
    </row>
    <row r="1546" spans="1:8" x14ac:dyDescent="0.35">
      <c r="A1546" s="22"/>
      <c r="B1546" s="22" t="s">
        <v>2550</v>
      </c>
      <c r="C1546" s="26">
        <v>45899</v>
      </c>
      <c r="D1546" s="25" t="s">
        <v>2910</v>
      </c>
      <c r="E1546" s="25" t="s">
        <v>1475</v>
      </c>
      <c r="F1546" s="53" t="s">
        <v>3812</v>
      </c>
      <c r="H1546" s="28">
        <v>0</v>
      </c>
    </row>
    <row r="1547" spans="1:8" x14ac:dyDescent="0.35">
      <c r="A1547" s="22"/>
      <c r="B1547" s="22" t="s">
        <v>2550</v>
      </c>
      <c r="C1547" s="26">
        <v>45899</v>
      </c>
      <c r="D1547" s="25" t="s">
        <v>2911</v>
      </c>
      <c r="E1547" s="25" t="s">
        <v>1475</v>
      </c>
      <c r="F1547" s="53" t="s">
        <v>3812</v>
      </c>
      <c r="H1547" s="28">
        <v>13261.26</v>
      </c>
    </row>
    <row r="1548" spans="1:8" x14ac:dyDescent="0.35">
      <c r="A1548" s="22"/>
      <c r="B1548" s="22" t="s">
        <v>2550</v>
      </c>
      <c r="C1548" s="26">
        <v>45899</v>
      </c>
      <c r="D1548" s="25" t="s">
        <v>2912</v>
      </c>
      <c r="E1548" s="25" t="s">
        <v>1475</v>
      </c>
      <c r="F1548" s="53" t="s">
        <v>3812</v>
      </c>
      <c r="H1548" s="28">
        <v>11728.64</v>
      </c>
    </row>
    <row r="1549" spans="1:8" x14ac:dyDescent="0.35">
      <c r="A1549" s="22"/>
      <c r="B1549" s="22" t="s">
        <v>2550</v>
      </c>
      <c r="C1549" s="26">
        <v>45899</v>
      </c>
      <c r="D1549" s="25" t="s">
        <v>2913</v>
      </c>
      <c r="E1549" s="25" t="s">
        <v>1475</v>
      </c>
      <c r="F1549" s="53" t="s">
        <v>3812</v>
      </c>
      <c r="H1549" s="28">
        <v>0</v>
      </c>
    </row>
    <row r="1550" spans="1:8" x14ac:dyDescent="0.35">
      <c r="A1550" s="22"/>
      <c r="B1550" s="22" t="s">
        <v>2550</v>
      </c>
      <c r="C1550" s="26">
        <v>45899</v>
      </c>
      <c r="D1550" s="25" t="s">
        <v>2914</v>
      </c>
      <c r="E1550" s="25" t="s">
        <v>1475</v>
      </c>
      <c r="F1550" s="53" t="s">
        <v>3812</v>
      </c>
      <c r="H1550" s="28">
        <v>1480.01</v>
      </c>
    </row>
    <row r="1551" spans="1:8" x14ac:dyDescent="0.35">
      <c r="A1551" s="22"/>
      <c r="B1551" s="22" t="s">
        <v>2550</v>
      </c>
      <c r="C1551" s="26">
        <v>45899</v>
      </c>
      <c r="D1551" s="25" t="s">
        <v>2915</v>
      </c>
      <c r="E1551" s="25" t="s">
        <v>1475</v>
      </c>
      <c r="F1551" s="53" t="s">
        <v>3812</v>
      </c>
      <c r="H1551" s="28">
        <v>0</v>
      </c>
    </row>
    <row r="1552" spans="1:8" x14ac:dyDescent="0.35">
      <c r="A1552" s="22"/>
      <c r="B1552" s="22" t="s">
        <v>2550</v>
      </c>
      <c r="C1552" s="26">
        <v>45899</v>
      </c>
      <c r="D1552" s="25" t="s">
        <v>2916</v>
      </c>
      <c r="E1552" s="25" t="s">
        <v>1475</v>
      </c>
      <c r="F1552" s="53" t="s">
        <v>3812</v>
      </c>
      <c r="H1552" s="28">
        <v>29501.14</v>
      </c>
    </row>
    <row r="1553" spans="1:8" x14ac:dyDescent="0.35">
      <c r="A1553" s="22"/>
      <c r="B1553" s="22" t="s">
        <v>2550</v>
      </c>
      <c r="C1553" s="26">
        <v>45899</v>
      </c>
      <c r="D1553" s="25" t="s">
        <v>2917</v>
      </c>
      <c r="E1553" s="25" t="s">
        <v>1475</v>
      </c>
      <c r="F1553" s="53" t="s">
        <v>3812</v>
      </c>
      <c r="H1553" s="28">
        <v>0</v>
      </c>
    </row>
    <row r="1554" spans="1:8" x14ac:dyDescent="0.35">
      <c r="A1554" s="22"/>
      <c r="B1554" s="22" t="s">
        <v>2550</v>
      </c>
      <c r="C1554" s="26">
        <v>45899</v>
      </c>
      <c r="D1554" s="25" t="s">
        <v>2918</v>
      </c>
      <c r="E1554" s="25" t="s">
        <v>1475</v>
      </c>
      <c r="F1554" s="53" t="s">
        <v>3812</v>
      </c>
      <c r="H1554" s="28">
        <v>16583</v>
      </c>
    </row>
    <row r="1555" spans="1:8" x14ac:dyDescent="0.35">
      <c r="A1555" s="22"/>
      <c r="B1555" s="22" t="s">
        <v>2550</v>
      </c>
      <c r="C1555" s="26">
        <v>45899</v>
      </c>
      <c r="D1555" s="25" t="s">
        <v>2919</v>
      </c>
      <c r="E1555" s="25" t="s">
        <v>1475</v>
      </c>
      <c r="F1555" s="53" t="s">
        <v>3812</v>
      </c>
      <c r="H1555" s="28">
        <v>14094.32</v>
      </c>
    </row>
    <row r="1556" spans="1:8" x14ac:dyDescent="0.35">
      <c r="A1556" s="22"/>
      <c r="B1556" s="22" t="s">
        <v>2550</v>
      </c>
      <c r="C1556" s="26">
        <v>45899</v>
      </c>
      <c r="D1556" s="25" t="s">
        <v>2920</v>
      </c>
      <c r="E1556" s="25" t="s">
        <v>1475</v>
      </c>
      <c r="F1556" s="53" t="s">
        <v>3812</v>
      </c>
      <c r="H1556" s="28">
        <v>0</v>
      </c>
    </row>
    <row r="1557" spans="1:8" x14ac:dyDescent="0.35">
      <c r="A1557" s="22"/>
      <c r="B1557" s="22" t="s">
        <v>2550</v>
      </c>
      <c r="C1557" s="26">
        <v>45899</v>
      </c>
      <c r="D1557" s="25" t="s">
        <v>2922</v>
      </c>
      <c r="E1557" s="25" t="s">
        <v>1475</v>
      </c>
      <c r="F1557" s="53" t="s">
        <v>3812</v>
      </c>
      <c r="H1557" s="28">
        <v>0</v>
      </c>
    </row>
    <row r="1558" spans="1:8" x14ac:dyDescent="0.35">
      <c r="A1558" s="22"/>
      <c r="B1558" s="22" t="s">
        <v>2550</v>
      </c>
      <c r="C1558" s="26">
        <v>45899</v>
      </c>
      <c r="D1558" s="25" t="s">
        <v>2924</v>
      </c>
      <c r="E1558" s="25" t="s">
        <v>1475</v>
      </c>
      <c r="F1558" s="53" t="s">
        <v>3812</v>
      </c>
      <c r="H1558" s="28">
        <v>1597.8899999999999</v>
      </c>
    </row>
    <row r="1559" spans="1:8" x14ac:dyDescent="0.35">
      <c r="A1559" s="22"/>
      <c r="B1559" s="22" t="s">
        <v>2550</v>
      </c>
      <c r="C1559" s="26">
        <v>45899</v>
      </c>
      <c r="D1559" s="25" t="s">
        <v>2925</v>
      </c>
      <c r="E1559" s="25" t="s">
        <v>1475</v>
      </c>
      <c r="F1559" s="53" t="s">
        <v>3812</v>
      </c>
      <c r="H1559" s="28">
        <v>0</v>
      </c>
    </row>
    <row r="1560" spans="1:8" x14ac:dyDescent="0.35">
      <c r="A1560" s="22"/>
      <c r="B1560" s="22" t="s">
        <v>2550</v>
      </c>
      <c r="C1560" s="26">
        <v>45899</v>
      </c>
      <c r="D1560" s="25">
        <v>35818</v>
      </c>
      <c r="E1560" s="25" t="s">
        <v>1277</v>
      </c>
      <c r="F1560" s="53" t="s">
        <v>3812</v>
      </c>
      <c r="H1560" s="28">
        <v>0</v>
      </c>
    </row>
    <row r="1561" spans="1:8" x14ac:dyDescent="0.35">
      <c r="A1561" s="22"/>
      <c r="B1561" s="22" t="s">
        <v>2550</v>
      </c>
      <c r="C1561" s="26">
        <v>45899</v>
      </c>
      <c r="D1561" s="25" t="s">
        <v>2927</v>
      </c>
      <c r="E1561" s="25" t="s">
        <v>1277</v>
      </c>
      <c r="F1561" s="53" t="s">
        <v>3812</v>
      </c>
      <c r="H1561" s="28">
        <v>0</v>
      </c>
    </row>
    <row r="1562" spans="1:8" x14ac:dyDescent="0.35">
      <c r="A1562" s="22"/>
      <c r="B1562" s="22" t="s">
        <v>2550</v>
      </c>
      <c r="C1562" s="26">
        <v>45899</v>
      </c>
      <c r="D1562" s="25" t="s">
        <v>2928</v>
      </c>
      <c r="E1562" s="25" t="s">
        <v>1947</v>
      </c>
      <c r="F1562" s="53" t="s">
        <v>3812</v>
      </c>
      <c r="H1562" s="28">
        <v>0</v>
      </c>
    </row>
    <row r="1563" spans="1:8" x14ac:dyDescent="0.35">
      <c r="A1563" s="22"/>
      <c r="B1563" s="22" t="s">
        <v>2550</v>
      </c>
      <c r="C1563" s="26">
        <v>45899</v>
      </c>
      <c r="D1563" s="25" t="s">
        <v>2929</v>
      </c>
      <c r="E1563" s="25" t="s">
        <v>1947</v>
      </c>
      <c r="F1563" s="53" t="s">
        <v>3812</v>
      </c>
      <c r="H1563" s="28">
        <v>0</v>
      </c>
    </row>
    <row r="1564" spans="1:8" x14ac:dyDescent="0.35">
      <c r="A1564" s="22"/>
      <c r="B1564" s="22" t="s">
        <v>2550</v>
      </c>
      <c r="C1564" s="26">
        <v>45899</v>
      </c>
      <c r="D1564" s="25" t="s">
        <v>2930</v>
      </c>
      <c r="E1564" s="25" t="s">
        <v>1947</v>
      </c>
      <c r="F1564" s="53" t="s">
        <v>3812</v>
      </c>
      <c r="H1564" s="28">
        <v>0</v>
      </c>
    </row>
    <row r="1565" spans="1:8" x14ac:dyDescent="0.35">
      <c r="A1565" s="22"/>
      <c r="B1565" s="22" t="s">
        <v>2550</v>
      </c>
      <c r="C1565" s="26">
        <v>45899</v>
      </c>
      <c r="D1565" s="25" t="s">
        <v>2932</v>
      </c>
      <c r="E1565" s="25" t="s">
        <v>1947</v>
      </c>
      <c r="F1565" s="53" t="s">
        <v>3812</v>
      </c>
      <c r="H1565" s="28">
        <v>0</v>
      </c>
    </row>
    <row r="1566" spans="1:8" x14ac:dyDescent="0.35">
      <c r="A1566" s="22"/>
      <c r="B1566" s="22" t="s">
        <v>2550</v>
      </c>
      <c r="C1566" s="26">
        <v>45899</v>
      </c>
      <c r="D1566" s="25" t="s">
        <v>2933</v>
      </c>
      <c r="E1566" s="25" t="s">
        <v>1947</v>
      </c>
      <c r="F1566" s="53" t="s">
        <v>3812</v>
      </c>
      <c r="H1566" s="28">
        <v>0</v>
      </c>
    </row>
    <row r="1567" spans="1:8" x14ac:dyDescent="0.35">
      <c r="A1567" s="22"/>
      <c r="B1567" s="22" t="s">
        <v>2550</v>
      </c>
      <c r="C1567" s="26">
        <v>45899</v>
      </c>
      <c r="D1567" s="25" t="s">
        <v>2934</v>
      </c>
      <c r="E1567" s="25" t="s">
        <v>1947</v>
      </c>
      <c r="F1567" s="53" t="s">
        <v>3812</v>
      </c>
      <c r="H1567" s="28">
        <v>0</v>
      </c>
    </row>
    <row r="1568" spans="1:8" x14ac:dyDescent="0.35">
      <c r="A1568" s="22"/>
      <c r="B1568" s="22" t="s">
        <v>2550</v>
      </c>
      <c r="C1568" s="26">
        <v>45899</v>
      </c>
      <c r="D1568" s="25" t="s">
        <v>2935</v>
      </c>
      <c r="E1568" s="25" t="s">
        <v>2086</v>
      </c>
      <c r="F1568" s="53" t="s">
        <v>3812</v>
      </c>
      <c r="H1568" s="28">
        <v>0</v>
      </c>
    </row>
    <row r="1569" spans="1:8" x14ac:dyDescent="0.35">
      <c r="A1569" s="22"/>
      <c r="B1569" s="22" t="s">
        <v>2550</v>
      </c>
      <c r="C1569" s="26">
        <v>45899</v>
      </c>
      <c r="D1569" s="25" t="s">
        <v>2936</v>
      </c>
      <c r="E1569" s="25" t="s">
        <v>2086</v>
      </c>
      <c r="F1569" s="53" t="s">
        <v>3812</v>
      </c>
      <c r="H1569" s="28">
        <v>0</v>
      </c>
    </row>
    <row r="1570" spans="1:8" x14ac:dyDescent="0.35">
      <c r="A1570" s="22"/>
      <c r="B1570" s="22" t="s">
        <v>2550</v>
      </c>
      <c r="C1570" s="26">
        <v>45899</v>
      </c>
      <c r="D1570" s="25" t="s">
        <v>2937</v>
      </c>
      <c r="E1570" s="25" t="s">
        <v>2424</v>
      </c>
      <c r="F1570" s="53" t="s">
        <v>3812</v>
      </c>
      <c r="H1570" s="28">
        <v>0</v>
      </c>
    </row>
    <row r="1571" spans="1:8" x14ac:dyDescent="0.35">
      <c r="A1571" s="22"/>
      <c r="B1571" s="22" t="s">
        <v>2550</v>
      </c>
      <c r="C1571" s="26">
        <v>45899</v>
      </c>
      <c r="D1571" s="25" t="s">
        <v>2938</v>
      </c>
      <c r="E1571" s="25" t="s">
        <v>2424</v>
      </c>
      <c r="F1571" s="53" t="s">
        <v>3812</v>
      </c>
      <c r="H1571" s="28">
        <v>0</v>
      </c>
    </row>
    <row r="1572" spans="1:8" x14ac:dyDescent="0.35">
      <c r="A1572" s="22"/>
      <c r="B1572" s="22" t="s">
        <v>2550</v>
      </c>
      <c r="C1572" s="26">
        <v>45899</v>
      </c>
      <c r="D1572" s="25" t="s">
        <v>2939</v>
      </c>
      <c r="E1572" s="25" t="s">
        <v>2424</v>
      </c>
      <c r="F1572" s="53" t="s">
        <v>3812</v>
      </c>
      <c r="H1572" s="28">
        <v>0</v>
      </c>
    </row>
    <row r="1573" spans="1:8" x14ac:dyDescent="0.35">
      <c r="A1573" s="22"/>
      <c r="B1573" s="22" t="s">
        <v>2550</v>
      </c>
      <c r="C1573" s="26">
        <v>45899</v>
      </c>
      <c r="D1573" s="25" t="s">
        <v>2940</v>
      </c>
      <c r="E1573" s="25" t="s">
        <v>2424</v>
      </c>
      <c r="F1573" s="53" t="s">
        <v>3812</v>
      </c>
      <c r="H1573" s="28">
        <v>0</v>
      </c>
    </row>
    <row r="1574" spans="1:8" x14ac:dyDescent="0.35">
      <c r="A1574" s="22"/>
      <c r="B1574" s="22" t="s">
        <v>2550</v>
      </c>
      <c r="C1574" s="26">
        <v>45899</v>
      </c>
      <c r="D1574" s="25" t="s">
        <v>2941</v>
      </c>
      <c r="E1574" s="25" t="s">
        <v>2424</v>
      </c>
      <c r="F1574" s="53" t="s">
        <v>3812</v>
      </c>
      <c r="H1574" s="28">
        <v>0</v>
      </c>
    </row>
    <row r="1575" spans="1:8" x14ac:dyDescent="0.35">
      <c r="A1575" s="22"/>
      <c r="B1575" s="22" t="s">
        <v>2550</v>
      </c>
      <c r="C1575" s="26">
        <v>45899</v>
      </c>
      <c r="D1575" s="25" t="s">
        <v>2942</v>
      </c>
      <c r="E1575" s="25" t="s">
        <v>2424</v>
      </c>
      <c r="F1575" s="53" t="s">
        <v>3812</v>
      </c>
      <c r="H1575" s="28">
        <v>0</v>
      </c>
    </row>
    <row r="1576" spans="1:8" x14ac:dyDescent="0.35">
      <c r="A1576" s="22"/>
      <c r="B1576" s="22" t="s">
        <v>2550</v>
      </c>
      <c r="C1576" s="26">
        <v>45899</v>
      </c>
      <c r="D1576" s="25" t="s">
        <v>2943</v>
      </c>
      <c r="E1576" s="25" t="s">
        <v>2424</v>
      </c>
      <c r="F1576" s="53" t="s">
        <v>3812</v>
      </c>
      <c r="H1576" s="28">
        <v>0</v>
      </c>
    </row>
    <row r="1577" spans="1:8" x14ac:dyDescent="0.35">
      <c r="A1577" s="22"/>
      <c r="B1577" s="22" t="s">
        <v>2550</v>
      </c>
      <c r="C1577" s="26">
        <v>45899</v>
      </c>
      <c r="D1577" s="25" t="s">
        <v>2944</v>
      </c>
      <c r="E1577" s="25" t="s">
        <v>3356</v>
      </c>
      <c r="F1577" s="53" t="s">
        <v>3812</v>
      </c>
      <c r="H1577" s="28">
        <v>0</v>
      </c>
    </row>
    <row r="1578" spans="1:8" x14ac:dyDescent="0.35">
      <c r="A1578" s="22"/>
      <c r="B1578" s="22" t="s">
        <v>2550</v>
      </c>
      <c r="C1578" s="26">
        <v>45899</v>
      </c>
      <c r="D1578" s="25" t="s">
        <v>2945</v>
      </c>
      <c r="E1578" s="25" t="s">
        <v>2462</v>
      </c>
      <c r="F1578" s="53" t="s">
        <v>3812</v>
      </c>
      <c r="H1578" s="28">
        <v>0</v>
      </c>
    </row>
    <row r="1579" spans="1:8" x14ac:dyDescent="0.35">
      <c r="A1579" s="22"/>
      <c r="B1579" s="22" t="s">
        <v>2550</v>
      </c>
      <c r="C1579" s="26">
        <v>45899</v>
      </c>
      <c r="D1579" s="25" t="s">
        <v>2946</v>
      </c>
      <c r="E1579" s="25" t="s">
        <v>2462</v>
      </c>
      <c r="F1579" s="53" t="s">
        <v>3812</v>
      </c>
      <c r="H1579" s="28">
        <v>0</v>
      </c>
    </row>
    <row r="1580" spans="1:8" x14ac:dyDescent="0.35">
      <c r="A1580" s="22"/>
      <c r="B1580" s="22" t="s">
        <v>2550</v>
      </c>
      <c r="C1580" s="26">
        <v>45899</v>
      </c>
      <c r="D1580" s="25" t="s">
        <v>2947</v>
      </c>
      <c r="E1580" s="25" t="s">
        <v>2541</v>
      </c>
      <c r="F1580" s="53" t="s">
        <v>3812</v>
      </c>
      <c r="H1580" s="28">
        <v>0</v>
      </c>
    </row>
    <row r="1581" spans="1:8" x14ac:dyDescent="0.35">
      <c r="A1581" s="22"/>
      <c r="B1581" s="22" t="s">
        <v>2550</v>
      </c>
      <c r="C1581" s="26">
        <v>45899</v>
      </c>
      <c r="D1581" s="25" t="s">
        <v>2948</v>
      </c>
      <c r="E1581" s="25" t="s">
        <v>2541</v>
      </c>
      <c r="F1581" s="53" t="s">
        <v>3812</v>
      </c>
      <c r="H1581" s="28">
        <v>0</v>
      </c>
    </row>
    <row r="1582" spans="1:8" x14ac:dyDescent="0.35">
      <c r="A1582" s="22"/>
      <c r="B1582" s="22" t="s">
        <v>2550</v>
      </c>
      <c r="C1582" s="26">
        <v>45899</v>
      </c>
      <c r="D1582" s="25" t="s">
        <v>2949</v>
      </c>
      <c r="E1582" s="25" t="s">
        <v>2541</v>
      </c>
      <c r="F1582" s="53" t="s">
        <v>3812</v>
      </c>
      <c r="H1582" s="28">
        <v>0</v>
      </c>
    </row>
    <row r="1583" spans="1:8" x14ac:dyDescent="0.35">
      <c r="A1583" s="22"/>
      <c r="B1583" s="22" t="s">
        <v>2550</v>
      </c>
      <c r="C1583" s="26">
        <v>45899</v>
      </c>
      <c r="D1583" s="25" t="s">
        <v>2950</v>
      </c>
      <c r="E1583" s="25" t="s">
        <v>3148</v>
      </c>
      <c r="F1583" s="53" t="s">
        <v>3812</v>
      </c>
      <c r="H1583" s="28">
        <v>0</v>
      </c>
    </row>
    <row r="1584" spans="1:8" x14ac:dyDescent="0.35">
      <c r="A1584" s="22"/>
      <c r="B1584" s="22" t="s">
        <v>2550</v>
      </c>
      <c r="C1584" s="26">
        <v>45899</v>
      </c>
      <c r="D1584" s="25" t="s">
        <v>2951</v>
      </c>
      <c r="E1584" s="25" t="s">
        <v>3148</v>
      </c>
      <c r="F1584" s="53" t="s">
        <v>3812</v>
      </c>
      <c r="H1584" s="28">
        <v>0</v>
      </c>
    </row>
    <row r="1585" spans="1:8" x14ac:dyDescent="0.35">
      <c r="A1585" s="22"/>
      <c r="B1585" s="22" t="s">
        <v>2550</v>
      </c>
      <c r="C1585" s="26">
        <v>45899</v>
      </c>
      <c r="D1585" s="25" t="s">
        <v>2952</v>
      </c>
      <c r="E1585" s="25" t="s">
        <v>2462</v>
      </c>
      <c r="F1585" s="53" t="s">
        <v>3812</v>
      </c>
      <c r="H1585" s="28">
        <v>0</v>
      </c>
    </row>
    <row r="1586" spans="1:8" x14ac:dyDescent="0.35">
      <c r="A1586" s="22"/>
      <c r="B1586" s="22" t="s">
        <v>2550</v>
      </c>
      <c r="C1586" s="26">
        <v>45899</v>
      </c>
      <c r="D1586" s="25" t="s">
        <v>2953</v>
      </c>
      <c r="E1586" s="25" t="s">
        <v>3359</v>
      </c>
      <c r="F1586" s="53" t="s">
        <v>3812</v>
      </c>
      <c r="H1586" s="28">
        <v>0</v>
      </c>
    </row>
    <row r="1587" spans="1:8" x14ac:dyDescent="0.35">
      <c r="A1587" s="22"/>
      <c r="B1587" s="22" t="s">
        <v>2550</v>
      </c>
      <c r="C1587" s="26">
        <v>45899</v>
      </c>
      <c r="D1587" s="25" t="s">
        <v>2954</v>
      </c>
      <c r="E1587" s="25" t="s">
        <v>3359</v>
      </c>
      <c r="F1587" s="53" t="s">
        <v>3812</v>
      </c>
      <c r="H1587" s="28">
        <v>0</v>
      </c>
    </row>
    <row r="1588" spans="1:8" x14ac:dyDescent="0.35">
      <c r="A1588" s="22"/>
      <c r="B1588" s="22" t="s">
        <v>2550</v>
      </c>
      <c r="C1588" s="26">
        <v>45899</v>
      </c>
      <c r="D1588" s="25" t="s">
        <v>2955</v>
      </c>
      <c r="E1588" s="25" t="s">
        <v>3359</v>
      </c>
      <c r="F1588" s="53" t="s">
        <v>3812</v>
      </c>
      <c r="H1588" s="28">
        <v>0</v>
      </c>
    </row>
    <row r="1589" spans="1:8" x14ac:dyDescent="0.35">
      <c r="A1589" s="22"/>
      <c r="B1589" s="22" t="s">
        <v>2550</v>
      </c>
      <c r="C1589" s="26">
        <v>45899</v>
      </c>
      <c r="D1589" s="25" t="s">
        <v>2956</v>
      </c>
      <c r="E1589" s="25" t="s">
        <v>3359</v>
      </c>
      <c r="F1589" s="53" t="s">
        <v>3812</v>
      </c>
      <c r="H1589" s="28">
        <v>0</v>
      </c>
    </row>
    <row r="1590" spans="1:8" x14ac:dyDescent="0.35">
      <c r="A1590" s="22"/>
      <c r="B1590" s="22" t="s">
        <v>2550</v>
      </c>
      <c r="C1590" s="26">
        <v>45899</v>
      </c>
      <c r="D1590" s="25" t="s">
        <v>2957</v>
      </c>
      <c r="E1590" s="25" t="s">
        <v>2487</v>
      </c>
      <c r="F1590" s="53" t="s">
        <v>3812</v>
      </c>
      <c r="H1590" s="28">
        <v>0</v>
      </c>
    </row>
    <row r="1591" spans="1:8" x14ac:dyDescent="0.35">
      <c r="A1591" s="22"/>
      <c r="B1591" s="22" t="s">
        <v>2550</v>
      </c>
      <c r="C1591" s="26">
        <v>45899</v>
      </c>
      <c r="D1591" s="25" t="s">
        <v>2958</v>
      </c>
      <c r="E1591" s="25" t="s">
        <v>301</v>
      </c>
      <c r="F1591" s="53" t="s">
        <v>3812</v>
      </c>
      <c r="H1591" s="28">
        <v>0</v>
      </c>
    </row>
    <row r="1592" spans="1:8" x14ac:dyDescent="0.35">
      <c r="A1592" s="22"/>
      <c r="B1592" s="22" t="s">
        <v>2550</v>
      </c>
      <c r="C1592" s="26">
        <v>45899</v>
      </c>
      <c r="D1592" s="25" t="s">
        <v>2959</v>
      </c>
      <c r="E1592" s="25" t="s">
        <v>301</v>
      </c>
      <c r="F1592" s="53" t="s">
        <v>3812</v>
      </c>
      <c r="H1592" s="28">
        <v>0</v>
      </c>
    </row>
    <row r="1593" spans="1:8" x14ac:dyDescent="0.35">
      <c r="A1593" s="22"/>
      <c r="B1593" s="22" t="s">
        <v>2550</v>
      </c>
      <c r="C1593" s="26">
        <v>45899</v>
      </c>
      <c r="D1593" s="25" t="s">
        <v>2960</v>
      </c>
      <c r="E1593" s="25" t="s">
        <v>301</v>
      </c>
      <c r="F1593" s="53" t="s">
        <v>3812</v>
      </c>
      <c r="H1593" s="28">
        <v>0</v>
      </c>
    </row>
    <row r="1594" spans="1:8" x14ac:dyDescent="0.35">
      <c r="A1594" s="22"/>
      <c r="B1594" s="22" t="s">
        <v>2550</v>
      </c>
      <c r="C1594" s="26">
        <v>45899</v>
      </c>
      <c r="D1594" s="25" t="s">
        <v>2961</v>
      </c>
      <c r="E1594" s="25" t="s">
        <v>301</v>
      </c>
      <c r="F1594" s="53" t="s">
        <v>3812</v>
      </c>
      <c r="H1594" s="28">
        <v>0</v>
      </c>
    </row>
    <row r="1595" spans="1:8" x14ac:dyDescent="0.35">
      <c r="A1595" s="22"/>
      <c r="B1595" s="22" t="s">
        <v>2550</v>
      </c>
      <c r="C1595" s="26">
        <v>45899</v>
      </c>
      <c r="D1595" s="25" t="s">
        <v>2962</v>
      </c>
      <c r="E1595" s="25" t="s">
        <v>3369</v>
      </c>
      <c r="F1595" s="53" t="s">
        <v>3812</v>
      </c>
      <c r="H1595" s="28">
        <v>0</v>
      </c>
    </row>
    <row r="1596" spans="1:8" x14ac:dyDescent="0.35">
      <c r="A1596" s="22"/>
      <c r="B1596" s="22" t="s">
        <v>2550</v>
      </c>
      <c r="C1596" s="26">
        <v>45899</v>
      </c>
      <c r="D1596" s="25" t="s">
        <v>2963</v>
      </c>
      <c r="E1596" s="25" t="s">
        <v>3371</v>
      </c>
      <c r="F1596" s="53" t="s">
        <v>3812</v>
      </c>
      <c r="H1596" s="28">
        <v>5.48</v>
      </c>
    </row>
    <row r="1597" spans="1:8" x14ac:dyDescent="0.35">
      <c r="A1597" s="22"/>
      <c r="B1597" s="22" t="s">
        <v>2550</v>
      </c>
      <c r="C1597" s="26">
        <v>45899</v>
      </c>
      <c r="D1597" s="25" t="s">
        <v>2964</v>
      </c>
      <c r="E1597" s="25" t="s">
        <v>1757</v>
      </c>
      <c r="F1597" s="53" t="s">
        <v>3812</v>
      </c>
      <c r="H1597" s="28">
        <v>0</v>
      </c>
    </row>
    <row r="1598" spans="1:8" x14ac:dyDescent="0.35">
      <c r="A1598" s="22"/>
      <c r="B1598" s="22" t="s">
        <v>2550</v>
      </c>
      <c r="C1598" s="26">
        <v>45899</v>
      </c>
      <c r="D1598" s="25" t="s">
        <v>2965</v>
      </c>
      <c r="E1598" s="25" t="s">
        <v>1757</v>
      </c>
      <c r="F1598" s="53" t="s">
        <v>3812</v>
      </c>
      <c r="H1598" s="28">
        <v>0</v>
      </c>
    </row>
    <row r="1599" spans="1:8" x14ac:dyDescent="0.35">
      <c r="A1599" s="22"/>
      <c r="B1599" s="22" t="s">
        <v>2550</v>
      </c>
      <c r="C1599" s="26">
        <v>45899</v>
      </c>
      <c r="D1599" s="25" t="s">
        <v>2966</v>
      </c>
      <c r="E1599" s="25" t="s">
        <v>1839</v>
      </c>
      <c r="F1599" s="53" t="s">
        <v>3812</v>
      </c>
      <c r="H1599" s="28">
        <v>0</v>
      </c>
    </row>
    <row r="1600" spans="1:8" x14ac:dyDescent="0.35">
      <c r="A1600" s="22"/>
      <c r="B1600" s="22" t="s">
        <v>2550</v>
      </c>
      <c r="C1600" s="26">
        <v>45899</v>
      </c>
      <c r="D1600" s="25" t="s">
        <v>2967</v>
      </c>
      <c r="E1600" s="25" t="s">
        <v>1839</v>
      </c>
      <c r="F1600" s="53" t="s">
        <v>3812</v>
      </c>
      <c r="H1600" s="28">
        <v>0</v>
      </c>
    </row>
    <row r="1601" spans="1:8" x14ac:dyDescent="0.35">
      <c r="A1601" s="22"/>
      <c r="B1601" s="22" t="s">
        <v>2550</v>
      </c>
      <c r="C1601" s="26">
        <v>45899</v>
      </c>
      <c r="D1601" s="25" t="s">
        <v>2968</v>
      </c>
      <c r="E1601" s="25" t="s">
        <v>1839</v>
      </c>
      <c r="F1601" s="53" t="s">
        <v>3812</v>
      </c>
      <c r="H1601" s="28">
        <v>0</v>
      </c>
    </row>
    <row r="1602" spans="1:8" x14ac:dyDescent="0.35">
      <c r="A1602" s="22"/>
      <c r="B1602" s="22" t="s">
        <v>2550</v>
      </c>
      <c r="C1602" s="26">
        <v>45899</v>
      </c>
      <c r="D1602" s="25" t="s">
        <v>2969</v>
      </c>
      <c r="E1602" s="25" t="s">
        <v>1839</v>
      </c>
      <c r="F1602" s="53" t="s">
        <v>3812</v>
      </c>
      <c r="H1602" s="28">
        <v>0</v>
      </c>
    </row>
    <row r="1603" spans="1:8" x14ac:dyDescent="0.35">
      <c r="A1603" s="22"/>
      <c r="B1603" s="22" t="s">
        <v>2550</v>
      </c>
      <c r="C1603" s="26">
        <v>45899</v>
      </c>
      <c r="D1603" s="25" t="s">
        <v>2971</v>
      </c>
      <c r="E1603" s="25" t="s">
        <v>1839</v>
      </c>
      <c r="F1603" s="53" t="s">
        <v>3812</v>
      </c>
      <c r="H1603" s="28">
        <v>0</v>
      </c>
    </row>
    <row r="1604" spans="1:8" x14ac:dyDescent="0.35">
      <c r="A1604" s="22"/>
      <c r="B1604" s="22" t="s">
        <v>2550</v>
      </c>
      <c r="C1604" s="26">
        <v>45899</v>
      </c>
      <c r="D1604" s="25" t="s">
        <v>2972</v>
      </c>
      <c r="E1604" s="25" t="s">
        <v>1839</v>
      </c>
      <c r="F1604" s="53" t="s">
        <v>3812</v>
      </c>
      <c r="H1604" s="28">
        <v>0</v>
      </c>
    </row>
    <row r="1605" spans="1:8" x14ac:dyDescent="0.35">
      <c r="A1605" s="22"/>
      <c r="B1605" s="22" t="s">
        <v>2550</v>
      </c>
      <c r="C1605" s="26">
        <v>45899</v>
      </c>
      <c r="D1605" s="25" t="s">
        <v>2974</v>
      </c>
      <c r="E1605" s="25" t="s">
        <v>2027</v>
      </c>
      <c r="F1605" s="53" t="s">
        <v>3812</v>
      </c>
      <c r="H1605" s="28">
        <v>0</v>
      </c>
    </row>
    <row r="1606" spans="1:8" x14ac:dyDescent="0.35">
      <c r="A1606" s="22"/>
      <c r="B1606" s="22" t="s">
        <v>2550</v>
      </c>
      <c r="C1606" s="26">
        <v>45899</v>
      </c>
      <c r="D1606" s="25" t="s">
        <v>2975</v>
      </c>
      <c r="E1606" s="25" t="s">
        <v>2027</v>
      </c>
      <c r="F1606" s="53" t="s">
        <v>3812</v>
      </c>
      <c r="H1606" s="28">
        <v>0</v>
      </c>
    </row>
    <row r="1607" spans="1:8" x14ac:dyDescent="0.35">
      <c r="A1607" s="22"/>
      <c r="B1607" s="22" t="s">
        <v>2550</v>
      </c>
      <c r="C1607" s="26">
        <v>45899</v>
      </c>
      <c r="D1607" s="25" t="s">
        <v>2976</v>
      </c>
      <c r="E1607" s="25" t="s">
        <v>2027</v>
      </c>
      <c r="F1607" s="53" t="s">
        <v>3812</v>
      </c>
      <c r="H1607" s="28">
        <v>0</v>
      </c>
    </row>
    <row r="1608" spans="1:8" x14ac:dyDescent="0.35">
      <c r="A1608" s="22"/>
      <c r="B1608" s="22" t="s">
        <v>2550</v>
      </c>
      <c r="C1608" s="26">
        <v>45899</v>
      </c>
      <c r="D1608" s="25" t="s">
        <v>2977</v>
      </c>
      <c r="E1608" s="25" t="s">
        <v>2027</v>
      </c>
      <c r="F1608" s="53" t="s">
        <v>3812</v>
      </c>
      <c r="H1608" s="28">
        <v>0</v>
      </c>
    </row>
    <row r="1609" spans="1:8" x14ac:dyDescent="0.35">
      <c r="A1609" s="22"/>
      <c r="B1609" s="22" t="s">
        <v>2550</v>
      </c>
      <c r="C1609" s="26">
        <v>45899</v>
      </c>
      <c r="D1609" s="25" t="s">
        <v>2978</v>
      </c>
      <c r="E1609" s="25" t="s">
        <v>2027</v>
      </c>
      <c r="F1609" s="53" t="s">
        <v>3812</v>
      </c>
      <c r="H1609" s="28">
        <v>0</v>
      </c>
    </row>
    <row r="1610" spans="1:8" x14ac:dyDescent="0.35">
      <c r="A1610" s="22"/>
      <c r="B1610" s="22" t="s">
        <v>2550</v>
      </c>
      <c r="C1610" s="26">
        <v>45899</v>
      </c>
      <c r="D1610" s="25" t="s">
        <v>2979</v>
      </c>
      <c r="E1610" s="25" t="s">
        <v>2027</v>
      </c>
      <c r="F1610" s="53" t="s">
        <v>3812</v>
      </c>
      <c r="H1610" s="28">
        <v>0</v>
      </c>
    </row>
    <row r="1611" spans="1:8" x14ac:dyDescent="0.35">
      <c r="A1611" s="22"/>
      <c r="B1611" s="22" t="s">
        <v>2550</v>
      </c>
      <c r="C1611" s="26">
        <v>45899</v>
      </c>
      <c r="D1611" s="25" t="s">
        <v>2980</v>
      </c>
      <c r="E1611" s="25" t="s">
        <v>1568</v>
      </c>
      <c r="F1611" s="53" t="s">
        <v>3812</v>
      </c>
      <c r="H1611" s="28">
        <v>0</v>
      </c>
    </row>
    <row r="1612" spans="1:8" x14ac:dyDescent="0.35">
      <c r="A1612" s="22"/>
      <c r="B1612" s="22" t="s">
        <v>2550</v>
      </c>
      <c r="C1612" s="26">
        <v>45899</v>
      </c>
      <c r="D1612" s="25" t="s">
        <v>2981</v>
      </c>
      <c r="E1612" s="25" t="s">
        <v>1568</v>
      </c>
      <c r="F1612" s="53" t="s">
        <v>3812</v>
      </c>
      <c r="H1612" s="28">
        <v>0</v>
      </c>
    </row>
    <row r="1613" spans="1:8" x14ac:dyDescent="0.35">
      <c r="A1613" s="22"/>
      <c r="B1613" s="22" t="s">
        <v>2550</v>
      </c>
      <c r="C1613" s="26">
        <v>45899</v>
      </c>
      <c r="D1613" s="25" t="s">
        <v>2982</v>
      </c>
      <c r="E1613" s="25" t="s">
        <v>1568</v>
      </c>
      <c r="F1613" s="53" t="s">
        <v>3812</v>
      </c>
      <c r="H1613" s="28">
        <v>0</v>
      </c>
    </row>
    <row r="1614" spans="1:8" x14ac:dyDescent="0.35">
      <c r="A1614" s="22"/>
      <c r="B1614" s="22" t="s">
        <v>2550</v>
      </c>
      <c r="C1614" s="26">
        <v>45899</v>
      </c>
      <c r="D1614" s="25" t="s">
        <v>2983</v>
      </c>
      <c r="E1614" s="25" t="s">
        <v>1371</v>
      </c>
      <c r="F1614" s="53" t="s">
        <v>3812</v>
      </c>
      <c r="H1614" s="28">
        <v>0</v>
      </c>
    </row>
    <row r="1615" spans="1:8" x14ac:dyDescent="0.35">
      <c r="A1615" s="22"/>
      <c r="B1615" s="22" t="s">
        <v>2550</v>
      </c>
      <c r="C1615" s="26">
        <v>45899</v>
      </c>
      <c r="D1615" s="25" t="s">
        <v>2984</v>
      </c>
      <c r="E1615" s="25" t="s">
        <v>1371</v>
      </c>
      <c r="F1615" s="53" t="s">
        <v>3812</v>
      </c>
      <c r="H1615" s="28">
        <v>0</v>
      </c>
    </row>
    <row r="1616" spans="1:8" x14ac:dyDescent="0.35">
      <c r="A1616" s="22"/>
      <c r="B1616" s="22" t="s">
        <v>2550</v>
      </c>
      <c r="C1616" s="26">
        <v>45899</v>
      </c>
      <c r="D1616" s="25" t="s">
        <v>2985</v>
      </c>
      <c r="E1616" s="25" t="s">
        <v>2831</v>
      </c>
      <c r="F1616" s="53" t="s">
        <v>3812</v>
      </c>
      <c r="H1616" s="28">
        <v>0</v>
      </c>
    </row>
    <row r="1617" spans="1:8" x14ac:dyDescent="0.35">
      <c r="A1617" s="22"/>
      <c r="B1617" s="22" t="s">
        <v>2550</v>
      </c>
      <c r="C1617" s="26">
        <v>45899</v>
      </c>
      <c r="D1617" s="25" t="s">
        <v>2986</v>
      </c>
      <c r="E1617" s="25" t="s">
        <v>3393</v>
      </c>
      <c r="F1617" s="53" t="s">
        <v>3812</v>
      </c>
      <c r="H1617" s="28">
        <v>0</v>
      </c>
    </row>
    <row r="1618" spans="1:8" x14ac:dyDescent="0.35">
      <c r="A1618" s="22"/>
      <c r="B1618" s="22" t="s">
        <v>2550</v>
      </c>
      <c r="C1618" s="26">
        <v>45899</v>
      </c>
      <c r="D1618" s="25" t="s">
        <v>2988</v>
      </c>
      <c r="E1618" s="25" t="s">
        <v>3393</v>
      </c>
      <c r="F1618" s="53" t="s">
        <v>3812</v>
      </c>
      <c r="H1618" s="28">
        <v>0</v>
      </c>
    </row>
    <row r="1619" spans="1:8" x14ac:dyDescent="0.35">
      <c r="A1619" s="22"/>
      <c r="B1619" s="22" t="s">
        <v>2550</v>
      </c>
      <c r="C1619" s="26">
        <v>45899</v>
      </c>
      <c r="D1619" s="25" t="s">
        <v>2990</v>
      </c>
      <c r="E1619" s="25" t="s">
        <v>3393</v>
      </c>
      <c r="F1619" s="53" t="s">
        <v>3812</v>
      </c>
      <c r="H1619" s="28">
        <v>0</v>
      </c>
    </row>
    <row r="1620" spans="1:8" x14ac:dyDescent="0.35">
      <c r="A1620" s="22"/>
      <c r="B1620" s="22" t="s">
        <v>2550</v>
      </c>
      <c r="C1620" s="26">
        <v>45899</v>
      </c>
      <c r="D1620" s="25" t="s">
        <v>2991</v>
      </c>
      <c r="E1620" s="25" t="s">
        <v>2079</v>
      </c>
      <c r="F1620" s="53" t="s">
        <v>3812</v>
      </c>
      <c r="H1620" s="28">
        <v>0</v>
      </c>
    </row>
    <row r="1621" spans="1:8" x14ac:dyDescent="0.35">
      <c r="A1621" s="22"/>
      <c r="B1621" s="22" t="s">
        <v>2550</v>
      </c>
      <c r="C1621" s="26">
        <v>45899</v>
      </c>
      <c r="D1621" s="25" t="s">
        <v>2992</v>
      </c>
      <c r="E1621" s="25" t="s">
        <v>2079</v>
      </c>
      <c r="F1621" s="53" t="s">
        <v>3812</v>
      </c>
      <c r="H1621" s="28">
        <v>0</v>
      </c>
    </row>
    <row r="1622" spans="1:8" x14ac:dyDescent="0.35">
      <c r="A1622" s="22"/>
      <c r="B1622" s="22" t="s">
        <v>2550</v>
      </c>
      <c r="C1622" s="26">
        <v>45899</v>
      </c>
      <c r="D1622" s="25" t="s">
        <v>2993</v>
      </c>
      <c r="E1622" s="25" t="s">
        <v>2027</v>
      </c>
      <c r="F1622" s="53" t="s">
        <v>3812</v>
      </c>
      <c r="H1622" s="28">
        <v>0</v>
      </c>
    </row>
    <row r="1623" spans="1:8" x14ac:dyDescent="0.35">
      <c r="A1623" s="22"/>
      <c r="B1623" s="22" t="s">
        <v>2550</v>
      </c>
      <c r="C1623" s="26">
        <v>45899</v>
      </c>
      <c r="D1623" s="25" t="s">
        <v>2994</v>
      </c>
      <c r="E1623" s="25" t="s">
        <v>1639</v>
      </c>
      <c r="F1623" s="53" t="s">
        <v>3812</v>
      </c>
      <c r="H1623" s="28">
        <v>0</v>
      </c>
    </row>
    <row r="1624" spans="1:8" x14ac:dyDescent="0.35">
      <c r="A1624" s="22"/>
      <c r="B1624" s="22" t="s">
        <v>2550</v>
      </c>
      <c r="C1624" s="26">
        <v>45899</v>
      </c>
      <c r="D1624" s="25" t="s">
        <v>2995</v>
      </c>
      <c r="E1624" s="25" t="s">
        <v>1639</v>
      </c>
      <c r="F1624" s="53" t="s">
        <v>3812</v>
      </c>
      <c r="H1624" s="28">
        <v>0</v>
      </c>
    </row>
    <row r="1625" spans="1:8" x14ac:dyDescent="0.35">
      <c r="A1625" s="22"/>
      <c r="B1625" s="22" t="s">
        <v>2550</v>
      </c>
      <c r="C1625" s="26">
        <v>45899</v>
      </c>
      <c r="D1625" s="25" t="s">
        <v>2996</v>
      </c>
      <c r="E1625" s="25" t="s">
        <v>1639</v>
      </c>
      <c r="F1625" s="53" t="s">
        <v>3812</v>
      </c>
      <c r="H1625" s="28">
        <v>0</v>
      </c>
    </row>
    <row r="1626" spans="1:8" x14ac:dyDescent="0.35">
      <c r="A1626" s="22"/>
      <c r="B1626" s="22" t="s">
        <v>2550</v>
      </c>
      <c r="C1626" s="26">
        <v>45899</v>
      </c>
      <c r="D1626" s="25" t="s">
        <v>2997</v>
      </c>
      <c r="E1626" s="25" t="s">
        <v>1639</v>
      </c>
      <c r="F1626" s="53" t="s">
        <v>3812</v>
      </c>
      <c r="H1626" s="28">
        <v>0</v>
      </c>
    </row>
    <row r="1627" spans="1:8" x14ac:dyDescent="0.35">
      <c r="A1627" s="22"/>
      <c r="B1627" s="22" t="s">
        <v>2550</v>
      </c>
      <c r="C1627" s="26">
        <v>45899</v>
      </c>
      <c r="D1627" s="25" t="s">
        <v>2998</v>
      </c>
      <c r="E1627" s="25" t="s">
        <v>1639</v>
      </c>
      <c r="F1627" s="53" t="s">
        <v>3812</v>
      </c>
      <c r="H1627" s="28">
        <v>0</v>
      </c>
    </row>
    <row r="1628" spans="1:8" x14ac:dyDescent="0.35">
      <c r="A1628" s="22"/>
      <c r="B1628" s="22" t="s">
        <v>2550</v>
      </c>
      <c r="C1628" s="26">
        <v>45899</v>
      </c>
      <c r="D1628" s="25">
        <v>36512</v>
      </c>
      <c r="E1628" s="25" t="s">
        <v>2231</v>
      </c>
      <c r="F1628" s="53" t="s">
        <v>3812</v>
      </c>
      <c r="H1628" s="28">
        <v>11839.48</v>
      </c>
    </row>
    <row r="1629" spans="1:8" x14ac:dyDescent="0.35">
      <c r="A1629" s="22"/>
      <c r="B1629" s="22" t="s">
        <v>2550</v>
      </c>
      <c r="C1629" s="26">
        <v>45899</v>
      </c>
      <c r="D1629" s="25" t="s">
        <v>2999</v>
      </c>
      <c r="E1629" s="25" t="s">
        <v>2487</v>
      </c>
      <c r="F1629" s="53" t="s">
        <v>3812</v>
      </c>
      <c r="H1629" s="28">
        <v>0</v>
      </c>
    </row>
    <row r="1630" spans="1:8" x14ac:dyDescent="0.35">
      <c r="A1630" s="22"/>
      <c r="B1630" s="22" t="s">
        <v>2550</v>
      </c>
      <c r="C1630" s="26">
        <v>45899</v>
      </c>
      <c r="D1630" s="25" t="s">
        <v>3000</v>
      </c>
      <c r="E1630" s="25" t="s">
        <v>2291</v>
      </c>
      <c r="F1630" s="53" t="s">
        <v>3812</v>
      </c>
      <c r="H1630" s="28">
        <v>0</v>
      </c>
    </row>
    <row r="1631" spans="1:8" x14ac:dyDescent="0.35">
      <c r="A1631" s="22"/>
      <c r="B1631" s="22" t="s">
        <v>2550</v>
      </c>
      <c r="C1631" s="26">
        <v>45899</v>
      </c>
      <c r="D1631" s="25" t="s">
        <v>3001</v>
      </c>
      <c r="E1631" s="25" t="s">
        <v>2291</v>
      </c>
      <c r="F1631" s="53" t="s">
        <v>3812</v>
      </c>
      <c r="H1631" s="28">
        <v>0</v>
      </c>
    </row>
    <row r="1632" spans="1:8" x14ac:dyDescent="0.35">
      <c r="A1632" s="22"/>
      <c r="B1632" s="22" t="s">
        <v>2550</v>
      </c>
      <c r="C1632" s="26">
        <v>45899</v>
      </c>
      <c r="D1632" s="25" t="s">
        <v>3002</v>
      </c>
      <c r="E1632" s="25" t="s">
        <v>2291</v>
      </c>
      <c r="F1632" s="53" t="s">
        <v>3812</v>
      </c>
      <c r="H1632" s="28">
        <v>0</v>
      </c>
    </row>
    <row r="1633" spans="1:8" x14ac:dyDescent="0.35">
      <c r="A1633" s="22"/>
      <c r="B1633" s="22" t="s">
        <v>2550</v>
      </c>
      <c r="C1633" s="26">
        <v>45899</v>
      </c>
      <c r="D1633" s="25" t="s">
        <v>3003</v>
      </c>
      <c r="E1633" s="25" t="s">
        <v>2291</v>
      </c>
      <c r="F1633" s="53" t="s">
        <v>3812</v>
      </c>
      <c r="H1633" s="28">
        <v>0</v>
      </c>
    </row>
    <row r="1634" spans="1:8" x14ac:dyDescent="0.35">
      <c r="A1634" s="22"/>
      <c r="B1634" s="22" t="s">
        <v>2550</v>
      </c>
      <c r="C1634" s="26">
        <v>45899</v>
      </c>
      <c r="D1634" s="25" t="s">
        <v>3004</v>
      </c>
      <c r="E1634" s="25" t="s">
        <v>2291</v>
      </c>
      <c r="F1634" s="53" t="s">
        <v>3812</v>
      </c>
      <c r="H1634" s="28">
        <v>0</v>
      </c>
    </row>
    <row r="1635" spans="1:8" x14ac:dyDescent="0.35">
      <c r="A1635" s="22"/>
      <c r="B1635" s="22" t="s">
        <v>2550</v>
      </c>
      <c r="C1635" s="26">
        <v>45899</v>
      </c>
      <c r="D1635" s="25" t="s">
        <v>3005</v>
      </c>
      <c r="E1635" s="25" t="s">
        <v>2291</v>
      </c>
      <c r="F1635" s="53" t="s">
        <v>3812</v>
      </c>
      <c r="H1635" s="28">
        <v>0</v>
      </c>
    </row>
    <row r="1636" spans="1:8" x14ac:dyDescent="0.35">
      <c r="A1636" s="22"/>
      <c r="B1636" s="22" t="s">
        <v>2550</v>
      </c>
      <c r="C1636" s="26">
        <v>45899</v>
      </c>
      <c r="D1636" s="25" t="s">
        <v>3006</v>
      </c>
      <c r="E1636" s="25" t="s">
        <v>2291</v>
      </c>
      <c r="F1636" s="53" t="s">
        <v>3812</v>
      </c>
      <c r="H1636" s="28">
        <v>0</v>
      </c>
    </row>
    <row r="1637" spans="1:8" x14ac:dyDescent="0.35">
      <c r="A1637" s="22"/>
      <c r="B1637" s="22" t="s">
        <v>2550</v>
      </c>
      <c r="C1637" s="26">
        <v>45899</v>
      </c>
      <c r="D1637" s="25" t="s">
        <v>3007</v>
      </c>
      <c r="E1637" s="25" t="s">
        <v>2291</v>
      </c>
      <c r="F1637" s="53" t="s">
        <v>3812</v>
      </c>
      <c r="H1637" s="28">
        <v>0</v>
      </c>
    </row>
    <row r="1638" spans="1:8" x14ac:dyDescent="0.35">
      <c r="A1638" s="22"/>
      <c r="B1638" s="22" t="s">
        <v>2550</v>
      </c>
      <c r="C1638" s="26">
        <v>45899</v>
      </c>
      <c r="D1638" s="25" t="s">
        <v>3008</v>
      </c>
      <c r="E1638" s="25" t="s">
        <v>2429</v>
      </c>
      <c r="F1638" s="53" t="s">
        <v>3812</v>
      </c>
      <c r="H1638" s="28">
        <v>0</v>
      </c>
    </row>
    <row r="1639" spans="1:8" x14ac:dyDescent="0.35">
      <c r="A1639" s="22"/>
      <c r="B1639" s="22" t="s">
        <v>2550</v>
      </c>
      <c r="C1639" s="26">
        <v>45899</v>
      </c>
      <c r="D1639" s="25" t="s">
        <v>3009</v>
      </c>
      <c r="E1639" s="25" t="s">
        <v>2429</v>
      </c>
      <c r="F1639" s="53" t="s">
        <v>3812</v>
      </c>
      <c r="H1639" s="28">
        <v>0</v>
      </c>
    </row>
    <row r="1640" spans="1:8" x14ac:dyDescent="0.35">
      <c r="A1640" s="22"/>
      <c r="B1640" s="22" t="s">
        <v>2550</v>
      </c>
      <c r="C1640" s="26">
        <v>45899</v>
      </c>
      <c r="D1640" s="25" t="s">
        <v>3010</v>
      </c>
      <c r="E1640" s="25" t="s">
        <v>2429</v>
      </c>
      <c r="F1640" s="53" t="s">
        <v>3812</v>
      </c>
      <c r="H1640" s="28">
        <v>0</v>
      </c>
    </row>
    <row r="1641" spans="1:8" x14ac:dyDescent="0.35">
      <c r="A1641" s="22"/>
      <c r="B1641" s="22" t="s">
        <v>2550</v>
      </c>
      <c r="C1641" s="26">
        <v>45899</v>
      </c>
      <c r="D1641" s="25" t="s">
        <v>3011</v>
      </c>
      <c r="E1641" s="25" t="s">
        <v>1179</v>
      </c>
      <c r="F1641" s="53" t="s">
        <v>3812</v>
      </c>
      <c r="H1641" s="28">
        <v>0</v>
      </c>
    </row>
    <row r="1642" spans="1:8" x14ac:dyDescent="0.35">
      <c r="A1642" s="22"/>
      <c r="B1642" s="22" t="s">
        <v>2550</v>
      </c>
      <c r="C1642" s="26">
        <v>45899</v>
      </c>
      <c r="D1642" s="25" t="s">
        <v>3012</v>
      </c>
      <c r="E1642" s="25" t="s">
        <v>1179</v>
      </c>
      <c r="F1642" s="53" t="s">
        <v>3812</v>
      </c>
      <c r="H1642" s="28">
        <v>0</v>
      </c>
    </row>
    <row r="1643" spans="1:8" x14ac:dyDescent="0.35">
      <c r="A1643" s="22"/>
      <c r="B1643" s="22" t="s">
        <v>2550</v>
      </c>
      <c r="C1643" s="26">
        <v>45899</v>
      </c>
      <c r="D1643" s="25" t="s">
        <v>3013</v>
      </c>
      <c r="E1643" s="25" t="s">
        <v>1179</v>
      </c>
      <c r="F1643" s="53" t="s">
        <v>3812</v>
      </c>
      <c r="H1643" s="28">
        <v>0</v>
      </c>
    </row>
    <row r="1644" spans="1:8" x14ac:dyDescent="0.35">
      <c r="A1644" s="22"/>
      <c r="B1644" s="22" t="s">
        <v>2550</v>
      </c>
      <c r="C1644" s="26">
        <v>45899</v>
      </c>
      <c r="D1644" s="25" t="s">
        <v>3014</v>
      </c>
      <c r="E1644" s="25" t="s">
        <v>1179</v>
      </c>
      <c r="F1644" s="53" t="s">
        <v>3812</v>
      </c>
      <c r="H1644" s="28">
        <v>0</v>
      </c>
    </row>
    <row r="1645" spans="1:8" x14ac:dyDescent="0.35">
      <c r="A1645" s="22"/>
      <c r="B1645" s="22" t="s">
        <v>2550</v>
      </c>
      <c r="C1645" s="26">
        <v>45899</v>
      </c>
      <c r="D1645" s="25" t="s">
        <v>3015</v>
      </c>
      <c r="E1645" s="25" t="s">
        <v>1363</v>
      </c>
      <c r="F1645" s="53" t="s">
        <v>3812</v>
      </c>
      <c r="H1645" s="28">
        <v>0</v>
      </c>
    </row>
    <row r="1646" spans="1:8" x14ac:dyDescent="0.35">
      <c r="A1646" s="22"/>
      <c r="B1646" s="22" t="s">
        <v>2550</v>
      </c>
      <c r="C1646" s="26">
        <v>45899</v>
      </c>
      <c r="D1646" s="25" t="s">
        <v>3016</v>
      </c>
      <c r="E1646" s="25" t="s">
        <v>1363</v>
      </c>
      <c r="F1646" s="53" t="s">
        <v>3812</v>
      </c>
      <c r="H1646" s="28">
        <v>0</v>
      </c>
    </row>
    <row r="1647" spans="1:8" x14ac:dyDescent="0.35">
      <c r="A1647" s="22"/>
      <c r="B1647" s="22" t="s">
        <v>2550</v>
      </c>
      <c r="C1647" s="26">
        <v>45899</v>
      </c>
      <c r="D1647" s="25" t="s">
        <v>3017</v>
      </c>
      <c r="E1647" s="25" t="s">
        <v>1426</v>
      </c>
      <c r="F1647" s="53" t="s">
        <v>3812</v>
      </c>
      <c r="H1647" s="28">
        <v>0</v>
      </c>
    </row>
    <row r="1648" spans="1:8" x14ac:dyDescent="0.35">
      <c r="A1648" s="22"/>
      <c r="B1648" s="22" t="s">
        <v>2550</v>
      </c>
      <c r="C1648" s="26">
        <v>45899</v>
      </c>
      <c r="D1648" s="25" t="s">
        <v>3018</v>
      </c>
      <c r="E1648" s="25" t="s">
        <v>1426</v>
      </c>
      <c r="F1648" s="53" t="s">
        <v>3812</v>
      </c>
      <c r="H1648" s="28">
        <v>0</v>
      </c>
    </row>
    <row r="1649" spans="1:8" x14ac:dyDescent="0.35">
      <c r="A1649" s="22"/>
      <c r="B1649" s="22" t="s">
        <v>2550</v>
      </c>
      <c r="C1649" s="26">
        <v>45899</v>
      </c>
      <c r="D1649" s="25" t="s">
        <v>3019</v>
      </c>
      <c r="E1649" s="25" t="s">
        <v>1426</v>
      </c>
      <c r="F1649" s="53" t="s">
        <v>3812</v>
      </c>
      <c r="H1649" s="28">
        <v>0</v>
      </c>
    </row>
    <row r="1650" spans="1:8" x14ac:dyDescent="0.35">
      <c r="A1650" s="22"/>
      <c r="B1650" s="22" t="s">
        <v>2550</v>
      </c>
      <c r="C1650" s="26">
        <v>45899</v>
      </c>
      <c r="D1650" s="25" t="s">
        <v>3020</v>
      </c>
      <c r="E1650" s="25" t="s">
        <v>1426</v>
      </c>
      <c r="F1650" s="53" t="s">
        <v>3812</v>
      </c>
      <c r="H1650" s="28">
        <v>0</v>
      </c>
    </row>
    <row r="1651" spans="1:8" x14ac:dyDescent="0.35">
      <c r="A1651" s="22"/>
      <c r="B1651" s="22" t="s">
        <v>2550</v>
      </c>
      <c r="C1651" s="26">
        <v>45899</v>
      </c>
      <c r="D1651" s="25" t="s">
        <v>3021</v>
      </c>
      <c r="E1651" s="25" t="s">
        <v>1426</v>
      </c>
      <c r="F1651" s="53" t="s">
        <v>3812</v>
      </c>
      <c r="H1651" s="28">
        <v>0</v>
      </c>
    </row>
    <row r="1652" spans="1:8" x14ac:dyDescent="0.35">
      <c r="A1652" s="22"/>
      <c r="B1652" s="22" t="s">
        <v>2550</v>
      </c>
      <c r="C1652" s="26">
        <v>45899</v>
      </c>
      <c r="D1652" s="25" t="s">
        <v>3022</v>
      </c>
      <c r="E1652" s="25" t="s">
        <v>1426</v>
      </c>
      <c r="F1652" s="53" t="s">
        <v>3812</v>
      </c>
      <c r="H1652" s="28">
        <v>0</v>
      </c>
    </row>
    <row r="1653" spans="1:8" x14ac:dyDescent="0.35">
      <c r="A1653" s="22"/>
      <c r="B1653" s="22" t="s">
        <v>2550</v>
      </c>
      <c r="C1653" s="26">
        <v>45899</v>
      </c>
      <c r="D1653" s="25" t="s">
        <v>3023</v>
      </c>
      <c r="E1653" s="25" t="s">
        <v>1426</v>
      </c>
      <c r="F1653" s="53" t="s">
        <v>3812</v>
      </c>
      <c r="H1653" s="28">
        <v>0</v>
      </c>
    </row>
    <row r="1654" spans="1:8" x14ac:dyDescent="0.35">
      <c r="A1654" s="22"/>
      <c r="B1654" s="22" t="s">
        <v>2550</v>
      </c>
      <c r="C1654" s="26">
        <v>45899</v>
      </c>
      <c r="D1654" s="25" t="s">
        <v>3024</v>
      </c>
      <c r="E1654" s="25" t="s">
        <v>1426</v>
      </c>
      <c r="F1654" s="53" t="s">
        <v>3812</v>
      </c>
      <c r="H1654" s="28">
        <v>0</v>
      </c>
    </row>
    <row r="1655" spans="1:8" x14ac:dyDescent="0.35">
      <c r="A1655" s="22"/>
      <c r="B1655" s="22" t="s">
        <v>2550</v>
      </c>
      <c r="C1655" s="26">
        <v>45899</v>
      </c>
      <c r="D1655" s="25" t="s">
        <v>3026</v>
      </c>
      <c r="E1655" s="25" t="s">
        <v>1426</v>
      </c>
      <c r="F1655" s="53" t="s">
        <v>3812</v>
      </c>
      <c r="H1655" s="28">
        <v>0</v>
      </c>
    </row>
    <row r="1656" spans="1:8" x14ac:dyDescent="0.35">
      <c r="A1656" s="22"/>
      <c r="B1656" s="22" t="s">
        <v>2550</v>
      </c>
      <c r="C1656" s="26">
        <v>45899</v>
      </c>
      <c r="D1656" s="25" t="s">
        <v>3027</v>
      </c>
      <c r="E1656" s="25" t="s">
        <v>1426</v>
      </c>
      <c r="F1656" s="53" t="s">
        <v>3812</v>
      </c>
      <c r="H1656" s="28">
        <v>0</v>
      </c>
    </row>
    <row r="1657" spans="1:8" x14ac:dyDescent="0.35">
      <c r="A1657" s="22"/>
      <c r="B1657" s="22" t="s">
        <v>2550</v>
      </c>
      <c r="C1657" s="26">
        <v>45899</v>
      </c>
      <c r="D1657" s="25" t="s">
        <v>3028</v>
      </c>
      <c r="E1657" s="25" t="s">
        <v>1426</v>
      </c>
      <c r="F1657" s="53" t="s">
        <v>3812</v>
      </c>
      <c r="H1657" s="28">
        <v>0</v>
      </c>
    </row>
    <row r="1658" spans="1:8" x14ac:dyDescent="0.35">
      <c r="A1658" s="22"/>
      <c r="B1658" s="22" t="s">
        <v>2550</v>
      </c>
      <c r="C1658" s="26">
        <v>45899</v>
      </c>
      <c r="D1658" s="25" t="s">
        <v>3029</v>
      </c>
      <c r="E1658" s="25" t="s">
        <v>1426</v>
      </c>
      <c r="F1658" s="53" t="s">
        <v>3812</v>
      </c>
      <c r="H1658" s="28">
        <v>0.56000000000000005</v>
      </c>
    </row>
    <row r="1659" spans="1:8" x14ac:dyDescent="0.35">
      <c r="A1659" s="22"/>
      <c r="B1659" s="22" t="s">
        <v>2550</v>
      </c>
      <c r="C1659" s="26">
        <v>45899</v>
      </c>
      <c r="D1659" s="25" t="s">
        <v>3030</v>
      </c>
      <c r="E1659" s="25" t="s">
        <v>1426</v>
      </c>
      <c r="F1659" s="53" t="s">
        <v>3812</v>
      </c>
      <c r="H1659" s="28">
        <v>0</v>
      </c>
    </row>
    <row r="1660" spans="1:8" x14ac:dyDescent="0.35">
      <c r="A1660" s="22"/>
      <c r="B1660" s="22" t="s">
        <v>2550</v>
      </c>
      <c r="C1660" s="26">
        <v>45899</v>
      </c>
      <c r="D1660" s="25" t="s">
        <v>3031</v>
      </c>
      <c r="E1660" s="25" t="s">
        <v>1924</v>
      </c>
      <c r="F1660" s="53" t="s">
        <v>3812</v>
      </c>
      <c r="H1660" s="28">
        <v>0</v>
      </c>
    </row>
    <row r="1661" spans="1:8" x14ac:dyDescent="0.35">
      <c r="A1661" s="22"/>
      <c r="B1661" s="22" t="s">
        <v>2550</v>
      </c>
      <c r="C1661" s="26">
        <v>45899</v>
      </c>
      <c r="D1661" s="25" t="s">
        <v>3032</v>
      </c>
      <c r="E1661" s="25" t="s">
        <v>1924</v>
      </c>
      <c r="F1661" s="53" t="s">
        <v>3812</v>
      </c>
      <c r="H1661" s="28">
        <v>0</v>
      </c>
    </row>
    <row r="1662" spans="1:8" x14ac:dyDescent="0.35">
      <c r="A1662" s="22"/>
      <c r="B1662" s="22" t="s">
        <v>2550</v>
      </c>
      <c r="C1662" s="26">
        <v>45899</v>
      </c>
      <c r="D1662" s="25" t="s">
        <v>3033</v>
      </c>
      <c r="E1662" s="25" t="s">
        <v>1924</v>
      </c>
      <c r="F1662" s="53" t="s">
        <v>3812</v>
      </c>
      <c r="H1662" s="28">
        <v>0</v>
      </c>
    </row>
    <row r="1663" spans="1:8" x14ac:dyDescent="0.35">
      <c r="A1663" s="22"/>
      <c r="B1663" s="22" t="s">
        <v>2550</v>
      </c>
      <c r="C1663" s="26">
        <v>45899</v>
      </c>
      <c r="D1663" s="25" t="s">
        <v>3034</v>
      </c>
      <c r="E1663" s="25" t="s">
        <v>1924</v>
      </c>
      <c r="F1663" s="53" t="s">
        <v>3812</v>
      </c>
      <c r="H1663" s="28">
        <v>0</v>
      </c>
    </row>
    <row r="1664" spans="1:8" x14ac:dyDescent="0.35">
      <c r="A1664" s="22"/>
      <c r="B1664" s="22" t="s">
        <v>2550</v>
      </c>
      <c r="C1664" s="26">
        <v>45899</v>
      </c>
      <c r="D1664" s="25" t="s">
        <v>3035</v>
      </c>
      <c r="E1664" s="25" t="s">
        <v>1924</v>
      </c>
      <c r="F1664" s="53" t="s">
        <v>3812</v>
      </c>
      <c r="H1664" s="28">
        <v>0</v>
      </c>
    </row>
    <row r="1665" spans="1:8" x14ac:dyDescent="0.35">
      <c r="A1665" s="22"/>
      <c r="B1665" s="22" t="s">
        <v>2550</v>
      </c>
      <c r="C1665" s="26">
        <v>45899</v>
      </c>
      <c r="D1665" s="25" t="s">
        <v>3036</v>
      </c>
      <c r="E1665" s="25" t="s">
        <v>3452</v>
      </c>
      <c r="F1665" s="53" t="s">
        <v>3812</v>
      </c>
      <c r="H1665" s="28">
        <v>48.79</v>
      </c>
    </row>
    <row r="1666" spans="1:8" x14ac:dyDescent="0.35">
      <c r="A1666" s="22"/>
      <c r="B1666" s="22" t="s">
        <v>2550</v>
      </c>
      <c r="C1666" s="26">
        <v>45899</v>
      </c>
      <c r="D1666" s="25" t="s">
        <v>3038</v>
      </c>
      <c r="E1666" s="25" t="s">
        <v>3452</v>
      </c>
      <c r="F1666" s="53" t="s">
        <v>3812</v>
      </c>
      <c r="H1666" s="28">
        <v>8.92</v>
      </c>
    </row>
    <row r="1667" spans="1:8" x14ac:dyDescent="0.35">
      <c r="A1667" s="22"/>
      <c r="B1667" s="22" t="s">
        <v>2550</v>
      </c>
      <c r="C1667" s="26">
        <v>45899</v>
      </c>
      <c r="D1667" s="25" t="s">
        <v>3039</v>
      </c>
      <c r="E1667" s="25" t="s">
        <v>1004</v>
      </c>
      <c r="F1667" s="53" t="s">
        <v>3812</v>
      </c>
      <c r="H1667" s="28">
        <v>0</v>
      </c>
    </row>
    <row r="1668" spans="1:8" x14ac:dyDescent="0.35">
      <c r="A1668" s="22"/>
      <c r="B1668" s="22" t="s">
        <v>2550</v>
      </c>
      <c r="C1668" s="26">
        <v>45899</v>
      </c>
      <c r="D1668" s="25" t="s">
        <v>3040</v>
      </c>
      <c r="E1668" s="25" t="s">
        <v>1004</v>
      </c>
      <c r="F1668" s="53" t="s">
        <v>3812</v>
      </c>
      <c r="H1668" s="28">
        <v>0</v>
      </c>
    </row>
    <row r="1669" spans="1:8" x14ac:dyDescent="0.35">
      <c r="A1669" s="22"/>
      <c r="B1669" s="22" t="s">
        <v>2550</v>
      </c>
      <c r="C1669" s="26">
        <v>45899</v>
      </c>
      <c r="D1669" s="25" t="s">
        <v>3041</v>
      </c>
      <c r="E1669" s="25" t="s">
        <v>1004</v>
      </c>
      <c r="F1669" s="53" t="s">
        <v>3812</v>
      </c>
      <c r="H1669" s="28">
        <v>0</v>
      </c>
    </row>
    <row r="1670" spans="1:8" x14ac:dyDescent="0.35">
      <c r="A1670" s="22"/>
      <c r="B1670" s="22" t="s">
        <v>2550</v>
      </c>
      <c r="C1670" s="26">
        <v>45899</v>
      </c>
      <c r="D1670" s="25" t="s">
        <v>3042</v>
      </c>
      <c r="E1670" s="25" t="s">
        <v>1684</v>
      </c>
      <c r="F1670" s="53" t="s">
        <v>3812</v>
      </c>
      <c r="H1670" s="28">
        <v>0</v>
      </c>
    </row>
    <row r="1671" spans="1:8" x14ac:dyDescent="0.35">
      <c r="A1671" s="22"/>
      <c r="B1671" s="22" t="s">
        <v>2550</v>
      </c>
      <c r="C1671" s="26">
        <v>45899</v>
      </c>
      <c r="D1671" s="25" t="s">
        <v>3043</v>
      </c>
      <c r="E1671" s="25" t="s">
        <v>1684</v>
      </c>
      <c r="F1671" s="53" t="s">
        <v>3812</v>
      </c>
      <c r="H1671" s="28">
        <v>0</v>
      </c>
    </row>
    <row r="1672" spans="1:8" x14ac:dyDescent="0.35">
      <c r="A1672" s="22"/>
      <c r="B1672" s="22" t="s">
        <v>2550</v>
      </c>
      <c r="C1672" s="26">
        <v>45899</v>
      </c>
      <c r="D1672" s="25" t="s">
        <v>3044</v>
      </c>
      <c r="E1672" s="25" t="s">
        <v>1684</v>
      </c>
      <c r="F1672" s="53" t="s">
        <v>3812</v>
      </c>
      <c r="H1672" s="28">
        <v>0</v>
      </c>
    </row>
    <row r="1673" spans="1:8" x14ac:dyDescent="0.35">
      <c r="A1673" s="22"/>
      <c r="B1673" s="22" t="s">
        <v>2550</v>
      </c>
      <c r="C1673" s="26">
        <v>45899</v>
      </c>
      <c r="D1673" s="25" t="s">
        <v>3045</v>
      </c>
      <c r="E1673" s="25" t="s">
        <v>1358</v>
      </c>
      <c r="F1673" s="53" t="s">
        <v>3812</v>
      </c>
      <c r="H1673" s="28">
        <v>0</v>
      </c>
    </row>
    <row r="1674" spans="1:8" x14ac:dyDescent="0.35">
      <c r="A1674" s="22"/>
      <c r="B1674" s="22" t="s">
        <v>2550</v>
      </c>
      <c r="C1674" s="26">
        <v>45899</v>
      </c>
      <c r="D1674" s="25" t="s">
        <v>3046</v>
      </c>
      <c r="E1674" s="25" t="s">
        <v>1358</v>
      </c>
      <c r="F1674" s="53" t="s">
        <v>3812</v>
      </c>
      <c r="H1674" s="28">
        <v>0</v>
      </c>
    </row>
    <row r="1675" spans="1:8" x14ac:dyDescent="0.35">
      <c r="A1675" s="22"/>
      <c r="B1675" s="22" t="s">
        <v>2550</v>
      </c>
      <c r="C1675" s="26">
        <v>45899</v>
      </c>
      <c r="D1675" s="25" t="s">
        <v>3047</v>
      </c>
      <c r="E1675" s="25" t="s">
        <v>1358</v>
      </c>
      <c r="F1675" s="53" t="s">
        <v>3812</v>
      </c>
      <c r="H1675" s="28">
        <v>0</v>
      </c>
    </row>
    <row r="1676" spans="1:8" x14ac:dyDescent="0.35">
      <c r="A1676" s="22"/>
      <c r="B1676" s="22" t="s">
        <v>2550</v>
      </c>
      <c r="C1676" s="26">
        <v>45899</v>
      </c>
      <c r="D1676" s="25" t="s">
        <v>3048</v>
      </c>
      <c r="E1676" s="25" t="s">
        <v>1358</v>
      </c>
      <c r="F1676" s="53" t="s">
        <v>3812</v>
      </c>
      <c r="H1676" s="28">
        <v>0</v>
      </c>
    </row>
    <row r="1677" spans="1:8" x14ac:dyDescent="0.35">
      <c r="A1677" s="22"/>
      <c r="B1677" s="22" t="s">
        <v>2550</v>
      </c>
      <c r="C1677" s="26">
        <v>45899</v>
      </c>
      <c r="D1677" s="25" t="s">
        <v>3049</v>
      </c>
      <c r="E1677" s="25" t="s">
        <v>1085</v>
      </c>
      <c r="F1677" s="53" t="s">
        <v>3812</v>
      </c>
      <c r="H1677" s="28">
        <v>600</v>
      </c>
    </row>
    <row r="1678" spans="1:8" x14ac:dyDescent="0.35">
      <c r="A1678" s="22"/>
      <c r="B1678" s="22" t="s">
        <v>2550</v>
      </c>
      <c r="C1678" s="26">
        <v>45899</v>
      </c>
      <c r="D1678" s="25" t="s">
        <v>3050</v>
      </c>
      <c r="E1678" s="25" t="s">
        <v>1085</v>
      </c>
      <c r="F1678" s="53" t="s">
        <v>3812</v>
      </c>
      <c r="H1678" s="28">
        <v>0</v>
      </c>
    </row>
    <row r="1679" spans="1:8" x14ac:dyDescent="0.35">
      <c r="A1679" s="22"/>
      <c r="B1679" s="22" t="s">
        <v>2550</v>
      </c>
      <c r="C1679" s="26">
        <v>45899</v>
      </c>
      <c r="D1679" s="25" t="s">
        <v>3051</v>
      </c>
      <c r="E1679" s="25" t="s">
        <v>1085</v>
      </c>
      <c r="F1679" s="53" t="s">
        <v>3812</v>
      </c>
      <c r="H1679" s="28">
        <v>0</v>
      </c>
    </row>
    <row r="1680" spans="1:8" x14ac:dyDescent="0.35">
      <c r="A1680" s="22"/>
      <c r="B1680" s="22" t="s">
        <v>2550</v>
      </c>
      <c r="C1680" s="26">
        <v>45899</v>
      </c>
      <c r="D1680" s="25" t="s">
        <v>3052</v>
      </c>
      <c r="E1680" s="25" t="s">
        <v>1085</v>
      </c>
      <c r="F1680" s="53" t="s">
        <v>3812</v>
      </c>
      <c r="H1680" s="28">
        <v>0</v>
      </c>
    </row>
    <row r="1681" spans="1:8" x14ac:dyDescent="0.35">
      <c r="A1681" s="22"/>
      <c r="B1681" s="22" t="s">
        <v>2550</v>
      </c>
      <c r="C1681" s="26">
        <v>45899</v>
      </c>
      <c r="D1681" s="25" t="s">
        <v>3053</v>
      </c>
      <c r="E1681" s="25" t="s">
        <v>1085</v>
      </c>
      <c r="F1681" s="53" t="s">
        <v>3812</v>
      </c>
      <c r="H1681" s="28">
        <v>0</v>
      </c>
    </row>
    <row r="1682" spans="1:8" x14ac:dyDescent="0.35">
      <c r="A1682" s="22"/>
      <c r="B1682" s="22" t="s">
        <v>2550</v>
      </c>
      <c r="C1682" s="26">
        <v>45899</v>
      </c>
      <c r="D1682" s="25" t="s">
        <v>3054</v>
      </c>
      <c r="E1682" s="25" t="s">
        <v>1085</v>
      </c>
      <c r="F1682" s="53" t="s">
        <v>3812</v>
      </c>
      <c r="H1682" s="28">
        <v>0</v>
      </c>
    </row>
    <row r="1683" spans="1:8" x14ac:dyDescent="0.35">
      <c r="A1683" s="22"/>
      <c r="B1683" s="22" t="s">
        <v>2550</v>
      </c>
      <c r="C1683" s="26">
        <v>45899</v>
      </c>
      <c r="D1683" s="25" t="s">
        <v>3055</v>
      </c>
      <c r="E1683" s="25" t="s">
        <v>1085</v>
      </c>
      <c r="F1683" s="53" t="s">
        <v>3812</v>
      </c>
      <c r="H1683" s="28">
        <v>0</v>
      </c>
    </row>
    <row r="1684" spans="1:8" x14ac:dyDescent="0.35">
      <c r="A1684" s="22"/>
      <c r="B1684" s="22" t="s">
        <v>2550</v>
      </c>
      <c r="C1684" s="26">
        <v>45899</v>
      </c>
      <c r="D1684" s="25" t="s">
        <v>3056</v>
      </c>
      <c r="E1684" s="25" t="s">
        <v>1085</v>
      </c>
      <c r="F1684" s="53" t="s">
        <v>3812</v>
      </c>
      <c r="H1684" s="28">
        <v>0</v>
      </c>
    </row>
    <row r="1685" spans="1:8" x14ac:dyDescent="0.35">
      <c r="A1685" s="22"/>
      <c r="B1685" s="22" t="s">
        <v>2550</v>
      </c>
      <c r="C1685" s="26">
        <v>45899</v>
      </c>
      <c r="D1685" s="25" t="s">
        <v>3057</v>
      </c>
      <c r="E1685" s="25" t="s">
        <v>1085</v>
      </c>
      <c r="F1685" s="53" t="s">
        <v>3812</v>
      </c>
      <c r="H1685" s="28">
        <v>0</v>
      </c>
    </row>
    <row r="1686" spans="1:8" x14ac:dyDescent="0.35">
      <c r="A1686" s="22"/>
      <c r="B1686" s="22" t="s">
        <v>2550</v>
      </c>
      <c r="C1686" s="26">
        <v>45899</v>
      </c>
      <c r="D1686" s="25" t="s">
        <v>3058</v>
      </c>
      <c r="E1686" s="25" t="s">
        <v>1085</v>
      </c>
      <c r="F1686" s="53" t="s">
        <v>3812</v>
      </c>
      <c r="H1686" s="28">
        <v>0</v>
      </c>
    </row>
    <row r="1687" spans="1:8" x14ac:dyDescent="0.35">
      <c r="A1687" s="22"/>
      <c r="B1687" s="22" t="s">
        <v>2550</v>
      </c>
      <c r="C1687" s="26">
        <v>45899</v>
      </c>
      <c r="D1687" s="25" t="s">
        <v>3059</v>
      </c>
      <c r="E1687" s="25" t="s">
        <v>1272</v>
      </c>
      <c r="F1687" s="53" t="s">
        <v>3812</v>
      </c>
      <c r="H1687" s="28">
        <v>0</v>
      </c>
    </row>
    <row r="1688" spans="1:8" x14ac:dyDescent="0.35">
      <c r="A1688" s="22"/>
      <c r="B1688" s="22" t="s">
        <v>2550</v>
      </c>
      <c r="C1688" s="26">
        <v>45899</v>
      </c>
      <c r="D1688" s="25" t="s">
        <v>3060</v>
      </c>
      <c r="E1688" s="25" t="s">
        <v>2247</v>
      </c>
      <c r="F1688" s="53" t="s">
        <v>3812</v>
      </c>
      <c r="H1688" s="28">
        <v>0</v>
      </c>
    </row>
    <row r="1689" spans="1:8" x14ac:dyDescent="0.35">
      <c r="A1689" s="22"/>
      <c r="B1689" s="22" t="s">
        <v>2550</v>
      </c>
      <c r="C1689" s="26">
        <v>45899</v>
      </c>
      <c r="D1689" s="25" t="s">
        <v>3062</v>
      </c>
      <c r="E1689" s="25" t="s">
        <v>1426</v>
      </c>
      <c r="F1689" s="53" t="s">
        <v>3812</v>
      </c>
      <c r="H1689" s="28">
        <v>0</v>
      </c>
    </row>
    <row r="1690" spans="1:8" x14ac:dyDescent="0.35">
      <c r="A1690" s="22"/>
      <c r="B1690" s="22" t="s">
        <v>2550</v>
      </c>
      <c r="C1690" s="26">
        <v>45899</v>
      </c>
      <c r="D1690" s="25" t="s">
        <v>3063</v>
      </c>
      <c r="E1690" s="25" t="s">
        <v>1272</v>
      </c>
      <c r="F1690" s="53" t="s">
        <v>3812</v>
      </c>
      <c r="H1690" s="28">
        <v>0</v>
      </c>
    </row>
    <row r="1691" spans="1:8" x14ac:dyDescent="0.35">
      <c r="A1691" s="22"/>
      <c r="B1691" s="22" t="s">
        <v>2550</v>
      </c>
      <c r="C1691" s="26">
        <v>45899</v>
      </c>
      <c r="D1691" s="25" t="s">
        <v>3064</v>
      </c>
      <c r="E1691" s="25" t="s">
        <v>2480</v>
      </c>
      <c r="F1691" s="53" t="s">
        <v>3812</v>
      </c>
      <c r="H1691" s="28">
        <v>0</v>
      </c>
    </row>
    <row r="1692" spans="1:8" x14ac:dyDescent="0.35">
      <c r="A1692" s="22"/>
      <c r="B1692" s="22" t="s">
        <v>2550</v>
      </c>
      <c r="C1692" s="26">
        <v>45899</v>
      </c>
      <c r="D1692" s="25" t="s">
        <v>3065</v>
      </c>
      <c r="E1692" s="25" t="s">
        <v>3230</v>
      </c>
      <c r="F1692" s="53" t="s">
        <v>3812</v>
      </c>
      <c r="H1692" s="28">
        <v>0</v>
      </c>
    </row>
    <row r="1693" spans="1:8" x14ac:dyDescent="0.35">
      <c r="A1693" s="22"/>
      <c r="B1693" s="22" t="s">
        <v>2550</v>
      </c>
      <c r="C1693" s="26">
        <v>45899</v>
      </c>
      <c r="D1693" s="25" t="s">
        <v>3066</v>
      </c>
      <c r="E1693" s="25" t="s">
        <v>2631</v>
      </c>
      <c r="F1693" s="53" t="s">
        <v>3812</v>
      </c>
      <c r="H1693" s="28">
        <v>0</v>
      </c>
    </row>
    <row r="1694" spans="1:8" x14ac:dyDescent="0.35">
      <c r="A1694" s="22"/>
      <c r="B1694" s="22" t="s">
        <v>2550</v>
      </c>
      <c r="C1694" s="26">
        <v>45899</v>
      </c>
      <c r="D1694" s="25" t="s">
        <v>3067</v>
      </c>
      <c r="E1694" s="25" t="s">
        <v>2631</v>
      </c>
      <c r="F1694" s="53" t="s">
        <v>3812</v>
      </c>
      <c r="H1694" s="28">
        <v>0</v>
      </c>
    </row>
    <row r="1695" spans="1:8" x14ac:dyDescent="0.35">
      <c r="A1695" s="22"/>
      <c r="B1695" s="22" t="s">
        <v>2550</v>
      </c>
      <c r="C1695" s="26">
        <v>45899</v>
      </c>
      <c r="D1695" s="25" t="s">
        <v>3068</v>
      </c>
      <c r="E1695" s="25" t="s">
        <v>2631</v>
      </c>
      <c r="F1695" s="53" t="s">
        <v>3812</v>
      </c>
      <c r="H1695" s="28">
        <v>0</v>
      </c>
    </row>
    <row r="1696" spans="1:8" x14ac:dyDescent="0.35">
      <c r="A1696" s="22"/>
      <c r="B1696" s="22" t="s">
        <v>2550</v>
      </c>
      <c r="C1696" s="26">
        <v>45899</v>
      </c>
      <c r="D1696" s="25" t="s">
        <v>3069</v>
      </c>
      <c r="E1696" s="25" t="s">
        <v>2631</v>
      </c>
      <c r="F1696" s="53" t="s">
        <v>3812</v>
      </c>
      <c r="H1696" s="28">
        <v>0</v>
      </c>
    </row>
    <row r="1697" spans="1:8" x14ac:dyDescent="0.35">
      <c r="A1697" s="22"/>
      <c r="B1697" s="22" t="s">
        <v>2550</v>
      </c>
      <c r="C1697" s="26">
        <v>45899</v>
      </c>
      <c r="D1697" s="25" t="s">
        <v>3070</v>
      </c>
      <c r="E1697" s="25" t="s">
        <v>2631</v>
      </c>
      <c r="F1697" s="53" t="s">
        <v>3812</v>
      </c>
      <c r="H1697" s="28">
        <v>0</v>
      </c>
    </row>
    <row r="1698" spans="1:8" x14ac:dyDescent="0.35">
      <c r="A1698" s="22"/>
      <c r="B1698" s="22" t="s">
        <v>2550</v>
      </c>
      <c r="C1698" s="26">
        <v>45899</v>
      </c>
      <c r="D1698" s="25" t="s">
        <v>3071</v>
      </c>
      <c r="E1698" s="25" t="s">
        <v>2631</v>
      </c>
      <c r="F1698" s="53" t="s">
        <v>3812</v>
      </c>
      <c r="H1698" s="28">
        <v>0</v>
      </c>
    </row>
    <row r="1699" spans="1:8" x14ac:dyDescent="0.35">
      <c r="A1699" s="22"/>
      <c r="B1699" s="22" t="s">
        <v>2550</v>
      </c>
      <c r="C1699" s="26">
        <v>45899</v>
      </c>
      <c r="D1699" s="25" t="s">
        <v>3072</v>
      </c>
      <c r="E1699" s="25" t="s">
        <v>1379</v>
      </c>
      <c r="F1699" s="53" t="s">
        <v>3812</v>
      </c>
      <c r="H1699" s="28">
        <v>0</v>
      </c>
    </row>
    <row r="1700" spans="1:8" x14ac:dyDescent="0.35">
      <c r="A1700" s="22"/>
      <c r="B1700" s="22" t="s">
        <v>2550</v>
      </c>
      <c r="C1700" s="26">
        <v>45899</v>
      </c>
      <c r="D1700" s="25" t="s">
        <v>3073</v>
      </c>
      <c r="E1700" s="25" t="s">
        <v>1379</v>
      </c>
      <c r="F1700" s="53" t="s">
        <v>3812</v>
      </c>
      <c r="H1700" s="28">
        <v>0</v>
      </c>
    </row>
    <row r="1701" spans="1:8" x14ac:dyDescent="0.35">
      <c r="A1701" s="22"/>
      <c r="B1701" s="22" t="s">
        <v>2550</v>
      </c>
      <c r="C1701" s="26">
        <v>45899</v>
      </c>
      <c r="D1701" s="25" t="s">
        <v>3074</v>
      </c>
      <c r="E1701" s="25" t="s">
        <v>1379</v>
      </c>
      <c r="F1701" s="53" t="s">
        <v>3812</v>
      </c>
      <c r="H1701" s="28">
        <v>0</v>
      </c>
    </row>
    <row r="1702" spans="1:8" x14ac:dyDescent="0.35">
      <c r="A1702" s="22"/>
      <c r="B1702" s="22" t="s">
        <v>2550</v>
      </c>
      <c r="C1702" s="26">
        <v>45899</v>
      </c>
      <c r="D1702" s="25" t="s">
        <v>3075</v>
      </c>
      <c r="E1702" s="25" t="s">
        <v>1379</v>
      </c>
      <c r="F1702" s="53" t="s">
        <v>3812</v>
      </c>
      <c r="H1702" s="28">
        <v>0</v>
      </c>
    </row>
    <row r="1703" spans="1:8" x14ac:dyDescent="0.35">
      <c r="A1703" s="22"/>
      <c r="B1703" s="22" t="s">
        <v>2550</v>
      </c>
      <c r="C1703" s="26">
        <v>45899</v>
      </c>
      <c r="D1703" s="25" t="s">
        <v>3076</v>
      </c>
      <c r="E1703" s="25" t="s">
        <v>1379</v>
      </c>
      <c r="F1703" s="53" t="s">
        <v>3812</v>
      </c>
      <c r="H1703" s="28">
        <v>0</v>
      </c>
    </row>
    <row r="1704" spans="1:8" x14ac:dyDescent="0.35">
      <c r="A1704" s="22"/>
      <c r="B1704" s="22" t="s">
        <v>2550</v>
      </c>
      <c r="C1704" s="26">
        <v>45899</v>
      </c>
      <c r="D1704" s="25" t="s">
        <v>3077</v>
      </c>
      <c r="E1704" s="25" t="s">
        <v>1379</v>
      </c>
      <c r="F1704" s="53" t="s">
        <v>3812</v>
      </c>
      <c r="H1704" s="28">
        <v>0</v>
      </c>
    </row>
    <row r="1705" spans="1:8" x14ac:dyDescent="0.35">
      <c r="A1705" s="22"/>
      <c r="B1705" s="22" t="s">
        <v>2550</v>
      </c>
      <c r="C1705" s="26">
        <v>45899</v>
      </c>
      <c r="D1705" s="25" t="s">
        <v>3078</v>
      </c>
      <c r="E1705" s="25" t="s">
        <v>2212</v>
      </c>
      <c r="F1705" s="53" t="s">
        <v>3812</v>
      </c>
      <c r="H1705" s="28">
        <v>0</v>
      </c>
    </row>
    <row r="1706" spans="1:8" x14ac:dyDescent="0.35">
      <c r="A1706" s="22"/>
      <c r="B1706" s="22" t="s">
        <v>2550</v>
      </c>
      <c r="C1706" s="26">
        <v>45899</v>
      </c>
      <c r="D1706" s="25" t="s">
        <v>3079</v>
      </c>
      <c r="E1706" s="25" t="s">
        <v>3468</v>
      </c>
      <c r="F1706" s="53" t="s">
        <v>3812</v>
      </c>
      <c r="H1706" s="28">
        <v>0</v>
      </c>
    </row>
    <row r="1707" spans="1:8" x14ac:dyDescent="0.35">
      <c r="A1707" s="22"/>
      <c r="B1707" s="22" t="s">
        <v>2550</v>
      </c>
      <c r="C1707" s="26">
        <v>45899</v>
      </c>
      <c r="D1707" s="25" t="s">
        <v>3080</v>
      </c>
      <c r="E1707" s="25" t="s">
        <v>2541</v>
      </c>
      <c r="F1707" s="53" t="s">
        <v>3812</v>
      </c>
      <c r="H1707" s="28">
        <v>0</v>
      </c>
    </row>
    <row r="1708" spans="1:8" x14ac:dyDescent="0.35">
      <c r="A1708" s="22"/>
      <c r="B1708" s="22" t="s">
        <v>2550</v>
      </c>
      <c r="C1708" s="26">
        <v>45899</v>
      </c>
      <c r="D1708" s="25" t="s">
        <v>3081</v>
      </c>
      <c r="E1708" s="25" t="s">
        <v>2846</v>
      </c>
      <c r="F1708" s="53" t="s">
        <v>3812</v>
      </c>
      <c r="H1708" s="28">
        <v>0</v>
      </c>
    </row>
    <row r="1709" spans="1:8" x14ac:dyDescent="0.35">
      <c r="A1709" s="22"/>
      <c r="B1709" s="22" t="s">
        <v>2550</v>
      </c>
      <c r="C1709" s="26">
        <v>45899</v>
      </c>
      <c r="D1709" s="25" t="s">
        <v>3082</v>
      </c>
      <c r="E1709" s="25" t="s">
        <v>1358</v>
      </c>
      <c r="F1709" s="53" t="s">
        <v>3812</v>
      </c>
      <c r="H1709" s="28">
        <v>0</v>
      </c>
    </row>
    <row r="1710" spans="1:8" x14ac:dyDescent="0.35">
      <c r="A1710" s="22"/>
      <c r="B1710" s="22" t="s">
        <v>2550</v>
      </c>
      <c r="C1710" s="26">
        <v>45899</v>
      </c>
      <c r="D1710" s="25" t="s">
        <v>3083</v>
      </c>
      <c r="E1710" s="25" t="s">
        <v>3469</v>
      </c>
      <c r="F1710" s="53" t="s">
        <v>3812</v>
      </c>
      <c r="H1710" s="28">
        <v>0</v>
      </c>
    </row>
    <row r="1711" spans="1:8" x14ac:dyDescent="0.35">
      <c r="A1711" s="22"/>
      <c r="B1711" s="22" t="s">
        <v>2550</v>
      </c>
      <c r="C1711" s="26">
        <v>45899</v>
      </c>
      <c r="D1711" s="25" t="s">
        <v>3084</v>
      </c>
      <c r="E1711" s="25" t="s">
        <v>3469</v>
      </c>
      <c r="F1711" s="53" t="s">
        <v>3812</v>
      </c>
      <c r="H1711" s="28">
        <v>0</v>
      </c>
    </row>
    <row r="1712" spans="1:8" x14ac:dyDescent="0.35">
      <c r="A1712" s="22"/>
      <c r="B1712" s="22" t="s">
        <v>2550</v>
      </c>
      <c r="C1712" s="26">
        <v>45899</v>
      </c>
      <c r="D1712" s="25" t="s">
        <v>3085</v>
      </c>
      <c r="E1712" s="25" t="s">
        <v>3469</v>
      </c>
      <c r="F1712" s="53" t="s">
        <v>3812</v>
      </c>
      <c r="H1712" s="28">
        <v>0</v>
      </c>
    </row>
    <row r="1713" spans="1:8" x14ac:dyDescent="0.35">
      <c r="A1713" s="22"/>
      <c r="B1713" s="22" t="s">
        <v>2550</v>
      </c>
      <c r="C1713" s="26">
        <v>45899</v>
      </c>
      <c r="D1713" s="25" t="s">
        <v>3086</v>
      </c>
      <c r="E1713" s="25" t="s">
        <v>2520</v>
      </c>
      <c r="F1713" s="53" t="s">
        <v>3812</v>
      </c>
      <c r="H1713" s="28">
        <v>0</v>
      </c>
    </row>
    <row r="1714" spans="1:8" x14ac:dyDescent="0.35">
      <c r="A1714" s="22"/>
      <c r="B1714" s="22" t="s">
        <v>2550</v>
      </c>
      <c r="C1714" s="26">
        <v>45899</v>
      </c>
      <c r="D1714" s="25" t="s">
        <v>3087</v>
      </c>
      <c r="E1714" s="25" t="s">
        <v>3470</v>
      </c>
      <c r="F1714" s="53" t="s">
        <v>3812</v>
      </c>
      <c r="H1714" s="28">
        <v>0</v>
      </c>
    </row>
    <row r="1715" spans="1:8" x14ac:dyDescent="0.35">
      <c r="A1715" s="22"/>
      <c r="B1715" s="22" t="s">
        <v>2550</v>
      </c>
      <c r="C1715" s="26">
        <v>45899</v>
      </c>
      <c r="D1715" s="25" t="s">
        <v>3088</v>
      </c>
      <c r="E1715" s="25" t="s">
        <v>1639</v>
      </c>
      <c r="F1715" s="53" t="s">
        <v>3812</v>
      </c>
      <c r="H1715" s="28">
        <v>0</v>
      </c>
    </row>
    <row r="1716" spans="1:8" x14ac:dyDescent="0.35">
      <c r="A1716" s="22"/>
      <c r="B1716" s="22" t="s">
        <v>2550</v>
      </c>
      <c r="C1716" s="26">
        <v>45899</v>
      </c>
      <c r="D1716" s="25" t="s">
        <v>3089</v>
      </c>
      <c r="E1716" s="25" t="s">
        <v>1639</v>
      </c>
      <c r="F1716" s="53" t="s">
        <v>3812</v>
      </c>
      <c r="H1716" s="28">
        <v>0</v>
      </c>
    </row>
    <row r="1717" spans="1:8" x14ac:dyDescent="0.35">
      <c r="A1717" s="22"/>
      <c r="B1717" s="22" t="s">
        <v>2550</v>
      </c>
      <c r="C1717" s="26">
        <v>45899</v>
      </c>
      <c r="D1717" s="25" t="s">
        <v>3090</v>
      </c>
      <c r="E1717" s="25" t="s">
        <v>1639</v>
      </c>
      <c r="F1717" s="53" t="s">
        <v>3812</v>
      </c>
      <c r="H1717" s="28">
        <v>0</v>
      </c>
    </row>
    <row r="1718" spans="1:8" x14ac:dyDescent="0.35">
      <c r="A1718" s="22"/>
      <c r="B1718" s="22" t="s">
        <v>2550</v>
      </c>
      <c r="C1718" s="26">
        <v>45899</v>
      </c>
      <c r="D1718" s="25" t="s">
        <v>3091</v>
      </c>
      <c r="E1718" s="25" t="s">
        <v>1475</v>
      </c>
      <c r="F1718" s="53" t="s">
        <v>3812</v>
      </c>
      <c r="H1718" s="28">
        <v>0</v>
      </c>
    </row>
    <row r="1719" spans="1:8" x14ac:dyDescent="0.35">
      <c r="A1719" s="22"/>
      <c r="B1719" s="22" t="s">
        <v>2550</v>
      </c>
      <c r="C1719" s="26">
        <v>45899</v>
      </c>
      <c r="D1719" s="25" t="s">
        <v>3092</v>
      </c>
      <c r="E1719" s="25" t="s">
        <v>1999</v>
      </c>
      <c r="F1719" s="53" t="s">
        <v>3812</v>
      </c>
      <c r="H1719" s="28">
        <v>0</v>
      </c>
    </row>
    <row r="1720" spans="1:8" x14ac:dyDescent="0.35">
      <c r="A1720" s="22"/>
      <c r="B1720" s="22" t="s">
        <v>2550</v>
      </c>
      <c r="C1720" s="26">
        <v>45899</v>
      </c>
      <c r="D1720" s="25" t="s">
        <v>3094</v>
      </c>
      <c r="E1720" s="25" t="s">
        <v>1999</v>
      </c>
      <c r="F1720" s="53" t="s">
        <v>3812</v>
      </c>
      <c r="H1720" s="28">
        <v>0</v>
      </c>
    </row>
    <row r="1721" spans="1:8" x14ac:dyDescent="0.35">
      <c r="A1721" s="22"/>
      <c r="B1721" s="22" t="s">
        <v>2550</v>
      </c>
      <c r="C1721" s="26">
        <v>45899</v>
      </c>
      <c r="D1721" s="25" t="s">
        <v>3096</v>
      </c>
      <c r="E1721" s="25" t="s">
        <v>1999</v>
      </c>
      <c r="F1721" s="53" t="s">
        <v>3812</v>
      </c>
      <c r="H1721" s="28">
        <v>0</v>
      </c>
    </row>
    <row r="1722" spans="1:8" x14ac:dyDescent="0.35">
      <c r="A1722" s="22"/>
      <c r="B1722" s="22" t="s">
        <v>2550</v>
      </c>
      <c r="C1722" s="26">
        <v>45899</v>
      </c>
      <c r="D1722" s="25" t="s">
        <v>3097</v>
      </c>
      <c r="E1722" s="25" t="s">
        <v>1999</v>
      </c>
      <c r="F1722" s="53" t="s">
        <v>3812</v>
      </c>
      <c r="H1722" s="28">
        <v>0</v>
      </c>
    </row>
    <row r="1723" spans="1:8" x14ac:dyDescent="0.35">
      <c r="A1723" s="22"/>
      <c r="B1723" s="22" t="s">
        <v>2550</v>
      </c>
      <c r="C1723" s="26">
        <v>45899</v>
      </c>
      <c r="D1723" s="25" t="s">
        <v>3098</v>
      </c>
      <c r="E1723" s="25" t="s">
        <v>1999</v>
      </c>
      <c r="F1723" s="53" t="s">
        <v>3812</v>
      </c>
      <c r="H1723" s="28">
        <v>0</v>
      </c>
    </row>
    <row r="1724" spans="1:8" x14ac:dyDescent="0.35">
      <c r="A1724" s="22"/>
      <c r="B1724" s="22" t="s">
        <v>2550</v>
      </c>
      <c r="C1724" s="26">
        <v>45899</v>
      </c>
      <c r="D1724" s="25" t="s">
        <v>3099</v>
      </c>
      <c r="E1724" s="25" t="s">
        <v>2266</v>
      </c>
      <c r="F1724" s="53" t="s">
        <v>3812</v>
      </c>
      <c r="H1724" s="28">
        <v>0</v>
      </c>
    </row>
    <row r="1725" spans="1:8" x14ac:dyDescent="0.35">
      <c r="A1725" s="22"/>
      <c r="B1725" s="22" t="s">
        <v>2550</v>
      </c>
      <c r="C1725" s="26">
        <v>45899</v>
      </c>
      <c r="D1725" s="25" t="s">
        <v>3100</v>
      </c>
      <c r="E1725" s="25" t="s">
        <v>2266</v>
      </c>
      <c r="F1725" s="53" t="s">
        <v>3812</v>
      </c>
      <c r="H1725" s="28">
        <v>0</v>
      </c>
    </row>
    <row r="1726" spans="1:8" x14ac:dyDescent="0.35">
      <c r="A1726" s="22"/>
      <c r="B1726" s="22" t="s">
        <v>2550</v>
      </c>
      <c r="C1726" s="26">
        <v>45899</v>
      </c>
      <c r="D1726" s="25" t="s">
        <v>3101</v>
      </c>
      <c r="E1726" s="25" t="s">
        <v>2266</v>
      </c>
      <c r="F1726" s="53" t="s">
        <v>3812</v>
      </c>
      <c r="H1726" s="28">
        <v>0</v>
      </c>
    </row>
    <row r="1727" spans="1:8" x14ac:dyDescent="0.35">
      <c r="A1727" s="22"/>
      <c r="B1727" s="22" t="s">
        <v>2550</v>
      </c>
      <c r="C1727" s="26">
        <v>45899</v>
      </c>
      <c r="D1727" s="25" t="s">
        <v>3102</v>
      </c>
      <c r="E1727" s="25" t="s">
        <v>2677</v>
      </c>
      <c r="F1727" s="53" t="s">
        <v>3812</v>
      </c>
      <c r="H1727" s="28">
        <v>0</v>
      </c>
    </row>
    <row r="1728" spans="1:8" x14ac:dyDescent="0.35">
      <c r="A1728" s="22"/>
      <c r="B1728" s="22" t="s">
        <v>2550</v>
      </c>
      <c r="C1728" s="26">
        <v>45899</v>
      </c>
      <c r="D1728" s="25" t="s">
        <v>3103</v>
      </c>
      <c r="E1728" s="25" t="s">
        <v>2266</v>
      </c>
      <c r="F1728" s="53" t="s">
        <v>3812</v>
      </c>
      <c r="H1728" s="28">
        <v>1750.43</v>
      </c>
    </row>
    <row r="1729" spans="1:8" x14ac:dyDescent="0.35">
      <c r="A1729" s="22"/>
      <c r="B1729" s="22" t="s">
        <v>2550</v>
      </c>
      <c r="C1729" s="26">
        <v>45899</v>
      </c>
      <c r="D1729" s="25" t="s">
        <v>3104</v>
      </c>
      <c r="E1729" s="25" t="s">
        <v>2266</v>
      </c>
      <c r="F1729" s="53" t="s">
        <v>3812</v>
      </c>
      <c r="H1729" s="28">
        <v>0</v>
      </c>
    </row>
    <row r="1730" spans="1:8" x14ac:dyDescent="0.35">
      <c r="A1730" s="22"/>
      <c r="B1730" s="22" t="s">
        <v>2550</v>
      </c>
      <c r="C1730" s="26">
        <v>45899</v>
      </c>
      <c r="D1730" s="25" t="s">
        <v>3105</v>
      </c>
      <c r="E1730" s="25" t="s">
        <v>2266</v>
      </c>
      <c r="F1730" s="53" t="s">
        <v>3812</v>
      </c>
      <c r="H1730" s="28">
        <v>0</v>
      </c>
    </row>
    <row r="1731" spans="1:8" x14ac:dyDescent="0.35">
      <c r="A1731" s="22"/>
      <c r="B1731" s="22" t="s">
        <v>2550</v>
      </c>
      <c r="C1731" s="26">
        <v>45899</v>
      </c>
      <c r="D1731" s="25" t="s">
        <v>3106</v>
      </c>
      <c r="E1731" s="25" t="s">
        <v>1343</v>
      </c>
      <c r="F1731" s="53" t="s">
        <v>3812</v>
      </c>
      <c r="H1731" s="28">
        <v>0</v>
      </c>
    </row>
    <row r="1732" spans="1:8" x14ac:dyDescent="0.35">
      <c r="A1732" s="22"/>
      <c r="B1732" s="22" t="s">
        <v>2550</v>
      </c>
      <c r="C1732" s="26">
        <v>45899</v>
      </c>
      <c r="D1732" s="25" t="s">
        <v>3107</v>
      </c>
      <c r="E1732" s="25" t="s">
        <v>3472</v>
      </c>
      <c r="F1732" s="53" t="s">
        <v>3812</v>
      </c>
      <c r="H1732" s="28">
        <v>0</v>
      </c>
    </row>
    <row r="1733" spans="1:8" x14ac:dyDescent="0.35">
      <c r="A1733" s="22"/>
      <c r="B1733" s="22" t="s">
        <v>2550</v>
      </c>
      <c r="C1733" s="26">
        <v>45899</v>
      </c>
      <c r="D1733" s="25" t="s">
        <v>3108</v>
      </c>
      <c r="E1733" s="25" t="s">
        <v>3472</v>
      </c>
      <c r="F1733" s="53" t="s">
        <v>3812</v>
      </c>
      <c r="H1733" s="28">
        <v>0</v>
      </c>
    </row>
    <row r="1734" spans="1:8" x14ac:dyDescent="0.35">
      <c r="A1734" s="22"/>
      <c r="B1734" s="22" t="s">
        <v>2550</v>
      </c>
      <c r="C1734" s="26">
        <v>45899</v>
      </c>
      <c r="D1734" s="25" t="s">
        <v>3109</v>
      </c>
      <c r="E1734" s="25" t="s">
        <v>3472</v>
      </c>
      <c r="F1734" s="53" t="s">
        <v>3812</v>
      </c>
      <c r="H1734" s="28">
        <v>0</v>
      </c>
    </row>
    <row r="1735" spans="1:8" x14ac:dyDescent="0.35">
      <c r="A1735" s="22"/>
      <c r="B1735" s="22" t="s">
        <v>2550</v>
      </c>
      <c r="C1735" s="26">
        <v>45899</v>
      </c>
      <c r="D1735" s="25" t="s">
        <v>3110</v>
      </c>
      <c r="E1735" s="25" t="s">
        <v>1071</v>
      </c>
      <c r="F1735" s="53" t="s">
        <v>3812</v>
      </c>
      <c r="H1735" s="28">
        <v>0</v>
      </c>
    </row>
    <row r="1736" spans="1:8" x14ac:dyDescent="0.35">
      <c r="A1736" s="22"/>
      <c r="B1736" s="22" t="s">
        <v>2550</v>
      </c>
      <c r="C1736" s="26">
        <v>45899</v>
      </c>
      <c r="D1736" s="25" t="s">
        <v>3111</v>
      </c>
      <c r="E1736" s="25" t="s">
        <v>2396</v>
      </c>
      <c r="F1736" s="53" t="s">
        <v>3812</v>
      </c>
      <c r="H1736" s="28">
        <v>0</v>
      </c>
    </row>
    <row r="1737" spans="1:8" x14ac:dyDescent="0.35">
      <c r="A1737" s="22"/>
      <c r="B1737" s="22" t="s">
        <v>2550</v>
      </c>
      <c r="C1737" s="26">
        <v>45899</v>
      </c>
      <c r="D1737" s="25" t="s">
        <v>3112</v>
      </c>
      <c r="E1737" s="25" t="s">
        <v>989</v>
      </c>
      <c r="F1737" s="53" t="s">
        <v>3812</v>
      </c>
      <c r="H1737" s="28">
        <v>3097.55</v>
      </c>
    </row>
    <row r="1738" spans="1:8" x14ac:dyDescent="0.35">
      <c r="A1738" s="22"/>
      <c r="B1738" s="22" t="s">
        <v>2550</v>
      </c>
      <c r="C1738" s="26">
        <v>45899</v>
      </c>
      <c r="D1738" s="25" t="s">
        <v>3113</v>
      </c>
      <c r="E1738" s="25" t="s">
        <v>2429</v>
      </c>
      <c r="F1738" s="53" t="s">
        <v>3812</v>
      </c>
      <c r="H1738" s="28">
        <v>0</v>
      </c>
    </row>
    <row r="1739" spans="1:8" x14ac:dyDescent="0.35">
      <c r="A1739" s="22"/>
      <c r="B1739" s="22" t="s">
        <v>2550</v>
      </c>
      <c r="C1739" s="26">
        <v>45899</v>
      </c>
      <c r="D1739" s="25" t="s">
        <v>3114</v>
      </c>
      <c r="E1739" s="25" t="s">
        <v>2429</v>
      </c>
      <c r="F1739" s="53" t="s">
        <v>3812</v>
      </c>
      <c r="H1739" s="28">
        <v>0</v>
      </c>
    </row>
    <row r="1740" spans="1:8" x14ac:dyDescent="0.35">
      <c r="A1740" s="22"/>
      <c r="B1740" s="22" t="s">
        <v>2550</v>
      </c>
      <c r="C1740" s="26">
        <v>45899</v>
      </c>
      <c r="D1740" s="25" t="s">
        <v>3116</v>
      </c>
      <c r="E1740" s="25" t="s">
        <v>2429</v>
      </c>
      <c r="F1740" s="53" t="s">
        <v>3812</v>
      </c>
      <c r="H1740" s="28">
        <v>0</v>
      </c>
    </row>
    <row r="1741" spans="1:8" x14ac:dyDescent="0.35">
      <c r="A1741" s="22"/>
      <c r="B1741" s="22" t="s">
        <v>2550</v>
      </c>
      <c r="C1741" s="26">
        <v>45899</v>
      </c>
      <c r="D1741" s="25" t="s">
        <v>3117</v>
      </c>
      <c r="E1741" s="25" t="s">
        <v>2429</v>
      </c>
      <c r="F1741" s="53" t="s">
        <v>3812</v>
      </c>
      <c r="H1741" s="28">
        <v>0</v>
      </c>
    </row>
    <row r="1742" spans="1:8" x14ac:dyDescent="0.35">
      <c r="A1742" s="22"/>
      <c r="B1742" s="22" t="s">
        <v>2550</v>
      </c>
      <c r="C1742" s="26">
        <v>45899</v>
      </c>
      <c r="D1742" s="25" t="s">
        <v>3118</v>
      </c>
      <c r="E1742" s="25" t="s">
        <v>3473</v>
      </c>
      <c r="F1742" s="53" t="s">
        <v>3812</v>
      </c>
      <c r="H1742" s="28">
        <v>0</v>
      </c>
    </row>
    <row r="1743" spans="1:8" x14ac:dyDescent="0.35">
      <c r="A1743" s="22"/>
      <c r="B1743" s="22" t="s">
        <v>2550</v>
      </c>
      <c r="C1743" s="26">
        <v>45899</v>
      </c>
      <c r="D1743" s="25" t="s">
        <v>3119</v>
      </c>
      <c r="E1743" s="25" t="s">
        <v>3474</v>
      </c>
      <c r="F1743" s="53" t="s">
        <v>3812</v>
      </c>
      <c r="H1743" s="28">
        <v>0</v>
      </c>
    </row>
    <row r="1744" spans="1:8" x14ac:dyDescent="0.35">
      <c r="A1744" s="22"/>
      <c r="B1744" s="22" t="s">
        <v>2550</v>
      </c>
      <c r="C1744" s="26">
        <v>45899</v>
      </c>
      <c r="D1744" s="25" t="s">
        <v>3120</v>
      </c>
      <c r="E1744" s="25" t="s">
        <v>3474</v>
      </c>
      <c r="F1744" s="53" t="s">
        <v>3812</v>
      </c>
      <c r="H1744" s="28">
        <v>0</v>
      </c>
    </row>
    <row r="1745" spans="1:8" x14ac:dyDescent="0.35">
      <c r="A1745" s="22"/>
      <c r="B1745" s="22" t="s">
        <v>2550</v>
      </c>
      <c r="C1745" s="26">
        <v>45899</v>
      </c>
      <c r="D1745" s="25" t="s">
        <v>3121</v>
      </c>
      <c r="E1745" s="25" t="s">
        <v>3474</v>
      </c>
      <c r="F1745" s="53" t="s">
        <v>3812</v>
      </c>
      <c r="H1745" s="28">
        <v>0</v>
      </c>
    </row>
    <row r="1746" spans="1:8" x14ac:dyDescent="0.35">
      <c r="A1746" s="22"/>
      <c r="B1746" s="22" t="s">
        <v>2550</v>
      </c>
      <c r="C1746" s="26">
        <v>45899</v>
      </c>
      <c r="D1746" s="25" t="s">
        <v>3122</v>
      </c>
      <c r="E1746" s="25" t="s">
        <v>3474</v>
      </c>
      <c r="F1746" s="53" t="s">
        <v>3812</v>
      </c>
      <c r="H1746" s="28">
        <v>0</v>
      </c>
    </row>
    <row r="1747" spans="1:8" x14ac:dyDescent="0.35">
      <c r="A1747" s="22"/>
      <c r="B1747" s="22" t="s">
        <v>2550</v>
      </c>
      <c r="C1747" s="26">
        <v>45899</v>
      </c>
      <c r="D1747" s="25" t="s">
        <v>3123</v>
      </c>
      <c r="E1747" s="25" t="s">
        <v>3472</v>
      </c>
      <c r="F1747" s="53" t="s">
        <v>3812</v>
      </c>
      <c r="H1747" s="28">
        <v>0</v>
      </c>
    </row>
    <row r="1748" spans="1:8" x14ac:dyDescent="0.35">
      <c r="A1748" s="22"/>
      <c r="B1748" s="22" t="s">
        <v>2550</v>
      </c>
      <c r="C1748" s="26">
        <v>45899</v>
      </c>
      <c r="D1748" s="25" t="s">
        <v>3124</v>
      </c>
      <c r="E1748" s="25" t="s">
        <v>3472</v>
      </c>
      <c r="F1748" s="53" t="s">
        <v>3812</v>
      </c>
      <c r="H1748" s="28">
        <v>0</v>
      </c>
    </row>
    <row r="1749" spans="1:8" x14ac:dyDescent="0.35">
      <c r="A1749" s="22"/>
      <c r="B1749" s="22" t="s">
        <v>2550</v>
      </c>
      <c r="C1749" s="26">
        <v>45899</v>
      </c>
      <c r="D1749" s="25" t="s">
        <v>3125</v>
      </c>
      <c r="E1749" s="25" t="s">
        <v>3475</v>
      </c>
      <c r="F1749" s="53" t="s">
        <v>3812</v>
      </c>
      <c r="H1749" s="28">
        <v>622.25</v>
      </c>
    </row>
    <row r="1750" spans="1:8" x14ac:dyDescent="0.35">
      <c r="A1750" s="22"/>
      <c r="B1750" s="22" t="s">
        <v>2550</v>
      </c>
      <c r="C1750" s="26">
        <v>45899</v>
      </c>
      <c r="D1750" s="25" t="s">
        <v>3126</v>
      </c>
      <c r="E1750" s="25" t="s">
        <v>3475</v>
      </c>
      <c r="F1750" s="53" t="s">
        <v>3812</v>
      </c>
      <c r="H1750" s="28">
        <v>0</v>
      </c>
    </row>
    <row r="1751" spans="1:8" x14ac:dyDescent="0.35">
      <c r="A1751" s="22"/>
      <c r="B1751" s="22" t="s">
        <v>2550</v>
      </c>
      <c r="C1751" s="26">
        <v>45899</v>
      </c>
      <c r="D1751" s="25" t="s">
        <v>3127</v>
      </c>
      <c r="E1751" s="25" t="s">
        <v>1280</v>
      </c>
      <c r="F1751" s="53" t="s">
        <v>3812</v>
      </c>
      <c r="H1751" s="28">
        <v>0</v>
      </c>
    </row>
    <row r="1752" spans="1:8" x14ac:dyDescent="0.35">
      <c r="A1752" s="22"/>
      <c r="B1752" s="22" t="s">
        <v>2550</v>
      </c>
      <c r="C1752" s="26">
        <v>45899</v>
      </c>
      <c r="D1752" s="25" t="s">
        <v>3128</v>
      </c>
      <c r="E1752" s="25" t="s">
        <v>3476</v>
      </c>
      <c r="F1752" s="53" t="s">
        <v>3812</v>
      </c>
      <c r="H1752" s="28">
        <v>0</v>
      </c>
    </row>
    <row r="1753" spans="1:8" x14ac:dyDescent="0.35">
      <c r="A1753" s="22"/>
      <c r="B1753" s="22" t="s">
        <v>2550</v>
      </c>
      <c r="C1753" s="26">
        <v>45899</v>
      </c>
      <c r="D1753" s="25" t="s">
        <v>3129</v>
      </c>
      <c r="E1753" s="25" t="s">
        <v>1263</v>
      </c>
      <c r="F1753" s="53" t="s">
        <v>3812</v>
      </c>
      <c r="H1753" s="28">
        <v>0</v>
      </c>
    </row>
    <row r="1754" spans="1:8" x14ac:dyDescent="0.35">
      <c r="A1754" s="22"/>
      <c r="B1754" s="22" t="s">
        <v>2550</v>
      </c>
      <c r="C1754" s="26">
        <v>45899</v>
      </c>
      <c r="D1754" s="25" t="s">
        <v>3130</v>
      </c>
      <c r="E1754" s="25" t="s">
        <v>1263</v>
      </c>
      <c r="F1754" s="53" t="s">
        <v>3812</v>
      </c>
      <c r="H1754" s="28">
        <v>0</v>
      </c>
    </row>
    <row r="1755" spans="1:8" x14ac:dyDescent="0.35">
      <c r="A1755" s="22"/>
      <c r="B1755" s="22" t="s">
        <v>2550</v>
      </c>
      <c r="C1755" s="26">
        <v>45899</v>
      </c>
      <c r="D1755" s="25" t="s">
        <v>3131</v>
      </c>
      <c r="E1755" s="25" t="s">
        <v>1263</v>
      </c>
      <c r="F1755" s="53" t="s">
        <v>3812</v>
      </c>
      <c r="H1755" s="28">
        <v>0</v>
      </c>
    </row>
    <row r="1756" spans="1:8" x14ac:dyDescent="0.35">
      <c r="A1756" s="22"/>
      <c r="B1756" s="22" t="s">
        <v>2550</v>
      </c>
      <c r="C1756" s="26">
        <v>45899</v>
      </c>
      <c r="D1756" s="25" t="s">
        <v>3133</v>
      </c>
      <c r="E1756" s="25" t="s">
        <v>1263</v>
      </c>
      <c r="F1756" s="53" t="s">
        <v>3812</v>
      </c>
      <c r="H1756" s="28">
        <v>0</v>
      </c>
    </row>
    <row r="1757" spans="1:8" x14ac:dyDescent="0.35">
      <c r="A1757" s="22"/>
      <c r="B1757" s="22" t="s">
        <v>2550</v>
      </c>
      <c r="C1757" s="26">
        <v>45899</v>
      </c>
      <c r="D1757" s="25" t="s">
        <v>3134</v>
      </c>
      <c r="E1757" s="25" t="s">
        <v>1263</v>
      </c>
      <c r="F1757" s="53" t="s">
        <v>3812</v>
      </c>
      <c r="H1757" s="28">
        <v>0</v>
      </c>
    </row>
    <row r="1758" spans="1:8" x14ac:dyDescent="0.35">
      <c r="A1758" s="22"/>
      <c r="B1758" s="22" t="s">
        <v>2550</v>
      </c>
      <c r="C1758" s="26">
        <v>45899</v>
      </c>
      <c r="D1758" s="25" t="s">
        <v>3135</v>
      </c>
      <c r="E1758" s="25" t="s">
        <v>1263</v>
      </c>
      <c r="F1758" s="53" t="s">
        <v>3812</v>
      </c>
      <c r="H1758" s="28">
        <v>0</v>
      </c>
    </row>
    <row r="1759" spans="1:8" x14ac:dyDescent="0.35">
      <c r="A1759" s="22"/>
      <c r="B1759" s="22" t="s">
        <v>2550</v>
      </c>
      <c r="C1759" s="26">
        <v>45899</v>
      </c>
      <c r="D1759" s="25" t="s">
        <v>3136</v>
      </c>
      <c r="E1759" s="25" t="s">
        <v>1263</v>
      </c>
      <c r="F1759" s="53" t="s">
        <v>3812</v>
      </c>
      <c r="H1759" s="28">
        <v>0</v>
      </c>
    </row>
    <row r="1760" spans="1:8" x14ac:dyDescent="0.35">
      <c r="A1760" s="22"/>
      <c r="B1760" s="22" t="s">
        <v>2550</v>
      </c>
      <c r="C1760" s="26">
        <v>45899</v>
      </c>
      <c r="D1760" s="25" t="s">
        <v>3137</v>
      </c>
      <c r="E1760" s="25" t="s">
        <v>1263</v>
      </c>
      <c r="F1760" s="53" t="s">
        <v>3812</v>
      </c>
      <c r="H1760" s="28">
        <v>0</v>
      </c>
    </row>
    <row r="1761" spans="1:8" x14ac:dyDescent="0.35">
      <c r="A1761" s="22"/>
      <c r="B1761" s="22" t="s">
        <v>2550</v>
      </c>
      <c r="C1761" s="26">
        <v>45899</v>
      </c>
      <c r="D1761" s="25" t="s">
        <v>3138</v>
      </c>
      <c r="E1761" s="25" t="s">
        <v>1629</v>
      </c>
      <c r="F1761" s="53" t="s">
        <v>3812</v>
      </c>
      <c r="H1761" s="28">
        <v>0</v>
      </c>
    </row>
    <row r="1762" spans="1:8" x14ac:dyDescent="0.35">
      <c r="A1762" s="22"/>
      <c r="B1762" s="22" t="s">
        <v>2550</v>
      </c>
      <c r="C1762" s="26">
        <v>45899</v>
      </c>
      <c r="D1762" s="25" t="s">
        <v>3140</v>
      </c>
      <c r="E1762" s="25" t="s">
        <v>3477</v>
      </c>
      <c r="F1762" s="53" t="s">
        <v>3812</v>
      </c>
      <c r="H1762" s="28">
        <v>0</v>
      </c>
    </row>
    <row r="1763" spans="1:8" x14ac:dyDescent="0.35">
      <c r="A1763" s="22"/>
      <c r="B1763" s="22" t="s">
        <v>2550</v>
      </c>
      <c r="C1763" s="26">
        <v>45899</v>
      </c>
      <c r="D1763" s="25" t="s">
        <v>3141</v>
      </c>
      <c r="E1763" s="25" t="s">
        <v>2313</v>
      </c>
      <c r="F1763" s="53" t="s">
        <v>3812</v>
      </c>
      <c r="H1763" s="28">
        <v>0</v>
      </c>
    </row>
    <row r="1764" spans="1:8" x14ac:dyDescent="0.35">
      <c r="A1764" s="22"/>
      <c r="B1764" s="22" t="s">
        <v>2550</v>
      </c>
      <c r="C1764" s="26">
        <v>45899</v>
      </c>
      <c r="D1764" s="25" t="s">
        <v>3142</v>
      </c>
      <c r="E1764" s="25" t="s">
        <v>2313</v>
      </c>
      <c r="F1764" s="53" t="s">
        <v>3812</v>
      </c>
      <c r="H1764" s="28">
        <v>0</v>
      </c>
    </row>
    <row r="1765" spans="1:8" x14ac:dyDescent="0.35">
      <c r="A1765" s="22"/>
      <c r="B1765" s="22" t="s">
        <v>2550</v>
      </c>
      <c r="C1765" s="26">
        <v>45899</v>
      </c>
      <c r="D1765" s="25" t="s">
        <v>3143</v>
      </c>
      <c r="E1765" s="25" t="s">
        <v>2313</v>
      </c>
      <c r="F1765" s="53" t="s">
        <v>3812</v>
      </c>
      <c r="H1765" s="28">
        <v>0</v>
      </c>
    </row>
    <row r="1766" spans="1:8" x14ac:dyDescent="0.35">
      <c r="A1766" s="22"/>
      <c r="B1766" s="22" t="s">
        <v>2550</v>
      </c>
      <c r="C1766" s="26">
        <v>45899</v>
      </c>
      <c r="D1766" s="25" t="s">
        <v>3145</v>
      </c>
      <c r="E1766" s="25" t="s">
        <v>2313</v>
      </c>
      <c r="F1766" s="53" t="s">
        <v>3812</v>
      </c>
      <c r="H1766" s="28">
        <v>0</v>
      </c>
    </row>
    <row r="1767" spans="1:8" x14ac:dyDescent="0.35">
      <c r="A1767" s="22"/>
      <c r="B1767" s="22" t="s">
        <v>2550</v>
      </c>
      <c r="C1767" s="26">
        <v>45899</v>
      </c>
      <c r="D1767" s="25" t="s">
        <v>3147</v>
      </c>
      <c r="E1767" s="25" t="s">
        <v>2313</v>
      </c>
      <c r="F1767" s="53" t="s">
        <v>3812</v>
      </c>
      <c r="H1767" s="28">
        <v>0</v>
      </c>
    </row>
    <row r="1768" spans="1:8" x14ac:dyDescent="0.35">
      <c r="A1768" s="22"/>
      <c r="B1768" s="22" t="s">
        <v>2550</v>
      </c>
      <c r="C1768" s="26">
        <v>45899</v>
      </c>
      <c r="D1768" s="25" t="s">
        <v>3149</v>
      </c>
      <c r="E1768" s="25" t="s">
        <v>2313</v>
      </c>
      <c r="F1768" s="53" t="s">
        <v>3812</v>
      </c>
      <c r="H1768" s="28">
        <v>0</v>
      </c>
    </row>
    <row r="1769" spans="1:8" x14ac:dyDescent="0.35">
      <c r="A1769" s="22"/>
      <c r="B1769" s="22" t="s">
        <v>2550</v>
      </c>
      <c r="C1769" s="26">
        <v>45899</v>
      </c>
      <c r="D1769" s="25" t="s">
        <v>3151</v>
      </c>
      <c r="E1769" s="25" t="s">
        <v>2313</v>
      </c>
      <c r="F1769" s="53" t="s">
        <v>3812</v>
      </c>
      <c r="H1769" s="28">
        <v>0</v>
      </c>
    </row>
    <row r="1770" spans="1:8" x14ac:dyDescent="0.35">
      <c r="A1770" s="22"/>
      <c r="B1770" s="22" t="s">
        <v>2550</v>
      </c>
      <c r="C1770" s="26">
        <v>45899</v>
      </c>
      <c r="D1770" s="25" t="s">
        <v>3152</v>
      </c>
      <c r="E1770" s="25" t="s">
        <v>2313</v>
      </c>
      <c r="F1770" s="53" t="s">
        <v>3812</v>
      </c>
      <c r="H1770" s="28">
        <v>0</v>
      </c>
    </row>
    <row r="1771" spans="1:8" x14ac:dyDescent="0.35">
      <c r="A1771" s="22"/>
      <c r="B1771" s="22" t="s">
        <v>2550</v>
      </c>
      <c r="C1771" s="26">
        <v>45899</v>
      </c>
      <c r="D1771" s="25">
        <v>37789</v>
      </c>
      <c r="E1771" s="25" t="s">
        <v>301</v>
      </c>
      <c r="F1771" s="53" t="s">
        <v>3812</v>
      </c>
      <c r="H1771" s="28">
        <v>0</v>
      </c>
    </row>
    <row r="1772" spans="1:8" x14ac:dyDescent="0.35">
      <c r="A1772" s="22"/>
      <c r="B1772" s="22" t="s">
        <v>2550</v>
      </c>
      <c r="C1772" s="26">
        <v>45899</v>
      </c>
      <c r="D1772" s="25" t="s">
        <v>3155</v>
      </c>
      <c r="E1772" s="25" t="s">
        <v>3470</v>
      </c>
      <c r="F1772" s="53" t="s">
        <v>3812</v>
      </c>
      <c r="H1772" s="28">
        <v>0</v>
      </c>
    </row>
    <row r="1773" spans="1:8" x14ac:dyDescent="0.35">
      <c r="A1773" s="22"/>
      <c r="B1773" s="22" t="s">
        <v>2550</v>
      </c>
      <c r="C1773" s="26">
        <v>45899</v>
      </c>
      <c r="D1773" s="25" t="s">
        <v>3156</v>
      </c>
      <c r="E1773" s="25" t="s">
        <v>999</v>
      </c>
      <c r="F1773" s="53" t="s">
        <v>3812</v>
      </c>
      <c r="H1773" s="28">
        <v>0</v>
      </c>
    </row>
    <row r="1774" spans="1:8" x14ac:dyDescent="0.35">
      <c r="A1774" s="22"/>
      <c r="B1774" s="22" t="s">
        <v>2550</v>
      </c>
      <c r="C1774" s="26">
        <v>45899</v>
      </c>
      <c r="D1774" s="25" t="s">
        <v>3157</v>
      </c>
      <c r="E1774" s="25" t="s">
        <v>999</v>
      </c>
      <c r="F1774" s="53" t="s">
        <v>3812</v>
      </c>
      <c r="H1774" s="28">
        <v>0</v>
      </c>
    </row>
    <row r="1775" spans="1:8" x14ac:dyDescent="0.35">
      <c r="A1775" s="22"/>
      <c r="B1775" s="22" t="s">
        <v>2550</v>
      </c>
      <c r="C1775" s="26">
        <v>45899</v>
      </c>
      <c r="D1775" s="25" t="s">
        <v>3158</v>
      </c>
      <c r="E1775" s="25" t="s">
        <v>2449</v>
      </c>
      <c r="F1775" s="53" t="s">
        <v>3812</v>
      </c>
      <c r="H1775" s="28">
        <v>0</v>
      </c>
    </row>
    <row r="1776" spans="1:8" x14ac:dyDescent="0.35">
      <c r="A1776" s="22"/>
      <c r="B1776" s="22" t="s">
        <v>2550</v>
      </c>
      <c r="C1776" s="26">
        <v>45899</v>
      </c>
      <c r="D1776" s="25" t="s">
        <v>3159</v>
      </c>
      <c r="E1776" s="25" t="s">
        <v>2449</v>
      </c>
      <c r="F1776" s="53" t="s">
        <v>3812</v>
      </c>
      <c r="H1776" s="28">
        <v>0</v>
      </c>
    </row>
    <row r="1777" spans="1:8" x14ac:dyDescent="0.35">
      <c r="A1777" s="22"/>
      <c r="B1777" s="22" t="s">
        <v>2550</v>
      </c>
      <c r="C1777" s="26">
        <v>45899</v>
      </c>
      <c r="D1777" s="25" t="s">
        <v>3160</v>
      </c>
      <c r="E1777" s="25" t="s">
        <v>3478</v>
      </c>
      <c r="F1777" s="53" t="s">
        <v>3812</v>
      </c>
      <c r="H1777" s="28">
        <v>0</v>
      </c>
    </row>
    <row r="1778" spans="1:8" x14ac:dyDescent="0.35">
      <c r="A1778" s="22"/>
      <c r="B1778" s="22" t="s">
        <v>2550</v>
      </c>
      <c r="C1778" s="26">
        <v>45899</v>
      </c>
      <c r="D1778" s="25" t="s">
        <v>3161</v>
      </c>
      <c r="E1778" s="25" t="s">
        <v>3478</v>
      </c>
      <c r="F1778" s="53" t="s">
        <v>3812</v>
      </c>
      <c r="H1778" s="28">
        <v>0</v>
      </c>
    </row>
    <row r="1779" spans="1:8" x14ac:dyDescent="0.35">
      <c r="A1779" s="22"/>
      <c r="B1779" s="22" t="s">
        <v>2550</v>
      </c>
      <c r="C1779" s="26">
        <v>45899</v>
      </c>
      <c r="D1779" s="25" t="s">
        <v>3162</v>
      </c>
      <c r="E1779" s="25" t="s">
        <v>3478</v>
      </c>
      <c r="F1779" s="53" t="s">
        <v>3812</v>
      </c>
      <c r="H1779" s="28">
        <v>0</v>
      </c>
    </row>
    <row r="1780" spans="1:8" x14ac:dyDescent="0.35">
      <c r="A1780" s="22"/>
      <c r="B1780" s="22" t="s">
        <v>2550</v>
      </c>
      <c r="C1780" s="26">
        <v>45899</v>
      </c>
      <c r="D1780" s="25" t="s">
        <v>3163</v>
      </c>
      <c r="E1780" s="25" t="s">
        <v>3478</v>
      </c>
      <c r="F1780" s="53" t="s">
        <v>3812</v>
      </c>
      <c r="H1780" s="28">
        <v>0</v>
      </c>
    </row>
    <row r="1781" spans="1:8" x14ac:dyDescent="0.35">
      <c r="A1781" s="22"/>
      <c r="B1781" s="22" t="s">
        <v>2550</v>
      </c>
      <c r="C1781" s="26">
        <v>45899</v>
      </c>
      <c r="D1781" s="25" t="s">
        <v>3164</v>
      </c>
      <c r="E1781" s="25" t="s">
        <v>3478</v>
      </c>
      <c r="F1781" s="53" t="s">
        <v>3812</v>
      </c>
      <c r="H1781" s="28">
        <v>0</v>
      </c>
    </row>
    <row r="1782" spans="1:8" x14ac:dyDescent="0.35">
      <c r="A1782" s="22"/>
      <c r="B1782" s="22" t="s">
        <v>2550</v>
      </c>
      <c r="C1782" s="26">
        <v>45899</v>
      </c>
      <c r="D1782" s="25" t="s">
        <v>3165</v>
      </c>
      <c r="E1782" s="25" t="s">
        <v>2144</v>
      </c>
      <c r="F1782" s="53" t="s">
        <v>3812</v>
      </c>
      <c r="H1782" s="28">
        <v>0</v>
      </c>
    </row>
    <row r="1783" spans="1:8" x14ac:dyDescent="0.35">
      <c r="A1783" s="22"/>
      <c r="B1783" s="22" t="s">
        <v>2550</v>
      </c>
      <c r="C1783" s="26">
        <v>45899</v>
      </c>
      <c r="D1783" s="25" t="s">
        <v>3166</v>
      </c>
      <c r="E1783" s="25" t="s">
        <v>2205</v>
      </c>
      <c r="F1783" s="53" t="s">
        <v>3812</v>
      </c>
      <c r="H1783" s="28">
        <v>0</v>
      </c>
    </row>
    <row r="1784" spans="1:8" x14ac:dyDescent="0.35">
      <c r="A1784" s="22"/>
      <c r="B1784" s="22" t="s">
        <v>2550</v>
      </c>
      <c r="C1784" s="26">
        <v>45899</v>
      </c>
      <c r="D1784" s="25" t="s">
        <v>3167</v>
      </c>
      <c r="E1784" s="25" t="s">
        <v>2205</v>
      </c>
      <c r="F1784" s="53" t="s">
        <v>3812</v>
      </c>
      <c r="H1784" s="28">
        <v>0</v>
      </c>
    </row>
    <row r="1785" spans="1:8" x14ac:dyDescent="0.35">
      <c r="A1785" s="22"/>
      <c r="B1785" s="22" t="s">
        <v>2550</v>
      </c>
      <c r="C1785" s="26">
        <v>45899</v>
      </c>
      <c r="D1785" s="25" t="s">
        <v>3168</v>
      </c>
      <c r="E1785" s="25" t="s">
        <v>2205</v>
      </c>
      <c r="F1785" s="53" t="s">
        <v>3812</v>
      </c>
      <c r="H1785" s="28">
        <v>0</v>
      </c>
    </row>
    <row r="1786" spans="1:8" x14ac:dyDescent="0.35">
      <c r="A1786" s="22"/>
      <c r="B1786" s="22" t="s">
        <v>2550</v>
      </c>
      <c r="C1786" s="26">
        <v>45899</v>
      </c>
      <c r="D1786" s="25" t="s">
        <v>3169</v>
      </c>
      <c r="E1786" s="25" t="s">
        <v>2392</v>
      </c>
      <c r="F1786" s="53" t="s">
        <v>3812</v>
      </c>
      <c r="H1786" s="28">
        <v>0</v>
      </c>
    </row>
    <row r="1787" spans="1:8" x14ac:dyDescent="0.35">
      <c r="A1787" s="22"/>
      <c r="B1787" s="22" t="s">
        <v>2550</v>
      </c>
      <c r="C1787" s="26">
        <v>45899</v>
      </c>
      <c r="D1787" s="25" t="s">
        <v>3170</v>
      </c>
      <c r="E1787" s="25" t="s">
        <v>2392</v>
      </c>
      <c r="F1787" s="53" t="s">
        <v>3812</v>
      </c>
      <c r="H1787" s="28">
        <v>0</v>
      </c>
    </row>
    <row r="1788" spans="1:8" x14ac:dyDescent="0.35">
      <c r="A1788" s="22"/>
      <c r="B1788" s="22" t="s">
        <v>2550</v>
      </c>
      <c r="C1788" s="26">
        <v>45899</v>
      </c>
      <c r="D1788" s="25" t="s">
        <v>3171</v>
      </c>
      <c r="E1788" s="25" t="s">
        <v>2392</v>
      </c>
      <c r="F1788" s="53" t="s">
        <v>3812</v>
      </c>
      <c r="H1788" s="28">
        <v>0</v>
      </c>
    </row>
    <row r="1789" spans="1:8" x14ac:dyDescent="0.35">
      <c r="A1789" s="22"/>
      <c r="B1789" s="22" t="s">
        <v>2550</v>
      </c>
      <c r="C1789" s="26">
        <v>45899</v>
      </c>
      <c r="D1789" s="25" t="s">
        <v>3172</v>
      </c>
      <c r="E1789" s="25" t="s">
        <v>2392</v>
      </c>
      <c r="F1789" s="53" t="s">
        <v>3812</v>
      </c>
      <c r="H1789" s="28">
        <v>0</v>
      </c>
    </row>
    <row r="1790" spans="1:8" x14ac:dyDescent="0.35">
      <c r="A1790" s="22"/>
      <c r="B1790" s="22" t="s">
        <v>2550</v>
      </c>
      <c r="C1790" s="26">
        <v>45899</v>
      </c>
      <c r="D1790" s="25" t="s">
        <v>3173</v>
      </c>
      <c r="E1790" s="25" t="s">
        <v>2392</v>
      </c>
      <c r="F1790" s="53" t="s">
        <v>3812</v>
      </c>
      <c r="H1790" s="28">
        <v>0</v>
      </c>
    </row>
    <row r="1791" spans="1:8" x14ac:dyDescent="0.35">
      <c r="A1791" s="22"/>
      <c r="B1791" s="22" t="s">
        <v>2550</v>
      </c>
      <c r="C1791" s="26">
        <v>45899</v>
      </c>
      <c r="D1791" s="25" t="s">
        <v>3174</v>
      </c>
      <c r="E1791" s="25" t="s">
        <v>2392</v>
      </c>
      <c r="F1791" s="53" t="s">
        <v>3812</v>
      </c>
      <c r="H1791" s="28">
        <v>0</v>
      </c>
    </row>
    <row r="1792" spans="1:8" x14ac:dyDescent="0.35">
      <c r="A1792" s="22"/>
      <c r="B1792" s="22" t="s">
        <v>2550</v>
      </c>
      <c r="C1792" s="26">
        <v>45899</v>
      </c>
      <c r="D1792" s="25" t="s">
        <v>3175</v>
      </c>
      <c r="E1792" s="25" t="s">
        <v>2392</v>
      </c>
      <c r="F1792" s="53" t="s">
        <v>3812</v>
      </c>
      <c r="H1792" s="28">
        <v>0</v>
      </c>
    </row>
    <row r="1793" spans="1:8" x14ac:dyDescent="0.35">
      <c r="A1793" s="22"/>
      <c r="B1793" s="22" t="s">
        <v>2550</v>
      </c>
      <c r="C1793" s="26">
        <v>45899</v>
      </c>
      <c r="D1793" s="25" t="s">
        <v>3176</v>
      </c>
      <c r="E1793" s="25" t="s">
        <v>2437</v>
      </c>
      <c r="F1793" s="53" t="s">
        <v>3812</v>
      </c>
      <c r="H1793" s="28">
        <v>0</v>
      </c>
    </row>
    <row r="1794" spans="1:8" x14ac:dyDescent="0.35">
      <c r="A1794" s="22"/>
      <c r="B1794" s="22" t="s">
        <v>2550</v>
      </c>
      <c r="C1794" s="26">
        <v>45899</v>
      </c>
      <c r="D1794" s="25" t="s">
        <v>3177</v>
      </c>
      <c r="E1794" s="25" t="s">
        <v>3479</v>
      </c>
      <c r="F1794" s="53" t="s">
        <v>3812</v>
      </c>
      <c r="H1794" s="28">
        <v>351.49</v>
      </c>
    </row>
    <row r="1795" spans="1:8" x14ac:dyDescent="0.35">
      <c r="A1795" s="22"/>
      <c r="B1795" s="22" t="s">
        <v>2550</v>
      </c>
      <c r="C1795" s="26">
        <v>45899</v>
      </c>
      <c r="D1795" s="25" t="s">
        <v>3178</v>
      </c>
      <c r="E1795" s="25" t="s">
        <v>3480</v>
      </c>
      <c r="F1795" s="53" t="s">
        <v>3812</v>
      </c>
      <c r="H1795" s="28">
        <v>0</v>
      </c>
    </row>
    <row r="1796" spans="1:8" x14ac:dyDescent="0.35">
      <c r="A1796" s="22"/>
      <c r="B1796" s="22" t="s">
        <v>2550</v>
      </c>
      <c r="C1796" s="26">
        <v>45899</v>
      </c>
      <c r="D1796" s="25" t="s">
        <v>3179</v>
      </c>
      <c r="E1796" s="25" t="s">
        <v>2437</v>
      </c>
      <c r="F1796" s="53" t="s">
        <v>3812</v>
      </c>
      <c r="H1796" s="28">
        <v>0</v>
      </c>
    </row>
    <row r="1797" spans="1:8" x14ac:dyDescent="0.35">
      <c r="A1797" s="22"/>
      <c r="B1797" s="22" t="s">
        <v>2550</v>
      </c>
      <c r="C1797" s="26">
        <v>45899</v>
      </c>
      <c r="D1797" s="25" t="s">
        <v>3180</v>
      </c>
      <c r="E1797" s="25" t="s">
        <v>2437</v>
      </c>
      <c r="F1797" s="53" t="s">
        <v>3812</v>
      </c>
      <c r="H1797" s="28">
        <v>0</v>
      </c>
    </row>
    <row r="1798" spans="1:8" x14ac:dyDescent="0.35">
      <c r="A1798" s="22"/>
      <c r="B1798" s="22" t="s">
        <v>2550</v>
      </c>
      <c r="C1798" s="26">
        <v>45899</v>
      </c>
      <c r="D1798" s="25" t="s">
        <v>3181</v>
      </c>
      <c r="E1798" s="25" t="s">
        <v>2437</v>
      </c>
      <c r="F1798" s="53" t="s">
        <v>3812</v>
      </c>
      <c r="H1798" s="28">
        <v>0</v>
      </c>
    </row>
    <row r="1799" spans="1:8" x14ac:dyDescent="0.35">
      <c r="A1799" s="22"/>
      <c r="B1799" s="22" t="s">
        <v>2550</v>
      </c>
      <c r="C1799" s="26">
        <v>45899</v>
      </c>
      <c r="D1799" s="25" t="s">
        <v>3182</v>
      </c>
      <c r="E1799" s="25" t="s">
        <v>1608</v>
      </c>
      <c r="F1799" s="53" t="s">
        <v>3812</v>
      </c>
      <c r="H1799" s="28">
        <v>0</v>
      </c>
    </row>
    <row r="1800" spans="1:8" x14ac:dyDescent="0.35">
      <c r="A1800" s="22"/>
      <c r="B1800" s="22" t="s">
        <v>2550</v>
      </c>
      <c r="C1800" s="26">
        <v>45899</v>
      </c>
      <c r="D1800" s="25" t="s">
        <v>3183</v>
      </c>
      <c r="E1800" s="25" t="s">
        <v>1608</v>
      </c>
      <c r="F1800" s="53" t="s">
        <v>3812</v>
      </c>
      <c r="H1800" s="28">
        <v>0</v>
      </c>
    </row>
    <row r="1801" spans="1:8" x14ac:dyDescent="0.35">
      <c r="A1801" s="22"/>
      <c r="B1801" s="22" t="s">
        <v>2550</v>
      </c>
      <c r="C1801" s="26">
        <v>45899</v>
      </c>
      <c r="D1801" s="25" t="s">
        <v>3184</v>
      </c>
      <c r="E1801" s="25" t="s">
        <v>1608</v>
      </c>
      <c r="F1801" s="53" t="s">
        <v>3812</v>
      </c>
      <c r="H1801" s="28">
        <v>0</v>
      </c>
    </row>
    <row r="1802" spans="1:8" x14ac:dyDescent="0.35">
      <c r="A1802" s="22"/>
      <c r="B1802" s="22" t="s">
        <v>2550</v>
      </c>
      <c r="C1802" s="26">
        <v>45899</v>
      </c>
      <c r="D1802" s="25" t="s">
        <v>3185</v>
      </c>
      <c r="E1802" s="25" t="s">
        <v>3481</v>
      </c>
      <c r="F1802" s="53" t="s">
        <v>3812</v>
      </c>
      <c r="H1802" s="28">
        <v>0</v>
      </c>
    </row>
    <row r="1803" spans="1:8" x14ac:dyDescent="0.35">
      <c r="A1803" s="22"/>
      <c r="B1803" s="22" t="s">
        <v>2550</v>
      </c>
      <c r="C1803" s="26">
        <v>45899</v>
      </c>
      <c r="D1803" s="25" t="s">
        <v>3186</v>
      </c>
      <c r="E1803" s="25" t="s">
        <v>3481</v>
      </c>
      <c r="F1803" s="53" t="s">
        <v>3812</v>
      </c>
      <c r="H1803" s="28">
        <v>0</v>
      </c>
    </row>
    <row r="1804" spans="1:8" x14ac:dyDescent="0.35">
      <c r="A1804" s="22"/>
      <c r="B1804" s="22" t="s">
        <v>2550</v>
      </c>
      <c r="C1804" s="26">
        <v>45899</v>
      </c>
      <c r="D1804" s="25" t="s">
        <v>3187</v>
      </c>
      <c r="E1804" s="25" t="s">
        <v>3481</v>
      </c>
      <c r="F1804" s="53" t="s">
        <v>3812</v>
      </c>
      <c r="H1804" s="28">
        <v>0</v>
      </c>
    </row>
    <row r="1805" spans="1:8" x14ac:dyDescent="0.35">
      <c r="A1805" s="22"/>
      <c r="B1805" s="22" t="s">
        <v>2550</v>
      </c>
      <c r="C1805" s="26">
        <v>45899</v>
      </c>
      <c r="D1805" s="25" t="s">
        <v>3188</v>
      </c>
      <c r="E1805" s="25" t="s">
        <v>3482</v>
      </c>
      <c r="F1805" s="53" t="s">
        <v>3812</v>
      </c>
      <c r="H1805" s="28">
        <v>0</v>
      </c>
    </row>
    <row r="1806" spans="1:8" x14ac:dyDescent="0.35">
      <c r="A1806" s="22"/>
      <c r="B1806" s="22" t="s">
        <v>2550</v>
      </c>
      <c r="C1806" s="26">
        <v>45899</v>
      </c>
      <c r="D1806" s="25">
        <v>38034</v>
      </c>
      <c r="E1806" s="25" t="s">
        <v>3483</v>
      </c>
      <c r="F1806" s="53" t="s">
        <v>3812</v>
      </c>
      <c r="H1806" s="28">
        <v>2645</v>
      </c>
    </row>
    <row r="1807" spans="1:8" x14ac:dyDescent="0.35">
      <c r="A1807" s="22"/>
      <c r="B1807" s="22" t="s">
        <v>2550</v>
      </c>
      <c r="C1807" s="26">
        <v>45899</v>
      </c>
      <c r="D1807" s="25" t="s">
        <v>3189</v>
      </c>
      <c r="E1807" s="25" t="s">
        <v>3479</v>
      </c>
      <c r="F1807" s="53" t="s">
        <v>3812</v>
      </c>
      <c r="H1807" s="28">
        <v>0</v>
      </c>
    </row>
    <row r="1808" spans="1:8" x14ac:dyDescent="0.35">
      <c r="A1808" s="22"/>
      <c r="B1808" s="22" t="s">
        <v>2550</v>
      </c>
      <c r="C1808" s="26">
        <v>45899</v>
      </c>
      <c r="D1808" s="25" t="s">
        <v>3190</v>
      </c>
      <c r="E1808" s="25" t="s">
        <v>2629</v>
      </c>
      <c r="F1808" s="53" t="s">
        <v>3812</v>
      </c>
      <c r="H1808" s="28">
        <v>0</v>
      </c>
    </row>
    <row r="1809" spans="1:8" x14ac:dyDescent="0.35">
      <c r="A1809" s="22"/>
      <c r="B1809" s="22" t="s">
        <v>2550</v>
      </c>
      <c r="C1809" s="26">
        <v>45899</v>
      </c>
      <c r="D1809" s="25" t="s">
        <v>3191</v>
      </c>
      <c r="E1809" s="25" t="s">
        <v>2629</v>
      </c>
      <c r="F1809" s="53" t="s">
        <v>3812</v>
      </c>
      <c r="H1809" s="28">
        <v>0</v>
      </c>
    </row>
    <row r="1810" spans="1:8" x14ac:dyDescent="0.35">
      <c r="A1810" s="22"/>
      <c r="B1810" s="22" t="s">
        <v>2550</v>
      </c>
      <c r="C1810" s="26">
        <v>45899</v>
      </c>
      <c r="D1810" s="25" t="s">
        <v>3192</v>
      </c>
      <c r="E1810" s="25" t="s">
        <v>2429</v>
      </c>
      <c r="F1810" s="53" t="s">
        <v>3812</v>
      </c>
      <c r="H1810" s="28">
        <v>0</v>
      </c>
    </row>
    <row r="1811" spans="1:8" x14ac:dyDescent="0.35">
      <c r="A1811" s="22"/>
      <c r="B1811" s="22" t="s">
        <v>2550</v>
      </c>
      <c r="C1811" s="26">
        <v>45899</v>
      </c>
      <c r="D1811" s="25" t="s">
        <v>3193</v>
      </c>
      <c r="E1811" s="25" t="s">
        <v>2429</v>
      </c>
      <c r="F1811" s="53" t="s">
        <v>3812</v>
      </c>
      <c r="H1811" s="28">
        <v>0</v>
      </c>
    </row>
    <row r="1812" spans="1:8" x14ac:dyDescent="0.35">
      <c r="A1812" s="22"/>
      <c r="B1812" s="22" t="s">
        <v>2550</v>
      </c>
      <c r="C1812" s="26">
        <v>45899</v>
      </c>
      <c r="D1812" s="25">
        <v>38051</v>
      </c>
      <c r="E1812" s="25" t="s">
        <v>3470</v>
      </c>
      <c r="F1812" s="53" t="s">
        <v>3812</v>
      </c>
      <c r="H1812" s="28">
        <v>54331.65</v>
      </c>
    </row>
    <row r="1813" spans="1:8" x14ac:dyDescent="0.35">
      <c r="A1813" s="22"/>
      <c r="B1813" s="22" t="s">
        <v>2550</v>
      </c>
      <c r="C1813" s="26">
        <v>45899</v>
      </c>
      <c r="D1813" s="25" t="s">
        <v>3194</v>
      </c>
      <c r="E1813" s="25" t="s">
        <v>1695</v>
      </c>
      <c r="F1813" s="53" t="s">
        <v>3812</v>
      </c>
      <c r="H1813" s="28">
        <v>0</v>
      </c>
    </row>
    <row r="1814" spans="1:8" x14ac:dyDescent="0.35">
      <c r="A1814" s="22"/>
      <c r="B1814" s="22" t="s">
        <v>2550</v>
      </c>
      <c r="C1814" s="26">
        <v>45899</v>
      </c>
      <c r="D1814" s="25" t="s">
        <v>3195</v>
      </c>
      <c r="E1814" s="25" t="s">
        <v>1695</v>
      </c>
      <c r="F1814" s="53" t="s">
        <v>3812</v>
      </c>
      <c r="H1814" s="28">
        <v>0</v>
      </c>
    </row>
    <row r="1815" spans="1:8" x14ac:dyDescent="0.35">
      <c r="A1815" s="22"/>
      <c r="B1815" s="22" t="s">
        <v>2550</v>
      </c>
      <c r="C1815" s="26">
        <v>45899</v>
      </c>
      <c r="D1815" s="25" t="s">
        <v>3196</v>
      </c>
      <c r="E1815" s="25" t="s">
        <v>1695</v>
      </c>
      <c r="F1815" s="53" t="s">
        <v>3812</v>
      </c>
      <c r="H1815" s="28">
        <v>0</v>
      </c>
    </row>
    <row r="1816" spans="1:8" x14ac:dyDescent="0.35">
      <c r="A1816" s="22"/>
      <c r="B1816" s="22" t="s">
        <v>2550</v>
      </c>
      <c r="C1816" s="26">
        <v>45899</v>
      </c>
      <c r="D1816" s="25" t="s">
        <v>3197</v>
      </c>
      <c r="E1816" s="25" t="s">
        <v>1695</v>
      </c>
      <c r="F1816" s="53" t="s">
        <v>3812</v>
      </c>
      <c r="H1816" s="28">
        <v>0</v>
      </c>
    </row>
    <row r="1817" spans="1:8" x14ac:dyDescent="0.35">
      <c r="A1817" s="22"/>
      <c r="B1817" s="22" t="s">
        <v>2550</v>
      </c>
      <c r="C1817" s="26">
        <v>45899</v>
      </c>
      <c r="D1817" s="25" t="s">
        <v>3198</v>
      </c>
      <c r="E1817" s="25" t="s">
        <v>3484</v>
      </c>
      <c r="F1817" s="53" t="s">
        <v>3812</v>
      </c>
      <c r="H1817" s="28">
        <v>0</v>
      </c>
    </row>
    <row r="1818" spans="1:8" x14ac:dyDescent="0.35">
      <c r="A1818" s="22"/>
      <c r="B1818" s="22" t="s">
        <v>2550</v>
      </c>
      <c r="C1818" s="26">
        <v>45899</v>
      </c>
      <c r="D1818" s="25" t="s">
        <v>3199</v>
      </c>
      <c r="E1818" s="25" t="s">
        <v>3484</v>
      </c>
      <c r="F1818" s="53" t="s">
        <v>3812</v>
      </c>
      <c r="H1818" s="28">
        <v>0</v>
      </c>
    </row>
    <row r="1819" spans="1:8" x14ac:dyDescent="0.35">
      <c r="A1819" s="22"/>
      <c r="B1819" s="22" t="s">
        <v>2550</v>
      </c>
      <c r="C1819" s="26">
        <v>45899</v>
      </c>
      <c r="D1819" s="25" t="s">
        <v>3200</v>
      </c>
      <c r="E1819" s="25" t="s">
        <v>3485</v>
      </c>
      <c r="F1819" s="53" t="s">
        <v>3812</v>
      </c>
      <c r="H1819" s="28">
        <v>0</v>
      </c>
    </row>
    <row r="1820" spans="1:8" x14ac:dyDescent="0.35">
      <c r="A1820" s="22"/>
      <c r="B1820" s="22" t="s">
        <v>2550</v>
      </c>
      <c r="C1820" s="26">
        <v>45899</v>
      </c>
      <c r="D1820" s="25" t="s">
        <v>3201</v>
      </c>
      <c r="E1820" s="25" t="s">
        <v>2212</v>
      </c>
      <c r="F1820" s="53" t="s">
        <v>3812</v>
      </c>
      <c r="H1820" s="28">
        <v>0</v>
      </c>
    </row>
    <row r="1821" spans="1:8" x14ac:dyDescent="0.35">
      <c r="A1821" s="22"/>
      <c r="B1821" s="22" t="s">
        <v>2550</v>
      </c>
      <c r="C1821" s="26">
        <v>45899</v>
      </c>
      <c r="D1821" s="25" t="s">
        <v>3202</v>
      </c>
      <c r="E1821" s="25" t="s">
        <v>3486</v>
      </c>
      <c r="F1821" s="53" t="s">
        <v>3812</v>
      </c>
      <c r="H1821" s="28">
        <v>0</v>
      </c>
    </row>
    <row r="1822" spans="1:8" x14ac:dyDescent="0.35">
      <c r="A1822" s="22"/>
      <c r="B1822" s="22" t="s">
        <v>2550</v>
      </c>
      <c r="C1822" s="26">
        <v>45899</v>
      </c>
      <c r="D1822" s="25" t="s">
        <v>3203</v>
      </c>
      <c r="E1822" s="25" t="s">
        <v>3486</v>
      </c>
      <c r="F1822" s="53" t="s">
        <v>3812</v>
      </c>
      <c r="H1822" s="28">
        <v>0</v>
      </c>
    </row>
    <row r="1823" spans="1:8" x14ac:dyDescent="0.35">
      <c r="A1823" s="22"/>
      <c r="B1823" s="22" t="s">
        <v>2550</v>
      </c>
      <c r="C1823" s="26">
        <v>45899</v>
      </c>
      <c r="D1823" s="25" t="s">
        <v>3204</v>
      </c>
      <c r="E1823" s="25" t="s">
        <v>3486</v>
      </c>
      <c r="F1823" s="53" t="s">
        <v>3812</v>
      </c>
      <c r="H1823" s="28">
        <v>0</v>
      </c>
    </row>
    <row r="1824" spans="1:8" x14ac:dyDescent="0.35">
      <c r="A1824" s="22"/>
      <c r="B1824" s="22" t="s">
        <v>2550</v>
      </c>
      <c r="C1824" s="26">
        <v>45899</v>
      </c>
      <c r="D1824" s="25" t="s">
        <v>3205</v>
      </c>
      <c r="E1824" s="25" t="s">
        <v>3486</v>
      </c>
      <c r="F1824" s="53" t="s">
        <v>3812</v>
      </c>
      <c r="H1824" s="28">
        <v>0</v>
      </c>
    </row>
    <row r="1825" spans="1:8" x14ac:dyDescent="0.35">
      <c r="A1825" s="22"/>
      <c r="B1825" s="22" t="s">
        <v>2550</v>
      </c>
      <c r="C1825" s="26">
        <v>45899</v>
      </c>
      <c r="D1825" s="25" t="s">
        <v>3206</v>
      </c>
      <c r="E1825" s="25" t="s">
        <v>3486</v>
      </c>
      <c r="F1825" s="53" t="s">
        <v>3812</v>
      </c>
      <c r="H1825" s="28">
        <v>0</v>
      </c>
    </row>
    <row r="1826" spans="1:8" x14ac:dyDescent="0.35">
      <c r="A1826" s="22"/>
      <c r="B1826" s="22" t="s">
        <v>2550</v>
      </c>
      <c r="C1826" s="26">
        <v>45899</v>
      </c>
      <c r="D1826" s="25" t="s">
        <v>3207</v>
      </c>
      <c r="E1826" s="25" t="s">
        <v>3486</v>
      </c>
      <c r="F1826" s="53" t="s">
        <v>3812</v>
      </c>
      <c r="H1826" s="28">
        <v>0</v>
      </c>
    </row>
    <row r="1827" spans="1:8" x14ac:dyDescent="0.35">
      <c r="A1827" s="22"/>
      <c r="B1827" s="22" t="s">
        <v>2550</v>
      </c>
      <c r="C1827" s="26">
        <v>45899</v>
      </c>
      <c r="D1827" s="25" t="s">
        <v>3208</v>
      </c>
      <c r="E1827" s="25" t="s">
        <v>3486</v>
      </c>
      <c r="F1827" s="53" t="s">
        <v>3812</v>
      </c>
      <c r="H1827" s="28">
        <v>0</v>
      </c>
    </row>
    <row r="1828" spans="1:8" x14ac:dyDescent="0.35">
      <c r="A1828" s="22"/>
      <c r="B1828" s="22" t="s">
        <v>2550</v>
      </c>
      <c r="C1828" s="26">
        <v>45899</v>
      </c>
      <c r="D1828" s="25" t="s">
        <v>3209</v>
      </c>
      <c r="E1828" s="25" t="s">
        <v>3486</v>
      </c>
      <c r="F1828" s="53" t="s">
        <v>3812</v>
      </c>
      <c r="H1828" s="28">
        <v>0</v>
      </c>
    </row>
    <row r="1829" spans="1:8" x14ac:dyDescent="0.35">
      <c r="A1829" s="22"/>
      <c r="B1829" s="22" t="s">
        <v>2550</v>
      </c>
      <c r="C1829" s="26">
        <v>45899</v>
      </c>
      <c r="D1829" s="25" t="s">
        <v>3210</v>
      </c>
      <c r="E1829" s="25" t="s">
        <v>3486</v>
      </c>
      <c r="F1829" s="53" t="s">
        <v>3812</v>
      </c>
      <c r="H1829" s="28">
        <v>0</v>
      </c>
    </row>
    <row r="1830" spans="1:8" x14ac:dyDescent="0.35">
      <c r="A1830" s="22"/>
      <c r="B1830" s="22" t="s">
        <v>2550</v>
      </c>
      <c r="C1830" s="26">
        <v>45899</v>
      </c>
      <c r="D1830" s="25" t="s">
        <v>3211</v>
      </c>
      <c r="E1830" s="25" t="s">
        <v>2027</v>
      </c>
      <c r="F1830" s="53" t="s">
        <v>3812</v>
      </c>
      <c r="H1830" s="28">
        <v>0</v>
      </c>
    </row>
    <row r="1831" spans="1:8" x14ac:dyDescent="0.35">
      <c r="A1831" s="22"/>
      <c r="B1831" s="22" t="s">
        <v>2550</v>
      </c>
      <c r="C1831" s="26">
        <v>45899</v>
      </c>
      <c r="D1831" s="25" t="s">
        <v>3213</v>
      </c>
      <c r="E1831" s="25" t="s">
        <v>2846</v>
      </c>
      <c r="F1831" s="53" t="s">
        <v>3812</v>
      </c>
      <c r="H1831" s="28">
        <v>0</v>
      </c>
    </row>
    <row r="1832" spans="1:8" x14ac:dyDescent="0.35">
      <c r="A1832" s="22"/>
      <c r="B1832" s="22" t="s">
        <v>2550</v>
      </c>
      <c r="C1832" s="26">
        <v>45899</v>
      </c>
      <c r="D1832" s="25" t="s">
        <v>3214</v>
      </c>
      <c r="E1832" s="25" t="s">
        <v>3154</v>
      </c>
      <c r="F1832" s="53" t="s">
        <v>3812</v>
      </c>
      <c r="H1832" s="28">
        <v>0</v>
      </c>
    </row>
    <row r="1833" spans="1:8" x14ac:dyDescent="0.35">
      <c r="A1833" s="22"/>
      <c r="B1833" s="22" t="s">
        <v>2550</v>
      </c>
      <c r="C1833" s="26">
        <v>45899</v>
      </c>
      <c r="D1833" s="25" t="s">
        <v>3215</v>
      </c>
      <c r="E1833" s="25" t="s">
        <v>2442</v>
      </c>
      <c r="F1833" s="53" t="s">
        <v>3812</v>
      </c>
      <c r="H1833" s="28">
        <v>0</v>
      </c>
    </row>
    <row r="1834" spans="1:8" x14ac:dyDescent="0.35">
      <c r="A1834" s="22"/>
      <c r="B1834" s="22" t="s">
        <v>2550</v>
      </c>
      <c r="C1834" s="26">
        <v>45899</v>
      </c>
      <c r="D1834" s="25" t="s">
        <v>3216</v>
      </c>
      <c r="E1834" s="25" t="s">
        <v>2442</v>
      </c>
      <c r="F1834" s="53" t="s">
        <v>3812</v>
      </c>
      <c r="H1834" s="28">
        <v>0</v>
      </c>
    </row>
    <row r="1835" spans="1:8" x14ac:dyDescent="0.35">
      <c r="A1835" s="22"/>
      <c r="B1835" s="22" t="s">
        <v>2550</v>
      </c>
      <c r="C1835" s="26">
        <v>45899</v>
      </c>
      <c r="D1835" s="25" t="s">
        <v>3217</v>
      </c>
      <c r="E1835" s="25" t="s">
        <v>2626</v>
      </c>
      <c r="F1835" s="53" t="s">
        <v>3812</v>
      </c>
      <c r="H1835" s="28">
        <v>37.35</v>
      </c>
    </row>
    <row r="1836" spans="1:8" x14ac:dyDescent="0.35">
      <c r="A1836" s="22"/>
      <c r="B1836" s="22" t="s">
        <v>2550</v>
      </c>
      <c r="C1836" s="26">
        <v>45899</v>
      </c>
      <c r="D1836" s="25" t="s">
        <v>3219</v>
      </c>
      <c r="E1836" s="25" t="s">
        <v>2626</v>
      </c>
      <c r="F1836" s="53" t="s">
        <v>3812</v>
      </c>
      <c r="H1836" s="28">
        <v>1200</v>
      </c>
    </row>
    <row r="1837" spans="1:8" x14ac:dyDescent="0.35">
      <c r="A1837" s="22"/>
      <c r="B1837" s="22" t="s">
        <v>2550</v>
      </c>
      <c r="C1837" s="26">
        <v>45899</v>
      </c>
      <c r="D1837" s="25" t="s">
        <v>3220</v>
      </c>
      <c r="E1837" s="25" t="s">
        <v>2626</v>
      </c>
      <c r="F1837" s="53" t="s">
        <v>3812</v>
      </c>
      <c r="H1837" s="28">
        <v>0</v>
      </c>
    </row>
    <row r="1838" spans="1:8" x14ac:dyDescent="0.35">
      <c r="A1838" s="22"/>
      <c r="B1838" s="22" t="s">
        <v>2550</v>
      </c>
      <c r="C1838" s="26">
        <v>45899</v>
      </c>
      <c r="D1838" s="25" t="s">
        <v>3221</v>
      </c>
      <c r="E1838" s="25" t="s">
        <v>2626</v>
      </c>
      <c r="F1838" s="53" t="s">
        <v>3812</v>
      </c>
      <c r="H1838" s="28">
        <v>0</v>
      </c>
    </row>
    <row r="1839" spans="1:8" x14ac:dyDescent="0.35">
      <c r="A1839" s="22"/>
      <c r="B1839" s="22" t="s">
        <v>2550</v>
      </c>
      <c r="C1839" s="26">
        <v>45899</v>
      </c>
      <c r="D1839" s="25" t="s">
        <v>3222</v>
      </c>
      <c r="E1839" s="25" t="s">
        <v>2626</v>
      </c>
      <c r="F1839" s="53" t="s">
        <v>3812</v>
      </c>
      <c r="H1839" s="28">
        <v>0</v>
      </c>
    </row>
    <row r="1840" spans="1:8" x14ac:dyDescent="0.35">
      <c r="A1840" s="22"/>
      <c r="B1840" s="22" t="s">
        <v>2550</v>
      </c>
      <c r="C1840" s="26">
        <v>45899</v>
      </c>
      <c r="D1840" s="25" t="s">
        <v>3223</v>
      </c>
      <c r="E1840" s="25" t="s">
        <v>2392</v>
      </c>
      <c r="F1840" s="53" t="s">
        <v>3812</v>
      </c>
      <c r="H1840" s="28">
        <v>0</v>
      </c>
    </row>
    <row r="1841" spans="1:8" x14ac:dyDescent="0.35">
      <c r="A1841" s="22"/>
      <c r="B1841" s="22" t="s">
        <v>2550</v>
      </c>
      <c r="C1841" s="26">
        <v>45899</v>
      </c>
      <c r="D1841" s="25">
        <v>38229</v>
      </c>
      <c r="E1841" s="25" t="s">
        <v>1426</v>
      </c>
      <c r="F1841" s="53" t="s">
        <v>3812</v>
      </c>
      <c r="H1841" s="28">
        <v>0</v>
      </c>
    </row>
    <row r="1842" spans="1:8" x14ac:dyDescent="0.35">
      <c r="A1842" s="22"/>
      <c r="B1842" s="22" t="s">
        <v>2550</v>
      </c>
      <c r="C1842" s="26">
        <v>45899</v>
      </c>
      <c r="D1842" s="25">
        <v>38230</v>
      </c>
      <c r="E1842" s="25" t="s">
        <v>3487</v>
      </c>
      <c r="F1842" s="53" t="s">
        <v>3812</v>
      </c>
      <c r="H1842" s="28">
        <v>24119</v>
      </c>
    </row>
    <row r="1843" spans="1:8" x14ac:dyDescent="0.35">
      <c r="A1843" s="22"/>
      <c r="B1843" s="22" t="s">
        <v>2550</v>
      </c>
      <c r="C1843" s="26">
        <v>45899</v>
      </c>
      <c r="D1843" s="25" t="s">
        <v>3224</v>
      </c>
      <c r="E1843" s="25" t="s">
        <v>1582</v>
      </c>
      <c r="F1843" s="53" t="s">
        <v>3812</v>
      </c>
      <c r="H1843" s="28">
        <v>0</v>
      </c>
    </row>
    <row r="1844" spans="1:8" x14ac:dyDescent="0.35">
      <c r="A1844" s="22"/>
      <c r="B1844" s="22" t="s">
        <v>2550</v>
      </c>
      <c r="C1844" s="26">
        <v>45899</v>
      </c>
      <c r="D1844" s="25" t="s">
        <v>3225</v>
      </c>
      <c r="E1844" s="25" t="s">
        <v>1582</v>
      </c>
      <c r="F1844" s="53" t="s">
        <v>3812</v>
      </c>
      <c r="H1844" s="28">
        <v>0</v>
      </c>
    </row>
    <row r="1845" spans="1:8" x14ac:dyDescent="0.35">
      <c r="A1845" s="22"/>
      <c r="B1845" s="22" t="s">
        <v>2550</v>
      </c>
      <c r="C1845" s="26">
        <v>45899</v>
      </c>
      <c r="D1845" s="25" t="s">
        <v>3226</v>
      </c>
      <c r="E1845" s="25" t="s">
        <v>1582</v>
      </c>
      <c r="F1845" s="53" t="s">
        <v>3812</v>
      </c>
      <c r="H1845" s="28">
        <v>0</v>
      </c>
    </row>
    <row r="1846" spans="1:8" x14ac:dyDescent="0.35">
      <c r="A1846" s="22"/>
      <c r="B1846" s="22" t="s">
        <v>2550</v>
      </c>
      <c r="C1846" s="26">
        <v>45899</v>
      </c>
      <c r="D1846" s="25" t="s">
        <v>3227</v>
      </c>
      <c r="E1846" s="25" t="s">
        <v>3488</v>
      </c>
      <c r="F1846" s="53" t="s">
        <v>3812</v>
      </c>
      <c r="H1846" s="28">
        <v>0</v>
      </c>
    </row>
    <row r="1847" spans="1:8" x14ac:dyDescent="0.35">
      <c r="A1847" s="22"/>
      <c r="B1847" s="22" t="s">
        <v>2550</v>
      </c>
      <c r="C1847" s="26">
        <v>45899</v>
      </c>
      <c r="D1847" s="25" t="s">
        <v>3228</v>
      </c>
      <c r="E1847" s="25" t="s">
        <v>2677</v>
      </c>
      <c r="F1847" s="53" t="s">
        <v>3812</v>
      </c>
      <c r="H1847" s="28">
        <v>2494.5700000000002</v>
      </c>
    </row>
    <row r="1848" spans="1:8" x14ac:dyDescent="0.35">
      <c r="A1848" s="22"/>
      <c r="B1848" s="22" t="s">
        <v>2550</v>
      </c>
      <c r="C1848" s="26">
        <v>45899</v>
      </c>
      <c r="D1848" s="25" t="s">
        <v>3229</v>
      </c>
      <c r="E1848" s="25" t="s">
        <v>2677</v>
      </c>
      <c r="F1848" s="53" t="s">
        <v>3812</v>
      </c>
      <c r="H1848" s="28">
        <v>4394.0499999999993</v>
      </c>
    </row>
    <row r="1849" spans="1:8" x14ac:dyDescent="0.35">
      <c r="A1849" s="22"/>
      <c r="B1849" s="22" t="s">
        <v>2550</v>
      </c>
      <c r="C1849" s="26">
        <v>45899</v>
      </c>
      <c r="D1849" s="25">
        <v>38254</v>
      </c>
      <c r="E1849" s="25" t="s">
        <v>2677</v>
      </c>
      <c r="F1849" s="53" t="s">
        <v>3812</v>
      </c>
      <c r="H1849" s="28">
        <v>70206.000000000015</v>
      </c>
    </row>
    <row r="1850" spans="1:8" x14ac:dyDescent="0.35">
      <c r="A1850" s="22"/>
      <c r="B1850" s="22" t="s">
        <v>2550</v>
      </c>
      <c r="C1850" s="26">
        <v>45899</v>
      </c>
      <c r="D1850" s="25" t="s">
        <v>3231</v>
      </c>
      <c r="E1850" s="25" t="s">
        <v>2677</v>
      </c>
      <c r="F1850" s="53" t="s">
        <v>3812</v>
      </c>
      <c r="H1850" s="28">
        <v>268894.41000000003</v>
      </c>
    </row>
    <row r="1851" spans="1:8" x14ac:dyDescent="0.35">
      <c r="A1851" s="22"/>
      <c r="B1851" s="22" t="s">
        <v>2550</v>
      </c>
      <c r="C1851" s="26">
        <v>45899</v>
      </c>
      <c r="D1851" s="25" t="s">
        <v>3232</v>
      </c>
      <c r="E1851" s="25" t="s">
        <v>2677</v>
      </c>
      <c r="F1851" s="53" t="s">
        <v>3812</v>
      </c>
      <c r="H1851" s="28">
        <v>32981.75</v>
      </c>
    </row>
    <row r="1852" spans="1:8" x14ac:dyDescent="0.35">
      <c r="A1852" s="22"/>
      <c r="B1852" s="22" t="s">
        <v>2550</v>
      </c>
      <c r="C1852" s="26">
        <v>45899</v>
      </c>
      <c r="D1852" s="25" t="s">
        <v>3233</v>
      </c>
      <c r="E1852" s="25" t="s">
        <v>2677</v>
      </c>
      <c r="F1852" s="53" t="s">
        <v>3812</v>
      </c>
      <c r="H1852" s="28">
        <v>72633.990000000005</v>
      </c>
    </row>
    <row r="1853" spans="1:8" x14ac:dyDescent="0.35">
      <c r="A1853" s="22"/>
      <c r="B1853" s="22" t="s">
        <v>2550</v>
      </c>
      <c r="C1853" s="26">
        <v>45899</v>
      </c>
      <c r="D1853" s="25" t="s">
        <v>3234</v>
      </c>
      <c r="E1853" s="25" t="s">
        <v>2677</v>
      </c>
      <c r="F1853" s="53" t="s">
        <v>3812</v>
      </c>
      <c r="H1853" s="28">
        <v>0</v>
      </c>
    </row>
    <row r="1854" spans="1:8" x14ac:dyDescent="0.35">
      <c r="A1854" s="22"/>
      <c r="B1854" s="22" t="s">
        <v>2550</v>
      </c>
      <c r="C1854" s="26">
        <v>45899</v>
      </c>
      <c r="D1854" s="25" t="s">
        <v>3235</v>
      </c>
      <c r="E1854" s="25" t="s">
        <v>2677</v>
      </c>
      <c r="F1854" s="53" t="s">
        <v>3812</v>
      </c>
      <c r="H1854" s="28">
        <v>2754.29</v>
      </c>
    </row>
    <row r="1855" spans="1:8" x14ac:dyDescent="0.35">
      <c r="A1855" s="22"/>
      <c r="B1855" s="22" t="s">
        <v>2550</v>
      </c>
      <c r="C1855" s="26">
        <v>45899</v>
      </c>
      <c r="D1855" s="25" t="s">
        <v>3236</v>
      </c>
      <c r="E1855" s="25" t="s">
        <v>2677</v>
      </c>
      <c r="F1855" s="53" t="s">
        <v>3812</v>
      </c>
      <c r="H1855" s="28">
        <v>0</v>
      </c>
    </row>
    <row r="1856" spans="1:8" x14ac:dyDescent="0.35">
      <c r="A1856" s="22"/>
      <c r="B1856" s="22" t="s">
        <v>2550</v>
      </c>
      <c r="C1856" s="26">
        <v>45899</v>
      </c>
      <c r="D1856" s="25">
        <v>38263</v>
      </c>
      <c r="E1856" s="25" t="s">
        <v>2677</v>
      </c>
      <c r="F1856" s="53" t="s">
        <v>3812</v>
      </c>
      <c r="H1856" s="28">
        <v>1203.22</v>
      </c>
    </row>
    <row r="1857" spans="1:8" x14ac:dyDescent="0.35">
      <c r="A1857" s="22"/>
      <c r="B1857" s="22" t="s">
        <v>2550</v>
      </c>
      <c r="C1857" s="26">
        <v>45899</v>
      </c>
      <c r="D1857" s="25" t="s">
        <v>3237</v>
      </c>
      <c r="E1857" s="25" t="s">
        <v>2677</v>
      </c>
      <c r="F1857" s="53" t="s">
        <v>3812</v>
      </c>
      <c r="H1857" s="28">
        <v>0</v>
      </c>
    </row>
    <row r="1858" spans="1:8" x14ac:dyDescent="0.35">
      <c r="A1858" s="22"/>
      <c r="B1858" s="22" t="s">
        <v>2550</v>
      </c>
      <c r="C1858" s="26">
        <v>45899</v>
      </c>
      <c r="D1858" s="25" t="s">
        <v>3238</v>
      </c>
      <c r="E1858" s="25" t="s">
        <v>2677</v>
      </c>
      <c r="F1858" s="53" t="s">
        <v>3812</v>
      </c>
      <c r="H1858" s="28">
        <v>0</v>
      </c>
    </row>
    <row r="1859" spans="1:8" x14ac:dyDescent="0.35">
      <c r="A1859" s="22"/>
      <c r="B1859" s="22" t="s">
        <v>2550</v>
      </c>
      <c r="C1859" s="26">
        <v>45899</v>
      </c>
      <c r="D1859" s="25">
        <v>38265</v>
      </c>
      <c r="E1859" s="25" t="s">
        <v>2677</v>
      </c>
      <c r="F1859" s="53" t="s">
        <v>3812</v>
      </c>
      <c r="H1859" s="28">
        <v>21741</v>
      </c>
    </row>
    <row r="1860" spans="1:8" x14ac:dyDescent="0.35">
      <c r="A1860" s="22"/>
      <c r="B1860" s="22" t="s">
        <v>2550</v>
      </c>
      <c r="C1860" s="26">
        <v>45899</v>
      </c>
      <c r="D1860" s="25">
        <v>38266</v>
      </c>
      <c r="E1860" s="25" t="s">
        <v>2677</v>
      </c>
      <c r="F1860" s="53" t="s">
        <v>3812</v>
      </c>
      <c r="H1860" s="28">
        <v>21848.110000000004</v>
      </c>
    </row>
    <row r="1861" spans="1:8" x14ac:dyDescent="0.35">
      <c r="A1861" s="22"/>
      <c r="B1861" s="22" t="s">
        <v>2550</v>
      </c>
      <c r="C1861" s="26">
        <v>45899</v>
      </c>
      <c r="D1861" s="25" t="s">
        <v>3239</v>
      </c>
      <c r="E1861" s="25" t="s">
        <v>2144</v>
      </c>
      <c r="F1861" s="53" t="s">
        <v>3812</v>
      </c>
      <c r="H1861" s="28">
        <v>0</v>
      </c>
    </row>
    <row r="1862" spans="1:8" x14ac:dyDescent="0.35">
      <c r="A1862" s="22"/>
      <c r="B1862" s="22" t="s">
        <v>2550</v>
      </c>
      <c r="C1862" s="26">
        <v>45899</v>
      </c>
      <c r="D1862" s="25" t="s">
        <v>3240</v>
      </c>
      <c r="E1862" s="25" t="s">
        <v>2144</v>
      </c>
      <c r="F1862" s="53" t="s">
        <v>3812</v>
      </c>
      <c r="H1862" s="28">
        <v>0</v>
      </c>
    </row>
    <row r="1863" spans="1:8" x14ac:dyDescent="0.35">
      <c r="A1863" s="22"/>
      <c r="B1863" s="22" t="s">
        <v>2550</v>
      </c>
      <c r="C1863" s="26">
        <v>45899</v>
      </c>
      <c r="D1863" s="25" t="s">
        <v>3241</v>
      </c>
      <c r="E1863" s="25" t="s">
        <v>3489</v>
      </c>
      <c r="F1863" s="53" t="s">
        <v>3812</v>
      </c>
      <c r="H1863" s="28">
        <v>0</v>
      </c>
    </row>
    <row r="1864" spans="1:8" x14ac:dyDescent="0.35">
      <c r="A1864" s="22"/>
      <c r="B1864" s="22" t="s">
        <v>2550</v>
      </c>
      <c r="C1864" s="26">
        <v>45899</v>
      </c>
      <c r="D1864" s="25" t="s">
        <v>3242</v>
      </c>
      <c r="E1864" s="25" t="s">
        <v>1459</v>
      </c>
      <c r="F1864" s="53" t="s">
        <v>3812</v>
      </c>
      <c r="H1864" s="28">
        <v>0</v>
      </c>
    </row>
    <row r="1865" spans="1:8" x14ac:dyDescent="0.35">
      <c r="A1865" s="22"/>
      <c r="B1865" s="22" t="s">
        <v>2550</v>
      </c>
      <c r="C1865" s="26">
        <v>45899</v>
      </c>
      <c r="D1865" s="25" t="s">
        <v>3243</v>
      </c>
      <c r="E1865" s="25" t="s">
        <v>2313</v>
      </c>
      <c r="F1865" s="53" t="s">
        <v>3812</v>
      </c>
      <c r="H1865" s="28">
        <v>0</v>
      </c>
    </row>
    <row r="1866" spans="1:8" x14ac:dyDescent="0.35">
      <c r="A1866" s="22"/>
      <c r="B1866" s="22" t="s">
        <v>2550</v>
      </c>
      <c r="C1866" s="26">
        <v>45899</v>
      </c>
      <c r="D1866" s="25" t="s">
        <v>3244</v>
      </c>
      <c r="E1866" s="25" t="s">
        <v>2313</v>
      </c>
      <c r="F1866" s="53" t="s">
        <v>3812</v>
      </c>
      <c r="H1866" s="28">
        <v>0</v>
      </c>
    </row>
    <row r="1867" spans="1:8" x14ac:dyDescent="0.35">
      <c r="A1867" s="22"/>
      <c r="B1867" s="22" t="s">
        <v>2550</v>
      </c>
      <c r="C1867" s="26">
        <v>45899</v>
      </c>
      <c r="D1867" s="25" t="s">
        <v>3245</v>
      </c>
      <c r="E1867" s="25" t="s">
        <v>2628</v>
      </c>
      <c r="F1867" s="53" t="s">
        <v>3812</v>
      </c>
      <c r="H1867" s="28">
        <v>0</v>
      </c>
    </row>
    <row r="1868" spans="1:8" x14ac:dyDescent="0.35">
      <c r="A1868" s="22"/>
      <c r="B1868" s="22" t="s">
        <v>2550</v>
      </c>
      <c r="C1868" s="26">
        <v>45899</v>
      </c>
      <c r="D1868" s="25" t="s">
        <v>3246</v>
      </c>
      <c r="E1868" s="25" t="s">
        <v>2628</v>
      </c>
      <c r="F1868" s="53" t="s">
        <v>3812</v>
      </c>
      <c r="H1868" s="28">
        <v>0</v>
      </c>
    </row>
    <row r="1869" spans="1:8" x14ac:dyDescent="0.35">
      <c r="A1869" s="22"/>
      <c r="B1869" s="22" t="s">
        <v>2550</v>
      </c>
      <c r="C1869" s="26">
        <v>45899</v>
      </c>
      <c r="D1869" s="25" t="s">
        <v>3247</v>
      </c>
      <c r="E1869" s="25" t="s">
        <v>2628</v>
      </c>
      <c r="F1869" s="53" t="s">
        <v>3812</v>
      </c>
      <c r="H1869" s="28">
        <v>0</v>
      </c>
    </row>
    <row r="1870" spans="1:8" x14ac:dyDescent="0.35">
      <c r="A1870" s="22"/>
      <c r="B1870" s="22" t="s">
        <v>2550</v>
      </c>
      <c r="C1870" s="26">
        <v>45899</v>
      </c>
      <c r="D1870" s="25" t="s">
        <v>3248</v>
      </c>
      <c r="E1870" s="25" t="s">
        <v>2628</v>
      </c>
      <c r="F1870" s="53" t="s">
        <v>3812</v>
      </c>
      <c r="H1870" s="28">
        <v>0</v>
      </c>
    </row>
    <row r="1871" spans="1:8" x14ac:dyDescent="0.35">
      <c r="A1871" s="22"/>
      <c r="B1871" s="22" t="s">
        <v>2550</v>
      </c>
      <c r="C1871" s="26">
        <v>45899</v>
      </c>
      <c r="D1871" s="25" t="s">
        <v>3249</v>
      </c>
      <c r="E1871" s="25" t="s">
        <v>1371</v>
      </c>
      <c r="F1871" s="53" t="s">
        <v>3812</v>
      </c>
      <c r="H1871" s="28">
        <v>0</v>
      </c>
    </row>
    <row r="1872" spans="1:8" x14ac:dyDescent="0.35">
      <c r="A1872" s="22"/>
      <c r="B1872" s="22" t="s">
        <v>2550</v>
      </c>
      <c r="C1872" s="26">
        <v>45899</v>
      </c>
      <c r="D1872" s="25" t="s">
        <v>3250</v>
      </c>
      <c r="E1872" s="25" t="s">
        <v>2629</v>
      </c>
      <c r="F1872" s="53" t="s">
        <v>3812</v>
      </c>
      <c r="H1872" s="28">
        <v>0</v>
      </c>
    </row>
    <row r="1873" spans="1:8" x14ac:dyDescent="0.35">
      <c r="A1873" s="22"/>
      <c r="B1873" s="22" t="s">
        <v>2550</v>
      </c>
      <c r="C1873" s="26">
        <v>45899</v>
      </c>
      <c r="D1873" s="25" t="s">
        <v>3251</v>
      </c>
      <c r="E1873" s="25" t="s">
        <v>2629</v>
      </c>
      <c r="F1873" s="53" t="s">
        <v>3812</v>
      </c>
      <c r="H1873" s="28">
        <v>0</v>
      </c>
    </row>
    <row r="1874" spans="1:8" x14ac:dyDescent="0.35">
      <c r="A1874" s="22"/>
      <c r="B1874" s="22" t="s">
        <v>2550</v>
      </c>
      <c r="C1874" s="26">
        <v>45899</v>
      </c>
      <c r="D1874" s="25" t="s">
        <v>3252</v>
      </c>
      <c r="E1874" s="25" t="s">
        <v>2629</v>
      </c>
      <c r="F1874" s="53" t="s">
        <v>3812</v>
      </c>
      <c r="H1874" s="28">
        <v>0</v>
      </c>
    </row>
    <row r="1875" spans="1:8" x14ac:dyDescent="0.35">
      <c r="A1875" s="22"/>
      <c r="B1875" s="22" t="s">
        <v>2550</v>
      </c>
      <c r="C1875" s="26">
        <v>45899</v>
      </c>
      <c r="D1875" s="25" t="s">
        <v>3253</v>
      </c>
      <c r="E1875" s="25" t="s">
        <v>1223</v>
      </c>
      <c r="F1875" s="53" t="s">
        <v>3812</v>
      </c>
      <c r="H1875" s="28">
        <v>32435.98</v>
      </c>
    </row>
    <row r="1876" spans="1:8" x14ac:dyDescent="0.35">
      <c r="A1876" s="22"/>
      <c r="B1876" s="22" t="s">
        <v>2550</v>
      </c>
      <c r="C1876" s="26">
        <v>45899</v>
      </c>
      <c r="D1876" s="25" t="s">
        <v>3254</v>
      </c>
      <c r="E1876" s="25" t="s">
        <v>1223</v>
      </c>
      <c r="F1876" s="53" t="s">
        <v>3812</v>
      </c>
      <c r="H1876" s="28">
        <v>0</v>
      </c>
    </row>
    <row r="1877" spans="1:8" x14ac:dyDescent="0.35">
      <c r="A1877" s="22"/>
      <c r="B1877" s="22" t="s">
        <v>2550</v>
      </c>
      <c r="C1877" s="26">
        <v>45899</v>
      </c>
      <c r="D1877" s="25" t="s">
        <v>3255</v>
      </c>
      <c r="E1877" s="25" t="s">
        <v>1223</v>
      </c>
      <c r="F1877" s="53" t="s">
        <v>3812</v>
      </c>
      <c r="H1877" s="28">
        <v>0</v>
      </c>
    </row>
    <row r="1878" spans="1:8" x14ac:dyDescent="0.35">
      <c r="A1878" s="22"/>
      <c r="B1878" s="22" t="s">
        <v>2550</v>
      </c>
      <c r="C1878" s="26">
        <v>45899</v>
      </c>
      <c r="D1878" s="25" t="s">
        <v>3256</v>
      </c>
      <c r="E1878" s="25" t="s">
        <v>1223</v>
      </c>
      <c r="F1878" s="53" t="s">
        <v>3812</v>
      </c>
      <c r="H1878" s="28">
        <v>0</v>
      </c>
    </row>
    <row r="1879" spans="1:8" x14ac:dyDescent="0.35">
      <c r="A1879" s="22"/>
      <c r="B1879" s="22" t="s">
        <v>2550</v>
      </c>
      <c r="C1879" s="26">
        <v>45899</v>
      </c>
      <c r="D1879" s="25" t="s">
        <v>3257</v>
      </c>
      <c r="E1879" s="25" t="s">
        <v>1060</v>
      </c>
      <c r="F1879" s="53" t="s">
        <v>3812</v>
      </c>
      <c r="H1879" s="28">
        <v>0</v>
      </c>
    </row>
    <row r="1880" spans="1:8" x14ac:dyDescent="0.35">
      <c r="A1880" s="22"/>
      <c r="B1880" s="22" t="s">
        <v>2550</v>
      </c>
      <c r="C1880" s="26">
        <v>45899</v>
      </c>
      <c r="D1880" s="25" t="s">
        <v>3258</v>
      </c>
      <c r="E1880" s="25" t="s">
        <v>1999</v>
      </c>
      <c r="F1880" s="53" t="s">
        <v>3812</v>
      </c>
      <c r="H1880" s="28">
        <v>0</v>
      </c>
    </row>
    <row r="1881" spans="1:8" x14ac:dyDescent="0.35">
      <c r="A1881" s="22"/>
      <c r="B1881" s="22" t="s">
        <v>2550</v>
      </c>
      <c r="C1881" s="26">
        <v>45899</v>
      </c>
      <c r="D1881" s="25" t="s">
        <v>3259</v>
      </c>
      <c r="E1881" s="25" t="s">
        <v>1269</v>
      </c>
      <c r="F1881" s="53" t="s">
        <v>3812</v>
      </c>
      <c r="H1881" s="28">
        <v>0</v>
      </c>
    </row>
    <row r="1882" spans="1:8" x14ac:dyDescent="0.35">
      <c r="A1882" s="22"/>
      <c r="B1882" s="22" t="s">
        <v>2550</v>
      </c>
      <c r="C1882" s="26">
        <v>45899</v>
      </c>
      <c r="D1882" s="25" t="s">
        <v>3260</v>
      </c>
      <c r="E1882" s="25" t="s">
        <v>1269</v>
      </c>
      <c r="F1882" s="53" t="s">
        <v>3812</v>
      </c>
      <c r="H1882" s="28">
        <v>0</v>
      </c>
    </row>
    <row r="1883" spans="1:8" x14ac:dyDescent="0.35">
      <c r="A1883" s="22"/>
      <c r="B1883" s="22" t="s">
        <v>2550</v>
      </c>
      <c r="C1883" s="26">
        <v>45899</v>
      </c>
      <c r="D1883" s="25" t="s">
        <v>3261</v>
      </c>
      <c r="E1883" s="25" t="s">
        <v>1450</v>
      </c>
      <c r="F1883" s="53" t="s">
        <v>3812</v>
      </c>
      <c r="H1883" s="28">
        <v>0</v>
      </c>
    </row>
    <row r="1884" spans="1:8" x14ac:dyDescent="0.35">
      <c r="A1884" s="22"/>
      <c r="B1884" s="22" t="s">
        <v>2550</v>
      </c>
      <c r="C1884" s="26">
        <v>45899</v>
      </c>
      <c r="D1884" s="25" t="s">
        <v>3262</v>
      </c>
      <c r="E1884" s="25" t="s">
        <v>1450</v>
      </c>
      <c r="F1884" s="53" t="s">
        <v>3812</v>
      </c>
      <c r="H1884" s="28">
        <v>0</v>
      </c>
    </row>
    <row r="1885" spans="1:8" x14ac:dyDescent="0.35">
      <c r="A1885" s="22"/>
      <c r="B1885" s="22" t="s">
        <v>2550</v>
      </c>
      <c r="C1885" s="26">
        <v>45899</v>
      </c>
      <c r="D1885" s="25" t="s">
        <v>3263</v>
      </c>
      <c r="E1885" s="25" t="s">
        <v>1450</v>
      </c>
      <c r="F1885" s="53" t="s">
        <v>3812</v>
      </c>
      <c r="H1885" s="28">
        <v>0</v>
      </c>
    </row>
    <row r="1886" spans="1:8" x14ac:dyDescent="0.35">
      <c r="A1886" s="22"/>
      <c r="B1886" s="22" t="s">
        <v>2550</v>
      </c>
      <c r="C1886" s="26">
        <v>45899</v>
      </c>
      <c r="D1886" s="25" t="s">
        <v>3264</v>
      </c>
      <c r="E1886" s="25" t="s">
        <v>1450</v>
      </c>
      <c r="F1886" s="53" t="s">
        <v>3812</v>
      </c>
      <c r="H1886" s="28">
        <v>0</v>
      </c>
    </row>
    <row r="1887" spans="1:8" x14ac:dyDescent="0.35">
      <c r="A1887" s="22"/>
      <c r="B1887" s="22" t="s">
        <v>2550</v>
      </c>
      <c r="C1887" s="26">
        <v>45899</v>
      </c>
      <c r="D1887" s="25" t="s">
        <v>3265</v>
      </c>
      <c r="E1887" s="25" t="s">
        <v>1450</v>
      </c>
      <c r="F1887" s="53" t="s">
        <v>3812</v>
      </c>
      <c r="H1887" s="28">
        <v>0</v>
      </c>
    </row>
    <row r="1888" spans="1:8" x14ac:dyDescent="0.35">
      <c r="A1888" s="22"/>
      <c r="B1888" s="22" t="s">
        <v>2550</v>
      </c>
      <c r="C1888" s="26">
        <v>45899</v>
      </c>
      <c r="D1888" s="25" t="s">
        <v>3266</v>
      </c>
      <c r="E1888" s="25" t="s">
        <v>1450</v>
      </c>
      <c r="F1888" s="53" t="s">
        <v>3812</v>
      </c>
      <c r="H1888" s="28">
        <v>0</v>
      </c>
    </row>
    <row r="1889" spans="1:8" x14ac:dyDescent="0.35">
      <c r="A1889" s="22"/>
      <c r="B1889" s="22" t="s">
        <v>2550</v>
      </c>
      <c r="C1889" s="26">
        <v>45899</v>
      </c>
      <c r="D1889" s="25" t="s">
        <v>3267</v>
      </c>
      <c r="E1889" s="25" t="s">
        <v>3490</v>
      </c>
      <c r="F1889" s="53" t="s">
        <v>3812</v>
      </c>
      <c r="H1889" s="28">
        <v>0</v>
      </c>
    </row>
    <row r="1890" spans="1:8" x14ac:dyDescent="0.35">
      <c r="A1890" s="22"/>
      <c r="B1890" s="22" t="s">
        <v>2550</v>
      </c>
      <c r="C1890" s="26">
        <v>45899</v>
      </c>
      <c r="D1890" s="25" t="s">
        <v>3268</v>
      </c>
      <c r="E1890" s="25" t="s">
        <v>1608</v>
      </c>
      <c r="F1890" s="53" t="s">
        <v>3812</v>
      </c>
      <c r="H1890" s="28">
        <v>0</v>
      </c>
    </row>
    <row r="1891" spans="1:8" x14ac:dyDescent="0.35">
      <c r="A1891" s="22"/>
      <c r="B1891" s="22" t="s">
        <v>2550</v>
      </c>
      <c r="C1891" s="26">
        <v>45899</v>
      </c>
      <c r="D1891" s="25" t="s">
        <v>3269</v>
      </c>
      <c r="E1891" s="25" t="s">
        <v>1223</v>
      </c>
      <c r="F1891" s="53" t="s">
        <v>3812</v>
      </c>
      <c r="H1891" s="28">
        <v>0</v>
      </c>
    </row>
    <row r="1892" spans="1:8" x14ac:dyDescent="0.35">
      <c r="A1892" s="22"/>
      <c r="B1892" s="22" t="s">
        <v>2550</v>
      </c>
      <c r="C1892" s="26">
        <v>45899</v>
      </c>
      <c r="D1892" s="25" t="s">
        <v>3270</v>
      </c>
      <c r="E1892" s="25" t="s">
        <v>3491</v>
      </c>
      <c r="F1892" s="53" t="s">
        <v>3812</v>
      </c>
      <c r="H1892" s="28">
        <v>0</v>
      </c>
    </row>
    <row r="1893" spans="1:8" x14ac:dyDescent="0.35">
      <c r="A1893" s="22"/>
      <c r="B1893" s="22" t="s">
        <v>2550</v>
      </c>
      <c r="C1893" s="26">
        <v>45899</v>
      </c>
      <c r="D1893" s="25" t="s">
        <v>3271</v>
      </c>
      <c r="E1893" s="25" t="s">
        <v>3485</v>
      </c>
      <c r="F1893" s="53" t="s">
        <v>3812</v>
      </c>
      <c r="H1893" s="28">
        <v>0</v>
      </c>
    </row>
    <row r="1894" spans="1:8" x14ac:dyDescent="0.35">
      <c r="A1894" s="22"/>
      <c r="B1894" s="22" t="s">
        <v>2550</v>
      </c>
      <c r="C1894" s="26">
        <v>45899</v>
      </c>
      <c r="D1894" s="25">
        <v>38546</v>
      </c>
      <c r="E1894" s="25" t="s">
        <v>2266</v>
      </c>
      <c r="F1894" s="53" t="s">
        <v>3812</v>
      </c>
      <c r="H1894" s="28">
        <v>42122.14</v>
      </c>
    </row>
    <row r="1895" spans="1:8" x14ac:dyDescent="0.35">
      <c r="A1895" s="22"/>
      <c r="B1895" s="22" t="s">
        <v>2550</v>
      </c>
      <c r="C1895" s="26">
        <v>45899</v>
      </c>
      <c r="D1895" s="25" t="s">
        <v>3272</v>
      </c>
      <c r="E1895" s="25" t="s">
        <v>3492</v>
      </c>
      <c r="F1895" s="53" t="s">
        <v>3812</v>
      </c>
      <c r="H1895" s="28">
        <v>0</v>
      </c>
    </row>
    <row r="1896" spans="1:8" x14ac:dyDescent="0.35">
      <c r="A1896" s="22"/>
      <c r="B1896" s="22" t="s">
        <v>2550</v>
      </c>
      <c r="C1896" s="26">
        <v>45899</v>
      </c>
      <c r="D1896" s="25" t="s">
        <v>3273</v>
      </c>
      <c r="E1896" s="25" t="s">
        <v>2205</v>
      </c>
      <c r="F1896" s="53" t="s">
        <v>3812</v>
      </c>
      <c r="H1896" s="28">
        <v>0</v>
      </c>
    </row>
    <row r="1897" spans="1:8" x14ac:dyDescent="0.35">
      <c r="A1897" s="22"/>
      <c r="B1897" s="22" t="s">
        <v>2550</v>
      </c>
      <c r="C1897" s="26">
        <v>45899</v>
      </c>
      <c r="D1897" s="25" t="s">
        <v>3274</v>
      </c>
      <c r="E1897" s="25" t="s">
        <v>2205</v>
      </c>
      <c r="F1897" s="53" t="s">
        <v>3812</v>
      </c>
      <c r="H1897" s="28">
        <v>0</v>
      </c>
    </row>
    <row r="1898" spans="1:8" x14ac:dyDescent="0.35">
      <c r="A1898" s="22"/>
      <c r="B1898" s="22" t="s">
        <v>2550</v>
      </c>
      <c r="C1898" s="26">
        <v>45899</v>
      </c>
      <c r="D1898" s="25" t="s">
        <v>3275</v>
      </c>
      <c r="E1898" s="25" t="s">
        <v>2205</v>
      </c>
      <c r="F1898" s="53" t="s">
        <v>3812</v>
      </c>
      <c r="H1898" s="28">
        <v>0</v>
      </c>
    </row>
    <row r="1899" spans="1:8" x14ac:dyDescent="0.35">
      <c r="A1899" s="22"/>
      <c r="B1899" s="22" t="s">
        <v>2550</v>
      </c>
      <c r="C1899" s="26">
        <v>45899</v>
      </c>
      <c r="D1899" s="25" t="s">
        <v>3276</v>
      </c>
      <c r="E1899" s="25" t="s">
        <v>2205</v>
      </c>
      <c r="F1899" s="53" t="s">
        <v>3812</v>
      </c>
      <c r="H1899" s="28">
        <v>0</v>
      </c>
    </row>
    <row r="1900" spans="1:8" x14ac:dyDescent="0.35">
      <c r="A1900" s="22"/>
      <c r="B1900" s="22" t="s">
        <v>2550</v>
      </c>
      <c r="C1900" s="26">
        <v>45899</v>
      </c>
      <c r="D1900" s="25" t="s">
        <v>3277</v>
      </c>
      <c r="E1900" s="25" t="s">
        <v>2205</v>
      </c>
      <c r="F1900" s="53" t="s">
        <v>3812</v>
      </c>
      <c r="H1900" s="28">
        <v>0</v>
      </c>
    </row>
    <row r="1901" spans="1:8" x14ac:dyDescent="0.35">
      <c r="A1901" s="22"/>
      <c r="B1901" s="22" t="s">
        <v>2550</v>
      </c>
      <c r="C1901" s="26">
        <v>45899</v>
      </c>
      <c r="D1901" s="25" t="s">
        <v>3278</v>
      </c>
      <c r="E1901" s="25" t="s">
        <v>3472</v>
      </c>
      <c r="F1901" s="53" t="s">
        <v>3812</v>
      </c>
      <c r="H1901" s="28">
        <v>0</v>
      </c>
    </row>
    <row r="1902" spans="1:8" x14ac:dyDescent="0.35">
      <c r="A1902" s="22"/>
      <c r="B1902" s="22" t="s">
        <v>2550</v>
      </c>
      <c r="C1902" s="26">
        <v>45899</v>
      </c>
      <c r="D1902" s="25" t="s">
        <v>3279</v>
      </c>
      <c r="E1902" s="25" t="s">
        <v>3472</v>
      </c>
      <c r="F1902" s="53" t="s">
        <v>3812</v>
      </c>
      <c r="H1902" s="28">
        <v>0</v>
      </c>
    </row>
    <row r="1903" spans="1:8" x14ac:dyDescent="0.35">
      <c r="A1903" s="22"/>
      <c r="B1903" s="22" t="s">
        <v>2550</v>
      </c>
      <c r="C1903" s="26">
        <v>45899</v>
      </c>
      <c r="D1903" s="25" t="s">
        <v>3280</v>
      </c>
      <c r="E1903" s="25" t="s">
        <v>3148</v>
      </c>
      <c r="F1903" s="53" t="s">
        <v>3812</v>
      </c>
      <c r="H1903" s="28">
        <v>0</v>
      </c>
    </row>
    <row r="1904" spans="1:8" x14ac:dyDescent="0.35">
      <c r="A1904" s="22"/>
      <c r="B1904" s="22" t="s">
        <v>2550</v>
      </c>
      <c r="C1904" s="26">
        <v>45899</v>
      </c>
      <c r="D1904" s="25" t="s">
        <v>3281</v>
      </c>
      <c r="E1904" s="25" t="s">
        <v>3493</v>
      </c>
      <c r="F1904" s="53" t="s">
        <v>3812</v>
      </c>
      <c r="H1904" s="28">
        <v>0</v>
      </c>
    </row>
    <row r="1905" spans="1:8" x14ac:dyDescent="0.35">
      <c r="A1905" s="22"/>
      <c r="B1905" s="22" t="s">
        <v>2550</v>
      </c>
      <c r="C1905" s="26">
        <v>45899</v>
      </c>
      <c r="D1905" s="25" t="s">
        <v>3282</v>
      </c>
      <c r="E1905" s="25" t="s">
        <v>3493</v>
      </c>
      <c r="F1905" s="53" t="s">
        <v>3812</v>
      </c>
      <c r="H1905" s="28">
        <v>0</v>
      </c>
    </row>
    <row r="1906" spans="1:8" x14ac:dyDescent="0.35">
      <c r="A1906" s="22"/>
      <c r="B1906" s="22" t="s">
        <v>2550</v>
      </c>
      <c r="C1906" s="26">
        <v>45899</v>
      </c>
      <c r="D1906" s="25" t="s">
        <v>3283</v>
      </c>
      <c r="E1906" s="25" t="s">
        <v>1223</v>
      </c>
      <c r="F1906" s="53" t="s">
        <v>3812</v>
      </c>
      <c r="H1906" s="28">
        <v>0</v>
      </c>
    </row>
    <row r="1907" spans="1:8" x14ac:dyDescent="0.35">
      <c r="A1907" s="22"/>
      <c r="B1907" s="22" t="s">
        <v>2550</v>
      </c>
      <c r="C1907" s="26">
        <v>45899</v>
      </c>
      <c r="D1907" s="25" t="s">
        <v>3284</v>
      </c>
      <c r="E1907" s="25" t="s">
        <v>1223</v>
      </c>
      <c r="F1907" s="53" t="s">
        <v>3812</v>
      </c>
      <c r="H1907" s="28">
        <v>0</v>
      </c>
    </row>
    <row r="1908" spans="1:8" x14ac:dyDescent="0.35">
      <c r="A1908" s="22"/>
      <c r="B1908" s="22" t="s">
        <v>2550</v>
      </c>
      <c r="C1908" s="26">
        <v>45899</v>
      </c>
      <c r="D1908" s="25" t="s">
        <v>3285</v>
      </c>
      <c r="E1908" s="25" t="s">
        <v>1223</v>
      </c>
      <c r="F1908" s="53" t="s">
        <v>3812</v>
      </c>
      <c r="H1908" s="28">
        <v>0</v>
      </c>
    </row>
    <row r="1909" spans="1:8" x14ac:dyDescent="0.35">
      <c r="A1909" s="22"/>
      <c r="B1909" s="22" t="s">
        <v>2550</v>
      </c>
      <c r="C1909" s="26">
        <v>45899</v>
      </c>
      <c r="D1909" s="25" t="s">
        <v>3286</v>
      </c>
      <c r="E1909" s="25" t="s">
        <v>1223</v>
      </c>
      <c r="F1909" s="53" t="s">
        <v>3812</v>
      </c>
      <c r="H1909" s="28">
        <v>0</v>
      </c>
    </row>
    <row r="1910" spans="1:8" x14ac:dyDescent="0.35">
      <c r="A1910" s="22"/>
      <c r="B1910" s="22" t="s">
        <v>2550</v>
      </c>
      <c r="C1910" s="26">
        <v>45899</v>
      </c>
      <c r="D1910" s="25" t="s">
        <v>3287</v>
      </c>
      <c r="E1910" s="25" t="s">
        <v>3494</v>
      </c>
      <c r="F1910" s="53" t="s">
        <v>3812</v>
      </c>
      <c r="H1910" s="28">
        <v>0</v>
      </c>
    </row>
    <row r="1911" spans="1:8" x14ac:dyDescent="0.35">
      <c r="A1911" s="22"/>
      <c r="B1911" s="22" t="s">
        <v>2550</v>
      </c>
      <c r="C1911" s="26">
        <v>45899</v>
      </c>
      <c r="D1911" s="25" t="s">
        <v>3288</v>
      </c>
      <c r="E1911" s="25" t="s">
        <v>1582</v>
      </c>
      <c r="F1911" s="53" t="s">
        <v>3812</v>
      </c>
      <c r="H1911" s="28">
        <v>185760.69000000006</v>
      </c>
    </row>
    <row r="1912" spans="1:8" x14ac:dyDescent="0.35">
      <c r="A1912" s="22"/>
      <c r="B1912" s="22" t="s">
        <v>2550</v>
      </c>
      <c r="C1912" s="26">
        <v>45899</v>
      </c>
      <c r="D1912" s="25">
        <v>38651</v>
      </c>
      <c r="E1912" s="25" t="s">
        <v>2231</v>
      </c>
      <c r="F1912" s="53" t="s">
        <v>3812</v>
      </c>
      <c r="H1912" s="28">
        <v>6400</v>
      </c>
    </row>
    <row r="1913" spans="1:8" x14ac:dyDescent="0.35">
      <c r="A1913" s="22"/>
      <c r="B1913" s="22" t="s">
        <v>2550</v>
      </c>
      <c r="C1913" s="26">
        <v>45899</v>
      </c>
      <c r="D1913" s="25" t="s">
        <v>3289</v>
      </c>
      <c r="E1913" s="25" t="s">
        <v>3495</v>
      </c>
      <c r="F1913" s="53" t="s">
        <v>3812</v>
      </c>
      <c r="H1913" s="28">
        <v>0</v>
      </c>
    </row>
    <row r="1914" spans="1:8" x14ac:dyDescent="0.35">
      <c r="A1914" s="22"/>
      <c r="B1914" s="22" t="s">
        <v>2550</v>
      </c>
      <c r="C1914" s="26">
        <v>45899</v>
      </c>
      <c r="D1914" s="25" t="s">
        <v>3290</v>
      </c>
      <c r="E1914" s="25" t="s">
        <v>2220</v>
      </c>
      <c r="F1914" s="53" t="s">
        <v>3812</v>
      </c>
      <c r="H1914" s="28">
        <v>55417.46</v>
      </c>
    </row>
    <row r="1915" spans="1:8" x14ac:dyDescent="0.35">
      <c r="A1915" s="22"/>
      <c r="B1915" s="22" t="s">
        <v>2550</v>
      </c>
      <c r="C1915" s="26">
        <v>45899</v>
      </c>
      <c r="D1915" s="25" t="s">
        <v>3291</v>
      </c>
      <c r="E1915" s="25" t="s">
        <v>2220</v>
      </c>
      <c r="F1915" s="53" t="s">
        <v>3812</v>
      </c>
      <c r="H1915" s="28">
        <v>0</v>
      </c>
    </row>
    <row r="1916" spans="1:8" x14ac:dyDescent="0.35">
      <c r="A1916" s="22"/>
      <c r="B1916" s="22" t="s">
        <v>2550</v>
      </c>
      <c r="C1916" s="26">
        <v>45899</v>
      </c>
      <c r="D1916" s="25" t="s">
        <v>3292</v>
      </c>
      <c r="E1916" s="25" t="s">
        <v>2392</v>
      </c>
      <c r="F1916" s="53" t="s">
        <v>3812</v>
      </c>
      <c r="H1916" s="28">
        <v>0</v>
      </c>
    </row>
    <row r="1917" spans="1:8" x14ac:dyDescent="0.35">
      <c r="A1917" s="22"/>
      <c r="B1917" s="22" t="s">
        <v>2550</v>
      </c>
      <c r="C1917" s="26">
        <v>45899</v>
      </c>
      <c r="D1917" s="25" t="s">
        <v>3293</v>
      </c>
      <c r="E1917" s="25" t="s">
        <v>2392</v>
      </c>
      <c r="F1917" s="53" t="s">
        <v>3812</v>
      </c>
      <c r="H1917" s="28">
        <v>0</v>
      </c>
    </row>
    <row r="1918" spans="1:8" x14ac:dyDescent="0.35">
      <c r="A1918" s="22"/>
      <c r="B1918" s="22" t="s">
        <v>2550</v>
      </c>
      <c r="C1918" s="26">
        <v>45899</v>
      </c>
      <c r="D1918" s="25" t="s">
        <v>3294</v>
      </c>
      <c r="E1918" s="25" t="s">
        <v>1269</v>
      </c>
      <c r="F1918" s="53" t="s">
        <v>3812</v>
      </c>
      <c r="H1918" s="28">
        <v>0</v>
      </c>
    </row>
    <row r="1919" spans="1:8" x14ac:dyDescent="0.35">
      <c r="A1919" s="22"/>
      <c r="B1919" s="22" t="s">
        <v>2550</v>
      </c>
      <c r="C1919" s="26">
        <v>45899</v>
      </c>
      <c r="D1919" s="25" t="s">
        <v>3295</v>
      </c>
      <c r="E1919" s="25" t="s">
        <v>2629</v>
      </c>
      <c r="F1919" s="53" t="s">
        <v>3812</v>
      </c>
      <c r="H1919" s="28">
        <v>0</v>
      </c>
    </row>
    <row r="1920" spans="1:8" x14ac:dyDescent="0.35">
      <c r="A1920" s="22"/>
      <c r="B1920" s="22" t="s">
        <v>2550</v>
      </c>
      <c r="C1920" s="26">
        <v>45899</v>
      </c>
      <c r="D1920" s="25" t="s">
        <v>3296</v>
      </c>
      <c r="E1920" s="25" t="s">
        <v>1223</v>
      </c>
      <c r="F1920" s="53" t="s">
        <v>3812</v>
      </c>
      <c r="H1920" s="28">
        <v>0</v>
      </c>
    </row>
    <row r="1921" spans="1:8" x14ac:dyDescent="0.35">
      <c r="A1921" s="22"/>
      <c r="B1921" s="22" t="s">
        <v>2550</v>
      </c>
      <c r="C1921" s="26">
        <v>45899</v>
      </c>
      <c r="D1921" s="25" t="s">
        <v>3297</v>
      </c>
      <c r="E1921" s="25" t="s">
        <v>1631</v>
      </c>
      <c r="F1921" s="53" t="s">
        <v>3812</v>
      </c>
      <c r="H1921" s="28">
        <v>0</v>
      </c>
    </row>
    <row r="1922" spans="1:8" x14ac:dyDescent="0.35">
      <c r="A1922" s="22"/>
      <c r="B1922" s="22" t="s">
        <v>2550</v>
      </c>
      <c r="C1922" s="26">
        <v>45899</v>
      </c>
      <c r="D1922" s="25" t="s">
        <v>3298</v>
      </c>
      <c r="E1922" s="25" t="s">
        <v>3492</v>
      </c>
      <c r="F1922" s="53" t="s">
        <v>3812</v>
      </c>
      <c r="H1922" s="28">
        <v>0</v>
      </c>
    </row>
    <row r="1923" spans="1:8" x14ac:dyDescent="0.35">
      <c r="A1923" s="22"/>
      <c r="B1923" s="22" t="s">
        <v>2550</v>
      </c>
      <c r="C1923" s="26">
        <v>45899</v>
      </c>
      <c r="D1923" s="25">
        <v>38791</v>
      </c>
      <c r="E1923" s="25" t="s">
        <v>3496</v>
      </c>
      <c r="F1923" s="53" t="s">
        <v>3812</v>
      </c>
      <c r="H1923" s="28">
        <v>3128.97</v>
      </c>
    </row>
    <row r="1924" spans="1:8" x14ac:dyDescent="0.35">
      <c r="A1924" s="22"/>
      <c r="B1924" s="22" t="s">
        <v>2550</v>
      </c>
      <c r="C1924" s="26">
        <v>45899</v>
      </c>
      <c r="D1924" s="25">
        <v>38806</v>
      </c>
      <c r="E1924" s="25" t="s">
        <v>3497</v>
      </c>
      <c r="F1924" s="53" t="s">
        <v>3812</v>
      </c>
      <c r="H1924" s="28">
        <v>90040</v>
      </c>
    </row>
    <row r="1925" spans="1:8" x14ac:dyDescent="0.35">
      <c r="A1925" s="22"/>
      <c r="B1925" s="22" t="s">
        <v>2550</v>
      </c>
      <c r="C1925" s="26">
        <v>45899</v>
      </c>
      <c r="D1925" s="25">
        <v>38817</v>
      </c>
      <c r="E1925" s="25" t="s">
        <v>3498</v>
      </c>
      <c r="F1925" s="53" t="s">
        <v>3812</v>
      </c>
      <c r="H1925" s="28">
        <v>3338.15</v>
      </c>
    </row>
    <row r="1926" spans="1:8" x14ac:dyDescent="0.35">
      <c r="A1926" s="22"/>
      <c r="B1926" s="22" t="s">
        <v>2550</v>
      </c>
      <c r="C1926" s="26">
        <v>45899</v>
      </c>
      <c r="D1926" s="25">
        <v>38834</v>
      </c>
      <c r="E1926" s="25" t="s">
        <v>3499</v>
      </c>
      <c r="F1926" s="53" t="s">
        <v>3812</v>
      </c>
      <c r="H1926" s="28">
        <v>29900</v>
      </c>
    </row>
    <row r="1927" spans="1:8" x14ac:dyDescent="0.35">
      <c r="A1927" s="22"/>
      <c r="B1927" s="22" t="s">
        <v>2550</v>
      </c>
      <c r="C1927" s="26">
        <v>45899</v>
      </c>
      <c r="D1927" s="25">
        <v>38839</v>
      </c>
      <c r="E1927" s="25" t="s">
        <v>3500</v>
      </c>
      <c r="F1927" s="53" t="s">
        <v>3812</v>
      </c>
      <c r="H1927" s="28">
        <v>1498.38</v>
      </c>
    </row>
    <row r="1928" spans="1:8" x14ac:dyDescent="0.35">
      <c r="A1928" s="22"/>
      <c r="B1928" s="22" t="s">
        <v>2550</v>
      </c>
      <c r="C1928" s="26">
        <v>45899</v>
      </c>
      <c r="D1928" s="25">
        <v>38846</v>
      </c>
      <c r="E1928" s="25" t="s">
        <v>3501</v>
      </c>
      <c r="F1928" s="53" t="s">
        <v>3812</v>
      </c>
      <c r="H1928" s="28">
        <v>5544.58</v>
      </c>
    </row>
    <row r="1929" spans="1:8" x14ac:dyDescent="0.35">
      <c r="A1929" s="22"/>
      <c r="B1929" s="22" t="s">
        <v>2550</v>
      </c>
      <c r="C1929" s="26">
        <v>45899</v>
      </c>
      <c r="D1929" s="25">
        <v>38850</v>
      </c>
      <c r="E1929" s="25" t="s">
        <v>2892</v>
      </c>
      <c r="F1929" s="53" t="s">
        <v>3812</v>
      </c>
      <c r="H1929" s="28">
        <v>30081.78</v>
      </c>
    </row>
    <row r="1930" spans="1:8" x14ac:dyDescent="0.35">
      <c r="A1930" s="22"/>
      <c r="B1930" s="22" t="s">
        <v>2550</v>
      </c>
      <c r="C1930" s="26">
        <v>45899</v>
      </c>
      <c r="D1930" s="25">
        <v>38874</v>
      </c>
      <c r="E1930" s="25" t="s">
        <v>3502</v>
      </c>
      <c r="F1930" s="53" t="s">
        <v>3812</v>
      </c>
      <c r="H1930" s="28">
        <v>705.25</v>
      </c>
    </row>
    <row r="1931" spans="1:8" x14ac:dyDescent="0.35">
      <c r="A1931" s="22"/>
      <c r="B1931" s="22" t="s">
        <v>2550</v>
      </c>
      <c r="C1931" s="26">
        <v>45899</v>
      </c>
      <c r="D1931" s="25">
        <v>38889</v>
      </c>
      <c r="E1931" s="25" t="s">
        <v>2629</v>
      </c>
      <c r="F1931" s="53" t="s">
        <v>3812</v>
      </c>
      <c r="H1931" s="28">
        <v>2080.0300000000002</v>
      </c>
    </row>
    <row r="1932" spans="1:8" x14ac:dyDescent="0.35">
      <c r="A1932" s="22"/>
      <c r="B1932" s="22" t="s">
        <v>2550</v>
      </c>
      <c r="C1932" s="26">
        <v>45899</v>
      </c>
      <c r="D1932" s="25">
        <v>38953</v>
      </c>
      <c r="E1932" s="25" t="s">
        <v>3496</v>
      </c>
      <c r="F1932" s="53" t="s">
        <v>3812</v>
      </c>
      <c r="H1932" s="28">
        <v>2254.2799999999997</v>
      </c>
    </row>
    <row r="1933" spans="1:8" x14ac:dyDescent="0.35">
      <c r="A1933" s="22"/>
      <c r="B1933" s="22" t="s">
        <v>2550</v>
      </c>
      <c r="C1933" s="26">
        <v>45899</v>
      </c>
      <c r="D1933" s="25">
        <v>38954</v>
      </c>
      <c r="E1933" s="25" t="s">
        <v>3503</v>
      </c>
      <c r="F1933" s="53" t="s">
        <v>3812</v>
      </c>
      <c r="H1933" s="28">
        <v>10400</v>
      </c>
    </row>
    <row r="1934" spans="1:8" x14ac:dyDescent="0.35">
      <c r="A1934" s="22"/>
      <c r="B1934" s="22" t="s">
        <v>2550</v>
      </c>
      <c r="C1934" s="26">
        <v>45899</v>
      </c>
      <c r="D1934" s="25">
        <v>38970</v>
      </c>
      <c r="E1934" s="25" t="s">
        <v>3504</v>
      </c>
      <c r="F1934" s="53" t="s">
        <v>3812</v>
      </c>
      <c r="H1934" s="28">
        <v>127.68</v>
      </c>
    </row>
    <row r="1935" spans="1:8" x14ac:dyDescent="0.35">
      <c r="A1935" s="22"/>
      <c r="B1935" s="22" t="s">
        <v>2550</v>
      </c>
      <c r="C1935" s="26">
        <v>45899</v>
      </c>
      <c r="D1935" s="25">
        <v>38981</v>
      </c>
      <c r="E1935" s="25" t="s">
        <v>3496</v>
      </c>
      <c r="F1935" s="53" t="s">
        <v>3812</v>
      </c>
      <c r="H1935" s="28">
        <v>793.26</v>
      </c>
    </row>
    <row r="1936" spans="1:8" x14ac:dyDescent="0.35">
      <c r="A1936" s="22"/>
      <c r="B1936" s="22" t="s">
        <v>2550</v>
      </c>
      <c r="C1936" s="26">
        <v>45899</v>
      </c>
      <c r="D1936" s="25">
        <v>38983</v>
      </c>
      <c r="E1936" s="25" t="s">
        <v>301</v>
      </c>
      <c r="F1936" s="53" t="s">
        <v>3812</v>
      </c>
      <c r="H1936" s="28">
        <v>23686.73</v>
      </c>
    </row>
    <row r="1937" spans="1:8" x14ac:dyDescent="0.35">
      <c r="A1937" s="22"/>
      <c r="B1937" s="22" t="s">
        <v>2550</v>
      </c>
      <c r="C1937" s="26">
        <v>45899</v>
      </c>
      <c r="D1937" s="25">
        <v>38993</v>
      </c>
      <c r="E1937" s="25" t="s">
        <v>1475</v>
      </c>
      <c r="F1937" s="53" t="s">
        <v>3812</v>
      </c>
      <c r="H1937" s="28">
        <v>32760</v>
      </c>
    </row>
    <row r="1938" spans="1:8" x14ac:dyDescent="0.35">
      <c r="A1938" s="22"/>
      <c r="B1938" s="22" t="s">
        <v>2550</v>
      </c>
      <c r="C1938" s="26">
        <v>45899</v>
      </c>
      <c r="D1938" s="25">
        <v>38996</v>
      </c>
      <c r="E1938" s="25" t="s">
        <v>1924</v>
      </c>
      <c r="F1938" s="53" t="s">
        <v>3812</v>
      </c>
      <c r="H1938" s="28">
        <v>1777.5</v>
      </c>
    </row>
    <row r="1939" spans="1:8" x14ac:dyDescent="0.35">
      <c r="A1939" s="22"/>
      <c r="B1939" s="22" t="s">
        <v>2550</v>
      </c>
      <c r="C1939" s="26">
        <v>45899</v>
      </c>
      <c r="D1939" s="25">
        <v>39002</v>
      </c>
      <c r="E1939" s="25" t="s">
        <v>3505</v>
      </c>
      <c r="F1939" s="53" t="s">
        <v>3812</v>
      </c>
      <c r="H1939" s="28">
        <v>30800</v>
      </c>
    </row>
    <row r="1940" spans="1:8" x14ac:dyDescent="0.35">
      <c r="A1940" s="22"/>
      <c r="B1940" s="22" t="s">
        <v>2550</v>
      </c>
      <c r="C1940" s="26">
        <v>45899</v>
      </c>
      <c r="D1940" s="25">
        <v>39010</v>
      </c>
      <c r="E1940" s="25" t="s">
        <v>3506</v>
      </c>
      <c r="F1940" s="53" t="s">
        <v>3812</v>
      </c>
      <c r="H1940" s="28">
        <v>709.87</v>
      </c>
    </row>
    <row r="1941" spans="1:8" x14ac:dyDescent="0.35">
      <c r="A1941" s="22"/>
      <c r="B1941" s="22" t="s">
        <v>2550</v>
      </c>
      <c r="C1941" s="26">
        <v>45899</v>
      </c>
      <c r="D1941" s="25" t="s">
        <v>3299</v>
      </c>
      <c r="E1941" s="25" t="s">
        <v>2454</v>
      </c>
      <c r="F1941" s="53" t="s">
        <v>3812</v>
      </c>
      <c r="H1941" s="28">
        <v>0</v>
      </c>
    </row>
    <row r="1942" spans="1:8" x14ac:dyDescent="0.35">
      <c r="A1942" s="22"/>
      <c r="B1942" s="22" t="s">
        <v>2550</v>
      </c>
      <c r="C1942" s="26">
        <v>45899</v>
      </c>
      <c r="D1942" s="25" t="s">
        <v>3300</v>
      </c>
      <c r="E1942" s="25" t="s">
        <v>1223</v>
      </c>
      <c r="F1942" s="53" t="s">
        <v>3812</v>
      </c>
      <c r="H1942" s="28">
        <v>0</v>
      </c>
    </row>
    <row r="1943" spans="1:8" x14ac:dyDescent="0.35">
      <c r="A1943" s="22"/>
      <c r="B1943" s="22" t="s">
        <v>2550</v>
      </c>
      <c r="C1943" s="26">
        <v>45899</v>
      </c>
      <c r="D1943" s="25">
        <v>39090</v>
      </c>
      <c r="E1943" s="25" t="s">
        <v>3507</v>
      </c>
      <c r="F1943" s="53" t="s">
        <v>3812</v>
      </c>
      <c r="H1943" s="28">
        <v>0</v>
      </c>
    </row>
    <row r="1944" spans="1:8" x14ac:dyDescent="0.35">
      <c r="A1944" s="22"/>
      <c r="B1944" s="22" t="s">
        <v>2550</v>
      </c>
      <c r="C1944" s="26">
        <v>45899</v>
      </c>
      <c r="D1944" s="25">
        <v>39123</v>
      </c>
      <c r="E1944" s="25" t="s">
        <v>3508</v>
      </c>
      <c r="F1944" s="53" t="s">
        <v>3812</v>
      </c>
      <c r="H1944" s="28">
        <v>0</v>
      </c>
    </row>
    <row r="1945" spans="1:8" x14ac:dyDescent="0.35">
      <c r="A1945" s="22"/>
      <c r="B1945" s="22" t="s">
        <v>2550</v>
      </c>
      <c r="C1945" s="26">
        <v>45900</v>
      </c>
      <c r="D1945" s="25" t="s">
        <v>3301</v>
      </c>
      <c r="E1945" s="25" t="s">
        <v>2603</v>
      </c>
      <c r="F1945" s="53" t="s">
        <v>3812</v>
      </c>
      <c r="H1945" s="28">
        <v>0</v>
      </c>
    </row>
    <row r="1946" spans="1:8" x14ac:dyDescent="0.35">
      <c r="A1946" s="22"/>
      <c r="B1946" s="22" t="s">
        <v>2550</v>
      </c>
      <c r="C1946" s="26">
        <v>45900</v>
      </c>
      <c r="D1946" s="25" t="s">
        <v>3302</v>
      </c>
      <c r="E1946" s="25" t="s">
        <v>2474</v>
      </c>
      <c r="F1946" s="53" t="s">
        <v>3812</v>
      </c>
      <c r="H1946" s="28">
        <v>0</v>
      </c>
    </row>
    <row r="1947" spans="1:8" x14ac:dyDescent="0.35">
      <c r="A1947" s="22"/>
      <c r="B1947" s="22" t="s">
        <v>2550</v>
      </c>
      <c r="C1947" s="26">
        <v>45900</v>
      </c>
      <c r="D1947" s="25" t="s">
        <v>3303</v>
      </c>
      <c r="E1947" s="25" t="s">
        <v>2904</v>
      </c>
      <c r="F1947" s="53" t="s">
        <v>3812</v>
      </c>
      <c r="H1947" s="28">
        <v>1421.79</v>
      </c>
    </row>
    <row r="1948" spans="1:8" x14ac:dyDescent="0.35">
      <c r="A1948" s="22"/>
      <c r="B1948" s="22" t="s">
        <v>2550</v>
      </c>
      <c r="C1948" s="26">
        <v>45900</v>
      </c>
      <c r="D1948" s="25" t="s">
        <v>3304</v>
      </c>
      <c r="E1948" s="25" t="s">
        <v>1484</v>
      </c>
      <c r="F1948" s="53" t="s">
        <v>3812</v>
      </c>
      <c r="H1948" s="28">
        <v>92649.31</v>
      </c>
    </row>
    <row r="1949" spans="1:8" x14ac:dyDescent="0.35">
      <c r="A1949" s="22"/>
      <c r="B1949" s="22" t="s">
        <v>2550</v>
      </c>
      <c r="C1949" s="26">
        <v>45900</v>
      </c>
      <c r="D1949" s="25" t="s">
        <v>3305</v>
      </c>
      <c r="E1949" s="25" t="s">
        <v>1484</v>
      </c>
      <c r="F1949" s="53" t="s">
        <v>3812</v>
      </c>
      <c r="H1949" s="28">
        <v>77496.3</v>
      </c>
    </row>
    <row r="1950" spans="1:8" x14ac:dyDescent="0.35">
      <c r="A1950" s="22"/>
      <c r="B1950" s="22" t="s">
        <v>2550</v>
      </c>
      <c r="C1950" s="26">
        <v>45900</v>
      </c>
      <c r="D1950" s="25" t="s">
        <v>3306</v>
      </c>
      <c r="E1950" s="25" t="s">
        <v>1484</v>
      </c>
      <c r="F1950" s="53" t="s">
        <v>3812</v>
      </c>
      <c r="H1950" s="28">
        <v>158263.4</v>
      </c>
    </row>
    <row r="1951" spans="1:8" x14ac:dyDescent="0.35">
      <c r="A1951" s="22"/>
      <c r="B1951" s="22" t="s">
        <v>2550</v>
      </c>
      <c r="C1951" s="26">
        <v>45900</v>
      </c>
      <c r="D1951" s="25" t="s">
        <v>3307</v>
      </c>
      <c r="E1951" s="25" t="s">
        <v>1484</v>
      </c>
      <c r="F1951" s="53" t="s">
        <v>3812</v>
      </c>
      <c r="H1951" s="28">
        <v>24326.89</v>
      </c>
    </row>
    <row r="1952" spans="1:8" x14ac:dyDescent="0.35">
      <c r="A1952" s="22"/>
      <c r="B1952" s="22" t="s">
        <v>2550</v>
      </c>
      <c r="C1952" s="26">
        <v>45900</v>
      </c>
      <c r="D1952" s="25" t="s">
        <v>3308</v>
      </c>
      <c r="E1952" s="25" t="s">
        <v>301</v>
      </c>
      <c r="F1952" s="53" t="s">
        <v>3812</v>
      </c>
      <c r="H1952" s="28">
        <v>0</v>
      </c>
    </row>
    <row r="1953" spans="1:8" x14ac:dyDescent="0.35">
      <c r="A1953" s="22"/>
      <c r="B1953" s="22" t="s">
        <v>2550</v>
      </c>
      <c r="C1953" s="26">
        <v>45900</v>
      </c>
      <c r="D1953" s="25">
        <v>32212</v>
      </c>
      <c r="E1953" s="25" t="s">
        <v>1484</v>
      </c>
      <c r="F1953" s="53" t="s">
        <v>3812</v>
      </c>
      <c r="H1953" s="28">
        <v>0</v>
      </c>
    </row>
    <row r="1954" spans="1:8" x14ac:dyDescent="0.35">
      <c r="A1954" s="22"/>
      <c r="B1954" s="22" t="s">
        <v>2550</v>
      </c>
      <c r="C1954" s="26">
        <v>45900</v>
      </c>
      <c r="D1954" s="25" t="s">
        <v>3309</v>
      </c>
      <c r="E1954" s="25" t="s">
        <v>1484</v>
      </c>
      <c r="F1954" s="53" t="s">
        <v>3812</v>
      </c>
      <c r="H1954" s="28">
        <v>2127.5100000000002</v>
      </c>
    </row>
    <row r="1955" spans="1:8" x14ac:dyDescent="0.35">
      <c r="A1955" s="22"/>
      <c r="B1955" s="22" t="s">
        <v>2550</v>
      </c>
      <c r="C1955" s="26">
        <v>45900</v>
      </c>
      <c r="D1955" s="25" t="s">
        <v>3310</v>
      </c>
      <c r="E1955" s="25" t="s">
        <v>1484</v>
      </c>
      <c r="F1955" s="53" t="s">
        <v>3812</v>
      </c>
      <c r="H1955" s="28">
        <v>32809.47</v>
      </c>
    </row>
    <row r="1956" spans="1:8" x14ac:dyDescent="0.35">
      <c r="A1956" s="22"/>
      <c r="B1956" s="22" t="s">
        <v>2550</v>
      </c>
      <c r="C1956" s="26">
        <v>45900</v>
      </c>
      <c r="D1956" s="25" t="s">
        <v>3311</v>
      </c>
      <c r="E1956" s="25" t="s">
        <v>301</v>
      </c>
      <c r="F1956" s="53" t="s">
        <v>3812</v>
      </c>
      <c r="H1956" s="28">
        <v>0</v>
      </c>
    </row>
    <row r="1957" spans="1:8" x14ac:dyDescent="0.35">
      <c r="A1957" s="22"/>
      <c r="B1957" s="22" t="s">
        <v>2550</v>
      </c>
      <c r="C1957" s="26">
        <v>45900</v>
      </c>
      <c r="D1957" s="25" t="s">
        <v>3312</v>
      </c>
      <c r="E1957" s="25" t="s">
        <v>301</v>
      </c>
      <c r="F1957" s="53" t="s">
        <v>3812</v>
      </c>
      <c r="H1957" s="28">
        <v>0</v>
      </c>
    </row>
    <row r="1958" spans="1:8" x14ac:dyDescent="0.35">
      <c r="A1958" s="22"/>
      <c r="B1958" s="22" t="s">
        <v>2550</v>
      </c>
      <c r="C1958" s="26">
        <v>45900</v>
      </c>
      <c r="D1958" s="25" t="s">
        <v>3313</v>
      </c>
      <c r="E1958" s="25" t="s">
        <v>2926</v>
      </c>
      <c r="F1958" s="53" t="s">
        <v>3812</v>
      </c>
      <c r="H1958" s="28">
        <v>0</v>
      </c>
    </row>
    <row r="1959" spans="1:8" x14ac:dyDescent="0.35">
      <c r="A1959" s="22"/>
      <c r="B1959" s="22" t="s">
        <v>2550</v>
      </c>
      <c r="C1959" s="26">
        <v>45900</v>
      </c>
      <c r="D1959" s="25" t="s">
        <v>3314</v>
      </c>
      <c r="E1959" s="25" t="s">
        <v>301</v>
      </c>
      <c r="F1959" s="53" t="s">
        <v>3812</v>
      </c>
      <c r="H1959" s="28">
        <v>0</v>
      </c>
    </row>
    <row r="1960" spans="1:8" x14ac:dyDescent="0.35">
      <c r="A1960" s="22"/>
      <c r="B1960" s="22" t="s">
        <v>2550</v>
      </c>
      <c r="C1960" s="26">
        <v>45900</v>
      </c>
      <c r="D1960" s="25" t="s">
        <v>3315</v>
      </c>
      <c r="E1960" s="25" t="s">
        <v>2555</v>
      </c>
      <c r="F1960" s="53" t="s">
        <v>3812</v>
      </c>
      <c r="H1960" s="28">
        <v>3259.34</v>
      </c>
    </row>
    <row r="1961" spans="1:8" x14ac:dyDescent="0.35">
      <c r="A1961" s="22"/>
      <c r="B1961" s="22" t="s">
        <v>2550</v>
      </c>
      <c r="C1961" s="26">
        <v>45900</v>
      </c>
      <c r="D1961" s="25" t="s">
        <v>3316</v>
      </c>
      <c r="E1961" s="25" t="s">
        <v>2555</v>
      </c>
      <c r="F1961" s="53" t="s">
        <v>3812</v>
      </c>
      <c r="H1961" s="28">
        <v>2593.4</v>
      </c>
    </row>
    <row r="1962" spans="1:8" x14ac:dyDescent="0.35">
      <c r="A1962" s="22"/>
      <c r="B1962" s="22" t="s">
        <v>2550</v>
      </c>
      <c r="C1962" s="26">
        <v>45900</v>
      </c>
      <c r="D1962" s="25" t="s">
        <v>3317</v>
      </c>
      <c r="E1962" s="25" t="s">
        <v>2555</v>
      </c>
      <c r="F1962" s="53" t="s">
        <v>3812</v>
      </c>
      <c r="H1962" s="28">
        <v>9081.1</v>
      </c>
    </row>
    <row r="1963" spans="1:8" x14ac:dyDescent="0.35">
      <c r="A1963" s="22"/>
      <c r="B1963" s="22" t="s">
        <v>2550</v>
      </c>
      <c r="C1963" s="26">
        <v>45900</v>
      </c>
      <c r="D1963" s="25" t="s">
        <v>3318</v>
      </c>
      <c r="E1963" s="25" t="s">
        <v>2555</v>
      </c>
      <c r="F1963" s="53" t="s">
        <v>3812</v>
      </c>
      <c r="H1963" s="28">
        <v>5745.5599999999995</v>
      </c>
    </row>
    <row r="1964" spans="1:8" x14ac:dyDescent="0.35">
      <c r="A1964" s="22"/>
      <c r="B1964" s="22" t="s">
        <v>2550</v>
      </c>
      <c r="C1964" s="26">
        <v>45900</v>
      </c>
      <c r="D1964" s="25" t="s">
        <v>3319</v>
      </c>
      <c r="E1964" s="25" t="s">
        <v>2555</v>
      </c>
      <c r="F1964" s="53" t="s">
        <v>3812</v>
      </c>
      <c r="H1964" s="28">
        <v>0</v>
      </c>
    </row>
    <row r="1965" spans="1:8" x14ac:dyDescent="0.35">
      <c r="A1965" s="22"/>
      <c r="B1965" s="22" t="s">
        <v>2550</v>
      </c>
      <c r="C1965" s="26">
        <v>45900</v>
      </c>
      <c r="D1965" s="25" t="s">
        <v>3320</v>
      </c>
      <c r="E1965" s="25" t="s">
        <v>2555</v>
      </c>
      <c r="F1965" s="53" t="s">
        <v>3812</v>
      </c>
      <c r="H1965" s="28">
        <v>2083.1799999999998</v>
      </c>
    </row>
    <row r="1966" spans="1:8" x14ac:dyDescent="0.35">
      <c r="A1966" s="22"/>
      <c r="B1966" s="22" t="s">
        <v>2550</v>
      </c>
      <c r="C1966" s="26">
        <v>45900</v>
      </c>
      <c r="D1966" s="25" t="s">
        <v>3321</v>
      </c>
      <c r="E1966" s="25" t="s">
        <v>2555</v>
      </c>
      <c r="F1966" s="53" t="s">
        <v>3812</v>
      </c>
      <c r="H1966" s="28">
        <v>2578.21</v>
      </c>
    </row>
    <row r="1967" spans="1:8" x14ac:dyDescent="0.35">
      <c r="A1967" s="22"/>
      <c r="B1967" s="22" t="s">
        <v>2550</v>
      </c>
      <c r="C1967" s="26">
        <v>45900</v>
      </c>
      <c r="D1967" s="25" t="s">
        <v>3322</v>
      </c>
      <c r="E1967" s="25" t="s">
        <v>2555</v>
      </c>
      <c r="F1967" s="53" t="s">
        <v>3812</v>
      </c>
      <c r="H1967" s="28">
        <v>3036.2499999999995</v>
      </c>
    </row>
    <row r="1968" spans="1:8" x14ac:dyDescent="0.35">
      <c r="A1968" s="22"/>
      <c r="B1968" s="22" t="s">
        <v>2550</v>
      </c>
      <c r="C1968" s="26">
        <v>45900</v>
      </c>
      <c r="D1968" s="25" t="s">
        <v>3323</v>
      </c>
      <c r="E1968" s="25" t="s">
        <v>301</v>
      </c>
      <c r="F1968" s="53" t="s">
        <v>3812</v>
      </c>
      <c r="H1968" s="28">
        <v>0</v>
      </c>
    </row>
    <row r="1969" spans="1:8" x14ac:dyDescent="0.35">
      <c r="A1969" s="22"/>
      <c r="B1969" s="22" t="s">
        <v>2550</v>
      </c>
      <c r="C1969" s="26">
        <v>45900</v>
      </c>
      <c r="D1969" s="25" t="s">
        <v>3324</v>
      </c>
      <c r="E1969" s="25" t="s">
        <v>301</v>
      </c>
      <c r="F1969" s="53" t="s">
        <v>3812</v>
      </c>
      <c r="H1969" s="28">
        <v>0</v>
      </c>
    </row>
    <row r="1970" spans="1:8" x14ac:dyDescent="0.35">
      <c r="A1970" s="22"/>
      <c r="B1970" s="22" t="s">
        <v>2550</v>
      </c>
      <c r="C1970" s="26">
        <v>45900</v>
      </c>
      <c r="D1970" s="25" t="s">
        <v>3325</v>
      </c>
      <c r="E1970" s="25" t="s">
        <v>2132</v>
      </c>
      <c r="F1970" s="53" t="s">
        <v>3812</v>
      </c>
      <c r="H1970" s="28">
        <v>1863.21</v>
      </c>
    </row>
    <row r="1971" spans="1:8" x14ac:dyDescent="0.35">
      <c r="A1971" s="22"/>
      <c r="B1971" s="22" t="s">
        <v>2550</v>
      </c>
      <c r="C1971" s="26">
        <v>45900</v>
      </c>
      <c r="D1971" s="25">
        <v>33826</v>
      </c>
      <c r="E1971" s="25" t="s">
        <v>301</v>
      </c>
      <c r="F1971" s="53" t="s">
        <v>3812</v>
      </c>
      <c r="H1971" s="28">
        <v>0</v>
      </c>
    </row>
    <row r="1972" spans="1:8" x14ac:dyDescent="0.35">
      <c r="A1972" s="22"/>
      <c r="B1972" s="22" t="s">
        <v>2550</v>
      </c>
      <c r="C1972" s="26">
        <v>45900</v>
      </c>
      <c r="D1972" s="25" t="s">
        <v>3326</v>
      </c>
      <c r="E1972" s="25" t="s">
        <v>301</v>
      </c>
      <c r="F1972" s="53" t="s">
        <v>3812</v>
      </c>
      <c r="H1972" s="28">
        <v>0</v>
      </c>
    </row>
    <row r="1973" spans="1:8" x14ac:dyDescent="0.35">
      <c r="A1973" s="22"/>
      <c r="B1973" s="22" t="s">
        <v>2550</v>
      </c>
      <c r="C1973" s="26">
        <v>45900</v>
      </c>
      <c r="D1973" s="25" t="s">
        <v>3327</v>
      </c>
      <c r="E1973" s="25" t="s">
        <v>301</v>
      </c>
      <c r="F1973" s="53" t="s">
        <v>3812</v>
      </c>
      <c r="H1973" s="28">
        <v>0</v>
      </c>
    </row>
    <row r="1974" spans="1:8" x14ac:dyDescent="0.35">
      <c r="A1974" s="22"/>
      <c r="B1974" s="22" t="s">
        <v>2550</v>
      </c>
      <c r="C1974" s="26">
        <v>45900</v>
      </c>
      <c r="D1974" s="25" t="s">
        <v>3328</v>
      </c>
      <c r="E1974" s="25" t="s">
        <v>301</v>
      </c>
      <c r="F1974" s="53" t="s">
        <v>3812</v>
      </c>
      <c r="H1974" s="28">
        <v>0</v>
      </c>
    </row>
    <row r="1975" spans="1:8" x14ac:dyDescent="0.35">
      <c r="A1975" s="22"/>
      <c r="B1975" s="22" t="s">
        <v>2550</v>
      </c>
      <c r="C1975" s="26">
        <v>45900</v>
      </c>
      <c r="D1975" s="25" t="s">
        <v>3329</v>
      </c>
      <c r="E1975" s="25" t="s">
        <v>301</v>
      </c>
      <c r="F1975" s="53" t="s">
        <v>3812</v>
      </c>
      <c r="H1975" s="28">
        <v>0</v>
      </c>
    </row>
    <row r="1976" spans="1:8" x14ac:dyDescent="0.35">
      <c r="A1976" s="22"/>
      <c r="B1976" s="22" t="s">
        <v>2550</v>
      </c>
      <c r="C1976" s="26">
        <v>45900</v>
      </c>
      <c r="D1976" s="25" t="s">
        <v>3330</v>
      </c>
      <c r="E1976" s="25" t="s">
        <v>301</v>
      </c>
      <c r="F1976" s="53" t="s">
        <v>3812</v>
      </c>
      <c r="H1976" s="28">
        <v>0</v>
      </c>
    </row>
    <row r="1977" spans="1:8" x14ac:dyDescent="0.35">
      <c r="A1977" s="22"/>
      <c r="B1977" s="22" t="s">
        <v>2550</v>
      </c>
      <c r="C1977" s="26">
        <v>45900</v>
      </c>
      <c r="D1977" s="25">
        <v>33967</v>
      </c>
      <c r="E1977" s="25" t="s">
        <v>301</v>
      </c>
      <c r="F1977" s="53" t="s">
        <v>3812</v>
      </c>
      <c r="H1977" s="28">
        <v>0</v>
      </c>
    </row>
    <row r="1978" spans="1:8" x14ac:dyDescent="0.35">
      <c r="A1978" s="22"/>
      <c r="B1978" s="22" t="s">
        <v>2550</v>
      </c>
      <c r="C1978" s="26">
        <v>45900</v>
      </c>
      <c r="D1978" s="25">
        <v>33968</v>
      </c>
      <c r="E1978" s="25" t="s">
        <v>301</v>
      </c>
      <c r="F1978" s="53" t="s">
        <v>3812</v>
      </c>
      <c r="H1978" s="28">
        <v>0</v>
      </c>
    </row>
    <row r="1979" spans="1:8" x14ac:dyDescent="0.35">
      <c r="A1979" s="22"/>
      <c r="B1979" s="22" t="s">
        <v>2550</v>
      </c>
      <c r="C1979" s="26">
        <v>45900</v>
      </c>
      <c r="D1979" s="25" t="s">
        <v>3331</v>
      </c>
      <c r="E1979" s="25" t="s">
        <v>2033</v>
      </c>
      <c r="F1979" s="53" t="s">
        <v>3812</v>
      </c>
      <c r="H1979" s="28">
        <v>9207.6</v>
      </c>
    </row>
    <row r="1980" spans="1:8" x14ac:dyDescent="0.35">
      <c r="A1980" s="22"/>
      <c r="B1980" s="22" t="s">
        <v>2550</v>
      </c>
      <c r="C1980" s="26">
        <v>45900</v>
      </c>
      <c r="D1980" s="25" t="s">
        <v>3332</v>
      </c>
      <c r="E1980" s="25" t="s">
        <v>2033</v>
      </c>
      <c r="F1980" s="53" t="s">
        <v>3812</v>
      </c>
      <c r="H1980" s="28">
        <v>2790</v>
      </c>
    </row>
    <row r="1981" spans="1:8" x14ac:dyDescent="0.35">
      <c r="A1981" s="22"/>
      <c r="B1981" s="22" t="s">
        <v>2550</v>
      </c>
      <c r="C1981" s="26">
        <v>45900</v>
      </c>
      <c r="D1981" s="25" t="s">
        <v>3333</v>
      </c>
      <c r="E1981" s="25" t="s">
        <v>2033</v>
      </c>
      <c r="F1981" s="53" t="s">
        <v>3812</v>
      </c>
      <c r="H1981" s="28">
        <v>18662.900000000001</v>
      </c>
    </row>
    <row r="1982" spans="1:8" x14ac:dyDescent="0.35">
      <c r="A1982" s="22"/>
      <c r="B1982" s="22" t="s">
        <v>2550</v>
      </c>
      <c r="C1982" s="26">
        <v>45900</v>
      </c>
      <c r="D1982" s="25">
        <v>33999</v>
      </c>
      <c r="E1982" s="25" t="s">
        <v>301</v>
      </c>
      <c r="F1982" s="53" t="s">
        <v>3812</v>
      </c>
      <c r="H1982" s="28">
        <v>0</v>
      </c>
    </row>
    <row r="1983" spans="1:8" x14ac:dyDescent="0.35">
      <c r="A1983" s="22"/>
      <c r="B1983" s="22" t="s">
        <v>2550</v>
      </c>
      <c r="C1983" s="26">
        <v>45900</v>
      </c>
      <c r="D1983" s="25" t="s">
        <v>3334</v>
      </c>
      <c r="E1983" s="25" t="s">
        <v>2033</v>
      </c>
      <c r="F1983" s="53" t="s">
        <v>3812</v>
      </c>
      <c r="H1983" s="28">
        <v>14593.32</v>
      </c>
    </row>
    <row r="1984" spans="1:8" x14ac:dyDescent="0.35">
      <c r="A1984" s="22"/>
      <c r="B1984" s="22" t="s">
        <v>2550</v>
      </c>
      <c r="C1984" s="26">
        <v>45900</v>
      </c>
      <c r="D1984" s="25" t="s">
        <v>3335</v>
      </c>
      <c r="E1984" s="25" t="s">
        <v>2033</v>
      </c>
      <c r="F1984" s="53" t="s">
        <v>3812</v>
      </c>
      <c r="H1984" s="28">
        <v>3598.88</v>
      </c>
    </row>
    <row r="1985" spans="1:8" x14ac:dyDescent="0.35">
      <c r="A1985" s="22"/>
      <c r="B1985" s="22" t="s">
        <v>2550</v>
      </c>
      <c r="C1985" s="26">
        <v>45900</v>
      </c>
      <c r="D1985" s="25">
        <v>34128</v>
      </c>
      <c r="E1985" s="25" t="s">
        <v>301</v>
      </c>
      <c r="F1985" s="53" t="s">
        <v>3812</v>
      </c>
      <c r="H1985" s="28">
        <v>0</v>
      </c>
    </row>
    <row r="1986" spans="1:8" x14ac:dyDescent="0.35">
      <c r="A1986" s="22"/>
      <c r="B1986" s="22" t="s">
        <v>2550</v>
      </c>
      <c r="C1986" s="26">
        <v>45900</v>
      </c>
      <c r="D1986" s="25" t="s">
        <v>3336</v>
      </c>
      <c r="E1986" s="25" t="s">
        <v>2467</v>
      </c>
      <c r="F1986" s="53" t="s">
        <v>3812</v>
      </c>
      <c r="H1986" s="28">
        <v>1738.9900000000002</v>
      </c>
    </row>
    <row r="1987" spans="1:8" x14ac:dyDescent="0.35">
      <c r="A1987" s="22"/>
      <c r="B1987" s="22" t="s">
        <v>2550</v>
      </c>
      <c r="C1987" s="26">
        <v>45900</v>
      </c>
      <c r="D1987" s="25" t="s">
        <v>3337</v>
      </c>
      <c r="E1987" s="25" t="s">
        <v>1724</v>
      </c>
      <c r="F1987" s="53" t="s">
        <v>3812</v>
      </c>
      <c r="H1987" s="28">
        <v>0</v>
      </c>
    </row>
    <row r="1988" spans="1:8" x14ac:dyDescent="0.35">
      <c r="A1988" s="22"/>
      <c r="B1988" s="22" t="s">
        <v>2550</v>
      </c>
      <c r="C1988" s="26">
        <v>45900</v>
      </c>
      <c r="D1988" s="25" t="s">
        <v>3338</v>
      </c>
      <c r="E1988" s="25" t="s">
        <v>1782</v>
      </c>
      <c r="F1988" s="53" t="s">
        <v>3812</v>
      </c>
      <c r="H1988" s="28">
        <v>0</v>
      </c>
    </row>
    <row r="1989" spans="1:8" x14ac:dyDescent="0.35">
      <c r="A1989" s="22"/>
      <c r="B1989" s="22" t="s">
        <v>2550</v>
      </c>
      <c r="C1989" s="26">
        <v>45900</v>
      </c>
      <c r="D1989" s="25">
        <v>34529</v>
      </c>
      <c r="E1989" s="25" t="s">
        <v>301</v>
      </c>
      <c r="F1989" s="53" t="s">
        <v>3812</v>
      </c>
      <c r="H1989" s="28">
        <v>0</v>
      </c>
    </row>
    <row r="1990" spans="1:8" x14ac:dyDescent="0.35">
      <c r="A1990" s="22"/>
      <c r="B1990" s="22" t="s">
        <v>2550</v>
      </c>
      <c r="C1990" s="26">
        <v>45900</v>
      </c>
      <c r="D1990" s="25">
        <v>34753</v>
      </c>
      <c r="E1990" s="25" t="s">
        <v>301</v>
      </c>
      <c r="F1990" s="53" t="s">
        <v>3812</v>
      </c>
      <c r="H1990" s="28">
        <v>0</v>
      </c>
    </row>
    <row r="1991" spans="1:8" x14ac:dyDescent="0.35">
      <c r="A1991" s="22"/>
      <c r="B1991" s="22" t="s">
        <v>2550</v>
      </c>
      <c r="C1991" s="26">
        <v>45900</v>
      </c>
      <c r="D1991" s="25" t="s">
        <v>3339</v>
      </c>
      <c r="E1991" s="25" t="s">
        <v>965</v>
      </c>
      <c r="F1991" s="53" t="s">
        <v>3812</v>
      </c>
      <c r="H1991" s="28">
        <v>0</v>
      </c>
    </row>
    <row r="1992" spans="1:8" x14ac:dyDescent="0.35">
      <c r="A1992" s="22"/>
      <c r="B1992" s="22" t="s">
        <v>2550</v>
      </c>
      <c r="C1992" s="26">
        <v>45900</v>
      </c>
      <c r="D1992" s="25" t="s">
        <v>3340</v>
      </c>
      <c r="E1992" s="25" t="s">
        <v>301</v>
      </c>
      <c r="F1992" s="53" t="s">
        <v>3812</v>
      </c>
      <c r="H1992" s="28">
        <v>0</v>
      </c>
    </row>
    <row r="1993" spans="1:8" x14ac:dyDescent="0.35">
      <c r="A1993" s="22"/>
      <c r="B1993" s="22" t="s">
        <v>2550</v>
      </c>
      <c r="C1993" s="26">
        <v>45900</v>
      </c>
      <c r="D1993" s="25">
        <v>34768</v>
      </c>
      <c r="E1993" s="25" t="s">
        <v>301</v>
      </c>
      <c r="F1993" s="53" t="s">
        <v>3812</v>
      </c>
      <c r="H1993" s="28">
        <v>0</v>
      </c>
    </row>
    <row r="1994" spans="1:8" x14ac:dyDescent="0.35">
      <c r="A1994" s="22"/>
      <c r="B1994" s="22" t="s">
        <v>2550</v>
      </c>
      <c r="C1994" s="26">
        <v>45900</v>
      </c>
      <c r="D1994" s="25">
        <v>34769</v>
      </c>
      <c r="E1994" s="25" t="s">
        <v>301</v>
      </c>
      <c r="F1994" s="53" t="s">
        <v>3812</v>
      </c>
      <c r="H1994" s="28">
        <v>0</v>
      </c>
    </row>
    <row r="1995" spans="1:8" x14ac:dyDescent="0.35">
      <c r="A1995" s="22"/>
      <c r="B1995" s="22" t="s">
        <v>2550</v>
      </c>
      <c r="C1995" s="26">
        <v>45900</v>
      </c>
      <c r="D1995" s="25" t="s">
        <v>3341</v>
      </c>
      <c r="E1995" s="25" t="s">
        <v>1932</v>
      </c>
      <c r="F1995" s="53" t="s">
        <v>3812</v>
      </c>
      <c r="H1995" s="28">
        <v>350</v>
      </c>
    </row>
    <row r="1996" spans="1:8" x14ac:dyDescent="0.35">
      <c r="A1996" s="22"/>
      <c r="B1996" s="22" t="s">
        <v>2550</v>
      </c>
      <c r="C1996" s="26">
        <v>45900</v>
      </c>
      <c r="D1996" s="25" t="s">
        <v>3342</v>
      </c>
      <c r="E1996" s="25" t="s">
        <v>301</v>
      </c>
      <c r="F1996" s="53" t="s">
        <v>3812</v>
      </c>
      <c r="H1996" s="28">
        <v>0</v>
      </c>
    </row>
    <row r="1997" spans="1:8" x14ac:dyDescent="0.35">
      <c r="A1997" s="22"/>
      <c r="B1997" s="22" t="s">
        <v>2550</v>
      </c>
      <c r="C1997" s="26">
        <v>45900</v>
      </c>
      <c r="D1997" s="25" t="s">
        <v>3343</v>
      </c>
      <c r="E1997" s="25" t="s">
        <v>3144</v>
      </c>
      <c r="F1997" s="53" t="s">
        <v>3812</v>
      </c>
      <c r="H1997" s="28">
        <v>9627.86</v>
      </c>
    </row>
    <row r="1998" spans="1:8" x14ac:dyDescent="0.35">
      <c r="A1998" s="22"/>
      <c r="B1998" s="22" t="s">
        <v>2550</v>
      </c>
      <c r="C1998" s="26">
        <v>45900</v>
      </c>
      <c r="D1998" s="25" t="s">
        <v>3344</v>
      </c>
      <c r="E1998" s="25" t="s">
        <v>3144</v>
      </c>
      <c r="F1998" s="53" t="s">
        <v>3812</v>
      </c>
      <c r="H1998" s="28">
        <v>12464.64</v>
      </c>
    </row>
    <row r="1999" spans="1:8" x14ac:dyDescent="0.35">
      <c r="A1999" s="22"/>
      <c r="B1999" s="22" t="s">
        <v>2550</v>
      </c>
      <c r="C1999" s="26">
        <v>45900</v>
      </c>
      <c r="D1999" s="25" t="s">
        <v>3345</v>
      </c>
      <c r="E1999" s="25" t="s">
        <v>2079</v>
      </c>
      <c r="F1999" s="53" t="s">
        <v>3812</v>
      </c>
      <c r="H1999" s="28">
        <v>0</v>
      </c>
    </row>
    <row r="2000" spans="1:8" x14ac:dyDescent="0.35">
      <c r="A2000" s="22"/>
      <c r="B2000" s="22" t="s">
        <v>2550</v>
      </c>
      <c r="C2000" s="26">
        <v>45900</v>
      </c>
      <c r="D2000" s="25" t="s">
        <v>3346</v>
      </c>
      <c r="E2000" s="25" t="s">
        <v>301</v>
      </c>
      <c r="F2000" s="53" t="s">
        <v>3812</v>
      </c>
      <c r="H2000" s="28">
        <v>0</v>
      </c>
    </row>
    <row r="2001" spans="1:8" x14ac:dyDescent="0.35">
      <c r="A2001" s="22"/>
      <c r="B2001" s="22" t="s">
        <v>2550</v>
      </c>
      <c r="C2001" s="26">
        <v>45900</v>
      </c>
      <c r="D2001" s="25" t="s">
        <v>3347</v>
      </c>
      <c r="E2001" s="25" t="s">
        <v>301</v>
      </c>
      <c r="F2001" s="53" t="s">
        <v>3812</v>
      </c>
      <c r="H2001" s="28">
        <v>0</v>
      </c>
    </row>
    <row r="2002" spans="1:8" x14ac:dyDescent="0.35">
      <c r="A2002" s="22"/>
      <c r="B2002" s="22" t="s">
        <v>2550</v>
      </c>
      <c r="C2002" s="26">
        <v>45900</v>
      </c>
      <c r="D2002" s="25" t="s">
        <v>3348</v>
      </c>
      <c r="E2002" s="25" t="s">
        <v>301</v>
      </c>
      <c r="F2002" s="53" t="s">
        <v>3812</v>
      </c>
      <c r="H2002" s="28">
        <v>0</v>
      </c>
    </row>
    <row r="2003" spans="1:8" x14ac:dyDescent="0.35">
      <c r="A2003" s="22"/>
      <c r="B2003" s="22" t="s">
        <v>2550</v>
      </c>
      <c r="C2003" s="26">
        <v>45900</v>
      </c>
      <c r="D2003" s="25" t="s">
        <v>3349</v>
      </c>
      <c r="E2003" s="25" t="s">
        <v>301</v>
      </c>
      <c r="F2003" s="53" t="s">
        <v>3812</v>
      </c>
      <c r="H2003" s="28">
        <v>0</v>
      </c>
    </row>
    <row r="2004" spans="1:8" x14ac:dyDescent="0.35">
      <c r="A2004" s="22"/>
      <c r="B2004" s="22" t="s">
        <v>2550</v>
      </c>
      <c r="C2004" s="26">
        <v>45900</v>
      </c>
      <c r="D2004" s="25" t="s">
        <v>3350</v>
      </c>
      <c r="E2004" s="25" t="s">
        <v>301</v>
      </c>
      <c r="F2004" s="53" t="s">
        <v>3812</v>
      </c>
      <c r="H2004" s="28">
        <v>0</v>
      </c>
    </row>
    <row r="2005" spans="1:8" x14ac:dyDescent="0.35">
      <c r="A2005" s="22"/>
      <c r="B2005" s="22" t="s">
        <v>2550</v>
      </c>
      <c r="C2005" s="26">
        <v>45900</v>
      </c>
      <c r="D2005" s="25" t="s">
        <v>3351</v>
      </c>
      <c r="E2005" s="25" t="s">
        <v>301</v>
      </c>
      <c r="F2005" s="53" t="s">
        <v>3812</v>
      </c>
      <c r="H2005" s="28">
        <v>0</v>
      </c>
    </row>
    <row r="2006" spans="1:8" x14ac:dyDescent="0.35">
      <c r="A2006" s="22"/>
      <c r="B2006" s="22" t="s">
        <v>2550</v>
      </c>
      <c r="C2006" s="26">
        <v>45900</v>
      </c>
      <c r="D2006" s="25" t="s">
        <v>3352</v>
      </c>
      <c r="E2006" s="25" t="s">
        <v>301</v>
      </c>
      <c r="F2006" s="53" t="s">
        <v>3812</v>
      </c>
      <c r="H2006" s="28">
        <v>0</v>
      </c>
    </row>
    <row r="2007" spans="1:8" x14ac:dyDescent="0.35">
      <c r="A2007" s="22"/>
      <c r="B2007" s="22" t="s">
        <v>2550</v>
      </c>
      <c r="C2007" s="26">
        <v>45900</v>
      </c>
      <c r="D2007" s="25" t="s">
        <v>3353</v>
      </c>
      <c r="E2007" s="25" t="s">
        <v>3476</v>
      </c>
      <c r="F2007" s="53" t="s">
        <v>3812</v>
      </c>
      <c r="H2007" s="28">
        <v>1106.25</v>
      </c>
    </row>
    <row r="2008" spans="1:8" x14ac:dyDescent="0.35">
      <c r="A2008" s="22"/>
      <c r="B2008" s="22" t="s">
        <v>2550</v>
      </c>
      <c r="C2008" s="26">
        <v>45900</v>
      </c>
      <c r="D2008" s="25" t="s">
        <v>3354</v>
      </c>
      <c r="E2008" s="25" t="s">
        <v>2467</v>
      </c>
      <c r="F2008" s="53" t="s">
        <v>3812</v>
      </c>
      <c r="H2008" s="28">
        <v>0</v>
      </c>
    </row>
    <row r="2009" spans="1:8" x14ac:dyDescent="0.35">
      <c r="A2009" s="22"/>
      <c r="B2009" s="22" t="s">
        <v>2550</v>
      </c>
      <c r="C2009" s="26">
        <v>45900</v>
      </c>
      <c r="D2009" s="25">
        <v>35410</v>
      </c>
      <c r="E2009" s="25" t="s">
        <v>3509</v>
      </c>
      <c r="F2009" s="53" t="s">
        <v>3812</v>
      </c>
      <c r="H2009" s="28">
        <v>0</v>
      </c>
    </row>
    <row r="2010" spans="1:8" x14ac:dyDescent="0.35">
      <c r="A2010" s="22"/>
      <c r="B2010" s="22" t="s">
        <v>2550</v>
      </c>
      <c r="C2010" s="26">
        <v>45900</v>
      </c>
      <c r="D2010" s="25">
        <v>35411</v>
      </c>
      <c r="E2010" s="25" t="s">
        <v>3509</v>
      </c>
      <c r="F2010" s="53" t="s">
        <v>3812</v>
      </c>
      <c r="H2010" s="28">
        <v>0</v>
      </c>
    </row>
    <row r="2011" spans="1:8" x14ac:dyDescent="0.35">
      <c r="A2011" s="22"/>
      <c r="B2011" s="22" t="s">
        <v>2550</v>
      </c>
      <c r="C2011" s="26">
        <v>45900</v>
      </c>
      <c r="D2011" s="25" t="s">
        <v>3355</v>
      </c>
      <c r="E2011" s="25" t="s">
        <v>3509</v>
      </c>
      <c r="F2011" s="53" t="s">
        <v>3812</v>
      </c>
      <c r="H2011" s="28">
        <v>0</v>
      </c>
    </row>
    <row r="2012" spans="1:8" x14ac:dyDescent="0.35">
      <c r="A2012" s="22"/>
      <c r="B2012" s="22" t="s">
        <v>2550</v>
      </c>
      <c r="C2012" s="26">
        <v>45900</v>
      </c>
      <c r="D2012" s="25">
        <v>35413</v>
      </c>
      <c r="E2012" s="25" t="s">
        <v>3509</v>
      </c>
      <c r="F2012" s="53" t="s">
        <v>3812</v>
      </c>
      <c r="H2012" s="28">
        <v>0</v>
      </c>
    </row>
    <row r="2013" spans="1:8" x14ac:dyDescent="0.35">
      <c r="A2013" s="22"/>
      <c r="B2013" s="22" t="s">
        <v>2550</v>
      </c>
      <c r="C2013" s="26">
        <v>45900</v>
      </c>
      <c r="D2013" s="25">
        <v>35414</v>
      </c>
      <c r="E2013" s="25" t="s">
        <v>3509</v>
      </c>
      <c r="F2013" s="53" t="s">
        <v>3812</v>
      </c>
      <c r="H2013" s="28">
        <v>0</v>
      </c>
    </row>
    <row r="2014" spans="1:8" x14ac:dyDescent="0.35">
      <c r="A2014" s="22"/>
      <c r="B2014" s="22" t="s">
        <v>2550</v>
      </c>
      <c r="C2014" s="26">
        <v>45900</v>
      </c>
      <c r="D2014" s="25">
        <v>35415</v>
      </c>
      <c r="E2014" s="25" t="s">
        <v>3509</v>
      </c>
      <c r="F2014" s="53" t="s">
        <v>3812</v>
      </c>
      <c r="H2014" s="28">
        <v>0</v>
      </c>
    </row>
    <row r="2015" spans="1:8" x14ac:dyDescent="0.35">
      <c r="A2015" s="22"/>
      <c r="B2015" s="22" t="s">
        <v>2550</v>
      </c>
      <c r="C2015" s="26">
        <v>45900</v>
      </c>
      <c r="D2015" s="25">
        <v>35416</v>
      </c>
      <c r="E2015" s="25" t="s">
        <v>3509</v>
      </c>
      <c r="F2015" s="53" t="s">
        <v>3812</v>
      </c>
      <c r="H2015" s="28">
        <v>0</v>
      </c>
    </row>
    <row r="2016" spans="1:8" x14ac:dyDescent="0.35">
      <c r="A2016" s="22"/>
      <c r="B2016" s="22" t="s">
        <v>2550</v>
      </c>
      <c r="C2016" s="26">
        <v>45900</v>
      </c>
      <c r="D2016" s="25">
        <v>35417</v>
      </c>
      <c r="E2016" s="25" t="s">
        <v>3509</v>
      </c>
      <c r="F2016" s="53" t="s">
        <v>3812</v>
      </c>
      <c r="H2016" s="28">
        <v>0</v>
      </c>
    </row>
    <row r="2017" spans="1:8" x14ac:dyDescent="0.35">
      <c r="A2017" s="22"/>
      <c r="B2017" s="22" t="s">
        <v>2550</v>
      </c>
      <c r="C2017" s="26">
        <v>45900</v>
      </c>
      <c r="D2017" s="25">
        <v>35418</v>
      </c>
      <c r="E2017" s="25" t="s">
        <v>3509</v>
      </c>
      <c r="F2017" s="53" t="s">
        <v>3812</v>
      </c>
      <c r="H2017" s="28">
        <v>0</v>
      </c>
    </row>
    <row r="2018" spans="1:8" x14ac:dyDescent="0.35">
      <c r="A2018" s="22"/>
      <c r="B2018" s="22" t="s">
        <v>2550</v>
      </c>
      <c r="C2018" s="26">
        <v>45900</v>
      </c>
      <c r="D2018" s="25">
        <v>35419</v>
      </c>
      <c r="E2018" s="25" t="s">
        <v>3509</v>
      </c>
      <c r="F2018" s="53" t="s">
        <v>3812</v>
      </c>
      <c r="H2018" s="28">
        <v>0</v>
      </c>
    </row>
    <row r="2019" spans="1:8" x14ac:dyDescent="0.35">
      <c r="A2019" s="22"/>
      <c r="B2019" s="22" t="s">
        <v>2550</v>
      </c>
      <c r="C2019" s="26">
        <v>45900</v>
      </c>
      <c r="D2019" s="25">
        <v>35420</v>
      </c>
      <c r="E2019" s="25" t="s">
        <v>3509</v>
      </c>
      <c r="F2019" s="53" t="s">
        <v>3812</v>
      </c>
      <c r="H2019" s="28">
        <v>0</v>
      </c>
    </row>
    <row r="2020" spans="1:8" x14ac:dyDescent="0.35">
      <c r="A2020" s="22"/>
      <c r="B2020" s="22" t="s">
        <v>2550</v>
      </c>
      <c r="C2020" s="26">
        <v>45900</v>
      </c>
      <c r="D2020" s="25">
        <v>35421</v>
      </c>
      <c r="E2020" s="25" t="s">
        <v>3509</v>
      </c>
      <c r="F2020" s="53" t="s">
        <v>3812</v>
      </c>
      <c r="H2020" s="28">
        <v>0</v>
      </c>
    </row>
    <row r="2021" spans="1:8" x14ac:dyDescent="0.35">
      <c r="A2021" s="22"/>
      <c r="B2021" s="22" t="s">
        <v>2550</v>
      </c>
      <c r="C2021" s="26">
        <v>45900</v>
      </c>
      <c r="D2021" s="25" t="s">
        <v>3357</v>
      </c>
      <c r="E2021" s="25" t="s">
        <v>3509</v>
      </c>
      <c r="F2021" s="53" t="s">
        <v>3812</v>
      </c>
      <c r="H2021" s="28">
        <v>0</v>
      </c>
    </row>
    <row r="2022" spans="1:8" x14ac:dyDescent="0.35">
      <c r="A2022" s="22"/>
      <c r="B2022" s="22" t="s">
        <v>2550</v>
      </c>
      <c r="C2022" s="26">
        <v>45900</v>
      </c>
      <c r="D2022" s="25" t="s">
        <v>3358</v>
      </c>
      <c r="E2022" s="25" t="s">
        <v>1757</v>
      </c>
      <c r="F2022" s="53" t="s">
        <v>3812</v>
      </c>
      <c r="H2022" s="28">
        <v>52357.24</v>
      </c>
    </row>
    <row r="2023" spans="1:8" x14ac:dyDescent="0.35">
      <c r="A2023" s="22"/>
      <c r="B2023" s="22" t="s">
        <v>2550</v>
      </c>
      <c r="C2023" s="26">
        <v>45900</v>
      </c>
      <c r="D2023" s="25">
        <v>35434</v>
      </c>
      <c r="E2023" s="25" t="s">
        <v>1757</v>
      </c>
      <c r="F2023" s="53" t="s">
        <v>3812</v>
      </c>
      <c r="H2023" s="28">
        <v>13892.579999999998</v>
      </c>
    </row>
    <row r="2024" spans="1:8" x14ac:dyDescent="0.35">
      <c r="A2024" s="22"/>
      <c r="B2024" s="22" t="s">
        <v>2550</v>
      </c>
      <c r="C2024" s="26">
        <v>45900</v>
      </c>
      <c r="D2024" s="25" t="s">
        <v>3360</v>
      </c>
      <c r="E2024" s="25" t="s">
        <v>1757</v>
      </c>
      <c r="F2024" s="53" t="s">
        <v>3812</v>
      </c>
      <c r="H2024" s="28">
        <v>946.14</v>
      </c>
    </row>
    <row r="2025" spans="1:8" x14ac:dyDescent="0.35">
      <c r="A2025" s="22"/>
      <c r="B2025" s="22" t="s">
        <v>2550</v>
      </c>
      <c r="C2025" s="26">
        <v>45900</v>
      </c>
      <c r="D2025" s="25" t="s">
        <v>3361</v>
      </c>
      <c r="E2025" s="25" t="s">
        <v>1757</v>
      </c>
      <c r="F2025" s="53" t="s">
        <v>3812</v>
      </c>
      <c r="H2025" s="28">
        <v>332.38</v>
      </c>
    </row>
    <row r="2026" spans="1:8" x14ac:dyDescent="0.35">
      <c r="A2026" s="22"/>
      <c r="B2026" s="22" t="s">
        <v>2550</v>
      </c>
      <c r="C2026" s="26">
        <v>45900</v>
      </c>
      <c r="D2026" s="25" t="s">
        <v>3362</v>
      </c>
      <c r="E2026" s="25" t="s">
        <v>1757</v>
      </c>
      <c r="F2026" s="53" t="s">
        <v>3812</v>
      </c>
      <c r="H2026" s="28">
        <v>0</v>
      </c>
    </row>
    <row r="2027" spans="1:8" x14ac:dyDescent="0.35">
      <c r="A2027" s="22"/>
      <c r="B2027" s="22" t="s">
        <v>2550</v>
      </c>
      <c r="C2027" s="26">
        <v>45900</v>
      </c>
      <c r="D2027" s="25" t="s">
        <v>3363</v>
      </c>
      <c r="E2027" s="25" t="s">
        <v>1757</v>
      </c>
      <c r="F2027" s="53" t="s">
        <v>3812</v>
      </c>
      <c r="H2027" s="28">
        <v>43962.13</v>
      </c>
    </row>
    <row r="2028" spans="1:8" x14ac:dyDescent="0.35">
      <c r="A2028" s="22"/>
      <c r="B2028" s="22" t="s">
        <v>2550</v>
      </c>
      <c r="C2028" s="26">
        <v>45900</v>
      </c>
      <c r="D2028" s="25" t="s">
        <v>3364</v>
      </c>
      <c r="E2028" s="25" t="s">
        <v>1757</v>
      </c>
      <c r="F2028" s="53" t="s">
        <v>3812</v>
      </c>
      <c r="H2028" s="28">
        <v>435.65</v>
      </c>
    </row>
    <row r="2029" spans="1:8" x14ac:dyDescent="0.35">
      <c r="A2029" s="22"/>
      <c r="B2029" s="22" t="s">
        <v>2550</v>
      </c>
      <c r="C2029" s="26">
        <v>45900</v>
      </c>
      <c r="D2029" s="25" t="s">
        <v>3365</v>
      </c>
      <c r="E2029" s="25" t="s">
        <v>1757</v>
      </c>
      <c r="F2029" s="53" t="s">
        <v>3812</v>
      </c>
      <c r="H2029" s="28">
        <v>1342.06</v>
      </c>
    </row>
    <row r="2030" spans="1:8" x14ac:dyDescent="0.35">
      <c r="A2030" s="22"/>
      <c r="B2030" s="22" t="s">
        <v>2550</v>
      </c>
      <c r="C2030" s="26">
        <v>45900</v>
      </c>
      <c r="D2030" s="25" t="s">
        <v>3366</v>
      </c>
      <c r="E2030" s="25" t="s">
        <v>1757</v>
      </c>
      <c r="F2030" s="53" t="s">
        <v>3812</v>
      </c>
      <c r="H2030" s="28">
        <v>3793.79</v>
      </c>
    </row>
    <row r="2031" spans="1:8" x14ac:dyDescent="0.35">
      <c r="A2031" s="22"/>
      <c r="B2031" s="22" t="s">
        <v>2550</v>
      </c>
      <c r="C2031" s="26">
        <v>45900</v>
      </c>
      <c r="D2031" s="25" t="s">
        <v>3367</v>
      </c>
      <c r="E2031" s="25" t="s">
        <v>1757</v>
      </c>
      <c r="F2031" s="53" t="s">
        <v>3812</v>
      </c>
      <c r="H2031" s="28">
        <v>0</v>
      </c>
    </row>
    <row r="2032" spans="1:8" x14ac:dyDescent="0.35">
      <c r="A2032" s="22"/>
      <c r="B2032" s="22" t="s">
        <v>2550</v>
      </c>
      <c r="C2032" s="26">
        <v>45900</v>
      </c>
      <c r="D2032" s="25" t="s">
        <v>3368</v>
      </c>
      <c r="E2032" s="25" t="s">
        <v>1757</v>
      </c>
      <c r="F2032" s="53" t="s">
        <v>3812</v>
      </c>
      <c r="H2032" s="28">
        <v>9777.1999999999989</v>
      </c>
    </row>
    <row r="2033" spans="1:8" x14ac:dyDescent="0.35">
      <c r="A2033" s="22"/>
      <c r="B2033" s="22" t="s">
        <v>2550</v>
      </c>
      <c r="C2033" s="26">
        <v>45900</v>
      </c>
      <c r="D2033" s="25" t="s">
        <v>3370</v>
      </c>
      <c r="E2033" s="25" t="s">
        <v>3212</v>
      </c>
      <c r="F2033" s="53" t="s">
        <v>3812</v>
      </c>
      <c r="H2033" s="28">
        <v>9000</v>
      </c>
    </row>
    <row r="2034" spans="1:8" x14ac:dyDescent="0.35">
      <c r="A2034" s="22"/>
      <c r="B2034" s="22" t="s">
        <v>2550</v>
      </c>
      <c r="C2034" s="26">
        <v>45900</v>
      </c>
      <c r="D2034" s="25" t="s">
        <v>3372</v>
      </c>
      <c r="E2034" s="25" t="s">
        <v>3218</v>
      </c>
      <c r="F2034" s="53" t="s">
        <v>3812</v>
      </c>
      <c r="H2034" s="28">
        <v>0</v>
      </c>
    </row>
    <row r="2035" spans="1:8" x14ac:dyDescent="0.35">
      <c r="A2035" s="22"/>
      <c r="B2035" s="22" t="s">
        <v>2550</v>
      </c>
      <c r="C2035" s="26">
        <v>45900</v>
      </c>
      <c r="D2035" s="25">
        <v>35494</v>
      </c>
      <c r="E2035" s="25" t="s">
        <v>3218</v>
      </c>
      <c r="F2035" s="53" t="s">
        <v>3812</v>
      </c>
      <c r="H2035" s="28">
        <v>94</v>
      </c>
    </row>
    <row r="2036" spans="1:8" x14ac:dyDescent="0.35">
      <c r="A2036" s="22"/>
      <c r="B2036" s="22" t="s">
        <v>2550</v>
      </c>
      <c r="C2036" s="26">
        <v>45900</v>
      </c>
      <c r="D2036" s="25" t="s">
        <v>3373</v>
      </c>
      <c r="E2036" s="25" t="s">
        <v>2514</v>
      </c>
      <c r="F2036" s="53" t="s">
        <v>3812</v>
      </c>
      <c r="H2036" s="28">
        <v>1073.28</v>
      </c>
    </row>
    <row r="2037" spans="1:8" x14ac:dyDescent="0.35">
      <c r="A2037" s="22"/>
      <c r="B2037" s="22" t="s">
        <v>2550</v>
      </c>
      <c r="C2037" s="26">
        <v>45900</v>
      </c>
      <c r="D2037" s="25" t="s">
        <v>3374</v>
      </c>
      <c r="E2037" s="25" t="s">
        <v>2514</v>
      </c>
      <c r="F2037" s="53" t="s">
        <v>3812</v>
      </c>
      <c r="H2037" s="28">
        <v>1505.52</v>
      </c>
    </row>
    <row r="2038" spans="1:8" x14ac:dyDescent="0.35">
      <c r="A2038" s="22"/>
      <c r="B2038" s="22" t="s">
        <v>2550</v>
      </c>
      <c r="C2038" s="26">
        <v>45900</v>
      </c>
      <c r="D2038" s="25" t="s">
        <v>3375</v>
      </c>
      <c r="E2038" s="25" t="s">
        <v>2514</v>
      </c>
      <c r="F2038" s="53" t="s">
        <v>3812</v>
      </c>
      <c r="H2038" s="28">
        <v>20938.5</v>
      </c>
    </row>
    <row r="2039" spans="1:8" x14ac:dyDescent="0.35">
      <c r="A2039" s="22"/>
      <c r="B2039" s="22" t="s">
        <v>2550</v>
      </c>
      <c r="C2039" s="26">
        <v>45900</v>
      </c>
      <c r="D2039" s="25" t="s">
        <v>3376</v>
      </c>
      <c r="E2039" s="25" t="s">
        <v>2514</v>
      </c>
      <c r="F2039" s="53" t="s">
        <v>3812</v>
      </c>
      <c r="H2039" s="28">
        <v>45</v>
      </c>
    </row>
    <row r="2040" spans="1:8" x14ac:dyDescent="0.35">
      <c r="A2040" s="22"/>
      <c r="B2040" s="22" t="s">
        <v>2550</v>
      </c>
      <c r="C2040" s="26">
        <v>45900</v>
      </c>
      <c r="D2040" s="25" t="s">
        <v>3377</v>
      </c>
      <c r="E2040" s="25" t="s">
        <v>2514</v>
      </c>
      <c r="F2040" s="53" t="s">
        <v>3812</v>
      </c>
      <c r="H2040" s="28">
        <v>0</v>
      </c>
    </row>
    <row r="2041" spans="1:8" x14ac:dyDescent="0.35">
      <c r="A2041" s="22"/>
      <c r="B2041" s="22" t="s">
        <v>2550</v>
      </c>
      <c r="C2041" s="26">
        <v>45900</v>
      </c>
      <c r="D2041" s="25" t="s">
        <v>3378</v>
      </c>
      <c r="E2041" s="25" t="s">
        <v>2514</v>
      </c>
      <c r="F2041" s="53" t="s">
        <v>3812</v>
      </c>
      <c r="H2041" s="28">
        <v>2044.7199999999998</v>
      </c>
    </row>
    <row r="2042" spans="1:8" x14ac:dyDescent="0.35">
      <c r="A2042" s="22"/>
      <c r="B2042" s="22" t="s">
        <v>2550</v>
      </c>
      <c r="C2042" s="26">
        <v>45900</v>
      </c>
      <c r="D2042" s="25" t="s">
        <v>3379</v>
      </c>
      <c r="E2042" s="25" t="s">
        <v>2514</v>
      </c>
      <c r="F2042" s="53" t="s">
        <v>3812</v>
      </c>
      <c r="H2042" s="28">
        <v>7436.4</v>
      </c>
    </row>
    <row r="2043" spans="1:8" x14ac:dyDescent="0.35">
      <c r="A2043" s="22"/>
      <c r="B2043" s="22" t="s">
        <v>2550</v>
      </c>
      <c r="C2043" s="26">
        <v>45900</v>
      </c>
      <c r="D2043" s="25" t="s">
        <v>3380</v>
      </c>
      <c r="E2043" s="25" t="s">
        <v>2514</v>
      </c>
      <c r="F2043" s="53" t="s">
        <v>3812</v>
      </c>
      <c r="H2043" s="28">
        <v>24.28</v>
      </c>
    </row>
    <row r="2044" spans="1:8" x14ac:dyDescent="0.35">
      <c r="A2044" s="22"/>
      <c r="B2044" s="22" t="s">
        <v>2550</v>
      </c>
      <c r="C2044" s="26">
        <v>45900</v>
      </c>
      <c r="D2044" s="25" t="s">
        <v>3381</v>
      </c>
      <c r="E2044" s="25" t="s">
        <v>2514</v>
      </c>
      <c r="F2044" s="53" t="s">
        <v>3812</v>
      </c>
      <c r="H2044" s="28">
        <v>2101.1999999999998</v>
      </c>
    </row>
    <row r="2045" spans="1:8" x14ac:dyDescent="0.35">
      <c r="A2045" s="22"/>
      <c r="B2045" s="22" t="s">
        <v>2550</v>
      </c>
      <c r="C2045" s="26">
        <v>45900</v>
      </c>
      <c r="D2045" s="25" t="s">
        <v>3382</v>
      </c>
      <c r="E2045" s="25" t="s">
        <v>2514</v>
      </c>
      <c r="F2045" s="53" t="s">
        <v>3812</v>
      </c>
      <c r="H2045" s="28">
        <v>727.28</v>
      </c>
    </row>
    <row r="2046" spans="1:8" x14ac:dyDescent="0.35">
      <c r="A2046" s="22"/>
      <c r="B2046" s="22" t="s">
        <v>2550</v>
      </c>
      <c r="C2046" s="26">
        <v>45900</v>
      </c>
      <c r="D2046" s="25" t="s">
        <v>3383</v>
      </c>
      <c r="E2046" s="25" t="s">
        <v>2514</v>
      </c>
      <c r="F2046" s="53" t="s">
        <v>3812</v>
      </c>
      <c r="H2046" s="28">
        <v>1873.33</v>
      </c>
    </row>
    <row r="2047" spans="1:8" x14ac:dyDescent="0.35">
      <c r="A2047" s="22"/>
      <c r="B2047" s="22" t="s">
        <v>2550</v>
      </c>
      <c r="C2047" s="26">
        <v>45900</v>
      </c>
      <c r="D2047" s="25" t="s">
        <v>3384</v>
      </c>
      <c r="E2047" s="25" t="s">
        <v>1035</v>
      </c>
      <c r="F2047" s="53" t="s">
        <v>3812</v>
      </c>
      <c r="H2047" s="28">
        <v>2215.38</v>
      </c>
    </row>
    <row r="2048" spans="1:8" x14ac:dyDescent="0.35">
      <c r="A2048" s="22"/>
      <c r="B2048" s="22" t="s">
        <v>2550</v>
      </c>
      <c r="C2048" s="26">
        <v>45900</v>
      </c>
      <c r="D2048" s="25" t="s">
        <v>3385</v>
      </c>
      <c r="E2048" s="25" t="s">
        <v>2396</v>
      </c>
      <c r="F2048" s="53" t="s">
        <v>3812</v>
      </c>
      <c r="H2048" s="28">
        <v>36902.449999999997</v>
      </c>
    </row>
    <row r="2049" spans="1:8" x14ac:dyDescent="0.35">
      <c r="A2049" s="22"/>
      <c r="B2049" s="22" t="s">
        <v>2550</v>
      </c>
      <c r="C2049" s="26">
        <v>45900</v>
      </c>
      <c r="D2049" s="25" t="s">
        <v>3386</v>
      </c>
      <c r="E2049" s="25" t="s">
        <v>1475</v>
      </c>
      <c r="F2049" s="53" t="s">
        <v>3812</v>
      </c>
      <c r="H2049" s="28">
        <v>43790.32</v>
      </c>
    </row>
    <row r="2050" spans="1:8" x14ac:dyDescent="0.35">
      <c r="A2050" s="22"/>
      <c r="B2050" s="22" t="s">
        <v>2550</v>
      </c>
      <c r="C2050" s="26">
        <v>45900</v>
      </c>
      <c r="D2050" s="25" t="s">
        <v>3387</v>
      </c>
      <c r="E2050" s="25" t="s">
        <v>1475</v>
      </c>
      <c r="F2050" s="53" t="s">
        <v>3812</v>
      </c>
      <c r="H2050" s="28">
        <v>302922.93</v>
      </c>
    </row>
    <row r="2051" spans="1:8" x14ac:dyDescent="0.35">
      <c r="A2051" s="22"/>
      <c r="B2051" s="22" t="s">
        <v>2550</v>
      </c>
      <c r="C2051" s="26">
        <v>45900</v>
      </c>
      <c r="D2051" s="25" t="s">
        <v>3388</v>
      </c>
      <c r="E2051" s="25" t="s">
        <v>1475</v>
      </c>
      <c r="F2051" s="53" t="s">
        <v>3812</v>
      </c>
      <c r="H2051" s="28">
        <v>72755.139999999985</v>
      </c>
    </row>
    <row r="2052" spans="1:8" x14ac:dyDescent="0.35">
      <c r="A2052" s="22"/>
      <c r="B2052" s="22" t="s">
        <v>2550</v>
      </c>
      <c r="C2052" s="26">
        <v>45900</v>
      </c>
      <c r="D2052" s="25">
        <v>35797</v>
      </c>
      <c r="E2052" s="25" t="s">
        <v>1475</v>
      </c>
      <c r="F2052" s="53" t="s">
        <v>3812</v>
      </c>
      <c r="H2052" s="28">
        <v>32609.54</v>
      </c>
    </row>
    <row r="2053" spans="1:8" x14ac:dyDescent="0.35">
      <c r="A2053" s="22"/>
      <c r="B2053" s="22" t="s">
        <v>2550</v>
      </c>
      <c r="C2053" s="26">
        <v>45900</v>
      </c>
      <c r="D2053" s="25">
        <v>35799</v>
      </c>
      <c r="E2053" s="25" t="s">
        <v>1475</v>
      </c>
      <c r="F2053" s="53" t="s">
        <v>3812</v>
      </c>
      <c r="H2053" s="28">
        <v>0</v>
      </c>
    </row>
    <row r="2054" spans="1:8" x14ac:dyDescent="0.35">
      <c r="A2054" s="22"/>
      <c r="B2054" s="22" t="s">
        <v>2550</v>
      </c>
      <c r="C2054" s="26">
        <v>45900</v>
      </c>
      <c r="D2054" s="25" t="s">
        <v>3389</v>
      </c>
      <c r="E2054" s="25" t="s">
        <v>1475</v>
      </c>
      <c r="F2054" s="53" t="s">
        <v>3812</v>
      </c>
      <c r="H2054" s="28">
        <v>43846.5</v>
      </c>
    </row>
    <row r="2055" spans="1:8" x14ac:dyDescent="0.35">
      <c r="A2055" s="22"/>
      <c r="B2055" s="22" t="s">
        <v>2550</v>
      </c>
      <c r="C2055" s="26">
        <v>45900</v>
      </c>
      <c r="D2055" s="25" t="s">
        <v>3390</v>
      </c>
      <c r="E2055" s="25" t="s">
        <v>1475</v>
      </c>
      <c r="F2055" s="53" t="s">
        <v>3812</v>
      </c>
      <c r="H2055" s="28">
        <v>7530.8700000000008</v>
      </c>
    </row>
    <row r="2056" spans="1:8" x14ac:dyDescent="0.35">
      <c r="A2056" s="22"/>
      <c r="B2056" s="22" t="s">
        <v>2550</v>
      </c>
      <c r="C2056" s="26">
        <v>45900</v>
      </c>
      <c r="D2056" s="25">
        <v>35806</v>
      </c>
      <c r="E2056" s="25" t="s">
        <v>1475</v>
      </c>
      <c r="F2056" s="53" t="s">
        <v>3812</v>
      </c>
      <c r="H2056" s="28">
        <v>9294.6599999999944</v>
      </c>
    </row>
    <row r="2057" spans="1:8" x14ac:dyDescent="0.35">
      <c r="A2057" s="22"/>
      <c r="B2057" s="22" t="s">
        <v>2550</v>
      </c>
      <c r="C2057" s="26">
        <v>45900</v>
      </c>
      <c r="D2057" s="25" t="s">
        <v>3391</v>
      </c>
      <c r="E2057" s="25" t="s">
        <v>1475</v>
      </c>
      <c r="F2057" s="53" t="s">
        <v>3812</v>
      </c>
      <c r="H2057" s="28">
        <v>159237.71</v>
      </c>
    </row>
    <row r="2058" spans="1:8" x14ac:dyDescent="0.35">
      <c r="A2058" s="22"/>
      <c r="B2058" s="22" t="s">
        <v>2550</v>
      </c>
      <c r="C2058" s="26">
        <v>45900</v>
      </c>
      <c r="D2058" s="25" t="s">
        <v>3392</v>
      </c>
      <c r="E2058" s="25" t="s">
        <v>1475</v>
      </c>
      <c r="F2058" s="53" t="s">
        <v>3812</v>
      </c>
      <c r="H2058" s="28">
        <v>32921.159999999996</v>
      </c>
    </row>
    <row r="2059" spans="1:8" x14ac:dyDescent="0.35">
      <c r="A2059" s="22"/>
      <c r="B2059" s="22" t="s">
        <v>2550</v>
      </c>
      <c r="C2059" s="26">
        <v>45900</v>
      </c>
      <c r="D2059" s="25">
        <v>35811</v>
      </c>
      <c r="E2059" s="25" t="s">
        <v>1475</v>
      </c>
      <c r="F2059" s="53" t="s">
        <v>3812</v>
      </c>
      <c r="H2059" s="28">
        <v>80186.399999999994</v>
      </c>
    </row>
    <row r="2060" spans="1:8" x14ac:dyDescent="0.35">
      <c r="A2060" s="22"/>
      <c r="B2060" s="22" t="s">
        <v>2550</v>
      </c>
      <c r="C2060" s="26">
        <v>45900</v>
      </c>
      <c r="D2060" s="25" t="s">
        <v>3394</v>
      </c>
      <c r="E2060" s="25" t="s">
        <v>1475</v>
      </c>
      <c r="F2060" s="53" t="s">
        <v>3812</v>
      </c>
      <c r="H2060" s="28">
        <v>10482.630000000001</v>
      </c>
    </row>
    <row r="2061" spans="1:8" x14ac:dyDescent="0.35">
      <c r="A2061" s="22"/>
      <c r="B2061" s="22" t="s">
        <v>2550</v>
      </c>
      <c r="C2061" s="26">
        <v>45900</v>
      </c>
      <c r="D2061" s="25" t="s">
        <v>3395</v>
      </c>
      <c r="E2061" s="25" t="s">
        <v>2459</v>
      </c>
      <c r="F2061" s="53" t="s">
        <v>3812</v>
      </c>
      <c r="H2061" s="28">
        <v>106.95</v>
      </c>
    </row>
    <row r="2062" spans="1:8" x14ac:dyDescent="0.35">
      <c r="A2062" s="22"/>
      <c r="B2062" s="22" t="s">
        <v>2550</v>
      </c>
      <c r="C2062" s="26">
        <v>45900</v>
      </c>
      <c r="D2062" s="25" t="s">
        <v>3396</v>
      </c>
      <c r="E2062" s="25" t="s">
        <v>2462</v>
      </c>
      <c r="F2062" s="53" t="s">
        <v>3812</v>
      </c>
      <c r="H2062" s="28">
        <v>195091.02999999997</v>
      </c>
    </row>
    <row r="2063" spans="1:8" x14ac:dyDescent="0.35">
      <c r="A2063" s="22"/>
      <c r="B2063" s="22" t="s">
        <v>2550</v>
      </c>
      <c r="C2063" s="26">
        <v>45900</v>
      </c>
      <c r="D2063" s="25" t="s">
        <v>3397</v>
      </c>
      <c r="E2063" s="25" t="s">
        <v>3359</v>
      </c>
      <c r="F2063" s="53" t="s">
        <v>3812</v>
      </c>
      <c r="H2063" s="28">
        <v>0</v>
      </c>
    </row>
    <row r="2064" spans="1:8" x14ac:dyDescent="0.35">
      <c r="A2064" s="22"/>
      <c r="B2064" s="22" t="s">
        <v>2550</v>
      </c>
      <c r="C2064" s="26">
        <v>45900</v>
      </c>
      <c r="D2064" s="25" t="s">
        <v>3398</v>
      </c>
      <c r="E2064" s="25" t="s">
        <v>301</v>
      </c>
      <c r="F2064" s="53" t="s">
        <v>3812</v>
      </c>
      <c r="H2064" s="28">
        <v>0</v>
      </c>
    </row>
    <row r="2065" spans="1:8" x14ac:dyDescent="0.35">
      <c r="A2065" s="22"/>
      <c r="B2065" s="22" t="s">
        <v>2550</v>
      </c>
      <c r="C2065" s="26">
        <v>45900</v>
      </c>
      <c r="D2065" s="25" t="s">
        <v>3399</v>
      </c>
      <c r="E2065" s="25" t="s">
        <v>301</v>
      </c>
      <c r="F2065" s="53" t="s">
        <v>3812</v>
      </c>
      <c r="H2065" s="28">
        <v>0</v>
      </c>
    </row>
    <row r="2066" spans="1:8" x14ac:dyDescent="0.35">
      <c r="A2066" s="22"/>
      <c r="B2066" s="22" t="s">
        <v>2550</v>
      </c>
      <c r="C2066" s="26">
        <v>45900</v>
      </c>
      <c r="D2066" s="25" t="s">
        <v>3400</v>
      </c>
      <c r="E2066" s="25" t="s">
        <v>301</v>
      </c>
      <c r="F2066" s="53" t="s">
        <v>3812</v>
      </c>
      <c r="H2066" s="28">
        <v>0</v>
      </c>
    </row>
    <row r="2067" spans="1:8" x14ac:dyDescent="0.35">
      <c r="A2067" s="22"/>
      <c r="B2067" s="22" t="s">
        <v>2550</v>
      </c>
      <c r="C2067" s="26">
        <v>45900</v>
      </c>
      <c r="D2067" s="25" t="s">
        <v>3401</v>
      </c>
      <c r="E2067" s="25" t="s">
        <v>301</v>
      </c>
      <c r="F2067" s="53" t="s">
        <v>3812</v>
      </c>
      <c r="H2067" s="28">
        <v>0</v>
      </c>
    </row>
    <row r="2068" spans="1:8" x14ac:dyDescent="0.35">
      <c r="A2068" s="22"/>
      <c r="B2068" s="22" t="s">
        <v>2550</v>
      </c>
      <c r="C2068" s="26">
        <v>45900</v>
      </c>
      <c r="D2068" s="25" t="s">
        <v>3402</v>
      </c>
      <c r="E2068" s="25" t="s">
        <v>3369</v>
      </c>
      <c r="F2068" s="53" t="s">
        <v>3812</v>
      </c>
      <c r="H2068" s="28">
        <v>340</v>
      </c>
    </row>
    <row r="2069" spans="1:8" x14ac:dyDescent="0.35">
      <c r="A2069" s="22"/>
      <c r="B2069" s="22" t="s">
        <v>2550</v>
      </c>
      <c r="C2069" s="26">
        <v>45900</v>
      </c>
      <c r="D2069" s="25">
        <v>36196</v>
      </c>
      <c r="E2069" s="25" t="s">
        <v>301</v>
      </c>
      <c r="F2069" s="53" t="s">
        <v>3812</v>
      </c>
      <c r="H2069" s="28">
        <v>0</v>
      </c>
    </row>
    <row r="2070" spans="1:8" x14ac:dyDescent="0.35">
      <c r="A2070" s="22"/>
      <c r="B2070" s="22" t="s">
        <v>2550</v>
      </c>
      <c r="C2070" s="26">
        <v>45900</v>
      </c>
      <c r="D2070" s="25" t="s">
        <v>3403</v>
      </c>
      <c r="E2070" s="25" t="s">
        <v>3371</v>
      </c>
      <c r="F2070" s="53" t="s">
        <v>3812</v>
      </c>
      <c r="H2070" s="28">
        <v>4260</v>
      </c>
    </row>
    <row r="2071" spans="1:8" x14ac:dyDescent="0.35">
      <c r="A2071" s="22"/>
      <c r="B2071" s="22" t="s">
        <v>2550</v>
      </c>
      <c r="C2071" s="26">
        <v>45900</v>
      </c>
      <c r="D2071" s="25">
        <v>36303</v>
      </c>
      <c r="E2071" s="25" t="s">
        <v>301</v>
      </c>
      <c r="F2071" s="53" t="s">
        <v>3812</v>
      </c>
      <c r="H2071" s="28">
        <v>0</v>
      </c>
    </row>
    <row r="2072" spans="1:8" x14ac:dyDescent="0.35">
      <c r="A2072" s="22"/>
      <c r="B2072" s="22" t="s">
        <v>2550</v>
      </c>
      <c r="C2072" s="26">
        <v>45900</v>
      </c>
      <c r="D2072" s="25" t="s">
        <v>3404</v>
      </c>
      <c r="E2072" s="25" t="s">
        <v>2027</v>
      </c>
      <c r="F2072" s="53" t="s">
        <v>3812</v>
      </c>
      <c r="H2072" s="28">
        <v>0</v>
      </c>
    </row>
    <row r="2073" spans="1:8" x14ac:dyDescent="0.35">
      <c r="A2073" s="22"/>
      <c r="B2073" s="22" t="s">
        <v>2550</v>
      </c>
      <c r="C2073" s="26">
        <v>45900</v>
      </c>
      <c r="D2073" s="25" t="s">
        <v>3405</v>
      </c>
      <c r="E2073" s="25" t="s">
        <v>301</v>
      </c>
      <c r="F2073" s="53" t="s">
        <v>3812</v>
      </c>
      <c r="H2073" s="28">
        <v>0</v>
      </c>
    </row>
    <row r="2074" spans="1:8" x14ac:dyDescent="0.35">
      <c r="A2074" s="22"/>
      <c r="B2074" s="22" t="s">
        <v>2550</v>
      </c>
      <c r="C2074" s="26">
        <v>45900</v>
      </c>
      <c r="D2074" s="25">
        <v>36477</v>
      </c>
      <c r="E2074" s="25" t="s">
        <v>301</v>
      </c>
      <c r="F2074" s="53" t="s">
        <v>3812</v>
      </c>
      <c r="H2074" s="28">
        <v>0</v>
      </c>
    </row>
    <row r="2075" spans="1:8" x14ac:dyDescent="0.35">
      <c r="A2075" s="22"/>
      <c r="B2075" s="22" t="s">
        <v>2550</v>
      </c>
      <c r="C2075" s="26">
        <v>45900</v>
      </c>
      <c r="D2075" s="25">
        <v>36478</v>
      </c>
      <c r="E2075" s="25" t="s">
        <v>301</v>
      </c>
      <c r="F2075" s="53" t="s">
        <v>3812</v>
      </c>
      <c r="H2075" s="28">
        <v>0</v>
      </c>
    </row>
    <row r="2076" spans="1:8" x14ac:dyDescent="0.35">
      <c r="A2076" s="22"/>
      <c r="B2076" s="22" t="s">
        <v>2550</v>
      </c>
      <c r="C2076" s="26">
        <v>45900</v>
      </c>
      <c r="D2076" s="25">
        <v>36479</v>
      </c>
      <c r="E2076" s="25" t="s">
        <v>301</v>
      </c>
      <c r="F2076" s="53" t="s">
        <v>3812</v>
      </c>
      <c r="H2076" s="28">
        <v>0</v>
      </c>
    </row>
    <row r="2077" spans="1:8" x14ac:dyDescent="0.35">
      <c r="A2077" s="22"/>
      <c r="B2077" s="22" t="s">
        <v>2550</v>
      </c>
      <c r="C2077" s="26">
        <v>45900</v>
      </c>
      <c r="D2077" s="25">
        <v>36509</v>
      </c>
      <c r="E2077" s="25" t="s">
        <v>301</v>
      </c>
      <c r="F2077" s="53" t="s">
        <v>3812</v>
      </c>
      <c r="H2077" s="28">
        <v>0</v>
      </c>
    </row>
    <row r="2078" spans="1:8" x14ac:dyDescent="0.35">
      <c r="A2078" s="22"/>
      <c r="B2078" s="22" t="s">
        <v>2550</v>
      </c>
      <c r="C2078" s="26">
        <v>45900</v>
      </c>
      <c r="D2078" s="25">
        <v>36628</v>
      </c>
      <c r="E2078" s="25" t="s">
        <v>301</v>
      </c>
      <c r="F2078" s="53" t="s">
        <v>3812</v>
      </c>
      <c r="H2078" s="28">
        <v>0</v>
      </c>
    </row>
    <row r="2079" spans="1:8" x14ac:dyDescent="0.35">
      <c r="A2079" s="22"/>
      <c r="B2079" s="22" t="s">
        <v>2550</v>
      </c>
      <c r="C2079" s="26">
        <v>45900</v>
      </c>
      <c r="D2079" s="25">
        <v>36643</v>
      </c>
      <c r="E2079" s="25" t="s">
        <v>1757</v>
      </c>
      <c r="F2079" s="53" t="s">
        <v>3812</v>
      </c>
      <c r="H2079" s="28">
        <v>346.5</v>
      </c>
    </row>
    <row r="2080" spans="1:8" x14ac:dyDescent="0.35">
      <c r="A2080" s="22"/>
      <c r="B2080" s="22" t="s">
        <v>2550</v>
      </c>
      <c r="C2080" s="26">
        <v>45900</v>
      </c>
      <c r="D2080" s="25" t="s">
        <v>3406</v>
      </c>
      <c r="E2080" s="25" t="s">
        <v>2429</v>
      </c>
      <c r="F2080" s="53" t="s">
        <v>3812</v>
      </c>
      <c r="H2080" s="28">
        <v>1271.3599999999999</v>
      </c>
    </row>
    <row r="2081" spans="1:8" x14ac:dyDescent="0.35">
      <c r="A2081" s="22"/>
      <c r="B2081" s="22" t="s">
        <v>2550</v>
      </c>
      <c r="C2081" s="26">
        <v>45900</v>
      </c>
      <c r="D2081" s="25" t="s">
        <v>3407</v>
      </c>
      <c r="E2081" s="25" t="s">
        <v>2429</v>
      </c>
      <c r="F2081" s="53" t="s">
        <v>3812</v>
      </c>
      <c r="H2081" s="28">
        <v>54.3</v>
      </c>
    </row>
    <row r="2082" spans="1:8" x14ac:dyDescent="0.35">
      <c r="A2082" s="22"/>
      <c r="B2082" s="22" t="s">
        <v>2550</v>
      </c>
      <c r="C2082" s="26">
        <v>45900</v>
      </c>
      <c r="D2082" s="25" t="s">
        <v>3408</v>
      </c>
      <c r="E2082" s="25" t="s">
        <v>1426</v>
      </c>
      <c r="F2082" s="53" t="s">
        <v>3812</v>
      </c>
      <c r="H2082" s="28">
        <v>16476.370000000003</v>
      </c>
    </row>
    <row r="2083" spans="1:8" x14ac:dyDescent="0.35">
      <c r="A2083" s="22"/>
      <c r="B2083" s="22" t="s">
        <v>2550</v>
      </c>
      <c r="C2083" s="26">
        <v>45900</v>
      </c>
      <c r="D2083" s="25" t="s">
        <v>3409</v>
      </c>
      <c r="E2083" s="25" t="s">
        <v>1712</v>
      </c>
      <c r="F2083" s="53" t="s">
        <v>3812</v>
      </c>
      <c r="H2083" s="28">
        <v>5445</v>
      </c>
    </row>
    <row r="2084" spans="1:8" x14ac:dyDescent="0.35">
      <c r="A2084" s="22"/>
      <c r="B2084" s="22" t="s">
        <v>2550</v>
      </c>
      <c r="C2084" s="26">
        <v>45900</v>
      </c>
      <c r="D2084" s="25">
        <v>36928</v>
      </c>
      <c r="E2084" s="25" t="s">
        <v>301</v>
      </c>
      <c r="F2084" s="53" t="s">
        <v>3812</v>
      </c>
      <c r="H2084" s="28">
        <v>0</v>
      </c>
    </row>
    <row r="2085" spans="1:8" x14ac:dyDescent="0.35">
      <c r="A2085" s="22"/>
      <c r="B2085" s="22" t="s">
        <v>2550</v>
      </c>
      <c r="C2085" s="26">
        <v>45900</v>
      </c>
      <c r="D2085" s="25" t="s">
        <v>3410</v>
      </c>
      <c r="E2085" s="25" t="s">
        <v>3510</v>
      </c>
      <c r="F2085" s="53" t="s">
        <v>3812</v>
      </c>
      <c r="H2085" s="28">
        <v>191.36</v>
      </c>
    </row>
    <row r="2086" spans="1:8" x14ac:dyDescent="0.35">
      <c r="A2086" s="22"/>
      <c r="B2086" s="22" t="s">
        <v>2550</v>
      </c>
      <c r="C2086" s="26">
        <v>45900</v>
      </c>
      <c r="D2086" s="25" t="s">
        <v>3411</v>
      </c>
      <c r="E2086" s="25" t="s">
        <v>992</v>
      </c>
      <c r="F2086" s="53" t="s">
        <v>3812</v>
      </c>
      <c r="H2086" s="28">
        <v>1014.75</v>
      </c>
    </row>
    <row r="2087" spans="1:8" x14ac:dyDescent="0.35">
      <c r="A2087" s="22"/>
      <c r="B2087" s="22" t="s">
        <v>2550</v>
      </c>
      <c r="C2087" s="26">
        <v>45900</v>
      </c>
      <c r="D2087" s="25" t="s">
        <v>3412</v>
      </c>
      <c r="E2087" s="25" t="s">
        <v>1999</v>
      </c>
      <c r="F2087" s="53" t="s">
        <v>3812</v>
      </c>
      <c r="H2087" s="28">
        <v>64142.18</v>
      </c>
    </row>
    <row r="2088" spans="1:8" x14ac:dyDescent="0.35">
      <c r="A2088" s="22"/>
      <c r="B2088" s="22" t="s">
        <v>2550</v>
      </c>
      <c r="C2088" s="26">
        <v>45900</v>
      </c>
      <c r="D2088" s="25" t="s">
        <v>3413</v>
      </c>
      <c r="E2088" s="25" t="s">
        <v>301</v>
      </c>
      <c r="F2088" s="53" t="s">
        <v>3812</v>
      </c>
      <c r="H2088" s="28">
        <v>0</v>
      </c>
    </row>
    <row r="2089" spans="1:8" x14ac:dyDescent="0.35">
      <c r="A2089" s="22"/>
      <c r="B2089" s="22" t="s">
        <v>2550</v>
      </c>
      <c r="C2089" s="26">
        <v>45900</v>
      </c>
      <c r="D2089" s="25" t="s">
        <v>3414</v>
      </c>
      <c r="E2089" s="25" t="s">
        <v>301</v>
      </c>
      <c r="F2089" s="53" t="s">
        <v>3812</v>
      </c>
      <c r="H2089" s="28">
        <v>0</v>
      </c>
    </row>
    <row r="2090" spans="1:8" x14ac:dyDescent="0.35">
      <c r="A2090" s="22"/>
      <c r="B2090" s="22" t="s">
        <v>2550</v>
      </c>
      <c r="C2090" s="26">
        <v>45900</v>
      </c>
      <c r="D2090" s="25" t="s">
        <v>3415</v>
      </c>
      <c r="E2090" s="25" t="s">
        <v>301</v>
      </c>
      <c r="F2090" s="53" t="s">
        <v>3812</v>
      </c>
      <c r="H2090" s="28">
        <v>0</v>
      </c>
    </row>
    <row r="2091" spans="1:8" x14ac:dyDescent="0.35">
      <c r="A2091" s="22"/>
      <c r="B2091" s="22" t="s">
        <v>2550</v>
      </c>
      <c r="C2091" s="26">
        <v>45900</v>
      </c>
      <c r="D2091" s="25" t="s">
        <v>3416</v>
      </c>
      <c r="E2091" s="25" t="s">
        <v>301</v>
      </c>
      <c r="F2091" s="53" t="s">
        <v>3812</v>
      </c>
      <c r="H2091" s="28">
        <v>0</v>
      </c>
    </row>
    <row r="2092" spans="1:8" x14ac:dyDescent="0.35">
      <c r="A2092" s="22"/>
      <c r="B2092" s="22" t="s">
        <v>2550</v>
      </c>
      <c r="C2092" s="26">
        <v>45900</v>
      </c>
      <c r="D2092" s="25">
        <v>37354</v>
      </c>
      <c r="E2092" s="25" t="s">
        <v>3511</v>
      </c>
      <c r="F2092" s="53" t="s">
        <v>3812</v>
      </c>
      <c r="H2092" s="28">
        <v>6882</v>
      </c>
    </row>
    <row r="2093" spans="1:8" x14ac:dyDescent="0.35">
      <c r="A2093" s="22"/>
      <c r="B2093" s="22" t="s">
        <v>2550</v>
      </c>
      <c r="C2093" s="26">
        <v>45900</v>
      </c>
      <c r="D2093" s="25" t="s">
        <v>3417</v>
      </c>
      <c r="E2093" s="25" t="s">
        <v>2396</v>
      </c>
      <c r="F2093" s="53" t="s">
        <v>3812</v>
      </c>
      <c r="H2093" s="28">
        <v>0</v>
      </c>
    </row>
    <row r="2094" spans="1:8" x14ac:dyDescent="0.35">
      <c r="A2094" s="22"/>
      <c r="B2094" s="22" t="s">
        <v>2550</v>
      </c>
      <c r="C2094" s="26">
        <v>45900</v>
      </c>
      <c r="D2094" s="25" t="s">
        <v>3418</v>
      </c>
      <c r="E2094" s="25" t="s">
        <v>1757</v>
      </c>
      <c r="F2094" s="53" t="s">
        <v>3812</v>
      </c>
      <c r="H2094" s="28">
        <v>2085.5700000000002</v>
      </c>
    </row>
    <row r="2095" spans="1:8" x14ac:dyDescent="0.35">
      <c r="A2095" s="22"/>
      <c r="B2095" s="22" t="s">
        <v>2550</v>
      </c>
      <c r="C2095" s="26">
        <v>45900</v>
      </c>
      <c r="D2095" s="25">
        <v>37625</v>
      </c>
      <c r="E2095" s="25" t="s">
        <v>1280</v>
      </c>
      <c r="F2095" s="53" t="s">
        <v>3812</v>
      </c>
      <c r="H2095" s="28">
        <v>2450.48</v>
      </c>
    </row>
    <row r="2096" spans="1:8" x14ac:dyDescent="0.35">
      <c r="A2096" s="22"/>
      <c r="B2096" s="22" t="s">
        <v>2550</v>
      </c>
      <c r="C2096" s="26">
        <v>45900</v>
      </c>
      <c r="D2096" s="25" t="s">
        <v>3419</v>
      </c>
      <c r="E2096" s="25" t="s">
        <v>1280</v>
      </c>
      <c r="F2096" s="53" t="s">
        <v>3812</v>
      </c>
      <c r="H2096" s="28">
        <v>2989.9700000000003</v>
      </c>
    </row>
    <row r="2097" spans="1:8" x14ac:dyDescent="0.35">
      <c r="A2097" s="22"/>
      <c r="B2097" s="22" t="s">
        <v>2550</v>
      </c>
      <c r="C2097" s="26">
        <v>45900</v>
      </c>
      <c r="D2097" s="25">
        <v>37644</v>
      </c>
      <c r="E2097" s="25" t="s">
        <v>1280</v>
      </c>
      <c r="F2097" s="53" t="s">
        <v>3812</v>
      </c>
      <c r="H2097" s="28">
        <v>17455.420000000002</v>
      </c>
    </row>
    <row r="2098" spans="1:8" x14ac:dyDescent="0.35">
      <c r="A2098" s="22"/>
      <c r="B2098" s="22" t="s">
        <v>2550</v>
      </c>
      <c r="C2098" s="26">
        <v>45900</v>
      </c>
      <c r="D2098" s="25" t="s">
        <v>3420</v>
      </c>
      <c r="E2098" s="25" t="s">
        <v>1280</v>
      </c>
      <c r="F2098" s="53" t="s">
        <v>3812</v>
      </c>
      <c r="H2098" s="28">
        <v>1963.93</v>
      </c>
    </row>
    <row r="2099" spans="1:8" x14ac:dyDescent="0.35">
      <c r="A2099" s="22"/>
      <c r="B2099" s="22" t="s">
        <v>2550</v>
      </c>
      <c r="C2099" s="26">
        <v>45900</v>
      </c>
      <c r="D2099" s="25" t="s">
        <v>3421</v>
      </c>
      <c r="E2099" s="25" t="s">
        <v>1280</v>
      </c>
      <c r="F2099" s="53" t="s">
        <v>3812</v>
      </c>
      <c r="H2099" s="28">
        <v>2638.99</v>
      </c>
    </row>
    <row r="2100" spans="1:8" x14ac:dyDescent="0.35">
      <c r="A2100" s="22"/>
      <c r="B2100" s="22" t="s">
        <v>2550</v>
      </c>
      <c r="C2100" s="26">
        <v>45900</v>
      </c>
      <c r="D2100" s="25" t="s">
        <v>3422</v>
      </c>
      <c r="E2100" s="25" t="s">
        <v>3491</v>
      </c>
      <c r="F2100" s="53" t="s">
        <v>3812</v>
      </c>
      <c r="H2100" s="28">
        <v>0</v>
      </c>
    </row>
    <row r="2101" spans="1:8" x14ac:dyDescent="0.35">
      <c r="A2101" s="22"/>
      <c r="B2101" s="22" t="s">
        <v>2550</v>
      </c>
      <c r="C2101" s="26">
        <v>45900</v>
      </c>
      <c r="D2101" s="25" t="s">
        <v>3423</v>
      </c>
      <c r="E2101" s="25" t="s">
        <v>3491</v>
      </c>
      <c r="F2101" s="53" t="s">
        <v>3812</v>
      </c>
      <c r="H2101" s="28">
        <v>0</v>
      </c>
    </row>
    <row r="2102" spans="1:8" x14ac:dyDescent="0.35">
      <c r="A2102" s="22"/>
      <c r="B2102" s="22" t="s">
        <v>2550</v>
      </c>
      <c r="C2102" s="26">
        <v>45900</v>
      </c>
      <c r="D2102" s="25" t="s">
        <v>3424</v>
      </c>
      <c r="E2102" s="25" t="s">
        <v>2313</v>
      </c>
      <c r="F2102" s="53" t="s">
        <v>3812</v>
      </c>
      <c r="H2102" s="28">
        <v>19528.2</v>
      </c>
    </row>
    <row r="2103" spans="1:8" x14ac:dyDescent="0.35">
      <c r="A2103" s="22"/>
      <c r="B2103" s="22" t="s">
        <v>2550</v>
      </c>
      <c r="C2103" s="26">
        <v>45900</v>
      </c>
      <c r="D2103" s="25" t="s">
        <v>3425</v>
      </c>
      <c r="E2103" s="25" t="s">
        <v>2313</v>
      </c>
      <c r="F2103" s="53" t="s">
        <v>3812</v>
      </c>
      <c r="H2103" s="28">
        <v>6266.52</v>
      </c>
    </row>
    <row r="2104" spans="1:8" x14ac:dyDescent="0.35">
      <c r="A2104" s="22"/>
      <c r="B2104" s="22" t="s">
        <v>2550</v>
      </c>
      <c r="C2104" s="26">
        <v>45900</v>
      </c>
      <c r="D2104" s="25" t="s">
        <v>3426</v>
      </c>
      <c r="E2104" s="25" t="s">
        <v>2313</v>
      </c>
      <c r="F2104" s="53" t="s">
        <v>3812</v>
      </c>
      <c r="H2104" s="28">
        <v>645.04999999999995</v>
      </c>
    </row>
    <row r="2105" spans="1:8" x14ac:dyDescent="0.35">
      <c r="A2105" s="22"/>
      <c r="B2105" s="22" t="s">
        <v>2550</v>
      </c>
      <c r="C2105" s="26">
        <v>45900</v>
      </c>
      <c r="D2105" s="25" t="s">
        <v>3427</v>
      </c>
      <c r="E2105" s="25" t="s">
        <v>2313</v>
      </c>
      <c r="F2105" s="53" t="s">
        <v>3812</v>
      </c>
      <c r="H2105" s="28">
        <v>500</v>
      </c>
    </row>
    <row r="2106" spans="1:8" x14ac:dyDescent="0.35">
      <c r="A2106" s="22"/>
      <c r="B2106" s="22" t="s">
        <v>2550</v>
      </c>
      <c r="C2106" s="26">
        <v>45900</v>
      </c>
      <c r="D2106" s="25">
        <v>37776</v>
      </c>
      <c r="E2106" s="25" t="s">
        <v>2313</v>
      </c>
      <c r="F2106" s="53" t="s">
        <v>3812</v>
      </c>
      <c r="H2106" s="28">
        <v>288</v>
      </c>
    </row>
    <row r="2107" spans="1:8" x14ac:dyDescent="0.35">
      <c r="A2107" s="22"/>
      <c r="B2107" s="22" t="s">
        <v>2550</v>
      </c>
      <c r="C2107" s="26">
        <v>45900</v>
      </c>
      <c r="D2107" s="25" t="s">
        <v>3428</v>
      </c>
      <c r="E2107" s="25" t="s">
        <v>2313</v>
      </c>
      <c r="F2107" s="53" t="s">
        <v>3812</v>
      </c>
      <c r="H2107" s="28">
        <v>54.54</v>
      </c>
    </row>
    <row r="2108" spans="1:8" x14ac:dyDescent="0.35">
      <c r="A2108" s="22"/>
      <c r="B2108" s="22" t="s">
        <v>2550</v>
      </c>
      <c r="C2108" s="26">
        <v>45900</v>
      </c>
      <c r="D2108" s="25">
        <v>37903</v>
      </c>
      <c r="E2108" s="25" t="s">
        <v>2144</v>
      </c>
      <c r="F2108" s="53" t="s">
        <v>3812</v>
      </c>
      <c r="H2108" s="28">
        <v>945</v>
      </c>
    </row>
    <row r="2109" spans="1:8" x14ac:dyDescent="0.35">
      <c r="A2109" s="22"/>
      <c r="B2109" s="22" t="s">
        <v>2550</v>
      </c>
      <c r="C2109" s="26">
        <v>45900</v>
      </c>
      <c r="D2109" s="25" t="s">
        <v>3429</v>
      </c>
      <c r="E2109" s="25" t="s">
        <v>2144</v>
      </c>
      <c r="F2109" s="53" t="s">
        <v>3812</v>
      </c>
      <c r="H2109" s="28">
        <v>153267.85999999999</v>
      </c>
    </row>
    <row r="2110" spans="1:8" x14ac:dyDescent="0.35">
      <c r="A2110" s="22"/>
      <c r="B2110" s="22" t="s">
        <v>2550</v>
      </c>
      <c r="C2110" s="26">
        <v>45900</v>
      </c>
      <c r="D2110" s="25" t="s">
        <v>3430</v>
      </c>
      <c r="E2110" s="25" t="s">
        <v>2220</v>
      </c>
      <c r="F2110" s="53" t="s">
        <v>3812</v>
      </c>
      <c r="H2110" s="28">
        <v>32292</v>
      </c>
    </row>
    <row r="2111" spans="1:8" x14ac:dyDescent="0.35">
      <c r="A2111" s="22"/>
      <c r="B2111" s="22" t="s">
        <v>2550</v>
      </c>
      <c r="C2111" s="26">
        <v>45900</v>
      </c>
      <c r="D2111" s="25" t="s">
        <v>3431</v>
      </c>
      <c r="E2111" s="25" t="s">
        <v>2220</v>
      </c>
      <c r="F2111" s="53" t="s">
        <v>3812</v>
      </c>
      <c r="H2111" s="28">
        <v>0</v>
      </c>
    </row>
    <row r="2112" spans="1:8" x14ac:dyDescent="0.35">
      <c r="A2112" s="22"/>
      <c r="B2112" s="22" t="s">
        <v>2550</v>
      </c>
      <c r="C2112" s="26">
        <v>45900</v>
      </c>
      <c r="D2112" s="25" t="s">
        <v>3432</v>
      </c>
      <c r="E2112" s="25" t="s">
        <v>2220</v>
      </c>
      <c r="F2112" s="53" t="s">
        <v>3812</v>
      </c>
      <c r="H2112" s="28">
        <v>6113.98</v>
      </c>
    </row>
    <row r="2113" spans="1:8" x14ac:dyDescent="0.35">
      <c r="A2113" s="22"/>
      <c r="B2113" s="22" t="s">
        <v>2550</v>
      </c>
      <c r="C2113" s="26">
        <v>45900</v>
      </c>
      <c r="D2113" s="25" t="s">
        <v>3433</v>
      </c>
      <c r="E2113" s="25" t="s">
        <v>2220</v>
      </c>
      <c r="F2113" s="53" t="s">
        <v>3812</v>
      </c>
      <c r="H2113" s="28">
        <v>29035.5</v>
      </c>
    </row>
    <row r="2114" spans="1:8" x14ac:dyDescent="0.35">
      <c r="A2114" s="22"/>
      <c r="B2114" s="22" t="s">
        <v>2550</v>
      </c>
      <c r="C2114" s="26">
        <v>45900</v>
      </c>
      <c r="D2114" s="25" t="s">
        <v>3434</v>
      </c>
      <c r="E2114" s="25" t="s">
        <v>2220</v>
      </c>
      <c r="F2114" s="53" t="s">
        <v>3812</v>
      </c>
      <c r="H2114" s="28">
        <v>0</v>
      </c>
    </row>
    <row r="2115" spans="1:8" x14ac:dyDescent="0.35">
      <c r="A2115" s="22"/>
      <c r="B2115" s="22" t="s">
        <v>2550</v>
      </c>
      <c r="C2115" s="26">
        <v>45900</v>
      </c>
      <c r="D2115" s="25" t="s">
        <v>3435</v>
      </c>
      <c r="E2115" s="25" t="s">
        <v>2220</v>
      </c>
      <c r="F2115" s="53" t="s">
        <v>3812</v>
      </c>
      <c r="H2115" s="28">
        <v>70297.64</v>
      </c>
    </row>
    <row r="2116" spans="1:8" x14ac:dyDescent="0.35">
      <c r="A2116" s="22"/>
      <c r="B2116" s="22" t="s">
        <v>2550</v>
      </c>
      <c r="C2116" s="26">
        <v>45900</v>
      </c>
      <c r="D2116" s="25" t="s">
        <v>3436</v>
      </c>
      <c r="E2116" s="25" t="s">
        <v>2220</v>
      </c>
      <c r="F2116" s="53" t="s">
        <v>3812</v>
      </c>
      <c r="H2116" s="28">
        <v>0</v>
      </c>
    </row>
    <row r="2117" spans="1:8" x14ac:dyDescent="0.35">
      <c r="A2117" s="22"/>
      <c r="B2117" s="22" t="s">
        <v>2550</v>
      </c>
      <c r="C2117" s="26">
        <v>45900</v>
      </c>
      <c r="D2117" s="25" t="s">
        <v>3437</v>
      </c>
      <c r="E2117" s="25" t="s">
        <v>2220</v>
      </c>
      <c r="F2117" s="53" t="s">
        <v>3812</v>
      </c>
      <c r="H2117" s="28">
        <v>1199.97</v>
      </c>
    </row>
    <row r="2118" spans="1:8" x14ac:dyDescent="0.35">
      <c r="A2118" s="22"/>
      <c r="B2118" s="22" t="s">
        <v>2550</v>
      </c>
      <c r="C2118" s="26">
        <v>45900</v>
      </c>
      <c r="D2118" s="25" t="s">
        <v>3438</v>
      </c>
      <c r="E2118" s="25" t="s">
        <v>2220</v>
      </c>
      <c r="F2118" s="53" t="s">
        <v>3812</v>
      </c>
      <c r="H2118" s="28">
        <v>4182.88</v>
      </c>
    </row>
    <row r="2119" spans="1:8" x14ac:dyDescent="0.35">
      <c r="A2119" s="22"/>
      <c r="B2119" s="22" t="s">
        <v>2550</v>
      </c>
      <c r="C2119" s="26">
        <v>45900</v>
      </c>
      <c r="D2119" s="25" t="s">
        <v>3439</v>
      </c>
      <c r="E2119" s="25" t="s">
        <v>3512</v>
      </c>
      <c r="F2119" s="53" t="s">
        <v>3812</v>
      </c>
      <c r="H2119" s="28">
        <v>250</v>
      </c>
    </row>
    <row r="2120" spans="1:8" x14ac:dyDescent="0.35">
      <c r="A2120" s="22"/>
      <c r="B2120" s="22" t="s">
        <v>2550</v>
      </c>
      <c r="C2120" s="26">
        <v>45900</v>
      </c>
      <c r="D2120" s="25">
        <v>38055</v>
      </c>
      <c r="E2120" s="25" t="s">
        <v>301</v>
      </c>
      <c r="F2120" s="53" t="s">
        <v>3812</v>
      </c>
      <c r="H2120" s="28">
        <v>0</v>
      </c>
    </row>
    <row r="2121" spans="1:8" x14ac:dyDescent="0.35">
      <c r="A2121" s="22"/>
      <c r="B2121" s="22" t="s">
        <v>2550</v>
      </c>
      <c r="C2121" s="26">
        <v>45900</v>
      </c>
      <c r="D2121" s="25" t="s">
        <v>3440</v>
      </c>
      <c r="E2121" s="25" t="s">
        <v>2276</v>
      </c>
      <c r="F2121" s="53" t="s">
        <v>3812</v>
      </c>
      <c r="H2121" s="28">
        <v>4610.8999999999996</v>
      </c>
    </row>
    <row r="2122" spans="1:8" x14ac:dyDescent="0.35">
      <c r="A2122" s="22"/>
      <c r="B2122" s="22" t="s">
        <v>2550</v>
      </c>
      <c r="C2122" s="26">
        <v>45900</v>
      </c>
      <c r="D2122" s="25">
        <v>38172</v>
      </c>
      <c r="E2122" s="25" t="s">
        <v>301</v>
      </c>
      <c r="F2122" s="53" t="s">
        <v>3812</v>
      </c>
      <c r="H2122" s="28">
        <v>0</v>
      </c>
    </row>
    <row r="2123" spans="1:8" x14ac:dyDescent="0.35">
      <c r="A2123" s="22"/>
      <c r="B2123" s="22" t="s">
        <v>2550</v>
      </c>
      <c r="C2123" s="26">
        <v>45900</v>
      </c>
      <c r="D2123" s="25" t="s">
        <v>3441</v>
      </c>
      <c r="E2123" s="25" t="s">
        <v>301</v>
      </c>
      <c r="F2123" s="53" t="s">
        <v>3812</v>
      </c>
      <c r="H2123" s="28">
        <v>0</v>
      </c>
    </row>
    <row r="2124" spans="1:8" x14ac:dyDescent="0.35">
      <c r="A2124" s="22"/>
      <c r="B2124" s="22" t="s">
        <v>2550</v>
      </c>
      <c r="C2124" s="26">
        <v>45900</v>
      </c>
      <c r="D2124" s="25" t="s">
        <v>3442</v>
      </c>
      <c r="E2124" s="25" t="s">
        <v>301</v>
      </c>
      <c r="F2124" s="53" t="s">
        <v>3812</v>
      </c>
      <c r="H2124" s="28">
        <v>0</v>
      </c>
    </row>
    <row r="2125" spans="1:8" x14ac:dyDescent="0.35">
      <c r="A2125" s="22"/>
      <c r="B2125" s="22" t="s">
        <v>2550</v>
      </c>
      <c r="C2125" s="26">
        <v>45900</v>
      </c>
      <c r="D2125" s="25" t="s">
        <v>3443</v>
      </c>
      <c r="E2125" s="25" t="s">
        <v>301</v>
      </c>
      <c r="F2125" s="53" t="s">
        <v>3812</v>
      </c>
      <c r="H2125" s="28">
        <v>0</v>
      </c>
    </row>
    <row r="2126" spans="1:8" x14ac:dyDescent="0.35">
      <c r="A2126" s="22"/>
      <c r="B2126" s="22" t="s">
        <v>2550</v>
      </c>
      <c r="C2126" s="26">
        <v>45900</v>
      </c>
      <c r="D2126" s="25" t="s">
        <v>3444</v>
      </c>
      <c r="E2126" s="25" t="s">
        <v>301</v>
      </c>
      <c r="F2126" s="53" t="s">
        <v>3812</v>
      </c>
      <c r="H2126" s="28">
        <v>0</v>
      </c>
    </row>
    <row r="2127" spans="1:8" x14ac:dyDescent="0.35">
      <c r="A2127" s="22"/>
      <c r="B2127" s="22" t="s">
        <v>2550</v>
      </c>
      <c r="C2127" s="26">
        <v>45900</v>
      </c>
      <c r="D2127" s="25">
        <v>38215</v>
      </c>
      <c r="E2127" s="25" t="s">
        <v>3513</v>
      </c>
      <c r="F2127" s="53" t="s">
        <v>3812</v>
      </c>
      <c r="H2127" s="28">
        <v>7903.98</v>
      </c>
    </row>
    <row r="2128" spans="1:8" x14ac:dyDescent="0.35">
      <c r="A2128" s="22"/>
      <c r="B2128" s="22" t="s">
        <v>2550</v>
      </c>
      <c r="C2128" s="26">
        <v>45900</v>
      </c>
      <c r="D2128" s="25" t="s">
        <v>3445</v>
      </c>
      <c r="E2128" s="25" t="s">
        <v>301</v>
      </c>
      <c r="F2128" s="53" t="s">
        <v>3812</v>
      </c>
      <c r="H2128" s="28">
        <v>0</v>
      </c>
    </row>
    <row r="2129" spans="1:8" x14ac:dyDescent="0.35">
      <c r="A2129" s="22"/>
      <c r="B2129" s="22" t="s">
        <v>2550</v>
      </c>
      <c r="C2129" s="26">
        <v>45900</v>
      </c>
      <c r="D2129" s="25" t="s">
        <v>3446</v>
      </c>
      <c r="E2129" s="25" t="s">
        <v>301</v>
      </c>
      <c r="F2129" s="53" t="s">
        <v>3812</v>
      </c>
      <c r="H2129" s="28">
        <v>0</v>
      </c>
    </row>
    <row r="2130" spans="1:8" x14ac:dyDescent="0.35">
      <c r="A2130" s="22"/>
      <c r="B2130" s="22" t="s">
        <v>2550</v>
      </c>
      <c r="C2130" s="26">
        <v>45900</v>
      </c>
      <c r="D2130" s="25" t="s">
        <v>3447</v>
      </c>
      <c r="E2130" s="25" t="s">
        <v>301</v>
      </c>
      <c r="F2130" s="53" t="s">
        <v>3812</v>
      </c>
      <c r="H2130" s="28">
        <v>0</v>
      </c>
    </row>
    <row r="2131" spans="1:8" x14ac:dyDescent="0.35">
      <c r="A2131" s="22"/>
      <c r="B2131" s="22" t="s">
        <v>2550</v>
      </c>
      <c r="C2131" s="26">
        <v>45900</v>
      </c>
      <c r="D2131" s="25" t="s">
        <v>3448</v>
      </c>
      <c r="E2131" s="25" t="s">
        <v>301</v>
      </c>
      <c r="F2131" s="53" t="s">
        <v>3812</v>
      </c>
      <c r="H2131" s="28">
        <v>0</v>
      </c>
    </row>
    <row r="2132" spans="1:8" x14ac:dyDescent="0.35">
      <c r="A2132" s="22"/>
      <c r="B2132" s="22" t="s">
        <v>2550</v>
      </c>
      <c r="C2132" s="26">
        <v>45900</v>
      </c>
      <c r="D2132" s="25" t="s">
        <v>3449</v>
      </c>
      <c r="E2132" s="25" t="s">
        <v>301</v>
      </c>
      <c r="F2132" s="53" t="s">
        <v>3812</v>
      </c>
      <c r="H2132" s="28">
        <v>0</v>
      </c>
    </row>
    <row r="2133" spans="1:8" x14ac:dyDescent="0.35">
      <c r="A2133" s="22"/>
      <c r="B2133" s="22" t="s">
        <v>2550</v>
      </c>
      <c r="C2133" s="26">
        <v>45900</v>
      </c>
      <c r="D2133" s="25">
        <v>38262</v>
      </c>
      <c r="E2133" s="25" t="s">
        <v>2677</v>
      </c>
      <c r="F2133" s="53" t="s">
        <v>3812</v>
      </c>
      <c r="H2133" s="28">
        <v>2800.02</v>
      </c>
    </row>
    <row r="2134" spans="1:8" x14ac:dyDescent="0.35">
      <c r="A2134" s="22"/>
      <c r="B2134" s="22" t="s">
        <v>2550</v>
      </c>
      <c r="C2134" s="26">
        <v>45900</v>
      </c>
      <c r="D2134" s="25" t="s">
        <v>3450</v>
      </c>
      <c r="E2134" s="25" t="s">
        <v>2677</v>
      </c>
      <c r="F2134" s="53" t="s">
        <v>3812</v>
      </c>
      <c r="H2134" s="28">
        <v>19600.199999999997</v>
      </c>
    </row>
    <row r="2135" spans="1:8" x14ac:dyDescent="0.35">
      <c r="A2135" s="22"/>
      <c r="B2135" s="22" t="s">
        <v>2550</v>
      </c>
      <c r="C2135" s="26">
        <v>45900</v>
      </c>
      <c r="D2135" s="25">
        <v>38267</v>
      </c>
      <c r="E2135" s="25" t="s">
        <v>2677</v>
      </c>
      <c r="F2135" s="53" t="s">
        <v>3812</v>
      </c>
      <c r="H2135" s="28">
        <v>7385.8899999999994</v>
      </c>
    </row>
    <row r="2136" spans="1:8" x14ac:dyDescent="0.35">
      <c r="A2136" s="22"/>
      <c r="B2136" s="22" t="s">
        <v>2550</v>
      </c>
      <c r="C2136" s="26">
        <v>45900</v>
      </c>
      <c r="D2136" s="25">
        <v>38317</v>
      </c>
      <c r="E2136" s="25" t="s">
        <v>3514</v>
      </c>
      <c r="F2136" s="53" t="s">
        <v>3812</v>
      </c>
      <c r="H2136" s="28">
        <v>43245.59</v>
      </c>
    </row>
    <row r="2137" spans="1:8" x14ac:dyDescent="0.35">
      <c r="A2137" s="22"/>
      <c r="B2137" s="22" t="s">
        <v>2550</v>
      </c>
      <c r="C2137" s="26">
        <v>45900</v>
      </c>
      <c r="D2137" s="25" t="s">
        <v>3451</v>
      </c>
      <c r="E2137" s="25" t="s">
        <v>2079</v>
      </c>
      <c r="F2137" s="53" t="s">
        <v>3812</v>
      </c>
      <c r="H2137" s="28">
        <v>747.5</v>
      </c>
    </row>
    <row r="2138" spans="1:8" x14ac:dyDescent="0.35">
      <c r="A2138" s="22"/>
      <c r="B2138" s="22" t="s">
        <v>2550</v>
      </c>
      <c r="C2138" s="26">
        <v>45900</v>
      </c>
      <c r="D2138" s="25" t="s">
        <v>3453</v>
      </c>
      <c r="E2138" s="25" t="s">
        <v>2079</v>
      </c>
      <c r="F2138" s="53" t="s">
        <v>3812</v>
      </c>
      <c r="H2138" s="28">
        <v>813.28</v>
      </c>
    </row>
    <row r="2139" spans="1:8" x14ac:dyDescent="0.35">
      <c r="A2139" s="22"/>
      <c r="B2139" s="22" t="s">
        <v>2550</v>
      </c>
      <c r="C2139" s="26">
        <v>45900</v>
      </c>
      <c r="D2139" s="25">
        <v>38407</v>
      </c>
      <c r="E2139" s="25" t="s">
        <v>2220</v>
      </c>
      <c r="F2139" s="53" t="s">
        <v>3812</v>
      </c>
      <c r="H2139" s="28">
        <v>0</v>
      </c>
    </row>
    <row r="2140" spans="1:8" x14ac:dyDescent="0.35">
      <c r="A2140" s="22"/>
      <c r="B2140" s="22" t="s">
        <v>2550</v>
      </c>
      <c r="C2140" s="26">
        <v>45900</v>
      </c>
      <c r="D2140" s="25">
        <v>38473</v>
      </c>
      <c r="E2140" s="25" t="s">
        <v>1637</v>
      </c>
      <c r="F2140" s="53" t="s">
        <v>3812</v>
      </c>
      <c r="H2140" s="28">
        <v>17076.490000000002</v>
      </c>
    </row>
    <row r="2141" spans="1:8" x14ac:dyDescent="0.35">
      <c r="A2141" s="22"/>
      <c r="B2141" s="22" t="s">
        <v>2550</v>
      </c>
      <c r="C2141" s="26">
        <v>45900</v>
      </c>
      <c r="D2141" s="25" t="s">
        <v>3454</v>
      </c>
      <c r="E2141" s="25" t="s">
        <v>301</v>
      </c>
      <c r="F2141" s="53" t="s">
        <v>3812</v>
      </c>
      <c r="H2141" s="28">
        <v>0</v>
      </c>
    </row>
    <row r="2142" spans="1:8" x14ac:dyDescent="0.35">
      <c r="A2142" s="22"/>
      <c r="B2142" s="22" t="s">
        <v>2550</v>
      </c>
      <c r="C2142" s="26">
        <v>45900</v>
      </c>
      <c r="D2142" s="25" t="s">
        <v>3455</v>
      </c>
      <c r="E2142" s="25" t="s">
        <v>3515</v>
      </c>
      <c r="F2142" s="53" t="s">
        <v>3812</v>
      </c>
      <c r="H2142" s="28">
        <v>0</v>
      </c>
    </row>
    <row r="2143" spans="1:8" x14ac:dyDescent="0.35">
      <c r="A2143" s="22"/>
      <c r="B2143" s="22" t="s">
        <v>2550</v>
      </c>
      <c r="C2143" s="26">
        <v>45900</v>
      </c>
      <c r="D2143" s="25" t="s">
        <v>3456</v>
      </c>
      <c r="E2143" s="25" t="s">
        <v>3516</v>
      </c>
      <c r="F2143" s="53" t="s">
        <v>3812</v>
      </c>
      <c r="H2143" s="28">
        <v>523.35</v>
      </c>
    </row>
    <row r="2144" spans="1:8" x14ac:dyDescent="0.35">
      <c r="A2144" s="22"/>
      <c r="B2144" s="22" t="s">
        <v>2550</v>
      </c>
      <c r="C2144" s="26">
        <v>45900</v>
      </c>
      <c r="D2144" s="25" t="s">
        <v>3457</v>
      </c>
      <c r="E2144" s="25" t="s">
        <v>3517</v>
      </c>
      <c r="F2144" s="53" t="s">
        <v>3812</v>
      </c>
      <c r="H2144" s="28">
        <v>14924.64</v>
      </c>
    </row>
    <row r="2145" spans="1:8" x14ac:dyDescent="0.35">
      <c r="A2145" s="22"/>
      <c r="B2145" s="22" t="s">
        <v>2550</v>
      </c>
      <c r="C2145" s="26">
        <v>45900</v>
      </c>
      <c r="D2145" s="25">
        <v>38527</v>
      </c>
      <c r="E2145" s="25" t="s">
        <v>3518</v>
      </c>
      <c r="F2145" s="53" t="s">
        <v>3812</v>
      </c>
      <c r="H2145" s="28">
        <v>2040</v>
      </c>
    </row>
    <row r="2146" spans="1:8" x14ac:dyDescent="0.35">
      <c r="A2146" s="22"/>
      <c r="B2146" s="22" t="s">
        <v>2550</v>
      </c>
      <c r="C2146" s="26">
        <v>45900</v>
      </c>
      <c r="D2146" s="25" t="s">
        <v>3458</v>
      </c>
      <c r="E2146" s="25" t="s">
        <v>1920</v>
      </c>
      <c r="F2146" s="53" t="s">
        <v>3812</v>
      </c>
      <c r="H2146" s="28">
        <v>0</v>
      </c>
    </row>
    <row r="2147" spans="1:8" x14ac:dyDescent="0.35">
      <c r="A2147" s="22"/>
      <c r="B2147" s="22" t="s">
        <v>2550</v>
      </c>
      <c r="C2147" s="26">
        <v>45900</v>
      </c>
      <c r="D2147" s="25" t="s">
        <v>3459</v>
      </c>
      <c r="E2147" s="25" t="s">
        <v>1920</v>
      </c>
      <c r="F2147" s="53" t="s">
        <v>3812</v>
      </c>
      <c r="H2147" s="28">
        <v>0</v>
      </c>
    </row>
    <row r="2148" spans="1:8" x14ac:dyDescent="0.35">
      <c r="A2148" s="22"/>
      <c r="B2148" s="22" t="s">
        <v>2550</v>
      </c>
      <c r="C2148" s="26">
        <v>45900</v>
      </c>
      <c r="D2148" s="25" t="s">
        <v>3460</v>
      </c>
      <c r="E2148" s="25" t="s">
        <v>1920</v>
      </c>
      <c r="F2148" s="53" t="s">
        <v>3812</v>
      </c>
      <c r="H2148" s="28">
        <v>0</v>
      </c>
    </row>
    <row r="2149" spans="1:8" x14ac:dyDescent="0.35">
      <c r="A2149" s="22"/>
      <c r="B2149" s="22" t="s">
        <v>2550</v>
      </c>
      <c r="C2149" s="26">
        <v>45900</v>
      </c>
      <c r="D2149" s="25">
        <v>38553</v>
      </c>
      <c r="E2149" s="25" t="s">
        <v>301</v>
      </c>
      <c r="F2149" s="53" t="s">
        <v>3812</v>
      </c>
      <c r="H2149" s="28">
        <v>0</v>
      </c>
    </row>
    <row r="2150" spans="1:8" x14ac:dyDescent="0.35">
      <c r="A2150" s="22"/>
      <c r="B2150" s="22" t="s">
        <v>2550</v>
      </c>
      <c r="C2150" s="26">
        <v>45900</v>
      </c>
      <c r="D2150" s="25" t="s">
        <v>3461</v>
      </c>
      <c r="E2150" s="25" t="s">
        <v>301</v>
      </c>
      <c r="F2150" s="53" t="s">
        <v>3812</v>
      </c>
      <c r="H2150" s="28">
        <v>0</v>
      </c>
    </row>
    <row r="2151" spans="1:8" x14ac:dyDescent="0.35">
      <c r="A2151" s="22"/>
      <c r="B2151" s="22" t="s">
        <v>2550</v>
      </c>
      <c r="C2151" s="26">
        <v>45900</v>
      </c>
      <c r="D2151" s="25">
        <v>38557</v>
      </c>
      <c r="E2151" s="25" t="s">
        <v>301</v>
      </c>
      <c r="F2151" s="53" t="s">
        <v>3812</v>
      </c>
      <c r="H2151" s="28">
        <v>1981.1000000000001</v>
      </c>
    </row>
    <row r="2152" spans="1:8" x14ac:dyDescent="0.35">
      <c r="A2152" s="22"/>
      <c r="B2152" s="22" t="s">
        <v>2550</v>
      </c>
      <c r="C2152" s="26">
        <v>45900</v>
      </c>
      <c r="D2152" s="25">
        <v>38603</v>
      </c>
      <c r="E2152" s="25" t="s">
        <v>3519</v>
      </c>
      <c r="F2152" s="53" t="s">
        <v>3812</v>
      </c>
      <c r="H2152" s="28">
        <v>1025.79</v>
      </c>
    </row>
    <row r="2153" spans="1:8" x14ac:dyDescent="0.35">
      <c r="A2153" s="22"/>
      <c r="B2153" s="22" t="s">
        <v>2550</v>
      </c>
      <c r="C2153" s="26">
        <v>45900</v>
      </c>
      <c r="D2153" s="25" t="s">
        <v>3462</v>
      </c>
      <c r="E2153" s="25" t="s">
        <v>1484</v>
      </c>
      <c r="F2153" s="53" t="s">
        <v>3812</v>
      </c>
      <c r="H2153" s="28">
        <v>900</v>
      </c>
    </row>
    <row r="2154" spans="1:8" x14ac:dyDescent="0.35">
      <c r="A2154" s="22"/>
      <c r="B2154" s="22" t="s">
        <v>2550</v>
      </c>
      <c r="C2154" s="26">
        <v>45900</v>
      </c>
      <c r="D2154" s="25">
        <v>38607</v>
      </c>
      <c r="E2154" s="25" t="s">
        <v>3514</v>
      </c>
      <c r="F2154" s="53" t="s">
        <v>3812</v>
      </c>
      <c r="H2154" s="28">
        <v>4616.5</v>
      </c>
    </row>
    <row r="2155" spans="1:8" x14ac:dyDescent="0.35">
      <c r="A2155" s="22"/>
      <c r="B2155" s="22" t="s">
        <v>2550</v>
      </c>
      <c r="C2155" s="26">
        <v>45900</v>
      </c>
      <c r="D2155" s="25">
        <v>38621</v>
      </c>
      <c r="E2155" s="25" t="s">
        <v>2459</v>
      </c>
      <c r="F2155" s="53" t="s">
        <v>3812</v>
      </c>
      <c r="H2155" s="28">
        <v>18109.689999999999</v>
      </c>
    </row>
    <row r="2156" spans="1:8" x14ac:dyDescent="0.35">
      <c r="A2156" s="22"/>
      <c r="B2156" s="22" t="s">
        <v>2550</v>
      </c>
      <c r="C2156" s="26">
        <v>45900</v>
      </c>
      <c r="D2156" s="25">
        <v>38627</v>
      </c>
      <c r="E2156" s="25" t="s">
        <v>2144</v>
      </c>
      <c r="F2156" s="53" t="s">
        <v>3812</v>
      </c>
      <c r="H2156" s="28">
        <v>3668.16</v>
      </c>
    </row>
    <row r="2157" spans="1:8" x14ac:dyDescent="0.35">
      <c r="A2157" s="22"/>
      <c r="B2157" s="22" t="s">
        <v>2550</v>
      </c>
      <c r="C2157" s="26">
        <v>45900</v>
      </c>
      <c r="D2157" s="25">
        <v>38636</v>
      </c>
      <c r="E2157" s="25" t="s">
        <v>3494</v>
      </c>
      <c r="F2157" s="53" t="s">
        <v>3812</v>
      </c>
      <c r="H2157" s="28">
        <v>6920</v>
      </c>
    </row>
    <row r="2158" spans="1:8" x14ac:dyDescent="0.35">
      <c r="A2158" s="22"/>
      <c r="B2158" s="22" t="s">
        <v>2550</v>
      </c>
      <c r="C2158" s="26">
        <v>45900</v>
      </c>
      <c r="D2158" s="25">
        <v>38670</v>
      </c>
      <c r="E2158" s="25" t="s">
        <v>2386</v>
      </c>
      <c r="F2158" s="53" t="s">
        <v>3812</v>
      </c>
      <c r="H2158" s="28">
        <v>157976</v>
      </c>
    </row>
    <row r="2159" spans="1:8" x14ac:dyDescent="0.35">
      <c r="A2159" s="22"/>
      <c r="B2159" s="22" t="s">
        <v>2550</v>
      </c>
      <c r="C2159" s="26">
        <v>45900</v>
      </c>
      <c r="D2159" s="25">
        <v>38671</v>
      </c>
      <c r="E2159" s="25" t="s">
        <v>2220</v>
      </c>
      <c r="F2159" s="53" t="s">
        <v>3812</v>
      </c>
      <c r="H2159" s="28">
        <v>28395.789999999997</v>
      </c>
    </row>
    <row r="2160" spans="1:8" x14ac:dyDescent="0.35">
      <c r="A2160" s="22"/>
      <c r="B2160" s="22" t="s">
        <v>2550</v>
      </c>
      <c r="C2160" s="26">
        <v>45900</v>
      </c>
      <c r="D2160" s="25" t="s">
        <v>3463</v>
      </c>
      <c r="E2160" s="25" t="s">
        <v>2220</v>
      </c>
      <c r="F2160" s="53" t="s">
        <v>3812</v>
      </c>
      <c r="H2160" s="28">
        <v>57659.76</v>
      </c>
    </row>
    <row r="2161" spans="1:8" x14ac:dyDescent="0.35">
      <c r="A2161" s="22"/>
      <c r="B2161" s="22" t="s">
        <v>2550</v>
      </c>
      <c r="C2161" s="26">
        <v>45900</v>
      </c>
      <c r="D2161" s="25">
        <v>38674</v>
      </c>
      <c r="E2161" s="25" t="s">
        <v>3520</v>
      </c>
      <c r="F2161" s="53" t="s">
        <v>3812</v>
      </c>
      <c r="H2161" s="28">
        <v>151</v>
      </c>
    </row>
    <row r="2162" spans="1:8" x14ac:dyDescent="0.35">
      <c r="A2162" s="22"/>
      <c r="B2162" s="22" t="s">
        <v>2550</v>
      </c>
      <c r="C2162" s="26">
        <v>45900</v>
      </c>
      <c r="D2162" s="25">
        <v>38701</v>
      </c>
      <c r="E2162" s="25" t="s">
        <v>3502</v>
      </c>
      <c r="F2162" s="53" t="s">
        <v>3812</v>
      </c>
      <c r="H2162" s="28">
        <v>634.73</v>
      </c>
    </row>
    <row r="2163" spans="1:8" x14ac:dyDescent="0.35">
      <c r="A2163" s="22"/>
      <c r="B2163" s="22" t="s">
        <v>2550</v>
      </c>
      <c r="C2163" s="26">
        <v>45900</v>
      </c>
      <c r="D2163" s="25">
        <v>38718</v>
      </c>
      <c r="E2163" s="25" t="s">
        <v>3521</v>
      </c>
      <c r="F2163" s="53" t="s">
        <v>3812</v>
      </c>
      <c r="H2163" s="28">
        <v>1247.75</v>
      </c>
    </row>
    <row r="2164" spans="1:8" x14ac:dyDescent="0.35">
      <c r="A2164" s="22"/>
      <c r="B2164" s="22" t="s">
        <v>2550</v>
      </c>
      <c r="C2164" s="26">
        <v>45900</v>
      </c>
      <c r="D2164" s="25">
        <v>38721</v>
      </c>
      <c r="E2164" s="25" t="s">
        <v>3522</v>
      </c>
      <c r="F2164" s="53" t="s">
        <v>3812</v>
      </c>
      <c r="H2164" s="28">
        <v>200</v>
      </c>
    </row>
    <row r="2165" spans="1:8" x14ac:dyDescent="0.35">
      <c r="A2165" s="22"/>
      <c r="B2165" s="22" t="s">
        <v>2550</v>
      </c>
      <c r="C2165" s="26">
        <v>45900</v>
      </c>
      <c r="D2165" s="25">
        <v>38726</v>
      </c>
      <c r="E2165" s="25" t="s">
        <v>3523</v>
      </c>
      <c r="F2165" s="53" t="s">
        <v>3812</v>
      </c>
      <c r="H2165" s="28">
        <v>1800</v>
      </c>
    </row>
    <row r="2166" spans="1:8" x14ac:dyDescent="0.35">
      <c r="A2166" s="22"/>
      <c r="B2166" s="22" t="s">
        <v>2550</v>
      </c>
      <c r="C2166" s="26">
        <v>45900</v>
      </c>
      <c r="D2166" s="25" t="s">
        <v>3464</v>
      </c>
      <c r="E2166" s="25" t="s">
        <v>3524</v>
      </c>
      <c r="F2166" s="53" t="s">
        <v>3812</v>
      </c>
      <c r="H2166" s="28">
        <v>433.65</v>
      </c>
    </row>
    <row r="2167" spans="1:8" x14ac:dyDescent="0.35">
      <c r="A2167" s="22"/>
      <c r="B2167" s="22" t="s">
        <v>2550</v>
      </c>
      <c r="C2167" s="26">
        <v>45900</v>
      </c>
      <c r="D2167" s="25">
        <v>38744</v>
      </c>
      <c r="E2167" s="25" t="s">
        <v>3525</v>
      </c>
      <c r="F2167" s="53" t="s">
        <v>3812</v>
      </c>
      <c r="H2167" s="28">
        <v>1900.32</v>
      </c>
    </row>
    <row r="2168" spans="1:8" x14ac:dyDescent="0.35">
      <c r="A2168" s="22"/>
      <c r="B2168" s="22" t="s">
        <v>2550</v>
      </c>
      <c r="C2168" s="26">
        <v>45900</v>
      </c>
      <c r="D2168" s="25">
        <v>38749</v>
      </c>
      <c r="E2168" s="25" t="s">
        <v>2480</v>
      </c>
      <c r="F2168" s="53" t="s">
        <v>3812</v>
      </c>
      <c r="H2168" s="28">
        <v>0</v>
      </c>
    </row>
    <row r="2169" spans="1:8" x14ac:dyDescent="0.35">
      <c r="A2169" s="22"/>
      <c r="B2169" s="22" t="s">
        <v>2550</v>
      </c>
      <c r="C2169" s="26">
        <v>45900</v>
      </c>
      <c r="D2169" s="25">
        <v>38758</v>
      </c>
      <c r="E2169" s="25" t="s">
        <v>3475</v>
      </c>
      <c r="F2169" s="53" t="s">
        <v>3812</v>
      </c>
      <c r="H2169" s="28">
        <v>328.57</v>
      </c>
    </row>
    <row r="2170" spans="1:8" x14ac:dyDescent="0.35">
      <c r="A2170" s="22"/>
      <c r="B2170" s="22" t="s">
        <v>2550</v>
      </c>
      <c r="C2170" s="26">
        <v>45900</v>
      </c>
      <c r="D2170" s="25">
        <v>38785</v>
      </c>
      <c r="E2170" s="25" t="s">
        <v>3526</v>
      </c>
      <c r="F2170" s="53" t="s">
        <v>3812</v>
      </c>
      <c r="H2170" s="28">
        <v>2604</v>
      </c>
    </row>
    <row r="2171" spans="1:8" x14ac:dyDescent="0.35">
      <c r="A2171" s="22"/>
      <c r="B2171" s="22" t="s">
        <v>2550</v>
      </c>
      <c r="C2171" s="26">
        <v>45900</v>
      </c>
      <c r="D2171" s="25">
        <v>38793</v>
      </c>
      <c r="E2171" s="25" t="s">
        <v>2189</v>
      </c>
      <c r="F2171" s="53" t="s">
        <v>3812</v>
      </c>
      <c r="H2171" s="28">
        <v>200</v>
      </c>
    </row>
    <row r="2172" spans="1:8" x14ac:dyDescent="0.35">
      <c r="A2172" s="22"/>
      <c r="B2172" s="22" t="s">
        <v>2550</v>
      </c>
      <c r="C2172" s="26">
        <v>45900</v>
      </c>
      <c r="D2172" s="25">
        <v>38795</v>
      </c>
      <c r="E2172" s="25" t="s">
        <v>3527</v>
      </c>
      <c r="F2172" s="53" t="s">
        <v>3812</v>
      </c>
      <c r="H2172" s="28">
        <v>162.78</v>
      </c>
    </row>
    <row r="2173" spans="1:8" x14ac:dyDescent="0.35">
      <c r="A2173" s="22"/>
      <c r="B2173" s="22" t="s">
        <v>2550</v>
      </c>
      <c r="C2173" s="26">
        <v>45900</v>
      </c>
      <c r="D2173" s="25">
        <v>38796</v>
      </c>
      <c r="E2173" s="25" t="s">
        <v>3528</v>
      </c>
      <c r="F2173" s="53" t="s">
        <v>3812</v>
      </c>
      <c r="H2173" s="28">
        <v>465</v>
      </c>
    </row>
    <row r="2174" spans="1:8" x14ac:dyDescent="0.35">
      <c r="A2174" s="22"/>
      <c r="B2174" s="22" t="s">
        <v>2550</v>
      </c>
      <c r="C2174" s="26">
        <v>45900</v>
      </c>
      <c r="D2174" s="25">
        <v>38799</v>
      </c>
      <c r="E2174" s="25" t="s">
        <v>3529</v>
      </c>
      <c r="F2174" s="53" t="s">
        <v>3812</v>
      </c>
      <c r="H2174" s="28">
        <v>2740</v>
      </c>
    </row>
    <row r="2175" spans="1:8" x14ac:dyDescent="0.35">
      <c r="A2175" s="22"/>
      <c r="B2175" s="22" t="s">
        <v>2550</v>
      </c>
      <c r="C2175" s="26">
        <v>45900</v>
      </c>
      <c r="D2175" s="25">
        <v>38800</v>
      </c>
      <c r="E2175" s="25" t="s">
        <v>3530</v>
      </c>
      <c r="F2175" s="53" t="s">
        <v>3812</v>
      </c>
      <c r="H2175" s="28">
        <v>15750</v>
      </c>
    </row>
    <row r="2176" spans="1:8" x14ac:dyDescent="0.35">
      <c r="A2176" s="22"/>
      <c r="B2176" s="22" t="s">
        <v>2550</v>
      </c>
      <c r="C2176" s="26">
        <v>45900</v>
      </c>
      <c r="D2176" s="25">
        <v>38801</v>
      </c>
      <c r="E2176" s="25" t="s">
        <v>3531</v>
      </c>
      <c r="F2176" s="53" t="s">
        <v>3812</v>
      </c>
      <c r="H2176" s="28">
        <v>900</v>
      </c>
    </row>
    <row r="2177" spans="1:8" x14ac:dyDescent="0.35">
      <c r="A2177" s="22"/>
      <c r="B2177" s="22" t="s">
        <v>2550</v>
      </c>
      <c r="C2177" s="26">
        <v>45900</v>
      </c>
      <c r="D2177" s="25">
        <v>38803</v>
      </c>
      <c r="E2177" s="25" t="s">
        <v>3532</v>
      </c>
      <c r="F2177" s="53" t="s">
        <v>3812</v>
      </c>
      <c r="H2177" s="28">
        <v>3216</v>
      </c>
    </row>
    <row r="2178" spans="1:8" x14ac:dyDescent="0.35">
      <c r="A2178" s="22"/>
      <c r="B2178" s="22" t="s">
        <v>2550</v>
      </c>
      <c r="C2178" s="26">
        <v>45900</v>
      </c>
      <c r="D2178" s="25" t="s">
        <v>3465</v>
      </c>
      <c r="E2178" s="25" t="s">
        <v>3533</v>
      </c>
      <c r="F2178" s="53" t="s">
        <v>3812</v>
      </c>
      <c r="H2178" s="28">
        <v>0.06</v>
      </c>
    </row>
    <row r="2179" spans="1:8" x14ac:dyDescent="0.35">
      <c r="A2179" s="22"/>
      <c r="B2179" s="22" t="s">
        <v>2550</v>
      </c>
      <c r="C2179" s="26">
        <v>45900</v>
      </c>
      <c r="D2179" s="25">
        <v>38809</v>
      </c>
      <c r="E2179" s="25" t="s">
        <v>3534</v>
      </c>
      <c r="F2179" s="53" t="s">
        <v>3812</v>
      </c>
      <c r="H2179" s="28">
        <v>7476.6999999999989</v>
      </c>
    </row>
    <row r="2180" spans="1:8" x14ac:dyDescent="0.35">
      <c r="A2180" s="22"/>
      <c r="B2180" s="22" t="s">
        <v>2550</v>
      </c>
      <c r="C2180" s="26">
        <v>45900</v>
      </c>
      <c r="D2180" s="25">
        <v>38815</v>
      </c>
      <c r="E2180" s="25" t="s">
        <v>3535</v>
      </c>
      <c r="F2180" s="53" t="s">
        <v>3812</v>
      </c>
      <c r="H2180" s="28">
        <v>1708</v>
      </c>
    </row>
    <row r="2181" spans="1:8" x14ac:dyDescent="0.35">
      <c r="A2181" s="22"/>
      <c r="B2181" s="22" t="s">
        <v>2550</v>
      </c>
      <c r="C2181" s="26">
        <v>45900</v>
      </c>
      <c r="D2181" s="25">
        <v>38818</v>
      </c>
      <c r="E2181" s="25" t="s">
        <v>3536</v>
      </c>
      <c r="F2181" s="53" t="s">
        <v>3812</v>
      </c>
      <c r="H2181" s="28">
        <v>775</v>
      </c>
    </row>
    <row r="2182" spans="1:8" x14ac:dyDescent="0.35">
      <c r="A2182" s="22"/>
      <c r="B2182" s="22" t="s">
        <v>2550</v>
      </c>
      <c r="C2182" s="26">
        <v>45900</v>
      </c>
      <c r="D2182" s="25">
        <v>38820</v>
      </c>
      <c r="E2182" s="25" t="s">
        <v>3537</v>
      </c>
      <c r="F2182" s="53" t="s">
        <v>3812</v>
      </c>
      <c r="H2182" s="28">
        <v>102500.28000000001</v>
      </c>
    </row>
    <row r="2183" spans="1:8" x14ac:dyDescent="0.35">
      <c r="A2183" s="22"/>
      <c r="B2183" s="22" t="s">
        <v>2550</v>
      </c>
      <c r="C2183" s="26">
        <v>45900</v>
      </c>
      <c r="D2183" s="25" t="s">
        <v>3466</v>
      </c>
      <c r="E2183" s="25" t="s">
        <v>3537</v>
      </c>
      <c r="F2183" s="53" t="s">
        <v>3812</v>
      </c>
      <c r="H2183" s="28">
        <v>0</v>
      </c>
    </row>
    <row r="2184" spans="1:8" x14ac:dyDescent="0.35">
      <c r="A2184" s="22"/>
      <c r="B2184" s="22" t="s">
        <v>2550</v>
      </c>
      <c r="C2184" s="26">
        <v>45900</v>
      </c>
      <c r="D2184" s="25" t="s">
        <v>3467</v>
      </c>
      <c r="E2184" s="25" t="s">
        <v>3537</v>
      </c>
      <c r="F2184" s="53" t="s">
        <v>3812</v>
      </c>
      <c r="H2184" s="28">
        <v>403.22</v>
      </c>
    </row>
    <row r="2185" spans="1:8" x14ac:dyDescent="0.35">
      <c r="A2185" s="22"/>
      <c r="B2185" s="22" t="s">
        <v>2550</v>
      </c>
      <c r="C2185" s="26">
        <v>45900</v>
      </c>
      <c r="D2185" s="25">
        <v>38824</v>
      </c>
      <c r="E2185" s="25" t="s">
        <v>3538</v>
      </c>
      <c r="F2185" s="53" t="s">
        <v>3812</v>
      </c>
      <c r="H2185" s="28">
        <v>687.5</v>
      </c>
    </row>
    <row r="2186" spans="1:8" x14ac:dyDescent="0.35">
      <c r="A2186" s="22"/>
      <c r="B2186" s="22" t="s">
        <v>2550</v>
      </c>
      <c r="C2186" s="26">
        <v>45900</v>
      </c>
      <c r="D2186" s="25">
        <v>38835</v>
      </c>
      <c r="E2186" s="25" t="s">
        <v>3539</v>
      </c>
      <c r="F2186" s="53" t="s">
        <v>3812</v>
      </c>
      <c r="H2186" s="28">
        <v>1756.69</v>
      </c>
    </row>
    <row r="2187" spans="1:8" x14ac:dyDescent="0.35">
      <c r="A2187" s="22"/>
      <c r="B2187" s="22" t="s">
        <v>2550</v>
      </c>
      <c r="C2187" s="26">
        <v>45900</v>
      </c>
      <c r="D2187" s="25">
        <v>38842</v>
      </c>
      <c r="E2187" s="25" t="s">
        <v>3540</v>
      </c>
      <c r="F2187" s="53" t="s">
        <v>3812</v>
      </c>
      <c r="H2187" s="28">
        <v>58630</v>
      </c>
    </row>
    <row r="2188" spans="1:8" x14ac:dyDescent="0.35">
      <c r="A2188" s="22"/>
      <c r="B2188" s="22" t="s">
        <v>2550</v>
      </c>
      <c r="C2188" s="26">
        <v>45900</v>
      </c>
      <c r="D2188" s="25">
        <v>38843</v>
      </c>
      <c r="E2188" s="25" t="s">
        <v>3497</v>
      </c>
      <c r="F2188" s="53" t="s">
        <v>3812</v>
      </c>
      <c r="H2188" s="28">
        <v>625</v>
      </c>
    </row>
    <row r="2189" spans="1:8" x14ac:dyDescent="0.35">
      <c r="A2189" s="22"/>
      <c r="B2189" s="22" t="s">
        <v>2550</v>
      </c>
      <c r="C2189" s="26">
        <v>45900</v>
      </c>
      <c r="D2189" s="25">
        <v>38849</v>
      </c>
      <c r="E2189" s="25" t="s">
        <v>3541</v>
      </c>
      <c r="F2189" s="53" t="s">
        <v>3812</v>
      </c>
      <c r="H2189" s="28">
        <v>33300</v>
      </c>
    </row>
    <row r="2190" spans="1:8" x14ac:dyDescent="0.35">
      <c r="A2190" s="22"/>
      <c r="B2190" s="22" t="s">
        <v>2550</v>
      </c>
      <c r="C2190" s="26">
        <v>45900</v>
      </c>
      <c r="D2190" s="25">
        <v>38853</v>
      </c>
      <c r="E2190" s="25" t="s">
        <v>3542</v>
      </c>
      <c r="F2190" s="53" t="s">
        <v>3812</v>
      </c>
      <c r="H2190" s="28">
        <v>1209.6099999999999</v>
      </c>
    </row>
    <row r="2191" spans="1:8" x14ac:dyDescent="0.35">
      <c r="A2191" s="22"/>
      <c r="B2191" s="22" t="s">
        <v>2550</v>
      </c>
      <c r="C2191" s="26">
        <v>45900</v>
      </c>
      <c r="D2191" s="25">
        <v>38854</v>
      </c>
      <c r="E2191" s="25" t="s">
        <v>3543</v>
      </c>
      <c r="F2191" s="53" t="s">
        <v>3812</v>
      </c>
      <c r="H2191" s="28">
        <v>31500</v>
      </c>
    </row>
    <row r="2192" spans="1:8" x14ac:dyDescent="0.35">
      <c r="A2192" s="22"/>
      <c r="B2192" s="22" t="s">
        <v>2550</v>
      </c>
      <c r="C2192" s="26">
        <v>45900</v>
      </c>
      <c r="D2192" s="25">
        <v>38855</v>
      </c>
      <c r="E2192" s="25" t="s">
        <v>3544</v>
      </c>
      <c r="F2192" s="53" t="s">
        <v>3812</v>
      </c>
      <c r="H2192" s="28">
        <v>15800</v>
      </c>
    </row>
    <row r="2193" spans="1:8" x14ac:dyDescent="0.35">
      <c r="A2193" s="22"/>
      <c r="B2193" s="22" t="s">
        <v>2550</v>
      </c>
      <c r="C2193" s="26">
        <v>45900</v>
      </c>
      <c r="D2193" s="25">
        <v>38856</v>
      </c>
      <c r="E2193" s="25" t="s">
        <v>3545</v>
      </c>
      <c r="F2193" s="53" t="s">
        <v>3812</v>
      </c>
      <c r="H2193" s="28">
        <v>900</v>
      </c>
    </row>
    <row r="2194" spans="1:8" x14ac:dyDescent="0.35">
      <c r="A2194" s="22"/>
      <c r="B2194" s="22" t="s">
        <v>2550</v>
      </c>
      <c r="C2194" s="26">
        <v>45900</v>
      </c>
      <c r="D2194" s="25">
        <v>38865</v>
      </c>
      <c r="E2194" s="25" t="s">
        <v>3546</v>
      </c>
      <c r="F2194" s="53" t="s">
        <v>3812</v>
      </c>
      <c r="H2194" s="28">
        <v>350</v>
      </c>
    </row>
    <row r="2195" spans="1:8" x14ac:dyDescent="0.35">
      <c r="A2195" s="22"/>
      <c r="B2195" s="22" t="s">
        <v>2550</v>
      </c>
      <c r="C2195" s="26">
        <v>45900</v>
      </c>
      <c r="D2195" s="25">
        <v>38867</v>
      </c>
      <c r="E2195" s="25" t="s">
        <v>3547</v>
      </c>
      <c r="F2195" s="53" t="s">
        <v>3812</v>
      </c>
      <c r="H2195" s="28">
        <v>413.1</v>
      </c>
    </row>
    <row r="2196" spans="1:8" x14ac:dyDescent="0.35">
      <c r="A2196" s="22"/>
      <c r="B2196" s="22" t="s">
        <v>2550</v>
      </c>
      <c r="C2196" s="26">
        <v>45900</v>
      </c>
      <c r="D2196" s="25">
        <v>38868</v>
      </c>
      <c r="E2196" s="25" t="s">
        <v>3548</v>
      </c>
      <c r="F2196" s="53" t="s">
        <v>3812</v>
      </c>
      <c r="H2196" s="28">
        <v>2306.2399999999998</v>
      </c>
    </row>
    <row r="2197" spans="1:8" x14ac:dyDescent="0.35">
      <c r="A2197" s="22"/>
      <c r="B2197" s="22" t="s">
        <v>2550</v>
      </c>
      <c r="C2197" s="26">
        <v>45900</v>
      </c>
      <c r="D2197" s="25">
        <v>38871</v>
      </c>
      <c r="E2197" s="25" t="s">
        <v>3500</v>
      </c>
      <c r="F2197" s="53" t="s">
        <v>3812</v>
      </c>
      <c r="H2197" s="28">
        <v>4169.7</v>
      </c>
    </row>
    <row r="2198" spans="1:8" x14ac:dyDescent="0.35">
      <c r="A2198" s="22"/>
      <c r="B2198" s="22" t="s">
        <v>2550</v>
      </c>
      <c r="C2198" s="26">
        <v>45900</v>
      </c>
      <c r="D2198" s="25">
        <v>38873</v>
      </c>
      <c r="E2198" s="25" t="s">
        <v>3536</v>
      </c>
      <c r="F2198" s="53" t="s">
        <v>3812</v>
      </c>
      <c r="H2198" s="28">
        <v>759.24</v>
      </c>
    </row>
    <row r="2199" spans="1:8" x14ac:dyDescent="0.35">
      <c r="A2199" s="22"/>
      <c r="B2199" s="22" t="s">
        <v>2550</v>
      </c>
      <c r="C2199" s="26">
        <v>45900</v>
      </c>
      <c r="D2199" s="25">
        <v>38880</v>
      </c>
      <c r="E2199" s="25" t="s">
        <v>1656</v>
      </c>
      <c r="F2199" s="53" t="s">
        <v>3812</v>
      </c>
      <c r="H2199" s="28">
        <v>1234.24</v>
      </c>
    </row>
    <row r="2200" spans="1:8" x14ac:dyDescent="0.35">
      <c r="A2200" s="22"/>
      <c r="B2200" s="22" t="s">
        <v>2550</v>
      </c>
      <c r="C2200" s="26">
        <v>45900</v>
      </c>
      <c r="D2200" s="25">
        <v>38884</v>
      </c>
      <c r="E2200" s="25" t="s">
        <v>3545</v>
      </c>
      <c r="F2200" s="53" t="s">
        <v>3812</v>
      </c>
      <c r="H2200" s="28">
        <v>450</v>
      </c>
    </row>
    <row r="2201" spans="1:8" x14ac:dyDescent="0.35">
      <c r="A2201" s="22"/>
      <c r="B2201" s="22" t="s">
        <v>2550</v>
      </c>
      <c r="C2201" s="26">
        <v>45900</v>
      </c>
      <c r="D2201" s="25">
        <v>38904</v>
      </c>
      <c r="E2201" s="25" t="s">
        <v>3549</v>
      </c>
      <c r="F2201" s="53" t="s">
        <v>3812</v>
      </c>
      <c r="H2201" s="28">
        <v>1247.75</v>
      </c>
    </row>
    <row r="2202" spans="1:8" x14ac:dyDescent="0.35">
      <c r="A2202" s="22"/>
      <c r="B2202" s="22" t="s">
        <v>2550</v>
      </c>
      <c r="C2202" s="26">
        <v>45900</v>
      </c>
      <c r="D2202" s="25">
        <v>38909</v>
      </c>
      <c r="E2202" s="25" t="s">
        <v>3550</v>
      </c>
      <c r="F2202" s="53" t="s">
        <v>3812</v>
      </c>
      <c r="H2202" s="28">
        <v>10907.779999999999</v>
      </c>
    </row>
    <row r="2203" spans="1:8" x14ac:dyDescent="0.35">
      <c r="A2203" s="22"/>
      <c r="B2203" s="22" t="s">
        <v>2550</v>
      </c>
      <c r="C2203" s="26">
        <v>45900</v>
      </c>
      <c r="D2203" s="25">
        <v>38911</v>
      </c>
      <c r="E2203" s="25" t="s">
        <v>3551</v>
      </c>
      <c r="F2203" s="53" t="s">
        <v>3812</v>
      </c>
      <c r="H2203" s="28">
        <v>880</v>
      </c>
    </row>
    <row r="2204" spans="1:8" x14ac:dyDescent="0.35">
      <c r="A2204" s="22"/>
      <c r="B2204" s="22" t="s">
        <v>2550</v>
      </c>
      <c r="C2204" s="26">
        <v>45900</v>
      </c>
      <c r="D2204" s="25">
        <v>38912</v>
      </c>
      <c r="E2204" s="25" t="s">
        <v>3552</v>
      </c>
      <c r="F2204" s="53" t="s">
        <v>3812</v>
      </c>
      <c r="H2204" s="28">
        <v>23482</v>
      </c>
    </row>
    <row r="2205" spans="1:8" x14ac:dyDescent="0.35">
      <c r="A2205" s="22"/>
      <c r="B2205" s="22" t="s">
        <v>2550</v>
      </c>
      <c r="C2205" s="26">
        <v>45900</v>
      </c>
      <c r="D2205" s="25">
        <v>38913</v>
      </c>
      <c r="E2205" s="25" t="s">
        <v>3553</v>
      </c>
      <c r="F2205" s="53" t="s">
        <v>3812</v>
      </c>
      <c r="H2205" s="28">
        <v>200</v>
      </c>
    </row>
    <row r="2206" spans="1:8" x14ac:dyDescent="0.35">
      <c r="A2206" s="22"/>
      <c r="B2206" s="22" t="s">
        <v>2550</v>
      </c>
      <c r="C2206" s="26">
        <v>45900</v>
      </c>
      <c r="D2206" s="25">
        <v>38915</v>
      </c>
      <c r="E2206" s="25" t="s">
        <v>3554</v>
      </c>
      <c r="F2206" s="53" t="s">
        <v>3812</v>
      </c>
      <c r="H2206" s="28">
        <v>177.19</v>
      </c>
    </row>
    <row r="2207" spans="1:8" x14ac:dyDescent="0.35">
      <c r="A2207" s="22"/>
      <c r="B2207" s="22" t="s">
        <v>2550</v>
      </c>
      <c r="C2207" s="26">
        <v>45900</v>
      </c>
      <c r="D2207" s="25">
        <v>38916</v>
      </c>
      <c r="E2207" s="25" t="s">
        <v>3555</v>
      </c>
      <c r="F2207" s="53" t="s">
        <v>3812</v>
      </c>
      <c r="H2207" s="28">
        <v>108.5</v>
      </c>
    </row>
    <row r="2208" spans="1:8" x14ac:dyDescent="0.35">
      <c r="A2208" s="22"/>
      <c r="B2208" s="22" t="s">
        <v>2550</v>
      </c>
      <c r="C2208" s="26">
        <v>45900</v>
      </c>
      <c r="D2208" s="25">
        <v>38921</v>
      </c>
      <c r="E2208" s="25" t="s">
        <v>3556</v>
      </c>
      <c r="F2208" s="53" t="s">
        <v>3812</v>
      </c>
      <c r="H2208" s="28">
        <v>54.25</v>
      </c>
    </row>
    <row r="2209" spans="1:8" x14ac:dyDescent="0.35">
      <c r="A2209" s="22"/>
      <c r="B2209" s="22" t="s">
        <v>2550</v>
      </c>
      <c r="C2209" s="26">
        <v>45900</v>
      </c>
      <c r="D2209" s="25">
        <v>38942</v>
      </c>
      <c r="E2209" s="25" t="s">
        <v>3557</v>
      </c>
      <c r="F2209" s="53" t="s">
        <v>3812</v>
      </c>
      <c r="H2209" s="28">
        <v>462.5</v>
      </c>
    </row>
    <row r="2210" spans="1:8" x14ac:dyDescent="0.35">
      <c r="A2210" s="22"/>
      <c r="B2210" s="22" t="s">
        <v>2550</v>
      </c>
      <c r="C2210" s="26">
        <v>45900</v>
      </c>
      <c r="D2210" s="25">
        <v>38946</v>
      </c>
      <c r="E2210" s="25" t="s">
        <v>3558</v>
      </c>
      <c r="F2210" s="53" t="s">
        <v>3812</v>
      </c>
      <c r="H2210" s="28">
        <v>2800</v>
      </c>
    </row>
    <row r="2211" spans="1:8" x14ac:dyDescent="0.35">
      <c r="A2211" s="22"/>
      <c r="B2211" s="22" t="s">
        <v>2550</v>
      </c>
      <c r="C2211" s="26">
        <v>45900</v>
      </c>
      <c r="D2211" s="25">
        <v>38957</v>
      </c>
      <c r="E2211" s="25" t="s">
        <v>3559</v>
      </c>
      <c r="F2211" s="53" t="s">
        <v>3812</v>
      </c>
      <c r="H2211" s="28">
        <v>569.63</v>
      </c>
    </row>
    <row r="2212" spans="1:8" x14ac:dyDescent="0.35">
      <c r="A2212" s="22"/>
      <c r="B2212" s="22" t="s">
        <v>2550</v>
      </c>
      <c r="C2212" s="26">
        <v>45900</v>
      </c>
      <c r="D2212" s="25">
        <v>38962</v>
      </c>
      <c r="E2212" s="25" t="s">
        <v>3560</v>
      </c>
      <c r="F2212" s="53" t="s">
        <v>3812</v>
      </c>
      <c r="H2212" s="28">
        <v>92.4</v>
      </c>
    </row>
    <row r="2213" spans="1:8" x14ac:dyDescent="0.35">
      <c r="A2213" s="22"/>
      <c r="B2213" s="22" t="s">
        <v>2550</v>
      </c>
      <c r="C2213" s="26">
        <v>45900</v>
      </c>
      <c r="D2213" s="25">
        <v>38963</v>
      </c>
      <c r="E2213" s="25" t="s">
        <v>3561</v>
      </c>
      <c r="F2213" s="53" t="s">
        <v>3812</v>
      </c>
      <c r="H2213" s="28">
        <v>103.27</v>
      </c>
    </row>
    <row r="2214" spans="1:8" x14ac:dyDescent="0.35">
      <c r="A2214" s="22"/>
      <c r="B2214" s="22" t="s">
        <v>2550</v>
      </c>
      <c r="C2214" s="26">
        <v>45900</v>
      </c>
      <c r="D2214" s="25">
        <v>38965</v>
      </c>
      <c r="E2214" s="25" t="s">
        <v>3562</v>
      </c>
      <c r="F2214" s="53" t="s">
        <v>3812</v>
      </c>
      <c r="H2214" s="28">
        <v>350</v>
      </c>
    </row>
    <row r="2215" spans="1:8" x14ac:dyDescent="0.35">
      <c r="A2215" s="22"/>
      <c r="B2215" s="22" t="s">
        <v>2550</v>
      </c>
      <c r="C2215" s="26">
        <v>45900</v>
      </c>
      <c r="D2215" s="25">
        <v>38974</v>
      </c>
      <c r="E2215" s="25" t="s">
        <v>3563</v>
      </c>
      <c r="F2215" s="53" t="s">
        <v>3812</v>
      </c>
      <c r="H2215" s="28">
        <v>450</v>
      </c>
    </row>
    <row r="2216" spans="1:8" x14ac:dyDescent="0.35">
      <c r="A2216" s="22"/>
      <c r="B2216" s="22" t="s">
        <v>2550</v>
      </c>
      <c r="C2216" s="26">
        <v>45900</v>
      </c>
      <c r="D2216" s="25">
        <v>38984</v>
      </c>
      <c r="E2216" s="25" t="s">
        <v>1840</v>
      </c>
      <c r="F2216" s="53" t="s">
        <v>3812</v>
      </c>
      <c r="H2216" s="28">
        <v>1984</v>
      </c>
    </row>
    <row r="2217" spans="1:8" x14ac:dyDescent="0.35">
      <c r="A2217" s="22"/>
      <c r="B2217" s="22" t="s">
        <v>2550</v>
      </c>
      <c r="C2217" s="26">
        <v>45900</v>
      </c>
      <c r="D2217" s="25">
        <v>38985</v>
      </c>
      <c r="E2217" s="25" t="s">
        <v>3564</v>
      </c>
      <c r="F2217" s="53" t="s">
        <v>3812</v>
      </c>
      <c r="H2217" s="28">
        <v>2248</v>
      </c>
    </row>
    <row r="2218" spans="1:8" x14ac:dyDescent="0.35">
      <c r="A2218" s="22"/>
      <c r="B2218" s="22" t="s">
        <v>2550</v>
      </c>
      <c r="C2218" s="26">
        <v>45900</v>
      </c>
      <c r="D2218" s="25">
        <v>38992</v>
      </c>
      <c r="E2218" s="25" t="s">
        <v>2258</v>
      </c>
      <c r="F2218" s="53" t="s">
        <v>3812</v>
      </c>
      <c r="H2218" s="28">
        <v>14079.71</v>
      </c>
    </row>
    <row r="2219" spans="1:8" x14ac:dyDescent="0.35">
      <c r="A2219" s="22"/>
      <c r="B2219" s="22" t="s">
        <v>2550</v>
      </c>
      <c r="C2219" s="26">
        <v>45900</v>
      </c>
      <c r="D2219" s="25">
        <v>38997</v>
      </c>
      <c r="E2219" s="25" t="s">
        <v>1924</v>
      </c>
      <c r="F2219" s="53" t="s">
        <v>3812</v>
      </c>
      <c r="H2219" s="28">
        <v>15560</v>
      </c>
    </row>
    <row r="2220" spans="1:8" x14ac:dyDescent="0.35">
      <c r="A2220" s="22"/>
      <c r="B2220" s="22" t="s">
        <v>2550</v>
      </c>
      <c r="C2220" s="26">
        <v>45900</v>
      </c>
      <c r="D2220" s="25">
        <v>38998</v>
      </c>
      <c r="E2220" s="25" t="s">
        <v>3565</v>
      </c>
      <c r="F2220" s="53" t="s">
        <v>3812</v>
      </c>
      <c r="H2220" s="28">
        <v>697.5</v>
      </c>
    </row>
    <row r="2221" spans="1:8" x14ac:dyDescent="0.35">
      <c r="A2221" s="22"/>
      <c r="B2221" s="22" t="s">
        <v>2550</v>
      </c>
      <c r="C2221" s="26">
        <v>45900</v>
      </c>
      <c r="D2221" s="25">
        <v>39003</v>
      </c>
      <c r="E2221" s="25" t="s">
        <v>3566</v>
      </c>
      <c r="F2221" s="53" t="s">
        <v>3812</v>
      </c>
      <c r="H2221" s="28">
        <v>11883.55</v>
      </c>
    </row>
    <row r="2222" spans="1:8" x14ac:dyDescent="0.35">
      <c r="A2222" s="22"/>
      <c r="B2222" s="22" t="s">
        <v>2550</v>
      </c>
      <c r="C2222" s="26">
        <v>45900</v>
      </c>
      <c r="D2222" s="25">
        <v>39009</v>
      </c>
      <c r="E2222" s="25" t="s">
        <v>3565</v>
      </c>
      <c r="F2222" s="53" t="s">
        <v>3812</v>
      </c>
      <c r="H2222" s="28">
        <v>4500</v>
      </c>
    </row>
    <row r="2223" spans="1:8" x14ac:dyDescent="0.35">
      <c r="A2223" s="22"/>
      <c r="B2223" s="22" t="s">
        <v>2550</v>
      </c>
      <c r="C2223" s="26">
        <v>45900</v>
      </c>
      <c r="D2223" s="25">
        <v>39063</v>
      </c>
      <c r="E2223" s="25" t="s">
        <v>3567</v>
      </c>
      <c r="F2223" s="53" t="s">
        <v>3812</v>
      </c>
      <c r="H2223" s="28">
        <v>4464</v>
      </c>
    </row>
    <row r="2224" spans="1:8" x14ac:dyDescent="0.35">
      <c r="A2224" s="22"/>
      <c r="B2224" s="22" t="s">
        <v>2550</v>
      </c>
      <c r="C2224" s="26">
        <v>45900</v>
      </c>
      <c r="D2224" s="25">
        <v>39073</v>
      </c>
      <c r="E2224" s="25" t="s">
        <v>3544</v>
      </c>
      <c r="F2224" s="53" t="s">
        <v>3812</v>
      </c>
      <c r="H2224" s="28">
        <v>13200</v>
      </c>
    </row>
    <row r="2225" spans="1:8" x14ac:dyDescent="0.35">
      <c r="A2225" s="22"/>
      <c r="B2225" s="22" t="s">
        <v>2550</v>
      </c>
      <c r="C2225" s="26">
        <v>45900</v>
      </c>
      <c r="D2225" s="25">
        <v>39074</v>
      </c>
      <c r="E2225" s="25" t="s">
        <v>3544</v>
      </c>
      <c r="F2225" s="53" t="s">
        <v>3812</v>
      </c>
      <c r="H2225" s="28">
        <v>10200</v>
      </c>
    </row>
    <row r="2226" spans="1:8" x14ac:dyDescent="0.35">
      <c r="A2226" s="22"/>
      <c r="B2226" s="22" t="s">
        <v>2550</v>
      </c>
      <c r="C2226" s="26">
        <v>45900</v>
      </c>
      <c r="D2226" s="25">
        <v>39084</v>
      </c>
      <c r="E2226" s="25" t="s">
        <v>2459</v>
      </c>
      <c r="F2226" s="53" t="s">
        <v>3812</v>
      </c>
      <c r="H2226" s="28">
        <v>12023.44</v>
      </c>
    </row>
    <row r="2227" spans="1:8" x14ac:dyDescent="0.35">
      <c r="A2227" s="22"/>
      <c r="B2227" s="22" t="s">
        <v>2550</v>
      </c>
      <c r="C2227" s="26">
        <v>45900</v>
      </c>
      <c r="D2227" s="25">
        <v>39086</v>
      </c>
      <c r="E2227" s="25" t="s">
        <v>301</v>
      </c>
      <c r="F2227" s="53" t="s">
        <v>3812</v>
      </c>
      <c r="H2227" s="28">
        <v>0</v>
      </c>
    </row>
    <row r="2228" spans="1:8" x14ac:dyDescent="0.35">
      <c r="A2228" s="22"/>
      <c r="B2228" s="22" t="s">
        <v>2550</v>
      </c>
      <c r="C2228" s="26">
        <v>45900</v>
      </c>
      <c r="D2228" s="25" t="s">
        <v>3471</v>
      </c>
      <c r="E2228" s="25" t="s">
        <v>301</v>
      </c>
      <c r="F2228" s="53" t="s">
        <v>3812</v>
      </c>
      <c r="H2228" s="28">
        <v>0</v>
      </c>
    </row>
    <row r="2229" spans="1:8" x14ac:dyDescent="0.35">
      <c r="A2229" s="22"/>
      <c r="B2229" s="22" t="s">
        <v>2550</v>
      </c>
      <c r="C2229" s="26">
        <v>45900</v>
      </c>
      <c r="D2229" s="25">
        <v>39088</v>
      </c>
      <c r="E2229" s="25" t="s">
        <v>3568</v>
      </c>
      <c r="F2229" s="53" t="s">
        <v>3812</v>
      </c>
      <c r="H2229" s="28">
        <v>6417</v>
      </c>
    </row>
    <row r="2230" spans="1:8" x14ac:dyDescent="0.35">
      <c r="A2230" s="22"/>
      <c r="B2230" s="22" t="s">
        <v>2550</v>
      </c>
      <c r="C2230" s="26">
        <v>45900</v>
      </c>
      <c r="D2230" s="25">
        <v>39089</v>
      </c>
      <c r="E2230" s="25" t="s">
        <v>3500</v>
      </c>
      <c r="F2230" s="53" t="s">
        <v>3812</v>
      </c>
      <c r="H2230" s="28">
        <v>355.95</v>
      </c>
    </row>
    <row r="2231" spans="1:8" x14ac:dyDescent="0.35">
      <c r="A2231" s="22"/>
      <c r="B2231" s="22" t="s">
        <v>2550</v>
      </c>
      <c r="C2231" s="26">
        <v>45900</v>
      </c>
      <c r="D2231" s="25">
        <v>39091</v>
      </c>
      <c r="E2231" s="25" t="s">
        <v>992</v>
      </c>
      <c r="F2231" s="53" t="s">
        <v>3812</v>
      </c>
      <c r="H2231" s="28">
        <v>44.55</v>
      </c>
    </row>
    <row r="2232" spans="1:8" x14ac:dyDescent="0.35">
      <c r="A2232" s="22"/>
      <c r="B2232" s="22" t="s">
        <v>2550</v>
      </c>
      <c r="C2232" s="26">
        <v>45900</v>
      </c>
      <c r="D2232" s="25">
        <v>39092</v>
      </c>
      <c r="E2232" s="25" t="s">
        <v>3481</v>
      </c>
      <c r="F2232" s="53" t="s">
        <v>3812</v>
      </c>
      <c r="H2232" s="28">
        <v>29496.36</v>
      </c>
    </row>
    <row r="2233" spans="1:8" x14ac:dyDescent="0.35">
      <c r="A2233" s="22"/>
      <c r="B2233" s="22" t="s">
        <v>2550</v>
      </c>
      <c r="C2233" s="26">
        <v>45900</v>
      </c>
      <c r="D2233" s="25">
        <v>39093</v>
      </c>
      <c r="E2233" s="25" t="s">
        <v>2892</v>
      </c>
      <c r="F2233" s="53" t="s">
        <v>3812</v>
      </c>
      <c r="H2233" s="28">
        <v>1050.5</v>
      </c>
    </row>
    <row r="2234" spans="1:8" x14ac:dyDescent="0.35">
      <c r="A2234" s="22"/>
      <c r="B2234" s="22" t="s">
        <v>2550</v>
      </c>
      <c r="C2234" s="26">
        <v>45900</v>
      </c>
      <c r="D2234" s="25">
        <v>39094</v>
      </c>
      <c r="E2234" s="25" t="s">
        <v>1334</v>
      </c>
      <c r="F2234" s="53" t="s">
        <v>3812</v>
      </c>
      <c r="H2234" s="28">
        <v>7871.44</v>
      </c>
    </row>
    <row r="2235" spans="1:8" x14ac:dyDescent="0.35">
      <c r="A2235" s="22"/>
      <c r="B2235" s="22" t="s">
        <v>2550</v>
      </c>
      <c r="C2235" s="26">
        <v>45900</v>
      </c>
      <c r="D2235" s="25">
        <v>39095</v>
      </c>
      <c r="E2235" s="25" t="s">
        <v>1358</v>
      </c>
      <c r="F2235" s="53" t="s">
        <v>3812</v>
      </c>
      <c r="H2235" s="28">
        <v>458.63</v>
      </c>
    </row>
    <row r="2236" spans="1:8" x14ac:dyDescent="0.35">
      <c r="A2236" s="22"/>
      <c r="B2236" s="22" t="s">
        <v>2550</v>
      </c>
      <c r="C2236" s="26">
        <v>45900</v>
      </c>
      <c r="D2236" s="25">
        <v>39096</v>
      </c>
      <c r="E2236" s="25" t="s">
        <v>1371</v>
      </c>
      <c r="F2236" s="53" t="s">
        <v>3812</v>
      </c>
      <c r="H2236" s="28">
        <v>2244.7600000000002</v>
      </c>
    </row>
    <row r="2237" spans="1:8" x14ac:dyDescent="0.35">
      <c r="A2237" s="22"/>
      <c r="B2237" s="22" t="s">
        <v>2550</v>
      </c>
      <c r="C2237" s="26">
        <v>45900</v>
      </c>
      <c r="D2237" s="25">
        <v>39097</v>
      </c>
      <c r="E2237" s="25" t="s">
        <v>1376</v>
      </c>
      <c r="F2237" s="53" t="s">
        <v>3812</v>
      </c>
      <c r="H2237" s="28">
        <v>12.82</v>
      </c>
    </row>
    <row r="2238" spans="1:8" x14ac:dyDescent="0.35">
      <c r="A2238" s="22"/>
      <c r="B2238" s="22" t="s">
        <v>2550</v>
      </c>
      <c r="C2238" s="26">
        <v>45900</v>
      </c>
      <c r="D2238" s="25">
        <v>39098</v>
      </c>
      <c r="E2238" s="25" t="s">
        <v>1426</v>
      </c>
      <c r="F2238" s="53" t="s">
        <v>3812</v>
      </c>
      <c r="H2238" s="28">
        <v>6125.19</v>
      </c>
    </row>
    <row r="2239" spans="1:8" x14ac:dyDescent="0.35">
      <c r="A2239" s="22"/>
      <c r="B2239" s="22" t="s">
        <v>2550</v>
      </c>
      <c r="C2239" s="26">
        <v>45900</v>
      </c>
      <c r="D2239" s="25">
        <v>39099</v>
      </c>
      <c r="E2239" s="25" t="s">
        <v>3474</v>
      </c>
      <c r="F2239" s="53" t="s">
        <v>3812</v>
      </c>
      <c r="H2239" s="28">
        <v>8009.75</v>
      </c>
    </row>
    <row r="2240" spans="1:8" x14ac:dyDescent="0.35">
      <c r="A2240" s="22"/>
      <c r="B2240" s="22" t="s">
        <v>2550</v>
      </c>
      <c r="C2240" s="26">
        <v>45900</v>
      </c>
      <c r="D2240" s="25">
        <v>39100</v>
      </c>
      <c r="E2240" s="25" t="s">
        <v>3569</v>
      </c>
      <c r="F2240" s="53" t="s">
        <v>3812</v>
      </c>
      <c r="H2240" s="28">
        <v>613.85</v>
      </c>
    </row>
    <row r="2241" spans="1:8" x14ac:dyDescent="0.35">
      <c r="A2241" s="22"/>
      <c r="B2241" s="22" t="s">
        <v>2550</v>
      </c>
      <c r="C2241" s="26">
        <v>45900</v>
      </c>
      <c r="D2241" s="25">
        <v>39101</v>
      </c>
      <c r="E2241" s="25" t="s">
        <v>3554</v>
      </c>
      <c r="F2241" s="53" t="s">
        <v>3812</v>
      </c>
      <c r="H2241" s="28">
        <v>18.72</v>
      </c>
    </row>
    <row r="2242" spans="1:8" x14ac:dyDescent="0.35">
      <c r="A2242" s="22"/>
      <c r="B2242" s="22" t="s">
        <v>2550</v>
      </c>
      <c r="C2242" s="26">
        <v>45900</v>
      </c>
      <c r="D2242" s="25">
        <v>39102</v>
      </c>
      <c r="E2242" s="25" t="s">
        <v>3570</v>
      </c>
      <c r="F2242" s="53" t="s">
        <v>3812</v>
      </c>
      <c r="H2242" s="28">
        <v>4326.6000000000004</v>
      </c>
    </row>
    <row r="2243" spans="1:8" x14ac:dyDescent="0.35">
      <c r="A2243" s="22"/>
      <c r="B2243" s="22" t="s">
        <v>2550</v>
      </c>
      <c r="C2243" s="26">
        <v>45900</v>
      </c>
      <c r="D2243" s="25">
        <v>39103</v>
      </c>
      <c r="E2243" s="25" t="s">
        <v>1656</v>
      </c>
      <c r="F2243" s="53" t="s">
        <v>3812</v>
      </c>
      <c r="H2243" s="28">
        <v>9360</v>
      </c>
    </row>
    <row r="2244" spans="1:8" x14ac:dyDescent="0.35">
      <c r="A2244" s="22"/>
      <c r="B2244" s="22" t="s">
        <v>2550</v>
      </c>
      <c r="C2244" s="26">
        <v>45900</v>
      </c>
      <c r="D2244" s="25">
        <v>39104</v>
      </c>
      <c r="E2244" s="25" t="s">
        <v>2906</v>
      </c>
      <c r="F2244" s="53" t="s">
        <v>3812</v>
      </c>
      <c r="H2244" s="28">
        <v>1254.52</v>
      </c>
    </row>
    <row r="2245" spans="1:8" x14ac:dyDescent="0.35">
      <c r="A2245" s="22"/>
      <c r="B2245" s="22" t="s">
        <v>2550</v>
      </c>
      <c r="C2245" s="26">
        <v>45900</v>
      </c>
      <c r="D2245" s="25">
        <v>39105</v>
      </c>
      <c r="E2245" s="25" t="s">
        <v>3534</v>
      </c>
      <c r="F2245" s="53" t="s">
        <v>3812</v>
      </c>
      <c r="H2245" s="28">
        <v>1125.1500000000001</v>
      </c>
    </row>
    <row r="2246" spans="1:8" x14ac:dyDescent="0.35">
      <c r="A2246" s="22"/>
      <c r="B2246" s="22" t="s">
        <v>2550</v>
      </c>
      <c r="C2246" s="26">
        <v>45900</v>
      </c>
      <c r="D2246" s="25">
        <v>39106</v>
      </c>
      <c r="E2246" s="25" t="s">
        <v>3571</v>
      </c>
      <c r="F2246" s="53" t="s">
        <v>3812</v>
      </c>
      <c r="H2246" s="28">
        <v>93.11</v>
      </c>
    </row>
    <row r="2247" spans="1:8" x14ac:dyDescent="0.35">
      <c r="A2247" s="22"/>
      <c r="B2247" s="22" t="s">
        <v>2550</v>
      </c>
      <c r="C2247" s="26">
        <v>45900</v>
      </c>
      <c r="D2247" s="25">
        <v>39107</v>
      </c>
      <c r="E2247" s="25" t="s">
        <v>3230</v>
      </c>
      <c r="F2247" s="53" t="s">
        <v>3812</v>
      </c>
      <c r="H2247" s="28">
        <v>117734.84</v>
      </c>
    </row>
    <row r="2248" spans="1:8" x14ac:dyDescent="0.35">
      <c r="A2248" s="22"/>
      <c r="B2248" s="22" t="s">
        <v>2550</v>
      </c>
      <c r="C2248" s="26">
        <v>45900</v>
      </c>
      <c r="D2248" s="25">
        <v>39108</v>
      </c>
      <c r="E2248" s="25" t="s">
        <v>2467</v>
      </c>
      <c r="F2248" s="53" t="s">
        <v>3812</v>
      </c>
      <c r="H2248" s="28">
        <v>29470.66</v>
      </c>
    </row>
    <row r="2249" spans="1:8" x14ac:dyDescent="0.35">
      <c r="A2249" s="22"/>
      <c r="B2249" s="22" t="s">
        <v>2550</v>
      </c>
      <c r="C2249" s="26">
        <v>45900</v>
      </c>
      <c r="D2249" s="25">
        <v>39109</v>
      </c>
      <c r="E2249" s="25" t="s">
        <v>1839</v>
      </c>
      <c r="F2249" s="53" t="s">
        <v>3812</v>
      </c>
      <c r="H2249" s="28">
        <v>5470.79</v>
      </c>
    </row>
    <row r="2250" spans="1:8" x14ac:dyDescent="0.35">
      <c r="A2250" s="22"/>
      <c r="B2250" s="22" t="s">
        <v>2550</v>
      </c>
      <c r="C2250" s="26">
        <v>45900</v>
      </c>
      <c r="D2250" s="25">
        <v>39110</v>
      </c>
      <c r="E2250" s="25" t="s">
        <v>1919</v>
      </c>
      <c r="F2250" s="53" t="s">
        <v>3812</v>
      </c>
      <c r="H2250" s="28">
        <v>359.32</v>
      </c>
    </row>
    <row r="2251" spans="1:8" x14ac:dyDescent="0.35">
      <c r="A2251" s="22"/>
      <c r="B2251" s="22" t="s">
        <v>2550</v>
      </c>
      <c r="C2251" s="26">
        <v>45900</v>
      </c>
      <c r="D2251" s="25">
        <v>39111</v>
      </c>
      <c r="E2251" s="25" t="s">
        <v>1999</v>
      </c>
      <c r="F2251" s="53" t="s">
        <v>3812</v>
      </c>
      <c r="H2251" s="28">
        <v>44417.43</v>
      </c>
    </row>
    <row r="2252" spans="1:8" x14ac:dyDescent="0.35">
      <c r="A2252" s="22"/>
      <c r="B2252" s="22" t="s">
        <v>2550</v>
      </c>
      <c r="C2252" s="26">
        <v>45900</v>
      </c>
      <c r="D2252" s="25">
        <v>39112</v>
      </c>
      <c r="E2252" s="25" t="s">
        <v>2555</v>
      </c>
      <c r="F2252" s="53" t="s">
        <v>3812</v>
      </c>
      <c r="H2252" s="28">
        <v>8081.07</v>
      </c>
    </row>
    <row r="2253" spans="1:8" x14ac:dyDescent="0.35">
      <c r="A2253" s="22"/>
      <c r="B2253" s="22" t="s">
        <v>2550</v>
      </c>
      <c r="C2253" s="26">
        <v>45900</v>
      </c>
      <c r="D2253" s="25">
        <v>39113</v>
      </c>
      <c r="E2253" s="25" t="s">
        <v>2846</v>
      </c>
      <c r="F2253" s="53" t="s">
        <v>3812</v>
      </c>
      <c r="H2253" s="28">
        <v>4721.4400000000005</v>
      </c>
    </row>
    <row r="2254" spans="1:8" x14ac:dyDescent="0.35">
      <c r="A2254" s="22"/>
      <c r="B2254" s="22" t="s">
        <v>2550</v>
      </c>
      <c r="C2254" s="26">
        <v>45900</v>
      </c>
      <c r="D2254" s="25">
        <v>39114</v>
      </c>
      <c r="E2254" s="25" t="s">
        <v>2027</v>
      </c>
      <c r="F2254" s="53" t="s">
        <v>3812</v>
      </c>
      <c r="H2254" s="28">
        <v>22883.119999999999</v>
      </c>
    </row>
    <row r="2255" spans="1:8" x14ac:dyDescent="0.35">
      <c r="A2255" s="22"/>
      <c r="B2255" s="22" t="s">
        <v>2550</v>
      </c>
      <c r="C2255" s="26">
        <v>45900</v>
      </c>
      <c r="D2255" s="25">
        <v>39115</v>
      </c>
      <c r="E2255" s="25" t="s">
        <v>2067</v>
      </c>
      <c r="F2255" s="53" t="s">
        <v>3812</v>
      </c>
      <c r="H2255" s="28">
        <v>29074.390000000003</v>
      </c>
    </row>
    <row r="2256" spans="1:8" x14ac:dyDescent="0.35">
      <c r="A2256" s="22"/>
      <c r="B2256" s="22" t="s">
        <v>2550</v>
      </c>
      <c r="C2256" s="26">
        <v>45900</v>
      </c>
      <c r="D2256" s="25">
        <v>39116</v>
      </c>
      <c r="E2256" s="25" t="s">
        <v>2575</v>
      </c>
      <c r="F2256" s="53" t="s">
        <v>3812</v>
      </c>
      <c r="H2256" s="28">
        <v>235.88</v>
      </c>
    </row>
    <row r="2257" spans="1:8" x14ac:dyDescent="0.35">
      <c r="A2257" s="22"/>
      <c r="B2257" s="22" t="s">
        <v>2550</v>
      </c>
      <c r="C2257" s="26">
        <v>45900</v>
      </c>
      <c r="D2257" s="25">
        <v>39117</v>
      </c>
      <c r="E2257" s="25" t="s">
        <v>2144</v>
      </c>
      <c r="F2257" s="53" t="s">
        <v>3812</v>
      </c>
      <c r="H2257" s="28">
        <v>11048.619999999999</v>
      </c>
    </row>
    <row r="2258" spans="1:8" x14ac:dyDescent="0.35">
      <c r="A2258" s="22"/>
      <c r="B2258" s="22" t="s">
        <v>2550</v>
      </c>
      <c r="C2258" s="26">
        <v>45900</v>
      </c>
      <c r="D2258" s="25">
        <v>39118</v>
      </c>
      <c r="E2258" s="25" t="s">
        <v>2629</v>
      </c>
      <c r="F2258" s="53" t="s">
        <v>3812</v>
      </c>
      <c r="H2258" s="28">
        <v>8730.48</v>
      </c>
    </row>
    <row r="2259" spans="1:8" x14ac:dyDescent="0.35">
      <c r="A2259" s="22"/>
      <c r="B2259" s="22" t="s">
        <v>2550</v>
      </c>
      <c r="C2259" s="26">
        <v>45900</v>
      </c>
      <c r="D2259" s="25">
        <v>39119</v>
      </c>
      <c r="E2259" s="25" t="s">
        <v>3476</v>
      </c>
      <c r="F2259" s="53" t="s">
        <v>3812</v>
      </c>
      <c r="H2259" s="28">
        <v>768.7</v>
      </c>
    </row>
    <row r="2260" spans="1:8" x14ac:dyDescent="0.35">
      <c r="A2260" s="22"/>
      <c r="B2260" s="22" t="s">
        <v>2550</v>
      </c>
      <c r="C2260" s="26">
        <v>45900</v>
      </c>
      <c r="D2260" s="25">
        <v>39120</v>
      </c>
      <c r="E2260" s="25" t="s">
        <v>3572</v>
      </c>
      <c r="F2260" s="53" t="s">
        <v>3812</v>
      </c>
      <c r="H2260" s="28">
        <v>181.41</v>
      </c>
    </row>
    <row r="2261" spans="1:8" x14ac:dyDescent="0.35">
      <c r="A2261" s="22"/>
      <c r="B2261" s="22" t="s">
        <v>2550</v>
      </c>
      <c r="C2261" s="26">
        <v>45900</v>
      </c>
      <c r="D2261" s="25">
        <v>39121</v>
      </c>
      <c r="E2261" s="25" t="s">
        <v>3144</v>
      </c>
      <c r="F2261" s="53" t="s">
        <v>3812</v>
      </c>
      <c r="H2261" s="28">
        <v>330.77</v>
      </c>
    </row>
    <row r="2262" spans="1:8" x14ac:dyDescent="0.35">
      <c r="A2262" s="22"/>
      <c r="B2262" s="22" t="s">
        <v>2550</v>
      </c>
      <c r="C2262" s="26">
        <v>45900</v>
      </c>
      <c r="D2262" s="25">
        <v>39122</v>
      </c>
      <c r="E2262" s="25" t="s">
        <v>2459</v>
      </c>
      <c r="F2262" s="53" t="s">
        <v>3812</v>
      </c>
      <c r="H2262" s="28">
        <v>4462.1899999999996</v>
      </c>
    </row>
    <row r="2263" spans="1:8" x14ac:dyDescent="0.35">
      <c r="A2263" s="22"/>
      <c r="B2263" s="22" t="s">
        <v>2550</v>
      </c>
      <c r="C2263" s="26">
        <v>45900</v>
      </c>
      <c r="D2263" s="25">
        <v>39124</v>
      </c>
      <c r="E2263" s="25" t="s">
        <v>2392</v>
      </c>
      <c r="F2263" s="53" t="s">
        <v>3812</v>
      </c>
      <c r="H2263" s="28">
        <v>10792.45</v>
      </c>
    </row>
    <row r="2264" spans="1:8" x14ac:dyDescent="0.35">
      <c r="A2264" s="22"/>
      <c r="B2264" s="18" t="s">
        <v>2633</v>
      </c>
      <c r="C2264" s="26">
        <v>45877</v>
      </c>
      <c r="D2264" s="35" t="s">
        <v>2646</v>
      </c>
      <c r="E2264" s="25" t="s">
        <v>2662</v>
      </c>
      <c r="F2264" s="53" t="s">
        <v>3813</v>
      </c>
      <c r="H2264" s="28">
        <v>120</v>
      </c>
    </row>
    <row r="2265" spans="1:8" x14ac:dyDescent="0.35">
      <c r="A2265" s="22"/>
      <c r="B2265" s="18" t="s">
        <v>2633</v>
      </c>
      <c r="C2265" s="26">
        <v>45881</v>
      </c>
      <c r="D2265" s="25" t="s">
        <v>2658</v>
      </c>
      <c r="E2265" s="25" t="s">
        <v>1263</v>
      </c>
      <c r="F2265" s="53" t="s">
        <v>3813</v>
      </c>
      <c r="H2265" s="28">
        <v>1955</v>
      </c>
    </row>
    <row r="2266" spans="1:8" x14ac:dyDescent="0.35">
      <c r="A2266" s="22"/>
      <c r="B2266" s="18" t="s">
        <v>2633</v>
      </c>
      <c r="C2266" s="26">
        <v>45895</v>
      </c>
      <c r="D2266" s="25" t="s">
        <v>3573</v>
      </c>
      <c r="E2266" s="25" t="s">
        <v>2020</v>
      </c>
      <c r="F2266" s="53" t="s">
        <v>3813</v>
      </c>
      <c r="H2266" s="28">
        <v>-18900</v>
      </c>
    </row>
    <row r="2267" spans="1:8" x14ac:dyDescent="0.35">
      <c r="A2267" s="22"/>
      <c r="B2267" s="18" t="s">
        <v>2633</v>
      </c>
      <c r="C2267" s="26">
        <v>45898</v>
      </c>
      <c r="D2267" s="25">
        <v>38881</v>
      </c>
      <c r="E2267" s="25" t="s">
        <v>2894</v>
      </c>
      <c r="F2267" s="53" t="s">
        <v>3813</v>
      </c>
      <c r="H2267" s="28">
        <v>16.97</v>
      </c>
    </row>
    <row r="2268" spans="1:8" x14ac:dyDescent="0.35">
      <c r="A2268" s="22"/>
      <c r="B2268" s="18" t="s">
        <v>2633</v>
      </c>
      <c r="C2268" s="26">
        <v>45899</v>
      </c>
      <c r="D2268" s="25">
        <v>32888</v>
      </c>
      <c r="E2268" s="25" t="s">
        <v>2931</v>
      </c>
      <c r="F2268" s="53" t="s">
        <v>3813</v>
      </c>
      <c r="H2268" s="28">
        <v>0</v>
      </c>
    </row>
    <row r="2269" spans="1:8" x14ac:dyDescent="0.35">
      <c r="A2269" s="22"/>
      <c r="B2269" s="18" t="s">
        <v>2633</v>
      </c>
      <c r="C2269" s="26">
        <v>45899</v>
      </c>
      <c r="D2269" s="25" t="s">
        <v>2740</v>
      </c>
      <c r="E2269" s="25" t="s">
        <v>2197</v>
      </c>
      <c r="F2269" s="53" t="s">
        <v>3813</v>
      </c>
      <c r="H2269" s="28">
        <v>0</v>
      </c>
    </row>
    <row r="2270" spans="1:8" x14ac:dyDescent="0.35">
      <c r="A2270" s="22"/>
      <c r="B2270" s="18" t="s">
        <v>2633</v>
      </c>
      <c r="C2270" s="26">
        <v>45899</v>
      </c>
      <c r="D2270" s="25" t="s">
        <v>2850</v>
      </c>
      <c r="E2270" s="25" t="s">
        <v>1782</v>
      </c>
      <c r="F2270" s="53" t="s">
        <v>3813</v>
      </c>
      <c r="H2270" s="28">
        <v>484.5</v>
      </c>
    </row>
    <row r="2271" spans="1:8" x14ac:dyDescent="0.35">
      <c r="A2271" s="22"/>
      <c r="B2271" s="18" t="s">
        <v>2633</v>
      </c>
      <c r="C2271" s="26">
        <v>45899</v>
      </c>
      <c r="D2271" s="25" t="s">
        <v>2900</v>
      </c>
      <c r="E2271" s="25" t="s">
        <v>2396</v>
      </c>
      <c r="F2271" s="53" t="s">
        <v>3813</v>
      </c>
      <c r="H2271" s="28">
        <v>22888.74</v>
      </c>
    </row>
    <row r="2272" spans="1:8" x14ac:dyDescent="0.35">
      <c r="A2272" s="22"/>
      <c r="B2272" s="18" t="s">
        <v>2633</v>
      </c>
      <c r="C2272" s="26">
        <v>45899</v>
      </c>
      <c r="D2272" s="25" t="s">
        <v>2908</v>
      </c>
      <c r="E2272" s="25" t="s">
        <v>1475</v>
      </c>
      <c r="F2272" s="53" t="s">
        <v>3813</v>
      </c>
      <c r="H2272" s="28">
        <v>9987.5</v>
      </c>
    </row>
    <row r="2273" spans="1:8" x14ac:dyDescent="0.35">
      <c r="A2273" s="22"/>
      <c r="B2273" s="18" t="s">
        <v>2633</v>
      </c>
      <c r="C2273" s="26">
        <v>45899</v>
      </c>
      <c r="D2273" s="25" t="s">
        <v>2918</v>
      </c>
      <c r="E2273" s="25" t="s">
        <v>1475</v>
      </c>
      <c r="F2273" s="53" t="s">
        <v>3813</v>
      </c>
      <c r="H2273" s="28">
        <v>56736.619999999995</v>
      </c>
    </row>
    <row r="2274" spans="1:8" x14ac:dyDescent="0.35">
      <c r="A2274" s="22"/>
      <c r="B2274" s="18" t="s">
        <v>2633</v>
      </c>
      <c r="C2274" s="26">
        <v>45899</v>
      </c>
      <c r="D2274" s="25">
        <v>36512</v>
      </c>
      <c r="E2274" s="25" t="s">
        <v>2231</v>
      </c>
      <c r="F2274" s="53" t="s">
        <v>3813</v>
      </c>
      <c r="H2274" s="28">
        <v>355</v>
      </c>
    </row>
    <row r="2275" spans="1:8" x14ac:dyDescent="0.35">
      <c r="A2275" s="22"/>
      <c r="B2275" s="18" t="s">
        <v>2633</v>
      </c>
      <c r="C2275" s="26">
        <v>45899</v>
      </c>
      <c r="D2275" s="25" t="s">
        <v>3178</v>
      </c>
      <c r="E2275" s="25" t="s">
        <v>3480</v>
      </c>
      <c r="F2275" s="53" t="s">
        <v>3813</v>
      </c>
      <c r="H2275" s="28">
        <v>0</v>
      </c>
    </row>
    <row r="2276" spans="1:8" x14ac:dyDescent="0.35">
      <c r="A2276" s="22"/>
      <c r="B2276" s="18" t="s">
        <v>2633</v>
      </c>
      <c r="C2276" s="26">
        <v>45899</v>
      </c>
      <c r="D2276" s="25">
        <v>38051</v>
      </c>
      <c r="E2276" s="25" t="s">
        <v>3470</v>
      </c>
      <c r="F2276" s="53" t="s">
        <v>3813</v>
      </c>
      <c r="H2276" s="28">
        <v>680</v>
      </c>
    </row>
    <row r="2277" spans="1:8" x14ac:dyDescent="0.35">
      <c r="A2277" s="22"/>
      <c r="B2277" s="18" t="s">
        <v>2633</v>
      </c>
      <c r="C2277" s="26">
        <v>45899</v>
      </c>
      <c r="D2277" s="25">
        <v>38230</v>
      </c>
      <c r="E2277" s="25" t="s">
        <v>3487</v>
      </c>
      <c r="F2277" s="53" t="s">
        <v>3813</v>
      </c>
      <c r="H2277" s="28">
        <v>85</v>
      </c>
    </row>
    <row r="2278" spans="1:8" x14ac:dyDescent="0.35">
      <c r="A2278" s="22"/>
      <c r="B2278" s="18" t="s">
        <v>2633</v>
      </c>
      <c r="C2278" s="26">
        <v>45899</v>
      </c>
      <c r="D2278" s="25">
        <v>38254</v>
      </c>
      <c r="E2278" s="25" t="s">
        <v>2677</v>
      </c>
      <c r="F2278" s="53" t="s">
        <v>3813</v>
      </c>
      <c r="H2278" s="28">
        <v>9650</v>
      </c>
    </row>
    <row r="2279" spans="1:8" x14ac:dyDescent="0.35">
      <c r="A2279" s="22"/>
      <c r="B2279" s="18" t="s">
        <v>2633</v>
      </c>
      <c r="C2279" s="26">
        <v>45899</v>
      </c>
      <c r="D2279" s="25" t="s">
        <v>3232</v>
      </c>
      <c r="E2279" s="25" t="s">
        <v>2677</v>
      </c>
      <c r="F2279" s="53" t="s">
        <v>3813</v>
      </c>
      <c r="H2279" s="28">
        <v>7155.75</v>
      </c>
    </row>
    <row r="2280" spans="1:8" x14ac:dyDescent="0.35">
      <c r="A2280" s="22"/>
      <c r="B2280" s="18" t="s">
        <v>2633</v>
      </c>
      <c r="C2280" s="26">
        <v>45899</v>
      </c>
      <c r="D2280" s="25" t="s">
        <v>3233</v>
      </c>
      <c r="E2280" s="25" t="s">
        <v>2677</v>
      </c>
      <c r="F2280" s="53" t="s">
        <v>3813</v>
      </c>
      <c r="H2280" s="28">
        <v>9270.7800000000007</v>
      </c>
    </row>
    <row r="2281" spans="1:8" x14ac:dyDescent="0.35">
      <c r="A2281" s="22"/>
      <c r="B2281" s="18" t="s">
        <v>2633</v>
      </c>
      <c r="C2281" s="26">
        <v>45899</v>
      </c>
      <c r="D2281" s="25">
        <v>38546</v>
      </c>
      <c r="E2281" s="25" t="s">
        <v>2266</v>
      </c>
      <c r="F2281" s="53" t="s">
        <v>3813</v>
      </c>
      <c r="H2281" s="28">
        <v>0</v>
      </c>
    </row>
    <row r="2282" spans="1:8" x14ac:dyDescent="0.35">
      <c r="A2282" s="22"/>
      <c r="B2282" s="18" t="s">
        <v>2633</v>
      </c>
      <c r="C2282" s="26">
        <v>45899</v>
      </c>
      <c r="D2282" s="25">
        <v>38651</v>
      </c>
      <c r="E2282" s="25" t="s">
        <v>2231</v>
      </c>
      <c r="F2282" s="53" t="s">
        <v>3813</v>
      </c>
      <c r="H2282" s="28">
        <v>450</v>
      </c>
    </row>
    <row r="2283" spans="1:8" x14ac:dyDescent="0.35">
      <c r="A2283" s="22"/>
      <c r="B2283" s="18" t="s">
        <v>2633</v>
      </c>
      <c r="C2283" s="26">
        <v>45899</v>
      </c>
      <c r="D2283" s="25" t="s">
        <v>3290</v>
      </c>
      <c r="E2283" s="25" t="s">
        <v>2220</v>
      </c>
      <c r="F2283" s="53" t="s">
        <v>3813</v>
      </c>
      <c r="H2283" s="28">
        <v>983.73</v>
      </c>
    </row>
    <row r="2284" spans="1:8" x14ac:dyDescent="0.35">
      <c r="A2284" s="22"/>
      <c r="B2284" s="18" t="s">
        <v>2633</v>
      </c>
      <c r="C2284" s="26">
        <v>45899</v>
      </c>
      <c r="D2284" s="25">
        <v>38806</v>
      </c>
      <c r="E2284" s="25" t="s">
        <v>3497</v>
      </c>
      <c r="F2284" s="53" t="s">
        <v>3813</v>
      </c>
      <c r="H2284" s="28">
        <v>750</v>
      </c>
    </row>
    <row r="2285" spans="1:8" x14ac:dyDescent="0.35">
      <c r="A2285" s="22"/>
      <c r="B2285" s="18" t="s">
        <v>2633</v>
      </c>
      <c r="C2285" s="26">
        <v>45899</v>
      </c>
      <c r="D2285" s="25">
        <v>38817</v>
      </c>
      <c r="E2285" s="25" t="s">
        <v>3498</v>
      </c>
      <c r="F2285" s="53" t="s">
        <v>3813</v>
      </c>
      <c r="H2285" s="28">
        <v>110.1</v>
      </c>
    </row>
    <row r="2286" spans="1:8" x14ac:dyDescent="0.35">
      <c r="A2286" s="22"/>
      <c r="B2286" s="18" t="s">
        <v>2633</v>
      </c>
      <c r="C2286" s="26">
        <v>45899</v>
      </c>
      <c r="D2286" s="25">
        <v>38846</v>
      </c>
      <c r="E2286" s="25" t="s">
        <v>3501</v>
      </c>
      <c r="F2286" s="53" t="s">
        <v>3813</v>
      </c>
      <c r="H2286" s="28">
        <v>209.05</v>
      </c>
    </row>
    <row r="2287" spans="1:8" x14ac:dyDescent="0.35">
      <c r="A2287" s="22"/>
      <c r="B2287" s="18" t="s">
        <v>2633</v>
      </c>
      <c r="C2287" s="26">
        <v>45899</v>
      </c>
      <c r="D2287" s="25">
        <v>38889</v>
      </c>
      <c r="E2287" s="25" t="s">
        <v>2629</v>
      </c>
      <c r="F2287" s="53" t="s">
        <v>3813</v>
      </c>
      <c r="H2287" s="28">
        <v>118.52</v>
      </c>
    </row>
    <row r="2288" spans="1:8" x14ac:dyDescent="0.35">
      <c r="A2288" s="22"/>
      <c r="B2288" s="18" t="s">
        <v>2633</v>
      </c>
      <c r="C2288" s="26">
        <v>45899</v>
      </c>
      <c r="D2288" s="25">
        <v>38954</v>
      </c>
      <c r="E2288" s="25" t="s">
        <v>3503</v>
      </c>
      <c r="F2288" s="53" t="s">
        <v>3813</v>
      </c>
      <c r="H2288" s="28">
        <v>455</v>
      </c>
    </row>
    <row r="2289" spans="1:8" x14ac:dyDescent="0.35">
      <c r="A2289" s="22"/>
      <c r="B2289" s="18" t="s">
        <v>2633</v>
      </c>
      <c r="C2289" s="26">
        <v>45900</v>
      </c>
      <c r="D2289" s="25" t="s">
        <v>3311</v>
      </c>
      <c r="E2289" s="25" t="s">
        <v>301</v>
      </c>
      <c r="F2289" s="53" t="s">
        <v>3813</v>
      </c>
      <c r="H2289" s="28">
        <v>0</v>
      </c>
    </row>
    <row r="2290" spans="1:8" x14ac:dyDescent="0.35">
      <c r="A2290" s="22"/>
      <c r="B2290" s="18" t="s">
        <v>2633</v>
      </c>
      <c r="C2290" s="26">
        <v>45900</v>
      </c>
      <c r="D2290" s="25" t="s">
        <v>3574</v>
      </c>
      <c r="E2290" s="25" t="s">
        <v>3508</v>
      </c>
      <c r="F2290" s="53" t="s">
        <v>3813</v>
      </c>
      <c r="H2290" s="28">
        <v>2907.31</v>
      </c>
    </row>
    <row r="2291" spans="1:8" x14ac:dyDescent="0.35">
      <c r="A2291" s="22"/>
      <c r="B2291" s="18" t="s">
        <v>2633</v>
      </c>
      <c r="C2291" s="26">
        <v>45900</v>
      </c>
      <c r="D2291" s="25" t="s">
        <v>3324</v>
      </c>
      <c r="E2291" s="25" t="s">
        <v>301</v>
      </c>
      <c r="F2291" s="53" t="s">
        <v>3813</v>
      </c>
      <c r="H2291" s="28">
        <v>0</v>
      </c>
    </row>
    <row r="2292" spans="1:8" x14ac:dyDescent="0.35">
      <c r="A2292" s="22"/>
      <c r="B2292" s="18" t="s">
        <v>2633</v>
      </c>
      <c r="C2292" s="26">
        <v>45900</v>
      </c>
      <c r="D2292" s="25" t="s">
        <v>3326</v>
      </c>
      <c r="E2292" s="25" t="s">
        <v>301</v>
      </c>
      <c r="F2292" s="53" t="s">
        <v>3813</v>
      </c>
      <c r="H2292" s="28">
        <v>0</v>
      </c>
    </row>
    <row r="2293" spans="1:8" x14ac:dyDescent="0.35">
      <c r="A2293" s="22"/>
      <c r="B2293" s="18" t="s">
        <v>2633</v>
      </c>
      <c r="C2293" s="26">
        <v>45900</v>
      </c>
      <c r="D2293" s="25" t="s">
        <v>3327</v>
      </c>
      <c r="E2293" s="25" t="s">
        <v>301</v>
      </c>
      <c r="F2293" s="53" t="s">
        <v>3813</v>
      </c>
      <c r="H2293" s="28">
        <v>0</v>
      </c>
    </row>
    <row r="2294" spans="1:8" x14ac:dyDescent="0.35">
      <c r="A2294" s="22"/>
      <c r="B2294" s="18" t="s">
        <v>2633</v>
      </c>
      <c r="C2294" s="26">
        <v>45900</v>
      </c>
      <c r="D2294" s="25" t="s">
        <v>3328</v>
      </c>
      <c r="E2294" s="25" t="s">
        <v>301</v>
      </c>
      <c r="F2294" s="53" t="s">
        <v>3813</v>
      </c>
      <c r="H2294" s="28">
        <v>0</v>
      </c>
    </row>
    <row r="2295" spans="1:8" x14ac:dyDescent="0.35">
      <c r="A2295" s="22"/>
      <c r="B2295" s="18" t="s">
        <v>2633</v>
      </c>
      <c r="C2295" s="26">
        <v>45900</v>
      </c>
      <c r="D2295" s="25" t="s">
        <v>3329</v>
      </c>
      <c r="E2295" s="25" t="s">
        <v>301</v>
      </c>
      <c r="F2295" s="53" t="s">
        <v>3813</v>
      </c>
      <c r="H2295" s="28">
        <v>0</v>
      </c>
    </row>
    <row r="2296" spans="1:8" x14ac:dyDescent="0.35">
      <c r="A2296" s="22"/>
      <c r="B2296" s="18" t="s">
        <v>2633</v>
      </c>
      <c r="C2296" s="26">
        <v>45900</v>
      </c>
      <c r="D2296" s="25" t="s">
        <v>3350</v>
      </c>
      <c r="E2296" s="25" t="s">
        <v>301</v>
      </c>
      <c r="F2296" s="53" t="s">
        <v>3813</v>
      </c>
      <c r="H2296" s="28">
        <v>0</v>
      </c>
    </row>
    <row r="2297" spans="1:8" x14ac:dyDescent="0.35">
      <c r="A2297" s="22"/>
      <c r="B2297" s="18" t="s">
        <v>2633</v>
      </c>
      <c r="C2297" s="26">
        <v>45900</v>
      </c>
      <c r="D2297" s="25" t="s">
        <v>3357</v>
      </c>
      <c r="E2297" s="25" t="s">
        <v>3509</v>
      </c>
      <c r="F2297" s="53" t="s">
        <v>3813</v>
      </c>
      <c r="H2297" s="28">
        <v>0</v>
      </c>
    </row>
    <row r="2298" spans="1:8" x14ac:dyDescent="0.35">
      <c r="A2298" s="22"/>
      <c r="B2298" s="18" t="s">
        <v>2633</v>
      </c>
      <c r="C2298" s="26">
        <v>45900</v>
      </c>
      <c r="D2298" s="25" t="s">
        <v>3358</v>
      </c>
      <c r="E2298" s="25" t="s">
        <v>1757</v>
      </c>
      <c r="F2298" s="53" t="s">
        <v>3813</v>
      </c>
      <c r="H2298" s="28">
        <v>8003.78</v>
      </c>
    </row>
    <row r="2299" spans="1:8" x14ac:dyDescent="0.35">
      <c r="A2299" s="22"/>
      <c r="B2299" s="18" t="s">
        <v>2633</v>
      </c>
      <c r="C2299" s="26">
        <v>45900</v>
      </c>
      <c r="D2299" s="25" t="s">
        <v>3365</v>
      </c>
      <c r="E2299" s="25" t="s">
        <v>1757</v>
      </c>
      <c r="F2299" s="53" t="s">
        <v>3813</v>
      </c>
      <c r="H2299" s="28">
        <v>3603.25</v>
      </c>
    </row>
    <row r="2300" spans="1:8" x14ac:dyDescent="0.35">
      <c r="A2300" s="22"/>
      <c r="B2300" s="18" t="s">
        <v>2633</v>
      </c>
      <c r="C2300" s="26">
        <v>45900</v>
      </c>
      <c r="D2300" s="25" t="s">
        <v>3377</v>
      </c>
      <c r="E2300" s="25" t="s">
        <v>2514</v>
      </c>
      <c r="F2300" s="53" t="s">
        <v>3813</v>
      </c>
      <c r="H2300" s="28">
        <v>121.39</v>
      </c>
    </row>
    <row r="2301" spans="1:8" x14ac:dyDescent="0.35">
      <c r="A2301" s="22"/>
      <c r="B2301" s="18" t="s">
        <v>2633</v>
      </c>
      <c r="C2301" s="26">
        <v>45900</v>
      </c>
      <c r="D2301" s="25" t="s">
        <v>3395</v>
      </c>
      <c r="E2301" s="25" t="s">
        <v>2459</v>
      </c>
      <c r="F2301" s="53" t="s">
        <v>3813</v>
      </c>
      <c r="H2301" s="28">
        <v>300</v>
      </c>
    </row>
    <row r="2302" spans="1:8" x14ac:dyDescent="0.35">
      <c r="A2302" s="22"/>
      <c r="B2302" s="18" t="s">
        <v>2633</v>
      </c>
      <c r="C2302" s="26">
        <v>45900</v>
      </c>
      <c r="D2302" s="25" t="s">
        <v>3575</v>
      </c>
      <c r="E2302" s="25" t="s">
        <v>3576</v>
      </c>
      <c r="F2302" s="53" t="s">
        <v>3813</v>
      </c>
      <c r="H2302" s="28">
        <v>7000</v>
      </c>
    </row>
    <row r="2303" spans="1:8" x14ac:dyDescent="0.35">
      <c r="A2303" s="22"/>
      <c r="B2303" s="18" t="s">
        <v>2633</v>
      </c>
      <c r="C2303" s="26">
        <v>45900</v>
      </c>
      <c r="D2303" s="25" t="s">
        <v>3398</v>
      </c>
      <c r="E2303" s="25" t="s">
        <v>301</v>
      </c>
      <c r="F2303" s="53" t="s">
        <v>3813</v>
      </c>
      <c r="H2303" s="28">
        <v>0</v>
      </c>
    </row>
    <row r="2304" spans="1:8" x14ac:dyDescent="0.35">
      <c r="A2304" s="22"/>
      <c r="B2304" s="18" t="s">
        <v>2633</v>
      </c>
      <c r="C2304" s="26">
        <v>45900</v>
      </c>
      <c r="D2304" s="25" t="s">
        <v>3399</v>
      </c>
      <c r="E2304" s="25" t="s">
        <v>301</v>
      </c>
      <c r="F2304" s="53" t="s">
        <v>3813</v>
      </c>
      <c r="H2304" s="28">
        <v>0</v>
      </c>
    </row>
    <row r="2305" spans="1:8" x14ac:dyDescent="0.35">
      <c r="A2305" s="22"/>
      <c r="B2305" s="18" t="s">
        <v>2633</v>
      </c>
      <c r="C2305" s="26">
        <v>45900</v>
      </c>
      <c r="D2305" s="25" t="s">
        <v>3400</v>
      </c>
      <c r="E2305" s="25" t="s">
        <v>301</v>
      </c>
      <c r="F2305" s="53" t="s">
        <v>3813</v>
      </c>
      <c r="H2305" s="28">
        <v>0</v>
      </c>
    </row>
    <row r="2306" spans="1:8" x14ac:dyDescent="0.35">
      <c r="A2306" s="22"/>
      <c r="B2306" s="18" t="s">
        <v>2633</v>
      </c>
      <c r="C2306" s="26">
        <v>45900</v>
      </c>
      <c r="D2306" s="25" t="s">
        <v>3401</v>
      </c>
      <c r="E2306" s="25" t="s">
        <v>301</v>
      </c>
      <c r="F2306" s="53" t="s">
        <v>3813</v>
      </c>
      <c r="H2306" s="28">
        <v>0</v>
      </c>
    </row>
    <row r="2307" spans="1:8" x14ac:dyDescent="0.35">
      <c r="A2307" s="22"/>
      <c r="B2307" s="18" t="s">
        <v>2633</v>
      </c>
      <c r="C2307" s="26">
        <v>45900</v>
      </c>
      <c r="D2307" s="25" t="s">
        <v>3412</v>
      </c>
      <c r="E2307" s="25" t="s">
        <v>1999</v>
      </c>
      <c r="F2307" s="53" t="s">
        <v>3813</v>
      </c>
      <c r="H2307" s="28">
        <v>3099.25</v>
      </c>
    </row>
    <row r="2308" spans="1:8" x14ac:dyDescent="0.35">
      <c r="A2308" s="22"/>
      <c r="B2308" s="18" t="s">
        <v>2633</v>
      </c>
      <c r="C2308" s="26">
        <v>45900</v>
      </c>
      <c r="D2308" s="25" t="s">
        <v>3416</v>
      </c>
      <c r="E2308" s="25" t="s">
        <v>301</v>
      </c>
      <c r="F2308" s="53" t="s">
        <v>3813</v>
      </c>
      <c r="H2308" s="28">
        <v>0</v>
      </c>
    </row>
    <row r="2309" spans="1:8" x14ac:dyDescent="0.35">
      <c r="A2309" s="22"/>
      <c r="B2309" s="18" t="s">
        <v>2633</v>
      </c>
      <c r="C2309" s="26">
        <v>45900</v>
      </c>
      <c r="D2309" s="25">
        <v>37354</v>
      </c>
      <c r="E2309" s="25" t="s">
        <v>3511</v>
      </c>
      <c r="F2309" s="53" t="s">
        <v>3813</v>
      </c>
      <c r="H2309" s="28">
        <v>400</v>
      </c>
    </row>
    <row r="2310" spans="1:8" x14ac:dyDescent="0.35">
      <c r="A2310" s="22"/>
      <c r="B2310" s="18" t="s">
        <v>2633</v>
      </c>
      <c r="C2310" s="26">
        <v>45900</v>
      </c>
      <c r="D2310" s="25" t="s">
        <v>3429</v>
      </c>
      <c r="E2310" s="25" t="s">
        <v>2144</v>
      </c>
      <c r="F2310" s="53" t="s">
        <v>3813</v>
      </c>
      <c r="H2310" s="28">
        <v>15488.2</v>
      </c>
    </row>
    <row r="2311" spans="1:8" x14ac:dyDescent="0.35">
      <c r="A2311" s="22"/>
      <c r="B2311" s="18" t="s">
        <v>2633</v>
      </c>
      <c r="C2311" s="26">
        <v>45900</v>
      </c>
      <c r="D2311" s="25" t="s">
        <v>3435</v>
      </c>
      <c r="E2311" s="25" t="s">
        <v>2220</v>
      </c>
      <c r="F2311" s="53" t="s">
        <v>3813</v>
      </c>
      <c r="H2311" s="28">
        <v>78228.36</v>
      </c>
    </row>
    <row r="2312" spans="1:8" x14ac:dyDescent="0.35">
      <c r="A2312" s="22"/>
      <c r="B2312" s="18" t="s">
        <v>2633</v>
      </c>
      <c r="C2312" s="26">
        <v>45900</v>
      </c>
      <c r="D2312" s="25" t="s">
        <v>3445</v>
      </c>
      <c r="E2312" s="25" t="s">
        <v>301</v>
      </c>
      <c r="F2312" s="53" t="s">
        <v>3813</v>
      </c>
      <c r="H2312" s="28">
        <v>0</v>
      </c>
    </row>
    <row r="2313" spans="1:8" x14ac:dyDescent="0.35">
      <c r="A2313" s="22"/>
      <c r="B2313" s="18" t="s">
        <v>2633</v>
      </c>
      <c r="C2313" s="26">
        <v>45900</v>
      </c>
      <c r="D2313" s="25">
        <v>38262</v>
      </c>
      <c r="E2313" s="25" t="s">
        <v>2677</v>
      </c>
      <c r="F2313" s="53" t="s">
        <v>3813</v>
      </c>
      <c r="H2313" s="28">
        <v>9650</v>
      </c>
    </row>
    <row r="2314" spans="1:8" x14ac:dyDescent="0.35">
      <c r="A2314" s="22"/>
      <c r="B2314" s="18" t="s">
        <v>2633</v>
      </c>
      <c r="C2314" s="26">
        <v>45900</v>
      </c>
      <c r="D2314" s="25" t="s">
        <v>3450</v>
      </c>
      <c r="E2314" s="25" t="s">
        <v>2677</v>
      </c>
      <c r="F2314" s="53" t="s">
        <v>3813</v>
      </c>
      <c r="H2314" s="28">
        <v>3395.46</v>
      </c>
    </row>
    <row r="2315" spans="1:8" x14ac:dyDescent="0.35">
      <c r="A2315" s="22"/>
      <c r="B2315" s="18" t="s">
        <v>2633</v>
      </c>
      <c r="C2315" s="26">
        <v>45900</v>
      </c>
      <c r="D2315" s="25">
        <v>38527</v>
      </c>
      <c r="E2315" s="25" t="s">
        <v>3518</v>
      </c>
      <c r="F2315" s="53" t="s">
        <v>3813</v>
      </c>
      <c r="H2315" s="28">
        <v>500</v>
      </c>
    </row>
    <row r="2316" spans="1:8" x14ac:dyDescent="0.35">
      <c r="A2316" s="22"/>
      <c r="B2316" s="18" t="s">
        <v>2633</v>
      </c>
      <c r="C2316" s="26">
        <v>45900</v>
      </c>
      <c r="D2316" s="25">
        <v>38557</v>
      </c>
      <c r="E2316" s="25" t="s">
        <v>301</v>
      </c>
      <c r="F2316" s="53" t="s">
        <v>3813</v>
      </c>
      <c r="H2316" s="28">
        <v>4381.5</v>
      </c>
    </row>
    <row r="2317" spans="1:8" x14ac:dyDescent="0.35">
      <c r="A2317" s="22"/>
      <c r="B2317" s="18" t="s">
        <v>2633</v>
      </c>
      <c r="C2317" s="26">
        <v>45900</v>
      </c>
      <c r="D2317" s="25">
        <v>38621</v>
      </c>
      <c r="E2317" s="25" t="s">
        <v>2459</v>
      </c>
      <c r="F2317" s="53" t="s">
        <v>3813</v>
      </c>
      <c r="H2317" s="28">
        <v>600</v>
      </c>
    </row>
    <row r="2318" spans="1:8" x14ac:dyDescent="0.35">
      <c r="A2318" s="22"/>
      <c r="B2318" s="18" t="s">
        <v>2633</v>
      </c>
      <c r="C2318" s="26">
        <v>45900</v>
      </c>
      <c r="D2318" s="25">
        <v>38726</v>
      </c>
      <c r="E2318" s="25" t="s">
        <v>3523</v>
      </c>
      <c r="F2318" s="53" t="s">
        <v>3813</v>
      </c>
      <c r="H2318" s="28">
        <v>170</v>
      </c>
    </row>
    <row r="2319" spans="1:8" x14ac:dyDescent="0.35">
      <c r="A2319" s="22"/>
      <c r="B2319" s="18" t="s">
        <v>2633</v>
      </c>
      <c r="C2319" s="26">
        <v>45900</v>
      </c>
      <c r="D2319" s="25">
        <v>38744</v>
      </c>
      <c r="E2319" s="25" t="s">
        <v>3525</v>
      </c>
      <c r="F2319" s="53" t="s">
        <v>3813</v>
      </c>
      <c r="H2319" s="28">
        <v>650</v>
      </c>
    </row>
    <row r="2320" spans="1:8" x14ac:dyDescent="0.35">
      <c r="A2320" s="22"/>
      <c r="B2320" s="18" t="s">
        <v>2633</v>
      </c>
      <c r="C2320" s="26">
        <v>45900</v>
      </c>
      <c r="D2320" s="25">
        <v>38758</v>
      </c>
      <c r="E2320" s="25" t="s">
        <v>3475</v>
      </c>
      <c r="F2320" s="53" t="s">
        <v>3813</v>
      </c>
      <c r="H2320" s="28">
        <v>16.260000000000002</v>
      </c>
    </row>
    <row r="2321" spans="1:8" x14ac:dyDescent="0.35">
      <c r="A2321" s="22"/>
      <c r="B2321" s="18" t="s">
        <v>2633</v>
      </c>
      <c r="C2321" s="26">
        <v>45900</v>
      </c>
      <c r="D2321" s="25">
        <v>38800</v>
      </c>
      <c r="E2321" s="25" t="s">
        <v>3530</v>
      </c>
      <c r="F2321" s="53" t="s">
        <v>3813</v>
      </c>
      <c r="H2321" s="28">
        <v>534.33000000000004</v>
      </c>
    </row>
    <row r="2322" spans="1:8" x14ac:dyDescent="0.35">
      <c r="A2322" s="22"/>
      <c r="B2322" s="18" t="s">
        <v>2633</v>
      </c>
      <c r="C2322" s="26">
        <v>45900</v>
      </c>
      <c r="D2322" s="25">
        <v>38801</v>
      </c>
      <c r="E2322" s="25" t="s">
        <v>3531</v>
      </c>
      <c r="F2322" s="53" t="s">
        <v>3813</v>
      </c>
      <c r="H2322" s="28">
        <v>44.73</v>
      </c>
    </row>
    <row r="2323" spans="1:8" x14ac:dyDescent="0.35">
      <c r="A2323" s="22"/>
      <c r="B2323" s="18" t="s">
        <v>2633</v>
      </c>
      <c r="C2323" s="26">
        <v>45900</v>
      </c>
      <c r="D2323" s="25">
        <v>38803</v>
      </c>
      <c r="E2323" s="25" t="s">
        <v>3532</v>
      </c>
      <c r="F2323" s="53" t="s">
        <v>3813</v>
      </c>
      <c r="H2323" s="28">
        <v>250</v>
      </c>
    </row>
    <row r="2324" spans="1:8" x14ac:dyDescent="0.35">
      <c r="A2324" s="22"/>
      <c r="B2324" s="18" t="s">
        <v>2633</v>
      </c>
      <c r="C2324" s="26">
        <v>45900</v>
      </c>
      <c r="D2324" s="25">
        <v>38807</v>
      </c>
      <c r="E2324" s="25" t="s">
        <v>3577</v>
      </c>
      <c r="F2324" s="53" t="s">
        <v>3813</v>
      </c>
      <c r="H2324" s="28">
        <v>9967.1999999999989</v>
      </c>
    </row>
    <row r="2325" spans="1:8" x14ac:dyDescent="0.35">
      <c r="A2325" s="22"/>
      <c r="B2325" s="18" t="s">
        <v>2633</v>
      </c>
      <c r="C2325" s="26">
        <v>45900</v>
      </c>
      <c r="D2325" s="25">
        <v>38820</v>
      </c>
      <c r="E2325" s="25" t="s">
        <v>3537</v>
      </c>
      <c r="F2325" s="53" t="s">
        <v>3813</v>
      </c>
      <c r="H2325" s="28">
        <v>-50000</v>
      </c>
    </row>
    <row r="2326" spans="1:8" x14ac:dyDescent="0.35">
      <c r="A2326" s="22"/>
      <c r="B2326" s="18" t="s">
        <v>2633</v>
      </c>
      <c r="C2326" s="26">
        <v>45900</v>
      </c>
      <c r="D2326" s="25">
        <v>38822</v>
      </c>
      <c r="E2326" s="25" t="s">
        <v>3578</v>
      </c>
      <c r="F2326" s="53" t="s">
        <v>3813</v>
      </c>
      <c r="H2326" s="28">
        <v>4332.9799999999996</v>
      </c>
    </row>
    <row r="2327" spans="1:8" x14ac:dyDescent="0.35">
      <c r="A2327" s="22"/>
      <c r="B2327" s="18" t="s">
        <v>2633</v>
      </c>
      <c r="C2327" s="26">
        <v>45900</v>
      </c>
      <c r="D2327" s="25">
        <v>38835</v>
      </c>
      <c r="E2327" s="25" t="s">
        <v>3539</v>
      </c>
      <c r="F2327" s="53" t="s">
        <v>3813</v>
      </c>
      <c r="H2327" s="28">
        <v>51.69</v>
      </c>
    </row>
    <row r="2328" spans="1:8" x14ac:dyDescent="0.35">
      <c r="A2328" s="22"/>
      <c r="B2328" s="18" t="s">
        <v>2633</v>
      </c>
      <c r="C2328" s="26">
        <v>45900</v>
      </c>
      <c r="D2328" s="25">
        <v>38843</v>
      </c>
      <c r="E2328" s="25" t="s">
        <v>3497</v>
      </c>
      <c r="F2328" s="53" t="s">
        <v>3813</v>
      </c>
      <c r="H2328" s="28">
        <v>17.18</v>
      </c>
    </row>
    <row r="2329" spans="1:8" x14ac:dyDescent="0.35">
      <c r="A2329" s="22"/>
      <c r="B2329" s="18" t="s">
        <v>2633</v>
      </c>
      <c r="C2329" s="26">
        <v>45900</v>
      </c>
      <c r="D2329" s="25">
        <v>38852</v>
      </c>
      <c r="E2329" s="25" t="s">
        <v>3492</v>
      </c>
      <c r="F2329" s="53" t="s">
        <v>3813</v>
      </c>
      <c r="H2329" s="28">
        <v>2894.52</v>
      </c>
    </row>
    <row r="2330" spans="1:8" x14ac:dyDescent="0.35">
      <c r="A2330" s="22"/>
      <c r="B2330" s="18" t="s">
        <v>2633</v>
      </c>
      <c r="C2330" s="26">
        <v>45900</v>
      </c>
      <c r="D2330" s="25">
        <v>38853</v>
      </c>
      <c r="E2330" s="25" t="s">
        <v>3542</v>
      </c>
      <c r="F2330" s="53" t="s">
        <v>3813</v>
      </c>
      <c r="H2330" s="28">
        <v>55</v>
      </c>
    </row>
    <row r="2331" spans="1:8" x14ac:dyDescent="0.35">
      <c r="A2331" s="22"/>
      <c r="B2331" s="18" t="s">
        <v>2633</v>
      </c>
      <c r="C2331" s="26">
        <v>45900</v>
      </c>
      <c r="D2331" s="25">
        <v>38854</v>
      </c>
      <c r="E2331" s="25" t="s">
        <v>3543</v>
      </c>
      <c r="F2331" s="53" t="s">
        <v>3813</v>
      </c>
      <c r="H2331" s="28">
        <v>189.46</v>
      </c>
    </row>
    <row r="2332" spans="1:8" x14ac:dyDescent="0.35">
      <c r="A2332" s="22"/>
      <c r="B2332" s="18" t="s">
        <v>2633</v>
      </c>
      <c r="C2332" s="26">
        <v>45900</v>
      </c>
      <c r="D2332" s="25">
        <v>38865</v>
      </c>
      <c r="E2332" s="25" t="s">
        <v>3546</v>
      </c>
      <c r="F2332" s="53" t="s">
        <v>3813</v>
      </c>
      <c r="H2332" s="28">
        <v>10.41</v>
      </c>
    </row>
    <row r="2333" spans="1:8" x14ac:dyDescent="0.35">
      <c r="A2333" s="22"/>
      <c r="B2333" s="18" t="s">
        <v>2633</v>
      </c>
      <c r="C2333" s="26">
        <v>45900</v>
      </c>
      <c r="D2333" s="25">
        <v>38884</v>
      </c>
      <c r="E2333" s="25" t="s">
        <v>3545</v>
      </c>
      <c r="F2333" s="53" t="s">
        <v>3813</v>
      </c>
      <c r="H2333" s="28">
        <v>13.39</v>
      </c>
    </row>
    <row r="2334" spans="1:8" x14ac:dyDescent="0.35">
      <c r="A2334" s="22"/>
      <c r="B2334" s="18" t="s">
        <v>2633</v>
      </c>
      <c r="C2334" s="26">
        <v>45900</v>
      </c>
      <c r="D2334" s="25">
        <v>38905</v>
      </c>
      <c r="E2334" s="25" t="s">
        <v>3579</v>
      </c>
      <c r="F2334" s="53" t="s">
        <v>3813</v>
      </c>
      <c r="H2334" s="28">
        <v>45000</v>
      </c>
    </row>
    <row r="2335" spans="1:8" x14ac:dyDescent="0.35">
      <c r="A2335" s="22"/>
      <c r="B2335" s="18" t="s">
        <v>2633</v>
      </c>
      <c r="C2335" s="26">
        <v>45900</v>
      </c>
      <c r="D2335" s="25">
        <v>38942</v>
      </c>
      <c r="E2335" s="25" t="s">
        <v>3557</v>
      </c>
      <c r="F2335" s="53" t="s">
        <v>3813</v>
      </c>
      <c r="H2335" s="28">
        <v>14.91</v>
      </c>
    </row>
    <row r="2336" spans="1:8" x14ac:dyDescent="0.35">
      <c r="A2336" s="22"/>
      <c r="B2336" s="18" t="s">
        <v>2633</v>
      </c>
      <c r="C2336" s="26">
        <v>45900</v>
      </c>
      <c r="D2336" s="25">
        <v>38959</v>
      </c>
      <c r="E2336" s="25" t="s">
        <v>2854</v>
      </c>
      <c r="F2336" s="53" t="s">
        <v>3813</v>
      </c>
      <c r="H2336" s="28">
        <v>1415.38</v>
      </c>
    </row>
    <row r="2337" spans="1:8" x14ac:dyDescent="0.35">
      <c r="A2337" s="22"/>
      <c r="B2337" s="18" t="s">
        <v>2633</v>
      </c>
      <c r="C2337" s="26">
        <v>45900</v>
      </c>
      <c r="D2337" s="25">
        <v>38987</v>
      </c>
      <c r="E2337" s="25" t="s">
        <v>2906</v>
      </c>
      <c r="F2337" s="53" t="s">
        <v>3813</v>
      </c>
      <c r="H2337" s="28">
        <v>514.48</v>
      </c>
    </row>
    <row r="2338" spans="1:8" x14ac:dyDescent="0.35">
      <c r="A2338" s="22"/>
      <c r="B2338" s="18" t="s">
        <v>2633</v>
      </c>
      <c r="C2338" s="26">
        <v>45900</v>
      </c>
      <c r="D2338" s="25">
        <v>38997</v>
      </c>
      <c r="E2338" s="25" t="s">
        <v>1924</v>
      </c>
      <c r="F2338" s="53" t="s">
        <v>3813</v>
      </c>
      <c r="H2338" s="28">
        <v>1094.5</v>
      </c>
    </row>
    <row r="2339" spans="1:8" x14ac:dyDescent="0.35">
      <c r="A2339" s="22"/>
      <c r="B2339" s="18" t="s">
        <v>2633</v>
      </c>
      <c r="C2339" s="26">
        <v>45900</v>
      </c>
      <c r="D2339" s="25">
        <v>39012</v>
      </c>
      <c r="E2339" s="25" t="s">
        <v>3497</v>
      </c>
      <c r="F2339" s="53" t="s">
        <v>3813</v>
      </c>
      <c r="H2339" s="28">
        <v>36000</v>
      </c>
    </row>
    <row r="2340" spans="1:8" x14ac:dyDescent="0.35">
      <c r="A2340" s="22"/>
      <c r="B2340" s="18" t="s">
        <v>2633</v>
      </c>
      <c r="C2340" s="26">
        <v>45900</v>
      </c>
      <c r="D2340" s="25">
        <v>39073</v>
      </c>
      <c r="E2340" s="25" t="s">
        <v>3544</v>
      </c>
      <c r="F2340" s="53" t="s">
        <v>3813</v>
      </c>
      <c r="H2340" s="28">
        <v>425</v>
      </c>
    </row>
    <row r="2341" spans="1:8" x14ac:dyDescent="0.35">
      <c r="A2341" s="22"/>
      <c r="B2341" s="18" t="s">
        <v>2633</v>
      </c>
      <c r="C2341" s="26">
        <v>45900</v>
      </c>
      <c r="D2341" s="25">
        <v>39074</v>
      </c>
      <c r="E2341" s="25" t="s">
        <v>3544</v>
      </c>
      <c r="F2341" s="53" t="s">
        <v>3813</v>
      </c>
      <c r="H2341" s="28">
        <v>425</v>
      </c>
    </row>
    <row r="2342" spans="1:8" x14ac:dyDescent="0.35">
      <c r="A2342" s="22"/>
      <c r="B2342" s="18" t="s">
        <v>2633</v>
      </c>
      <c r="C2342" s="26">
        <v>45900</v>
      </c>
      <c r="D2342" s="25">
        <v>39084</v>
      </c>
      <c r="E2342" s="25" t="s">
        <v>2459</v>
      </c>
      <c r="F2342" s="53" t="s">
        <v>3813</v>
      </c>
      <c r="H2342" s="28">
        <v>600</v>
      </c>
    </row>
    <row r="2343" spans="1:8" x14ac:dyDescent="0.35">
      <c r="A2343" s="22"/>
      <c r="B2343" s="18" t="s">
        <v>2633</v>
      </c>
      <c r="C2343" s="26">
        <v>45900</v>
      </c>
      <c r="D2343" s="25">
        <v>39086</v>
      </c>
      <c r="E2343" s="25" t="s">
        <v>301</v>
      </c>
      <c r="F2343" s="53" t="s">
        <v>3813</v>
      </c>
      <c r="H2343" s="28">
        <v>0</v>
      </c>
    </row>
    <row r="2344" spans="1:8" x14ac:dyDescent="0.35">
      <c r="A2344" s="22"/>
      <c r="B2344" s="18" t="s">
        <v>2633</v>
      </c>
      <c r="C2344" s="26">
        <v>45900</v>
      </c>
      <c r="D2344" s="25" t="s">
        <v>3471</v>
      </c>
      <c r="E2344" s="25" t="s">
        <v>301</v>
      </c>
      <c r="F2344" s="53" t="s">
        <v>3813</v>
      </c>
      <c r="H2344" s="28">
        <v>0</v>
      </c>
    </row>
    <row r="2345" spans="1:8" x14ac:dyDescent="0.35">
      <c r="A2345" s="22"/>
      <c r="B2345" s="25" t="s">
        <v>2634</v>
      </c>
      <c r="C2345" s="26">
        <v>45873</v>
      </c>
      <c r="D2345" s="25" t="s">
        <v>2638</v>
      </c>
      <c r="E2345" s="25" t="s">
        <v>1475</v>
      </c>
      <c r="F2345" s="60" t="s">
        <v>4052</v>
      </c>
      <c r="H2345" s="28">
        <v>22599.1</v>
      </c>
    </row>
    <row r="2346" spans="1:8" x14ac:dyDescent="0.35">
      <c r="A2346" s="22"/>
      <c r="B2346" s="25" t="s">
        <v>2634</v>
      </c>
      <c r="C2346" s="26">
        <v>45873</v>
      </c>
      <c r="D2346" s="25">
        <v>38633</v>
      </c>
      <c r="E2346" s="25" t="s">
        <v>2644</v>
      </c>
      <c r="F2346" s="60" t="s">
        <v>4052</v>
      </c>
      <c r="H2346" s="28">
        <v>257.11</v>
      </c>
    </row>
    <row r="2347" spans="1:8" x14ac:dyDescent="0.35">
      <c r="A2347" s="22"/>
      <c r="B2347" s="25" t="s">
        <v>2634</v>
      </c>
      <c r="C2347" s="26">
        <v>45876</v>
      </c>
      <c r="D2347" s="25">
        <v>37687</v>
      </c>
      <c r="E2347" s="25" t="s">
        <v>1263</v>
      </c>
      <c r="F2347" s="60" t="s">
        <v>4052</v>
      </c>
      <c r="H2347" s="28">
        <v>50.4</v>
      </c>
    </row>
    <row r="2348" spans="1:8" x14ac:dyDescent="0.35">
      <c r="A2348" s="22"/>
      <c r="B2348" s="25" t="s">
        <v>2634</v>
      </c>
      <c r="C2348" s="26">
        <v>45876</v>
      </c>
      <c r="D2348" s="25">
        <v>38661</v>
      </c>
      <c r="E2348" s="25" t="s">
        <v>2650</v>
      </c>
      <c r="F2348" s="60" t="s">
        <v>4052</v>
      </c>
      <c r="H2348" s="28">
        <v>2100</v>
      </c>
    </row>
    <row r="2349" spans="1:8" x14ac:dyDescent="0.35">
      <c r="A2349" s="22"/>
      <c r="B2349" s="25" t="s">
        <v>2634</v>
      </c>
      <c r="C2349" s="26">
        <v>45877</v>
      </c>
      <c r="D2349" s="25">
        <v>36248</v>
      </c>
      <c r="E2349" s="25" t="s">
        <v>1839</v>
      </c>
      <c r="F2349" s="60" t="s">
        <v>4052</v>
      </c>
      <c r="H2349" s="28">
        <v>7.28</v>
      </c>
    </row>
    <row r="2350" spans="1:8" x14ac:dyDescent="0.35">
      <c r="A2350" s="22"/>
      <c r="B2350" s="25" t="s">
        <v>2634</v>
      </c>
      <c r="C2350" s="26">
        <v>45877</v>
      </c>
      <c r="D2350" s="25">
        <v>36250</v>
      </c>
      <c r="E2350" s="25" t="s">
        <v>1839</v>
      </c>
      <c r="F2350" s="60" t="s">
        <v>4052</v>
      </c>
      <c r="H2350" s="28">
        <v>1499.88</v>
      </c>
    </row>
    <row r="2351" spans="1:8" x14ac:dyDescent="0.35">
      <c r="A2351" s="22"/>
      <c r="B2351" s="25" t="s">
        <v>2634</v>
      </c>
      <c r="C2351" s="26">
        <v>45880</v>
      </c>
      <c r="D2351" s="25">
        <v>38260</v>
      </c>
      <c r="E2351" s="25" t="s">
        <v>2677</v>
      </c>
      <c r="F2351" s="60" t="s">
        <v>4052</v>
      </c>
      <c r="H2351" s="28">
        <v>770.3</v>
      </c>
    </row>
    <row r="2352" spans="1:8" x14ac:dyDescent="0.35">
      <c r="A2352" s="22"/>
      <c r="B2352" s="25" t="s">
        <v>2634</v>
      </c>
      <c r="C2352" s="26">
        <v>45880</v>
      </c>
      <c r="D2352" s="25">
        <v>38579</v>
      </c>
      <c r="E2352" s="25" t="s">
        <v>2205</v>
      </c>
      <c r="F2352" s="60" t="s">
        <v>4052</v>
      </c>
      <c r="H2352" s="28">
        <v>1455</v>
      </c>
    </row>
    <row r="2353" spans="1:8" x14ac:dyDescent="0.35">
      <c r="A2353" s="22"/>
      <c r="B2353" s="25" t="s">
        <v>2634</v>
      </c>
      <c r="C2353" s="26">
        <v>45881</v>
      </c>
      <c r="D2353" s="25" t="s">
        <v>2661</v>
      </c>
      <c r="E2353" s="25" t="s">
        <v>1263</v>
      </c>
      <c r="F2353" s="60" t="s">
        <v>4052</v>
      </c>
      <c r="H2353" s="28">
        <v>4433.1099999999997</v>
      </c>
    </row>
    <row r="2354" spans="1:8" x14ac:dyDescent="0.35">
      <c r="A2354" s="22"/>
      <c r="B2354" s="25" t="s">
        <v>2634</v>
      </c>
      <c r="C2354" s="26">
        <v>45881</v>
      </c>
      <c r="D2354" s="25" t="s">
        <v>2667</v>
      </c>
      <c r="E2354" s="25" t="s">
        <v>2677</v>
      </c>
      <c r="F2354" s="60" t="s">
        <v>4052</v>
      </c>
      <c r="H2354" s="28">
        <v>3119.06</v>
      </c>
    </row>
    <row r="2355" spans="1:8" x14ac:dyDescent="0.35">
      <c r="A2355" s="22"/>
      <c r="B2355" s="25" t="s">
        <v>2634</v>
      </c>
      <c r="C2355" s="26">
        <v>45881</v>
      </c>
      <c r="D2355" s="25">
        <v>38268</v>
      </c>
      <c r="E2355" s="25" t="s">
        <v>2677</v>
      </c>
      <c r="F2355" s="60" t="s">
        <v>4052</v>
      </c>
      <c r="H2355" s="28">
        <v>59.89</v>
      </c>
    </row>
    <row r="2356" spans="1:8" x14ac:dyDescent="0.35">
      <c r="A2356" s="22"/>
      <c r="B2356" s="25" t="s">
        <v>2634</v>
      </c>
      <c r="C2356" s="26">
        <v>45882</v>
      </c>
      <c r="D2356" s="25" t="s">
        <v>2672</v>
      </c>
      <c r="E2356" s="25" t="s">
        <v>2626</v>
      </c>
      <c r="F2356" s="60" t="s">
        <v>4052</v>
      </c>
      <c r="H2356" s="28">
        <v>538.21</v>
      </c>
    </row>
    <row r="2357" spans="1:8" x14ac:dyDescent="0.35">
      <c r="A2357" s="22"/>
      <c r="B2357" s="25" t="s">
        <v>2634</v>
      </c>
      <c r="C2357" s="26">
        <v>45887</v>
      </c>
      <c r="D2357" s="25">
        <v>38857</v>
      </c>
      <c r="E2357" s="25" t="s">
        <v>2769</v>
      </c>
      <c r="F2357" s="60" t="s">
        <v>4052</v>
      </c>
      <c r="H2357" s="28">
        <v>1820</v>
      </c>
    </row>
    <row r="2358" spans="1:8" x14ac:dyDescent="0.35">
      <c r="A2358" s="22"/>
      <c r="B2358" s="25" t="s">
        <v>2634</v>
      </c>
      <c r="C2358" s="26">
        <v>45894</v>
      </c>
      <c r="D2358" s="25">
        <v>33571</v>
      </c>
      <c r="E2358" s="25" t="s">
        <v>2020</v>
      </c>
      <c r="F2358" s="60" t="s">
        <v>4052</v>
      </c>
      <c r="H2358" s="28">
        <v>109.04</v>
      </c>
    </row>
    <row r="2359" spans="1:8" x14ac:dyDescent="0.35">
      <c r="A2359" s="22"/>
      <c r="B2359" s="25" t="s">
        <v>2634</v>
      </c>
      <c r="C2359" s="26">
        <v>45894</v>
      </c>
      <c r="D2359" s="25" t="s">
        <v>4033</v>
      </c>
      <c r="E2359" s="25" t="s">
        <v>2020</v>
      </c>
      <c r="F2359" s="60" t="s">
        <v>4052</v>
      </c>
      <c r="H2359" s="28">
        <v>1.83</v>
      </c>
    </row>
    <row r="2360" spans="1:8" x14ac:dyDescent="0.35">
      <c r="A2360" s="22"/>
      <c r="B2360" s="25" t="s">
        <v>2634</v>
      </c>
      <c r="C2360" s="26">
        <v>45894</v>
      </c>
      <c r="D2360" s="25" t="s">
        <v>2685</v>
      </c>
      <c r="E2360" s="25" t="s">
        <v>2020</v>
      </c>
      <c r="F2360" s="60" t="s">
        <v>4052</v>
      </c>
      <c r="H2360" s="28">
        <v>5434.29</v>
      </c>
    </row>
    <row r="2361" spans="1:8" x14ac:dyDescent="0.35">
      <c r="A2361" s="22"/>
      <c r="B2361" s="25" t="s">
        <v>2634</v>
      </c>
      <c r="C2361" s="26">
        <v>45894</v>
      </c>
      <c r="D2361" s="25" t="s">
        <v>2689</v>
      </c>
      <c r="E2361" s="25" t="s">
        <v>2020</v>
      </c>
      <c r="F2361" s="60" t="s">
        <v>4052</v>
      </c>
      <c r="H2361" s="28">
        <v>13225.78</v>
      </c>
    </row>
    <row r="2362" spans="1:8" x14ac:dyDescent="0.35">
      <c r="A2362" s="22"/>
      <c r="B2362" s="25" t="s">
        <v>2634</v>
      </c>
      <c r="C2362" s="26">
        <v>45894</v>
      </c>
      <c r="D2362" s="25">
        <v>36943</v>
      </c>
      <c r="E2362" s="25" t="s">
        <v>1272</v>
      </c>
      <c r="F2362" s="60" t="s">
        <v>4052</v>
      </c>
      <c r="H2362" s="28">
        <v>0</v>
      </c>
    </row>
    <row r="2363" spans="1:8" x14ac:dyDescent="0.35">
      <c r="A2363" s="22"/>
      <c r="B2363" s="25" t="s">
        <v>2634</v>
      </c>
      <c r="C2363" s="26">
        <v>45898</v>
      </c>
      <c r="D2363" s="25">
        <v>38185</v>
      </c>
      <c r="E2363" s="25" t="s">
        <v>2626</v>
      </c>
      <c r="F2363" s="60" t="s">
        <v>4052</v>
      </c>
      <c r="H2363" s="28">
        <v>4800.01</v>
      </c>
    </row>
    <row r="2364" spans="1:8" x14ac:dyDescent="0.35">
      <c r="A2364" s="22"/>
      <c r="B2364" s="25" t="s">
        <v>2634</v>
      </c>
      <c r="C2364" s="26">
        <v>45898</v>
      </c>
      <c r="D2364" s="25">
        <v>38199</v>
      </c>
      <c r="E2364" s="25" t="s">
        <v>2626</v>
      </c>
      <c r="F2364" s="60" t="s">
        <v>4052</v>
      </c>
      <c r="H2364" s="28">
        <v>5718.88</v>
      </c>
    </row>
    <row r="2365" spans="1:8" x14ac:dyDescent="0.35">
      <c r="A2365" s="22"/>
      <c r="B2365" s="25" t="s">
        <v>2634</v>
      </c>
      <c r="C2365" s="26">
        <v>45898</v>
      </c>
      <c r="D2365" s="25" t="s">
        <v>2702</v>
      </c>
      <c r="E2365" s="25" t="s">
        <v>2626</v>
      </c>
      <c r="F2365" s="60" t="s">
        <v>4052</v>
      </c>
      <c r="H2365" s="28">
        <v>4539.33</v>
      </c>
    </row>
    <row r="2366" spans="1:8" x14ac:dyDescent="0.35">
      <c r="A2366" s="22"/>
      <c r="B2366" s="25" t="s">
        <v>2634</v>
      </c>
      <c r="C2366" s="26">
        <v>45898</v>
      </c>
      <c r="D2366" s="25">
        <v>38851</v>
      </c>
      <c r="E2366" s="25" t="s">
        <v>2892</v>
      </c>
      <c r="F2366" s="60" t="s">
        <v>4052</v>
      </c>
      <c r="H2366" s="28">
        <v>4550</v>
      </c>
    </row>
    <row r="2367" spans="1:8" x14ac:dyDescent="0.35">
      <c r="A2367" s="22"/>
      <c r="B2367" s="25" t="s">
        <v>2634</v>
      </c>
      <c r="C2367" s="26">
        <v>45898</v>
      </c>
      <c r="D2367" s="25">
        <v>38881</v>
      </c>
      <c r="E2367" s="25" t="s">
        <v>2894</v>
      </c>
      <c r="F2367" s="60" t="s">
        <v>4052</v>
      </c>
      <c r="H2367" s="28">
        <v>250</v>
      </c>
    </row>
    <row r="2368" spans="1:8" x14ac:dyDescent="0.35">
      <c r="A2368" s="22"/>
      <c r="B2368" s="25" t="s">
        <v>2634</v>
      </c>
      <c r="C2368" s="26">
        <v>45898</v>
      </c>
      <c r="D2368" s="25">
        <v>38893</v>
      </c>
      <c r="E2368" s="25" t="s">
        <v>2894</v>
      </c>
      <c r="F2368" s="60" t="s">
        <v>4052</v>
      </c>
      <c r="H2368" s="28">
        <v>887</v>
      </c>
    </row>
    <row r="2369" spans="1:8" x14ac:dyDescent="0.35">
      <c r="A2369" s="22"/>
      <c r="B2369" s="25" t="s">
        <v>2634</v>
      </c>
      <c r="C2369" s="26">
        <v>45898</v>
      </c>
      <c r="D2369" s="25">
        <v>39125</v>
      </c>
      <c r="E2369" s="25" t="s">
        <v>1223</v>
      </c>
      <c r="F2369" s="60" t="s">
        <v>4052</v>
      </c>
      <c r="H2369" s="28">
        <v>509579.86</v>
      </c>
    </row>
    <row r="2370" spans="1:8" x14ac:dyDescent="0.35">
      <c r="A2370" s="22"/>
      <c r="B2370" s="25" t="s">
        <v>2634</v>
      </c>
      <c r="C2370" s="26">
        <v>45899</v>
      </c>
      <c r="D2370" s="25">
        <v>35818</v>
      </c>
      <c r="E2370" s="25" t="s">
        <v>1277</v>
      </c>
      <c r="F2370" s="60" t="s">
        <v>4052</v>
      </c>
      <c r="H2370" s="28">
        <v>7735.76</v>
      </c>
    </row>
    <row r="2371" spans="1:8" x14ac:dyDescent="0.35">
      <c r="A2371" s="22"/>
      <c r="B2371" s="25" t="s">
        <v>2634</v>
      </c>
      <c r="C2371" s="26">
        <v>45899</v>
      </c>
      <c r="D2371" s="25">
        <v>36512</v>
      </c>
      <c r="E2371" s="25" t="s">
        <v>2231</v>
      </c>
      <c r="F2371" s="60" t="s">
        <v>4052</v>
      </c>
      <c r="H2371" s="28">
        <v>2472.11</v>
      </c>
    </row>
    <row r="2372" spans="1:8" x14ac:dyDescent="0.35">
      <c r="A2372" s="22"/>
      <c r="B2372" s="25" t="s">
        <v>2634</v>
      </c>
      <c r="C2372" s="26">
        <v>45899</v>
      </c>
      <c r="D2372" s="25" t="s">
        <v>3112</v>
      </c>
      <c r="E2372" s="25" t="s">
        <v>989</v>
      </c>
      <c r="F2372" s="60" t="s">
        <v>4052</v>
      </c>
      <c r="H2372" s="28">
        <v>632.30999999999995</v>
      </c>
    </row>
    <row r="2373" spans="1:8" x14ac:dyDescent="0.35">
      <c r="A2373" s="22"/>
      <c r="B2373" s="25" t="s">
        <v>2634</v>
      </c>
      <c r="C2373" s="26">
        <v>45899</v>
      </c>
      <c r="D2373" s="25">
        <v>38051</v>
      </c>
      <c r="E2373" s="25" t="s">
        <v>3470</v>
      </c>
      <c r="F2373" s="60" t="s">
        <v>4052</v>
      </c>
      <c r="H2373" s="28">
        <v>2440</v>
      </c>
    </row>
    <row r="2374" spans="1:8" x14ac:dyDescent="0.35">
      <c r="A2374" s="22"/>
      <c r="B2374" s="25" t="s">
        <v>2634</v>
      </c>
      <c r="C2374" s="26">
        <v>45899</v>
      </c>
      <c r="D2374" s="25">
        <v>38229</v>
      </c>
      <c r="E2374" s="25" t="s">
        <v>1426</v>
      </c>
      <c r="F2374" s="60" t="s">
        <v>4052</v>
      </c>
      <c r="H2374" s="28">
        <v>749.08</v>
      </c>
    </row>
    <row r="2375" spans="1:8" x14ac:dyDescent="0.35">
      <c r="A2375" s="22"/>
      <c r="B2375" s="25" t="s">
        <v>2634</v>
      </c>
      <c r="C2375" s="26">
        <v>45899</v>
      </c>
      <c r="D2375" s="25">
        <v>38230</v>
      </c>
      <c r="E2375" s="25" t="s">
        <v>3487</v>
      </c>
      <c r="F2375" s="60" t="s">
        <v>4052</v>
      </c>
      <c r="H2375" s="28">
        <v>1725</v>
      </c>
    </row>
    <row r="2376" spans="1:8" x14ac:dyDescent="0.35">
      <c r="A2376" s="22"/>
      <c r="B2376" s="25" t="s">
        <v>2634</v>
      </c>
      <c r="C2376" s="26">
        <v>45899</v>
      </c>
      <c r="D2376" s="25" t="s">
        <v>3229</v>
      </c>
      <c r="E2376" s="25" t="s">
        <v>2677</v>
      </c>
      <c r="F2376" s="60" t="s">
        <v>4052</v>
      </c>
      <c r="H2376" s="28">
        <v>3894.55</v>
      </c>
    </row>
    <row r="2377" spans="1:8" x14ac:dyDescent="0.35">
      <c r="A2377" s="22"/>
      <c r="B2377" s="25" t="s">
        <v>2634</v>
      </c>
      <c r="C2377" s="26">
        <v>45899</v>
      </c>
      <c r="D2377" s="25">
        <v>38254</v>
      </c>
      <c r="E2377" s="25" t="s">
        <v>2677</v>
      </c>
      <c r="F2377" s="60" t="s">
        <v>4052</v>
      </c>
      <c r="H2377" s="28">
        <v>9126.7800000000007</v>
      </c>
    </row>
    <row r="2378" spans="1:8" x14ac:dyDescent="0.35">
      <c r="A2378" s="22"/>
      <c r="B2378" s="25" t="s">
        <v>2634</v>
      </c>
      <c r="C2378" s="26">
        <v>45899</v>
      </c>
      <c r="D2378" s="25" t="s">
        <v>3231</v>
      </c>
      <c r="E2378" s="25" t="s">
        <v>2677</v>
      </c>
      <c r="F2378" s="60" t="s">
        <v>4052</v>
      </c>
      <c r="H2378" s="28">
        <v>36013.69</v>
      </c>
    </row>
    <row r="2379" spans="1:8" x14ac:dyDescent="0.35">
      <c r="A2379" s="22"/>
      <c r="B2379" s="25" t="s">
        <v>2634</v>
      </c>
      <c r="C2379" s="26">
        <v>45899</v>
      </c>
      <c r="D2379" s="25" t="s">
        <v>3232</v>
      </c>
      <c r="E2379" s="25" t="s">
        <v>2677</v>
      </c>
      <c r="F2379" s="60" t="s">
        <v>4052</v>
      </c>
      <c r="H2379" s="28">
        <v>3623.9</v>
      </c>
    </row>
    <row r="2380" spans="1:8" x14ac:dyDescent="0.35">
      <c r="A2380" s="22"/>
      <c r="B2380" s="25" t="s">
        <v>2634</v>
      </c>
      <c r="C2380" s="26">
        <v>45899</v>
      </c>
      <c r="D2380" s="25" t="s">
        <v>3233</v>
      </c>
      <c r="E2380" s="25" t="s">
        <v>2677</v>
      </c>
      <c r="F2380" s="60" t="s">
        <v>4052</v>
      </c>
      <c r="H2380" s="28">
        <v>15172</v>
      </c>
    </row>
    <row r="2381" spans="1:8" x14ac:dyDescent="0.35">
      <c r="A2381" s="22"/>
      <c r="B2381" s="25" t="s">
        <v>2634</v>
      </c>
      <c r="C2381" s="26">
        <v>45899</v>
      </c>
      <c r="D2381" s="25">
        <v>38263</v>
      </c>
      <c r="E2381" s="25" t="s">
        <v>2677</v>
      </c>
      <c r="F2381" s="60" t="s">
        <v>4052</v>
      </c>
      <c r="H2381" s="28">
        <v>156.41999999999999</v>
      </c>
    </row>
    <row r="2382" spans="1:8" x14ac:dyDescent="0.35">
      <c r="A2382" s="22"/>
      <c r="B2382" s="25" t="s">
        <v>2634</v>
      </c>
      <c r="C2382" s="26">
        <v>45899</v>
      </c>
      <c r="D2382" s="25">
        <v>38265</v>
      </c>
      <c r="E2382" s="25" t="s">
        <v>2677</v>
      </c>
      <c r="F2382" s="60" t="s">
        <v>4052</v>
      </c>
      <c r="H2382" s="28">
        <v>2826.34</v>
      </c>
    </row>
    <row r="2383" spans="1:8" x14ac:dyDescent="0.35">
      <c r="A2383" s="22"/>
      <c r="B2383" s="25" t="s">
        <v>2634</v>
      </c>
      <c r="C2383" s="26">
        <v>45899</v>
      </c>
      <c r="D2383" s="25">
        <v>38266</v>
      </c>
      <c r="E2383" s="25" t="s">
        <v>2677</v>
      </c>
      <c r="F2383" s="60" t="s">
        <v>4052</v>
      </c>
      <c r="H2383" s="28">
        <v>2840.25</v>
      </c>
    </row>
    <row r="2384" spans="1:8" x14ac:dyDescent="0.35">
      <c r="A2384" s="22"/>
      <c r="B2384" s="25" t="s">
        <v>2634</v>
      </c>
      <c r="C2384" s="26">
        <v>45899</v>
      </c>
      <c r="D2384" s="25">
        <v>38546</v>
      </c>
      <c r="E2384" s="25" t="s">
        <v>2266</v>
      </c>
      <c r="F2384" s="60" t="s">
        <v>4052</v>
      </c>
      <c r="H2384" s="28">
        <v>2018</v>
      </c>
    </row>
    <row r="2385" spans="1:8" x14ac:dyDescent="0.35">
      <c r="A2385" s="22"/>
      <c r="B2385" s="25" t="s">
        <v>2634</v>
      </c>
      <c r="C2385" s="26">
        <v>45899</v>
      </c>
      <c r="D2385" s="25" t="s">
        <v>3288</v>
      </c>
      <c r="E2385" s="25" t="s">
        <v>1582</v>
      </c>
      <c r="F2385" s="60" t="s">
        <v>4052</v>
      </c>
      <c r="H2385" s="28">
        <v>26382.55</v>
      </c>
    </row>
    <row r="2386" spans="1:8" x14ac:dyDescent="0.35">
      <c r="A2386" s="22"/>
      <c r="B2386" s="25" t="s">
        <v>2634</v>
      </c>
      <c r="C2386" s="26">
        <v>45899</v>
      </c>
      <c r="D2386" s="25">
        <v>38651</v>
      </c>
      <c r="E2386" s="25" t="s">
        <v>2231</v>
      </c>
      <c r="F2386" s="60" t="s">
        <v>4052</v>
      </c>
      <c r="H2386" s="28">
        <v>2064.11</v>
      </c>
    </row>
    <row r="2387" spans="1:8" x14ac:dyDescent="0.35">
      <c r="A2387" s="22"/>
      <c r="B2387" s="25" t="s">
        <v>2634</v>
      </c>
      <c r="C2387" s="26">
        <v>45899</v>
      </c>
      <c r="D2387" s="25">
        <v>38791</v>
      </c>
      <c r="E2387" s="25" t="s">
        <v>3496</v>
      </c>
      <c r="F2387" s="60" t="s">
        <v>4052</v>
      </c>
      <c r="H2387" s="28">
        <v>847.22</v>
      </c>
    </row>
    <row r="2388" spans="1:8" x14ac:dyDescent="0.35">
      <c r="A2388" s="22"/>
      <c r="B2388" s="25" t="s">
        <v>2634</v>
      </c>
      <c r="C2388" s="26">
        <v>45899</v>
      </c>
      <c r="D2388" s="25">
        <v>38817</v>
      </c>
      <c r="E2388" s="25" t="s">
        <v>3498</v>
      </c>
      <c r="F2388" s="60" t="s">
        <v>4052</v>
      </c>
      <c r="H2388" s="28">
        <v>665.5</v>
      </c>
    </row>
    <row r="2389" spans="1:8" x14ac:dyDescent="0.35">
      <c r="A2389" s="22"/>
      <c r="B2389" s="25" t="s">
        <v>2634</v>
      </c>
      <c r="C2389" s="26">
        <v>45899</v>
      </c>
      <c r="D2389" s="25">
        <v>38834</v>
      </c>
      <c r="E2389" s="25" t="s">
        <v>3499</v>
      </c>
      <c r="F2389" s="60" t="s">
        <v>4052</v>
      </c>
      <c r="H2389" s="28">
        <v>4313.13</v>
      </c>
    </row>
    <row r="2390" spans="1:8" x14ac:dyDescent="0.35">
      <c r="A2390" s="22"/>
      <c r="B2390" s="25" t="s">
        <v>2634</v>
      </c>
      <c r="C2390" s="26">
        <v>45899</v>
      </c>
      <c r="D2390" s="25">
        <v>38839</v>
      </c>
      <c r="E2390" s="25" t="s">
        <v>3500</v>
      </c>
      <c r="F2390" s="60" t="s">
        <v>4052</v>
      </c>
      <c r="H2390" s="28">
        <v>500</v>
      </c>
    </row>
    <row r="2391" spans="1:8" x14ac:dyDescent="0.35">
      <c r="A2391" s="22"/>
      <c r="B2391" s="25" t="s">
        <v>2634</v>
      </c>
      <c r="C2391" s="26">
        <v>45899</v>
      </c>
      <c r="D2391" s="25">
        <v>38846</v>
      </c>
      <c r="E2391" s="25" t="s">
        <v>3501</v>
      </c>
      <c r="F2391" s="60" t="s">
        <v>4052</v>
      </c>
      <c r="H2391" s="28">
        <v>1600</v>
      </c>
    </row>
    <row r="2392" spans="1:8" x14ac:dyDescent="0.35">
      <c r="A2392" s="22"/>
      <c r="B2392" s="25" t="s">
        <v>2634</v>
      </c>
      <c r="C2392" s="26">
        <v>45899</v>
      </c>
      <c r="D2392" s="25">
        <v>38874</v>
      </c>
      <c r="E2392" s="25" t="s">
        <v>3502</v>
      </c>
      <c r="F2392" s="60" t="s">
        <v>4052</v>
      </c>
      <c r="H2392" s="28">
        <v>2200</v>
      </c>
    </row>
    <row r="2393" spans="1:8" x14ac:dyDescent="0.35">
      <c r="A2393" s="22"/>
      <c r="B2393" s="25" t="s">
        <v>2634</v>
      </c>
      <c r="C2393" s="26">
        <v>45899</v>
      </c>
      <c r="D2393" s="25">
        <v>38889</v>
      </c>
      <c r="E2393" s="25" t="s">
        <v>2629</v>
      </c>
      <c r="F2393" s="60" t="s">
        <v>4052</v>
      </c>
      <c r="H2393" s="28">
        <v>2057.27</v>
      </c>
    </row>
    <row r="2394" spans="1:8" x14ac:dyDescent="0.35">
      <c r="A2394" s="22"/>
      <c r="B2394" s="25" t="s">
        <v>2634</v>
      </c>
      <c r="C2394" s="26">
        <v>45899</v>
      </c>
      <c r="D2394" s="25">
        <v>38953</v>
      </c>
      <c r="E2394" s="25" t="s">
        <v>3496</v>
      </c>
      <c r="F2394" s="60" t="s">
        <v>4052</v>
      </c>
      <c r="H2394" s="28">
        <v>600</v>
      </c>
    </row>
    <row r="2395" spans="1:8" x14ac:dyDescent="0.35">
      <c r="A2395" s="22"/>
      <c r="B2395" s="25" t="s">
        <v>2634</v>
      </c>
      <c r="C2395" s="26">
        <v>45899</v>
      </c>
      <c r="D2395" s="25">
        <v>38954</v>
      </c>
      <c r="E2395" s="25" t="s">
        <v>3503</v>
      </c>
      <c r="F2395" s="60" t="s">
        <v>4052</v>
      </c>
      <c r="H2395" s="28">
        <v>350</v>
      </c>
    </row>
    <row r="2396" spans="1:8" x14ac:dyDescent="0.35">
      <c r="A2396" s="22"/>
      <c r="B2396" s="25" t="s">
        <v>2634</v>
      </c>
      <c r="C2396" s="26">
        <v>45899</v>
      </c>
      <c r="D2396" s="25">
        <v>38970</v>
      </c>
      <c r="E2396" s="25" t="s">
        <v>3504</v>
      </c>
      <c r="F2396" s="60" t="s">
        <v>4052</v>
      </c>
      <c r="H2396" s="28">
        <v>350</v>
      </c>
    </row>
    <row r="2397" spans="1:8" x14ac:dyDescent="0.35">
      <c r="A2397" s="22"/>
      <c r="B2397" s="25" t="s">
        <v>2634</v>
      </c>
      <c r="C2397" s="26">
        <v>45899</v>
      </c>
      <c r="D2397" s="25">
        <v>38981</v>
      </c>
      <c r="E2397" s="25" t="s">
        <v>3496</v>
      </c>
      <c r="F2397" s="60" t="s">
        <v>4052</v>
      </c>
      <c r="H2397" s="28">
        <v>370</v>
      </c>
    </row>
    <row r="2398" spans="1:8" x14ac:dyDescent="0.35">
      <c r="A2398" s="22"/>
      <c r="B2398" s="25" t="s">
        <v>2634</v>
      </c>
      <c r="C2398" s="26">
        <v>45899</v>
      </c>
      <c r="D2398" s="25">
        <v>38993</v>
      </c>
      <c r="E2398" s="25" t="s">
        <v>1475</v>
      </c>
      <c r="F2398" s="60" t="s">
        <v>4052</v>
      </c>
      <c r="H2398" s="28">
        <v>6712.5</v>
      </c>
    </row>
    <row r="2399" spans="1:8" x14ac:dyDescent="0.35">
      <c r="A2399" s="22"/>
      <c r="B2399" s="25" t="s">
        <v>2634</v>
      </c>
      <c r="C2399" s="26">
        <v>45899</v>
      </c>
      <c r="D2399" s="25">
        <v>38996</v>
      </c>
      <c r="E2399" s="25" t="s">
        <v>1924</v>
      </c>
      <c r="F2399" s="60" t="s">
        <v>4052</v>
      </c>
      <c r="H2399" s="28">
        <v>350</v>
      </c>
    </row>
    <row r="2400" spans="1:8" x14ac:dyDescent="0.35">
      <c r="A2400" s="22"/>
      <c r="B2400" s="25" t="s">
        <v>2634</v>
      </c>
      <c r="C2400" s="26">
        <v>45899</v>
      </c>
      <c r="D2400" s="25">
        <v>39002</v>
      </c>
      <c r="E2400" s="25" t="s">
        <v>3505</v>
      </c>
      <c r="F2400" s="60" t="s">
        <v>4052</v>
      </c>
      <c r="H2400" s="28">
        <v>1900</v>
      </c>
    </row>
    <row r="2401" spans="1:8" x14ac:dyDescent="0.35">
      <c r="A2401" s="22"/>
      <c r="B2401" s="25" t="s">
        <v>2634</v>
      </c>
      <c r="C2401" s="26">
        <v>45899</v>
      </c>
      <c r="D2401" s="25">
        <v>39010</v>
      </c>
      <c r="E2401" s="25" t="s">
        <v>3506</v>
      </c>
      <c r="F2401" s="60" t="s">
        <v>4052</v>
      </c>
      <c r="H2401" s="28">
        <v>693</v>
      </c>
    </row>
    <row r="2402" spans="1:8" x14ac:dyDescent="0.35">
      <c r="A2402" s="22"/>
      <c r="B2402" s="25" t="s">
        <v>2634</v>
      </c>
      <c r="C2402" s="26">
        <v>45900</v>
      </c>
      <c r="D2402" s="25" t="s">
        <v>4035</v>
      </c>
      <c r="E2402" s="25" t="s">
        <v>4034</v>
      </c>
      <c r="F2402" s="60" t="s">
        <v>4052</v>
      </c>
      <c r="H2402" s="28">
        <v>541.25</v>
      </c>
    </row>
    <row r="2403" spans="1:8" x14ac:dyDescent="0.35">
      <c r="A2403" s="22"/>
      <c r="B2403" s="25" t="s">
        <v>2634</v>
      </c>
      <c r="C2403" s="26">
        <v>45900</v>
      </c>
      <c r="D2403" s="25" t="s">
        <v>3322</v>
      </c>
      <c r="E2403" s="25" t="s">
        <v>2555</v>
      </c>
      <c r="F2403" s="60" t="s">
        <v>4052</v>
      </c>
      <c r="H2403" s="28">
        <v>730.89</v>
      </c>
    </row>
    <row r="2404" spans="1:8" x14ac:dyDescent="0.35">
      <c r="A2404" s="22"/>
      <c r="B2404" s="25" t="s">
        <v>2634</v>
      </c>
      <c r="C2404" s="26">
        <v>45900</v>
      </c>
      <c r="D2404" s="25">
        <v>33967</v>
      </c>
      <c r="E2404" s="25" t="s">
        <v>301</v>
      </c>
      <c r="F2404" s="60" t="s">
        <v>4052</v>
      </c>
      <c r="H2404" s="28">
        <v>0</v>
      </c>
    </row>
    <row r="2405" spans="1:8" x14ac:dyDescent="0.35">
      <c r="A2405" s="22"/>
      <c r="B2405" s="25" t="s">
        <v>2634</v>
      </c>
      <c r="C2405" s="26">
        <v>45900</v>
      </c>
      <c r="D2405" s="25" t="s">
        <v>3334</v>
      </c>
      <c r="E2405" s="25" t="s">
        <v>2033</v>
      </c>
      <c r="F2405" s="60" t="s">
        <v>4052</v>
      </c>
      <c r="H2405" s="28">
        <v>7230.75</v>
      </c>
    </row>
    <row r="2406" spans="1:8" x14ac:dyDescent="0.35">
      <c r="A2406" s="22"/>
      <c r="B2406" s="25" t="s">
        <v>2634</v>
      </c>
      <c r="C2406" s="26">
        <v>45900</v>
      </c>
      <c r="D2406" s="25">
        <v>34382</v>
      </c>
      <c r="E2406" s="25" t="s">
        <v>301</v>
      </c>
      <c r="F2406" s="60" t="s">
        <v>4052</v>
      </c>
      <c r="H2406" s="28">
        <v>0</v>
      </c>
    </row>
    <row r="2407" spans="1:8" x14ac:dyDescent="0.35">
      <c r="A2407" s="22"/>
      <c r="B2407" s="25" t="s">
        <v>2634</v>
      </c>
      <c r="C2407" s="26">
        <v>45900</v>
      </c>
      <c r="D2407" s="25" t="s">
        <v>4036</v>
      </c>
      <c r="E2407" s="25" t="s">
        <v>3139</v>
      </c>
      <c r="F2407" s="60" t="s">
        <v>4052</v>
      </c>
      <c r="H2407" s="28">
        <v>0.28000000000000003</v>
      </c>
    </row>
    <row r="2408" spans="1:8" x14ac:dyDescent="0.35">
      <c r="A2408" s="22"/>
      <c r="B2408" s="25" t="s">
        <v>2634</v>
      </c>
      <c r="C2408" s="26">
        <v>45900</v>
      </c>
      <c r="D2408" s="25" t="s">
        <v>3343</v>
      </c>
      <c r="E2408" s="25" t="s">
        <v>3144</v>
      </c>
      <c r="F2408" s="60" t="s">
        <v>4052</v>
      </c>
      <c r="H2408" s="28">
        <v>13366.38</v>
      </c>
    </row>
    <row r="2409" spans="1:8" x14ac:dyDescent="0.35">
      <c r="A2409" s="22"/>
      <c r="B2409" s="25" t="s">
        <v>2634</v>
      </c>
      <c r="C2409" s="26">
        <v>45900</v>
      </c>
      <c r="D2409" s="25" t="s">
        <v>3358</v>
      </c>
      <c r="E2409" s="25" t="s">
        <v>1757</v>
      </c>
      <c r="F2409" s="60" t="s">
        <v>4052</v>
      </c>
      <c r="H2409" s="28">
        <v>12512.58</v>
      </c>
    </row>
    <row r="2410" spans="1:8" x14ac:dyDescent="0.35">
      <c r="A2410" s="22"/>
      <c r="B2410" s="25" t="s">
        <v>2634</v>
      </c>
      <c r="C2410" s="26">
        <v>45900</v>
      </c>
      <c r="D2410" s="25">
        <v>35434</v>
      </c>
      <c r="E2410" s="25" t="s">
        <v>1757</v>
      </c>
      <c r="F2410" s="60" t="s">
        <v>4052</v>
      </c>
      <c r="H2410" s="28">
        <v>1847.68</v>
      </c>
    </row>
    <row r="2411" spans="1:8" x14ac:dyDescent="0.35">
      <c r="A2411" s="22"/>
      <c r="B2411" s="25" t="s">
        <v>2634</v>
      </c>
      <c r="C2411" s="26">
        <v>45900</v>
      </c>
      <c r="D2411" s="25" t="s">
        <v>3368</v>
      </c>
      <c r="E2411" s="25" t="s">
        <v>1757</v>
      </c>
      <c r="F2411" s="60" t="s">
        <v>4052</v>
      </c>
      <c r="H2411" s="28">
        <v>1471.5</v>
      </c>
    </row>
    <row r="2412" spans="1:8" x14ac:dyDescent="0.35">
      <c r="A2412" s="22"/>
      <c r="B2412" s="25" t="s">
        <v>2634</v>
      </c>
      <c r="C2412" s="26">
        <v>45900</v>
      </c>
      <c r="D2412" s="25">
        <v>35494</v>
      </c>
      <c r="E2412" s="25" t="s">
        <v>3218</v>
      </c>
      <c r="F2412" s="60" t="s">
        <v>4052</v>
      </c>
      <c r="H2412" s="28">
        <v>292.52</v>
      </c>
    </row>
    <row r="2413" spans="1:8" x14ac:dyDescent="0.35">
      <c r="A2413" s="22"/>
      <c r="B2413" s="25" t="s">
        <v>2634</v>
      </c>
      <c r="C2413" s="26">
        <v>45900</v>
      </c>
      <c r="D2413" s="25" t="s">
        <v>3377</v>
      </c>
      <c r="E2413" s="25" t="s">
        <v>2514</v>
      </c>
      <c r="F2413" s="60" t="s">
        <v>4052</v>
      </c>
      <c r="H2413" s="28">
        <v>4315.75</v>
      </c>
    </row>
    <row r="2414" spans="1:8" x14ac:dyDescent="0.35">
      <c r="A2414" s="22"/>
      <c r="B2414" s="25" t="s">
        <v>2634</v>
      </c>
      <c r="C2414" s="26">
        <v>45900</v>
      </c>
      <c r="D2414" s="25" t="s">
        <v>3379</v>
      </c>
      <c r="E2414" s="25" t="s">
        <v>2514</v>
      </c>
      <c r="F2414" s="60" t="s">
        <v>4052</v>
      </c>
      <c r="H2414" s="28">
        <v>1194.6300000000001</v>
      </c>
    </row>
    <row r="2415" spans="1:8" x14ac:dyDescent="0.35">
      <c r="A2415" s="22"/>
      <c r="B2415" s="25" t="s">
        <v>2634</v>
      </c>
      <c r="C2415" s="26">
        <v>45900</v>
      </c>
      <c r="D2415" s="25" t="s">
        <v>3386</v>
      </c>
      <c r="E2415" s="25" t="s">
        <v>1475</v>
      </c>
      <c r="F2415" s="60" t="s">
        <v>4052</v>
      </c>
      <c r="H2415" s="28">
        <v>4817.0200000000004</v>
      </c>
    </row>
    <row r="2416" spans="1:8" x14ac:dyDescent="0.35">
      <c r="A2416" s="22"/>
      <c r="B2416" s="25" t="s">
        <v>2634</v>
      </c>
      <c r="C2416" s="26">
        <v>45900</v>
      </c>
      <c r="D2416" s="25" t="s">
        <v>3388</v>
      </c>
      <c r="E2416" s="25" t="s">
        <v>1475</v>
      </c>
      <c r="F2416" s="60" t="s">
        <v>4052</v>
      </c>
      <c r="H2416" s="28">
        <v>9505.74</v>
      </c>
    </row>
    <row r="2417" spans="1:8" x14ac:dyDescent="0.35">
      <c r="A2417" s="22"/>
      <c r="B2417" s="25" t="s">
        <v>2634</v>
      </c>
      <c r="C2417" s="26">
        <v>45900</v>
      </c>
      <c r="D2417" s="25">
        <v>35797</v>
      </c>
      <c r="E2417" s="25" t="s">
        <v>1475</v>
      </c>
      <c r="F2417" s="60" t="s">
        <v>4052</v>
      </c>
      <c r="H2417" s="28">
        <v>10327.44</v>
      </c>
    </row>
    <row r="2418" spans="1:8" x14ac:dyDescent="0.35">
      <c r="A2418" s="22"/>
      <c r="B2418" s="25" t="s">
        <v>2634</v>
      </c>
      <c r="C2418" s="26">
        <v>45900</v>
      </c>
      <c r="D2418" s="25" t="s">
        <v>3389</v>
      </c>
      <c r="E2418" s="25" t="s">
        <v>1475</v>
      </c>
      <c r="F2418" s="60" t="s">
        <v>4052</v>
      </c>
      <c r="H2418" s="28">
        <v>8252.7000000000007</v>
      </c>
    </row>
    <row r="2419" spans="1:8" x14ac:dyDescent="0.35">
      <c r="A2419" s="22"/>
      <c r="B2419" s="25" t="s">
        <v>2634</v>
      </c>
      <c r="C2419" s="26">
        <v>45900</v>
      </c>
      <c r="D2419" s="25" t="s">
        <v>3390</v>
      </c>
      <c r="E2419" s="25" t="s">
        <v>1475</v>
      </c>
      <c r="F2419" s="60" t="s">
        <v>4052</v>
      </c>
      <c r="H2419" s="28">
        <v>11819.71</v>
      </c>
    </row>
    <row r="2420" spans="1:8" x14ac:dyDescent="0.35">
      <c r="A2420" s="22"/>
      <c r="B2420" s="25" t="s">
        <v>2634</v>
      </c>
      <c r="C2420" s="26">
        <v>45900</v>
      </c>
      <c r="D2420" s="25">
        <v>35806</v>
      </c>
      <c r="E2420" s="25" t="s">
        <v>1475</v>
      </c>
      <c r="F2420" s="60" t="s">
        <v>4052</v>
      </c>
      <c r="H2420" s="28">
        <v>1022.42</v>
      </c>
    </row>
    <row r="2421" spans="1:8" x14ac:dyDescent="0.35">
      <c r="A2421" s="22"/>
      <c r="B2421" s="25" t="s">
        <v>2634</v>
      </c>
      <c r="C2421" s="26">
        <v>45900</v>
      </c>
      <c r="D2421" s="25" t="s">
        <v>3391</v>
      </c>
      <c r="E2421" s="25" t="s">
        <v>1475</v>
      </c>
      <c r="F2421" s="60" t="s">
        <v>4052</v>
      </c>
      <c r="H2421" s="28">
        <v>19232.13</v>
      </c>
    </row>
    <row r="2422" spans="1:8" x14ac:dyDescent="0.35">
      <c r="A2422" s="22"/>
      <c r="B2422" s="25" t="s">
        <v>2634</v>
      </c>
      <c r="C2422" s="26">
        <v>45900</v>
      </c>
      <c r="D2422" s="25" t="s">
        <v>3392</v>
      </c>
      <c r="E2422" s="25" t="s">
        <v>1475</v>
      </c>
      <c r="F2422" s="60" t="s">
        <v>4052</v>
      </c>
      <c r="H2422" s="28">
        <v>4901.51</v>
      </c>
    </row>
    <row r="2423" spans="1:8" x14ac:dyDescent="0.35">
      <c r="A2423" s="22"/>
      <c r="B2423" s="25" t="s">
        <v>2634</v>
      </c>
      <c r="C2423" s="26">
        <v>45900</v>
      </c>
      <c r="D2423" s="25">
        <v>35811</v>
      </c>
      <c r="E2423" s="25" t="s">
        <v>1475</v>
      </c>
      <c r="F2423" s="60" t="s">
        <v>4052</v>
      </c>
      <c r="H2423" s="28">
        <v>16880.89</v>
      </c>
    </row>
    <row r="2424" spans="1:8" x14ac:dyDescent="0.35">
      <c r="A2424" s="22"/>
      <c r="B2424" s="25" t="s">
        <v>2634</v>
      </c>
      <c r="C2424" s="26">
        <v>45900</v>
      </c>
      <c r="D2424" s="25" t="s">
        <v>3394</v>
      </c>
      <c r="E2424" s="25" t="s">
        <v>1475</v>
      </c>
      <c r="F2424" s="60" t="s">
        <v>4052</v>
      </c>
      <c r="H2424" s="28">
        <v>7960.82</v>
      </c>
    </row>
    <row r="2425" spans="1:8" x14ac:dyDescent="0.35">
      <c r="A2425" s="22"/>
      <c r="B2425" s="25" t="s">
        <v>2634</v>
      </c>
      <c r="C2425" s="26">
        <v>45900</v>
      </c>
      <c r="D2425" s="25" t="s">
        <v>3395</v>
      </c>
      <c r="E2425" s="25" t="s">
        <v>2459</v>
      </c>
      <c r="F2425" s="60" t="s">
        <v>4052</v>
      </c>
      <c r="H2425" s="28">
        <v>-500</v>
      </c>
    </row>
    <row r="2426" spans="1:8" x14ac:dyDescent="0.35">
      <c r="A2426" s="22"/>
      <c r="B2426" s="25" t="s">
        <v>2634</v>
      </c>
      <c r="C2426" s="26">
        <v>45900</v>
      </c>
      <c r="D2426" s="25" t="s">
        <v>3575</v>
      </c>
      <c r="E2426" s="25" t="s">
        <v>3576</v>
      </c>
      <c r="F2426" s="60" t="s">
        <v>4052</v>
      </c>
      <c r="H2426" s="28">
        <v>4923</v>
      </c>
    </row>
    <row r="2427" spans="1:8" x14ac:dyDescent="0.35">
      <c r="A2427" s="22"/>
      <c r="B2427" s="25" t="s">
        <v>2634</v>
      </c>
      <c r="C2427" s="26">
        <v>45900</v>
      </c>
      <c r="D2427" s="25" t="s">
        <v>4037</v>
      </c>
      <c r="E2427" s="25" t="s">
        <v>2831</v>
      </c>
      <c r="F2427" s="60" t="s">
        <v>4052</v>
      </c>
      <c r="H2427" s="28">
        <v>0.01</v>
      </c>
    </row>
    <row r="2428" spans="1:8" x14ac:dyDescent="0.35">
      <c r="A2428" s="22"/>
      <c r="B2428" s="25" t="s">
        <v>2634</v>
      </c>
      <c r="C2428" s="26">
        <v>45900</v>
      </c>
      <c r="D2428" s="25" t="s">
        <v>3408</v>
      </c>
      <c r="E2428" s="25" t="s">
        <v>1426</v>
      </c>
      <c r="F2428" s="60" t="s">
        <v>4052</v>
      </c>
      <c r="H2428" s="28">
        <v>4729.99</v>
      </c>
    </row>
    <row r="2429" spans="1:8" x14ac:dyDescent="0.35">
      <c r="A2429" s="22"/>
      <c r="B2429" s="25" t="s">
        <v>2634</v>
      </c>
      <c r="C2429" s="26">
        <v>45900</v>
      </c>
      <c r="D2429" s="25" t="s">
        <v>3410</v>
      </c>
      <c r="E2429" s="25" t="s">
        <v>3510</v>
      </c>
      <c r="F2429" s="60" t="s">
        <v>4052</v>
      </c>
      <c r="H2429" s="28">
        <v>1162.5899999999999</v>
      </c>
    </row>
    <row r="2430" spans="1:8" x14ac:dyDescent="0.35">
      <c r="A2430" s="22"/>
      <c r="B2430" s="25" t="s">
        <v>2634</v>
      </c>
      <c r="C2430" s="26">
        <v>45900</v>
      </c>
      <c r="D2430" s="25" t="s">
        <v>4038</v>
      </c>
      <c r="E2430" s="25" t="s">
        <v>2541</v>
      </c>
      <c r="F2430" s="60" t="s">
        <v>4052</v>
      </c>
      <c r="H2430" s="28">
        <v>1</v>
      </c>
    </row>
    <row r="2431" spans="1:8" x14ac:dyDescent="0.35">
      <c r="A2431" s="22"/>
      <c r="B2431" s="25" t="s">
        <v>2634</v>
      </c>
      <c r="C2431" s="26">
        <v>45900</v>
      </c>
      <c r="D2431" s="25">
        <v>37354</v>
      </c>
      <c r="E2431" s="25" t="s">
        <v>3511</v>
      </c>
      <c r="F2431" s="60" t="s">
        <v>4052</v>
      </c>
      <c r="H2431" s="28">
        <v>4000</v>
      </c>
    </row>
    <row r="2432" spans="1:8" x14ac:dyDescent="0.35">
      <c r="A2432" s="22"/>
      <c r="B2432" s="25" t="s">
        <v>2634</v>
      </c>
      <c r="C2432" s="26">
        <v>45900</v>
      </c>
      <c r="D2432" s="25">
        <v>37625</v>
      </c>
      <c r="E2432" s="25" t="s">
        <v>1280</v>
      </c>
      <c r="F2432" s="60" t="s">
        <v>4052</v>
      </c>
      <c r="H2432" s="28">
        <v>15690.18</v>
      </c>
    </row>
    <row r="2433" spans="1:8" x14ac:dyDescent="0.35">
      <c r="A2433" s="22"/>
      <c r="B2433" s="25" t="s">
        <v>2634</v>
      </c>
      <c r="C2433" s="26">
        <v>45900</v>
      </c>
      <c r="D2433" s="25">
        <v>37644</v>
      </c>
      <c r="E2433" s="25" t="s">
        <v>1280</v>
      </c>
      <c r="F2433" s="60" t="s">
        <v>4052</v>
      </c>
      <c r="H2433" s="28">
        <v>3264.14</v>
      </c>
    </row>
    <row r="2434" spans="1:8" x14ac:dyDescent="0.35">
      <c r="A2434" s="22"/>
      <c r="B2434" s="25" t="s">
        <v>2634</v>
      </c>
      <c r="C2434" s="26">
        <v>45900</v>
      </c>
      <c r="D2434" s="25">
        <v>37776</v>
      </c>
      <c r="E2434" s="25" t="s">
        <v>2313</v>
      </c>
      <c r="F2434" s="60" t="s">
        <v>4052</v>
      </c>
      <c r="H2434" s="28">
        <v>86.73</v>
      </c>
    </row>
    <row r="2435" spans="1:8" x14ac:dyDescent="0.35">
      <c r="A2435" s="22"/>
      <c r="B2435" s="25" t="s">
        <v>2634</v>
      </c>
      <c r="C2435" s="26">
        <v>45900</v>
      </c>
      <c r="D2435" s="25">
        <v>37903</v>
      </c>
      <c r="E2435" s="25" t="s">
        <v>2144</v>
      </c>
      <c r="F2435" s="60" t="s">
        <v>4052</v>
      </c>
      <c r="H2435" s="28">
        <v>1050</v>
      </c>
    </row>
    <row r="2436" spans="1:8" x14ac:dyDescent="0.35">
      <c r="A2436" s="22"/>
      <c r="B2436" s="25" t="s">
        <v>2634</v>
      </c>
      <c r="C2436" s="26">
        <v>45900</v>
      </c>
      <c r="D2436" s="25" t="s">
        <v>3430</v>
      </c>
      <c r="E2436" s="25" t="s">
        <v>2220</v>
      </c>
      <c r="F2436" s="60" t="s">
        <v>4052</v>
      </c>
      <c r="H2436" s="28">
        <v>8195.0400000000009</v>
      </c>
    </row>
    <row r="2437" spans="1:8" x14ac:dyDescent="0.35">
      <c r="A2437" s="22"/>
      <c r="B2437" s="25" t="s">
        <v>2634</v>
      </c>
      <c r="C2437" s="26">
        <v>45900</v>
      </c>
      <c r="D2437" s="25" t="s">
        <v>3435</v>
      </c>
      <c r="E2437" s="25" t="s">
        <v>2220</v>
      </c>
      <c r="F2437" s="60" t="s">
        <v>4052</v>
      </c>
      <c r="H2437" s="28">
        <v>18305.29</v>
      </c>
    </row>
    <row r="2438" spans="1:8" x14ac:dyDescent="0.35">
      <c r="A2438" s="22"/>
      <c r="B2438" s="25" t="s">
        <v>2634</v>
      </c>
      <c r="C2438" s="26">
        <v>45900</v>
      </c>
      <c r="D2438" s="25" t="s">
        <v>3437</v>
      </c>
      <c r="E2438" s="25" t="s">
        <v>2220</v>
      </c>
      <c r="F2438" s="60" t="s">
        <v>4052</v>
      </c>
      <c r="H2438" s="28">
        <v>1711.96</v>
      </c>
    </row>
    <row r="2439" spans="1:8" x14ac:dyDescent="0.35">
      <c r="A2439" s="22"/>
      <c r="B2439" s="25" t="s">
        <v>2634</v>
      </c>
      <c r="C2439" s="26">
        <v>45900</v>
      </c>
      <c r="D2439" s="25" t="s">
        <v>4040</v>
      </c>
      <c r="E2439" s="25" t="s">
        <v>4039</v>
      </c>
      <c r="F2439" s="60" t="s">
        <v>4052</v>
      </c>
      <c r="H2439" s="28">
        <v>0.02</v>
      </c>
    </row>
    <row r="2440" spans="1:8" x14ac:dyDescent="0.35">
      <c r="A2440" s="22"/>
      <c r="B2440" s="25" t="s">
        <v>2634</v>
      </c>
      <c r="C2440" s="26">
        <v>45900</v>
      </c>
      <c r="D2440" s="25" t="s">
        <v>4042</v>
      </c>
      <c r="E2440" s="25" t="s">
        <v>4041</v>
      </c>
      <c r="F2440" s="60" t="s">
        <v>4052</v>
      </c>
      <c r="H2440" s="28">
        <v>114.07</v>
      </c>
    </row>
    <row r="2441" spans="1:8" x14ac:dyDescent="0.35">
      <c r="A2441" s="22"/>
      <c r="B2441" s="25" t="s">
        <v>2634</v>
      </c>
      <c r="C2441" s="26">
        <v>45900</v>
      </c>
      <c r="D2441" s="25">
        <v>38215</v>
      </c>
      <c r="E2441" s="25" t="s">
        <v>3513</v>
      </c>
      <c r="F2441" s="60" t="s">
        <v>4052</v>
      </c>
      <c r="H2441" s="28">
        <v>2513.25</v>
      </c>
    </row>
    <row r="2442" spans="1:8" x14ac:dyDescent="0.35">
      <c r="A2442" s="22"/>
      <c r="B2442" s="25" t="s">
        <v>2634</v>
      </c>
      <c r="C2442" s="26">
        <v>45900</v>
      </c>
      <c r="D2442" s="25">
        <v>38262</v>
      </c>
      <c r="E2442" s="25" t="s">
        <v>2677</v>
      </c>
      <c r="F2442" s="60" t="s">
        <v>4052</v>
      </c>
      <c r="H2442" s="28">
        <v>364</v>
      </c>
    </row>
    <row r="2443" spans="1:8" x14ac:dyDescent="0.35">
      <c r="A2443" s="22"/>
      <c r="B2443" s="25" t="s">
        <v>2634</v>
      </c>
      <c r="C2443" s="26">
        <v>45900</v>
      </c>
      <c r="D2443" s="25" t="s">
        <v>3450</v>
      </c>
      <c r="E2443" s="25" t="s">
        <v>2677</v>
      </c>
      <c r="F2443" s="60" t="s">
        <v>4052</v>
      </c>
      <c r="H2443" s="28">
        <v>7850.61</v>
      </c>
    </row>
    <row r="2444" spans="1:8" x14ac:dyDescent="0.35">
      <c r="A2444" s="22"/>
      <c r="B2444" s="25" t="s">
        <v>2634</v>
      </c>
      <c r="C2444" s="26">
        <v>45900</v>
      </c>
      <c r="D2444" s="25">
        <v>38267</v>
      </c>
      <c r="E2444" s="25" t="s">
        <v>2677</v>
      </c>
      <c r="F2444" s="60" t="s">
        <v>4052</v>
      </c>
      <c r="H2444" s="28">
        <v>960.17</v>
      </c>
    </row>
    <row r="2445" spans="1:8" x14ac:dyDescent="0.35">
      <c r="A2445" s="22"/>
      <c r="B2445" s="25" t="s">
        <v>2634</v>
      </c>
      <c r="C2445" s="26">
        <v>45900</v>
      </c>
      <c r="D2445" s="25">
        <v>38317</v>
      </c>
      <c r="E2445" s="25" t="s">
        <v>3514</v>
      </c>
      <c r="F2445" s="60" t="s">
        <v>4052</v>
      </c>
      <c r="H2445" s="28">
        <v>2500</v>
      </c>
    </row>
    <row r="2446" spans="1:8" x14ac:dyDescent="0.35">
      <c r="A2446" s="22"/>
      <c r="B2446" s="25" t="s">
        <v>2634</v>
      </c>
      <c r="C2446" s="26">
        <v>45900</v>
      </c>
      <c r="D2446" s="25">
        <v>38473</v>
      </c>
      <c r="E2446" s="25" t="s">
        <v>1637</v>
      </c>
      <c r="F2446" s="60" t="s">
        <v>4052</v>
      </c>
      <c r="H2446" s="28">
        <v>8645</v>
      </c>
    </row>
    <row r="2447" spans="1:8" x14ac:dyDescent="0.35">
      <c r="A2447" s="22"/>
      <c r="B2447" s="25" t="s">
        <v>2634</v>
      </c>
      <c r="C2447" s="26">
        <v>45900</v>
      </c>
      <c r="D2447" s="25" t="s">
        <v>3462</v>
      </c>
      <c r="E2447" s="25" t="s">
        <v>1484</v>
      </c>
      <c r="F2447" s="60" t="s">
        <v>4052</v>
      </c>
      <c r="H2447" s="28">
        <v>135</v>
      </c>
    </row>
    <row r="2448" spans="1:8" x14ac:dyDescent="0.35">
      <c r="A2448" s="22"/>
      <c r="B2448" s="25" t="s">
        <v>2634</v>
      </c>
      <c r="C2448" s="26">
        <v>45900</v>
      </c>
      <c r="D2448" s="25">
        <v>38607</v>
      </c>
      <c r="E2448" s="25" t="s">
        <v>3514</v>
      </c>
      <c r="F2448" s="60" t="s">
        <v>4052</v>
      </c>
      <c r="H2448" s="28">
        <v>1400</v>
      </c>
    </row>
    <row r="2449" spans="1:8" x14ac:dyDescent="0.35">
      <c r="A2449" s="22"/>
      <c r="B2449" s="25" t="s">
        <v>2634</v>
      </c>
      <c r="C2449" s="26">
        <v>45900</v>
      </c>
      <c r="D2449" s="25">
        <v>38621</v>
      </c>
      <c r="E2449" s="25" t="s">
        <v>2459</v>
      </c>
      <c r="F2449" s="60" t="s">
        <v>4052</v>
      </c>
      <c r="H2449" s="28">
        <v>5537.5</v>
      </c>
    </row>
    <row r="2450" spans="1:8" x14ac:dyDescent="0.35">
      <c r="A2450" s="22"/>
      <c r="B2450" s="25" t="s">
        <v>2634</v>
      </c>
      <c r="C2450" s="26">
        <v>45900</v>
      </c>
      <c r="D2450" s="25">
        <v>38627</v>
      </c>
      <c r="E2450" s="25" t="s">
        <v>2144</v>
      </c>
      <c r="F2450" s="60" t="s">
        <v>4052</v>
      </c>
      <c r="H2450" s="28">
        <v>307.20999999999998</v>
      </c>
    </row>
    <row r="2451" spans="1:8" x14ac:dyDescent="0.35">
      <c r="A2451" s="22"/>
      <c r="B2451" s="25" t="s">
        <v>2634</v>
      </c>
      <c r="C2451" s="26">
        <v>45900</v>
      </c>
      <c r="D2451" s="25">
        <v>38636</v>
      </c>
      <c r="E2451" s="25" t="s">
        <v>3494</v>
      </c>
      <c r="F2451" s="60" t="s">
        <v>4052</v>
      </c>
      <c r="H2451" s="28">
        <v>1850</v>
      </c>
    </row>
    <row r="2452" spans="1:8" x14ac:dyDescent="0.35">
      <c r="A2452" s="22"/>
      <c r="B2452" s="25" t="s">
        <v>2634</v>
      </c>
      <c r="C2452" s="26">
        <v>45900</v>
      </c>
      <c r="D2452" s="25" t="s">
        <v>4043</v>
      </c>
      <c r="E2452" s="25" t="s">
        <v>2854</v>
      </c>
      <c r="F2452" s="60" t="s">
        <v>4052</v>
      </c>
      <c r="H2452" s="28">
        <v>2700</v>
      </c>
    </row>
    <row r="2453" spans="1:8" x14ac:dyDescent="0.35">
      <c r="A2453" s="22"/>
      <c r="B2453" s="25" t="s">
        <v>2634</v>
      </c>
      <c r="C2453" s="26">
        <v>45900</v>
      </c>
      <c r="D2453" s="25">
        <v>38670</v>
      </c>
      <c r="E2453" s="25" t="s">
        <v>2386</v>
      </c>
      <c r="F2453" s="60" t="s">
        <v>4052</v>
      </c>
      <c r="H2453" s="28">
        <v>0</v>
      </c>
    </row>
    <row r="2454" spans="1:8" x14ac:dyDescent="0.35">
      <c r="A2454" s="22"/>
      <c r="B2454" s="25" t="s">
        <v>2634</v>
      </c>
      <c r="C2454" s="26">
        <v>45900</v>
      </c>
      <c r="D2454" s="25" t="s">
        <v>3463</v>
      </c>
      <c r="E2454" s="25" t="s">
        <v>2220</v>
      </c>
      <c r="F2454" s="60" t="s">
        <v>4052</v>
      </c>
      <c r="H2454" s="28">
        <v>25843.3</v>
      </c>
    </row>
    <row r="2455" spans="1:8" x14ac:dyDescent="0.35">
      <c r="A2455" s="22"/>
      <c r="B2455" s="25" t="s">
        <v>2634</v>
      </c>
      <c r="C2455" s="26">
        <v>45900</v>
      </c>
      <c r="D2455" s="25" t="s">
        <v>4045</v>
      </c>
      <c r="E2455" s="25" t="s">
        <v>4044</v>
      </c>
      <c r="F2455" s="60" t="s">
        <v>4052</v>
      </c>
      <c r="H2455" s="28">
        <v>0.01</v>
      </c>
    </row>
    <row r="2456" spans="1:8" x14ac:dyDescent="0.35">
      <c r="A2456" s="22"/>
      <c r="B2456" s="25" t="s">
        <v>2634</v>
      </c>
      <c r="C2456" s="26">
        <v>45900</v>
      </c>
      <c r="D2456" s="25">
        <v>38701</v>
      </c>
      <c r="E2456" s="25" t="s">
        <v>3502</v>
      </c>
      <c r="F2456" s="60" t="s">
        <v>4052</v>
      </c>
      <c r="H2456" s="28">
        <v>1975</v>
      </c>
    </row>
    <row r="2457" spans="1:8" x14ac:dyDescent="0.35">
      <c r="A2457" s="22"/>
      <c r="B2457" s="25" t="s">
        <v>2634</v>
      </c>
      <c r="C2457" s="26">
        <v>45900</v>
      </c>
      <c r="D2457" s="25">
        <v>38718</v>
      </c>
      <c r="E2457" s="25" t="s">
        <v>3521</v>
      </c>
      <c r="F2457" s="60" t="s">
        <v>4052</v>
      </c>
      <c r="H2457" s="28">
        <v>750</v>
      </c>
    </row>
    <row r="2458" spans="1:8" x14ac:dyDescent="0.35">
      <c r="A2458" s="22"/>
      <c r="B2458" s="25" t="s">
        <v>2634</v>
      </c>
      <c r="C2458" s="26">
        <v>45900</v>
      </c>
      <c r="D2458" s="25">
        <v>38726</v>
      </c>
      <c r="E2458" s="25" t="s">
        <v>3523</v>
      </c>
      <c r="F2458" s="60" t="s">
        <v>4052</v>
      </c>
      <c r="H2458" s="28">
        <v>1250</v>
      </c>
    </row>
    <row r="2459" spans="1:8" x14ac:dyDescent="0.35">
      <c r="A2459" s="22"/>
      <c r="B2459" s="25" t="s">
        <v>2634</v>
      </c>
      <c r="C2459" s="26">
        <v>45900</v>
      </c>
      <c r="D2459" s="25">
        <v>38758</v>
      </c>
      <c r="E2459" s="25" t="s">
        <v>3475</v>
      </c>
      <c r="F2459" s="60" t="s">
        <v>4052</v>
      </c>
      <c r="H2459" s="28">
        <v>700</v>
      </c>
    </row>
    <row r="2460" spans="1:8" x14ac:dyDescent="0.35">
      <c r="A2460" s="22"/>
      <c r="B2460" s="25" t="s">
        <v>2634</v>
      </c>
      <c r="C2460" s="26">
        <v>45900</v>
      </c>
      <c r="D2460" s="25">
        <v>38785</v>
      </c>
      <c r="E2460" s="25" t="s">
        <v>3526</v>
      </c>
      <c r="F2460" s="60" t="s">
        <v>4052</v>
      </c>
      <c r="H2460" s="28">
        <v>857.38</v>
      </c>
    </row>
    <row r="2461" spans="1:8" x14ac:dyDescent="0.35">
      <c r="A2461" s="22"/>
      <c r="B2461" s="25" t="s">
        <v>2634</v>
      </c>
      <c r="C2461" s="26">
        <v>45900</v>
      </c>
      <c r="D2461" s="25">
        <v>38793</v>
      </c>
      <c r="E2461" s="25" t="s">
        <v>2189</v>
      </c>
      <c r="F2461" s="60" t="s">
        <v>4052</v>
      </c>
      <c r="H2461" s="28">
        <v>25</v>
      </c>
    </row>
    <row r="2462" spans="1:8" x14ac:dyDescent="0.35">
      <c r="A2462" s="22"/>
      <c r="B2462" s="25" t="s">
        <v>2634</v>
      </c>
      <c r="C2462" s="26">
        <v>45900</v>
      </c>
      <c r="D2462" s="25">
        <v>38795</v>
      </c>
      <c r="E2462" s="25" t="s">
        <v>3527</v>
      </c>
      <c r="F2462" s="60" t="s">
        <v>4052</v>
      </c>
      <c r="H2462" s="28">
        <v>286.63</v>
      </c>
    </row>
    <row r="2463" spans="1:8" x14ac:dyDescent="0.35">
      <c r="A2463" s="22"/>
      <c r="B2463" s="25" t="s">
        <v>2634</v>
      </c>
      <c r="C2463" s="26">
        <v>45900</v>
      </c>
      <c r="D2463" s="25">
        <v>38796</v>
      </c>
      <c r="E2463" s="25" t="s">
        <v>3528</v>
      </c>
      <c r="F2463" s="60" t="s">
        <v>4052</v>
      </c>
      <c r="H2463" s="28">
        <v>285</v>
      </c>
    </row>
    <row r="2464" spans="1:8" x14ac:dyDescent="0.35">
      <c r="A2464" s="22"/>
      <c r="B2464" s="25" t="s">
        <v>2634</v>
      </c>
      <c r="C2464" s="26">
        <v>45900</v>
      </c>
      <c r="D2464" s="25">
        <v>38799</v>
      </c>
      <c r="E2464" s="25" t="s">
        <v>3529</v>
      </c>
      <c r="F2464" s="60" t="s">
        <v>4052</v>
      </c>
      <c r="H2464" s="28">
        <v>75.34</v>
      </c>
    </row>
    <row r="2465" spans="1:8" x14ac:dyDescent="0.35">
      <c r="A2465" s="22"/>
      <c r="B2465" s="25" t="s">
        <v>2634</v>
      </c>
      <c r="C2465" s="26">
        <v>45900</v>
      </c>
      <c r="D2465" s="25">
        <v>38800</v>
      </c>
      <c r="E2465" s="25" t="s">
        <v>3530</v>
      </c>
      <c r="F2465" s="60" t="s">
        <v>4052</v>
      </c>
      <c r="H2465" s="28">
        <v>3170</v>
      </c>
    </row>
    <row r="2466" spans="1:8" x14ac:dyDescent="0.35">
      <c r="A2466" s="22"/>
      <c r="B2466" s="25" t="s">
        <v>2634</v>
      </c>
      <c r="C2466" s="26">
        <v>45900</v>
      </c>
      <c r="D2466" s="25">
        <v>38801</v>
      </c>
      <c r="E2466" s="25" t="s">
        <v>3531</v>
      </c>
      <c r="F2466" s="60" t="s">
        <v>4052</v>
      </c>
      <c r="H2466" s="28">
        <v>652.53</v>
      </c>
    </row>
    <row r="2467" spans="1:8" x14ac:dyDescent="0.35">
      <c r="A2467" s="22"/>
      <c r="B2467" s="25" t="s">
        <v>2634</v>
      </c>
      <c r="C2467" s="26">
        <v>45900</v>
      </c>
      <c r="D2467" s="25">
        <v>38803</v>
      </c>
      <c r="E2467" s="25" t="s">
        <v>3532</v>
      </c>
      <c r="F2467" s="60" t="s">
        <v>4052</v>
      </c>
      <c r="H2467" s="28">
        <v>1616.6</v>
      </c>
    </row>
    <row r="2468" spans="1:8" x14ac:dyDescent="0.35">
      <c r="A2468" s="22"/>
      <c r="B2468" s="25" t="s">
        <v>2634</v>
      </c>
      <c r="C2468" s="26">
        <v>45900</v>
      </c>
      <c r="D2468" s="25">
        <v>38809</v>
      </c>
      <c r="E2468" s="25" t="s">
        <v>3534</v>
      </c>
      <c r="F2468" s="60" t="s">
        <v>4052</v>
      </c>
      <c r="H2468" s="28">
        <v>1529.19</v>
      </c>
    </row>
    <row r="2469" spans="1:8" x14ac:dyDescent="0.35">
      <c r="A2469" s="22"/>
      <c r="B2469" s="25" t="s">
        <v>2634</v>
      </c>
      <c r="C2469" s="26">
        <v>45900</v>
      </c>
      <c r="D2469" s="25">
        <v>38815</v>
      </c>
      <c r="E2469" s="25" t="s">
        <v>3535</v>
      </c>
      <c r="F2469" s="60" t="s">
        <v>4052</v>
      </c>
      <c r="H2469" s="28">
        <v>2180</v>
      </c>
    </row>
    <row r="2470" spans="1:8" x14ac:dyDescent="0.35">
      <c r="A2470" s="22"/>
      <c r="B2470" s="25" t="s">
        <v>2634</v>
      </c>
      <c r="C2470" s="26">
        <v>45900</v>
      </c>
      <c r="D2470" s="25">
        <v>38820</v>
      </c>
      <c r="E2470" s="25" t="s">
        <v>3537</v>
      </c>
      <c r="F2470" s="60" t="s">
        <v>4052</v>
      </c>
      <c r="H2470" s="28">
        <v>9000</v>
      </c>
    </row>
    <row r="2471" spans="1:8" x14ac:dyDescent="0.35">
      <c r="A2471" s="22"/>
      <c r="B2471" s="25" t="s">
        <v>2634</v>
      </c>
      <c r="C2471" s="26">
        <v>45900</v>
      </c>
      <c r="D2471" s="25">
        <v>38822</v>
      </c>
      <c r="E2471" s="25" t="s">
        <v>3578</v>
      </c>
      <c r="F2471" s="60" t="s">
        <v>4052</v>
      </c>
      <c r="H2471" s="28">
        <v>325.02999999999997</v>
      </c>
    </row>
    <row r="2472" spans="1:8" x14ac:dyDescent="0.35">
      <c r="A2472" s="22"/>
      <c r="B2472" s="25" t="s">
        <v>2634</v>
      </c>
      <c r="C2472" s="26">
        <v>45900</v>
      </c>
      <c r="D2472" s="25">
        <v>38853</v>
      </c>
      <c r="E2472" s="25" t="s">
        <v>3542</v>
      </c>
      <c r="F2472" s="60" t="s">
        <v>4052</v>
      </c>
      <c r="H2472" s="28">
        <v>672.97</v>
      </c>
    </row>
    <row r="2473" spans="1:8" x14ac:dyDescent="0.35">
      <c r="A2473" s="22"/>
      <c r="B2473" s="25" t="s">
        <v>2634</v>
      </c>
      <c r="C2473" s="26">
        <v>45900</v>
      </c>
      <c r="D2473" s="25">
        <v>38854</v>
      </c>
      <c r="E2473" s="25" t="s">
        <v>3543</v>
      </c>
      <c r="F2473" s="60" t="s">
        <v>4052</v>
      </c>
      <c r="H2473" s="28">
        <v>3779.52</v>
      </c>
    </row>
    <row r="2474" spans="1:8" x14ac:dyDescent="0.35">
      <c r="A2474" s="22"/>
      <c r="B2474" s="25" t="s">
        <v>2634</v>
      </c>
      <c r="C2474" s="26">
        <v>45900</v>
      </c>
      <c r="D2474" s="25">
        <v>38855</v>
      </c>
      <c r="E2474" s="25" t="s">
        <v>3544</v>
      </c>
      <c r="F2474" s="60" t="s">
        <v>4052</v>
      </c>
      <c r="H2474" s="28">
        <v>1663.75</v>
      </c>
    </row>
    <row r="2475" spans="1:8" x14ac:dyDescent="0.35">
      <c r="A2475" s="22"/>
      <c r="B2475" s="25" t="s">
        <v>2634</v>
      </c>
      <c r="C2475" s="26">
        <v>45900</v>
      </c>
      <c r="D2475" s="25">
        <v>38868</v>
      </c>
      <c r="E2475" s="25" t="s">
        <v>3548</v>
      </c>
      <c r="F2475" s="60" t="s">
        <v>4052</v>
      </c>
      <c r="H2475" s="28">
        <v>500</v>
      </c>
    </row>
    <row r="2476" spans="1:8" x14ac:dyDescent="0.35">
      <c r="A2476" s="22"/>
      <c r="B2476" s="25" t="s">
        <v>2634</v>
      </c>
      <c r="C2476" s="26">
        <v>45900</v>
      </c>
      <c r="D2476" s="25">
        <v>38871</v>
      </c>
      <c r="E2476" s="25" t="s">
        <v>3500</v>
      </c>
      <c r="F2476" s="60" t="s">
        <v>4052</v>
      </c>
      <c r="H2476" s="28">
        <v>1165.3499999999999</v>
      </c>
    </row>
    <row r="2477" spans="1:8" x14ac:dyDescent="0.35">
      <c r="A2477" s="22"/>
      <c r="B2477" s="25" t="s">
        <v>2634</v>
      </c>
      <c r="C2477" s="26">
        <v>45900</v>
      </c>
      <c r="D2477" s="25">
        <v>38880</v>
      </c>
      <c r="E2477" s="25" t="s">
        <v>1656</v>
      </c>
      <c r="F2477" s="60" t="s">
        <v>4052</v>
      </c>
      <c r="H2477" s="28">
        <v>900</v>
      </c>
    </row>
    <row r="2478" spans="1:8" x14ac:dyDescent="0.35">
      <c r="A2478" s="22"/>
      <c r="B2478" s="25" t="s">
        <v>2634</v>
      </c>
      <c r="C2478" s="26">
        <v>45900</v>
      </c>
      <c r="D2478" s="25">
        <v>38884</v>
      </c>
      <c r="E2478" s="25" t="s">
        <v>3545</v>
      </c>
      <c r="F2478" s="60" t="s">
        <v>4052</v>
      </c>
      <c r="H2478" s="28">
        <v>0</v>
      </c>
    </row>
    <row r="2479" spans="1:8" x14ac:dyDescent="0.35">
      <c r="A2479" s="22"/>
      <c r="B2479" s="25" t="s">
        <v>2634</v>
      </c>
      <c r="C2479" s="26">
        <v>45900</v>
      </c>
      <c r="D2479" s="25">
        <v>38904</v>
      </c>
      <c r="E2479" s="25" t="s">
        <v>3549</v>
      </c>
      <c r="F2479" s="60" t="s">
        <v>4052</v>
      </c>
      <c r="H2479" s="28">
        <v>1420</v>
      </c>
    </row>
    <row r="2480" spans="1:8" x14ac:dyDescent="0.35">
      <c r="A2480" s="22"/>
      <c r="B2480" s="25" t="s">
        <v>2634</v>
      </c>
      <c r="C2480" s="26">
        <v>45900</v>
      </c>
      <c r="D2480" s="25">
        <v>38909</v>
      </c>
      <c r="E2480" s="25" t="s">
        <v>3550</v>
      </c>
      <c r="F2480" s="60" t="s">
        <v>4052</v>
      </c>
      <c r="H2480" s="28">
        <v>1625</v>
      </c>
    </row>
    <row r="2481" spans="1:8" x14ac:dyDescent="0.35">
      <c r="A2481" s="22"/>
      <c r="B2481" s="25" t="s">
        <v>2634</v>
      </c>
      <c r="C2481" s="26">
        <v>45900</v>
      </c>
      <c r="D2481" s="25">
        <v>38912</v>
      </c>
      <c r="E2481" s="25" t="s">
        <v>3552</v>
      </c>
      <c r="F2481" s="60" t="s">
        <v>4052</v>
      </c>
      <c r="H2481" s="28">
        <v>5464.8099999999995</v>
      </c>
    </row>
    <row r="2482" spans="1:8" x14ac:dyDescent="0.35">
      <c r="A2482" s="22"/>
      <c r="B2482" s="25" t="s">
        <v>2634</v>
      </c>
      <c r="C2482" s="26">
        <v>45900</v>
      </c>
      <c r="D2482" s="25">
        <v>38913</v>
      </c>
      <c r="E2482" s="25" t="s">
        <v>3553</v>
      </c>
      <c r="F2482" s="60" t="s">
        <v>4052</v>
      </c>
      <c r="H2482" s="28">
        <v>27.17</v>
      </c>
    </row>
    <row r="2483" spans="1:8" x14ac:dyDescent="0.35">
      <c r="A2483" s="22"/>
      <c r="B2483" s="25" t="s">
        <v>2634</v>
      </c>
      <c r="C2483" s="26">
        <v>45900</v>
      </c>
      <c r="D2483" s="25">
        <v>38915</v>
      </c>
      <c r="E2483" s="25" t="s">
        <v>3554</v>
      </c>
      <c r="F2483" s="60" t="s">
        <v>4052</v>
      </c>
      <c r="H2483" s="28">
        <v>409.9</v>
      </c>
    </row>
    <row r="2484" spans="1:8" x14ac:dyDescent="0.35">
      <c r="A2484" s="22"/>
      <c r="B2484" s="25" t="s">
        <v>2634</v>
      </c>
      <c r="C2484" s="26">
        <v>45900</v>
      </c>
      <c r="D2484" s="25">
        <v>38916</v>
      </c>
      <c r="E2484" s="25" t="s">
        <v>3555</v>
      </c>
      <c r="F2484" s="60" t="s">
        <v>4052</v>
      </c>
      <c r="H2484" s="28">
        <v>553.87</v>
      </c>
    </row>
    <row r="2485" spans="1:8" x14ac:dyDescent="0.35">
      <c r="A2485" s="22"/>
      <c r="B2485" s="25" t="s">
        <v>2634</v>
      </c>
      <c r="C2485" s="26">
        <v>45900</v>
      </c>
      <c r="D2485" s="25">
        <v>38921</v>
      </c>
      <c r="E2485" s="25" t="s">
        <v>3556</v>
      </c>
      <c r="F2485" s="60" t="s">
        <v>4052</v>
      </c>
      <c r="H2485" s="28">
        <v>180.95</v>
      </c>
    </row>
    <row r="2486" spans="1:8" x14ac:dyDescent="0.35">
      <c r="A2486" s="22"/>
      <c r="B2486" s="25" t="s">
        <v>2634</v>
      </c>
      <c r="C2486" s="26">
        <v>45900</v>
      </c>
      <c r="D2486" s="25">
        <v>38942</v>
      </c>
      <c r="E2486" s="25" t="s">
        <v>3557</v>
      </c>
      <c r="F2486" s="60" t="s">
        <v>4052</v>
      </c>
      <c r="H2486" s="28">
        <v>40</v>
      </c>
    </row>
    <row r="2487" spans="1:8" x14ac:dyDescent="0.35">
      <c r="A2487" s="22"/>
      <c r="B2487" s="25" t="s">
        <v>2634</v>
      </c>
      <c r="C2487" s="26">
        <v>45900</v>
      </c>
      <c r="D2487" s="25">
        <v>38946</v>
      </c>
      <c r="E2487" s="25" t="s">
        <v>3558</v>
      </c>
      <c r="F2487" s="60" t="s">
        <v>4052</v>
      </c>
      <c r="H2487" s="28">
        <v>965.5</v>
      </c>
    </row>
    <row r="2488" spans="1:8" x14ac:dyDescent="0.35">
      <c r="A2488" s="22"/>
      <c r="B2488" s="25" t="s">
        <v>2634</v>
      </c>
      <c r="C2488" s="26">
        <v>45900</v>
      </c>
      <c r="D2488" s="25">
        <v>38959</v>
      </c>
      <c r="E2488" s="25" t="s">
        <v>2854</v>
      </c>
      <c r="F2488" s="60" t="s">
        <v>4052</v>
      </c>
      <c r="H2488" s="28">
        <v>1329</v>
      </c>
    </row>
    <row r="2489" spans="1:8" x14ac:dyDescent="0.35">
      <c r="A2489" s="22"/>
      <c r="B2489" s="25" t="s">
        <v>2634</v>
      </c>
      <c r="C2489" s="26">
        <v>45900</v>
      </c>
      <c r="D2489" s="25">
        <v>38965</v>
      </c>
      <c r="E2489" s="25" t="s">
        <v>3562</v>
      </c>
      <c r="F2489" s="60" t="s">
        <v>4052</v>
      </c>
      <c r="H2489" s="28">
        <v>569.25</v>
      </c>
    </row>
    <row r="2490" spans="1:8" x14ac:dyDescent="0.35">
      <c r="A2490" s="22"/>
      <c r="B2490" s="25" t="s">
        <v>2634</v>
      </c>
      <c r="C2490" s="26">
        <v>45900</v>
      </c>
      <c r="D2490" s="25">
        <v>38974</v>
      </c>
      <c r="E2490" s="25" t="s">
        <v>3563</v>
      </c>
      <c r="F2490" s="60" t="s">
        <v>4052</v>
      </c>
      <c r="H2490" s="28">
        <v>487.85</v>
      </c>
    </row>
    <row r="2491" spans="1:8" x14ac:dyDescent="0.35">
      <c r="A2491" s="22"/>
      <c r="B2491" s="25" t="s">
        <v>2634</v>
      </c>
      <c r="C2491" s="26">
        <v>45900</v>
      </c>
      <c r="D2491" s="25">
        <v>38985</v>
      </c>
      <c r="E2491" s="25" t="s">
        <v>3564</v>
      </c>
      <c r="F2491" s="60" t="s">
        <v>4052</v>
      </c>
      <c r="H2491" s="28">
        <v>434.92</v>
      </c>
    </row>
    <row r="2492" spans="1:8" x14ac:dyDescent="0.35">
      <c r="A2492" s="22"/>
      <c r="B2492" s="25" t="s">
        <v>2634</v>
      </c>
      <c r="C2492" s="26">
        <v>45900</v>
      </c>
      <c r="D2492" s="25">
        <v>38992</v>
      </c>
      <c r="E2492" s="25" t="s">
        <v>2258</v>
      </c>
      <c r="F2492" s="60" t="s">
        <v>4052</v>
      </c>
      <c r="H2492" s="28">
        <v>980</v>
      </c>
    </row>
    <row r="2493" spans="1:8" x14ac:dyDescent="0.35">
      <c r="A2493" s="22"/>
      <c r="B2493" s="25" t="s">
        <v>2634</v>
      </c>
      <c r="C2493" s="26">
        <v>45900</v>
      </c>
      <c r="D2493" s="25">
        <v>38997</v>
      </c>
      <c r="E2493" s="25" t="s">
        <v>1924</v>
      </c>
      <c r="F2493" s="60" t="s">
        <v>4052</v>
      </c>
      <c r="H2493" s="28">
        <v>1687</v>
      </c>
    </row>
    <row r="2494" spans="1:8" x14ac:dyDescent="0.35">
      <c r="A2494" s="22"/>
      <c r="B2494" s="25" t="s">
        <v>2634</v>
      </c>
      <c r="C2494" s="26">
        <v>45900</v>
      </c>
      <c r="D2494" s="25">
        <v>38998</v>
      </c>
      <c r="E2494" s="25" t="s">
        <v>3565</v>
      </c>
      <c r="F2494" s="60" t="s">
        <v>4052</v>
      </c>
      <c r="H2494" s="28">
        <v>646.12</v>
      </c>
    </row>
    <row r="2495" spans="1:8" x14ac:dyDescent="0.35">
      <c r="A2495" s="22"/>
      <c r="B2495" s="25" t="s">
        <v>2634</v>
      </c>
      <c r="C2495" s="26">
        <v>45900</v>
      </c>
      <c r="D2495" s="25">
        <v>38999</v>
      </c>
      <c r="E2495" s="25" t="s">
        <v>2429</v>
      </c>
      <c r="F2495" s="60" t="s">
        <v>4052</v>
      </c>
      <c r="H2495" s="28">
        <v>3060</v>
      </c>
    </row>
    <row r="2496" spans="1:8" x14ac:dyDescent="0.35">
      <c r="A2496" s="22"/>
      <c r="B2496" s="25" t="s">
        <v>2634</v>
      </c>
      <c r="C2496" s="26">
        <v>45900</v>
      </c>
      <c r="D2496" s="25">
        <v>39003</v>
      </c>
      <c r="E2496" s="25" t="s">
        <v>3566</v>
      </c>
      <c r="F2496" s="60" t="s">
        <v>4052</v>
      </c>
      <c r="H2496" s="28">
        <v>2575.75</v>
      </c>
    </row>
    <row r="2497" spans="1:8" x14ac:dyDescent="0.35">
      <c r="A2497" s="22"/>
      <c r="B2497" s="25" t="s">
        <v>2634</v>
      </c>
      <c r="C2497" s="26">
        <v>45900</v>
      </c>
      <c r="D2497" s="25">
        <v>39009</v>
      </c>
      <c r="E2497" s="25" t="s">
        <v>3565</v>
      </c>
      <c r="F2497" s="60" t="s">
        <v>4052</v>
      </c>
      <c r="H2497" s="28">
        <v>1649.25</v>
      </c>
    </row>
    <row r="2498" spans="1:8" x14ac:dyDescent="0.35">
      <c r="A2498" s="22"/>
      <c r="B2498" s="25" t="s">
        <v>2634</v>
      </c>
      <c r="C2498" s="26">
        <v>45900</v>
      </c>
      <c r="D2498" s="25">
        <v>39063</v>
      </c>
      <c r="E2498" s="25" t="s">
        <v>3567</v>
      </c>
      <c r="F2498" s="60" t="s">
        <v>4052</v>
      </c>
      <c r="H2498" s="28">
        <v>781</v>
      </c>
    </row>
    <row r="2499" spans="1:8" x14ac:dyDescent="0.35">
      <c r="A2499" s="22"/>
      <c r="B2499" s="25" t="s">
        <v>2634</v>
      </c>
      <c r="C2499" s="26">
        <v>45900</v>
      </c>
      <c r="D2499" s="25">
        <v>39073</v>
      </c>
      <c r="E2499" s="25" t="s">
        <v>3544</v>
      </c>
      <c r="F2499" s="60" t="s">
        <v>4052</v>
      </c>
      <c r="H2499" s="28">
        <v>629.22</v>
      </c>
    </row>
    <row r="2500" spans="1:8" x14ac:dyDescent="0.35">
      <c r="A2500" s="22"/>
      <c r="B2500" s="25" t="s">
        <v>2634</v>
      </c>
      <c r="C2500" s="26">
        <v>45900</v>
      </c>
      <c r="D2500" s="25">
        <v>39074</v>
      </c>
      <c r="E2500" s="25" t="s">
        <v>3544</v>
      </c>
      <c r="F2500" s="60" t="s">
        <v>4052</v>
      </c>
      <c r="H2500" s="28">
        <v>862.5</v>
      </c>
    </row>
    <row r="2501" spans="1:8" x14ac:dyDescent="0.35">
      <c r="A2501" s="22"/>
      <c r="B2501" s="25" t="s">
        <v>2634</v>
      </c>
      <c r="C2501" s="26">
        <v>45900</v>
      </c>
      <c r="D2501" s="25">
        <v>39084</v>
      </c>
      <c r="E2501" s="25" t="s">
        <v>2459</v>
      </c>
      <c r="F2501" s="60" t="s">
        <v>4052</v>
      </c>
      <c r="H2501" s="28">
        <v>4500</v>
      </c>
    </row>
    <row r="2502" spans="1:8" x14ac:dyDescent="0.35">
      <c r="A2502" s="22"/>
      <c r="B2502" s="25" t="s">
        <v>2634</v>
      </c>
      <c r="C2502" s="26">
        <v>45900</v>
      </c>
      <c r="D2502" s="25">
        <v>39085</v>
      </c>
      <c r="E2502" s="25" t="s">
        <v>4046</v>
      </c>
      <c r="F2502" s="60" t="s">
        <v>4052</v>
      </c>
      <c r="H2502" s="28">
        <v>1331.91</v>
      </c>
    </row>
    <row r="2503" spans="1:8" x14ac:dyDescent="0.35">
      <c r="A2503" s="22"/>
      <c r="B2503" s="25" t="s">
        <v>2634</v>
      </c>
      <c r="C2503" s="26">
        <v>45900</v>
      </c>
      <c r="D2503" s="25">
        <v>39087</v>
      </c>
      <c r="E2503" s="25" t="s">
        <v>1358</v>
      </c>
      <c r="F2503" s="60" t="s">
        <v>4052</v>
      </c>
      <c r="H2503" s="28">
        <v>11.76</v>
      </c>
    </row>
    <row r="2504" spans="1:8" x14ac:dyDescent="0.35">
      <c r="A2504" s="22"/>
      <c r="B2504" s="25" t="s">
        <v>2634</v>
      </c>
      <c r="C2504" s="26">
        <v>45900</v>
      </c>
      <c r="D2504" s="25">
        <v>39088</v>
      </c>
      <c r="E2504" s="25" t="s">
        <v>3568</v>
      </c>
      <c r="F2504" s="60" t="s">
        <v>4052</v>
      </c>
      <c r="H2504" s="28">
        <v>2230</v>
      </c>
    </row>
    <row r="2505" spans="1:8" x14ac:dyDescent="0.35">
      <c r="A2505" s="22"/>
      <c r="B2505" s="25" t="s">
        <v>2634</v>
      </c>
      <c r="C2505" s="26">
        <v>45900</v>
      </c>
      <c r="D2505" s="25">
        <v>39089</v>
      </c>
      <c r="E2505" s="25" t="s">
        <v>3500</v>
      </c>
      <c r="F2505" s="60" t="s">
        <v>4052</v>
      </c>
      <c r="H2505" s="28">
        <v>200</v>
      </c>
    </row>
    <row r="2506" spans="1:8" x14ac:dyDescent="0.35">
      <c r="A2506" s="22"/>
      <c r="B2506" s="25" t="s">
        <v>2634</v>
      </c>
      <c r="C2506" s="26">
        <v>45900</v>
      </c>
      <c r="D2506" s="25">
        <v>39102</v>
      </c>
      <c r="E2506" s="25" t="s">
        <v>3570</v>
      </c>
      <c r="F2506" s="60" t="s">
        <v>4052</v>
      </c>
      <c r="H2506" s="28">
        <v>0.02</v>
      </c>
    </row>
    <row r="2507" spans="1:8" x14ac:dyDescent="0.35">
      <c r="A2507" s="22"/>
      <c r="B2507" s="25" t="s">
        <v>2634</v>
      </c>
      <c r="C2507" s="26">
        <v>45900</v>
      </c>
      <c r="D2507" s="25">
        <v>39107</v>
      </c>
      <c r="E2507" s="25" t="s">
        <v>3230</v>
      </c>
      <c r="F2507" s="60" t="s">
        <v>4052</v>
      </c>
      <c r="H2507" s="28">
        <v>0.13</v>
      </c>
    </row>
    <row r="2508" spans="1:8" x14ac:dyDescent="0.35">
      <c r="A2508" s="22"/>
      <c r="B2508" s="25" t="s">
        <v>2634</v>
      </c>
      <c r="C2508" s="26">
        <v>45900</v>
      </c>
      <c r="D2508" s="25">
        <v>39111</v>
      </c>
      <c r="E2508" s="25" t="s">
        <v>1999</v>
      </c>
      <c r="F2508" s="60" t="s">
        <v>4052</v>
      </c>
      <c r="H2508" s="28">
        <v>1</v>
      </c>
    </row>
    <row r="2509" spans="1:8" x14ac:dyDescent="0.35">
      <c r="A2509" s="22"/>
      <c r="B2509" s="25" t="s">
        <v>2634</v>
      </c>
      <c r="C2509" s="26">
        <v>45900</v>
      </c>
      <c r="D2509" s="25">
        <v>39115</v>
      </c>
      <c r="E2509" s="25" t="s">
        <v>2067</v>
      </c>
      <c r="F2509" s="60" t="s">
        <v>4052</v>
      </c>
      <c r="H2509" s="28">
        <v>0.08</v>
      </c>
    </row>
    <row r="2510" spans="1:8" x14ac:dyDescent="0.35">
      <c r="A2510" s="22"/>
      <c r="B2510" s="25" t="s">
        <v>2634</v>
      </c>
      <c r="C2510" s="26">
        <v>45900</v>
      </c>
      <c r="D2510" s="25">
        <v>39122</v>
      </c>
      <c r="E2510" s="25" t="s">
        <v>2459</v>
      </c>
      <c r="F2510" s="60" t="s">
        <v>4052</v>
      </c>
      <c r="H2510" s="28">
        <v>0.01</v>
      </c>
    </row>
    <row r="2511" spans="1:8" x14ac:dyDescent="0.35">
      <c r="A2511" s="22"/>
      <c r="B2511" s="25" t="s">
        <v>2634</v>
      </c>
      <c r="C2511" s="26">
        <v>45900</v>
      </c>
      <c r="D2511" s="25">
        <v>39124</v>
      </c>
      <c r="E2511" s="25" t="s">
        <v>2392</v>
      </c>
      <c r="F2511" s="60" t="s">
        <v>4052</v>
      </c>
      <c r="H2511" s="28">
        <v>0.01</v>
      </c>
    </row>
  </sheetData>
  <hyperlinks>
    <hyperlink ref="A4" r:id="rId1" display="https://9607261.app.netsuite.com/app/reporting/reportrunner.nl?fromreport=320&amp;regtx,tranline,kacct,x,alltranline5,IN,x,x=950&amp;cr=293" xr:uid="{612785AF-0D4A-4AEF-8387-2604B4495471}"/>
    <hyperlink ref="A5" r:id="rId2" display="https://9607261.app.netsuite.com/app/reporting/reportrunner.nl?fromreport=320&amp;regtx,tranline,kacct,x,alltranline5,IN,x,x=950&amp;cr=293" xr:uid="{CBDD73C4-859F-4498-8746-1944969499D2}"/>
    <hyperlink ref="A6" r:id="rId3" display="https://9607261.app.netsuite.com/app/reporting/reportrunner.nl?fromreport=320&amp;regtx,tranline,kacct,x,alltranline5,IN,x,x=950&amp;cr=293" xr:uid="{4AAA710D-B31F-44DD-89A2-1292C629519A}"/>
    <hyperlink ref="A7" r:id="rId4" display="https://9607261.app.netsuite.com/app/reporting/reportrunner.nl?fromreport=320&amp;regtx,tranline,kacct,x,alltranline5,IN,x,x=950&amp;cr=293" xr:uid="{C44B3955-2CBA-4952-87D0-D6F94B842139}"/>
    <hyperlink ref="A8" r:id="rId5" display="https://9607261.app.netsuite.com/app/reporting/reportrunner.nl?fromreport=320&amp;regtx,tranline,kacct,x,alltranline5,IN,x,x=950&amp;cr=293" xr:uid="{B686FF38-E837-414B-8CB7-809036DB9BF6}"/>
    <hyperlink ref="A9" r:id="rId6" display="https://9607261.app.netsuite.com/app/reporting/reportrunner.nl?fromreport=320&amp;regtx,tranline,kacct,x,alltranline5,IN,x,x=950&amp;cr=293" xr:uid="{7F1CFE69-4FFC-460F-B04F-A6E426467257}"/>
    <hyperlink ref="A10" r:id="rId7" display="https://9607261.app.netsuite.com/app/reporting/reportrunner.nl?fromreport=320&amp;regtx,tranline,kacct,x,alltranline5,IN,x,x=950&amp;cr=293" xr:uid="{B13D91FF-2A65-49BB-8CB5-71FD660D653A}"/>
    <hyperlink ref="A11" r:id="rId8" display="https://9607261.app.netsuite.com/app/reporting/reportrunner.nl?fromreport=320&amp;regtx,tranline,kacct,x,alltranline5,IN,x,x=950&amp;cr=293" xr:uid="{34441E8F-4275-46C5-B33D-1A9849ADD647}"/>
    <hyperlink ref="A12" r:id="rId9" display="https://9607261.app.netsuite.com/app/reporting/reportrunner.nl?fromreport=320&amp;regtx,tranline,kacct,x,alltranline5,IN,x,x=950&amp;cr=293" xr:uid="{DCE91976-D8B3-444D-A422-CB8156945112}"/>
    <hyperlink ref="A13" r:id="rId10" display="https://9607261.app.netsuite.com/app/reporting/reportrunner.nl?fromreport=320&amp;regtx,tranline,kacct,x,alltranline5,IN,x,x=950&amp;cr=293" xr:uid="{65890FD6-07FC-41D1-BA76-4FD8A8F856A9}"/>
    <hyperlink ref="A14" r:id="rId11" display="https://9607261.app.netsuite.com/app/reporting/reportrunner.nl?fromreport=320&amp;regtx,tranline,kacct,x,alltranline5,IN,x,x=950&amp;cr=293" xr:uid="{FA96F89C-532F-42F0-A186-C426F14421B7}"/>
    <hyperlink ref="A15" r:id="rId12" display="https://9607261.app.netsuite.com/app/reporting/reportrunner.nl?fromreport=320&amp;regtx,tranline,kacct,x,alltranline5,IN,x,x=950&amp;cr=293" xr:uid="{50A9B72A-6D47-4860-8232-4537B2388B09}"/>
    <hyperlink ref="A16" r:id="rId13" display="https://9607261.app.netsuite.com/app/reporting/reportrunner.nl?fromreport=320&amp;regtx,tranline,kacct,x,alltranline5,IN,x,x=950&amp;cr=293" xr:uid="{A3EFF083-14C7-40CA-BA6D-BC63E9AFCE7A}"/>
    <hyperlink ref="A17" r:id="rId14" display="https://9607261.app.netsuite.com/app/reporting/reportrunner.nl?fromreport=320&amp;regtx,tranline,kacct,x,alltranline5,IN,x,x=950&amp;cr=293" xr:uid="{B73B04ED-640A-43A1-A214-264955267330}"/>
    <hyperlink ref="A18" r:id="rId15" display="https://9607261.app.netsuite.com/app/reporting/reportrunner.nl?fromreport=320&amp;regtx,tranline,kacct,x,alltranline5,IN,x,x=950&amp;cr=293" xr:uid="{621E5F3B-1B0C-4421-8332-3A7048666C7F}"/>
    <hyperlink ref="A19" r:id="rId16" display="https://9607261.app.netsuite.com/app/reporting/reportrunner.nl?fromreport=320&amp;regtx,tranline,kacct,x,alltranline5,IN,x,x=950&amp;cr=293" xr:uid="{1E620F3A-9ED6-40B7-B24C-6B451B35DE9B}"/>
    <hyperlink ref="A20" r:id="rId17" display="https://9607261.app.netsuite.com/app/reporting/reportrunner.nl?fromreport=320&amp;regtx,tranline,kacct,x,alltranline5,IN,x,x=950&amp;cr=293" xr:uid="{39000CB1-B8F7-4841-AC51-AC566F3926AC}"/>
    <hyperlink ref="A21" r:id="rId18" display="https://9607261.app.netsuite.com/app/reporting/reportrunner.nl?fromreport=320&amp;regtx,tranline,kacct,x,alltranline5,IN,x,x=950&amp;cr=293" xr:uid="{B2B5DD12-CF0F-46FA-AA26-0B77772783D8}"/>
    <hyperlink ref="A22" r:id="rId19" display="https://9607261.app.netsuite.com/app/reporting/reportrunner.nl?fromreport=320&amp;regtx,tranline,kacct,x,alltranline5,IN,x,x=950&amp;cr=293" xr:uid="{13591E80-7B34-4529-9F32-4C5A2795B658}"/>
    <hyperlink ref="A23" r:id="rId20" display="https://9607261.app.netsuite.com/app/reporting/reportrunner.nl?fromreport=320&amp;regtx,tranline,kacct,x,alltranline5,IN,x,x=950&amp;cr=293" xr:uid="{6F993A60-0EB1-4C82-9DC3-C88230587CEF}"/>
    <hyperlink ref="A24" r:id="rId21" display="https://9607261.app.netsuite.com/app/reporting/reportrunner.nl?fromreport=320&amp;regtx,tranline,kacct,x,alltranline5,IN,x,x=950&amp;cr=293" xr:uid="{6D295AED-6340-4D58-BA69-73CA4A5F6AFE}"/>
    <hyperlink ref="A25" r:id="rId22" display="https://9607261.app.netsuite.com/app/reporting/reportrunner.nl?fromreport=320&amp;regtx,tranline,kacct,x,alltranline5,IN,x,x=950&amp;cr=293" xr:uid="{37319A4F-74ED-4D4B-8B11-F66DDF57B624}"/>
    <hyperlink ref="A26" r:id="rId23" display="https://9607261.app.netsuite.com/app/reporting/reportrunner.nl?fromreport=320&amp;regtx,tranline,kacct,x,alltranline5,IN,x,x=950&amp;cr=293" xr:uid="{377427D9-FB29-47E5-9334-7B80BB07D73E}"/>
    <hyperlink ref="A27" r:id="rId24" display="https://9607261.app.netsuite.com/app/reporting/reportrunner.nl?fromreport=320&amp;regtx,tranline,kacct,x,alltranline5,IN,x,x=950&amp;cr=293" xr:uid="{290E889C-FC54-4359-803B-197033FEE852}"/>
    <hyperlink ref="A28" r:id="rId25" display="https://9607261.app.netsuite.com/app/reporting/reportrunner.nl?fromreport=320&amp;regtx,tranline,kacct,x,alltranline5,IN,x,x=950&amp;cr=293" xr:uid="{1CDCEBD9-E3BB-4651-9D63-92A0FFCC792A}"/>
    <hyperlink ref="A29" r:id="rId26" display="https://9607261.app.netsuite.com/app/reporting/reportrunner.nl?fromreport=320&amp;regtx,tranline,kacct,x,alltranline5,IN,x,x=950&amp;cr=293" xr:uid="{1AA90AA6-78D5-46DE-84CD-C5DD58F3A96A}"/>
    <hyperlink ref="A30" r:id="rId27" display="https://9607261.app.netsuite.com/app/reporting/reportrunner.nl?fromreport=320&amp;regtx,tranline,kacct,x,alltranline5,IN,x,x=950&amp;cr=293" xr:uid="{98D98420-9823-4B44-985E-279C7D888C97}"/>
    <hyperlink ref="A31" r:id="rId28" display="https://9607261.app.netsuite.com/app/reporting/reportrunner.nl?fromreport=320&amp;regtx,tranline,kacct,x,alltranline5,IN,x,x=950&amp;cr=293" xr:uid="{43D3B8B1-C486-4098-9497-DED1BCC2E933}"/>
    <hyperlink ref="A32" r:id="rId29" display="https://9607261.app.netsuite.com/app/reporting/reportrunner.nl?fromreport=320&amp;regtx,tranline,kacct,x,alltranline5,IN,x,x=950&amp;cr=293" xr:uid="{953202B9-8D49-4894-9A54-96DAD6A9931D}"/>
    <hyperlink ref="A33" r:id="rId30" display="https://9607261.app.netsuite.com/app/reporting/reportrunner.nl?fromreport=320&amp;regtx,tranline,kacct,x,alltranline5,IN,x,x=950&amp;cr=293" xr:uid="{A997AD4E-2544-4052-B871-7CD2367BA231}"/>
    <hyperlink ref="A34" r:id="rId31" display="https://9607261.app.netsuite.com/app/reporting/reportrunner.nl?fromreport=320&amp;regtx,tranline,kacct,x,alltranline5,IN,x,x=950&amp;cr=293" xr:uid="{9191E932-538C-4153-90FD-8729FA34D62F}"/>
    <hyperlink ref="A35" r:id="rId32" display="https://9607261.app.netsuite.com/app/reporting/reportrunner.nl?fromreport=320&amp;regtx,tranline,kacct,x,alltranline5,IN,x,x=950&amp;cr=293" xr:uid="{939031FE-D7F0-4E89-BA62-42B3799ACD23}"/>
    <hyperlink ref="A36" r:id="rId33" display="https://9607261.app.netsuite.com/app/reporting/reportrunner.nl?fromreport=320&amp;regtx,tranline,kacct,x,alltranline5,IN,x,x=950&amp;cr=293" xr:uid="{21C81AFC-ABE7-492E-8C2A-288F25253F36}"/>
    <hyperlink ref="A37" r:id="rId34" display="https://9607261.app.netsuite.com/app/reporting/reportrunner.nl?fromreport=320&amp;regtx,tranline,kacct,x,alltranline5,IN,x,x=950&amp;cr=293" xr:uid="{6FCA78D1-FABF-47CE-9347-1D97E65395E9}"/>
    <hyperlink ref="A38" r:id="rId35" display="https://9607261.app.netsuite.com/app/reporting/reportrunner.nl?fromreport=320&amp;regtx,tranline,kacct,x,alltranline5,IN,x,x=950&amp;cr=293" xr:uid="{2FBAEF1A-DD20-4FE9-949F-A0A888297CEE}"/>
    <hyperlink ref="A39" r:id="rId36" display="https://9607261.app.netsuite.com/app/reporting/reportrunner.nl?fromreport=320&amp;regtx,tranline,kacct,x,alltranline5,IN,x,x=950&amp;cr=293" xr:uid="{DB2B05C8-3F5E-4F40-B80C-CFAB543B77BC}"/>
    <hyperlink ref="A40" r:id="rId37" display="https://9607261.app.netsuite.com/app/reporting/reportrunner.nl?fromreport=320&amp;regtx,tranline,kacct,x,alltranline5,IN,x,x=950&amp;cr=293" xr:uid="{85CC401B-DABE-4C3A-9C01-D60F4BCB6EC9}"/>
    <hyperlink ref="A41" r:id="rId38" display="https://9607261.app.netsuite.com/app/reporting/reportrunner.nl?fromreport=320&amp;regtx,tranline,kacct,x,alltranline5,IN,x,x=950&amp;cr=293" xr:uid="{8B39D926-1AEC-47B3-A95A-481F25D0DEA0}"/>
    <hyperlink ref="A42" r:id="rId39" display="https://9607261.app.netsuite.com/app/reporting/reportrunner.nl?fromreport=320&amp;regtx,tranline,kacct,x,alltranline5,IN,x,x=950&amp;cr=293" xr:uid="{EA5B960A-8329-4071-8CD0-67B7E640EE78}"/>
    <hyperlink ref="A43" r:id="rId40" display="https://9607261.app.netsuite.com/app/reporting/reportrunner.nl?fromreport=320&amp;regtx,tranline,kacct,x,alltranline5,IN,x,x=950&amp;cr=293" xr:uid="{06D7776A-9BC7-4499-A59F-F44C64AA0D09}"/>
    <hyperlink ref="A44" r:id="rId41" display="https://9607261.app.netsuite.com/app/reporting/reportrunner.nl?fromreport=320&amp;regtx,tranline,kacct,x,alltranline5,IN,x,x=950&amp;cr=293" xr:uid="{D7BE28B6-B619-4A6B-8457-8BC839D2ED9D}"/>
    <hyperlink ref="A45" r:id="rId42" display="https://9607261.app.netsuite.com/app/reporting/reportrunner.nl?fromreport=320&amp;regtx,tranline,kacct,x,alltranline5,IN,x,x=950&amp;cr=293" xr:uid="{97C2E793-1C94-4EE1-948E-CE64F1AFC97C}"/>
    <hyperlink ref="A46" r:id="rId43" display="https://9607261.app.netsuite.com/app/reporting/reportrunner.nl?fromreport=320&amp;regtx,tranline,kacct,x,alltranline5,IN,x,x=950&amp;cr=293" xr:uid="{9356C10F-6AA8-4A62-8D4F-77EE04262474}"/>
    <hyperlink ref="A47" r:id="rId44" display="https://9607261.app.netsuite.com/app/reporting/reportrunner.nl?fromreport=320&amp;regtx,tranline,kacct,x,alltranline5,IN,x,x=950&amp;cr=293" xr:uid="{F5D1F23C-AF00-48A0-923E-010676746050}"/>
    <hyperlink ref="A48" r:id="rId45" display="https://9607261.app.netsuite.com/app/reporting/reportrunner.nl?fromreport=320&amp;regtx,tranline,kacct,x,alltranline5,IN,x,x=950&amp;cr=293" xr:uid="{C6F163C6-A0A7-4D11-BF6E-B2091801706C}"/>
    <hyperlink ref="A49" r:id="rId46" display="https://9607261.app.netsuite.com/app/reporting/reportrunner.nl?fromreport=320&amp;regtx,tranline,kacct,x,alltranline5,IN,x,x=950&amp;cr=293" xr:uid="{49761507-7E6E-410B-BA83-7DFA4584B156}"/>
    <hyperlink ref="A50" r:id="rId47" display="https://9607261.app.netsuite.com/app/reporting/reportrunner.nl?fromreport=320&amp;regtx,tranline,kacct,x,alltranline5,IN,x,x=950&amp;cr=293" xr:uid="{28710742-440B-44A1-BDA8-74F0F918B5FD}"/>
    <hyperlink ref="A51" r:id="rId48" display="https://9607261.app.netsuite.com/app/reporting/reportrunner.nl?fromreport=320&amp;regtx,tranline,kacct,x,alltranline5,IN,x,x=950&amp;cr=293" xr:uid="{6C41B5A2-39A3-4458-8255-CBEB7C66B89C}"/>
    <hyperlink ref="A52" r:id="rId49" display="https://9607261.app.netsuite.com/app/reporting/reportrunner.nl?fromreport=320&amp;regtx,tranline,kacct,x,alltranline5,IN,x,x=950&amp;cr=293" xr:uid="{085E565C-AE73-4610-9F2F-328942585660}"/>
    <hyperlink ref="A53" r:id="rId50" display="https://9607261.app.netsuite.com/app/reporting/reportrunner.nl?fromreport=320&amp;regtx,tranline,kacct,x,alltranline5,IN,x,x=950&amp;cr=293" xr:uid="{BECB049B-C568-43D7-A71A-B2089308430E}"/>
    <hyperlink ref="A54" r:id="rId51" display="https://9607261.app.netsuite.com/app/reporting/reportrunner.nl?fromreport=320&amp;regtx,tranline,kacct,x,alltranline5,IN,x,x=950&amp;cr=293" xr:uid="{DC3EA3A3-79CF-4E09-97A4-44A691F8AA9B}"/>
    <hyperlink ref="A55" r:id="rId52" display="https://9607261.app.netsuite.com/app/reporting/reportrunner.nl?fromreport=320&amp;regtx,tranline,kacct,x,alltranline5,IN,x,x=950&amp;cr=293" xr:uid="{18832D76-44F7-4698-B12C-53968C898697}"/>
    <hyperlink ref="A56" r:id="rId53" display="https://9607261.app.netsuite.com/app/reporting/reportrunner.nl?fromreport=320&amp;regtx,tranline,kacct,x,alltranline5,IN,x,x=950&amp;cr=293" xr:uid="{9D5D3E0C-BE7C-4EB9-8513-334124E7F1A8}"/>
    <hyperlink ref="A57" r:id="rId54" display="https://9607261.app.netsuite.com/app/reporting/reportrunner.nl?fromreport=320&amp;regtx,tranline,kacct,x,alltranline5,IN,x,x=950&amp;cr=293" xr:uid="{7A716F9D-C3B5-45A6-ADFD-49F3634E6A29}"/>
    <hyperlink ref="A58" r:id="rId55" display="https://9607261.app.netsuite.com/app/reporting/reportrunner.nl?fromreport=320&amp;regtx,tranline,kacct,x,alltranline5,IN,x,x=950&amp;cr=293" xr:uid="{D7BF668B-F625-4F86-A5E9-BCE06CD27811}"/>
    <hyperlink ref="A59" r:id="rId56" display="https://9607261.app.netsuite.com/app/reporting/reportrunner.nl?fromreport=320&amp;regtx,tranline,kacct,x,alltranline5,IN,x,x=950&amp;cr=293" xr:uid="{5D31A067-BCA2-4B52-A04F-AD31AD989D33}"/>
    <hyperlink ref="A60" r:id="rId57" display="https://9607261.app.netsuite.com/app/reporting/reportrunner.nl?fromreport=320&amp;regtx,tranline,kacct,x,alltranline5,IN,x,x=950&amp;cr=293" xr:uid="{C3290857-1C62-4871-9840-74535473D227}"/>
    <hyperlink ref="A61" r:id="rId58" display="https://9607261.app.netsuite.com/app/reporting/reportrunner.nl?fromreport=320&amp;regtx,tranline,kacct,x,alltranline5,IN,x,x=950&amp;cr=293" xr:uid="{081F24D6-61E1-4366-92AB-C2DCDEEC16A8}"/>
    <hyperlink ref="A62" r:id="rId59" display="https://9607261.app.netsuite.com/app/reporting/reportrunner.nl?fromreport=320&amp;regtx,tranline,kacct,x,alltranline5,IN,x,x=950&amp;cr=293" xr:uid="{4F85FFFA-EE93-4578-95B9-5F98A5DEB4D7}"/>
    <hyperlink ref="A63" r:id="rId60" display="https://9607261.app.netsuite.com/app/reporting/reportrunner.nl?fromreport=320&amp;regtx,tranline,kacct,x,alltranline5,IN,x,x=950&amp;cr=293" xr:uid="{DFB4841B-6422-4539-8B91-523B56CA1470}"/>
    <hyperlink ref="A64" r:id="rId61" display="https://9607261.app.netsuite.com/app/reporting/reportrunner.nl?fromreport=320&amp;regtx,tranline,kacct,x,alltranline5,IN,x,x=950&amp;cr=293" xr:uid="{6DED47BF-8855-4DAB-9746-04238A294926}"/>
    <hyperlink ref="A65" r:id="rId62" display="https://9607261.app.netsuite.com/app/reporting/reportrunner.nl?fromreport=320&amp;regtx,tranline,kacct,x,alltranline5,IN,x,x=950&amp;cr=293" xr:uid="{6BF625B0-7FC0-44C1-9199-D7AD30682727}"/>
    <hyperlink ref="A66" r:id="rId63" display="https://9607261.app.netsuite.com/app/reporting/reportrunner.nl?fromreport=320&amp;regtx,tranline,kacct,x,alltranline5,IN,x,x=950&amp;cr=293" xr:uid="{91ABDD2E-E49C-452B-A3DC-14FE27AF1F1E}"/>
    <hyperlink ref="A67" r:id="rId64" display="https://9607261.app.netsuite.com/app/reporting/reportrunner.nl?fromreport=320&amp;regtx,tranline,kacct,x,alltranline5,IN,x,x=950&amp;cr=293" xr:uid="{38DD24A1-A587-4C55-97A1-A19DE38E3C51}"/>
    <hyperlink ref="A68" r:id="rId65" display="https://9607261.app.netsuite.com/app/reporting/reportrunner.nl?fromreport=320&amp;regtx,tranline,kacct,x,alltranline5,IN,x,x=950&amp;cr=293" xr:uid="{F8B31EFE-225C-45D0-B26F-783D776AF8D0}"/>
    <hyperlink ref="A69" r:id="rId66" display="https://9607261.app.netsuite.com/app/reporting/reportrunner.nl?fromreport=320&amp;regtx,tranline,kacct,x,alltranline5,IN,x,x=950&amp;cr=293" xr:uid="{B101B0F9-D8AC-4014-8B09-E188A5B2B455}"/>
    <hyperlink ref="A70" r:id="rId67" display="https://9607261.app.netsuite.com/app/reporting/reportrunner.nl?fromreport=320&amp;regtx,tranline,kacct,x,alltranline5,IN,x,x=950&amp;cr=293" xr:uid="{8399CA83-FD98-4888-857D-E9CED3DCCBE3}"/>
    <hyperlink ref="A71" r:id="rId68" display="https://9607261.app.netsuite.com/app/reporting/reportrunner.nl?fromreport=320&amp;regtx,tranline,kacct,x,alltranline5,IN,x,x=950&amp;cr=293" xr:uid="{8C97EAFB-7550-4B6A-ACFC-E1C70BCC25EC}"/>
    <hyperlink ref="A72" r:id="rId69" display="https://9607261.app.netsuite.com/app/reporting/reportrunner.nl?fromreport=320&amp;regtx,tranline,kacct,x,alltranline5,IN,x,x=950&amp;cr=293" xr:uid="{79814EFD-AB88-45E4-9F87-3C4D5BDBA640}"/>
    <hyperlink ref="A73" r:id="rId70" display="https://9607261.app.netsuite.com/app/reporting/reportrunner.nl?fromreport=320&amp;regtx,tranline,kacct,x,alltranline5,IN,x,x=950&amp;cr=293" xr:uid="{8F64AF8B-97C4-4417-9F9D-7AB658953ABB}"/>
    <hyperlink ref="A74" r:id="rId71" display="https://9607261.app.netsuite.com/app/reporting/reportrunner.nl?fromreport=320&amp;regtx,tranline,kacct,x,alltranline5,IN,x,x=950&amp;cr=293" xr:uid="{D0E50569-C502-4AB8-B88E-0DC1FA96DFED}"/>
    <hyperlink ref="A75" r:id="rId72" display="https://9607261.app.netsuite.com/app/reporting/reportrunner.nl?fromreport=320&amp;regtx,tranline,kacct,x,alltranline5,IN,x,x=950&amp;cr=293" xr:uid="{F07E3DB7-53E1-42FC-AF3F-04D57A4473AA}"/>
    <hyperlink ref="A76" r:id="rId73" display="https://9607261.app.netsuite.com/app/reporting/reportrunner.nl?fromreport=320&amp;regtx,tranline,kacct,x,alltranline5,IN,x,x=950&amp;cr=293" xr:uid="{DDD5CC2C-8F6D-4893-8A77-94C6841602CB}"/>
    <hyperlink ref="A77" r:id="rId74" display="https://9607261.app.netsuite.com/app/reporting/reportrunner.nl?fromreport=320&amp;regtx,tranline,kacct,x,alltranline5,IN,x,x=950&amp;cr=293" xr:uid="{DB98EECB-4BF6-442D-9CE7-3323C1B8C9B1}"/>
    <hyperlink ref="A78" r:id="rId75" display="https://9607261.app.netsuite.com/app/reporting/reportrunner.nl?fromreport=320&amp;regtx,tranline,kacct,x,alltranline5,IN,x,x=950&amp;cr=293" xr:uid="{8F63BD49-0845-4797-964E-18780EA5DF28}"/>
    <hyperlink ref="A79" r:id="rId76" display="https://9607261.app.netsuite.com/app/reporting/reportrunner.nl?fromreport=320&amp;regtx,tranline,kacct,x,alltranline5,IN,x,x=950&amp;cr=293" xr:uid="{E80BF4C0-0259-4B8C-BDE5-1AF069EB8C37}"/>
    <hyperlink ref="A80" r:id="rId77" display="https://9607261.app.netsuite.com/app/reporting/reportrunner.nl?fromreport=320&amp;regtx,tranline,kacct,x,alltranline5,IN,x,x=950&amp;cr=293" xr:uid="{FC105955-3C61-4AAF-A85A-58146E0AE70A}"/>
    <hyperlink ref="A81" r:id="rId78" display="https://9607261.app.netsuite.com/app/reporting/reportrunner.nl?fromreport=320&amp;regtx,tranline,kacct,x,alltranline5,IN,x,x=950&amp;cr=293" xr:uid="{959E053F-19DB-4137-9F52-FDB598FE92C4}"/>
    <hyperlink ref="A82" r:id="rId79" display="https://9607261.app.netsuite.com/app/reporting/reportrunner.nl?fromreport=320&amp;regtx,tranline,kacct,x,alltranline5,IN,x,x=950&amp;cr=293" xr:uid="{C7039A14-21C5-4B7F-956E-659278657A3F}"/>
    <hyperlink ref="A83" r:id="rId80" display="https://9607261.app.netsuite.com/app/reporting/reportrunner.nl?fromreport=320&amp;regtx,tranline,kacct,x,alltranline5,IN,x,x=950&amp;cr=293" xr:uid="{106838B7-65E0-4EAE-8FD2-24DE1FEE24A5}"/>
    <hyperlink ref="A84" r:id="rId81" display="https://9607261.app.netsuite.com/app/reporting/reportrunner.nl?fromreport=320&amp;regtx,tranline,kacct,x,alltranline5,IN,x,x=950&amp;cr=293" xr:uid="{E3B8A96C-2CE6-41CA-9AA8-EE552CE48FA8}"/>
    <hyperlink ref="A85" r:id="rId82" display="https://9607261.app.netsuite.com/app/reporting/reportrunner.nl?fromreport=320&amp;regtx,tranline,kacct,x,alltranline5,IN,x,x=950&amp;cr=293" xr:uid="{E071C930-FF4D-4A37-BC26-64EC686858BD}"/>
    <hyperlink ref="A86" r:id="rId83" display="https://9607261.app.netsuite.com/app/reporting/reportrunner.nl?fromreport=320&amp;regtx,tranline,kacct,x,alltranline5,IN,x,x=950&amp;cr=293" xr:uid="{4DD9F7BA-C361-4A7B-8F79-90E7A5272D91}"/>
    <hyperlink ref="A87" r:id="rId84" display="https://9607261.app.netsuite.com/app/reporting/reportrunner.nl?fromreport=320&amp;regtx,tranline,kacct,x,alltranline5,IN,x,x=950&amp;cr=293" xr:uid="{1DAB6D9A-3A7D-4CA5-B77E-1ACC3F395C36}"/>
    <hyperlink ref="A88" r:id="rId85" display="https://9607261.app.netsuite.com/app/reporting/reportrunner.nl?fromreport=320&amp;regtx,tranline,kacct,x,alltranline5,IN,x,x=950&amp;cr=293" xr:uid="{9ABA6293-B432-4814-B91C-8D84CCAE0329}"/>
    <hyperlink ref="A89" r:id="rId86" display="https://9607261.app.netsuite.com/app/reporting/reportrunner.nl?fromreport=320&amp;regtx,tranline,kacct,x,alltranline5,IN,x,x=950&amp;cr=293" xr:uid="{95AEB30C-4E3F-4EAB-AEC3-7E46ECCA1DDD}"/>
    <hyperlink ref="A90" r:id="rId87" display="https://9607261.app.netsuite.com/app/reporting/reportrunner.nl?fromreport=320&amp;regtx,tranline,kacct,x,alltranline5,IN,x,x=950&amp;cr=293" xr:uid="{12B3A1C7-FB99-4280-99E1-0D8CA2B1D9F8}"/>
    <hyperlink ref="A91" r:id="rId88" display="https://9607261.app.netsuite.com/app/reporting/reportrunner.nl?fromreport=320&amp;regtx,tranline,kacct,x,alltranline5,IN,x,x=950&amp;cr=293" xr:uid="{2369B9B1-5C33-4C25-88FF-D96673A435A8}"/>
    <hyperlink ref="A92" r:id="rId89" display="https://9607261.app.netsuite.com/app/reporting/reportrunner.nl?fromreport=320&amp;regtx,tranline,kacct,x,alltranline5,IN,x,x=950&amp;cr=293" xr:uid="{ACB6E117-FDCF-4209-AB0E-B1819A94FDF5}"/>
    <hyperlink ref="A93" r:id="rId90" display="https://9607261.app.netsuite.com/app/reporting/reportrunner.nl?fromreport=320&amp;regtx,tranline,kacct,x,alltranline5,IN,x,x=950&amp;cr=293" xr:uid="{49F1EFA7-2A5B-4364-B0C3-449E75F40E19}"/>
    <hyperlink ref="A94" r:id="rId91" display="https://9607261.app.netsuite.com/app/reporting/reportrunner.nl?fromreport=320&amp;regtx,tranline,kacct,x,alltranline5,IN,x,x=950&amp;cr=293" xr:uid="{672AC664-6971-4119-916B-CB978EC55411}"/>
    <hyperlink ref="A95" r:id="rId92" display="https://9607261.app.netsuite.com/app/reporting/reportrunner.nl?fromreport=320&amp;regtx,tranline,kacct,x,alltranline5,IN,x,x=950&amp;cr=293" xr:uid="{099310DD-9140-44A8-9D55-1E8F29B4CEF0}"/>
    <hyperlink ref="A96" r:id="rId93" display="https://9607261.app.netsuite.com/app/reporting/reportrunner.nl?fromreport=320&amp;regtx,tranline,kacct,x,alltranline5,IN,x,x=950&amp;cr=293" xr:uid="{B0F29A2C-C0BD-4D18-8930-8A44BBB014DE}"/>
    <hyperlink ref="A97" r:id="rId94" display="https://9607261.app.netsuite.com/app/reporting/reportrunner.nl?fromreport=320&amp;regtx,tranline,kacct,x,alltranline5,IN,x,x=950&amp;cr=293" xr:uid="{B2CDDF25-E0E7-4273-84D5-4C9A83F9D861}"/>
    <hyperlink ref="A98" r:id="rId95" display="https://9607261.app.netsuite.com/app/reporting/reportrunner.nl?fromreport=320&amp;regtx,tranline,kacct,x,alltranline5,IN,x,x=950&amp;cr=293" xr:uid="{627C6996-4463-47B9-A6DB-A7C225BD4DE3}"/>
    <hyperlink ref="A99" r:id="rId96" display="https://9607261.app.netsuite.com/app/reporting/reportrunner.nl?fromreport=320&amp;regtx,tranline,kacct,x,alltranline5,IN,x,x=950&amp;cr=293" xr:uid="{476909DA-513F-4E4A-812E-28BCF5B57649}"/>
    <hyperlink ref="A100" r:id="rId97" display="https://9607261.app.netsuite.com/app/reporting/reportrunner.nl?fromreport=320&amp;regtx,tranline,kacct,x,alltranline5,IN,x,x=950&amp;cr=293" xr:uid="{FCA94377-75D9-41CB-98CB-20EBC6D0426A}"/>
    <hyperlink ref="A101" r:id="rId98" display="https://9607261.app.netsuite.com/app/reporting/reportrunner.nl?fromreport=320&amp;regtx,tranline,kacct,x,alltranline5,IN,x,x=950&amp;cr=293" xr:uid="{809BFC39-E5A0-4A11-8B1A-44434F187B81}"/>
    <hyperlink ref="A102" r:id="rId99" display="https://9607261.app.netsuite.com/app/reporting/reportrunner.nl?fromreport=320&amp;regtx,tranline,kacct,x,alltranline5,IN,x,x=950&amp;cr=293" xr:uid="{76F91AFB-B757-4CE1-A0B6-B8508AD473F3}"/>
    <hyperlink ref="A103" r:id="rId100" display="https://9607261.app.netsuite.com/app/reporting/reportrunner.nl?fromreport=320&amp;regtx,tranline,kacct,x,alltranline5,IN,x,x=950&amp;cr=293" xr:uid="{CADC0B41-CBE5-4D5B-8140-886EBD26AD15}"/>
    <hyperlink ref="A104" r:id="rId101" display="https://9607261.app.netsuite.com/app/reporting/reportrunner.nl?fromreport=320&amp;regtx,tranline,kacct,x,alltranline5,IN,x,x=950&amp;cr=293" xr:uid="{BC58F9C1-8D79-4E5F-90AA-F521261CD091}"/>
    <hyperlink ref="A105" r:id="rId102" display="https://9607261.app.netsuite.com/app/reporting/reportrunner.nl?fromreport=320&amp;regtx,tranline,kacct,x,alltranline5,IN,x,x=950&amp;cr=293" xr:uid="{910CF461-F1B2-4D45-BB82-BF24BED4FD86}"/>
    <hyperlink ref="A106" r:id="rId103" display="https://9607261.app.netsuite.com/app/reporting/reportrunner.nl?fromreport=320&amp;regtx,tranline,kacct,x,alltranline5,IN,x,x=950&amp;cr=293" xr:uid="{283C601E-CBE4-4119-B1F2-AFA48EE3D736}"/>
    <hyperlink ref="A107" r:id="rId104" display="https://9607261.app.netsuite.com/app/reporting/reportrunner.nl?fromreport=320&amp;regtx,tranline,kacct,x,alltranline5,IN,x,x=950&amp;cr=293" xr:uid="{74C9D393-A60E-4AF6-92A5-7C1B8676291E}"/>
    <hyperlink ref="A108" r:id="rId105" display="https://9607261.app.netsuite.com/app/reporting/reportrunner.nl?fromreport=320&amp;regtx,tranline,kacct,x,alltranline5,IN,x,x=950&amp;cr=293" xr:uid="{54A69297-D065-42A0-AF59-F5D2E078B6FE}"/>
    <hyperlink ref="A109" r:id="rId106" display="https://9607261.app.netsuite.com/app/reporting/reportrunner.nl?fromreport=320&amp;regtx,tranline,kacct,x,alltranline5,IN,x,x=950&amp;cr=293" xr:uid="{D18B57FC-7372-4F3C-8A80-9AA617BE29FD}"/>
    <hyperlink ref="A110" r:id="rId107" display="https://9607261.app.netsuite.com/app/reporting/reportrunner.nl?fromreport=320&amp;regtx,tranline,kacct,x,alltranline5,IN,x,x=950&amp;cr=293" xr:uid="{53653F32-5866-45C6-8AEE-D11AB8C21642}"/>
    <hyperlink ref="A111" r:id="rId108" display="https://9607261.app.netsuite.com/app/reporting/reportrunner.nl?fromreport=320&amp;regtx,tranline,kacct,x,alltranline5,IN,x,x=950&amp;cr=293" xr:uid="{522AE716-638E-4E3D-935C-C333731505D1}"/>
    <hyperlink ref="A112" r:id="rId109" display="https://9607261.app.netsuite.com/app/reporting/reportrunner.nl?fromreport=320&amp;regtx,tranline,kacct,x,alltranline5,IN,x,x=950&amp;cr=293" xr:uid="{5E914F3B-CCDB-42DF-8800-F3F248AD9D43}"/>
    <hyperlink ref="A113" r:id="rId110" display="https://9607261.app.netsuite.com/app/reporting/reportrunner.nl?fromreport=320&amp;regtx,tranline,kacct,x,alltranline5,IN,x,x=950&amp;cr=293" xr:uid="{935C354D-FAE2-4785-BFD9-824976F0A460}"/>
    <hyperlink ref="A114" r:id="rId111" display="https://9607261.app.netsuite.com/app/reporting/reportrunner.nl?fromreport=320&amp;regtx,tranline,kacct,x,alltranline5,IN,x,x=950&amp;cr=293" xr:uid="{E1618E8A-87F3-4F5C-BF33-AB198C3B78CB}"/>
    <hyperlink ref="A115" r:id="rId112" display="https://9607261.app.netsuite.com/app/reporting/reportrunner.nl?fromreport=320&amp;regtx,tranline,kacct,x,alltranline5,IN,x,x=950&amp;cr=293" xr:uid="{6BC58D89-A202-4185-BCBA-A1A9985276F3}"/>
    <hyperlink ref="A116" r:id="rId113" display="https://9607261.app.netsuite.com/app/reporting/reportrunner.nl?fromreport=320&amp;regtx,tranline,kacct,x,alltranline5,IN,x,x=950&amp;cr=293" xr:uid="{76758A86-AB99-47C4-BCC4-26A09563C258}"/>
    <hyperlink ref="A117" r:id="rId114" display="https://9607261.app.netsuite.com/app/reporting/reportrunner.nl?fromreport=320&amp;regtx,tranline,kacct,x,alltranline5,IN,x,x=950&amp;cr=293" xr:uid="{04B6BDA6-F9C2-4AC1-BE56-38A60FA12FD2}"/>
    <hyperlink ref="A118" r:id="rId115" display="https://9607261.app.netsuite.com/app/reporting/reportrunner.nl?fromreport=320&amp;regtx,tranline,kacct,x,alltranline5,IN,x,x=950&amp;cr=293" xr:uid="{D35B088F-EFBE-407B-806F-B67E7E5ABACF}"/>
    <hyperlink ref="A119" r:id="rId116" display="https://9607261.app.netsuite.com/app/reporting/reportrunner.nl?fromreport=320&amp;regtx,tranline,kacct,x,alltranline5,IN,x,x=950&amp;cr=293" xr:uid="{091A3C0C-F167-43A9-B51C-413D003928F9}"/>
    <hyperlink ref="A120" r:id="rId117" display="https://9607261.app.netsuite.com/app/reporting/reportrunner.nl?fromreport=320&amp;regtx,tranline,kacct,x,alltranline5,IN,x,x=950&amp;cr=293" xr:uid="{C00A860D-4524-45A8-B667-6FC2917C3A0F}"/>
    <hyperlink ref="A121" r:id="rId118" display="https://9607261.app.netsuite.com/app/reporting/reportrunner.nl?fromreport=320&amp;regtx,tranline,kacct,x,alltranline5,IN,x,x=950&amp;cr=293" xr:uid="{C084C8A0-D279-4C64-A98B-1410C047D436}"/>
    <hyperlink ref="A122" r:id="rId119" display="https://9607261.app.netsuite.com/app/reporting/reportrunner.nl?fromreport=320&amp;regtx,tranline,kacct,x,alltranline5,IN,x,x=950&amp;cr=293" xr:uid="{B92819D5-677B-41B9-9A2E-31B169E2FF63}"/>
    <hyperlink ref="A123" r:id="rId120" display="https://9607261.app.netsuite.com/app/reporting/reportrunner.nl?fromreport=320&amp;regtx,tranline,kacct,x,alltranline5,IN,x,x=950&amp;cr=293" xr:uid="{3A3E73EE-6E4D-4408-AE03-AF84F8443D0C}"/>
    <hyperlink ref="A124" r:id="rId121" display="https://9607261.app.netsuite.com/app/reporting/reportrunner.nl?fromreport=320&amp;regtx,tranline,kacct,x,alltranline5,IN,x,x=950&amp;cr=293" xr:uid="{68BB8087-D09B-4E8E-8CF3-0D465F7CA418}"/>
    <hyperlink ref="A125" r:id="rId122" display="https://9607261.app.netsuite.com/app/reporting/reportrunner.nl?fromreport=320&amp;regtx,tranline,kacct,x,alltranline5,IN,x,x=950&amp;cr=293" xr:uid="{05FED5D4-11CE-441F-AAD4-23274896087A}"/>
    <hyperlink ref="A126" r:id="rId123" display="https://9607261.app.netsuite.com/app/reporting/reportrunner.nl?fromreport=320&amp;regtx,tranline,kacct,x,alltranline5,IN,x,x=950&amp;cr=293" xr:uid="{E1247FC9-28A0-42B1-9A67-9C3153310869}"/>
    <hyperlink ref="A127" r:id="rId124" display="https://9607261.app.netsuite.com/app/reporting/reportrunner.nl?fromreport=320&amp;regtx,tranline,kacct,x,alltranline5,IN,x,x=950&amp;cr=293" xr:uid="{ADA4F7CD-CBF4-4C02-AF23-8443C8924AD6}"/>
    <hyperlink ref="A128" r:id="rId125" display="https://9607261.app.netsuite.com/app/reporting/reportrunner.nl?fromreport=320&amp;regtx,tranline,kacct,x,alltranline5,IN,x,x=950&amp;cr=293" xr:uid="{4D88419E-0D56-4C65-8A3F-5AE38C3318D8}"/>
    <hyperlink ref="A129" r:id="rId126" display="https://9607261.app.netsuite.com/app/reporting/reportrunner.nl?fromreport=320&amp;regtx,tranline,kacct,x,alltranline5,IN,x,x=950&amp;cr=293" xr:uid="{CFBA3841-8D6C-4275-A7BA-A151E058ADE4}"/>
    <hyperlink ref="A130" r:id="rId127" display="https://9607261.app.netsuite.com/app/reporting/reportrunner.nl?fromreport=320&amp;regtx,tranline,kacct,x,alltranline5,IN,x,x=950&amp;cr=293" xr:uid="{01F8B4F4-EF52-4865-B81A-7A5E376E2EE0}"/>
    <hyperlink ref="A131" r:id="rId128" display="https://9607261.app.netsuite.com/app/reporting/reportrunner.nl?fromreport=320&amp;regtx,tranline,kacct,x,alltranline5,IN,x,x=950&amp;cr=293" xr:uid="{7A2AE0C6-7B67-4298-A01A-52CB34BFB9FB}"/>
    <hyperlink ref="A132" r:id="rId129" display="https://9607261.app.netsuite.com/app/reporting/reportrunner.nl?fromreport=320&amp;regtx,tranline,kacct,x,alltranline5,IN,x,x=950&amp;cr=293" xr:uid="{FFC7120F-2BA8-426E-A132-9441AA89D08C}"/>
    <hyperlink ref="A133" r:id="rId130" display="https://9607261.app.netsuite.com/app/reporting/reportrunner.nl?fromreport=320&amp;regtx,tranline,kacct,x,alltranline5,IN,x,x=950&amp;cr=293" xr:uid="{80282652-1502-4C76-91E1-E8DAE7ADB200}"/>
    <hyperlink ref="A134" r:id="rId131" display="https://9607261.app.netsuite.com/app/reporting/reportrunner.nl?fromreport=320&amp;regtx,tranline,kacct,x,alltranline5,IN,x,x=950&amp;cr=293" xr:uid="{E27A23C5-FEC9-48E9-A8D4-27DCC42C555A}"/>
    <hyperlink ref="A135" r:id="rId132" display="https://9607261.app.netsuite.com/app/reporting/reportrunner.nl?fromreport=320&amp;regtx,tranline,kacct,x,alltranline5,IN,x,x=950&amp;cr=293" xr:uid="{C26AC268-23F8-4EF8-B498-267DA06EEBC7}"/>
    <hyperlink ref="A136" r:id="rId133" display="https://9607261.app.netsuite.com/app/reporting/reportrunner.nl?fromreport=320&amp;regtx,tranline,kacct,x,alltranline5,IN,x,x=950&amp;cr=293" xr:uid="{FAD33D3C-30B8-4396-9645-5C607AB70CA3}"/>
    <hyperlink ref="A137" r:id="rId134" display="https://9607261.app.netsuite.com/app/reporting/reportrunner.nl?fromreport=320&amp;regtx,tranline,kacct,x,alltranline5,IN,x,x=950&amp;cr=293" xr:uid="{5E6D32D0-9BFD-4C35-B869-316EE6DD8636}"/>
    <hyperlink ref="A138" r:id="rId135" display="https://9607261.app.netsuite.com/app/reporting/reportrunner.nl?fromreport=320&amp;regtx,tranline,kacct,x,alltranline5,IN,x,x=950&amp;cr=293" xr:uid="{58C0BB3B-67C4-47A1-924E-B616F0355E4E}"/>
    <hyperlink ref="A139" r:id="rId136" display="https://9607261.app.netsuite.com/app/reporting/reportrunner.nl?fromreport=320&amp;regtx,tranline,kacct,x,alltranline5,IN,x,x=950&amp;cr=293" xr:uid="{47160370-2741-4E6C-9ABA-CC60FA04E8E7}"/>
    <hyperlink ref="A140" r:id="rId137" display="https://9607261.app.netsuite.com/app/reporting/reportrunner.nl?fromreport=320&amp;regtx,tranline,kacct,x,alltranline5,IN,x,x=950&amp;cr=293" xr:uid="{0FA52FFF-7A85-4595-BE30-40F0B5FCE261}"/>
    <hyperlink ref="A141" r:id="rId138" display="https://9607261.app.netsuite.com/app/reporting/reportrunner.nl?fromreport=320&amp;regtx,tranline,kacct,x,alltranline5,IN,x,x=950&amp;cr=293" xr:uid="{BE3BEB57-2B8E-4C6A-A907-1ADB25E4D68C}"/>
    <hyperlink ref="A142" r:id="rId139" display="https://9607261.app.netsuite.com/app/reporting/reportrunner.nl?fromreport=320&amp;regtx,tranline,kacct,x,alltranline5,IN,x,x=950&amp;cr=293" xr:uid="{3B24AE1D-16C7-4C08-A5D9-86371BBAD154}"/>
    <hyperlink ref="A143" r:id="rId140" display="https://9607261.app.netsuite.com/app/reporting/reportrunner.nl?fromreport=320&amp;regtx,tranline,kacct,x,alltranline5,IN,x,x=950&amp;cr=293" xr:uid="{DBDFF22D-E5AC-49C7-B1C1-95F5AEB1F9EC}"/>
    <hyperlink ref="A144" r:id="rId141" display="https://9607261.app.netsuite.com/app/reporting/reportrunner.nl?fromreport=320&amp;regtx,tranline,kacct,x,alltranline5,IN,x,x=950&amp;cr=293" xr:uid="{6165504A-EF22-493A-AE2E-8388A027E648}"/>
    <hyperlink ref="A145" r:id="rId142" display="https://9607261.app.netsuite.com/app/reporting/reportrunner.nl?fromreport=320&amp;regtx,tranline,kacct,x,alltranline5,IN,x,x=950&amp;cr=293" xr:uid="{FDA79E86-15AB-4AB2-A254-8C108B946753}"/>
    <hyperlink ref="A146" r:id="rId143" display="https://9607261.app.netsuite.com/app/reporting/reportrunner.nl?fromreport=320&amp;regtx,tranline,kacct,x,alltranline5,IN,x,x=950&amp;cr=293" xr:uid="{2A388DD7-5D20-4129-BFE9-E7DE12088E23}"/>
    <hyperlink ref="A147" r:id="rId144" display="https://9607261.app.netsuite.com/app/reporting/reportrunner.nl?fromreport=320&amp;regtx,tranline,kacct,x,alltranline5,IN,x,x=950&amp;cr=293" xr:uid="{F782A38A-40A2-43D0-A5E4-E124C8057FD3}"/>
    <hyperlink ref="A148" r:id="rId145" display="https://9607261.app.netsuite.com/app/reporting/reportrunner.nl?fromreport=320&amp;regtx,tranline,kacct,x,alltranline5,IN,x,x=950&amp;cr=293" xr:uid="{FE13B5CD-4E79-495D-A5B0-2155874F7B8C}"/>
    <hyperlink ref="A149" r:id="rId146" display="https://9607261.app.netsuite.com/app/reporting/reportrunner.nl?fromreport=320&amp;regtx,tranline,kacct,x,alltranline5,IN,x,x=950&amp;cr=293" xr:uid="{CF8F4DDC-9B7C-487D-8EC2-D6A335CDDD28}"/>
    <hyperlink ref="A150" r:id="rId147" display="https://9607261.app.netsuite.com/app/reporting/reportrunner.nl?fromreport=320&amp;regtx,tranline,kacct,x,alltranline5,IN,x,x=950&amp;cr=293" xr:uid="{DF526652-A110-49D1-A79D-B22F27EEF42E}"/>
    <hyperlink ref="A151" r:id="rId148" display="https://9607261.app.netsuite.com/app/reporting/reportrunner.nl?fromreport=320&amp;regtx,tranline,kacct,x,alltranline5,IN,x,x=950&amp;cr=293" xr:uid="{5A65D70C-2344-44BF-8E49-FD69E3BB25F8}"/>
    <hyperlink ref="A152" r:id="rId149" display="https://9607261.app.netsuite.com/app/reporting/reportrunner.nl?fromreport=320&amp;regtx,tranline,kacct,x,alltranline5,IN,x,x=950&amp;cr=293" xr:uid="{A8523088-4DAE-4C40-9146-F47E724BF2CC}"/>
    <hyperlink ref="A153" r:id="rId150" display="https://9607261.app.netsuite.com/app/reporting/reportrunner.nl?fromreport=320&amp;regtx,tranline,kacct,x,alltranline5,IN,x,x=950&amp;cr=293" xr:uid="{D4763CB9-4E8F-4043-9007-425A1BE69D77}"/>
    <hyperlink ref="A154" r:id="rId151" display="https://9607261.app.netsuite.com/app/reporting/reportrunner.nl?fromreport=320&amp;regtx,tranline,kacct,x,alltranline5,IN,x,x=950&amp;cr=293" xr:uid="{A18819C0-0031-4515-9EB5-9423A6FBA1DF}"/>
    <hyperlink ref="A155" r:id="rId152" display="https://9607261.app.netsuite.com/app/reporting/reportrunner.nl?fromreport=320&amp;regtx,tranline,kacct,x,alltranline5,IN,x,x=950&amp;cr=293" xr:uid="{83F53943-C9E8-4256-AB28-AB67CB23657A}"/>
    <hyperlink ref="A156" r:id="rId153" display="https://9607261.app.netsuite.com/app/reporting/reportrunner.nl?fromreport=320&amp;regtx,tranline,kacct,x,alltranline5,IN,x,x=950&amp;cr=293" xr:uid="{AA5E7041-27C9-4C3C-A620-2D8D3CEE1B5C}"/>
    <hyperlink ref="A157" r:id="rId154" display="https://9607261.app.netsuite.com/app/reporting/reportrunner.nl?fromreport=320&amp;regtx,tranline,kacct,x,alltranline5,IN,x,x=950&amp;cr=293" xr:uid="{B844E2C2-4663-4702-B7F2-554D317511A8}"/>
    <hyperlink ref="A158" r:id="rId155" display="https://9607261.app.netsuite.com/app/reporting/reportrunner.nl?fromreport=320&amp;regtx,tranline,kacct,x,alltranline5,IN,x,x=950&amp;cr=293" xr:uid="{89FF0005-A985-49D2-ABFA-A64F898C8345}"/>
    <hyperlink ref="A159" r:id="rId156" display="https://9607261.app.netsuite.com/app/reporting/reportrunner.nl?fromreport=320&amp;regtx,tranline,kacct,x,alltranline5,IN,x,x=950&amp;cr=293" xr:uid="{2EAD14EA-17FF-412B-B400-C07D80C72964}"/>
    <hyperlink ref="A160" r:id="rId157" display="https://9607261.app.netsuite.com/app/reporting/reportrunner.nl?fromreport=320&amp;regtx,tranline,kacct,x,alltranline5,IN,x,x=950&amp;cr=293" xr:uid="{2BCC834F-5E95-472D-A786-7A6604F9B733}"/>
    <hyperlink ref="A161" r:id="rId158" display="https://9607261.app.netsuite.com/app/reporting/reportrunner.nl?fromreport=320&amp;regtx,tranline,kacct,x,alltranline5,IN,x,x=950&amp;cr=293" xr:uid="{8DA9599F-38EA-4391-86BB-6E8352B8619C}"/>
    <hyperlink ref="A162" r:id="rId159" display="https://9607261.app.netsuite.com/app/reporting/reportrunner.nl?fromreport=320&amp;regtx,tranline,kacct,x,alltranline5,IN,x,x=950&amp;cr=293" xr:uid="{2297AB3F-145C-4D1E-AEED-EC70150EF1D9}"/>
    <hyperlink ref="A163" r:id="rId160" display="https://9607261.app.netsuite.com/app/reporting/reportrunner.nl?fromreport=320&amp;regtx,tranline,kacct,x,alltranline5,IN,x,x=950&amp;cr=293" xr:uid="{12C98BD0-88B1-4F1D-B73A-56AB511CF441}"/>
    <hyperlink ref="A164" r:id="rId161" display="https://9607261.app.netsuite.com/app/reporting/reportrunner.nl?fromreport=320&amp;regtx,tranline,kacct,x,alltranline5,IN,x,x=950&amp;cr=293" xr:uid="{5F76BA24-7BE6-4615-9D62-BF506765A944}"/>
    <hyperlink ref="A165" r:id="rId162" display="https://9607261.app.netsuite.com/app/reporting/reportrunner.nl?fromreport=320&amp;regtx,tranline,kacct,x,alltranline5,IN,x,x=950&amp;cr=293" xr:uid="{E11D74D8-7FB1-4B90-B6ED-8E7AA880F796}"/>
    <hyperlink ref="A166" r:id="rId163" display="https://9607261.app.netsuite.com/app/reporting/reportrunner.nl?fromreport=320&amp;regtx,tranline,kacct,x,alltranline5,IN,x,x=950&amp;cr=293" xr:uid="{1A37A7D8-64E3-44DA-BE8D-3F47CEDEE17C}"/>
    <hyperlink ref="A167" r:id="rId164" display="https://9607261.app.netsuite.com/app/reporting/reportrunner.nl?fromreport=320&amp;regtx,tranline,kacct,x,alltranline5,IN,x,x=950&amp;cr=293" xr:uid="{BF0403A4-FD5D-4E7C-8817-4E074A7E48BC}"/>
    <hyperlink ref="A168" r:id="rId165" display="https://9607261.app.netsuite.com/app/reporting/reportrunner.nl?fromreport=320&amp;regtx,tranline,kacct,x,alltranline5,IN,x,x=950&amp;cr=293" xr:uid="{9EB6431A-1534-4DC8-A28D-AB811E899FE2}"/>
    <hyperlink ref="A169" r:id="rId166" display="https://9607261.app.netsuite.com/app/reporting/reportrunner.nl?fromreport=320&amp;regtx,tranline,kacct,x,alltranline5,IN,x,x=950&amp;cr=293" xr:uid="{4661DBD4-13B9-4C10-9F0A-BC87E9EB3662}"/>
    <hyperlink ref="A170" r:id="rId167" display="https://9607261.app.netsuite.com/app/reporting/reportrunner.nl?fromreport=320&amp;regtx,tranline,kacct,x,alltranline5,IN,x,x=950&amp;cr=293" xr:uid="{865C5EA5-E4F9-423B-A3B9-AEFC0E006E1D}"/>
    <hyperlink ref="A171" r:id="rId168" display="https://9607261.app.netsuite.com/app/reporting/reportrunner.nl?fromreport=320&amp;regtx,tranline,kacct,x,alltranline5,IN,x,x=950&amp;cr=293" xr:uid="{28B3BE4F-24BC-43DF-A986-5A34337A5B80}"/>
    <hyperlink ref="A172" r:id="rId169" display="https://9607261.app.netsuite.com/app/reporting/reportrunner.nl?fromreport=320&amp;regtx,tranline,kacct,x,alltranline5,IN,x,x=950&amp;cr=293" xr:uid="{E0684F2C-86D0-4777-9B7F-07D68C92C1E7}"/>
    <hyperlink ref="A173" r:id="rId170" display="https://9607261.app.netsuite.com/app/reporting/reportrunner.nl?fromreport=320&amp;regtx,tranline,kacct,x,alltranline5,IN,x,x=950&amp;cr=293" xr:uid="{D27F25FA-FA43-4BCE-BBD4-A07797C2787A}"/>
    <hyperlink ref="A174" r:id="rId171" display="https://9607261.app.netsuite.com/app/reporting/reportrunner.nl?fromreport=320&amp;regtx,tranline,kacct,x,alltranline5,IN,x,x=950&amp;cr=293" xr:uid="{1330F2AD-99A0-443A-B65E-02C398869683}"/>
    <hyperlink ref="A175" r:id="rId172" display="https://9607261.app.netsuite.com/app/reporting/reportrunner.nl?fromreport=320&amp;regtx,tranline,kacct,x,alltranline5,IN,x,x=950&amp;cr=293" xr:uid="{AAEDDFE6-BE09-4482-AA84-F348187C07E6}"/>
    <hyperlink ref="A176" r:id="rId173" display="https://9607261.app.netsuite.com/app/reporting/reportrunner.nl?fromreport=320&amp;regtx,tranline,kacct,x,alltranline5,IN,x,x=950&amp;cr=293" xr:uid="{A9725EE8-70B0-4D85-BAA5-ECEE6A2E3E6D}"/>
    <hyperlink ref="A177" r:id="rId174" display="https://9607261.app.netsuite.com/app/reporting/reportrunner.nl?fromreport=320&amp;regtx,tranline,kacct,x,alltranline5,IN,x,x=950&amp;cr=293" xr:uid="{C6746C37-ECE2-4BA2-BBD0-56362EB8E241}"/>
    <hyperlink ref="A178" r:id="rId175" display="https://9607261.app.netsuite.com/app/reporting/reportrunner.nl?fromreport=320&amp;regtx,tranline,kacct,x,alltranline5,IN,x,x=950&amp;cr=293" xr:uid="{AE95ACCA-2748-4804-BF7B-F1ED73DC8633}"/>
    <hyperlink ref="A179" r:id="rId176" display="https://9607261.app.netsuite.com/app/reporting/reportrunner.nl?fromreport=320&amp;regtx,tranline,kacct,x,alltranline5,IN,x,x=950&amp;cr=293" xr:uid="{D671470D-3A8D-4CB0-9C5D-03C5F5B20DB0}"/>
    <hyperlink ref="A180" r:id="rId177" display="https://9607261.app.netsuite.com/app/reporting/reportrunner.nl?fromreport=320&amp;regtx,tranline,kacct,x,alltranline5,IN,x,x=950&amp;cr=293" xr:uid="{61BBAF3C-3A81-4675-AF01-2383BABC8529}"/>
    <hyperlink ref="A181" r:id="rId178" display="https://9607261.app.netsuite.com/app/reporting/reportrunner.nl?fromreport=320&amp;regtx,tranline,kacct,x,alltranline5,IN,x,x=950&amp;cr=293" xr:uid="{ED3484DE-B7B5-4D0C-90E8-B2E49BD7569E}"/>
    <hyperlink ref="A182" r:id="rId179" display="https://9607261.app.netsuite.com/app/reporting/reportrunner.nl?fromreport=320&amp;regtx,tranline,kacct,x,alltranline5,IN,x,x=950&amp;cr=293" xr:uid="{17786A13-D608-47B9-8E5F-BE518E6CC2BD}"/>
    <hyperlink ref="A183" r:id="rId180" display="https://9607261.app.netsuite.com/app/reporting/reportrunner.nl?fromreport=320&amp;regtx,tranline,kacct,x,alltranline5,IN,x,x=950&amp;cr=293" xr:uid="{3FED8F8D-8ECD-4029-A3BE-BA091A5865E3}"/>
    <hyperlink ref="A184" r:id="rId181" display="https://9607261.app.netsuite.com/app/reporting/reportrunner.nl?fromreport=320&amp;regtx,tranline,kacct,x,alltranline5,IN,x,x=950&amp;cr=293" xr:uid="{4FBD873E-8D91-42D6-A2F0-287E23BB58A3}"/>
    <hyperlink ref="A185" r:id="rId182" display="https://9607261.app.netsuite.com/app/reporting/reportrunner.nl?fromreport=320&amp;regtx,tranline,kacct,x,alltranline5,IN,x,x=950&amp;cr=293" xr:uid="{360F2297-4CCD-4C9B-B493-B1415E41E4F8}"/>
    <hyperlink ref="A186" r:id="rId183" display="https://9607261.app.netsuite.com/app/reporting/reportrunner.nl?fromreport=320&amp;regtx,tranline,kacct,x,alltranline5,IN,x,x=950&amp;cr=293" xr:uid="{ECEA3BD7-2E21-47D2-AB73-367BD55315F9}"/>
    <hyperlink ref="A187" r:id="rId184" display="https://9607261.app.netsuite.com/app/reporting/reportrunner.nl?fromreport=320&amp;regtx,tranline,kacct,x,alltranline5,IN,x,x=950&amp;cr=293" xr:uid="{F7CB6E72-355A-4550-B704-13F8DA6F89E5}"/>
    <hyperlink ref="A188" r:id="rId185" display="https://9607261.app.netsuite.com/app/reporting/reportrunner.nl?fromreport=320&amp;regtx,tranline,kacct,x,alltranline5,IN,x,x=950&amp;cr=293" xr:uid="{13F83E89-8AA1-44BC-88E3-F2186FA856C5}"/>
    <hyperlink ref="A189" r:id="rId186" display="https://9607261.app.netsuite.com/app/reporting/reportrunner.nl?fromreport=320&amp;regtx,tranline,kacct,x,alltranline5,IN,x,x=950&amp;cr=293" xr:uid="{2424FF79-18D2-45E1-BB56-F8D413B6E238}"/>
    <hyperlink ref="A190" r:id="rId187" display="https://9607261.app.netsuite.com/app/reporting/reportrunner.nl?fromreport=320&amp;regtx,tranline,kacct,x,alltranline5,IN,x,x=950&amp;cr=293" xr:uid="{3DFB3117-C424-42C4-8594-6C8CB8BEC346}"/>
    <hyperlink ref="A191" r:id="rId188" display="https://9607261.app.netsuite.com/app/reporting/reportrunner.nl?fromreport=320&amp;regtx,tranline,kacct,x,alltranline5,IN,x,x=950&amp;cr=293" xr:uid="{9CA2C4CA-797D-45DF-B87F-E4C43AE59D99}"/>
    <hyperlink ref="A192" r:id="rId189" display="https://9607261.app.netsuite.com/app/reporting/reportrunner.nl?fromreport=320&amp;regtx,tranline,kacct,x,alltranline5,IN,x,x=950&amp;cr=293" xr:uid="{66C58447-9D1B-4E91-B997-BC6CDF4E6A25}"/>
    <hyperlink ref="A193" r:id="rId190" display="https://9607261.app.netsuite.com/app/reporting/reportrunner.nl?fromreport=320&amp;regtx,tranline,kacct,x,alltranline5,IN,x,x=950&amp;cr=293" xr:uid="{1FE3375A-9008-4CE2-A9C4-5B6EC8459108}"/>
    <hyperlink ref="A194" r:id="rId191" display="https://9607261.app.netsuite.com/app/reporting/reportrunner.nl?fromreport=320&amp;regtx,tranline,kacct,x,alltranline5,IN,x,x=950&amp;cr=293" xr:uid="{45D495CA-D35D-464F-96CE-D83E2008DF81}"/>
    <hyperlink ref="A195" r:id="rId192" display="https://9607261.app.netsuite.com/app/reporting/reportrunner.nl?fromreport=320&amp;regtx,tranline,kacct,x,alltranline5,IN,x,x=950&amp;cr=293" xr:uid="{F0BA5786-75D9-4091-B4D7-ED9714D9375F}"/>
    <hyperlink ref="A196" r:id="rId193" display="https://9607261.app.netsuite.com/app/reporting/reportrunner.nl?fromreport=320&amp;regtx,tranline,kacct,x,alltranline5,IN,x,x=950&amp;cr=293" xr:uid="{40A94753-B170-4678-94D7-086909B44298}"/>
    <hyperlink ref="A197" r:id="rId194" display="https://9607261.app.netsuite.com/app/reporting/reportrunner.nl?fromreport=320&amp;regtx,tranline,kacct,x,alltranline5,IN,x,x=950&amp;cr=293" xr:uid="{E22A8EDD-18B1-4F11-A7DE-2D5C108B40D8}"/>
    <hyperlink ref="A198" r:id="rId195" display="https://9607261.app.netsuite.com/app/reporting/reportrunner.nl?fromreport=320&amp;regtx,tranline,kacct,x,alltranline5,IN,x,x=950&amp;cr=293" xr:uid="{B76C9EDC-DF4A-47DA-8A02-8944BDD73B73}"/>
    <hyperlink ref="A199" r:id="rId196" display="https://9607261.app.netsuite.com/app/reporting/reportrunner.nl?fromreport=320&amp;regtx,tranline,kacct,x,alltranline5,IN,x,x=950&amp;cr=293" xr:uid="{C1F9C149-537B-4E17-974A-E8541CCE8385}"/>
    <hyperlink ref="A200" r:id="rId197" display="https://9607261.app.netsuite.com/app/reporting/reportrunner.nl?fromreport=320&amp;regtx,tranline,kacct,x,alltranline5,IN,x,x=950&amp;cr=293" xr:uid="{9C66D8E9-CF00-4F79-9B28-81A8E569D37F}"/>
    <hyperlink ref="A201" r:id="rId198" display="https://9607261.app.netsuite.com/app/reporting/reportrunner.nl?fromreport=320&amp;regtx,tranline,kacct,x,alltranline5,IN,x,x=950&amp;cr=293" xr:uid="{4948D250-841B-4EAA-925D-87E56C1F1CE5}"/>
    <hyperlink ref="A202" r:id="rId199" display="https://9607261.app.netsuite.com/app/reporting/reportrunner.nl?fromreport=320&amp;regtx,tranline,kacct,x,alltranline5,IN,x,x=950&amp;cr=293" xr:uid="{6E80B82B-18F8-43C9-B3BE-1097FE7BC3BF}"/>
    <hyperlink ref="A203" r:id="rId200" display="https://9607261.app.netsuite.com/app/reporting/reportrunner.nl?fromreport=320&amp;regtx,tranline,kacct,x,alltranline5,IN,x,x=950&amp;cr=293" xr:uid="{6A6EFFF9-1639-4574-B559-7BCCEEBEC569}"/>
    <hyperlink ref="A204" r:id="rId201" display="https://9607261.app.netsuite.com/app/reporting/reportrunner.nl?fromreport=320&amp;regtx,tranline,kacct,x,alltranline5,IN,x,x=950&amp;cr=293" xr:uid="{1992E54B-B2A5-4A34-9E4F-59B904325580}"/>
    <hyperlink ref="A205" r:id="rId202" display="https://9607261.app.netsuite.com/app/reporting/reportrunner.nl?fromreport=320&amp;regtx,tranline,kacct,x,alltranline5,IN,x,x=950&amp;cr=293" xr:uid="{DEB7FDDE-2523-4793-85C4-5F2F40DBA25D}"/>
    <hyperlink ref="A206" r:id="rId203" display="https://9607261.app.netsuite.com/app/reporting/reportrunner.nl?fromreport=320&amp;regtx,tranline,kacct,x,alltranline5,IN,x,x=950&amp;cr=293" xr:uid="{88C12979-E252-4074-9DFC-455C2C667000}"/>
    <hyperlink ref="A207" r:id="rId204" display="https://9607261.app.netsuite.com/app/reporting/reportrunner.nl?fromreport=320&amp;regtx,tranline,kacct,x,alltranline5,IN,x,x=950&amp;cr=293" xr:uid="{6D63BFBA-A208-4879-8F12-DBB3765AF690}"/>
    <hyperlink ref="A208" r:id="rId205" display="https://9607261.app.netsuite.com/app/reporting/reportrunner.nl?fromreport=320&amp;regtx,tranline,kacct,x,alltranline5,IN,x,x=950&amp;cr=293" xr:uid="{21DC21AE-E811-4B02-B5BD-D95C1360254F}"/>
    <hyperlink ref="A209" r:id="rId206" display="https://9607261.app.netsuite.com/app/reporting/reportrunner.nl?fromreport=320&amp;regtx,tranline,kacct,x,alltranline5,IN,x,x=950&amp;cr=293" xr:uid="{9C5413E3-FE59-4E9A-8405-7BFD3C4B8E49}"/>
    <hyperlink ref="A210" r:id="rId207" display="https://9607261.app.netsuite.com/app/reporting/reportrunner.nl?fromreport=320&amp;regtx,tranline,kacct,x,alltranline5,IN,x,x=950&amp;cr=293" xr:uid="{5F2AF348-B41B-4F3F-AF56-C80919F109D8}"/>
    <hyperlink ref="A211" r:id="rId208" display="https://9607261.app.netsuite.com/app/reporting/reportrunner.nl?fromreport=320&amp;regtx,tranline,kacct,x,alltranline5,IN,x,x=950&amp;cr=293" xr:uid="{249AE6BE-0BED-41FB-976F-A06DB18349B3}"/>
    <hyperlink ref="A212" r:id="rId209" display="https://9607261.app.netsuite.com/app/reporting/reportrunner.nl?fromreport=320&amp;regtx,tranline,kacct,x,alltranline5,IN,x,x=950&amp;cr=293" xr:uid="{590E5FB7-7313-4D8C-A930-00B180DA6898}"/>
    <hyperlink ref="A213" r:id="rId210" display="https://9607261.app.netsuite.com/app/reporting/reportrunner.nl?fromreport=320&amp;regtx,tranline,kacct,x,alltranline5,IN,x,x=950&amp;cr=293" xr:uid="{B8980E51-366C-4801-8836-E43EAF757A65}"/>
    <hyperlink ref="A214" r:id="rId211" display="https://9607261.app.netsuite.com/app/reporting/reportrunner.nl?fromreport=320&amp;regtx,tranline,kacct,x,alltranline5,IN,x,x=950&amp;cr=293" xr:uid="{42F16E36-6E74-42DD-B2FD-887068FD98B1}"/>
    <hyperlink ref="A215" r:id="rId212" display="https://9607261.app.netsuite.com/app/reporting/reportrunner.nl?fromreport=320&amp;regtx,tranline,kacct,x,alltranline5,IN,x,x=950&amp;cr=293" xr:uid="{E874E6C9-A25F-48E1-9311-76540C1AF369}"/>
    <hyperlink ref="A216" r:id="rId213" display="https://9607261.app.netsuite.com/app/reporting/reportrunner.nl?fromreport=320&amp;regtx,tranline,kacct,x,alltranline5,IN,x,x=950&amp;cr=293" xr:uid="{FA0C86EE-AE1F-45A2-9634-5BE16C9C4127}"/>
    <hyperlink ref="A217" r:id="rId214" display="https://9607261.app.netsuite.com/app/reporting/reportrunner.nl?fromreport=320&amp;regtx,tranline,kacct,x,alltranline5,IN,x,x=950&amp;cr=293" xr:uid="{D2934667-7337-4BB3-AF73-C09415085CAB}"/>
    <hyperlink ref="A218" r:id="rId215" display="https://9607261.app.netsuite.com/app/reporting/reportrunner.nl?fromreport=320&amp;regtx,tranline,kacct,x,alltranline5,IN,x,x=950&amp;cr=293" xr:uid="{0B2B714C-2890-4174-93A1-6214F0C0108A}"/>
    <hyperlink ref="A219" r:id="rId216" display="https://9607261.app.netsuite.com/app/reporting/reportrunner.nl?fromreport=320&amp;regtx,tranline,kacct,x,alltranline5,IN,x,x=950&amp;cr=293" xr:uid="{0EA8953E-CB66-4645-B4B6-A59B01DA36F8}"/>
    <hyperlink ref="A220" r:id="rId217" display="https://9607261.app.netsuite.com/app/reporting/reportrunner.nl?fromreport=320&amp;regtx,tranline,kacct,x,alltranline5,IN,x,x=950&amp;cr=293" xr:uid="{E4849733-7F85-46E5-BF12-5516CE9322FE}"/>
    <hyperlink ref="A221" r:id="rId218" display="https://9607261.app.netsuite.com/app/reporting/reportrunner.nl?fromreport=320&amp;regtx,tranline,kacct,x,alltranline5,IN,x,x=950&amp;cr=293" xr:uid="{8E57B95F-14F1-4848-A79B-68611BFDEF42}"/>
    <hyperlink ref="A222" r:id="rId219" display="https://9607261.app.netsuite.com/app/reporting/reportrunner.nl?fromreport=320&amp;regtx,tranline,kacct,x,alltranline5,IN,x,x=950&amp;cr=293" xr:uid="{A19C8D99-6ABE-4D4B-ADA3-10128C2890AF}"/>
    <hyperlink ref="A223" r:id="rId220" display="https://9607261.app.netsuite.com/app/reporting/reportrunner.nl?fromreport=320&amp;regtx,tranline,kacct,x,alltranline5,IN,x,x=950&amp;cr=293" xr:uid="{E3FA6E37-0CF2-40C2-BEE4-9D4E5C7CE8F1}"/>
    <hyperlink ref="A224" r:id="rId221" display="https://9607261.app.netsuite.com/app/reporting/reportrunner.nl?fromreport=320&amp;regtx,tranline,kacct,x,alltranline5,IN,x,x=950&amp;cr=293" xr:uid="{5F516E85-CE30-4885-91EB-21AFF65F1B31}"/>
    <hyperlink ref="A225" r:id="rId222" display="https://9607261.app.netsuite.com/app/reporting/reportrunner.nl?fromreport=320&amp;regtx,tranline,kacct,x,alltranline5,IN,x,x=950&amp;cr=293" xr:uid="{92F1CE53-8341-4321-9EBE-F4AF4B6AD516}"/>
    <hyperlink ref="A226" r:id="rId223" display="https://9607261.app.netsuite.com/app/reporting/reportrunner.nl?fromreport=320&amp;regtx,tranline,kacct,x,alltranline5,IN,x,x=950&amp;cr=293" xr:uid="{CEC86D99-8BA0-45AF-AE5A-3F2051E76219}"/>
    <hyperlink ref="A227" r:id="rId224" display="https://9607261.app.netsuite.com/app/reporting/reportrunner.nl?fromreport=320&amp;regtx,tranline,kacct,x,alltranline5,IN,x,x=950&amp;cr=293" xr:uid="{A1C16571-4DDE-4583-AFD2-71FA2A4FEEA8}"/>
    <hyperlink ref="A228" r:id="rId225" display="https://9607261.app.netsuite.com/app/reporting/reportrunner.nl?fromreport=320&amp;regtx,tranline,kacct,x,alltranline5,IN,x,x=950&amp;cr=293" xr:uid="{36164D32-B14E-4821-BFAD-DDF583D614D4}"/>
    <hyperlink ref="A229" r:id="rId226" display="https://9607261.app.netsuite.com/app/reporting/reportrunner.nl?fromreport=320&amp;regtx,tranline,kacct,x,alltranline5,IN,x,x=950&amp;cr=293" xr:uid="{3E4E25C8-3E42-49F4-852B-EFF3D0EDF4CC}"/>
    <hyperlink ref="A230" r:id="rId227" display="https://9607261.app.netsuite.com/app/reporting/reportrunner.nl?fromreport=320&amp;regtx,tranline,kacct,x,alltranline5,IN,x,x=950&amp;cr=293" xr:uid="{2289735B-8359-4667-A6BD-FD85AF988726}"/>
    <hyperlink ref="A231" r:id="rId228" display="https://9607261.app.netsuite.com/app/reporting/reportrunner.nl?fromreport=320&amp;regtx,tranline,kacct,x,alltranline5,IN,x,x=950&amp;cr=293" xr:uid="{D7A1F3AA-709C-4B79-ABE7-C1D8F83D7B12}"/>
    <hyperlink ref="A232" r:id="rId229" display="https://9607261.app.netsuite.com/app/reporting/reportrunner.nl?fromreport=320&amp;regtx,tranline,kacct,x,alltranline5,IN,x,x=950&amp;cr=293" xr:uid="{2C5D4B61-0984-4CFC-985C-DE8EABA37BD7}"/>
    <hyperlink ref="A233" r:id="rId230" display="https://9607261.app.netsuite.com/app/reporting/reportrunner.nl?fromreport=320&amp;regtx,tranline,kacct,x,alltranline5,IN,x,x=950&amp;cr=293" xr:uid="{817FBC3D-7C4A-474F-8086-CDC5DAA1CAE6}"/>
    <hyperlink ref="A234" r:id="rId231" display="https://9607261.app.netsuite.com/app/reporting/reportrunner.nl?fromreport=320&amp;regtx,tranline,kacct,x,alltranline5,IN,x,x=950&amp;cr=293" xr:uid="{8DACDE1C-F890-4842-9401-2783E63C632A}"/>
    <hyperlink ref="A235" r:id="rId232" display="https://9607261.app.netsuite.com/app/reporting/reportrunner.nl?fromreport=320&amp;regtx,tranline,kacct,x,alltranline5,IN,x,x=950&amp;cr=293" xr:uid="{40C85AFF-579F-4F12-9ADD-A9781E1E5DFC}"/>
    <hyperlink ref="A236" r:id="rId233" display="https://9607261.app.netsuite.com/app/reporting/reportrunner.nl?fromreport=320&amp;regtx,tranline,kacct,x,alltranline5,IN,x,x=950&amp;cr=293" xr:uid="{6C8EB6B7-1E47-4AAF-AFA6-C9CBE1AC1894}"/>
    <hyperlink ref="A237" r:id="rId234" display="https://9607261.app.netsuite.com/app/reporting/reportrunner.nl?fromreport=320&amp;regtx,tranline,kacct,x,alltranline5,IN,x,x=950&amp;cr=293" xr:uid="{C4BC8C58-36AC-404E-840E-CC9296F1EDBA}"/>
    <hyperlink ref="A238" r:id="rId235" display="https://9607261.app.netsuite.com/app/reporting/reportrunner.nl?fromreport=320&amp;regtx,tranline,kacct,x,alltranline5,IN,x,x=950&amp;cr=293" xr:uid="{8ADAD6B3-904A-434F-831C-E8F2EAD41E9B}"/>
    <hyperlink ref="A239" r:id="rId236" display="https://9607261.app.netsuite.com/app/reporting/reportrunner.nl?fromreport=320&amp;regtx,tranline,kacct,x,alltranline5,IN,x,x=950&amp;cr=293" xr:uid="{4CCC7C12-3CAC-489F-9981-45BC48EEA4B0}"/>
    <hyperlink ref="A240" r:id="rId237" display="https://9607261.app.netsuite.com/app/reporting/reportrunner.nl?fromreport=320&amp;regtx,tranline,kacct,x,alltranline5,IN,x,x=950&amp;cr=293" xr:uid="{9A6D3408-AC33-450E-B6EC-F1F0026BE5B4}"/>
    <hyperlink ref="A241" r:id="rId238" display="https://9607261.app.netsuite.com/app/reporting/reportrunner.nl?fromreport=320&amp;regtx,tranline,kacct,x,alltranline5,IN,x,x=950&amp;cr=293" xr:uid="{6682AF20-A713-4C69-A470-6A4C5B7F75F2}"/>
    <hyperlink ref="A242" r:id="rId239" display="https://9607261.app.netsuite.com/app/reporting/reportrunner.nl?fromreport=320&amp;regtx,tranline,kacct,x,alltranline5,IN,x,x=950&amp;cr=293" xr:uid="{925D7A5F-8333-4564-9A61-05B61104766D}"/>
    <hyperlink ref="A243" r:id="rId240" display="https://9607261.app.netsuite.com/app/reporting/reportrunner.nl?fromreport=320&amp;regtx,tranline,kacct,x,alltranline5,IN,x,x=950&amp;cr=293" xr:uid="{B5BC93C9-1543-4B29-86D0-AC4B036836FE}"/>
    <hyperlink ref="A244" r:id="rId241" display="https://9607261.app.netsuite.com/app/reporting/reportrunner.nl?fromreport=320&amp;regtx,tranline,kacct,x,alltranline5,IN,x,x=950&amp;cr=293" xr:uid="{2176D4BA-C0E5-4B0B-8702-4D85BF0FEF33}"/>
    <hyperlink ref="A245" r:id="rId242" display="https://9607261.app.netsuite.com/app/reporting/reportrunner.nl?fromreport=320&amp;regtx,tranline,kacct,x,alltranline5,IN,x,x=950&amp;cr=293" xr:uid="{DFB3EA8C-96EB-487F-B4EC-5D06054901E5}"/>
    <hyperlink ref="A246" r:id="rId243" display="https://9607261.app.netsuite.com/app/reporting/reportrunner.nl?fromreport=320&amp;regtx,tranline,kacct,x,alltranline5,IN,x,x=950&amp;cr=293" xr:uid="{48046BC8-F79E-4748-BFC5-17F4CA969088}"/>
    <hyperlink ref="A247" r:id="rId244" display="https://9607261.app.netsuite.com/app/reporting/reportrunner.nl?fromreport=320&amp;regtx,tranline,kacct,x,alltranline5,IN,x,x=950&amp;cr=293" xr:uid="{87CAEC04-D8B8-4B7E-A0CF-7BC35604CF75}"/>
    <hyperlink ref="A248" r:id="rId245" display="https://9607261.app.netsuite.com/app/reporting/reportrunner.nl?fromreport=320&amp;regtx,tranline,kacct,x,alltranline5,IN,x,x=950&amp;cr=293" xr:uid="{F5084699-D1CE-4657-8F75-CCF682DD5874}"/>
    <hyperlink ref="A249" r:id="rId246" display="https://9607261.app.netsuite.com/app/reporting/reportrunner.nl?fromreport=320&amp;regtx,tranline,kacct,x,alltranline5,IN,x,x=950&amp;cr=293" xr:uid="{00D1BF33-11C3-4A31-B788-92F817D7EEBE}"/>
    <hyperlink ref="A250" r:id="rId247" display="https://9607261.app.netsuite.com/app/reporting/reportrunner.nl?fromreport=320&amp;regtx,tranline,kacct,x,alltranline5,IN,x,x=950&amp;cr=293" xr:uid="{0FFFE464-4D50-4865-AFFF-CB7877F61743}"/>
    <hyperlink ref="A251" r:id="rId248" display="https://9607261.app.netsuite.com/app/reporting/reportrunner.nl?fromreport=320&amp;regtx,tranline,kacct,x,alltranline5,IN,x,x=950&amp;cr=293" xr:uid="{2DEB8483-3B57-448C-BAD7-33CB9FA22E14}"/>
    <hyperlink ref="A252" r:id="rId249" display="https://9607261.app.netsuite.com/app/reporting/reportrunner.nl?fromreport=320&amp;regtx,tranline,kacct,x,alltranline5,IN,x,x=950&amp;cr=293" xr:uid="{D49017A9-510E-4D4E-86A2-B337F931C34B}"/>
    <hyperlink ref="A253" r:id="rId250" display="https://9607261.app.netsuite.com/app/reporting/reportrunner.nl?fromreport=320&amp;regtx,tranline,kacct,x,alltranline5,IN,x,x=950&amp;cr=293" xr:uid="{5C607A39-C36B-4A89-8425-53AF0290ADAF}"/>
    <hyperlink ref="A254" r:id="rId251" display="https://9607261.app.netsuite.com/app/reporting/reportrunner.nl?fromreport=320&amp;regtx,tranline,kacct,x,alltranline5,IN,x,x=950&amp;cr=293" xr:uid="{2A7AFCC0-E4C6-4A86-8FCE-CD0EB41F5232}"/>
    <hyperlink ref="A255" r:id="rId252" display="https://9607261.app.netsuite.com/app/reporting/reportrunner.nl?fromreport=320&amp;regtx,tranline,kacct,x,alltranline5,IN,x,x=950&amp;cr=293" xr:uid="{2577FE01-4555-4283-AA88-25615A96ABD4}"/>
    <hyperlink ref="A256" r:id="rId253" display="https://9607261.app.netsuite.com/app/reporting/reportrunner.nl?fromreport=320&amp;regtx,tranline,kacct,x,alltranline5,IN,x,x=950&amp;cr=293" xr:uid="{A774B52C-0722-4E76-8CD8-30D78AAC4B6B}"/>
    <hyperlink ref="A257" r:id="rId254" display="https://9607261.app.netsuite.com/app/reporting/reportrunner.nl?fromreport=320&amp;regtx,tranline,kacct,x,alltranline5,IN,x,x=950&amp;cr=293" xr:uid="{BA608FCE-C104-4BDA-8858-39D746B974B8}"/>
    <hyperlink ref="A258" r:id="rId255" display="https://9607261.app.netsuite.com/app/reporting/reportrunner.nl?fromreport=320&amp;regtx,tranline,kacct,x,alltranline5,IN,x,x=950&amp;cr=293" xr:uid="{0DB5AD0A-BF14-4764-8DA9-7D751FC6E868}"/>
    <hyperlink ref="A259" r:id="rId256" display="https://9607261.app.netsuite.com/app/reporting/reportrunner.nl?fromreport=320&amp;regtx,tranline,kacct,x,alltranline5,IN,x,x=950&amp;cr=293" xr:uid="{329E03F8-725A-4850-8987-8F4B205D8FD7}"/>
    <hyperlink ref="A260" r:id="rId257" display="https://9607261.app.netsuite.com/app/reporting/reportrunner.nl?fromreport=320&amp;regtx,tranline,kacct,x,alltranline5,IN,x,x=950&amp;cr=293" xr:uid="{D6E3330B-0A1B-4BC3-A6B9-AA2373522875}"/>
    <hyperlink ref="A261" r:id="rId258" display="https://9607261.app.netsuite.com/app/reporting/reportrunner.nl?fromreport=320&amp;regtx,tranline,kacct,x,alltranline5,IN,x,x=950&amp;cr=293" xr:uid="{DB292938-E94A-46F4-9343-01118B1243AB}"/>
    <hyperlink ref="A262" r:id="rId259" display="https://9607261.app.netsuite.com/app/reporting/reportrunner.nl?fromreport=320&amp;regtx,tranline,kacct,x,alltranline5,IN,x,x=950&amp;cr=293" xr:uid="{8AA0E6D2-85DA-49D3-9C80-E57A1FD50F2A}"/>
    <hyperlink ref="A263" r:id="rId260" display="https://9607261.app.netsuite.com/app/reporting/reportrunner.nl?fromreport=320&amp;regtx,tranline,kacct,x,alltranline5,IN,x,x=950&amp;cr=293" xr:uid="{8F85E5AB-8985-4FCB-9296-9EF545F173EE}"/>
    <hyperlink ref="A264" r:id="rId261" display="https://9607261.app.netsuite.com/app/reporting/reportrunner.nl?fromreport=320&amp;regtx,tranline,kacct,x,alltranline5,IN,x,x=950&amp;cr=293" xr:uid="{4AD1B858-83C6-46D9-8A8E-A6D211973C64}"/>
    <hyperlink ref="A265" r:id="rId262" display="https://9607261.app.netsuite.com/app/reporting/reportrunner.nl?fromreport=320&amp;regtx,tranline,kacct,x,alltranline5,IN,x,x=950&amp;cr=293" xr:uid="{068D2104-9118-4E34-8235-21E322D01E60}"/>
    <hyperlink ref="A266" r:id="rId263" display="https://9607261.app.netsuite.com/app/reporting/reportrunner.nl?fromreport=320&amp;regtx,tranline,kacct,x,alltranline5,IN,x,x=950&amp;cr=293" xr:uid="{F0136F3D-5704-4B51-AA1A-7A5735B96E3B}"/>
    <hyperlink ref="A267" r:id="rId264" display="https://9607261.app.netsuite.com/app/reporting/reportrunner.nl?fromreport=320&amp;regtx,tranline,kacct,x,alltranline5,IN,x,x=950&amp;cr=293" xr:uid="{A6887B89-AE6A-4800-A046-0EAD0A79D0EE}"/>
    <hyperlink ref="A268" r:id="rId265" display="https://9607261.app.netsuite.com/app/reporting/reportrunner.nl?fromreport=320&amp;regtx,tranline,kacct,x,alltranline5,IN,x,x=950&amp;cr=293" xr:uid="{E7BFCD8B-5F56-401A-A2EA-122FCB42E9F6}"/>
    <hyperlink ref="A269" r:id="rId266" display="https://9607261.app.netsuite.com/app/reporting/reportrunner.nl?fromreport=320&amp;regtx,tranline,kacct,x,alltranline5,IN,x,x=950&amp;cr=293" xr:uid="{71104FC7-DEE4-4F10-9B27-CA1A0AC2837D}"/>
    <hyperlink ref="A270" r:id="rId267" display="https://9607261.app.netsuite.com/app/reporting/reportrunner.nl?fromreport=320&amp;regtx,tranline,kacct,x,alltranline5,IN,x,x=950&amp;cr=293" xr:uid="{80943694-24F4-4F41-9D6A-4E1B887BC0EA}"/>
    <hyperlink ref="A271" r:id="rId268" display="https://9607261.app.netsuite.com/app/reporting/reportrunner.nl?fromreport=320&amp;regtx,tranline,kacct,x,alltranline5,IN,x,x=950&amp;cr=293" xr:uid="{B6B74484-B2A8-4A49-96E7-2B97463CCB33}"/>
    <hyperlink ref="A272" r:id="rId269" display="https://9607261.app.netsuite.com/app/reporting/reportrunner.nl?fromreport=320&amp;regtx,tranline,kacct,x,alltranline5,IN,x,x=950&amp;cr=293" xr:uid="{55803E40-A577-4035-943B-E57C73B2FDCB}"/>
    <hyperlink ref="A273" r:id="rId270" display="https://9607261.app.netsuite.com/app/reporting/reportrunner.nl?fromreport=320&amp;regtx,tranline,kacct,x,alltranline5,IN,x,x=950&amp;cr=293" xr:uid="{DCF65144-5483-42E0-A2CF-751604436DE7}"/>
    <hyperlink ref="A274" r:id="rId271" display="https://9607261.app.netsuite.com/app/reporting/reportrunner.nl?fromreport=320&amp;regtx,tranline,kacct,x,alltranline5,IN,x,x=950&amp;cr=293" xr:uid="{154B5490-7063-4F8D-ACBD-1E41C6664FD6}"/>
    <hyperlink ref="A275" r:id="rId272" display="https://9607261.app.netsuite.com/app/reporting/reportrunner.nl?fromreport=320&amp;regtx,tranline,kacct,x,alltranline5,IN,x,x=950&amp;cr=293" xr:uid="{CC3AB224-A907-43EA-B093-EEC991DECBEA}"/>
    <hyperlink ref="A276" r:id="rId273" display="https://9607261.app.netsuite.com/app/reporting/reportrunner.nl?fromreport=320&amp;regtx,tranline,kacct,x,alltranline5,IN,x,x=950&amp;cr=293" xr:uid="{E33CC085-8450-446B-B526-219A6C599D64}"/>
    <hyperlink ref="A277" r:id="rId274" display="https://9607261.app.netsuite.com/app/reporting/reportrunner.nl?fromreport=320&amp;regtx,tranline,kacct,x,alltranline5,IN,x,x=950&amp;cr=293" xr:uid="{94487C4A-7FE5-4A77-AFD6-1E7E8AC3E353}"/>
    <hyperlink ref="A278" r:id="rId275" display="https://9607261.app.netsuite.com/app/reporting/reportrunner.nl?fromreport=320&amp;regtx,tranline,kacct,x,alltranline5,IN,x,x=950&amp;cr=293" xr:uid="{29CF37DA-CD63-4979-8B73-0D99CF0B110F}"/>
    <hyperlink ref="A279" r:id="rId276" display="https://9607261.app.netsuite.com/app/reporting/reportrunner.nl?fromreport=320&amp;regtx,tranline,kacct,x,alltranline5,IN,x,x=950&amp;cr=293" xr:uid="{94B23DD7-FA31-48FD-A43A-922C18C5428C}"/>
    <hyperlink ref="A280" r:id="rId277" display="https://9607261.app.netsuite.com/app/reporting/reportrunner.nl?fromreport=320&amp;regtx,tranline,kacct,x,alltranline5,IN,x,x=950&amp;cr=293" xr:uid="{6EF8CF44-FD60-478C-8375-1946067D6A7A}"/>
    <hyperlink ref="A281" r:id="rId278" display="https://9607261.app.netsuite.com/app/reporting/reportrunner.nl?fromreport=320&amp;regtx,tranline,kacct,x,alltranline5,IN,x,x=950&amp;cr=293" xr:uid="{1FBD118D-D78B-4D30-BA42-AEBB3BDBCDF7}"/>
    <hyperlink ref="A282" r:id="rId279" display="https://9607261.app.netsuite.com/app/reporting/reportrunner.nl?fromreport=320&amp;regtx,tranline,kacct,x,alltranline5,IN,x,x=950&amp;cr=293" xr:uid="{625D8A8F-C678-41C0-80D5-89ADD399BCFC}"/>
    <hyperlink ref="A283" r:id="rId280" display="https://9607261.app.netsuite.com/app/reporting/reportrunner.nl?fromreport=320&amp;regtx,tranline,kacct,x,alltranline5,IN,x,x=950&amp;cr=293" xr:uid="{FFF48A8E-94AB-44FC-B75D-031B9B32902B}"/>
    <hyperlink ref="A284" r:id="rId281" display="https://9607261.app.netsuite.com/app/reporting/reportrunner.nl?fromreport=320&amp;regtx,tranline,kacct,x,alltranline5,IN,x,x=950&amp;cr=293" xr:uid="{4DED9F47-18B4-485C-A6B2-9C69D19039B0}"/>
    <hyperlink ref="A285" r:id="rId282" display="https://9607261.app.netsuite.com/app/reporting/reportrunner.nl?fromreport=320&amp;regtx,tranline,kacct,x,alltranline5,IN,x,x=950&amp;cr=293" xr:uid="{41E4EAA8-9145-4ABC-9901-5AAEBE5C29C5}"/>
    <hyperlink ref="A286" r:id="rId283" display="https://9607261.app.netsuite.com/app/reporting/reportrunner.nl?fromreport=320&amp;regtx,tranline,kacct,x,alltranline5,IN,x,x=950&amp;cr=293" xr:uid="{5B4C4CE6-D3B7-4699-9CCF-14F4A16E0468}"/>
    <hyperlink ref="A287" r:id="rId284" display="https://9607261.app.netsuite.com/app/reporting/reportrunner.nl?fromreport=320&amp;regtx,tranline,kacct,x,alltranline5,IN,x,x=950&amp;cr=293" xr:uid="{81257282-863E-42F1-9CF0-4BCCADE16DFE}"/>
    <hyperlink ref="A288" r:id="rId285" display="https://9607261.app.netsuite.com/app/reporting/reportrunner.nl?fromreport=320&amp;regtx,tranline,kacct,x,alltranline5,IN,x,x=950&amp;cr=293" xr:uid="{BB2CDD6F-8264-4AAE-92EB-7CC23CCDDE75}"/>
    <hyperlink ref="A289" r:id="rId286" display="https://9607261.app.netsuite.com/app/reporting/reportrunner.nl?fromreport=320&amp;regtx,tranline,kacct,x,alltranline5,IN,x,x=950&amp;cr=293" xr:uid="{F1DB8543-EC6D-47A2-B9B5-E4723041D633}"/>
    <hyperlink ref="A290" r:id="rId287" display="https://9607261.app.netsuite.com/app/reporting/reportrunner.nl?fromreport=320&amp;regtx,tranline,kacct,x,alltranline5,IN,x,x=950&amp;cr=293" xr:uid="{10BC5E77-FF27-40C7-91EE-C30EC48BF6FB}"/>
    <hyperlink ref="A291" r:id="rId288" display="https://9607261.app.netsuite.com/app/reporting/reportrunner.nl?fromreport=320&amp;regtx,tranline,kacct,x,alltranline5,IN,x,x=950&amp;cr=293" xr:uid="{E8381AAC-9D93-48F0-9730-7C5A423DC8A6}"/>
    <hyperlink ref="A292" r:id="rId289" display="https://9607261.app.netsuite.com/app/reporting/reportrunner.nl?fromreport=320&amp;regtx,tranline,kacct,x,alltranline5,IN,x,x=950&amp;cr=293" xr:uid="{325E0A9C-AB75-4DAE-9AEA-600D5216444D}"/>
    <hyperlink ref="A293" r:id="rId290" display="https://9607261.app.netsuite.com/app/reporting/reportrunner.nl?fromreport=320&amp;regtx,tranline,kacct,x,alltranline5,IN,x,x=950&amp;cr=293" xr:uid="{CB8D8CE9-9CD4-450E-902D-D53127BD1F27}"/>
    <hyperlink ref="A294" r:id="rId291" display="https://9607261.app.netsuite.com/app/reporting/reportrunner.nl?fromreport=320&amp;regtx,tranline,kacct,x,alltranline5,IN,x,x=950&amp;cr=293" xr:uid="{532120A5-FCFA-479F-8F87-B758D719CBC2}"/>
    <hyperlink ref="A295" r:id="rId292" display="https://9607261.app.netsuite.com/app/reporting/reportrunner.nl?fromreport=320&amp;regtx,tranline,kacct,x,alltranline5,IN,x,x=950&amp;cr=293" xr:uid="{2B5EE7C1-0F10-4FB5-AB87-489254042BD3}"/>
    <hyperlink ref="A296" r:id="rId293" display="https://9607261.app.netsuite.com/app/reporting/reportrunner.nl?fromreport=320&amp;regtx,tranline,kacct,x,alltranline5,IN,x,x=950&amp;cr=293" xr:uid="{CC9E86E3-9076-44A6-9EC2-FFA4318FD241}"/>
    <hyperlink ref="A297" r:id="rId294" display="https://9607261.app.netsuite.com/app/reporting/reportrunner.nl?fromreport=320&amp;regtx,tranline,kacct,x,alltranline5,IN,x,x=950&amp;cr=293" xr:uid="{3915A942-3391-46F9-9031-567C5A4D13EF}"/>
    <hyperlink ref="A298" r:id="rId295" display="https://9607261.app.netsuite.com/app/reporting/reportrunner.nl?fromreport=320&amp;regtx,tranline,kacct,x,alltranline5,IN,x,x=950&amp;cr=293" xr:uid="{18832878-091D-4F1B-920C-CA2C0FA28B58}"/>
    <hyperlink ref="A299" r:id="rId296" display="https://9607261.app.netsuite.com/app/reporting/reportrunner.nl?fromreport=320&amp;regtx,tranline,kacct,x,alltranline5,IN,x,x=950&amp;cr=293" xr:uid="{782FBA72-A884-4515-A135-14A2B664C841}"/>
    <hyperlink ref="A300" r:id="rId297" display="https://9607261.app.netsuite.com/app/reporting/reportrunner.nl?fromreport=320&amp;regtx,tranline,kacct,x,alltranline5,IN,x,x=950&amp;cr=293" xr:uid="{C75FECC9-D453-42F1-B2FD-2B40D837CF0E}"/>
    <hyperlink ref="A301" r:id="rId298" display="https://9607261.app.netsuite.com/app/reporting/reportrunner.nl?fromreport=320&amp;regtx,tranline,kacct,x,alltranline5,IN,x,x=950&amp;cr=293" xr:uid="{61D1418F-AEFB-41E3-AF90-4E50C2F741D1}"/>
    <hyperlink ref="A302" r:id="rId299" display="https://9607261.app.netsuite.com/app/reporting/reportrunner.nl?fromreport=320&amp;regtx,tranline,kacct,x,alltranline5,IN,x,x=950&amp;cr=293" xr:uid="{FA7CC807-C0B2-46EA-AB5E-772524AB0E00}"/>
    <hyperlink ref="A303" r:id="rId300" display="https://9607261.app.netsuite.com/app/reporting/reportrunner.nl?fromreport=320&amp;regtx,tranline,kacct,x,alltranline5,IN,x,x=950&amp;cr=293" xr:uid="{FB56CE6D-06A1-4BE8-A2F6-6D2970E99F80}"/>
    <hyperlink ref="A304" r:id="rId301" display="https://9607261.app.netsuite.com/app/reporting/reportrunner.nl?fromreport=320&amp;regtx,tranline,kacct,x,alltranline5,IN,x,x=950&amp;cr=293" xr:uid="{D8715F57-24E0-4A93-9891-D3989F26F7CC}"/>
    <hyperlink ref="A305" r:id="rId302" display="https://9607261.app.netsuite.com/app/reporting/reportrunner.nl?fromreport=320&amp;regtx,tranline,kacct,x,alltranline5,IN,x,x=950&amp;cr=293" xr:uid="{6BAAF994-59FD-4385-A2E0-0B36A3A4DF91}"/>
    <hyperlink ref="A306" r:id="rId303" display="https://9607261.app.netsuite.com/app/reporting/reportrunner.nl?fromreport=320&amp;regtx,tranline,kacct,x,alltranline5,IN,x,x=950&amp;cr=293" xr:uid="{43D8F981-A12F-4ADC-9F16-0BDED1140625}"/>
    <hyperlink ref="A307" r:id="rId304" display="https://9607261.app.netsuite.com/app/reporting/reportrunner.nl?fromreport=320&amp;regtx,tranline,kacct,x,alltranline5,IN,x,x=950&amp;cr=293" xr:uid="{CC396D07-43D7-4A75-AFF7-AE1ED58D7C34}"/>
    <hyperlink ref="A308" r:id="rId305" display="https://9607261.app.netsuite.com/app/reporting/reportrunner.nl?fromreport=320&amp;regtx,tranline,kacct,x,alltranline5,IN,x,x=950&amp;cr=293" xr:uid="{D26AA5B8-650B-48F4-A607-06E05ED764B4}"/>
    <hyperlink ref="A309" r:id="rId306" display="https://9607261.app.netsuite.com/app/reporting/reportrunner.nl?fromreport=320&amp;regtx,tranline,kacct,x,alltranline5,IN,x,x=950&amp;cr=293" xr:uid="{197DF50A-9393-4A09-9C88-0A2E85710F7E}"/>
    <hyperlink ref="A310" r:id="rId307" display="https://9607261.app.netsuite.com/app/reporting/reportrunner.nl?fromreport=320&amp;regtx,tranline,kacct,x,alltranline5,IN,x,x=950&amp;cr=293" xr:uid="{25864043-E5D9-4738-805C-0F45251A652E}"/>
    <hyperlink ref="A311" r:id="rId308" display="https://9607261.app.netsuite.com/app/reporting/reportrunner.nl?fromreport=320&amp;regtx,tranline,kacct,x,alltranline5,IN,x,x=950&amp;cr=293" xr:uid="{EC93D19C-0FA9-4F12-8746-5165F42746FA}"/>
    <hyperlink ref="A312" r:id="rId309" display="https://9607261.app.netsuite.com/app/reporting/reportrunner.nl?fromreport=320&amp;regtx,tranline,kacct,x,alltranline5,IN,x,x=950&amp;cr=293" xr:uid="{A2835B5B-A1BC-44E3-ADA8-6F722881FB5C}"/>
    <hyperlink ref="A313" r:id="rId310" display="https://9607261.app.netsuite.com/app/reporting/reportrunner.nl?fromreport=320&amp;regtx,tranline,kacct,x,alltranline5,IN,x,x=950&amp;cr=293" xr:uid="{38B6B013-8CCA-4143-8FC6-0327944E01B3}"/>
    <hyperlink ref="A314" r:id="rId311" display="https://9607261.app.netsuite.com/app/reporting/reportrunner.nl?fromreport=320&amp;regtx,tranline,kacct,x,alltranline5,IN,x,x=950&amp;cr=293" xr:uid="{99068472-B01A-42B4-B3A3-04F51E5E4170}"/>
    <hyperlink ref="A315" r:id="rId312" display="https://9607261.app.netsuite.com/app/reporting/reportrunner.nl?fromreport=320&amp;regtx,tranline,kacct,x,alltranline5,IN,x,x=950&amp;cr=293" xr:uid="{3FE01374-B62C-4072-9ADC-5B5230103C32}"/>
    <hyperlink ref="A316" r:id="rId313" display="https://9607261.app.netsuite.com/app/reporting/reportrunner.nl?fromreport=320&amp;regtx,tranline,kacct,x,alltranline5,IN,x,x=950&amp;cr=293" xr:uid="{689EC167-67FC-4314-AC31-29C81E54DE08}"/>
    <hyperlink ref="A317" r:id="rId314" display="https://9607261.app.netsuite.com/app/reporting/reportrunner.nl?fromreport=320&amp;regtx,tranline,kacct,x,alltranline5,IN,x,x=950&amp;cr=293" xr:uid="{1EAEB822-DD10-4B4B-910B-A4193483F863}"/>
    <hyperlink ref="A318" r:id="rId315" display="https://9607261.app.netsuite.com/app/reporting/reportrunner.nl?fromreport=320&amp;regtx,tranline,kacct,x,alltranline5,IN,x,x=950&amp;cr=293" xr:uid="{902F520F-B4E9-4E50-BE95-81E69B817CD3}"/>
    <hyperlink ref="A319" r:id="rId316" display="https://9607261.app.netsuite.com/app/reporting/reportrunner.nl?fromreport=320&amp;regtx,tranline,kacct,x,alltranline5,IN,x,x=950&amp;cr=293" xr:uid="{591FB1F7-8129-4589-AC29-C774AC5ECD74}"/>
    <hyperlink ref="A320" r:id="rId317" display="https://9607261.app.netsuite.com/app/reporting/reportrunner.nl?fromreport=320&amp;regtx,tranline,kacct,x,alltranline5,IN,x,x=950&amp;cr=293" xr:uid="{9E0BAAE8-C1A8-450B-9637-C878CF606447}"/>
    <hyperlink ref="A321" r:id="rId318" display="https://9607261.app.netsuite.com/app/reporting/reportrunner.nl?fromreport=320&amp;regtx,tranline,kacct,x,alltranline5,IN,x,x=950&amp;cr=293" xr:uid="{D7F7DE87-16F6-450B-B96A-8CECEBADD267}"/>
    <hyperlink ref="A322" r:id="rId319" display="https://9607261.app.netsuite.com/app/reporting/reportrunner.nl?fromreport=320&amp;regtx,tranline,kacct,x,alltranline5,IN,x,x=950&amp;cr=293" xr:uid="{E4FA56A0-F592-4E60-914B-F8033E32EFC3}"/>
    <hyperlink ref="A323" r:id="rId320" display="https://9607261.app.netsuite.com/app/reporting/reportrunner.nl?fromreport=320&amp;regtx,tranline,kacct,x,alltranline5,IN,x,x=950&amp;cr=293" xr:uid="{574375D6-A3F6-42B1-95A1-5C9C46D36D7F}"/>
    <hyperlink ref="A324" r:id="rId321" display="https://9607261.app.netsuite.com/app/reporting/reportrunner.nl?fromreport=320&amp;regtx,tranline,kacct,x,alltranline5,IN,x,x=950&amp;cr=293" xr:uid="{890E04EE-0AAF-4D07-9A28-9B9E2E35F44A}"/>
    <hyperlink ref="A325" r:id="rId322" display="https://9607261.app.netsuite.com/app/reporting/reportrunner.nl?fromreport=320&amp;regtx,tranline,kacct,x,alltranline5,IN,x,x=950&amp;cr=293" xr:uid="{C0D0503A-B2ED-420C-8E63-CDA718DC1EF1}"/>
    <hyperlink ref="A326" r:id="rId323" display="https://9607261.app.netsuite.com/app/reporting/reportrunner.nl?fromreport=320&amp;regtx,tranline,kacct,x,alltranline5,IN,x,x=950&amp;cr=293" xr:uid="{EBE1214B-1C11-4AEA-85B6-89C0962895E6}"/>
    <hyperlink ref="A327" r:id="rId324" display="https://9607261.app.netsuite.com/app/reporting/reportrunner.nl?fromreport=320&amp;regtx,tranline,kacct,x,alltranline5,IN,x,x=950&amp;cr=293" xr:uid="{5957EB46-D2DB-4174-B503-47BCF54BA3D8}"/>
    <hyperlink ref="A328" r:id="rId325" display="https://9607261.app.netsuite.com/app/reporting/reportrunner.nl?fromreport=320&amp;regtx,tranline,kacct,x,alltranline5,IN,x,x=950&amp;cr=293" xr:uid="{8579F0BA-E875-4AB9-B6DC-1AA9F31A449F}"/>
    <hyperlink ref="A329" r:id="rId326" display="https://9607261.app.netsuite.com/app/reporting/reportrunner.nl?fromreport=320&amp;regtx,tranline,kacct,x,alltranline5,IN,x,x=950&amp;cr=293" xr:uid="{6A0333A7-E970-40B1-BAEB-73D7E1ED86F7}"/>
    <hyperlink ref="A330" r:id="rId327" display="https://9607261.app.netsuite.com/app/reporting/reportrunner.nl?fromreport=320&amp;regtx,tranline,kacct,x,alltranline5,IN,x,x=950&amp;cr=293" xr:uid="{37D3B394-CB94-4248-ADAE-71E3A65644A2}"/>
    <hyperlink ref="A331" r:id="rId328" display="https://9607261.app.netsuite.com/app/reporting/reportrunner.nl?fromreport=320&amp;regtx,tranline,kacct,x,alltranline5,IN,x,x=950&amp;cr=293" xr:uid="{E08867B2-9468-4F6E-8E56-DBF576717061}"/>
    <hyperlink ref="A332" r:id="rId329" display="https://9607261.app.netsuite.com/app/reporting/reportrunner.nl?fromreport=320&amp;regtx,tranline,kacct,x,alltranline5,IN,x,x=950&amp;cr=293" xr:uid="{2C256405-3839-4C20-9CEA-789222ACD61E}"/>
    <hyperlink ref="A333" r:id="rId330" display="https://9607261.app.netsuite.com/app/reporting/reportrunner.nl?fromreport=320&amp;regtx,tranline,kacct,x,alltranline5,IN,x,x=950&amp;cr=293" xr:uid="{5FDC804F-4AB2-42A2-8962-5CCD8C0A28D3}"/>
    <hyperlink ref="A334" r:id="rId331" display="https://9607261.app.netsuite.com/app/reporting/reportrunner.nl?fromreport=320&amp;regtx,tranline,kacct,x,alltranline5,IN,x,x=950&amp;cr=293" xr:uid="{3774D846-CC0D-4A75-8CA8-C02D89148B39}"/>
    <hyperlink ref="A335" r:id="rId332" display="https://9607261.app.netsuite.com/app/reporting/reportrunner.nl?fromreport=320&amp;regtx,tranline,kacct,x,alltranline5,IN,x,x=950&amp;cr=293" xr:uid="{3558CFFE-454D-4A12-8A48-20A742848F47}"/>
    <hyperlink ref="A336" r:id="rId333" display="https://9607261.app.netsuite.com/app/reporting/reportrunner.nl?fromreport=320&amp;regtx,tranline,kacct,x,alltranline5,IN,x,x=950&amp;cr=293" xr:uid="{BB14D0DC-0BBF-4560-8753-062AD82B99AB}"/>
    <hyperlink ref="A337" r:id="rId334" display="https://9607261.app.netsuite.com/app/reporting/reportrunner.nl?fromreport=320&amp;regtx,tranline,kacct,x,alltranline5,IN,x,x=950&amp;cr=293" xr:uid="{08BAB96A-C0A0-4AA2-A952-A0E84CCDFA52}"/>
    <hyperlink ref="A338" r:id="rId335" display="https://9607261.app.netsuite.com/app/reporting/reportrunner.nl?fromreport=320&amp;regtx,tranline,kacct,x,alltranline5,IN,x,x=950&amp;cr=293" xr:uid="{04FA0302-4855-4857-BC00-16EBBB84C3BA}"/>
    <hyperlink ref="A339" r:id="rId336" display="https://9607261.app.netsuite.com/app/reporting/reportrunner.nl?fromreport=320&amp;regtx,tranline,kacct,x,alltranline5,IN,x,x=950&amp;cr=293" xr:uid="{B8B2B354-3266-435A-9D3A-97CC201D44C6}"/>
    <hyperlink ref="A340" r:id="rId337" display="https://9607261.app.netsuite.com/app/reporting/reportrunner.nl?fromreport=320&amp;regtx,tranline,kacct,x,alltranline5,IN,x,x=950&amp;cr=293" xr:uid="{9D0B1094-BD88-4579-9429-0237529AB427}"/>
    <hyperlink ref="A341" r:id="rId338" display="https://9607261.app.netsuite.com/app/reporting/reportrunner.nl?fromreport=320&amp;regtx,tranline,kacct,x,alltranline5,IN,x,x=950&amp;cr=293" xr:uid="{C52B6F94-BC54-4A82-A1AE-51E53917B2BE}"/>
    <hyperlink ref="A342" r:id="rId339" display="https://9607261.app.netsuite.com/app/reporting/reportrunner.nl?fromreport=320&amp;regtx,tranline,kacct,x,alltranline5,IN,x,x=950&amp;cr=293" xr:uid="{6AAC0CB0-06B2-4CC5-98BB-1F2DE59A4C89}"/>
    <hyperlink ref="A343" r:id="rId340" display="https://9607261.app.netsuite.com/app/reporting/reportrunner.nl?fromreport=320&amp;regtx,tranline,kacct,x,alltranline5,IN,x,x=950&amp;cr=293" xr:uid="{2EB279FA-B07B-4785-AEC4-24AFFCA3B96F}"/>
    <hyperlink ref="A344" r:id="rId341" display="https://9607261.app.netsuite.com/app/reporting/reportrunner.nl?fromreport=320&amp;regtx,tranline,kacct,x,alltranline5,IN,x,x=950&amp;cr=293" xr:uid="{F952BE65-7192-4404-B7FC-30F02925C053}"/>
    <hyperlink ref="A345" r:id="rId342" display="https://9607261.app.netsuite.com/app/reporting/reportrunner.nl?fromreport=320&amp;regtx,tranline,kacct,x,alltranline5,IN,x,x=950&amp;cr=293" xr:uid="{9FB217BC-5A79-4161-9B93-2D51C8B3DCBB}"/>
    <hyperlink ref="A346" r:id="rId343" display="https://9607261.app.netsuite.com/app/reporting/reportrunner.nl?fromreport=320&amp;regtx,tranline,kacct,x,alltranline5,IN,x,x=950&amp;cr=293" xr:uid="{607E8A1C-64AA-4625-9D6C-925F2D3629D4}"/>
    <hyperlink ref="A347" r:id="rId344" display="https://9607261.app.netsuite.com/app/reporting/reportrunner.nl?fromreport=320&amp;regtx,tranline,kacct,x,alltranline5,IN,x,x=950&amp;cr=293" xr:uid="{43D4BC0F-F6F7-4A77-8F8D-0DBE129BEAB5}"/>
    <hyperlink ref="A348" r:id="rId345" display="https://9607261.app.netsuite.com/app/reporting/reportrunner.nl?fromreport=320&amp;regtx,tranline,kacct,x,alltranline5,IN,x,x=950&amp;cr=293" xr:uid="{36C3D502-8DF3-416D-85F1-CD8557CFCB0E}"/>
    <hyperlink ref="A349" r:id="rId346" display="https://9607261.app.netsuite.com/app/reporting/reportrunner.nl?fromreport=320&amp;regtx,tranline,kacct,x,alltranline5,IN,x,x=950&amp;cr=293" xr:uid="{FEB22A17-6C76-4CCF-99CB-8BA5D5DC1ADC}"/>
    <hyperlink ref="A350" r:id="rId347" display="https://9607261.app.netsuite.com/app/reporting/reportrunner.nl?fromreport=320&amp;regtx,tranline,kacct,x,alltranline5,IN,x,x=950&amp;cr=293" xr:uid="{1D8279BB-E321-4B2B-A850-256D7B79897A}"/>
    <hyperlink ref="A351" r:id="rId348" display="https://9607261.app.netsuite.com/app/reporting/reportrunner.nl?fromreport=320&amp;regtx,tranline,kacct,x,alltranline5,IN,x,x=950&amp;cr=293" xr:uid="{3DD010B5-050B-4522-8CC3-D014D7366DE7}"/>
    <hyperlink ref="A352" r:id="rId349" display="https://9607261.app.netsuite.com/app/reporting/reportrunner.nl?fromreport=320&amp;regtx,tranline,kacct,x,alltranline5,IN,x,x=950&amp;cr=293" xr:uid="{29CE800A-7B6D-4444-93B2-D861FDD4CD03}"/>
    <hyperlink ref="A353" r:id="rId350" display="https://9607261.app.netsuite.com/app/reporting/reportrunner.nl?fromreport=320&amp;regtx,tranline,kacct,x,alltranline5,IN,x,x=950&amp;cr=293" xr:uid="{F1F412FC-F526-4C0A-8958-6348BCB266CA}"/>
    <hyperlink ref="A354" r:id="rId351" display="https://9607261.app.netsuite.com/app/reporting/reportrunner.nl?fromreport=320&amp;regtx,tranline,kacct,x,alltranline5,IN,x,x=950&amp;cr=293" xr:uid="{919F3DBA-E712-46B0-A286-A670A2CA32C9}"/>
    <hyperlink ref="A355" r:id="rId352" display="https://9607261.app.netsuite.com/app/reporting/reportrunner.nl?fromreport=320&amp;regtx,tranline,kacct,x,alltranline5,IN,x,x=950&amp;cr=293" xr:uid="{B1AB8F2B-1E00-4AFE-B8D9-9EBF1E97EAF7}"/>
    <hyperlink ref="A356" r:id="rId353" display="https://9607261.app.netsuite.com/app/reporting/reportrunner.nl?fromreport=320&amp;regtx,tranline,kacct,x,alltranline5,IN,x,x=950&amp;cr=293" xr:uid="{2B5DF760-EB51-4A3A-8A72-88E7AA89384C}"/>
    <hyperlink ref="A357" r:id="rId354" display="https://9607261.app.netsuite.com/app/reporting/reportrunner.nl?fromreport=320&amp;regtx,tranline,kacct,x,alltranline5,IN,x,x=950&amp;cr=293" xr:uid="{882627D1-0952-4089-A3F4-B37E5926A8A9}"/>
    <hyperlink ref="A358" r:id="rId355" display="https://9607261.app.netsuite.com/app/reporting/reportrunner.nl?fromreport=320&amp;regtx,tranline,kacct,x,alltranline5,IN,x,x=950&amp;cr=293" xr:uid="{74F75F8B-4636-42F1-9021-46B6F5789137}"/>
    <hyperlink ref="A359" r:id="rId356" display="https://9607261.app.netsuite.com/app/reporting/reportrunner.nl?fromreport=320&amp;regtx,tranline,kacct,x,alltranline5,IN,x,x=950&amp;cr=293" xr:uid="{C2DAB470-A10D-4C4F-AC10-1578A2575CF7}"/>
    <hyperlink ref="A360" r:id="rId357" display="https://9607261.app.netsuite.com/app/reporting/reportrunner.nl?fromreport=320&amp;regtx,tranline,kacct,x,alltranline5,IN,x,x=950&amp;cr=293" xr:uid="{70221D47-CDC3-4BF0-85B0-4EA201BD79E0}"/>
    <hyperlink ref="A361" r:id="rId358" display="https://9607261.app.netsuite.com/app/reporting/reportrunner.nl?fromreport=320&amp;regtx,tranline,kacct,x,alltranline5,IN,x,x=950&amp;cr=293" xr:uid="{76EBAF1A-C9F3-4710-84DB-AAF5B885B0F0}"/>
    <hyperlink ref="A362" r:id="rId359" display="https://9607261.app.netsuite.com/app/reporting/reportrunner.nl?fromreport=320&amp;regtx,tranline,kacct,x,alltranline5,IN,x,x=950&amp;cr=293" xr:uid="{9B318B63-66FA-431B-AA05-45CD67C204F4}"/>
    <hyperlink ref="A363" r:id="rId360" display="https://9607261.app.netsuite.com/app/reporting/reportrunner.nl?fromreport=320&amp;regtx,tranline,kacct,x,alltranline5,IN,x,x=950&amp;cr=293" xr:uid="{283499A6-1BC8-4AF8-A971-7C2289EDC8CF}"/>
    <hyperlink ref="A364" r:id="rId361" display="https://9607261.app.netsuite.com/app/reporting/reportrunner.nl?fromreport=320&amp;regtx,tranline,kacct,x,alltranline5,IN,x,x=950&amp;cr=293" xr:uid="{4D7596D1-EDF2-48CD-AA89-0422601A3713}"/>
    <hyperlink ref="A365" r:id="rId362" display="https://9607261.app.netsuite.com/app/reporting/reportrunner.nl?fromreport=320&amp;regtx,tranline,kacct,x,alltranline5,IN,x,x=950&amp;cr=293" xr:uid="{4308CE9C-1AAA-4F65-9B72-A9928CEDC1AA}"/>
    <hyperlink ref="A366" r:id="rId363" display="https://9607261.app.netsuite.com/app/reporting/reportrunner.nl?fromreport=320&amp;regtx,tranline,kacct,x,alltranline5,IN,x,x=950&amp;cr=293" xr:uid="{4BB766ED-F51A-4443-A6C3-0CD66BEDF2DD}"/>
    <hyperlink ref="A367" r:id="rId364" display="https://9607261.app.netsuite.com/app/reporting/reportrunner.nl?fromreport=320&amp;regtx,tranline,kacct,x,alltranline5,IN,x,x=950&amp;cr=293" xr:uid="{736404D7-6819-44CA-B7D7-AB0256150355}"/>
    <hyperlink ref="A368" r:id="rId365" display="https://9607261.app.netsuite.com/app/reporting/reportrunner.nl?fromreport=320&amp;regtx,tranline,kacct,x,alltranline5,IN,x,x=950&amp;cr=293" xr:uid="{4125D138-BB72-4289-B1E8-E502629BD114}"/>
    <hyperlink ref="A369" r:id="rId366" display="https://9607261.app.netsuite.com/app/reporting/reportrunner.nl?fromreport=320&amp;regtx,tranline,kacct,x,alltranline5,IN,x,x=950&amp;cr=293" xr:uid="{8B81D9D9-096C-4D95-8718-43D5F8146224}"/>
    <hyperlink ref="A370" r:id="rId367" display="https://9607261.app.netsuite.com/app/reporting/reportrunner.nl?fromreport=320&amp;regtx,tranline,kacct,x,alltranline5,IN,x,x=950&amp;cr=293" xr:uid="{4B6F9F09-5E0A-45AA-AFDB-A4A2AC69E971}"/>
    <hyperlink ref="A371" r:id="rId368" display="https://9607261.app.netsuite.com/app/reporting/reportrunner.nl?fromreport=320&amp;regtx,tranline,kacct,x,alltranline5,IN,x,x=950&amp;cr=293" xr:uid="{8EFAF756-4BD1-43A1-BDC4-10742153AEB7}"/>
    <hyperlink ref="A372" r:id="rId369" display="https://9607261.app.netsuite.com/app/reporting/reportrunner.nl?fromreport=320&amp;regtx,tranline,kacct,x,alltranline5,IN,x,x=950&amp;cr=293" xr:uid="{A736C08E-9DE4-4F21-B797-964D492A6241}"/>
    <hyperlink ref="A373" r:id="rId370" display="https://9607261.app.netsuite.com/app/reporting/reportrunner.nl?fromreport=320&amp;regtx,tranline,kacct,x,alltranline5,IN,x,x=950&amp;cr=293" xr:uid="{7D40465F-9AED-49AF-A23F-E083BC6B4D4D}"/>
    <hyperlink ref="A374" r:id="rId371" display="https://9607261.app.netsuite.com/app/reporting/reportrunner.nl?fromreport=320&amp;regtx,tranline,kacct,x,alltranline5,IN,x,x=950&amp;cr=293" xr:uid="{5AF0D816-A0E7-4792-9A95-93AC42E565E4}"/>
    <hyperlink ref="A375" r:id="rId372" display="https://9607261.app.netsuite.com/app/reporting/reportrunner.nl?fromreport=320&amp;regtx,tranline,kacct,x,alltranline5,IN,x,x=950&amp;cr=293" xr:uid="{EDD01C98-37AD-4CD0-A052-98DB045D3AC3}"/>
    <hyperlink ref="A376" r:id="rId373" display="https://9607261.app.netsuite.com/app/reporting/reportrunner.nl?fromreport=320&amp;regtx,tranline,kacct,x,alltranline5,IN,x,x=950&amp;cr=293" xr:uid="{C9DACAF9-E5C7-4E22-9099-64F972415F63}"/>
    <hyperlink ref="A377" r:id="rId374" display="https://9607261.app.netsuite.com/app/reporting/reportrunner.nl?fromreport=320&amp;regtx,tranline,kacct,x,alltranline5,IN,x,x=950&amp;cr=293" xr:uid="{E3343FCF-578D-40C3-AA56-059AD2EF8228}"/>
    <hyperlink ref="A378" r:id="rId375" display="https://9607261.app.netsuite.com/app/reporting/reportrunner.nl?fromreport=320&amp;regtx,tranline,kacct,x,alltranline5,IN,x,x=950&amp;cr=293" xr:uid="{862D485E-09BF-45B1-88CF-86E34943468A}"/>
    <hyperlink ref="A379" r:id="rId376" display="https://9607261.app.netsuite.com/app/reporting/reportrunner.nl?fromreport=320&amp;regtx,tranline,kacct,x,alltranline5,IN,x,x=950&amp;cr=293" xr:uid="{611E2CA3-8BE8-4135-8164-2EE0DCE0C97C}"/>
    <hyperlink ref="A380" r:id="rId377" display="https://9607261.app.netsuite.com/app/reporting/reportrunner.nl?fromreport=320&amp;regtx,tranline,kacct,x,alltranline5,IN,x,x=950&amp;cr=293" xr:uid="{CAA95EE5-6143-4033-B01B-A8DE688274BD}"/>
    <hyperlink ref="A381" r:id="rId378" display="https://9607261.app.netsuite.com/app/reporting/reportrunner.nl?fromreport=320&amp;regtx,tranline,kacct,x,alltranline5,IN,x,x=950&amp;cr=293" xr:uid="{169381A4-4FDB-4DE5-888F-7E3A5E6B6BFD}"/>
    <hyperlink ref="A382" r:id="rId379" display="https://9607261.app.netsuite.com/app/reporting/reportrunner.nl?fromreport=320&amp;regtx,tranline,kacct,x,alltranline5,IN,x,x=950&amp;cr=293" xr:uid="{0588BA2E-419C-4380-97B8-6351127A2DC0}"/>
    <hyperlink ref="A383" r:id="rId380" display="https://9607261.app.netsuite.com/app/reporting/reportrunner.nl?fromreport=320&amp;regtx,tranline,kacct,x,alltranline5,IN,x,x=950&amp;cr=293" xr:uid="{C252F378-2341-4417-8986-C88FCA5ADAE3}"/>
    <hyperlink ref="A384" r:id="rId381" display="https://9607261.app.netsuite.com/app/reporting/reportrunner.nl?fromreport=320&amp;regtx,tranline,kacct,x,alltranline5,IN,x,x=950&amp;cr=293" xr:uid="{6B42B27B-B611-4A28-9203-0BF92FA6982C}"/>
    <hyperlink ref="A385" r:id="rId382" display="https://9607261.app.netsuite.com/app/reporting/reportrunner.nl?fromreport=320&amp;regtx,tranline,kacct,x,alltranline5,IN,x,x=950&amp;cr=293" xr:uid="{5F80074C-7139-4A05-9A9B-64BC871EDB47}"/>
    <hyperlink ref="A386" r:id="rId383" display="https://9607261.app.netsuite.com/app/reporting/reportrunner.nl?fromreport=320&amp;regtx,tranline,kacct,x,alltranline5,IN,x,x=950&amp;cr=293" xr:uid="{ABD626A1-7791-46F2-86A4-CAFC40108EDC}"/>
    <hyperlink ref="A387" r:id="rId384" display="https://9607261.app.netsuite.com/app/reporting/reportrunner.nl?fromreport=320&amp;regtx,tranline,kacct,x,alltranline5,IN,x,x=950&amp;cr=293" xr:uid="{50D964E9-FF03-4DD4-9971-78B8040E35BD}"/>
    <hyperlink ref="A388" r:id="rId385" display="https://9607261.app.netsuite.com/app/reporting/reportrunner.nl?fromreport=320&amp;regtx,tranline,kacct,x,alltranline5,IN,x,x=950&amp;cr=293" xr:uid="{A585E726-4EE1-4C72-80B5-E868B715CB6B}"/>
    <hyperlink ref="A389" r:id="rId386" display="https://9607261.app.netsuite.com/app/reporting/reportrunner.nl?fromreport=320&amp;regtx,tranline,kacct,x,alltranline5,IN,x,x=950&amp;cr=293" xr:uid="{51230DC1-87FF-43C3-AA56-306FC680BF08}"/>
    <hyperlink ref="A390" r:id="rId387" display="https://9607261.app.netsuite.com/app/reporting/reportrunner.nl?fromreport=320&amp;regtx,tranline,kacct,x,alltranline5,IN,x,x=950&amp;cr=293" xr:uid="{744F0923-37D1-41AA-8FA7-FA5E461560F3}"/>
    <hyperlink ref="A391" r:id="rId388" display="https://9607261.app.netsuite.com/app/reporting/reportrunner.nl?fromreport=320&amp;regtx,tranline,kacct,x,alltranline5,IN,x,x=950&amp;cr=293" xr:uid="{B71C1C1F-3EEA-4A46-86DB-F2995A83238C}"/>
    <hyperlink ref="A392" r:id="rId389" display="https://9607261.app.netsuite.com/app/reporting/reportrunner.nl?fromreport=320&amp;regtx,tranline,kacct,x,alltranline5,IN,x,x=950&amp;cr=293" xr:uid="{843C9405-F7FF-4F6D-8881-33491A262F6E}"/>
    <hyperlink ref="A393" r:id="rId390" display="https://9607261.app.netsuite.com/app/reporting/reportrunner.nl?fromreport=320&amp;regtx,tranline,kacct,x,alltranline5,IN,x,x=950&amp;cr=293" xr:uid="{87E46EFB-3E67-4723-93E0-18BFFCDBF4C5}"/>
    <hyperlink ref="A394" r:id="rId391" display="https://9607261.app.netsuite.com/app/reporting/reportrunner.nl?fromreport=320&amp;regtx,tranline,kacct,x,alltranline5,IN,x,x=950&amp;cr=293" xr:uid="{BE91E2A6-9307-4C12-8BC1-D1B41354276E}"/>
    <hyperlink ref="A395" r:id="rId392" display="https://9607261.app.netsuite.com/app/reporting/reportrunner.nl?fromreport=320&amp;regtx,tranline,kacct,x,alltranline5,IN,x,x=950&amp;cr=293" xr:uid="{043270E4-224B-4AA4-B7DB-1C3F1269EEBC}"/>
    <hyperlink ref="A396" r:id="rId393" display="https://9607261.app.netsuite.com/app/reporting/reportrunner.nl?fromreport=320&amp;regtx,tranline,kacct,x,alltranline5,IN,x,x=950&amp;cr=293" xr:uid="{3E7EB1D1-D16C-40AE-80BA-0A14575E9053}"/>
    <hyperlink ref="A397" r:id="rId394" display="https://9607261.app.netsuite.com/app/reporting/reportrunner.nl?fromreport=320&amp;regtx,tranline,kacct,x,alltranline5,IN,x,x=950&amp;cr=293" xr:uid="{D4B8C739-04FD-4FC1-BE48-B7480C388042}"/>
    <hyperlink ref="A398" r:id="rId395" display="https://9607261.app.netsuite.com/app/reporting/reportrunner.nl?fromreport=320&amp;regtx,tranline,kacct,x,alltranline5,IN,x,x=950&amp;cr=293" xr:uid="{A0E6DE48-BFDA-4BD6-8A36-D7614AAF8A00}"/>
    <hyperlink ref="A399" r:id="rId396" display="https://9607261.app.netsuite.com/app/reporting/reportrunner.nl?fromreport=320&amp;regtx,tranline,kacct,x,alltranline5,IN,x,x=950&amp;cr=293" xr:uid="{D1FCF92F-0342-4018-80F0-DF712CC82E4B}"/>
    <hyperlink ref="A400" r:id="rId397" display="https://9607261.app.netsuite.com/app/reporting/reportrunner.nl?fromreport=320&amp;regtx,tranline,kacct,x,alltranline5,IN,x,x=950&amp;cr=293" xr:uid="{74694F52-E19A-4FC4-A58B-A6E693EA7F98}"/>
    <hyperlink ref="A401" r:id="rId398" display="https://9607261.app.netsuite.com/app/reporting/reportrunner.nl?fromreport=320&amp;regtx,tranline,kacct,x,alltranline5,IN,x,x=950&amp;cr=293" xr:uid="{E3759F0D-F3C9-4A5E-9658-0E07EF213EC7}"/>
    <hyperlink ref="A402" r:id="rId399" display="https://9607261.app.netsuite.com/app/reporting/reportrunner.nl?fromreport=320&amp;regtx,tranline,kacct,x,alltranline5,IN,x,x=950&amp;cr=293" xr:uid="{FDDEDC2B-D6DF-4110-8DED-5727D054679A}"/>
    <hyperlink ref="A403" r:id="rId400" display="https://9607261.app.netsuite.com/app/reporting/reportrunner.nl?fromreport=320&amp;regtx,tranline,kacct,x,alltranline5,IN,x,x=950&amp;cr=293" xr:uid="{B271C117-5176-4D5B-BE37-A415E408CB12}"/>
    <hyperlink ref="A404" r:id="rId401" display="https://9607261.app.netsuite.com/app/reporting/reportrunner.nl?fromreport=320&amp;regtx,tranline,kacct,x,alltranline5,IN,x,x=950&amp;cr=293" xr:uid="{6BC04EA3-333D-40CB-A8FB-C2388AC86C66}"/>
    <hyperlink ref="A405" r:id="rId402" display="https://9607261.app.netsuite.com/app/reporting/reportrunner.nl?fromreport=320&amp;regtx,tranline,kacct,x,alltranline5,IN,x,x=950&amp;cr=293" xr:uid="{C6290EB3-208B-4939-8825-85CA85FF55BB}"/>
    <hyperlink ref="A406" r:id="rId403" display="https://9607261.app.netsuite.com/app/reporting/reportrunner.nl?fromreport=320&amp;regtx,tranline,kacct,x,alltranline5,IN,x,x=950&amp;cr=293" xr:uid="{2725BBB1-07C6-44E7-AB51-B083B40A4C5C}"/>
    <hyperlink ref="A407" r:id="rId404" display="https://9607261.app.netsuite.com/app/reporting/reportrunner.nl?fromreport=320&amp;regtx,tranline,kacct,x,alltranline5,IN,x,x=950&amp;cr=293" xr:uid="{52A1FE74-C6F3-44B2-AB70-D054F6D5F788}"/>
    <hyperlink ref="A408" r:id="rId405" display="https://9607261.app.netsuite.com/app/reporting/reportrunner.nl?fromreport=320&amp;regtx,tranline,kacct,x,alltranline5,IN,x,x=950&amp;cr=293" xr:uid="{BDC7135F-2B51-450C-B4D1-149B129C31B1}"/>
    <hyperlink ref="A409" r:id="rId406" display="https://9607261.app.netsuite.com/app/reporting/reportrunner.nl?fromreport=320&amp;regtx,tranline,kacct,x,alltranline5,IN,x,x=950&amp;cr=293" xr:uid="{7973D4CB-3A4E-4BC6-9EB6-07F81D021288}"/>
    <hyperlink ref="A410" r:id="rId407" display="https://9607261.app.netsuite.com/app/reporting/reportrunner.nl?fromreport=320&amp;regtx,tranline,kacct,x,alltranline5,IN,x,x=950&amp;cr=293" xr:uid="{CFDBFD12-D7C7-4D0D-9E76-0CC35E3F21B5}"/>
    <hyperlink ref="A411" r:id="rId408" display="https://9607261.app.netsuite.com/app/reporting/reportrunner.nl?fromreport=320&amp;regtx,tranline,kacct,x,alltranline5,IN,x,x=950&amp;cr=293" xr:uid="{9E57BB34-B14A-4C9D-AB11-B6155316311A}"/>
    <hyperlink ref="A412" r:id="rId409" display="https://9607261.app.netsuite.com/app/reporting/reportrunner.nl?fromreport=320&amp;regtx,tranline,kacct,x,alltranline5,IN,x,x=950&amp;cr=293" xr:uid="{49259065-2995-4F23-8A2C-55F10E3A8008}"/>
    <hyperlink ref="A413" r:id="rId410" display="https://9607261.app.netsuite.com/app/reporting/reportrunner.nl?fromreport=320&amp;regtx,tranline,kacct,x,alltranline5,IN,x,x=950&amp;cr=293" xr:uid="{CC7F14E7-73B2-4A56-AB99-35D90E09800A}"/>
    <hyperlink ref="A414" r:id="rId411" display="https://9607261.app.netsuite.com/app/reporting/reportrunner.nl?fromreport=320&amp;regtx,tranline,kacct,x,alltranline5,IN,x,x=950&amp;cr=293" xr:uid="{CFBAABBF-57B8-4439-9207-E6386296F7B0}"/>
    <hyperlink ref="A415" r:id="rId412" display="https://9607261.app.netsuite.com/app/reporting/reportrunner.nl?fromreport=320&amp;regtx,tranline,kacct,x,alltranline5,IN,x,x=950&amp;cr=293" xr:uid="{B4A5F472-F117-4D5C-8EFF-E5764B97462D}"/>
    <hyperlink ref="A416" r:id="rId413" display="https://9607261.app.netsuite.com/app/reporting/reportrunner.nl?fromreport=320&amp;regtx,tranline,kacct,x,alltranline5,IN,x,x=950&amp;cr=293" xr:uid="{A0E0080C-77B9-42AC-B0CE-BDEA219F2910}"/>
    <hyperlink ref="A417" r:id="rId414" display="https://9607261.app.netsuite.com/app/reporting/reportrunner.nl?fromreport=320&amp;regtx,tranline,kacct,x,alltranline5,IN,x,x=950&amp;cr=293" xr:uid="{ED8175EC-C9CA-442D-9B50-FF402C3F906B}"/>
    <hyperlink ref="A418" r:id="rId415" display="https://9607261.app.netsuite.com/app/reporting/reportrunner.nl?fromreport=320&amp;regtx,tranline,kacct,x,alltranline5,IN,x,x=950&amp;cr=293" xr:uid="{5AE44141-DD64-4C0B-BA63-4738AEAC2AB5}"/>
    <hyperlink ref="A419" r:id="rId416" display="https://9607261.app.netsuite.com/app/reporting/reportrunner.nl?fromreport=320&amp;regtx,tranline,kacct,x,alltranline5,IN,x,x=950&amp;cr=293" xr:uid="{28F3E5A1-BF51-47A6-8C87-3146ADC30057}"/>
    <hyperlink ref="A420" r:id="rId417" display="https://9607261.app.netsuite.com/app/reporting/reportrunner.nl?fromreport=320&amp;regtx,tranline,kacct,x,alltranline5,IN,x,x=950&amp;cr=293" xr:uid="{F363A91F-C4A4-4108-B3DB-C51EC7C45433}"/>
    <hyperlink ref="A421" r:id="rId418" display="https://9607261.app.netsuite.com/app/reporting/reportrunner.nl?fromreport=320&amp;regtx,tranline,kacct,x,alltranline5,IN,x,x=950&amp;cr=293" xr:uid="{DB70861F-7E69-48A5-B2CE-396B8D8C129B}"/>
    <hyperlink ref="A422" r:id="rId419" display="https://9607261.app.netsuite.com/app/reporting/reportrunner.nl?fromreport=320&amp;regtx,tranline,kacct,x,alltranline5,IN,x,x=950&amp;cr=293" xr:uid="{9C12C3CF-B9D9-419A-82FC-27B6FE5AD22E}"/>
    <hyperlink ref="A423" r:id="rId420" display="https://9607261.app.netsuite.com/app/reporting/reportrunner.nl?fromreport=320&amp;regtx,tranline,kacct,x,alltranline5,IN,x,x=950&amp;cr=293" xr:uid="{2FA1D381-BA7D-4564-851B-5ADCEDC89143}"/>
    <hyperlink ref="A424" r:id="rId421" display="https://9607261.app.netsuite.com/app/reporting/reportrunner.nl?fromreport=320&amp;regtx,tranline,kacct,x,alltranline5,IN,x,x=950&amp;cr=293" xr:uid="{1A38D030-32D7-43BE-BD74-41BE1C1BDDE8}"/>
    <hyperlink ref="A425" r:id="rId422" display="https://9607261.app.netsuite.com/app/reporting/reportrunner.nl?fromreport=320&amp;regtx,tranline,kacct,x,alltranline5,IN,x,x=950&amp;cr=293" xr:uid="{B2F3A582-265E-47FB-920D-9567C5FD5F3E}"/>
    <hyperlink ref="A426" r:id="rId423" display="https://9607261.app.netsuite.com/app/reporting/reportrunner.nl?fromreport=320&amp;regtx,tranline,kacct,x,alltranline5,IN,x,x=950&amp;cr=293" xr:uid="{ED3A44F6-57B4-460E-BCF3-884F9396E5E0}"/>
    <hyperlink ref="A427" r:id="rId424" display="https://9607261.app.netsuite.com/app/reporting/reportrunner.nl?fromreport=320&amp;regtx,tranline,kacct,x,alltranline5,IN,x,x=950&amp;cr=293" xr:uid="{BACD3864-0447-4F61-B135-28BE77D5C668}"/>
    <hyperlink ref="A428" r:id="rId425" display="https://9607261.app.netsuite.com/app/reporting/reportrunner.nl?fromreport=320&amp;regtx,tranline,kacct,x,alltranline5,IN,x,x=950&amp;cr=293" xr:uid="{6BAF4664-3323-4FA5-A20D-B836197BBD05}"/>
    <hyperlink ref="A429" r:id="rId426" display="https://9607261.app.netsuite.com/app/reporting/reportrunner.nl?fromreport=320&amp;regtx,tranline,kacct,x,alltranline5,IN,x,x=950&amp;cr=293" xr:uid="{29790C67-1927-4F54-91FA-80F5B2F53B9F}"/>
    <hyperlink ref="A430" r:id="rId427" display="https://9607261.app.netsuite.com/app/reporting/reportrunner.nl?fromreport=320&amp;regtx,tranline,kacct,x,alltranline5,IN,x,x=950&amp;cr=293" xr:uid="{303700C4-D152-42FD-AED2-079EF6B84C31}"/>
    <hyperlink ref="A431" r:id="rId428" display="https://9607261.app.netsuite.com/app/reporting/reportrunner.nl?fromreport=320&amp;regtx,tranline,kacct,x,alltranline5,IN,x,x=950&amp;cr=293" xr:uid="{8B22FCB5-EC9F-4D54-B6E3-6C645C651556}"/>
    <hyperlink ref="A432" r:id="rId429" display="https://9607261.app.netsuite.com/app/reporting/reportrunner.nl?fromreport=320&amp;regtx,tranline,kacct,x,alltranline5,IN,x,x=950&amp;cr=293" xr:uid="{0038E276-C312-4B62-867B-FE785814126B}"/>
    <hyperlink ref="A433" r:id="rId430" display="https://9607261.app.netsuite.com/app/reporting/reportrunner.nl?fromreport=320&amp;regtx,tranline,kacct,x,alltranline5,IN,x,x=950&amp;cr=293" xr:uid="{5B3E9020-8A38-4FDD-B2E7-D1866FD3C6B4}"/>
    <hyperlink ref="A434" r:id="rId431" display="https://9607261.app.netsuite.com/app/reporting/reportrunner.nl?fromreport=320&amp;regtx,tranline,kacct,x,alltranline5,IN,x,x=950&amp;cr=293" xr:uid="{B935B879-1D3C-415F-958F-403C41139D20}"/>
    <hyperlink ref="A435" r:id="rId432" display="https://9607261.app.netsuite.com/app/reporting/reportrunner.nl?fromreport=320&amp;regtx,tranline,kacct,x,alltranline5,IN,x,x=950&amp;cr=293" xr:uid="{53CB7B29-891A-4A63-917C-D8371791BA31}"/>
    <hyperlink ref="A436" r:id="rId433" display="https://9607261.app.netsuite.com/app/reporting/reportrunner.nl?fromreport=320&amp;regtx,tranline,kacct,x,alltranline5,IN,x,x=950&amp;cr=293" xr:uid="{05200A5A-727A-4A01-B14E-D81D77615B3B}"/>
    <hyperlink ref="A437" r:id="rId434" display="https://9607261.app.netsuite.com/app/reporting/reportrunner.nl?fromreport=320&amp;regtx,tranline,kacct,x,alltranline5,IN,x,x=950&amp;cr=293" xr:uid="{1D0C25E5-E0AE-4252-86C3-1DB817D6C3A4}"/>
    <hyperlink ref="A438" r:id="rId435" display="https://9607261.app.netsuite.com/app/reporting/reportrunner.nl?fromreport=320&amp;regtx,tranline,kacct,x,alltranline5,IN,x,x=950&amp;cr=293" xr:uid="{0316A7ED-0D49-4226-AFFF-0A409403B000}"/>
    <hyperlink ref="A439" r:id="rId436" display="https://9607261.app.netsuite.com/app/reporting/reportrunner.nl?fromreport=320&amp;regtx,tranline,kacct,x,alltranline5,IN,x,x=950&amp;cr=293" xr:uid="{1FFADA50-5F79-46FD-859A-C638AF6F6A00}"/>
    <hyperlink ref="A440" r:id="rId437" display="https://9607261.app.netsuite.com/app/reporting/reportrunner.nl?fromreport=320&amp;regtx,tranline,kacct,x,alltranline5,IN,x,x=950&amp;cr=293" xr:uid="{D086E10B-2BA2-4A02-AB4B-E6F3BA74291F}"/>
    <hyperlink ref="A441" r:id="rId438" display="https://9607261.app.netsuite.com/app/reporting/reportrunner.nl?fromreport=320&amp;regtx,tranline,kacct,x,alltranline5,IN,x,x=950&amp;cr=293" xr:uid="{2DB4C415-D19E-4304-B601-3E0DB09A9D7A}"/>
    <hyperlink ref="A442" r:id="rId439" display="https://9607261.app.netsuite.com/app/reporting/reportrunner.nl?fromreport=320&amp;regtx,tranline,kacct,x,alltranline5,IN,x,x=950&amp;cr=293" xr:uid="{5D5F4529-6650-4301-9465-0CBAD439E8EA}"/>
    <hyperlink ref="A443" r:id="rId440" display="https://9607261.app.netsuite.com/app/reporting/reportrunner.nl?fromreport=320&amp;regtx,tranline,kacct,x,alltranline5,IN,x,x=950&amp;cr=293" xr:uid="{20F90E9F-9438-40AD-8EC1-645B4580BA09}"/>
    <hyperlink ref="A444" r:id="rId441" display="https://9607261.app.netsuite.com/app/reporting/reportrunner.nl?fromreport=320&amp;regtx,tranline,kacct,x,alltranline5,IN,x,x=950&amp;cr=293" xr:uid="{B11F5556-C440-440B-9183-734F14960001}"/>
    <hyperlink ref="A445" r:id="rId442" display="https://9607261.app.netsuite.com/app/reporting/reportrunner.nl?fromreport=320&amp;regtx,tranline,kacct,x,alltranline5,IN,x,x=950&amp;cr=293" xr:uid="{7B3D0A23-0D4B-4A3E-BC62-F47BBBFF9CA3}"/>
    <hyperlink ref="A446" r:id="rId443" display="https://9607261.app.netsuite.com/app/reporting/reportrunner.nl?fromreport=320&amp;regtx,tranline,kacct,x,alltranline5,IN,x,x=950&amp;cr=293" xr:uid="{32D5D17F-5E4C-484B-BBE7-7A85B2EE8FF0}"/>
    <hyperlink ref="A447" r:id="rId444" display="https://9607261.app.netsuite.com/app/reporting/reportrunner.nl?fromreport=320&amp;regtx,tranline,kacct,x,alltranline5,IN,x,x=950&amp;cr=293" xr:uid="{6A37B313-35F5-4FBD-8AAF-0655591B87AB}"/>
    <hyperlink ref="A448" r:id="rId445" display="https://9607261.app.netsuite.com/app/reporting/reportrunner.nl?fromreport=320&amp;regtx,tranline,kacct,x,alltranline5,IN,x,x=950&amp;cr=293" xr:uid="{9EEE9DD9-56A9-4CE8-97F0-86AE76C59701}"/>
    <hyperlink ref="A449" r:id="rId446" display="https://9607261.app.netsuite.com/app/reporting/reportrunner.nl?fromreport=320&amp;regtx,tranline,kacct,x,alltranline5,IN,x,x=950&amp;cr=293" xr:uid="{0BB9CE35-3CCD-4ABC-91B8-D66EDE4B7C3A}"/>
    <hyperlink ref="A450" r:id="rId447" display="https://9607261.app.netsuite.com/app/reporting/reportrunner.nl?fromreport=320&amp;regtx,tranline,kacct,x,alltranline5,IN,x,x=950&amp;cr=293" xr:uid="{3B36ABF3-E398-49F2-9B7B-6BBF7FCABB0D}"/>
    <hyperlink ref="A451" r:id="rId448" display="https://9607261.app.netsuite.com/app/reporting/reportrunner.nl?fromreport=320&amp;regtx,tranline,kacct,x,alltranline5,IN,x,x=950&amp;cr=293" xr:uid="{2BEC24BC-F3C1-42B9-8AB1-BB5B9FCE1EA9}"/>
    <hyperlink ref="A452" r:id="rId449" display="https://9607261.app.netsuite.com/app/reporting/reportrunner.nl?fromreport=320&amp;regtx,tranline,kacct,x,alltranline5,IN,x,x=950&amp;cr=293" xr:uid="{7C132C11-E01E-45AC-BE4D-A745985C7D90}"/>
    <hyperlink ref="A453" r:id="rId450" display="https://9607261.app.netsuite.com/app/reporting/reportrunner.nl?fromreport=320&amp;regtx,tranline,kacct,x,alltranline5,IN,x,x=950&amp;cr=293" xr:uid="{B1550AD7-F0C6-4303-B83F-8EDBF51DDA64}"/>
    <hyperlink ref="A454" r:id="rId451" display="https://9607261.app.netsuite.com/app/reporting/reportrunner.nl?fromreport=320&amp;regtx,tranline,kacct,x,alltranline5,IN,x,x=950&amp;cr=293" xr:uid="{5620A7B7-B841-48DB-885B-F1B28771459F}"/>
    <hyperlink ref="A455" r:id="rId452" display="https://9607261.app.netsuite.com/app/reporting/reportrunner.nl?fromreport=320&amp;regtx,tranline,kacct,x,alltranline5,IN,x,x=950&amp;cr=293" xr:uid="{EE89A08D-1519-46CF-9301-EF54A406B8F5}"/>
    <hyperlink ref="A456" r:id="rId453" display="https://9607261.app.netsuite.com/app/reporting/reportrunner.nl?fromreport=320&amp;regtx,tranline,kacct,x,alltranline5,IN,x,x=950&amp;cr=293" xr:uid="{1F130EDD-CF05-4BDD-A4B3-6CF433EEF87A}"/>
    <hyperlink ref="A457" r:id="rId454" display="https://9607261.app.netsuite.com/app/reporting/reportrunner.nl?fromreport=320&amp;regtx,tranline,kacct,x,alltranline5,IN,x,x=950&amp;cr=293" xr:uid="{4CEB448C-2D21-4B97-B31F-204F0E463A5A}"/>
    <hyperlink ref="A458" r:id="rId455" display="https://9607261.app.netsuite.com/app/reporting/reportrunner.nl?fromreport=320&amp;regtx,tranline,kacct,x,alltranline5,IN,x,x=950&amp;cr=293" xr:uid="{46B0255A-EA85-4C0E-8F2E-6A9D26ABAE10}"/>
    <hyperlink ref="A459" r:id="rId456" display="https://9607261.app.netsuite.com/app/reporting/reportrunner.nl?fromreport=320&amp;regtx,tranline,kacct,x,alltranline5,IN,x,x=950&amp;cr=293" xr:uid="{A3897DD3-A740-46F9-B725-54459A573E6B}"/>
    <hyperlink ref="A460" r:id="rId457" display="https://9607261.app.netsuite.com/app/reporting/reportrunner.nl?fromreport=320&amp;regtx,tranline,kacct,x,alltranline5,IN,x,x=950&amp;cr=293" xr:uid="{3C08E57F-1120-4DAF-84D5-C17751F6C4D6}"/>
    <hyperlink ref="A461" r:id="rId458" display="https://9607261.app.netsuite.com/app/reporting/reportrunner.nl?fromreport=320&amp;regtx,tranline,kacct,x,alltranline5,IN,x,x=950&amp;cr=293" xr:uid="{91A75242-F6B8-4A3D-B3AD-56E1DC9CFDBE}"/>
    <hyperlink ref="A462" r:id="rId459" display="https://9607261.app.netsuite.com/app/reporting/reportrunner.nl?fromreport=320&amp;regtx,tranline,kacct,x,alltranline5,IN,x,x=950&amp;cr=293" xr:uid="{FED940AC-0E91-4F16-8004-1B83FEC195FB}"/>
    <hyperlink ref="A463" r:id="rId460" display="https://9607261.app.netsuite.com/app/reporting/reportrunner.nl?fromreport=320&amp;regtx,tranline,kacct,x,alltranline5,IN,x,x=950&amp;cr=293" xr:uid="{6DEC3946-2C35-4132-8476-A60654BBC0A2}"/>
    <hyperlink ref="A464" r:id="rId461" display="https://9607261.app.netsuite.com/app/reporting/reportrunner.nl?fromreport=320&amp;regtx,tranline,kacct,x,alltranline5,IN,x,x=950&amp;cr=293" xr:uid="{FA66A4B2-BB53-4AA2-B2C8-0163808529C5}"/>
    <hyperlink ref="A465" r:id="rId462" display="https://9607261.app.netsuite.com/app/reporting/reportrunner.nl?fromreport=320&amp;regtx,tranline,kacct,x,alltranline5,IN,x,x=950&amp;cr=293" xr:uid="{09E42C84-AAF2-4361-ADCE-F7F2B42529E4}"/>
    <hyperlink ref="A466" r:id="rId463" display="https://9607261.app.netsuite.com/app/reporting/reportrunner.nl?fromreport=320&amp;regtx,tranline,kacct,x,alltranline5,IN,x,x=950&amp;cr=293" xr:uid="{042182B3-6765-4614-90E1-F3E07F9A5F8C}"/>
    <hyperlink ref="A467" r:id="rId464" display="https://9607261.app.netsuite.com/app/reporting/reportrunner.nl?fromreport=320&amp;regtx,tranline,kacct,x,alltranline5,IN,x,x=950&amp;cr=293" xr:uid="{DA5579A5-0926-4914-82B0-941CDF70408A}"/>
    <hyperlink ref="A468" r:id="rId465" display="https://9607261.app.netsuite.com/app/reporting/reportrunner.nl?fromreport=320&amp;regtx,tranline,kacct,x,alltranline5,IN,x,x=950&amp;cr=293" xr:uid="{C54EB4FC-4DEE-458D-A340-5B6D30FF0510}"/>
    <hyperlink ref="A469" r:id="rId466" display="https://9607261.app.netsuite.com/app/reporting/reportrunner.nl?fromreport=320&amp;regtx,tranline,kacct,x,alltranline5,IN,x,x=950&amp;cr=293" xr:uid="{7F1E63A0-6E5E-4824-96E9-D8A7E3DD3D91}"/>
    <hyperlink ref="A470" r:id="rId467" display="https://9607261.app.netsuite.com/app/reporting/reportrunner.nl?fromreport=320&amp;regtx,tranline,kacct,x,alltranline5,IN,x,x=950&amp;cr=293" xr:uid="{2DA981D6-AA93-4EDB-A998-93EF044D1584}"/>
    <hyperlink ref="A471" r:id="rId468" display="https://9607261.app.netsuite.com/app/reporting/reportrunner.nl?fromreport=320&amp;regtx,tranline,kacct,x,alltranline5,IN,x,x=950&amp;cr=293" xr:uid="{07C2BC00-8100-4541-BA74-BB5FDA491701}"/>
    <hyperlink ref="A472" r:id="rId469" display="https://9607261.app.netsuite.com/app/reporting/reportrunner.nl?fromreport=320&amp;regtx,tranline,kacct,x,alltranline5,IN,x,x=950&amp;cr=293" xr:uid="{51E7389D-06D7-4AC3-9E0D-2A70ABC55BFE}"/>
    <hyperlink ref="A473" r:id="rId470" display="https://9607261.app.netsuite.com/app/reporting/reportrunner.nl?fromreport=320&amp;regtx,tranline,kacct,x,alltranline5,IN,x,x=950&amp;cr=293" xr:uid="{EF340821-9AD3-41EE-9FDA-72B89E667FFF}"/>
    <hyperlink ref="A474" r:id="rId471" display="https://9607261.app.netsuite.com/app/reporting/reportrunner.nl?fromreport=320&amp;regtx,tranline,kacct,x,alltranline5,IN,x,x=950&amp;cr=293" xr:uid="{B7B1945F-5E0C-41F2-BD6D-423D22B90708}"/>
    <hyperlink ref="A475" r:id="rId472" display="https://9607261.app.netsuite.com/app/reporting/reportrunner.nl?fromreport=320&amp;regtx,tranline,kacct,x,alltranline5,IN,x,x=950&amp;cr=293" xr:uid="{1CD3C4AC-C65B-4DAF-89D2-9230B3AD8133}"/>
    <hyperlink ref="A476" r:id="rId473" display="https://9607261.app.netsuite.com/app/reporting/reportrunner.nl?fromreport=320&amp;regtx,tranline,kacct,x,alltranline5,IN,x,x=950&amp;cr=293" xr:uid="{C4610697-6CA1-497B-BB89-EEA556364CB7}"/>
    <hyperlink ref="A477" r:id="rId474" display="https://9607261.app.netsuite.com/app/reporting/reportrunner.nl?fromreport=320&amp;regtx,tranline,kacct,x,alltranline5,IN,x,x=950&amp;cr=293" xr:uid="{281137DF-1C44-4B5D-9E58-AC413CA79BA7}"/>
    <hyperlink ref="A478" r:id="rId475" display="https://9607261.app.netsuite.com/app/reporting/reportrunner.nl?fromreport=320&amp;regtx,tranline,kacct,x,alltranline5,IN,x,x=950&amp;cr=293" xr:uid="{9BBC5D04-0542-4965-9436-2D80970DFBE8}"/>
    <hyperlink ref="A479" r:id="rId476" display="https://9607261.app.netsuite.com/app/reporting/reportrunner.nl?fromreport=320&amp;regtx,tranline,kacct,x,alltranline5,IN,x,x=950&amp;cr=293" xr:uid="{D961EFD0-F420-42DB-9537-D06902B52133}"/>
    <hyperlink ref="A480" r:id="rId477" display="https://9607261.app.netsuite.com/app/reporting/reportrunner.nl?fromreport=320&amp;regtx,tranline,kacct,x,alltranline5,IN,x,x=950&amp;cr=293" xr:uid="{A50B2CD1-7BD9-4810-80F6-62295DABF0A7}"/>
    <hyperlink ref="A481" r:id="rId478" display="https://9607261.app.netsuite.com/app/reporting/reportrunner.nl?fromreport=320&amp;regtx,tranline,kacct,x,alltranline5,IN,x,x=950&amp;cr=293" xr:uid="{5513ED9E-BBAB-42E5-89D9-291D98ACA0D6}"/>
    <hyperlink ref="A482" r:id="rId479" display="https://9607261.app.netsuite.com/app/reporting/reportrunner.nl?fromreport=320&amp;regtx,tranline,kacct,x,alltranline5,IN,x,x=950&amp;cr=293" xr:uid="{9F10E65B-AA66-49D3-B6A8-C8B61EFE8E2A}"/>
    <hyperlink ref="A483" r:id="rId480" display="https://9607261.app.netsuite.com/app/reporting/reportrunner.nl?fromreport=320&amp;regtx,tranline,kacct,x,alltranline5,IN,x,x=950&amp;cr=293" xr:uid="{628295A5-926E-4D31-8877-4CB7705E4BE7}"/>
    <hyperlink ref="A484" r:id="rId481" display="https://9607261.app.netsuite.com/app/reporting/reportrunner.nl?fromreport=320&amp;regtx,tranline,kacct,x,alltranline5,IN,x,x=950&amp;cr=293" xr:uid="{767CC01D-A460-451A-A6F1-D5A9EFD55347}"/>
    <hyperlink ref="A485" r:id="rId482" display="https://9607261.app.netsuite.com/app/reporting/reportrunner.nl?fromreport=320&amp;regtx,tranline,kacct,x,alltranline5,IN,x,x=950&amp;cr=293" xr:uid="{C3F7F10C-B647-4C2D-BDAA-FF4AE1AA27E4}"/>
    <hyperlink ref="A486" r:id="rId483" display="https://9607261.app.netsuite.com/app/reporting/reportrunner.nl?fromreport=320&amp;regtx,tranline,kacct,x,alltranline5,IN,x,x=950&amp;cr=293" xr:uid="{836AAA90-0FCD-4AAF-B9BA-E0B27E8BD619}"/>
    <hyperlink ref="A487" r:id="rId484" display="https://9607261.app.netsuite.com/app/reporting/reportrunner.nl?fromreport=320&amp;regtx,tranline,kacct,x,alltranline5,IN,x,x=950&amp;cr=293" xr:uid="{E3599277-A0DD-4C5D-B004-98D667797E85}"/>
    <hyperlink ref="A488" r:id="rId485" display="https://9607261.app.netsuite.com/app/reporting/reportrunner.nl?fromreport=320&amp;regtx,tranline,kacct,x,alltranline5,IN,x,x=950&amp;cr=293" xr:uid="{1B6A5A92-969F-4AD1-9BB2-4B2538608D6C}"/>
    <hyperlink ref="A489" r:id="rId486" display="https://9607261.app.netsuite.com/app/reporting/reportrunner.nl?fromreport=320&amp;regtx,tranline,kacct,x,alltranline5,IN,x,x=950&amp;cr=293" xr:uid="{0E9D9239-B469-46DA-A8E3-183A63209AA6}"/>
    <hyperlink ref="A490" r:id="rId487" display="https://9607261.app.netsuite.com/app/reporting/reportrunner.nl?fromreport=320&amp;regtx,tranline,kacct,x,alltranline5,IN,x,x=950&amp;cr=293" xr:uid="{0FD0F62A-6D90-42F0-81FB-99F24A91D820}"/>
    <hyperlink ref="A491" r:id="rId488" display="https://9607261.app.netsuite.com/app/reporting/reportrunner.nl?fromreport=320&amp;regtx,tranline,kacct,x,alltranline5,IN,x,x=950&amp;cr=293" xr:uid="{8631CC30-7C4D-4FFF-A742-3528F427C6B9}"/>
    <hyperlink ref="A492" r:id="rId489" display="https://9607261.app.netsuite.com/app/reporting/reportrunner.nl?fromreport=320&amp;regtx,tranline,kacct,x,alltranline5,IN,x,x=950&amp;cr=293" xr:uid="{B2F4303C-61CB-401A-9EFA-5B2A8CD481AD}"/>
    <hyperlink ref="A493" r:id="rId490" display="https://9607261.app.netsuite.com/app/reporting/reportrunner.nl?fromreport=320&amp;regtx,tranline,kacct,x,alltranline5,IN,x,x=950&amp;cr=293" xr:uid="{C405A0B8-A5D0-4A7B-A242-384DBE76F23B}"/>
    <hyperlink ref="A494" r:id="rId491" display="https://9607261.app.netsuite.com/app/reporting/reportrunner.nl?fromreport=320&amp;regtx,tranline,kacct,x,alltranline5,IN,x,x=950&amp;cr=293" xr:uid="{33BF2C5A-BE68-4A06-8F7B-8F17263D9F7E}"/>
    <hyperlink ref="A495" r:id="rId492" display="https://9607261.app.netsuite.com/app/reporting/reportrunner.nl?fromreport=320&amp;regtx,tranline,kacct,x,alltranline5,IN,x,x=950&amp;cr=293" xr:uid="{D84BE325-3524-414F-9BDA-8E0594CAF28F}"/>
    <hyperlink ref="A496" r:id="rId493" display="https://9607261.app.netsuite.com/app/reporting/reportrunner.nl?fromreport=320&amp;regtx,tranline,kacct,x,alltranline5,IN,x,x=950&amp;cr=293" xr:uid="{B34A5158-69D3-4CC7-AB74-685F436B42F8}"/>
    <hyperlink ref="A497" r:id="rId494" display="https://9607261.app.netsuite.com/app/reporting/reportrunner.nl?fromreport=320&amp;regtx,tranline,kacct,x,alltranline5,IN,x,x=950&amp;cr=293" xr:uid="{9637592F-B13C-438A-B24D-BFC7EC791799}"/>
    <hyperlink ref="A498" r:id="rId495" display="https://9607261.app.netsuite.com/app/reporting/reportrunner.nl?fromreport=320&amp;regtx,tranline,kacct,x,alltranline5,IN,x,x=950&amp;cr=293" xr:uid="{6CB2BFAC-42D9-4305-9F46-60E073E2FD31}"/>
    <hyperlink ref="A499" r:id="rId496" display="https://9607261.app.netsuite.com/app/reporting/reportrunner.nl?fromreport=320&amp;regtx,tranline,kacct,x,alltranline5,IN,x,x=950&amp;cr=293" xr:uid="{D8361347-ECB6-412F-9A9B-DC46963BAD04}"/>
    <hyperlink ref="A500" r:id="rId497" display="https://9607261.app.netsuite.com/app/reporting/reportrunner.nl?fromreport=320&amp;regtx,tranline,kacct,x,alltranline5,IN,x,x=950&amp;cr=293" xr:uid="{B2265BEF-BDB6-4D17-B8C0-FA132A0A4227}"/>
    <hyperlink ref="A501" r:id="rId498" display="https://9607261.app.netsuite.com/app/reporting/reportrunner.nl?fromreport=320&amp;regtx,tranline,kacct,x,alltranline5,IN,x,x=950&amp;cr=293" xr:uid="{370BF288-B658-488A-9150-58FA9BC7A191}"/>
    <hyperlink ref="A502" r:id="rId499" display="https://9607261.app.netsuite.com/app/reporting/reportrunner.nl?fromreport=320&amp;regtx,tranline,kacct,x,alltranline5,IN,x,x=950&amp;cr=293" xr:uid="{9CB663BD-E9DD-44DB-B44D-303BB0DBFC75}"/>
    <hyperlink ref="A503" r:id="rId500" display="https://9607261.app.netsuite.com/app/reporting/reportrunner.nl?fromreport=320&amp;regtx,tranline,kacct,x,alltranline5,IN,x,x=950&amp;cr=293" xr:uid="{C2664017-C42A-4A41-9DF7-A2980F9DF402}"/>
    <hyperlink ref="A504" r:id="rId501" display="https://9607261.app.netsuite.com/app/reporting/reportrunner.nl?fromreport=320&amp;regtx,tranline,kacct,x,alltranline5,IN,x,x=950&amp;cr=293" xr:uid="{D4103021-02C4-419E-A0AF-36F7C32E5C83}"/>
    <hyperlink ref="A505" r:id="rId502" display="https://9607261.app.netsuite.com/app/reporting/reportrunner.nl?fromreport=320&amp;regtx,tranline,kacct,x,alltranline5,IN,x,x=950&amp;cr=293" xr:uid="{188C26F1-2A08-4C50-ABCA-13CD52688C7E}"/>
    <hyperlink ref="A506" r:id="rId503" display="https://9607261.app.netsuite.com/app/reporting/reportrunner.nl?fromreport=320&amp;regtx,tranline,kacct,x,alltranline5,IN,x,x=950&amp;cr=293" xr:uid="{E4AB18B1-E07A-4B5B-935F-1B1605524374}"/>
    <hyperlink ref="A507" r:id="rId504" display="https://9607261.app.netsuite.com/app/reporting/reportrunner.nl?fromreport=320&amp;regtx,tranline,kacct,x,alltranline5,IN,x,x=950&amp;cr=293" xr:uid="{5D13B821-3C9B-41D3-942E-9DF9AEC83144}"/>
    <hyperlink ref="A508" r:id="rId505" display="https://9607261.app.netsuite.com/app/reporting/reportrunner.nl?fromreport=320&amp;regtx,tranline,kacct,x,alltranline5,IN,x,x=950&amp;cr=293" xr:uid="{443A0B48-6A8C-49BD-98AC-F785A64F7DF7}"/>
    <hyperlink ref="A509" r:id="rId506" display="https://9607261.app.netsuite.com/app/reporting/reportrunner.nl?fromreport=320&amp;regtx,tranline,kacct,x,alltranline5,IN,x,x=950&amp;cr=293" xr:uid="{B598BB1F-A60A-4C29-85BD-76904A3AA562}"/>
    <hyperlink ref="A510" r:id="rId507" display="https://9607261.app.netsuite.com/app/reporting/reportrunner.nl?fromreport=320&amp;regtx,tranline,kacct,x,alltranline5,IN,x,x=950&amp;cr=293" xr:uid="{5D00BF11-7DC9-4674-8DD7-C2A62FF774EA}"/>
    <hyperlink ref="A511" r:id="rId508" display="https://9607261.app.netsuite.com/app/reporting/reportrunner.nl?fromreport=320&amp;regtx,tranline,kacct,x,alltranline5,IN,x,x=950&amp;cr=293" xr:uid="{7A463319-68B7-4705-BE1D-E11C73B59E62}"/>
    <hyperlink ref="A512" r:id="rId509" display="https://9607261.app.netsuite.com/app/reporting/reportrunner.nl?fromreport=320&amp;regtx,tranline,kacct,x,alltranline5,IN,x,x=950&amp;cr=293" xr:uid="{09169254-EB65-4DEF-95DA-40D22BD6C41F}"/>
    <hyperlink ref="A513" r:id="rId510" display="https://9607261.app.netsuite.com/app/reporting/reportrunner.nl?fromreport=320&amp;regtx,tranline,kacct,x,alltranline5,IN,x,x=950&amp;cr=293" xr:uid="{5C3AAA37-CF29-49A0-B22E-1BF4EAF7F672}"/>
    <hyperlink ref="A514" r:id="rId511" display="https://9607261.app.netsuite.com/app/reporting/reportrunner.nl?fromreport=320&amp;regtx,tranline,kacct,x,alltranline5,IN,x,x=950&amp;cr=293" xr:uid="{F54D6A10-9179-4765-97B9-4DF6172CD9E3}"/>
    <hyperlink ref="A515" r:id="rId512" display="https://9607261.app.netsuite.com/app/reporting/reportrunner.nl?fromreport=320&amp;regtx,tranline,kacct,x,alltranline5,IN,x,x=950&amp;cr=293" xr:uid="{337FA406-126D-4DA0-B456-401B8ABE8BCE}"/>
    <hyperlink ref="A516" r:id="rId513" display="https://9607261.app.netsuite.com/app/reporting/reportrunner.nl?fromreport=320&amp;regtx,tranline,kacct,x,alltranline5,IN,x,x=950&amp;cr=293" xr:uid="{8FCE0302-8F9B-4C50-8C1D-D262B017E3EE}"/>
    <hyperlink ref="A517" r:id="rId514" display="https://9607261.app.netsuite.com/app/reporting/reportrunner.nl?fromreport=320&amp;regtx,tranline,kacct,x,alltranline5,IN,x,x=950&amp;cr=293" xr:uid="{B985B915-D8DC-4418-A949-3B9B09CE40DB}"/>
    <hyperlink ref="A518" r:id="rId515" display="https://9607261.app.netsuite.com/app/reporting/reportrunner.nl?fromreport=320&amp;regtx,tranline,kacct,x,alltranline5,IN,x,x=950&amp;cr=293" xr:uid="{FFC39DFC-A5FC-44F9-8295-474391AF9D4F}"/>
    <hyperlink ref="A519" r:id="rId516" display="https://9607261.app.netsuite.com/app/reporting/reportrunner.nl?fromreport=320&amp;regtx,tranline,kacct,x,alltranline5,IN,x,x=950&amp;cr=293" xr:uid="{6AAC28A6-2E08-4F96-9F79-F57F3E4BA36F}"/>
    <hyperlink ref="A520" r:id="rId517" display="https://9607261.app.netsuite.com/app/reporting/reportrunner.nl?fromreport=320&amp;regtx,tranline,kacct,x,alltranline5,IN,x,x=950&amp;cr=293" xr:uid="{F51D1926-1D4E-4B09-A60E-0F9F50513F1D}"/>
    <hyperlink ref="A521" r:id="rId518" display="https://9607261.app.netsuite.com/app/reporting/reportrunner.nl?fromreport=320&amp;regtx,tranline,kacct,x,alltranline5,IN,x,x=950&amp;cr=293" xr:uid="{3BD5E94A-2BA7-4762-B4B5-9753972204A5}"/>
    <hyperlink ref="A522" r:id="rId519" display="https://9607261.app.netsuite.com/app/reporting/reportrunner.nl?fromreport=320&amp;regtx,tranline,kacct,x,alltranline5,IN,x,x=950&amp;cr=293" xr:uid="{CEB71DE0-FB79-4B44-92C8-45CEC171B162}"/>
    <hyperlink ref="A523" r:id="rId520" display="https://9607261.app.netsuite.com/app/reporting/reportrunner.nl?fromreport=320&amp;regtx,tranline,kacct,x,alltranline5,IN,x,x=950&amp;cr=293" xr:uid="{8DACED4F-06EA-4C1A-B1F8-424CCB0E7815}"/>
    <hyperlink ref="A524" r:id="rId521" display="https://9607261.app.netsuite.com/app/reporting/reportrunner.nl?fromreport=320&amp;regtx,tranline,kacct,x,alltranline5,IN,x,x=950&amp;cr=293" xr:uid="{5C6AB315-A6AC-4DCF-A668-A7B073B5A279}"/>
    <hyperlink ref="A525" r:id="rId522" display="https://9607261.app.netsuite.com/app/reporting/reportrunner.nl?fromreport=320&amp;regtx,tranline,kacct,x,alltranline5,IN,x,x=950&amp;cr=293" xr:uid="{4346A8D6-A631-41AD-9866-0CFA41F07139}"/>
    <hyperlink ref="A526" r:id="rId523" display="https://9607261.app.netsuite.com/app/reporting/reportrunner.nl?fromreport=320&amp;regtx,tranline,kacct,x,alltranline5,IN,x,x=950&amp;cr=293" xr:uid="{F8AA893E-8386-4FBF-BF5D-EB9D0122E943}"/>
    <hyperlink ref="A527" r:id="rId524" display="https://9607261.app.netsuite.com/app/reporting/reportrunner.nl?fromreport=320&amp;regtx,tranline,kacct,x,alltranline5,IN,x,x=950&amp;cr=293" xr:uid="{223DC517-800C-473F-8DBE-558FC56CC7AA}"/>
    <hyperlink ref="A528" r:id="rId525" display="https://9607261.app.netsuite.com/app/reporting/reportrunner.nl?fromreport=320&amp;regtx,tranline,kacct,x,alltranline5,IN,x,x=950&amp;cr=293" xr:uid="{24A662BB-E2C0-4781-9EA7-9E5A3C34BAFF}"/>
    <hyperlink ref="A529" r:id="rId526" display="https://9607261.app.netsuite.com/app/reporting/reportrunner.nl?fromreport=320&amp;regtx,tranline,kacct,x,alltranline5,IN,x,x=950&amp;cr=293" xr:uid="{4B0F80AE-8706-4600-ACBF-376FDAA02878}"/>
    <hyperlink ref="A530" r:id="rId527" display="https://9607261.app.netsuite.com/app/reporting/reportrunner.nl?fromreport=320&amp;regtx,tranline,kacct,x,alltranline5,IN,x,x=950&amp;cr=293" xr:uid="{DEFBF47D-8AAA-4F71-A2F7-F64EC737877F}"/>
    <hyperlink ref="A531" r:id="rId528" display="https://9607261.app.netsuite.com/app/reporting/reportrunner.nl?fromreport=320&amp;regtx,tranline,kacct,x,alltranline5,IN,x,x=950&amp;cr=293" xr:uid="{201C9844-8836-4F73-BEE6-85E8248FF3B4}"/>
    <hyperlink ref="A532" r:id="rId529" display="https://9607261.app.netsuite.com/app/reporting/reportrunner.nl?fromreport=320&amp;regtx,tranline,kacct,x,alltranline5,IN,x,x=950&amp;cr=293" xr:uid="{FA6D3019-8A1E-49D4-B138-D67EF205081C}"/>
    <hyperlink ref="A533" r:id="rId530" display="https://9607261.app.netsuite.com/app/reporting/reportrunner.nl?fromreport=320&amp;regtx,tranline,kacct,x,alltranline5,IN,x,x=950&amp;cr=293" xr:uid="{4B0AF9BE-EF05-42AC-BA1A-00041C6114E4}"/>
    <hyperlink ref="A534" r:id="rId531" display="https://9607261.app.netsuite.com/app/reporting/reportrunner.nl?fromreport=320&amp;regtx,tranline,kacct,x,alltranline5,IN,x,x=950&amp;cr=293" xr:uid="{CA326D73-C934-4A0B-80B7-1BCC40CFAA9C}"/>
    <hyperlink ref="A535" r:id="rId532" display="https://9607261.app.netsuite.com/app/reporting/reportrunner.nl?fromreport=320&amp;regtx,tranline,kacct,x,alltranline5,IN,x,x=950&amp;cr=293" xr:uid="{14EC66F0-69B3-446D-BCC5-189C7AF11748}"/>
    <hyperlink ref="A536" r:id="rId533" display="https://9607261.app.netsuite.com/app/reporting/reportrunner.nl?fromreport=320&amp;regtx,tranline,kacct,x,alltranline5,IN,x,x=950&amp;cr=293" xr:uid="{50DF9496-E47B-41BC-AC0F-AC38DF9CB053}"/>
    <hyperlink ref="A537" r:id="rId534" display="https://9607261.app.netsuite.com/app/reporting/reportrunner.nl?fromreport=320&amp;regtx,tranline,kacct,x,alltranline5,IN,x,x=950&amp;cr=293" xr:uid="{47195317-9350-487D-8223-528585F33DA6}"/>
    <hyperlink ref="A538" r:id="rId535" display="https://9607261.app.netsuite.com/app/reporting/reportrunner.nl?fromreport=320&amp;regtx,tranline,kacct,x,alltranline5,IN,x,x=950&amp;cr=293" xr:uid="{D33E2020-5A72-4D85-BA8D-149A3A6E7616}"/>
    <hyperlink ref="A539" r:id="rId536" display="https://9607261.app.netsuite.com/app/reporting/reportrunner.nl?fromreport=320&amp;regtx,tranline,kacct,x,alltranline5,IN,x,x=950&amp;cr=293" xr:uid="{998AB41A-89EF-4DE1-B61E-30A2746391F6}"/>
    <hyperlink ref="A540" r:id="rId537" display="https://9607261.app.netsuite.com/app/reporting/reportrunner.nl?fromreport=320&amp;regtx,tranline,kacct,x,alltranline5,IN,x,x=950&amp;cr=293" xr:uid="{136557F4-A3C6-4EBA-B0F2-4CE2BF67A755}"/>
    <hyperlink ref="A541" r:id="rId538" display="https://9607261.app.netsuite.com/app/reporting/reportrunner.nl?fromreport=320&amp;regtx,tranline,kacct,x,alltranline5,IN,x,x=950&amp;cr=293" xr:uid="{5D2FA053-B976-4FF3-97B3-5DAF4BB9DEF9}"/>
    <hyperlink ref="A542" r:id="rId539" display="https://9607261.app.netsuite.com/app/reporting/reportrunner.nl?fromreport=320&amp;regtx,tranline,kacct,x,alltranline5,IN,x,x=950&amp;cr=293" xr:uid="{CA9C6303-9521-4306-BFF7-5BC9F3A40BD7}"/>
    <hyperlink ref="A543" r:id="rId540" display="https://9607261.app.netsuite.com/app/reporting/reportrunner.nl?fromreport=320&amp;regtx,tranline,kacct,x,alltranline5,IN,x,x=950&amp;cr=293" xr:uid="{68D99BF7-425F-4D76-A7E4-45DF62E674E4}"/>
    <hyperlink ref="A544" r:id="rId541" display="https://9607261.app.netsuite.com/app/reporting/reportrunner.nl?fromreport=320&amp;regtx,tranline,kacct,x,alltranline5,IN,x,x=950&amp;cr=293" xr:uid="{6065B9E7-5D05-4986-9FD3-8EBFB973661B}"/>
    <hyperlink ref="A545" r:id="rId542" display="https://9607261.app.netsuite.com/app/reporting/reportrunner.nl?fromreport=320&amp;regtx,tranline,kacct,x,alltranline5,IN,x,x=950&amp;cr=293" xr:uid="{686CA592-425B-4E96-8BED-FCFCCA9BACF8}"/>
    <hyperlink ref="A546" r:id="rId543" display="https://9607261.app.netsuite.com/app/reporting/reportrunner.nl?fromreport=320&amp;regtx,tranline,kacct,x,alltranline5,IN,x,x=950&amp;cr=293" xr:uid="{7085D35B-A9E5-49A1-99BE-24F6FE08004B}"/>
    <hyperlink ref="A547" r:id="rId544" display="https://9607261.app.netsuite.com/app/reporting/reportrunner.nl?fromreport=320&amp;regtx,tranline,kacct,x,alltranline5,IN,x,x=950&amp;cr=293" xr:uid="{7F5B62ED-E9F5-41EC-ACA7-5FE3E132D964}"/>
    <hyperlink ref="A548" r:id="rId545" display="https://9607261.app.netsuite.com/app/reporting/reportrunner.nl?fromreport=320&amp;regtx,tranline,kacct,x,alltranline5,IN,x,x=950&amp;cr=293" xr:uid="{B78B8760-0671-4E6F-86BB-703838EC8FB2}"/>
    <hyperlink ref="A549" r:id="rId546" display="https://9607261.app.netsuite.com/app/reporting/reportrunner.nl?fromreport=320&amp;regtx,tranline,kacct,x,alltranline5,IN,x,x=950&amp;cr=293" xr:uid="{555D5337-25CF-48D1-AFFC-CC5A04344A01}"/>
    <hyperlink ref="A550" r:id="rId547" display="https://9607261.app.netsuite.com/app/reporting/reportrunner.nl?fromreport=320&amp;regtx,tranline,kacct,x,alltranline5,IN,x,x=950&amp;cr=293" xr:uid="{4E07BA61-2E89-4A8D-95A0-E1D193C26EF5}"/>
    <hyperlink ref="A551" r:id="rId548" display="https://9607261.app.netsuite.com/app/reporting/reportrunner.nl?fromreport=320&amp;regtx,tranline,kacct,x,alltranline5,IN,x,x=950&amp;cr=293" xr:uid="{AE30CA41-826A-4F0A-9FF4-F04F4DB7785A}"/>
    <hyperlink ref="A552" r:id="rId549" display="https://9607261.app.netsuite.com/app/reporting/reportrunner.nl?fromreport=320&amp;regtx,tranline,kacct,x,alltranline5,IN,x,x=950&amp;cr=293" xr:uid="{1C2A9D10-820E-4C9F-9356-A7497A9430FC}"/>
    <hyperlink ref="A553" r:id="rId550" display="https://9607261.app.netsuite.com/app/reporting/reportrunner.nl?fromreport=320&amp;regtx,tranline,kacct,x,alltranline5,IN,x,x=950&amp;cr=293" xr:uid="{5EAD19EF-7760-4C0C-BD69-F57992B67704}"/>
    <hyperlink ref="A554" r:id="rId551" display="https://9607261.app.netsuite.com/app/reporting/reportrunner.nl?fromreport=320&amp;regtx,tranline,kacct,x,alltranline5,IN,x,x=950&amp;cr=293" xr:uid="{F54FEBDF-58E5-4909-944A-0D71B63CF02C}"/>
    <hyperlink ref="A555" r:id="rId552" display="https://9607261.app.netsuite.com/app/reporting/reportrunner.nl?fromreport=320&amp;regtx,tranline,kacct,x,alltranline5,IN,x,x=950&amp;cr=293" xr:uid="{3BBC836D-9FF6-4083-81E4-01362151B49E}"/>
    <hyperlink ref="A556" r:id="rId553" display="https://9607261.app.netsuite.com/app/reporting/reportrunner.nl?fromreport=320&amp;regtx,tranline,kacct,x,alltranline5,IN,x,x=950&amp;cr=293" xr:uid="{245047F7-81A9-445A-879F-678F314C958D}"/>
    <hyperlink ref="A557" r:id="rId554" display="https://9607261.app.netsuite.com/app/reporting/reportrunner.nl?fromreport=320&amp;regtx,tranline,kacct,x,alltranline5,IN,x,x=950&amp;cr=293" xr:uid="{085CFEC5-30A0-46A2-8ECB-02563ADF2E7C}"/>
    <hyperlink ref="A558" r:id="rId555" display="https://9607261.app.netsuite.com/app/reporting/reportrunner.nl?fromreport=320&amp;regtx,tranline,kacct,x,alltranline5,IN,x,x=950&amp;cr=293" xr:uid="{5FDA08D8-2D25-4E44-8D8F-242A2090B00E}"/>
    <hyperlink ref="A559" r:id="rId556" display="https://9607261.app.netsuite.com/app/reporting/reportrunner.nl?fromreport=320&amp;regtx,tranline,kacct,x,alltranline5,IN,x,x=950&amp;cr=293" xr:uid="{77315F1F-41A0-4C3A-9ECD-45EC8DB6EC5D}"/>
    <hyperlink ref="A560" r:id="rId557" display="https://9607261.app.netsuite.com/app/reporting/reportrunner.nl?fromreport=320&amp;regtx,tranline,kacct,x,alltranline5,IN,x,x=950&amp;cr=293" xr:uid="{EB7C95F0-E792-42BF-8C4F-761A4F72B580}"/>
    <hyperlink ref="A561" r:id="rId558" display="https://9607261.app.netsuite.com/app/reporting/reportrunner.nl?fromreport=320&amp;regtx,tranline,kacct,x,alltranline5,IN,x,x=950&amp;cr=293" xr:uid="{D373BB09-91C2-44EA-8EFD-08D02D096726}"/>
    <hyperlink ref="A562" r:id="rId559" display="https://9607261.app.netsuite.com/app/reporting/reportrunner.nl?fromreport=320&amp;regtx,tranline,kacct,x,alltranline5,IN,x,x=950&amp;cr=293" xr:uid="{291DF58F-77C6-41A5-AC79-5B5EB3DFD700}"/>
    <hyperlink ref="A563" r:id="rId560" display="https://9607261.app.netsuite.com/app/reporting/reportrunner.nl?fromreport=320&amp;regtx,tranline,kacct,x,alltranline5,IN,x,x=950&amp;cr=293" xr:uid="{8B40C18B-FB8C-49EA-8713-F6FB3ACA6DF8}"/>
    <hyperlink ref="A564" r:id="rId561" display="https://9607261.app.netsuite.com/app/reporting/reportrunner.nl?fromreport=320&amp;regtx,tranline,kacct,x,alltranline5,IN,x,x=950&amp;cr=293" xr:uid="{A48C43EF-31E6-4A4A-8D00-A9092F97B7B8}"/>
    <hyperlink ref="A565" r:id="rId562" display="https://9607261.app.netsuite.com/app/reporting/reportrunner.nl?fromreport=320&amp;regtx,tranline,kacct,x,alltranline5,IN,x,x=950&amp;cr=293" xr:uid="{358F261E-F7B0-4C97-8541-D64987850571}"/>
    <hyperlink ref="A566" r:id="rId563" display="https://9607261.app.netsuite.com/app/reporting/reportrunner.nl?fromreport=320&amp;regtx,tranline,kacct,x,alltranline5,IN,x,x=950&amp;cr=293" xr:uid="{D71194B7-4B54-4DE9-8A03-7E91B767214D}"/>
    <hyperlink ref="A567" r:id="rId564" display="https://9607261.app.netsuite.com/app/reporting/reportrunner.nl?fromreport=320&amp;regtx,tranline,kacct,x,alltranline5,IN,x,x=950&amp;cr=293" xr:uid="{1826B17B-0F3A-4B3F-A59C-C21FA40AD200}"/>
    <hyperlink ref="A568" r:id="rId565" display="https://9607261.app.netsuite.com/app/reporting/reportrunner.nl?fromreport=320&amp;regtx,tranline,kacct,x,alltranline5,IN,x,x=950&amp;cr=293" xr:uid="{018861D7-6760-4115-BC4A-568172B724D2}"/>
    <hyperlink ref="A569" r:id="rId566" display="https://9607261.app.netsuite.com/app/reporting/reportrunner.nl?fromreport=320&amp;regtx,tranline,kacct,x,alltranline5,IN,x,x=950&amp;cr=293" xr:uid="{85FCB25C-473A-4EB2-AD2C-F1C716870B63}"/>
    <hyperlink ref="A570" r:id="rId567" display="https://9607261.app.netsuite.com/app/reporting/reportrunner.nl?fromreport=320&amp;regtx,tranline,kacct,x,alltranline5,IN,x,x=950&amp;cr=293" xr:uid="{AF34FFE6-BD3A-42F1-A001-E397FA7118E8}"/>
    <hyperlink ref="A571" r:id="rId568" display="https://9607261.app.netsuite.com/app/reporting/reportrunner.nl?fromreport=320&amp;regtx,tranline,kacct,x,alltranline5,IN,x,x=950&amp;cr=293" xr:uid="{2B39E042-392C-4B7E-9487-9989809413C8}"/>
    <hyperlink ref="A572" r:id="rId569" display="https://9607261.app.netsuite.com/app/reporting/reportrunner.nl?fromreport=320&amp;regtx,tranline,kacct,x,alltranline5,IN,x,x=950&amp;cr=293" xr:uid="{954249BF-3C86-44FE-9A14-E6026EB1968D}"/>
    <hyperlink ref="A573" r:id="rId570" display="https://9607261.app.netsuite.com/app/reporting/reportrunner.nl?fromreport=320&amp;regtx,tranline,kacct,x,alltranline5,IN,x,x=950&amp;cr=293" xr:uid="{7B0843C5-E813-463C-8B65-414A46166790}"/>
    <hyperlink ref="A574" r:id="rId571" display="https://9607261.app.netsuite.com/app/reporting/reportrunner.nl?fromreport=320&amp;regtx,tranline,kacct,x,alltranline5,IN,x,x=950&amp;cr=293" xr:uid="{A472D3EC-E8E0-4A73-8A13-A1EE3C6089E4}"/>
    <hyperlink ref="A575" r:id="rId572" display="https://9607261.app.netsuite.com/app/reporting/reportrunner.nl?fromreport=320&amp;regtx,tranline,kacct,x,alltranline5,IN,x,x=950&amp;cr=293" xr:uid="{0C26D867-386D-4024-9DCA-154BBEC7317C}"/>
    <hyperlink ref="A576" r:id="rId573" display="https://9607261.app.netsuite.com/app/reporting/reportrunner.nl?fromreport=320&amp;regtx,tranline,kacct,x,alltranline5,IN,x,x=950&amp;cr=293" xr:uid="{A40DD6C3-29A1-4C0F-AAC0-EF2C392D26E0}"/>
    <hyperlink ref="A577" r:id="rId574" display="https://9607261.app.netsuite.com/app/reporting/reportrunner.nl?fromreport=320&amp;regtx,tranline,kacct,x,alltranline5,IN,x,x=950&amp;cr=293" xr:uid="{8C27B2FF-A230-4DE0-8A93-69206AE525E3}"/>
    <hyperlink ref="A578" r:id="rId575" display="https://9607261.app.netsuite.com/app/reporting/reportrunner.nl?fromreport=320&amp;regtx,tranline,kacct,x,alltranline5,IN,x,x=950&amp;cr=293" xr:uid="{72237DB7-88AA-42CE-B7CC-F84C5E5A3CEA}"/>
    <hyperlink ref="A579" r:id="rId576" display="https://9607261.app.netsuite.com/app/reporting/reportrunner.nl?fromreport=320&amp;regtx,tranline,kacct,x,alltranline5,IN,x,x=950&amp;cr=293" xr:uid="{3256BB44-4C92-4B64-A73C-BD4BDDB01AE0}"/>
    <hyperlink ref="A580" r:id="rId577" display="https://9607261.app.netsuite.com/app/reporting/reportrunner.nl?fromreport=320&amp;regtx,tranline,kacct,x,alltranline5,IN,x,x=950&amp;cr=293" xr:uid="{B3FE172D-AEED-4B16-9846-D5D9088FE072}"/>
    <hyperlink ref="A581" r:id="rId578" display="https://9607261.app.netsuite.com/app/reporting/reportrunner.nl?fromreport=320&amp;regtx,tranline,kacct,x,alltranline5,IN,x,x=950&amp;cr=293" xr:uid="{0F8056BB-B528-4300-81CC-5C6FF8B2FE32}"/>
    <hyperlink ref="A582" r:id="rId579" display="https://9607261.app.netsuite.com/app/reporting/reportrunner.nl?fromreport=320&amp;regtx,tranline,kacct,x,alltranline5,IN,x,x=950&amp;cr=293" xr:uid="{4454FB90-5251-4E55-9A7E-5A484309F972}"/>
    <hyperlink ref="A583" r:id="rId580" display="https://9607261.app.netsuite.com/app/reporting/reportrunner.nl?fromreport=320&amp;regtx,tranline,kacct,x,alltranline5,IN,x,x=950&amp;cr=293" xr:uid="{9E4E56A9-0D34-4223-857D-BB756765F170}"/>
    <hyperlink ref="A584" r:id="rId581" display="https://9607261.app.netsuite.com/app/reporting/reportrunner.nl?fromreport=320&amp;regtx,tranline,kacct,x,alltranline5,IN,x,x=950&amp;cr=293" xr:uid="{68DAF6EE-B04F-48D2-8653-54BDC68E13E7}"/>
    <hyperlink ref="A585" r:id="rId582" display="https://9607261.app.netsuite.com/app/reporting/reportrunner.nl?fromreport=320&amp;regtx,tranline,kacct,x,alltranline5,IN,x,x=950&amp;cr=293" xr:uid="{27415C72-111C-478D-AD5B-FEB536A37F46}"/>
    <hyperlink ref="A586" r:id="rId583" display="https://9607261.app.netsuite.com/app/reporting/reportrunner.nl?fromreport=320&amp;regtx,tranline,kacct,x,alltranline5,IN,x,x=950&amp;cr=293" xr:uid="{C54E523B-B0EA-4029-8056-59AAC9C98AF0}"/>
    <hyperlink ref="A587" r:id="rId584" display="https://9607261.app.netsuite.com/app/reporting/reportrunner.nl?fromreport=320&amp;regtx,tranline,kacct,x,alltranline5,IN,x,x=950&amp;cr=293" xr:uid="{7FFEF888-345C-483C-BFBF-60D1D7DBC566}"/>
    <hyperlink ref="A588" r:id="rId585" display="https://9607261.app.netsuite.com/app/reporting/reportrunner.nl?fromreport=320&amp;regtx,tranline,kacct,x,alltranline5,IN,x,x=950&amp;cr=293" xr:uid="{2FBC1398-6748-4611-B897-AC7702C08534}"/>
    <hyperlink ref="A589" r:id="rId586" display="https://9607261.app.netsuite.com/app/reporting/reportrunner.nl?fromreport=320&amp;regtx,tranline,kacct,x,alltranline5,IN,x,x=950&amp;cr=293" xr:uid="{F54C3CFE-8345-4C13-8018-071D399AA8BA}"/>
    <hyperlink ref="A590" r:id="rId587" display="https://9607261.app.netsuite.com/app/reporting/reportrunner.nl?fromreport=320&amp;regtx,tranline,kacct,x,alltranline5,IN,x,x=950&amp;cr=293" xr:uid="{6283628A-1105-4658-81BC-41257BBB7787}"/>
    <hyperlink ref="A591" r:id="rId588" display="https://9607261.app.netsuite.com/app/reporting/reportrunner.nl?fromreport=320&amp;regtx,tranline,kacct,x,alltranline5,IN,x,x=950&amp;cr=293" xr:uid="{2F5D8663-ADC0-4290-ACF0-91EA065B0A17}"/>
    <hyperlink ref="A592" r:id="rId589" display="https://9607261.app.netsuite.com/app/reporting/reportrunner.nl?fromreport=320&amp;regtx,tranline,kacct,x,alltranline5,IN,x,x=950&amp;cr=293" xr:uid="{4DE7C60D-7364-4281-8585-8280EF48F35C}"/>
    <hyperlink ref="A593" r:id="rId590" display="https://9607261.app.netsuite.com/app/reporting/reportrunner.nl?fromreport=320&amp;regtx,tranline,kacct,x,alltranline5,IN,x,x=950&amp;cr=293" xr:uid="{76202513-A96C-464B-AA45-772788C268B2}"/>
    <hyperlink ref="A594" r:id="rId591" display="https://9607261.app.netsuite.com/app/reporting/reportrunner.nl?fromreport=320&amp;regtx,tranline,kacct,x,alltranline5,IN,x,x=950&amp;cr=293" xr:uid="{56684704-F3BD-4E19-B73A-8E2F7E8D6E8D}"/>
    <hyperlink ref="A595" r:id="rId592" display="https://9607261.app.netsuite.com/app/reporting/reportrunner.nl?fromreport=320&amp;regtx,tranline,kacct,x,alltranline5,IN,x,x=950&amp;cr=293" xr:uid="{14FE97FF-6343-4758-BD79-95E45F63BE6E}"/>
    <hyperlink ref="A596" r:id="rId593" display="https://9607261.app.netsuite.com/app/reporting/reportrunner.nl?fromreport=320&amp;regtx,tranline,kacct,x,alltranline5,IN,x,x=950&amp;cr=293" xr:uid="{37E56349-6E04-44FC-B331-08BE487D764B}"/>
    <hyperlink ref="A597" r:id="rId594" display="https://9607261.app.netsuite.com/app/reporting/reportrunner.nl?fromreport=320&amp;regtx,tranline,kacct,x,alltranline5,IN,x,x=950&amp;cr=293" xr:uid="{542618D8-C663-4B0E-B90E-D8A2A8BFE94B}"/>
    <hyperlink ref="A598" r:id="rId595" display="https://9607261.app.netsuite.com/app/reporting/reportrunner.nl?fromreport=320&amp;regtx,tranline,kacct,x,alltranline5,IN,x,x=950&amp;cr=293" xr:uid="{CF1CC5AE-92DC-4AC2-A3B5-DB600CF12900}"/>
    <hyperlink ref="A599" r:id="rId596" display="https://9607261.app.netsuite.com/app/reporting/reportrunner.nl?fromreport=320&amp;regtx,tranline,kacct,x,alltranline5,IN,x,x=950&amp;cr=293" xr:uid="{2F6E0D58-6451-4772-853E-4AB7E97A30DE}"/>
    <hyperlink ref="A600" r:id="rId597" display="https://9607261.app.netsuite.com/app/reporting/reportrunner.nl?fromreport=320&amp;regtx,tranline,kacct,x,alltranline5,IN,x,x=950&amp;cr=293" xr:uid="{6DD1CDC4-6F23-4DE1-A027-84C407957A4F}"/>
    <hyperlink ref="A601" r:id="rId598" display="https://9607261.app.netsuite.com/app/reporting/reportrunner.nl?fromreport=320&amp;regtx,tranline,kacct,x,alltranline5,IN,x,x=950&amp;cr=293" xr:uid="{B9E51321-A9BE-42D6-8D3E-E19599198CE3}"/>
    <hyperlink ref="A602" r:id="rId599" display="https://9607261.app.netsuite.com/app/reporting/reportrunner.nl?fromreport=320&amp;regtx,tranline,kacct,x,alltranline5,IN,x,x=950&amp;cr=293" xr:uid="{AA1FDC50-CF50-4E63-BB38-C105FECB2903}"/>
    <hyperlink ref="A603" r:id="rId600" display="https://9607261.app.netsuite.com/app/reporting/reportrunner.nl?fromreport=320&amp;regtx,tranline,kacct,x,alltranline5,IN,x,x=950&amp;cr=293" xr:uid="{DDF790E8-21D8-49FC-AEE7-EE2C8D93785A}"/>
    <hyperlink ref="A604" r:id="rId601" display="https://9607261.app.netsuite.com/app/reporting/reportrunner.nl?fromreport=320&amp;regtx,tranline,kacct,x,alltranline5,IN,x,x=950&amp;cr=293" xr:uid="{11C954C4-ABC4-47C6-BE46-3FDCE7851D35}"/>
    <hyperlink ref="A605" r:id="rId602" display="https://9607261.app.netsuite.com/app/reporting/reportrunner.nl?fromreport=320&amp;regtx,tranline,kacct,x,alltranline5,IN,x,x=950&amp;cr=293" xr:uid="{04F1B47A-C637-44FD-BC4D-C4BB2DD73491}"/>
    <hyperlink ref="A606" r:id="rId603" display="https://9607261.app.netsuite.com/app/reporting/reportrunner.nl?fromreport=320&amp;regtx,tranline,kacct,x,alltranline5,IN,x,x=950&amp;cr=293" xr:uid="{19F7AECD-83BC-4E0D-9BC5-76D041BA68BF}"/>
    <hyperlink ref="A607" r:id="rId604" display="https://9607261.app.netsuite.com/app/reporting/reportrunner.nl?fromreport=320&amp;regtx,tranline,kacct,x,alltranline5,IN,x,x=950&amp;cr=293" xr:uid="{CB5F84AA-B1B0-4DDE-ADFB-4BB0AE5E4875}"/>
    <hyperlink ref="A608" r:id="rId605" display="https://9607261.app.netsuite.com/app/reporting/reportrunner.nl?fromreport=320&amp;regtx,tranline,kacct,x,alltranline5,IN,x,x=950&amp;cr=293" xr:uid="{9680B083-1806-46D2-984F-ACF425DBF05B}"/>
    <hyperlink ref="A609" r:id="rId606" display="https://9607261.app.netsuite.com/app/reporting/reportrunner.nl?fromreport=320&amp;regtx,tranline,kacct,x,alltranline5,IN,x,x=950&amp;cr=293" xr:uid="{BCB4583F-326A-4F17-9035-FBB9C7CC872E}"/>
    <hyperlink ref="A610" r:id="rId607" display="https://9607261.app.netsuite.com/app/reporting/reportrunner.nl?fromreport=320&amp;regtx,tranline,kacct,x,alltranline5,IN,x,x=950&amp;cr=293" xr:uid="{3EE07E40-E24D-4112-BAA6-C7E231BE792F}"/>
    <hyperlink ref="A611" r:id="rId608" display="https://9607261.app.netsuite.com/app/reporting/reportrunner.nl?fromreport=320&amp;regtx,tranline,kacct,x,alltranline5,IN,x,x=950&amp;cr=293" xr:uid="{35E2BD2C-BFC4-47C4-A248-F36E5BCF94FA}"/>
    <hyperlink ref="A612" r:id="rId609" display="https://9607261.app.netsuite.com/app/reporting/reportrunner.nl?fromreport=320&amp;regtx,tranline,kacct,x,alltranline5,IN,x,x=950&amp;cr=293" xr:uid="{B9CAF313-DECD-4E79-A5E0-DC4C85F6CF66}"/>
    <hyperlink ref="A613" r:id="rId610" display="https://9607261.app.netsuite.com/app/reporting/reportrunner.nl?fromreport=320&amp;regtx,tranline,kacct,x,alltranline5,IN,x,x=950&amp;cr=293" xr:uid="{3B84B145-8E43-43A0-BF2D-F2B809471959}"/>
    <hyperlink ref="A614" r:id="rId611" display="https://9607261.app.netsuite.com/app/reporting/reportrunner.nl?fromreport=320&amp;regtx,tranline,kacct,x,alltranline5,IN,x,x=950&amp;cr=293" xr:uid="{ED1C8DB1-5ED5-493D-8191-4A9E97EC3DBD}"/>
    <hyperlink ref="A615" r:id="rId612" display="https://9607261.app.netsuite.com/app/reporting/reportrunner.nl?fromreport=320&amp;regtx,tranline,kacct,x,alltranline5,IN,x,x=950&amp;cr=293" xr:uid="{EE8085BA-1EB6-480F-B392-8E7CF3246B02}"/>
    <hyperlink ref="A616" r:id="rId613" display="https://9607261.app.netsuite.com/app/reporting/reportrunner.nl?fromreport=320&amp;regtx,tranline,kacct,x,alltranline5,IN,x,x=950&amp;cr=293" xr:uid="{300C7AC3-4AD6-4D52-806D-4B33256FF20E}"/>
    <hyperlink ref="A617" r:id="rId614" display="https://9607261.app.netsuite.com/app/reporting/reportrunner.nl?fromreport=320&amp;regtx,tranline,kacct,x,alltranline5,IN,x,x=950&amp;cr=293" xr:uid="{366DF079-76ED-40AD-A675-A97A58DD6983}"/>
    <hyperlink ref="A618" r:id="rId615" display="https://9607261.app.netsuite.com/app/reporting/reportrunner.nl?fromreport=320&amp;regtx,tranline,kacct,x,alltranline5,IN,x,x=950&amp;cr=293" xr:uid="{A8B13762-8D63-41E3-815A-060C378DFC18}"/>
    <hyperlink ref="A619" r:id="rId616" display="https://9607261.app.netsuite.com/app/reporting/reportrunner.nl?fromreport=320&amp;regtx,tranline,kacct,x,alltranline5,IN,x,x=950&amp;cr=293" xr:uid="{950C93F6-700B-4F01-93F9-3E1BA0D952A5}"/>
    <hyperlink ref="A620" r:id="rId617" display="https://9607261.app.netsuite.com/app/reporting/reportrunner.nl?fromreport=320&amp;regtx,tranline,kacct,x,alltranline5,IN,x,x=950&amp;cr=293" xr:uid="{7FB8B276-168C-42AA-90D6-F58B5364CE44}"/>
    <hyperlink ref="A621" r:id="rId618" display="https://9607261.app.netsuite.com/app/reporting/reportrunner.nl?fromreport=320&amp;regtx,tranline,kacct,x,alltranline5,IN,x,x=950&amp;cr=293" xr:uid="{B3783C0F-BB19-4B00-A560-5B76FFC12D22}"/>
    <hyperlink ref="A622" r:id="rId619" display="https://9607261.app.netsuite.com/app/reporting/reportrunner.nl?fromreport=320&amp;regtx,tranline,kacct,x,alltranline5,IN,x,x=950&amp;cr=293" xr:uid="{EC5A5AB6-5FE6-427C-822D-416CA12F0266}"/>
    <hyperlink ref="A623" r:id="rId620" display="https://9607261.app.netsuite.com/app/reporting/reportrunner.nl?fromreport=320&amp;regtx,tranline,kacct,x,alltranline5,IN,x,x=950&amp;cr=293" xr:uid="{0FFC9CED-DDC2-4ADE-9297-87F04D9D46A6}"/>
    <hyperlink ref="A624" r:id="rId621" display="https://9607261.app.netsuite.com/app/reporting/reportrunner.nl?fromreport=320&amp;regtx,tranline,kacct,x,alltranline5,IN,x,x=950&amp;cr=293" xr:uid="{FC834517-B491-447C-8B43-A8859E1AB29C}"/>
    <hyperlink ref="A625" r:id="rId622" display="https://9607261.app.netsuite.com/app/reporting/reportrunner.nl?fromreport=320&amp;regtx,tranline,kacct,x,alltranline5,IN,x,x=950&amp;cr=293" xr:uid="{39E3B927-F915-4CC1-9A04-A3BDFD47C3C2}"/>
    <hyperlink ref="A626" r:id="rId623" display="https://9607261.app.netsuite.com/app/reporting/reportrunner.nl?fromreport=320&amp;regtx,tranline,kacct,x,alltranline5,IN,x,x=950&amp;cr=293" xr:uid="{187932E3-34D7-40DF-A3CE-EA8BE3A1191D}"/>
    <hyperlink ref="A627" r:id="rId624" display="https://9607261.app.netsuite.com/app/reporting/reportrunner.nl?fromreport=320&amp;regtx,tranline,kacct,x,alltranline5,IN,x,x=950&amp;cr=293" xr:uid="{8F4B6DFA-3ECE-4378-BD90-8003CE8C208E}"/>
    <hyperlink ref="A628" r:id="rId625" display="https://9607261.app.netsuite.com/app/reporting/reportrunner.nl?fromreport=320&amp;regtx,tranline,kacct,x,alltranline5,IN,x,x=950&amp;cr=293" xr:uid="{F6078BC7-4014-4FA5-9851-5F2C3157F37C}"/>
    <hyperlink ref="A629" r:id="rId626" display="https://9607261.app.netsuite.com/app/reporting/reportrunner.nl?fromreport=320&amp;regtx,tranline,kacct,x,alltranline5,IN,x,x=950&amp;cr=293" xr:uid="{B328FF65-BB85-45FD-B15E-981C5C5E4522}"/>
    <hyperlink ref="A630" r:id="rId627" display="https://9607261.app.netsuite.com/app/reporting/reportrunner.nl?fromreport=320&amp;regtx,tranline,kacct,x,alltranline5,IN,x,x=950&amp;cr=293" xr:uid="{3B725CB9-C1C6-4657-B03F-ADAE402043EA}"/>
    <hyperlink ref="A631" r:id="rId628" display="https://9607261.app.netsuite.com/app/reporting/reportrunner.nl?fromreport=320&amp;regtx,tranline,kacct,x,alltranline5,IN,x,x=950&amp;cr=293" xr:uid="{7F99242E-4C27-4D99-A2CC-AB6D522C091C}"/>
    <hyperlink ref="A632" r:id="rId629" display="https://9607261.app.netsuite.com/app/reporting/reportrunner.nl?fromreport=320&amp;regtx,tranline,kacct,x,alltranline5,IN,x,x=950&amp;cr=293" xr:uid="{E055C1AD-605A-4C61-BCD1-9C78B69F5E7C}"/>
    <hyperlink ref="A633" r:id="rId630" display="https://9607261.app.netsuite.com/app/reporting/reportrunner.nl?fromreport=320&amp;regtx,tranline,kacct,x,alltranline5,IN,x,x=950&amp;cr=293" xr:uid="{C9C3D876-AC0E-4AC7-8E69-6E31960BAF4A}"/>
    <hyperlink ref="A634" r:id="rId631" display="https://9607261.app.netsuite.com/app/reporting/reportrunner.nl?fromreport=320&amp;regtx,tranline,kacct,x,alltranline5,IN,x,x=950&amp;cr=293" xr:uid="{BB7CA102-5E2E-4CB1-9C1C-4FA352069AC1}"/>
    <hyperlink ref="A635" r:id="rId632" display="https://9607261.app.netsuite.com/app/reporting/reportrunner.nl?fromreport=320&amp;regtx,tranline,kacct,x,alltranline5,IN,x,x=950&amp;cr=293" xr:uid="{ED8C3576-D07C-4679-AB8D-2F35CE6DE524}"/>
    <hyperlink ref="A636" r:id="rId633" display="https://9607261.app.netsuite.com/app/reporting/reportrunner.nl?fromreport=320&amp;regtx,tranline,kacct,x,alltranline5,IN,x,x=950&amp;cr=293" xr:uid="{AC81CCB3-E77B-4F9F-92C0-F2BC93013AFB}"/>
    <hyperlink ref="A637" r:id="rId634" display="https://9607261.app.netsuite.com/app/reporting/reportrunner.nl?fromreport=320&amp;regtx,tranline,kacct,x,alltranline5,IN,x,x=950&amp;cr=293" xr:uid="{6050DA2E-FD8E-42B6-94D8-4FDA6DAF9D89}"/>
    <hyperlink ref="A638" r:id="rId635" display="https://9607261.app.netsuite.com/app/reporting/reportrunner.nl?fromreport=320&amp;regtx,tranline,kacct,x,alltranline5,IN,x,x=950&amp;cr=293" xr:uid="{EF1FE324-8B14-4011-9F84-8120482E5C36}"/>
    <hyperlink ref="A639" r:id="rId636" display="https://9607261.app.netsuite.com/app/reporting/reportrunner.nl?fromreport=320&amp;regtx,tranline,kacct,x,alltranline5,IN,x,x=950&amp;cr=293" xr:uid="{C672A97E-A7C8-4999-B028-3A2D3B34C8D0}"/>
    <hyperlink ref="A640" r:id="rId637" display="https://9607261.app.netsuite.com/app/reporting/reportrunner.nl?fromreport=320&amp;regtx,tranline,kacct,x,alltranline5,IN,x,x=950&amp;cr=293" xr:uid="{54C1BCC2-76C5-4E98-8AD0-F25A2F96C7AD}"/>
    <hyperlink ref="A641" r:id="rId638" display="https://9607261.app.netsuite.com/app/reporting/reportrunner.nl?fromreport=320&amp;regtx,tranline,kacct,x,alltranline5,IN,x,x=950&amp;cr=293" xr:uid="{A975CF9A-1693-4990-AD1F-298924941B60}"/>
    <hyperlink ref="A642" r:id="rId639" display="https://9607261.app.netsuite.com/app/reporting/reportrunner.nl?fromreport=320&amp;regtx,tranline,kacct,x,alltranline5,IN,x,x=950&amp;cr=293" xr:uid="{704560A8-C4B3-4214-84B6-52CCAA5CBC8A}"/>
    <hyperlink ref="A643" r:id="rId640" display="https://9607261.app.netsuite.com/app/reporting/reportrunner.nl?fromreport=320&amp;regtx,tranline,kacct,x,alltranline5,IN,x,x=950&amp;cr=293" xr:uid="{84F38DC1-6F16-4F21-988E-D64CBBCB7849}"/>
    <hyperlink ref="A644" r:id="rId641" display="https://9607261.app.netsuite.com/app/reporting/reportrunner.nl?fromreport=320&amp;regtx,tranline,kacct,x,alltranline5,IN,x,x=950&amp;cr=293" xr:uid="{D1BD18DF-F042-4FDD-BBF5-DDEF3906C6BF}"/>
    <hyperlink ref="A645" r:id="rId642" display="https://9607261.app.netsuite.com/app/reporting/reportrunner.nl?fromreport=320&amp;regtx,tranline,kacct,x,alltranline5,IN,x,x=950&amp;cr=293" xr:uid="{2AFCD2D8-7B3F-4DDC-865F-23EDF5354EFC}"/>
    <hyperlink ref="A646" r:id="rId643" display="https://9607261.app.netsuite.com/app/reporting/reportrunner.nl?fromreport=320&amp;regtx,tranline,kacct,x,alltranline5,IN,x,x=950&amp;cr=293" xr:uid="{E9EE651C-D664-4FD6-961A-3075CA908C8B}"/>
    <hyperlink ref="A647" r:id="rId644" display="https://9607261.app.netsuite.com/app/reporting/reportrunner.nl?fromreport=320&amp;regtx,tranline,kacct,x,alltranline5,IN,x,x=950&amp;cr=293" xr:uid="{A73F6195-38F1-4F13-9560-0F6EE6DD9D99}"/>
    <hyperlink ref="A648" r:id="rId645" display="https://9607261.app.netsuite.com/app/reporting/reportrunner.nl?fromreport=320&amp;regtx,tranline,kacct,x,alltranline5,IN,x,x=950&amp;cr=293" xr:uid="{8AD4FBD7-8787-460A-88D4-DD102B6A5E52}"/>
    <hyperlink ref="A649" r:id="rId646" display="https://9607261.app.netsuite.com/app/reporting/reportrunner.nl?fromreport=320&amp;regtx,tranline,kacct,x,alltranline5,IN,x,x=950&amp;cr=293" xr:uid="{FD8403BE-F366-4EFE-A381-8BD9C7AE7D8B}"/>
    <hyperlink ref="A650" r:id="rId647" display="https://9607261.app.netsuite.com/app/reporting/reportrunner.nl?fromreport=320&amp;regtx,tranline,kacct,x,alltranline5,IN,x,x=950&amp;cr=293" xr:uid="{ECB268D2-F893-48E4-B122-DCEB294ACA1C}"/>
    <hyperlink ref="A651" r:id="rId648" display="https://9607261.app.netsuite.com/app/reporting/reportrunner.nl?fromreport=320&amp;regtx,tranline,kacct,x,alltranline5,IN,x,x=950&amp;cr=293" xr:uid="{3BDF6FC6-B0BF-4945-948C-FB4451705293}"/>
    <hyperlink ref="A652" r:id="rId649" display="https://9607261.app.netsuite.com/app/reporting/reportrunner.nl?fromreport=320&amp;regtx,tranline,kacct,x,alltranline5,IN,x,x=950&amp;cr=293" xr:uid="{A4C1E9B3-75FB-4B10-A027-7A066DEAC9F6}"/>
    <hyperlink ref="A653" r:id="rId650" display="https://9607261.app.netsuite.com/app/reporting/reportrunner.nl?fromreport=320&amp;regtx,tranline,kacct,x,alltranline5,IN,x,x=950&amp;cr=293" xr:uid="{8DB92A39-1B81-4364-85BE-CD15FD538654}"/>
    <hyperlink ref="A654" r:id="rId651" display="https://9607261.app.netsuite.com/app/reporting/reportrunner.nl?fromreport=320&amp;regtx,tranline,kacct,x,alltranline5,IN,x,x=950&amp;cr=293" xr:uid="{BA5D4EFB-0868-4CC6-B863-A55F9B362CDF}"/>
    <hyperlink ref="A655" r:id="rId652" display="https://9607261.app.netsuite.com/app/reporting/reportrunner.nl?fromreport=320&amp;regtx,tranline,kacct,x,alltranline5,IN,x,x=950&amp;cr=293" xr:uid="{ADE114F2-EC0A-4952-BE75-C71A2B5155AF}"/>
    <hyperlink ref="A656" r:id="rId653" display="https://9607261.app.netsuite.com/app/reporting/reportrunner.nl?fromreport=320&amp;regtx,tranline,kacct,x,alltranline5,IN,x,x=950&amp;cr=293" xr:uid="{D1A6698A-D592-4174-A87B-0AC0413B1F99}"/>
    <hyperlink ref="A657" r:id="rId654" display="https://9607261.app.netsuite.com/app/reporting/reportrunner.nl?fromreport=320&amp;regtx,tranline,kacct,x,alltranline5,IN,x,x=950&amp;cr=293" xr:uid="{AD789617-99B0-4000-8E9C-99B554DDCB5A}"/>
    <hyperlink ref="A658" r:id="rId655" display="https://9607261.app.netsuite.com/app/reporting/reportrunner.nl?fromreport=320&amp;regtx,tranline,kacct,x,alltranline5,IN,x,x=950&amp;cr=293" xr:uid="{555AA522-6788-4820-8E8F-841E6E0E042F}"/>
    <hyperlink ref="A659" r:id="rId656" display="https://9607261.app.netsuite.com/app/reporting/reportrunner.nl?fromreport=320&amp;regtx,tranline,kacct,x,alltranline5,IN,x,x=950&amp;cr=293" xr:uid="{28B7A4B5-96ED-4B26-A5FD-5F1A6CE1B026}"/>
    <hyperlink ref="A660" r:id="rId657" display="https://9607261.app.netsuite.com/app/reporting/reportrunner.nl?fromreport=320&amp;regtx,tranline,kacct,x,alltranline5,IN,x,x=950&amp;cr=293" xr:uid="{5F26BC0A-6911-472E-9A14-82ADF32E308F}"/>
    <hyperlink ref="A661" r:id="rId658" display="https://9607261.app.netsuite.com/app/reporting/reportrunner.nl?fromreport=320&amp;regtx,tranline,kacct,x,alltranline5,IN,x,x=950&amp;cr=293" xr:uid="{5BE2BA12-60E9-447B-ABA0-0977B94C4039}"/>
    <hyperlink ref="A662" r:id="rId659" display="https://9607261.app.netsuite.com/app/reporting/reportrunner.nl?fromreport=320&amp;regtx,tranline,kacct,x,alltranline5,IN,x,x=950&amp;cr=293" xr:uid="{1369FABB-1EB7-4529-80BC-23EC931F9723}"/>
    <hyperlink ref="A663" r:id="rId660" display="https://9607261.app.netsuite.com/app/reporting/reportrunner.nl?fromreport=320&amp;regtx,tranline,kacct,x,alltranline5,IN,x,x=950&amp;cr=293" xr:uid="{5CE70FD9-83FF-49B8-90D5-23EF211FF516}"/>
    <hyperlink ref="A664" r:id="rId661" display="https://9607261.app.netsuite.com/app/reporting/reportrunner.nl?fromreport=320&amp;regtx,tranline,kacct,x,alltranline5,IN,x,x=950&amp;cr=293" xr:uid="{3136E500-5702-4678-810B-9D9496E68801}"/>
    <hyperlink ref="A665" r:id="rId662" display="https://9607261.app.netsuite.com/app/reporting/reportrunner.nl?fromreport=320&amp;regtx,tranline,kacct,x,alltranline5,IN,x,x=950&amp;cr=293" xr:uid="{4FF887AF-88A8-4D60-9C5E-340045B5D98E}"/>
    <hyperlink ref="A666" r:id="rId663" display="https://9607261.app.netsuite.com/app/reporting/reportrunner.nl?fromreport=320&amp;regtx,tranline,kacct,x,alltranline5,IN,x,x=950&amp;cr=293" xr:uid="{17AD4E59-D8FD-40B5-9619-C8D7A0E1667C}"/>
    <hyperlink ref="A667" r:id="rId664" display="https://9607261.app.netsuite.com/app/reporting/reportrunner.nl?fromreport=320&amp;regtx,tranline,kacct,x,alltranline5,IN,x,x=950&amp;cr=293" xr:uid="{478F699C-2B22-4732-8E64-A361A5769E28}"/>
    <hyperlink ref="A668" r:id="rId665" display="https://9607261.app.netsuite.com/app/reporting/reportrunner.nl?fromreport=320&amp;regtx,tranline,kacct,x,alltranline5,IN,x,x=950&amp;cr=293" xr:uid="{3817211A-18C2-40C3-A1F6-2289008144E9}"/>
    <hyperlink ref="A669" r:id="rId666" display="https://9607261.app.netsuite.com/app/reporting/reportrunner.nl?fromreport=320&amp;regtx,tranline,kacct,x,alltranline5,IN,x,x=950&amp;cr=293" xr:uid="{1A9C5DEC-ED8C-4F58-BE70-BE07D766A8E3}"/>
    <hyperlink ref="A670" r:id="rId667" display="https://9607261.app.netsuite.com/app/reporting/reportrunner.nl?fromreport=320&amp;regtx,tranline,kacct,x,alltranline5,IN,x,x=950&amp;cr=293" xr:uid="{E92E1464-4C46-419E-AC6B-F71E8FD7E432}"/>
    <hyperlink ref="A671" r:id="rId668" display="https://9607261.app.netsuite.com/app/reporting/reportrunner.nl?fromreport=320&amp;regtx,tranline,kacct,x,alltranline5,IN,x,x=950&amp;cr=293" xr:uid="{52834F69-D5EB-4F00-91F9-C1C2E3EE9C5F}"/>
    <hyperlink ref="A672" r:id="rId669" display="https://9607261.app.netsuite.com/app/reporting/reportrunner.nl?fromreport=320&amp;regtx,tranline,kacct,x,alltranline5,IN,x,x=950&amp;cr=293" xr:uid="{30969744-3D92-45B4-8B99-83AEF83816BE}"/>
    <hyperlink ref="A673" r:id="rId670" display="https://9607261.app.netsuite.com/app/reporting/reportrunner.nl?fromreport=320&amp;regtx,tranline,kacct,x,alltranline5,IN,x,x=950&amp;cr=293" xr:uid="{43117D10-408C-4176-A224-AB6AB8EBF05E}"/>
    <hyperlink ref="A674" r:id="rId671" display="https://9607261.app.netsuite.com/app/reporting/reportrunner.nl?fromreport=320&amp;regtx,tranline,kacct,x,alltranline5,IN,x,x=950&amp;cr=293" xr:uid="{8CFFF16A-7EB8-4D18-98BA-98260E356E70}"/>
    <hyperlink ref="A675" r:id="rId672" display="https://9607261.app.netsuite.com/app/reporting/reportrunner.nl?fromreport=320&amp;regtx,tranline,kacct,x,alltranline5,IN,x,x=950&amp;cr=293" xr:uid="{69C4241C-1060-49A5-823B-ED2595FA39F4}"/>
    <hyperlink ref="A676" r:id="rId673" display="https://9607261.app.netsuite.com/app/reporting/reportrunner.nl?fromreport=320&amp;regtx,tranline,kacct,x,alltranline5,IN,x,x=950&amp;cr=293" xr:uid="{B66F7596-BB2D-496A-AAC9-BDD7B70121C6}"/>
    <hyperlink ref="A677" r:id="rId674" display="https://9607261.app.netsuite.com/app/reporting/reportrunner.nl?fromreport=320&amp;regtx,tranline,kacct,x,alltranline5,IN,x,x=950&amp;cr=293" xr:uid="{A56F35E2-942B-464B-A6DF-114DD1218555}"/>
    <hyperlink ref="A678" r:id="rId675" display="https://9607261.app.netsuite.com/app/reporting/reportrunner.nl?fromreport=320&amp;regtx,tranline,kacct,x,alltranline5,IN,x,x=950&amp;cr=293" xr:uid="{0A8F8513-2A21-40CD-ABBC-0F3043F52C8E}"/>
    <hyperlink ref="A679" r:id="rId676" display="https://9607261.app.netsuite.com/app/reporting/reportrunner.nl?fromreport=320&amp;regtx,tranline,kacct,x,alltranline5,IN,x,x=950&amp;cr=293" xr:uid="{B32D75A6-6075-42A0-A315-12A14C940D54}"/>
    <hyperlink ref="A680" r:id="rId677" display="https://9607261.app.netsuite.com/app/reporting/reportrunner.nl?fromreport=320&amp;regtx,tranline,kacct,x,alltranline5,IN,x,x=950&amp;cr=293" xr:uid="{CEA659FD-7F51-47EE-8705-8DF28054D6A6}"/>
    <hyperlink ref="A681" r:id="rId678" display="https://9607261.app.netsuite.com/app/reporting/reportrunner.nl?fromreport=320&amp;regtx,tranline,kacct,x,alltranline5,IN,x,x=950&amp;cr=293" xr:uid="{5E419C91-4467-4D9F-93F3-854717A1FD09}"/>
    <hyperlink ref="A682" r:id="rId679" display="https://9607261.app.netsuite.com/app/reporting/reportrunner.nl?fromreport=320&amp;regtx,tranline,kacct,x,alltranline5,IN,x,x=950&amp;cr=293" xr:uid="{6156D90B-0466-4424-8E8F-33E4A222095A}"/>
    <hyperlink ref="A683" r:id="rId680" display="https://9607261.app.netsuite.com/app/reporting/reportrunner.nl?fromreport=320&amp;regtx,tranline,kacct,x,alltranline5,IN,x,x=950&amp;cr=293" xr:uid="{60F219A1-C0DE-4900-915F-8B7773DDAD4B}"/>
    <hyperlink ref="A684" r:id="rId681" display="https://9607261.app.netsuite.com/app/reporting/reportrunner.nl?fromreport=320&amp;regtx,tranline,kacct,x,alltranline5,IN,x,x=950&amp;cr=293" xr:uid="{6C32C7DF-0D29-4091-820C-3614CAEB9A12}"/>
    <hyperlink ref="A685" r:id="rId682" display="https://9607261.app.netsuite.com/app/reporting/reportrunner.nl?fromreport=320&amp;regtx,tranline,kacct,x,alltranline5,IN,x,x=950&amp;cr=293" xr:uid="{DC9C8971-2780-4811-9729-357F5B03B8F2}"/>
    <hyperlink ref="A686" r:id="rId683" display="https://9607261.app.netsuite.com/app/reporting/reportrunner.nl?fromreport=320&amp;regtx,tranline,kacct,x,alltranline5,IN,x,x=950&amp;cr=293" xr:uid="{BA002D25-D86E-4C36-849C-E06E0CCCCDE1}"/>
    <hyperlink ref="A687" r:id="rId684" display="https://9607261.app.netsuite.com/app/reporting/reportrunner.nl?fromreport=320&amp;regtx,tranline,kacct,x,alltranline5,IN,x,x=950&amp;cr=293" xr:uid="{E4D02750-A02F-4AFC-8033-96591371A1F9}"/>
    <hyperlink ref="A688" r:id="rId685" display="https://9607261.app.netsuite.com/app/reporting/reportrunner.nl?fromreport=320&amp;regtx,tranline,kacct,x,alltranline5,IN,x,x=950&amp;cr=293" xr:uid="{ADFF128F-2F70-44E0-AD88-86BD3E382492}"/>
    <hyperlink ref="A689" r:id="rId686" display="https://9607261.app.netsuite.com/app/reporting/reportrunner.nl?fromreport=320&amp;regtx,tranline,kacct,x,alltranline5,IN,x,x=950&amp;cr=293" xr:uid="{8268A3DB-A119-4E0D-BE14-632DF9066DBC}"/>
    <hyperlink ref="A690" r:id="rId687" display="https://9607261.app.netsuite.com/app/reporting/reportrunner.nl?fromreport=320&amp;regtx,tranline,kacct,x,alltranline5,IN,x,x=950&amp;cr=293" xr:uid="{FF64E0A7-4B09-4091-916E-4A3C55331070}"/>
    <hyperlink ref="A691" r:id="rId688" display="https://9607261.app.netsuite.com/app/reporting/reportrunner.nl?fromreport=320&amp;regtx,tranline,kacct,x,alltranline5,IN,x,x=950&amp;cr=293" xr:uid="{F6316D88-C118-49A4-8F73-A1A167722272}"/>
    <hyperlink ref="A692" r:id="rId689" display="https://9607261.app.netsuite.com/app/reporting/reportrunner.nl?fromreport=320&amp;regtx,tranline,kacct,x,alltranline5,IN,x,x=950&amp;cr=293" xr:uid="{42EAFBA1-B370-4806-B75D-A18A312B09C0}"/>
    <hyperlink ref="A693" r:id="rId690" display="https://9607261.app.netsuite.com/app/reporting/reportrunner.nl?fromreport=320&amp;regtx,tranline,kacct,x,alltranline5,IN,x,x=950&amp;cr=293" xr:uid="{030EC264-479B-444F-B676-41D575ADD642}"/>
    <hyperlink ref="A694" r:id="rId691" display="https://9607261.app.netsuite.com/app/reporting/reportrunner.nl?fromreport=320&amp;regtx,tranline,kacct,x,alltranline5,IN,x,x=950&amp;cr=293" xr:uid="{B3DFE33E-47A2-478B-B6F5-CA7F8FE70811}"/>
    <hyperlink ref="A695" r:id="rId692" display="https://9607261.app.netsuite.com/app/reporting/reportrunner.nl?fromreport=320&amp;regtx,tranline,kacct,x,alltranline5,IN,x,x=950&amp;cr=293" xr:uid="{0F2C2855-2031-4AD1-AD53-267F54A42372}"/>
    <hyperlink ref="A696" r:id="rId693" display="https://9607261.app.netsuite.com/app/reporting/reportrunner.nl?fromreport=320&amp;regtx,tranline,kacct,x,alltranline5,IN,x,x=950&amp;cr=293" xr:uid="{50D60342-FE43-4F81-8395-93866FBE9EA5}"/>
    <hyperlink ref="A697" r:id="rId694" display="https://9607261.app.netsuite.com/app/reporting/reportrunner.nl?fromreport=320&amp;regtx,tranline,kacct,x,alltranline5,IN,x,x=950&amp;cr=293" xr:uid="{7F4A88C2-FB2A-404D-9EA3-A94D66852DC9}"/>
    <hyperlink ref="A698" r:id="rId695" display="https://9607261.app.netsuite.com/app/reporting/reportrunner.nl?fromreport=320&amp;regtx,tranline,kacct,x,alltranline5,IN,x,x=950&amp;cr=293" xr:uid="{29CDD813-F96B-4B18-A553-C78EC2CD29B1}"/>
    <hyperlink ref="A699" r:id="rId696" display="https://9607261.app.netsuite.com/app/reporting/reportrunner.nl?fromreport=320&amp;regtx,tranline,kacct,x,alltranline5,IN,x,x=950&amp;cr=293" xr:uid="{385CA30A-590D-4AC5-9560-E766C2FA6B31}"/>
    <hyperlink ref="A700" r:id="rId697" display="https://9607261.app.netsuite.com/app/reporting/reportrunner.nl?fromreport=320&amp;regtx,tranline,kacct,x,alltranline5,IN,x,x=950&amp;cr=293" xr:uid="{71EE8E60-D792-4462-A14D-8044641831BE}"/>
    <hyperlink ref="A701" r:id="rId698" display="https://9607261.app.netsuite.com/app/reporting/reportrunner.nl?fromreport=320&amp;regtx,tranline,kacct,x,alltranline5,IN,x,x=950&amp;cr=293" xr:uid="{39439075-2DFF-46F2-BD71-E60A52322DBE}"/>
    <hyperlink ref="A702" r:id="rId699" display="https://9607261.app.netsuite.com/app/reporting/reportrunner.nl?fromreport=320&amp;regtx,tranline,kacct,x,alltranline5,IN,x,x=950&amp;cr=293" xr:uid="{15369255-AED3-4413-8E96-DDD4AA386137}"/>
    <hyperlink ref="A703" r:id="rId700" display="https://9607261.app.netsuite.com/app/reporting/reportrunner.nl?fromreport=320&amp;regtx,tranline,kacct,x,alltranline5,IN,x,x=950&amp;cr=293" xr:uid="{959922AB-2BCA-4A33-9399-F654D21980C5}"/>
    <hyperlink ref="A704" r:id="rId701" display="https://9607261.app.netsuite.com/app/reporting/reportrunner.nl?fromreport=320&amp;regtx,tranline,kacct,x,alltranline5,IN,x,x=950&amp;cr=293" xr:uid="{925D2C8F-051F-41E2-8D8A-D9EED476123D}"/>
    <hyperlink ref="A705" r:id="rId702" display="https://9607261.app.netsuite.com/app/reporting/reportrunner.nl?fromreport=320&amp;regtx,tranline,kacct,x,alltranline5,IN,x,x=950&amp;cr=293" xr:uid="{FE41221E-A058-40E6-AA86-2BE803FA34F3}"/>
    <hyperlink ref="A706" r:id="rId703" display="https://9607261.app.netsuite.com/app/reporting/reportrunner.nl?fromreport=320&amp;regtx,tranline,kacct,x,alltranline5,IN,x,x=950&amp;cr=293" xr:uid="{C5434D00-DF18-4522-8AC8-FAD6A0F3550D}"/>
    <hyperlink ref="A707" r:id="rId704" display="https://9607261.app.netsuite.com/app/reporting/reportrunner.nl?fromreport=320&amp;regtx,tranline,kacct,x,alltranline5,IN,x,x=950&amp;cr=293" xr:uid="{D870525A-652A-4B8C-8949-205D870200B5}"/>
    <hyperlink ref="A708" r:id="rId705" display="https://9607261.app.netsuite.com/app/reporting/reportrunner.nl?fromreport=320&amp;regtx,tranline,kacct,x,alltranline5,IN,x,x=950&amp;cr=293" xr:uid="{AD24A1E1-985A-49B5-9114-F5D6C7E817D6}"/>
    <hyperlink ref="A709" r:id="rId706" display="https://9607261.app.netsuite.com/app/reporting/reportrunner.nl?fromreport=320&amp;regtx,tranline,kacct,x,alltranline5,IN,x,x=950&amp;cr=293" xr:uid="{31347FCB-C20B-47DD-B21D-5E88D1625C9B}"/>
    <hyperlink ref="A710" r:id="rId707" display="https://9607261.app.netsuite.com/app/reporting/reportrunner.nl?fromreport=320&amp;regtx,tranline,kacct,x,alltranline5,IN,x,x=950&amp;cr=293" xr:uid="{7A934D78-E952-4351-8F66-A824E96D5E27}"/>
    <hyperlink ref="A711" r:id="rId708" display="https://9607261.app.netsuite.com/app/reporting/reportrunner.nl?fromreport=320&amp;regtx,tranline,kacct,x,alltranline5,IN,x,x=950&amp;cr=293" xr:uid="{1A69AF5D-07BF-4FD2-9DD2-1139988D5A05}"/>
    <hyperlink ref="A712" r:id="rId709" display="https://9607261.app.netsuite.com/app/reporting/reportrunner.nl?fromreport=320&amp;regtx,tranline,kacct,x,alltranline5,IN,x,x=950&amp;cr=293" xr:uid="{56670B49-94A9-41A9-8E43-FC9C2B5EAC04}"/>
    <hyperlink ref="A713" r:id="rId710" display="https://9607261.app.netsuite.com/app/reporting/reportrunner.nl?fromreport=320&amp;regtx,tranline,kacct,x,alltranline5,IN,x,x=950&amp;cr=293" xr:uid="{443705FD-5DA5-48C4-AF96-3B136BEE1B09}"/>
    <hyperlink ref="A714" r:id="rId711" display="https://9607261.app.netsuite.com/app/reporting/reportrunner.nl?fromreport=320&amp;regtx,tranline,kacct,x,alltranline5,IN,x,x=950&amp;cr=293" xr:uid="{EAB9931D-2C0D-432D-825A-FE4F1E21925F}"/>
    <hyperlink ref="A715" r:id="rId712" display="https://9607261.app.netsuite.com/app/reporting/reportrunner.nl?fromreport=320&amp;regtx,tranline,kacct,x,alltranline5,IN,x,x=950&amp;cr=293" xr:uid="{F0453326-AB92-4F5F-95C1-5F8784F68ADD}"/>
    <hyperlink ref="A716" r:id="rId713" display="https://9607261.app.netsuite.com/app/reporting/reportrunner.nl?fromreport=320&amp;regtx,tranline,kacct,x,alltranline5,IN,x,x=950&amp;cr=293" xr:uid="{3B9F9325-6C41-403F-9755-87E5A2F8B8EB}"/>
    <hyperlink ref="A717" r:id="rId714" display="https://9607261.app.netsuite.com/app/reporting/reportrunner.nl?fromreport=320&amp;regtx,tranline,kacct,x,alltranline5,IN,x,x=950&amp;cr=293" xr:uid="{8C84E7A4-58BB-4A06-8FDD-9FA9875A013B}"/>
    <hyperlink ref="A718" r:id="rId715" display="https://9607261.app.netsuite.com/app/reporting/reportrunner.nl?fromreport=320&amp;regtx,tranline,kacct,x,alltranline5,IN,x,x=950&amp;cr=293" xr:uid="{C6061A5D-2A0A-4669-98EB-C092EBA7B239}"/>
    <hyperlink ref="A719" r:id="rId716" display="https://9607261.app.netsuite.com/app/reporting/reportrunner.nl?fromreport=320&amp;regtx,tranline,kacct,x,alltranline5,IN,x,x=950&amp;cr=293" xr:uid="{B96D91AD-21C2-40C7-B05B-C40F8AC9D6EF}"/>
    <hyperlink ref="A720" r:id="rId717" display="https://9607261.app.netsuite.com/app/reporting/reportrunner.nl?fromreport=320&amp;regtx,tranline,kacct,x,alltranline5,IN,x,x=950&amp;cr=293" xr:uid="{C2A3417A-5EC4-45FD-9625-5D4F1801C413}"/>
    <hyperlink ref="A721" r:id="rId718" display="https://9607261.app.netsuite.com/app/reporting/reportrunner.nl?fromreport=320&amp;regtx,tranline,kacct,x,alltranline5,IN,x,x=950&amp;cr=293" xr:uid="{D32952F0-2A08-4331-8AA2-A680E9332114}"/>
    <hyperlink ref="A722" r:id="rId719" display="https://9607261.app.netsuite.com/app/reporting/reportrunner.nl?fromreport=320&amp;regtx,tranline,kacct,x,alltranline5,IN,x,x=950&amp;cr=293" xr:uid="{664FB714-5B59-4ED6-9027-7DB8915F7758}"/>
    <hyperlink ref="A723" r:id="rId720" display="https://9607261.app.netsuite.com/app/reporting/reportrunner.nl?fromreport=320&amp;regtx,tranline,kacct,x,alltranline5,IN,x,x=950&amp;cr=293" xr:uid="{734E1F89-CEDB-4526-85BD-3EF7BBCA4F62}"/>
    <hyperlink ref="A724" r:id="rId721" display="https://9607261.app.netsuite.com/app/reporting/reportrunner.nl?fromreport=320&amp;regtx,tranline,kacct,x,alltranline5,IN,x,x=950&amp;cr=293" xr:uid="{374E8F72-0AB4-4CF1-819C-79DD77CEA2E3}"/>
    <hyperlink ref="A725" r:id="rId722" display="https://9607261.app.netsuite.com/app/reporting/reportrunner.nl?fromreport=320&amp;regtx,tranline,kacct,x,alltranline5,IN,x,x=950&amp;cr=293" xr:uid="{F9EDFE92-A426-4CC5-ADB8-494CE61D95B5}"/>
    <hyperlink ref="A726" r:id="rId723" display="https://9607261.app.netsuite.com/app/reporting/reportrunner.nl?fromreport=320&amp;regtx,tranline,kacct,x,alltranline5,IN,x,x=950&amp;cr=293" xr:uid="{E43B5C43-28E1-4D60-AB67-F80220446CF2}"/>
    <hyperlink ref="A727" r:id="rId724" display="https://9607261.app.netsuite.com/app/reporting/reportrunner.nl?fromreport=320&amp;regtx,tranline,kacct,x,alltranline5,IN,x,x=950&amp;cr=293" xr:uid="{4F1317F3-AAB6-4BF7-B48C-1875DDE2B009}"/>
    <hyperlink ref="A728" r:id="rId725" display="https://9607261.app.netsuite.com/app/reporting/reportrunner.nl?fromreport=320&amp;regtx,tranline,kacct,x,alltranline5,IN,x,x=950&amp;cr=293" xr:uid="{5608B36F-6DAA-42AB-85DA-8FDEBE1ED1A4}"/>
    <hyperlink ref="A729" r:id="rId726" display="https://9607261.app.netsuite.com/app/reporting/reportrunner.nl?fromreport=320&amp;regtx,tranline,kacct,x,alltranline5,IN,x,x=950&amp;cr=293" xr:uid="{FDC0CA6F-FB55-4C43-AB8E-368FF1BAC8A3}"/>
    <hyperlink ref="A730" r:id="rId727" display="https://9607261.app.netsuite.com/app/reporting/reportrunner.nl?fromreport=320&amp;regtx,tranline,kacct,x,alltranline5,IN,x,x=950&amp;cr=293" xr:uid="{DB34D44D-D155-4046-B2FD-6D788E02AE45}"/>
    <hyperlink ref="A731" r:id="rId728" display="https://9607261.app.netsuite.com/app/reporting/reportrunner.nl?fromreport=320&amp;regtx,tranline,kacct,x,alltranline5,IN,x,x=950&amp;cr=293" xr:uid="{B985541D-F064-4AE7-AE6A-D0AE161A2DA5}"/>
    <hyperlink ref="A732" r:id="rId729" display="https://9607261.app.netsuite.com/app/reporting/reportrunner.nl?fromreport=320&amp;regtx,tranline,kacct,x,alltranline5,IN,x,x=950&amp;cr=293" xr:uid="{A5F12DEA-58E6-4BEA-9658-7F83E8AEE2AD}"/>
    <hyperlink ref="A733" r:id="rId730" display="https://9607261.app.netsuite.com/app/reporting/reportrunner.nl?fromreport=320&amp;regtx,tranline,kacct,x,alltranline5,IN,x,x=950&amp;cr=293" xr:uid="{E0F32F6C-413E-4C09-B382-639B13F602AA}"/>
    <hyperlink ref="A734" r:id="rId731" display="https://9607261.app.netsuite.com/app/reporting/reportrunner.nl?fromreport=320&amp;regtx,tranline,kacct,x,alltranline5,IN,x,x=950&amp;cr=293" xr:uid="{E5042640-E4F3-4BB6-928A-FA2283808F48}"/>
    <hyperlink ref="A735" r:id="rId732" display="https://9607261.app.netsuite.com/app/reporting/reportrunner.nl?fromreport=320&amp;regtx,tranline,kacct,x,alltranline5,IN,x,x=950&amp;cr=293" xr:uid="{655BB576-CD6A-4948-856E-85C5042646D5}"/>
    <hyperlink ref="A736" r:id="rId733" display="https://9607261.app.netsuite.com/app/reporting/reportrunner.nl?fromreport=320&amp;regtx,tranline,kacct,x,alltranline5,IN,x,x=950&amp;cr=293" xr:uid="{E01EC377-0E02-47A7-A0BA-36F2E787A1E3}"/>
    <hyperlink ref="A737" r:id="rId734" display="https://9607261.app.netsuite.com/app/reporting/reportrunner.nl?fromreport=320&amp;regtx,tranline,kacct,x,alltranline5,IN,x,x=950&amp;cr=293" xr:uid="{AA03037B-92CC-47DE-93C5-431CB2A99A07}"/>
    <hyperlink ref="A738" r:id="rId735" display="https://9607261.app.netsuite.com/app/reporting/reportrunner.nl?fromreport=320&amp;regtx,tranline,kacct,x,alltranline5,IN,x,x=950&amp;cr=293" xr:uid="{5EFD7DFF-745F-43B4-A067-8126FEDDD7AB}"/>
    <hyperlink ref="A739" r:id="rId736" display="https://9607261.app.netsuite.com/app/reporting/reportrunner.nl?fromreport=320&amp;regtx,tranline,kacct,x,alltranline5,IN,x,x=950&amp;cr=293" xr:uid="{598EC051-854B-4B02-A324-04DC3F95E927}"/>
    <hyperlink ref="A740" r:id="rId737" display="https://9607261.app.netsuite.com/app/reporting/reportrunner.nl?fromreport=320&amp;regtx,tranline,kacct,x,alltranline5,IN,x,x=950&amp;cr=293" xr:uid="{5C0AF88E-03B8-454A-91EE-F25B59F909A8}"/>
    <hyperlink ref="A741" r:id="rId738" display="https://9607261.app.netsuite.com/app/reporting/reportrunner.nl?fromreport=320&amp;regtx,tranline,kacct,x,alltranline5,IN,x,x=950&amp;cr=293" xr:uid="{22E4E442-909B-4744-859F-A3AA7B704C3B}"/>
    <hyperlink ref="A742" r:id="rId739" display="https://9607261.app.netsuite.com/app/reporting/reportrunner.nl?fromreport=320&amp;regtx,tranline,kacct,x,alltranline5,IN,x,x=950&amp;cr=293" xr:uid="{F4AAAA85-2528-4B5F-929E-4A19AEAB559D}"/>
    <hyperlink ref="A743" r:id="rId740" display="https://9607261.app.netsuite.com/app/reporting/reportrunner.nl?fromreport=320&amp;regtx,tranline,kacct,x,alltranline5,IN,x,x=950&amp;cr=293" xr:uid="{39995215-C4D3-43D4-A607-44241A16239D}"/>
    <hyperlink ref="A744" r:id="rId741" display="https://9607261.app.netsuite.com/app/reporting/reportrunner.nl?fromreport=320&amp;regtx,tranline,kacct,x,alltranline5,IN,x,x=950&amp;cr=293" xr:uid="{B665393B-6B58-4AB4-9B8F-F7D126E7A3F8}"/>
    <hyperlink ref="A745" r:id="rId742" display="https://9607261.app.netsuite.com/app/reporting/reportrunner.nl?fromreport=320&amp;regtx,tranline,kacct,x,alltranline5,IN,x,x=950&amp;cr=293" xr:uid="{10E1EA10-3481-4B01-A28F-CD9A096CA390}"/>
    <hyperlink ref="A746" r:id="rId743" display="https://9607261.app.netsuite.com/app/reporting/reportrunner.nl?fromreport=320&amp;regtx,tranline,kacct,x,alltranline5,IN,x,x=950&amp;cr=293" xr:uid="{553610CA-B045-4A59-97CF-29AC0E1C24D9}"/>
    <hyperlink ref="A747" r:id="rId744" display="https://9607261.app.netsuite.com/app/reporting/reportrunner.nl?fromreport=320&amp;regtx,tranline,kacct,x,alltranline5,IN,x,x=950&amp;cr=293" xr:uid="{5147F56A-4600-48C6-87BB-3B59DF8BCCA3}"/>
    <hyperlink ref="A748" r:id="rId745" display="https://9607261.app.netsuite.com/app/reporting/reportrunner.nl?fromreport=320&amp;regtx,tranline,kacct,x,alltranline5,IN,x,x=950&amp;cr=293" xr:uid="{01C11306-E3DB-45F5-B58A-E03CD871A526}"/>
    <hyperlink ref="A749" r:id="rId746" display="https://9607261.app.netsuite.com/app/reporting/reportrunner.nl?fromreport=320&amp;regtx,tranline,kacct,x,alltranline5,IN,x,x=950&amp;cr=293" xr:uid="{C0AA9010-032A-4F8F-9A0B-771FA700B9CF}"/>
    <hyperlink ref="A750" r:id="rId747" display="https://9607261.app.netsuite.com/app/reporting/reportrunner.nl?fromreport=320&amp;regtx,tranline,kacct,x,alltranline5,IN,x,x=950&amp;cr=293" xr:uid="{581B0136-CF2B-43DE-99EE-F9DD48191627}"/>
    <hyperlink ref="A751" r:id="rId748" display="https://9607261.app.netsuite.com/app/reporting/reportrunner.nl?fromreport=320&amp;regtx,tranline,kacct,x,alltranline5,IN,x,x=950&amp;cr=293" xr:uid="{3EE7B4CB-F271-4CAC-A550-7B4BEAAF4E83}"/>
    <hyperlink ref="A752" r:id="rId749" display="https://9607261.app.netsuite.com/app/reporting/reportrunner.nl?fromreport=320&amp;regtx,tranline,kacct,x,alltranline5,IN,x,x=950&amp;cr=293" xr:uid="{6C130688-FEB4-4539-9642-AA2FB05E9AB2}"/>
    <hyperlink ref="A753" r:id="rId750" display="https://9607261.app.netsuite.com/app/reporting/reportrunner.nl?fromreport=320&amp;regtx,tranline,kacct,x,alltranline5,IN,x,x=950&amp;cr=293" xr:uid="{ADCD8B47-A981-4CDE-9951-0B1304CCCACF}"/>
    <hyperlink ref="A754" r:id="rId751" display="https://9607261.app.netsuite.com/app/reporting/reportrunner.nl?fromreport=320&amp;regtx,tranline,kacct,x,alltranline5,IN,x,x=950&amp;cr=293" xr:uid="{B2F17A17-A783-444B-A11D-D7929A1229FC}"/>
    <hyperlink ref="A755" r:id="rId752" display="https://9607261.app.netsuite.com/app/reporting/reportrunner.nl?fromreport=320&amp;regtx,tranline,kacct,x,alltranline5,IN,x,x=950&amp;cr=293" xr:uid="{8203C8B0-DA64-4EEE-BA70-94B6A5D8D036}"/>
    <hyperlink ref="A756" r:id="rId753" display="https://9607261.app.netsuite.com/app/reporting/reportrunner.nl?fromreport=320&amp;regtx,tranline,kacct,x,alltranline5,IN,x,x=950&amp;cr=293" xr:uid="{2F75E3FE-4C37-4491-ACB3-5231711805DD}"/>
    <hyperlink ref="A757" r:id="rId754" display="https://9607261.app.netsuite.com/app/reporting/reportrunner.nl?fromreport=320&amp;regtx,tranline,kacct,x,alltranline5,IN,x,x=950&amp;cr=293" xr:uid="{137439B9-C6B7-468C-A37B-8429ABE5412E}"/>
    <hyperlink ref="A758" r:id="rId755" display="https://9607261.app.netsuite.com/app/reporting/reportrunner.nl?fromreport=320&amp;regtx,tranline,kacct,x,alltranline5,IN,x,x=950&amp;cr=293" xr:uid="{E83B402B-B59E-441F-9B8C-43E5F9C867E4}"/>
    <hyperlink ref="A759" r:id="rId756" display="https://9607261.app.netsuite.com/app/reporting/reportrunner.nl?fromreport=320&amp;regtx,tranline,kacct,x,alltranline5,IN,x,x=950&amp;cr=293" xr:uid="{F435B56D-4876-4AB5-91E6-5D45326B5F91}"/>
    <hyperlink ref="A760" r:id="rId757" display="https://9607261.app.netsuite.com/app/reporting/reportrunner.nl?fromreport=320&amp;regtx,tranline,kacct,x,alltranline5,IN,x,x=950&amp;cr=293" xr:uid="{7078F84D-4FD9-45B0-A40A-BC453A33C614}"/>
    <hyperlink ref="A761" r:id="rId758" display="https://9607261.app.netsuite.com/app/reporting/reportrunner.nl?fromreport=320&amp;regtx,tranline,kacct,x,alltranline5,IN,x,x=950&amp;cr=293" xr:uid="{37803543-430F-4350-A419-2924B491BCD2}"/>
    <hyperlink ref="A762" r:id="rId759" display="https://9607261.app.netsuite.com/app/reporting/reportrunner.nl?fromreport=320&amp;regtx,tranline,kacct,x,alltranline5,IN,x,x=950&amp;cr=293" xr:uid="{5369F130-9851-4C81-B594-666FD6947A6F}"/>
    <hyperlink ref="A763" r:id="rId760" display="https://9607261.app.netsuite.com/app/reporting/reportrunner.nl?fromreport=320&amp;regtx,tranline,kacct,x,alltranline5,IN,x,x=950&amp;cr=293" xr:uid="{7A399085-DD70-4390-9D51-C9CFE3BB350E}"/>
    <hyperlink ref="A764" r:id="rId761" display="https://9607261.app.netsuite.com/app/reporting/reportrunner.nl?fromreport=320&amp;regtx,tranline,kacct,x,alltranline5,IN,x,x=950&amp;cr=293" xr:uid="{C7B20E60-E868-4426-9195-D6CDBD3902B4}"/>
    <hyperlink ref="A765" r:id="rId762" display="https://9607261.app.netsuite.com/app/reporting/reportrunner.nl?fromreport=320&amp;regtx,tranline,kacct,x,alltranline5,IN,x,x=950&amp;cr=293" xr:uid="{B022212E-4881-4419-A45F-F0CA6DD1FB7C}"/>
    <hyperlink ref="A766" r:id="rId763" display="https://9607261.app.netsuite.com/app/reporting/reportrunner.nl?fromreport=320&amp;regtx,tranline,kacct,x,alltranline5,IN,x,x=950&amp;cr=293" xr:uid="{96010E48-5D93-4DC5-833C-C63BBC30718D}"/>
    <hyperlink ref="A767" r:id="rId764" display="https://9607261.app.netsuite.com/app/reporting/reportrunner.nl?fromreport=320&amp;regtx,tranline,kacct,x,alltranline5,IN,x,x=950&amp;cr=293" xr:uid="{01CE54FD-E86C-4B2D-B002-7536C5FB0159}"/>
    <hyperlink ref="A768" r:id="rId765" display="https://9607261.app.netsuite.com/app/reporting/reportrunner.nl?fromreport=320&amp;regtx,tranline,kacct,x,alltranline5,IN,x,x=950&amp;cr=293" xr:uid="{B3441674-7A3D-4508-BA3F-AB670A62CEB1}"/>
    <hyperlink ref="A769" r:id="rId766" display="https://9607261.app.netsuite.com/app/reporting/reportrunner.nl?fromreport=320&amp;regtx,tranline,kacct,x,alltranline5,IN,x,x=950&amp;cr=293" xr:uid="{6D48F80E-CBEA-4CEF-964E-26A4FBA47B8D}"/>
    <hyperlink ref="A770" r:id="rId767" display="https://9607261.app.netsuite.com/app/reporting/reportrunner.nl?fromreport=320&amp;regtx,tranline,kacct,x,alltranline5,IN,x,x=950&amp;cr=293" xr:uid="{77EB008D-F863-4E18-93D0-9703123DB27F}"/>
    <hyperlink ref="A771" r:id="rId768" display="https://9607261.app.netsuite.com/app/reporting/reportrunner.nl?fromreport=320&amp;regtx,tranline,kacct,x,alltranline5,IN,x,x=950&amp;cr=293" xr:uid="{6489ADF1-1785-422F-96E0-0A65FCB0FD21}"/>
    <hyperlink ref="A772" r:id="rId769" display="https://9607261.app.netsuite.com/app/reporting/reportrunner.nl?fromreport=320&amp;regtx,tranline,kacct,x,alltranline5,IN,x,x=950&amp;cr=293" xr:uid="{290F10E4-264D-4D03-8A22-7D39793F8DD1}"/>
    <hyperlink ref="A773" r:id="rId770" display="https://9607261.app.netsuite.com/app/reporting/reportrunner.nl?fromreport=320&amp;regtx,tranline,kacct,x,alltranline5,IN,x,x=950&amp;cr=293" xr:uid="{625F2714-5EB0-4473-A864-029FC44DBC98}"/>
    <hyperlink ref="A774" r:id="rId771" display="https://9607261.app.netsuite.com/app/reporting/reportrunner.nl?fromreport=320&amp;regtx,tranline,kacct,x,alltranline5,IN,x,x=950&amp;cr=293" xr:uid="{5C5856F3-A0FF-4D47-948A-FE3FF5206E35}"/>
    <hyperlink ref="A775" r:id="rId772" display="https://9607261.app.netsuite.com/app/reporting/reportrunner.nl?fromreport=320&amp;regtx,tranline,kacct,x,alltranline5,IN,x,x=950&amp;cr=293" xr:uid="{FE295342-23B6-4929-AFC5-AD3763CABF74}"/>
    <hyperlink ref="A776" r:id="rId773" display="https://9607261.app.netsuite.com/app/reporting/reportrunner.nl?fromreport=320&amp;regtx,tranline,kacct,x,alltranline5,IN,x,x=950&amp;cr=293" xr:uid="{2C6C3EF9-F3FB-442F-A5A7-AF5899651431}"/>
    <hyperlink ref="A777" r:id="rId774" display="https://9607261.app.netsuite.com/app/reporting/reportrunner.nl?fromreport=320&amp;regtx,tranline,kacct,x,alltranline5,IN,x,x=950&amp;cr=293" xr:uid="{4AF0BBB2-95DE-4911-A654-AD9ED8F254A9}"/>
    <hyperlink ref="A778" r:id="rId775" display="https://9607261.app.netsuite.com/app/reporting/reportrunner.nl?fromreport=320&amp;regtx,tranline,kacct,x,alltranline5,IN,x,x=950&amp;cr=293" xr:uid="{AF5DE978-84C9-4864-A2C5-A6977ADB0059}"/>
    <hyperlink ref="A779" r:id="rId776" display="https://9607261.app.netsuite.com/app/reporting/reportrunner.nl?fromreport=320&amp;regtx,tranline,kacct,x,alltranline5,IN,x,x=950&amp;cr=293" xr:uid="{9C55ED04-89F7-4DD8-936B-B5151CA770A9}"/>
    <hyperlink ref="A780" r:id="rId777" display="https://9607261.app.netsuite.com/app/reporting/reportrunner.nl?fromreport=320&amp;regtx,tranline,kacct,x,alltranline5,IN,x,x=950&amp;cr=293" xr:uid="{20D6BBC4-40EE-49ED-8D66-2D55D1B7A21D}"/>
    <hyperlink ref="A781" r:id="rId778" display="https://9607261.app.netsuite.com/app/reporting/reportrunner.nl?fromreport=320&amp;regtx,tranline,kacct,x,alltranline5,IN,x,x=950&amp;cr=293" xr:uid="{27F1CEEE-F3A3-478B-A20E-96730FFF177F}"/>
    <hyperlink ref="A782" r:id="rId779" display="https://9607261.app.netsuite.com/app/reporting/reportrunner.nl?fromreport=320&amp;regtx,tranline,kacct,x,alltranline5,IN,x,x=950&amp;cr=293" xr:uid="{FE3040F5-82B8-4747-8841-41C66FEDC5F2}"/>
    <hyperlink ref="A783" r:id="rId780" display="https://9607261.app.netsuite.com/app/reporting/reportrunner.nl?fromreport=320&amp;regtx,tranline,kacct,x,alltranline5,IN,x,x=950&amp;cr=293" xr:uid="{5CCBC0A0-3214-4D2D-818F-FEA1D31B475C}"/>
    <hyperlink ref="A784" r:id="rId781" display="https://9607261.app.netsuite.com/app/reporting/reportrunner.nl?fromreport=320&amp;regtx,tranline,kacct,x,alltranline5,IN,x,x=950&amp;cr=293" xr:uid="{4293D12C-464E-40DE-AC56-CC6F1C282866}"/>
    <hyperlink ref="A785" r:id="rId782" display="https://9607261.app.netsuite.com/app/reporting/reportrunner.nl?fromreport=320&amp;regtx,tranline,kacct,x,alltranline5,IN,x,x=950&amp;cr=293" xr:uid="{F12A5C59-B0DD-477F-B897-A915E0AD1CA6}"/>
    <hyperlink ref="A786" r:id="rId783" display="https://9607261.app.netsuite.com/app/reporting/reportrunner.nl?fromreport=320&amp;regtx,tranline,kacct,x,alltranline5,IN,x,x=950&amp;cr=293" xr:uid="{0D1555C3-1BC9-409B-B97C-1CCA7E890C55}"/>
    <hyperlink ref="A787" r:id="rId784" display="https://9607261.app.netsuite.com/app/reporting/reportrunner.nl?fromreport=320&amp;regtx,tranline,kacct,x,alltranline5,IN,x,x=950&amp;cr=293" xr:uid="{8EA5858B-4A83-4F29-B08D-C83799F25AA1}"/>
    <hyperlink ref="A788" r:id="rId785" display="https://9607261.app.netsuite.com/app/reporting/reportrunner.nl?fromreport=320&amp;regtx,tranline,kacct,x,alltranline5,IN,x,x=950&amp;cr=293" xr:uid="{E1D3C51F-750F-459A-8AC6-D892808F6DBD}"/>
    <hyperlink ref="A789" r:id="rId786" display="https://9607261.app.netsuite.com/app/reporting/reportrunner.nl?fromreport=320&amp;regtx,tranline,kacct,x,alltranline5,IN,x,x=950&amp;cr=293" xr:uid="{87A12133-5D37-4191-BE6A-00FCAD660343}"/>
    <hyperlink ref="A790" r:id="rId787" display="https://9607261.app.netsuite.com/app/reporting/reportrunner.nl?fromreport=320&amp;regtx,tranline,kacct,x,alltranline5,IN,x,x=950&amp;cr=293" xr:uid="{E745A2BC-FCE3-4E09-9B1C-64FB9BAC60B6}"/>
    <hyperlink ref="A791" r:id="rId788" display="https://9607261.app.netsuite.com/app/reporting/reportrunner.nl?fromreport=320&amp;regtx,tranline,kacct,x,alltranline5,IN,x,x=950&amp;cr=293" xr:uid="{2E65248F-959A-4B7C-A1BA-E3E315890D15}"/>
    <hyperlink ref="A792" r:id="rId789" display="https://9607261.app.netsuite.com/app/reporting/reportrunner.nl?fromreport=320&amp;regtx,tranline,kacct,x,alltranline5,IN,x,x=950&amp;cr=293" xr:uid="{2B89A746-DE2A-47FB-BDEC-3F6D7D615C6A}"/>
    <hyperlink ref="A793" r:id="rId790" display="https://9607261.app.netsuite.com/app/reporting/reportrunner.nl?fromreport=320&amp;regtx,tranline,kacct,x,alltranline5,IN,x,x=950&amp;cr=293" xr:uid="{2F18E4EE-C631-4CC7-A59B-DE2D350C9D4B}"/>
    <hyperlink ref="A794" r:id="rId791" display="https://9607261.app.netsuite.com/app/reporting/reportrunner.nl?fromreport=320&amp;regtx,tranline,kacct,x,alltranline5,IN,x,x=950&amp;cr=293" xr:uid="{64F51C1D-1AD9-49B5-8537-BC35DD167E8D}"/>
    <hyperlink ref="A795" r:id="rId792" display="https://9607261.app.netsuite.com/app/reporting/reportrunner.nl?fromreport=320&amp;regtx,tranline,kacct,x,alltranline5,IN,x,x=950&amp;cr=293" xr:uid="{2C5B6B98-258E-4319-BF4F-3885BAA79C87}"/>
    <hyperlink ref="A796" r:id="rId793" display="https://9607261.app.netsuite.com/app/reporting/reportrunner.nl?fromreport=320&amp;regtx,tranline,kacct,x,alltranline5,IN,x,x=950&amp;cr=293" xr:uid="{E0F9EAD1-7287-43CE-BB15-8731799639BF}"/>
    <hyperlink ref="A797" r:id="rId794" display="https://9607261.app.netsuite.com/app/reporting/reportrunner.nl?fromreport=320&amp;regtx,tranline,kacct,x,alltranline5,IN,x,x=950&amp;cr=293" xr:uid="{C292F4E9-9B7F-4308-A05B-BFF3D70970D1}"/>
    <hyperlink ref="A798" r:id="rId795" display="https://9607261.app.netsuite.com/app/reporting/reportrunner.nl?fromreport=320&amp;regtx,tranline,kacct,x,alltranline5,IN,x,x=950&amp;cr=293" xr:uid="{15CF8129-F2DE-410F-ADC0-2AB08788C3C8}"/>
    <hyperlink ref="A799" r:id="rId796" display="https://9607261.app.netsuite.com/app/reporting/reportrunner.nl?fromreport=320&amp;regtx,tranline,kacct,x,alltranline5,IN,x,x=950&amp;cr=293" xr:uid="{FA317B52-A8D1-42E3-8BE2-E00C45F15838}"/>
    <hyperlink ref="A800" r:id="rId797" display="https://9607261.app.netsuite.com/app/reporting/reportrunner.nl?fromreport=320&amp;regtx,tranline,kacct,x,alltranline5,IN,x,x=950&amp;cr=293" xr:uid="{A69D9AC1-44B0-4AC6-BC77-5AE2240CE0E9}"/>
    <hyperlink ref="A801" r:id="rId798" display="https://9607261.app.netsuite.com/app/reporting/reportrunner.nl?fromreport=320&amp;regtx,tranline,kacct,x,alltranline5,IN,x,x=950&amp;cr=293" xr:uid="{CEBAE2AD-89B3-4D76-A69B-AB1A63B375B7}"/>
    <hyperlink ref="A802" r:id="rId799" display="https://9607261.app.netsuite.com/app/reporting/reportrunner.nl?fromreport=320&amp;regtx,tranline,kacct,x,alltranline5,IN,x,x=950&amp;cr=293" xr:uid="{370554CA-4105-40F0-855D-F1E6CCC49257}"/>
    <hyperlink ref="A803" r:id="rId800" display="https://9607261.app.netsuite.com/app/reporting/reportrunner.nl?fromreport=320&amp;regtx,tranline,kacct,x,alltranline5,IN,x,x=950&amp;cr=293" xr:uid="{CED1CD7C-2748-4376-BA67-BAFBA84F9050}"/>
    <hyperlink ref="A804" r:id="rId801" display="https://9607261.app.netsuite.com/app/reporting/reportrunner.nl?fromreport=320&amp;regtx,tranline,kacct,x,alltranline5,IN,x,x=950&amp;cr=293" xr:uid="{4FBF33A3-7C08-4A98-B27A-81C88713F212}"/>
    <hyperlink ref="A805" r:id="rId802" display="https://9607261.app.netsuite.com/app/reporting/reportrunner.nl?fromreport=320&amp;regtx,tranline,kacct,x,alltranline5,IN,x,x=950&amp;cr=293" xr:uid="{D3A8374A-8FFF-47F6-936C-719300F0549D}"/>
    <hyperlink ref="A806" r:id="rId803" display="https://9607261.app.netsuite.com/app/reporting/reportrunner.nl?fromreport=320&amp;regtx,tranline,kacct,x,alltranline5,IN,x,x=950&amp;cr=293" xr:uid="{238484EC-11D7-4603-9801-3F62E1CBBF80}"/>
    <hyperlink ref="A807" r:id="rId804" display="https://9607261.app.netsuite.com/app/reporting/reportrunner.nl?fromreport=320&amp;regtx,tranline,kacct,x,alltranline5,IN,x,x=950&amp;cr=293" xr:uid="{2DCE84B8-D432-49C0-9A18-40DE89BFDCBD}"/>
    <hyperlink ref="A808" r:id="rId805" display="https://9607261.app.netsuite.com/app/reporting/reportrunner.nl?fromreport=320&amp;regtx,tranline,kacct,x,alltranline5,IN,x,x=950&amp;cr=293" xr:uid="{AC508115-1720-487B-B1FB-096DAE1E99A3}"/>
    <hyperlink ref="A809" r:id="rId806" display="https://9607261.app.netsuite.com/app/reporting/reportrunner.nl?fromreport=320&amp;regtx,tranline,kacct,x,alltranline5,IN,x,x=950&amp;cr=293" xr:uid="{FE267214-2DEE-4CA1-A16C-95002A7FF7C8}"/>
    <hyperlink ref="A810" r:id="rId807" display="https://9607261.app.netsuite.com/app/reporting/reportrunner.nl?fromreport=320&amp;regtx,tranline,kacct,x,alltranline5,IN,x,x=950&amp;cr=293" xr:uid="{AFAE40CC-C992-42AD-B6CE-E0BBA0FB19BF}"/>
    <hyperlink ref="A811" r:id="rId808" display="https://9607261.app.netsuite.com/app/reporting/reportrunner.nl?fromreport=320&amp;regtx,tranline,kacct,x,alltranline5,IN,x,x=950&amp;cr=293" xr:uid="{9131096C-E165-442F-8448-2229946D31DC}"/>
    <hyperlink ref="A812" r:id="rId809" display="https://9607261.app.netsuite.com/app/reporting/reportrunner.nl?fromreport=320&amp;regtx,tranline,kacct,x,alltranline5,IN,x,x=950&amp;cr=293" xr:uid="{A29570B2-AD84-4377-B87D-7B9AFA826337}"/>
    <hyperlink ref="A813" r:id="rId810" display="https://9607261.app.netsuite.com/app/reporting/reportrunner.nl?fromreport=320&amp;regtx,tranline,kacct,x,alltranline5,IN,x,x=950&amp;cr=293" xr:uid="{E8530F66-156E-43E4-BA2D-0E2B2EA0BD4E}"/>
    <hyperlink ref="A814" r:id="rId811" display="https://9607261.app.netsuite.com/app/reporting/reportrunner.nl?fromreport=320&amp;regtx,tranline,kacct,x,alltranline5,IN,x,x=950&amp;cr=293" xr:uid="{75400C0D-9107-4AC5-8E57-6DE1BFBF0D5C}"/>
    <hyperlink ref="A815" r:id="rId812" display="https://9607261.app.netsuite.com/app/reporting/reportrunner.nl?fromreport=320&amp;regtx,tranline,kacct,x,alltranline5,IN,x,x=950&amp;cr=293" xr:uid="{A5E46B44-E449-4E32-AB0C-AC40DA6FBD34}"/>
    <hyperlink ref="A816" r:id="rId813" display="https://9607261.app.netsuite.com/app/reporting/reportrunner.nl?fromreport=320&amp;regtx,tranline,kacct,x,alltranline5,IN,x,x=950&amp;cr=293" xr:uid="{955C1B14-E21B-43F3-BD18-8FE92B76BC19}"/>
    <hyperlink ref="A817" r:id="rId814" display="https://9607261.app.netsuite.com/app/reporting/reportrunner.nl?fromreport=320&amp;regtx,tranline,kacct,x,alltranline5,IN,x,x=950&amp;cr=293" xr:uid="{FE6125D9-5411-4D20-BE71-3E5526D6A7C4}"/>
    <hyperlink ref="A818" r:id="rId815" display="https://9607261.app.netsuite.com/app/reporting/reportrunner.nl?fromreport=320&amp;regtx,tranline,kacct,x,alltranline5,IN,x,x=950&amp;cr=293" xr:uid="{D7620959-225C-46FE-8794-84D4C5399A0F}"/>
    <hyperlink ref="A819" r:id="rId816" display="https://9607261.app.netsuite.com/app/reporting/reportrunner.nl?fromreport=320&amp;regtx,tranline,kacct,x,alltranline5,IN,x,x=950&amp;cr=293" xr:uid="{C628C5A4-8198-472B-926F-19E480947C53}"/>
    <hyperlink ref="A820" r:id="rId817" display="https://9607261.app.netsuite.com/app/reporting/reportrunner.nl?fromreport=320&amp;regtx,tranline,kacct,x,alltranline5,IN,x,x=950&amp;cr=293" xr:uid="{EF1CC45B-7ACD-490D-997C-2F2FE6BE046D}"/>
    <hyperlink ref="A821" r:id="rId818" display="https://9607261.app.netsuite.com/app/reporting/reportrunner.nl?fromreport=320&amp;regtx,tranline,kacct,x,alltranline5,IN,x,x=950&amp;cr=293" xr:uid="{1D118ABC-1303-43BE-AA10-587B26D750E3}"/>
    <hyperlink ref="A822" r:id="rId819" display="https://9607261.app.netsuite.com/app/reporting/reportrunner.nl?fromreport=320&amp;regtx,tranline,kacct,x,alltranline5,IN,x,x=950&amp;cr=293" xr:uid="{B892CA5C-4830-4DC4-92F6-C7185AE83EE5}"/>
    <hyperlink ref="A823" r:id="rId820" display="https://9607261.app.netsuite.com/app/reporting/reportrunner.nl?fromreport=320&amp;regtx,tranline,kacct,x,alltranline5,IN,x,x=950&amp;cr=293" xr:uid="{FC513572-77BB-4264-89E0-7AAF40C28EEF}"/>
    <hyperlink ref="A824" r:id="rId821" display="https://9607261.app.netsuite.com/app/reporting/reportrunner.nl?fromreport=320&amp;regtx,tranline,kacct,x,alltranline5,IN,x,x=950&amp;cr=293" xr:uid="{DCB6F72A-EA95-4AF5-9B22-2E9BE31852B1}"/>
    <hyperlink ref="A825" r:id="rId822" display="https://9607261.app.netsuite.com/app/reporting/reportrunner.nl?fromreport=320&amp;regtx,tranline,kacct,x,alltranline5,IN,x,x=950&amp;cr=293" xr:uid="{374D5978-17D8-41ED-BADF-097083176793}"/>
    <hyperlink ref="A826" r:id="rId823" display="https://9607261.app.netsuite.com/app/reporting/reportrunner.nl?fromreport=320&amp;regtx,tranline,kacct,x,alltranline5,IN,x,x=950&amp;cr=293" xr:uid="{F60087DD-16A0-4975-A46E-BF93D8135147}"/>
    <hyperlink ref="A827" r:id="rId824" display="https://9607261.app.netsuite.com/app/reporting/reportrunner.nl?fromreport=320&amp;regtx,tranline,kacct,x,alltranline5,IN,x,x=950&amp;cr=293" xr:uid="{C104AF06-3FC4-4793-B527-DA83E52E25D7}"/>
    <hyperlink ref="A828" r:id="rId825" display="https://9607261.app.netsuite.com/app/reporting/reportrunner.nl?fromreport=320&amp;regtx,tranline,kacct,x,alltranline5,IN,x,x=950&amp;cr=293" xr:uid="{BFEAE172-1237-453E-A3B7-23A3327B75FB}"/>
    <hyperlink ref="A829" r:id="rId826" display="https://9607261.app.netsuite.com/app/reporting/reportrunner.nl?fromreport=320&amp;regtx,tranline,kacct,x,alltranline5,IN,x,x=950&amp;cr=293" xr:uid="{04BD07B8-BFA3-4310-9FB7-7C1CF20FDDB6}"/>
    <hyperlink ref="A830" r:id="rId827" display="https://9607261.app.netsuite.com/app/reporting/reportrunner.nl?fromreport=320&amp;regtx,tranline,kacct,x,alltranline5,IN,x,x=950&amp;cr=293" xr:uid="{B4848FE2-CDB6-4561-9319-B6B0A88FEE0F}"/>
    <hyperlink ref="A831" r:id="rId828" display="https://9607261.app.netsuite.com/app/reporting/reportrunner.nl?fromreport=320&amp;regtx,tranline,kacct,x,alltranline5,IN,x,x=950&amp;cr=293" xr:uid="{70EF6CBE-61C5-482E-A99E-E79F2B799E24}"/>
    <hyperlink ref="A832" r:id="rId829" display="https://9607261.app.netsuite.com/app/reporting/reportrunner.nl?fromreport=320&amp;regtx,tranline,kacct,x,alltranline5,IN,x,x=950&amp;cr=293" xr:uid="{54B8B2D0-84D6-487B-9BC0-49FA326B3131}"/>
    <hyperlink ref="A833" r:id="rId830" display="https://9607261.app.netsuite.com/app/reporting/reportrunner.nl?fromreport=320&amp;regtx,tranline,kacct,x,alltranline5,IN,x,x=950&amp;cr=293" xr:uid="{CF0184D2-CA56-4D28-B6BD-B941D60CA5BF}"/>
    <hyperlink ref="A834" r:id="rId831" display="https://9607261.app.netsuite.com/app/reporting/reportrunner.nl?fromreport=320&amp;regtx,tranline,kacct,x,alltranline5,IN,x,x=950&amp;cr=293" xr:uid="{87C3A88A-E49C-4E12-BE9F-A43F09707AD4}"/>
    <hyperlink ref="A835" r:id="rId832" display="https://9607261.app.netsuite.com/app/reporting/reportrunner.nl?fromreport=320&amp;regtx,tranline,kacct,x,alltranline5,IN,x,x=950&amp;cr=293" xr:uid="{AD089CA1-F591-43F4-A285-6DB0C75945EE}"/>
    <hyperlink ref="A836" r:id="rId833" display="https://9607261.app.netsuite.com/app/reporting/reportrunner.nl?fromreport=320&amp;regtx,tranline,kacct,x,alltranline5,IN,x,x=950&amp;cr=293" xr:uid="{895FB2AD-841F-4939-BCEA-52AA4C0057B3}"/>
    <hyperlink ref="A837" r:id="rId834" display="https://9607261.app.netsuite.com/app/reporting/reportrunner.nl?fromreport=320&amp;regtx,tranline,kacct,x,alltranline5,IN,x,x=950&amp;cr=293" xr:uid="{83E334B1-8C71-4558-93D7-04CCEE2609F1}"/>
    <hyperlink ref="A838" r:id="rId835" display="https://9607261.app.netsuite.com/app/reporting/reportrunner.nl?fromreport=320&amp;regtx,tranline,kacct,x,alltranline5,IN,x,x=950&amp;cr=293" xr:uid="{A8A24A53-1EA5-41D4-948D-649C2C174D1F}"/>
    <hyperlink ref="A839" r:id="rId836" display="https://9607261.app.netsuite.com/app/reporting/reportrunner.nl?fromreport=320&amp;regtx,tranline,kacct,x,alltranline5,IN,x,x=950&amp;cr=293" xr:uid="{9F67A3F9-FBB2-4F41-AF49-3C43DA691E17}"/>
    <hyperlink ref="A840" r:id="rId837" display="https://9607261.app.netsuite.com/app/reporting/reportrunner.nl?fromreport=320&amp;regtx,tranline,kacct,x,alltranline5,IN,x,x=950&amp;cr=293" xr:uid="{FB92B3C7-3482-4292-B093-45B5C97DB4E9}"/>
    <hyperlink ref="A841" r:id="rId838" display="https://9607261.app.netsuite.com/app/reporting/reportrunner.nl?fromreport=320&amp;regtx,tranline,kacct,x,alltranline5,IN,x,x=950&amp;cr=293" xr:uid="{D84EA598-A0F2-4426-BB76-B595C4E3286A}"/>
    <hyperlink ref="A842" r:id="rId839" display="https://9607261.app.netsuite.com/app/reporting/reportrunner.nl?fromreport=320&amp;regtx,tranline,kacct,x,alltranline5,IN,x,x=950&amp;cr=293" xr:uid="{51B93377-DFFE-49BD-9B07-3858D1F1584C}"/>
    <hyperlink ref="A843" r:id="rId840" display="https://9607261.app.netsuite.com/app/reporting/reportrunner.nl?fromreport=320&amp;regtx,tranline,kacct,x,alltranline5,IN,x,x=950&amp;cr=293" xr:uid="{0396EF9C-AB8A-4D99-8446-34374552B7A4}"/>
    <hyperlink ref="A844" r:id="rId841" display="https://9607261.app.netsuite.com/app/reporting/reportrunner.nl?fromreport=320&amp;regtx,tranline,kacct,x,alltranline5,IN,x,x=950&amp;cr=293" xr:uid="{D7EEC467-B619-457A-BB9C-BA9561696CFC}"/>
    <hyperlink ref="A845" r:id="rId842" display="https://9607261.app.netsuite.com/app/reporting/reportrunner.nl?fromreport=320&amp;regtx,tranline,kacct,x,alltranline5,IN,x,x=950&amp;cr=293" xr:uid="{81D77A23-1457-49DD-B360-FCD0A01AEE1F}"/>
    <hyperlink ref="A846" r:id="rId843" display="https://9607261.app.netsuite.com/app/reporting/reportrunner.nl?fromreport=320&amp;regtx,tranline,kacct,x,alltranline5,IN,x,x=950&amp;cr=293" xr:uid="{84E4FBB5-37CA-4162-8C9E-BAEF1F5E9352}"/>
    <hyperlink ref="A847" r:id="rId844" display="https://9607261.app.netsuite.com/app/reporting/reportrunner.nl?fromreport=320&amp;regtx,tranline,kacct,x,alltranline5,IN,x,x=950&amp;cr=293" xr:uid="{C7C6D830-B7CD-4D3B-8813-D04BAB32DBD0}"/>
    <hyperlink ref="A848" r:id="rId845" display="https://9607261.app.netsuite.com/app/reporting/reportrunner.nl?fromreport=320&amp;regtx,tranline,kacct,x,alltranline5,IN,x,x=950&amp;cr=293" xr:uid="{E1909231-161C-4258-8F84-15298AE9AEAC}"/>
    <hyperlink ref="A849" r:id="rId846" display="https://9607261.app.netsuite.com/app/reporting/reportrunner.nl?fromreport=320&amp;regtx,tranline,kacct,x,alltranline5,IN,x,x=950&amp;cr=293" xr:uid="{F0843DF6-5C86-42D9-A28D-5073EE3CE79A}"/>
    <hyperlink ref="A850" r:id="rId847" display="https://9607261.app.netsuite.com/app/reporting/reportrunner.nl?fromreport=320&amp;regtx,tranline,kacct,x,alltranline5,IN,x,x=950&amp;cr=293" xr:uid="{53BCB361-E8E5-4C71-BEF9-F3FD90C708BF}"/>
    <hyperlink ref="A851" r:id="rId848" display="https://9607261.app.netsuite.com/app/reporting/reportrunner.nl?fromreport=320&amp;regtx,tranline,kacct,x,alltranline5,IN,x,x=950&amp;cr=293" xr:uid="{759933C9-6F64-4825-9CEB-C61BF1C4618D}"/>
    <hyperlink ref="A852" r:id="rId849" display="https://9607261.app.netsuite.com/app/reporting/reportrunner.nl?fromreport=320&amp;regtx,tranline,kacct,x,alltranline5,IN,x,x=950&amp;cr=293" xr:uid="{1D5B3175-FDCA-45FE-A76F-F6CD09FCD1DF}"/>
    <hyperlink ref="A853" r:id="rId850" display="https://9607261.app.netsuite.com/app/reporting/reportrunner.nl?fromreport=320&amp;regtx,tranline,kacct,x,alltranline5,IN,x,x=950&amp;cr=293" xr:uid="{3E4BC099-4C52-4F84-A782-609A92A27BB6}"/>
    <hyperlink ref="A854" r:id="rId851" display="https://9607261.app.netsuite.com/app/reporting/reportrunner.nl?fromreport=320&amp;regtx,tranline,kacct,x,alltranline5,IN,x,x=950&amp;cr=293" xr:uid="{4482D25F-CC83-4051-B5B3-15F3240988B3}"/>
    <hyperlink ref="A855" r:id="rId852" display="https://9607261.app.netsuite.com/app/reporting/reportrunner.nl?fromreport=320&amp;regtx,tranline,kacct,x,alltranline5,IN,x,x=950&amp;cr=293" xr:uid="{C34942BA-E521-459F-A72C-0F81ECD01495}"/>
    <hyperlink ref="A856" r:id="rId853" display="https://9607261.app.netsuite.com/app/reporting/reportrunner.nl?fromreport=320&amp;regtx,tranline,kacct,x,alltranline5,IN,x,x=950&amp;cr=293" xr:uid="{7B4DCD57-8567-4767-B4E0-69A38219C13E}"/>
    <hyperlink ref="A857" r:id="rId854" display="https://9607261.app.netsuite.com/app/reporting/reportrunner.nl?fromreport=320&amp;regtx,tranline,kacct,x,alltranline5,IN,x,x=950&amp;cr=293" xr:uid="{9EE1AC65-9A8B-44D9-BB06-72E4BCC55CE7}"/>
    <hyperlink ref="A858" r:id="rId855" display="https://9607261.app.netsuite.com/app/reporting/reportrunner.nl?fromreport=320&amp;regtx,tranline,kacct,x,alltranline5,IN,x,x=950&amp;cr=293" xr:uid="{E3952DCB-B174-4602-BEF9-CE7D5B5E49CB}"/>
    <hyperlink ref="A859" r:id="rId856" display="https://9607261.app.netsuite.com/app/reporting/reportrunner.nl?fromreport=320&amp;regtx,tranline,kacct,x,alltranline5,IN,x,x=950&amp;cr=293" xr:uid="{9905E1A7-2E0F-409E-8E24-7F04D29D52C7}"/>
    <hyperlink ref="A860" r:id="rId857" display="https://9607261.app.netsuite.com/app/reporting/reportrunner.nl?fromreport=320&amp;regtx,tranline,kacct,x,alltranline5,IN,x,x=950&amp;cr=293" xr:uid="{AD3FC11D-A03B-4D36-91AA-D4AAD0893E62}"/>
    <hyperlink ref="A861" r:id="rId858" display="https://9607261.app.netsuite.com/app/reporting/reportrunner.nl?fromreport=320&amp;regtx,tranline,kacct,x,alltranline5,IN,x,x=950&amp;cr=293" xr:uid="{957817A6-7D9C-4A70-A91A-B96EE11F6CF8}"/>
    <hyperlink ref="A862" r:id="rId859" display="https://9607261.app.netsuite.com/app/reporting/reportrunner.nl?fromreport=320&amp;regtx,tranline,kacct,x,alltranline5,IN,x,x=950&amp;cr=293" xr:uid="{BB539E52-1011-4F40-9A7F-BE75DFC0BE62}"/>
    <hyperlink ref="A863" r:id="rId860" display="https://9607261.app.netsuite.com/app/reporting/reportrunner.nl?fromreport=320&amp;regtx,tranline,kacct,x,alltranline5,IN,x,x=950&amp;cr=293" xr:uid="{0D468B7D-92C9-4918-88DD-5B705D3E8F6D}"/>
    <hyperlink ref="A864" r:id="rId861" display="https://9607261.app.netsuite.com/app/reporting/reportrunner.nl?fromreport=320&amp;regtx,tranline,kacct,x,alltranline5,IN,x,x=950&amp;cr=293" xr:uid="{4F9DD711-259B-4C66-B9E5-9C774FDDC76B}"/>
    <hyperlink ref="A865" r:id="rId862" display="https://9607261.app.netsuite.com/app/reporting/reportrunner.nl?fromreport=320&amp;regtx,tranline,kacct,x,alltranline5,IN,x,x=950&amp;cr=293" xr:uid="{6DB16E67-3050-4BF9-97D7-C9BBED719D0B}"/>
    <hyperlink ref="A866" r:id="rId863" display="https://9607261.app.netsuite.com/app/reporting/reportrunner.nl?fromreport=320&amp;regtx,tranline,kacct,x,alltranline5,IN,x,x=950&amp;cr=293" xr:uid="{5A2293EC-4B0D-4DAD-AF98-948EA9A56B4B}"/>
    <hyperlink ref="A867" r:id="rId864" display="https://9607261.app.netsuite.com/app/reporting/reportrunner.nl?fromreport=320&amp;regtx,tranline,kacct,x,alltranline5,IN,x,x=950&amp;cr=293" xr:uid="{2A46B4E6-74B0-49AF-A944-305A309B52FF}"/>
    <hyperlink ref="A868" r:id="rId865" display="https://9607261.app.netsuite.com/app/reporting/reportrunner.nl?fromreport=320&amp;regtx,tranline,kacct,x,alltranline5,IN,x,x=950&amp;cr=293" xr:uid="{9D5FBC95-F96A-45E7-9312-552DF3E0385D}"/>
    <hyperlink ref="A869" r:id="rId866" display="https://9607261.app.netsuite.com/app/reporting/reportrunner.nl?fromreport=320&amp;regtx,tranline,kacct,x,alltranline5,IN,x,x=950&amp;cr=293" xr:uid="{B336B63B-0188-4C3F-ACB7-1A05CD8AFA0D}"/>
    <hyperlink ref="A870" r:id="rId867" display="https://9607261.app.netsuite.com/app/reporting/reportrunner.nl?fromreport=320&amp;regtx,tranline,kacct,x,alltranline5,IN,x,x=950&amp;cr=293" xr:uid="{EB9B4A22-7E3F-416E-8BF0-490C44FF94BF}"/>
    <hyperlink ref="A871" r:id="rId868" display="https://9607261.app.netsuite.com/app/reporting/reportrunner.nl?fromreport=320&amp;regtx,tranline,kacct,x,alltranline5,IN,x,x=950&amp;cr=293" xr:uid="{1911EA87-E0F1-4DD0-A364-71E7A6CFADFF}"/>
    <hyperlink ref="A872" r:id="rId869" display="https://9607261.app.netsuite.com/app/reporting/reportrunner.nl?fromreport=320&amp;regtx,tranline,kacct,x,alltranline5,IN,x,x=950&amp;cr=293" xr:uid="{E2F983E8-7339-4FE2-8ADC-43148AF9EEDF}"/>
    <hyperlink ref="A873" r:id="rId870" display="https://9607261.app.netsuite.com/app/reporting/reportrunner.nl?fromreport=320&amp;regtx,tranline,kacct,x,alltranline5,IN,x,x=950&amp;cr=293" xr:uid="{BEFE711F-664C-496F-AB5F-A3616062B547}"/>
    <hyperlink ref="A874" r:id="rId871" display="https://9607261.app.netsuite.com/app/reporting/reportrunner.nl?fromreport=320&amp;regtx,tranline,kacct,x,alltranline5,IN,x,x=950&amp;cr=293" xr:uid="{77E44EEB-16B0-47B2-B329-665E3661F26F}"/>
    <hyperlink ref="A875" r:id="rId872" display="https://9607261.app.netsuite.com/app/reporting/reportrunner.nl?fromreport=320&amp;regtx,tranline,kacct,x,alltranline5,IN,x,x=950&amp;cr=293" xr:uid="{0F84D908-8F94-43BA-B310-4CE0C699FFA1}"/>
    <hyperlink ref="A876" r:id="rId873" display="https://9607261.app.netsuite.com/app/reporting/reportrunner.nl?fromreport=320&amp;regtx,tranline,kacct,x,alltranline5,IN,x,x=950&amp;cr=293" xr:uid="{7702AC0C-5FA1-4992-ABFA-F6DC68545A99}"/>
    <hyperlink ref="A877" r:id="rId874" display="https://9607261.app.netsuite.com/app/reporting/reportrunner.nl?fromreport=320&amp;regtx,tranline,kacct,x,alltranline5,IN,x,x=950&amp;cr=293" xr:uid="{FE4DE840-A320-4D49-8E63-B518A2F507FB}"/>
    <hyperlink ref="A878" r:id="rId875" display="https://9607261.app.netsuite.com/app/reporting/reportrunner.nl?fromreport=320&amp;regtx,tranline,kacct,x,alltranline5,IN,x,x=950&amp;cr=293" xr:uid="{CF6D9B8C-6B12-4F41-8EEE-DCCB4FC5E295}"/>
    <hyperlink ref="A879" r:id="rId876" display="https://9607261.app.netsuite.com/app/reporting/reportrunner.nl?fromreport=320&amp;regtx,tranline,kacct,x,alltranline5,IN,x,x=950&amp;cr=293" xr:uid="{9E268C90-5F99-4182-8534-915760820326}"/>
    <hyperlink ref="A880" r:id="rId877" display="https://9607261.app.netsuite.com/app/reporting/reportrunner.nl?fromreport=320&amp;regtx,tranline,kacct,x,alltranline5,IN,x,x=950&amp;cr=293" xr:uid="{F3AC0442-AD14-4B81-968B-588D08612C99}"/>
    <hyperlink ref="A881" r:id="rId878" display="https://9607261.app.netsuite.com/app/reporting/reportrunner.nl?fromreport=320&amp;regtx,tranline,kacct,x,alltranline5,IN,x,x=950&amp;cr=293" xr:uid="{9E0B10A3-8AB6-46D8-A5D9-ADEC9A21AC8B}"/>
    <hyperlink ref="A882" r:id="rId879" display="https://9607261.app.netsuite.com/app/reporting/reportrunner.nl?fromreport=320&amp;regtx,tranline,kacct,x,alltranline5,IN,x,x=950&amp;cr=293" xr:uid="{365BEA32-AF08-414F-87B4-B53432677A7F}"/>
    <hyperlink ref="A883" r:id="rId880" display="https://9607261.app.netsuite.com/app/reporting/reportrunner.nl?fromreport=320&amp;regtx,tranline,kacct,x,alltranline5,IN,x,x=950&amp;cr=293" xr:uid="{A214191B-F946-4551-9119-99985D9CB98B}"/>
    <hyperlink ref="A884" r:id="rId881" display="https://9607261.app.netsuite.com/app/reporting/reportrunner.nl?fromreport=320&amp;regtx,tranline,kacct,x,alltranline5,IN,x,x=950&amp;cr=293" xr:uid="{E41DCA24-CA9A-495A-9FB3-3DEA2097B957}"/>
    <hyperlink ref="A885" r:id="rId882" display="https://9607261.app.netsuite.com/app/reporting/reportrunner.nl?fromreport=320&amp;regtx,tranline,kacct,x,alltranline5,IN,x,x=950&amp;cr=293" xr:uid="{350B2377-0C2D-4625-A6A7-124F3F164D4F}"/>
    <hyperlink ref="A886" r:id="rId883" display="https://9607261.app.netsuite.com/app/reporting/reportrunner.nl?fromreport=320&amp;regtx,tranline,kacct,x,alltranline5,IN,x,x=950&amp;cr=293" xr:uid="{63BE0BF5-CF4D-4A67-B7BF-0CF7BE1C7BDD}"/>
    <hyperlink ref="A887" r:id="rId884" display="https://9607261.app.netsuite.com/app/reporting/reportrunner.nl?fromreport=320&amp;regtx,tranline,kacct,x,alltranline5,IN,x,x=950&amp;cr=293" xr:uid="{FCB226C4-19F7-45F0-B5B5-7313E5953848}"/>
    <hyperlink ref="A888" r:id="rId885" display="https://9607261.app.netsuite.com/app/reporting/reportrunner.nl?fromreport=320&amp;regtx,tranline,kacct,x,alltranline5,IN,x,x=950&amp;cr=293" xr:uid="{A29DAA31-E04D-4A6F-8E54-5B15EB1B92B4}"/>
    <hyperlink ref="A889" r:id="rId886" display="https://9607261.app.netsuite.com/app/reporting/reportrunner.nl?fromreport=320&amp;regtx,tranline,kacct,x,alltranline5,IN,x,x=950&amp;cr=293" xr:uid="{FFFAA531-F88E-417B-AF38-781BEA5E425C}"/>
    <hyperlink ref="A890" r:id="rId887" display="https://9607261.app.netsuite.com/app/reporting/reportrunner.nl?fromreport=320&amp;regtx,tranline,kacct,x,alltranline5,IN,x,x=950&amp;cr=293" xr:uid="{290B0927-1243-4A58-B447-4494F14DE48E}"/>
    <hyperlink ref="A891" r:id="rId888" display="https://9607261.app.netsuite.com/app/reporting/reportrunner.nl?fromreport=320&amp;regtx,tranline,kacct,x,alltranline5,IN,x,x=950&amp;cr=293" xr:uid="{05277537-BA73-435B-AE92-7837228E5DCE}"/>
    <hyperlink ref="A892" r:id="rId889" display="https://9607261.app.netsuite.com/app/reporting/reportrunner.nl?fromreport=320&amp;regtx,tranline,kacct,x,alltranline5,IN,x,x=950&amp;cr=293" xr:uid="{1802BA68-ECFF-40C5-BEB1-A0583E7ED18E}"/>
    <hyperlink ref="A893" r:id="rId890" display="https://9607261.app.netsuite.com/app/reporting/reportrunner.nl?fromreport=320&amp;regtx,tranline,kacct,x,alltranline5,IN,x,x=950&amp;cr=293" xr:uid="{32884BF3-B4F2-4686-AE87-C0A1DF2A5CED}"/>
    <hyperlink ref="A894" r:id="rId891" display="https://9607261.app.netsuite.com/app/reporting/reportrunner.nl?fromreport=320&amp;regtx,tranline,kacct,x,alltranline5,IN,x,x=950&amp;cr=293" xr:uid="{8FD34CAB-9550-41BF-8733-39D561F9B04E}"/>
    <hyperlink ref="A895" r:id="rId892" display="https://9607261.app.netsuite.com/app/reporting/reportrunner.nl?fromreport=320&amp;regtx,tranline,kacct,x,alltranline5,IN,x,x=950&amp;cr=293" xr:uid="{2ACA4180-D86D-4CC2-B911-A491501337F5}"/>
    <hyperlink ref="A896" r:id="rId893" display="https://9607261.app.netsuite.com/app/reporting/reportrunner.nl?fromreport=320&amp;regtx,tranline,kacct,x,alltranline5,IN,x,x=950&amp;cr=293" xr:uid="{AE638EB3-5DA6-42DB-BD33-9CE267759B5C}"/>
    <hyperlink ref="A897" r:id="rId894" display="https://9607261.app.netsuite.com/app/reporting/reportrunner.nl?fromreport=320&amp;regtx,tranline,kacct,x,alltranline5,IN,x,x=950&amp;cr=293" xr:uid="{EB23CCFD-A857-4F8B-A68B-CD6A09D80B1E}"/>
    <hyperlink ref="A898" r:id="rId895" display="https://9607261.app.netsuite.com/app/reporting/reportrunner.nl?fromreport=320&amp;regtx,tranline,kacct,x,alltranline5,IN,x,x=950&amp;cr=293" xr:uid="{0973D2EA-7B5B-4C20-8E6F-55F3E7AD0898}"/>
    <hyperlink ref="A899" r:id="rId896" display="https://9607261.app.netsuite.com/app/reporting/reportrunner.nl?fromreport=320&amp;regtx,tranline,kacct,x,alltranline5,IN,x,x=950&amp;cr=293" xr:uid="{B497D010-047A-4DB8-AAAF-E1DA0C9BFD6B}"/>
    <hyperlink ref="A900" r:id="rId897" display="https://9607261.app.netsuite.com/app/reporting/reportrunner.nl?fromreport=320&amp;regtx,tranline,kacct,x,alltranline5,IN,x,x=950&amp;cr=293" xr:uid="{31C53AB6-1463-4170-9626-19C63283D0A7}"/>
    <hyperlink ref="A901" r:id="rId898" display="https://9607261.app.netsuite.com/app/reporting/reportrunner.nl?fromreport=320&amp;regtx,tranline,kacct,x,alltranline5,IN,x,x=950&amp;cr=293" xr:uid="{2BAB9F95-6FFA-4391-AAA9-82735C50E5FC}"/>
    <hyperlink ref="A902" r:id="rId899" display="https://9607261.app.netsuite.com/app/reporting/reportrunner.nl?fromreport=320&amp;regtx,tranline,kacct,x,alltranline5,IN,x,x=950&amp;cr=293" xr:uid="{05BED53D-DA8A-4DF6-8DD9-C617C1530153}"/>
    <hyperlink ref="A903" r:id="rId900" display="https://9607261.app.netsuite.com/app/reporting/reportrunner.nl?fromreport=320&amp;regtx,tranline,kacct,x,alltranline5,IN,x,x=950&amp;cr=293" xr:uid="{68106A7A-F11B-4546-ABB8-B2F5C2B5C6C0}"/>
    <hyperlink ref="A904" r:id="rId901" display="https://9607261.app.netsuite.com/app/reporting/reportrunner.nl?fromreport=320&amp;regtx,tranline,kacct,x,alltranline5,IN,x,x=950&amp;cr=293" xr:uid="{C54E11D6-FDF4-446F-8FB8-6FC1163D5009}"/>
    <hyperlink ref="A905" r:id="rId902" display="https://9607261.app.netsuite.com/app/reporting/reportrunner.nl?fromreport=320&amp;regtx,tranline,kacct,x,alltranline5,IN,x,x=950&amp;cr=293" xr:uid="{56DD04F8-A023-486D-9A83-C7013FDE88D6}"/>
    <hyperlink ref="A906" r:id="rId903" display="https://9607261.app.netsuite.com/app/reporting/reportrunner.nl?fromreport=320&amp;regtx,tranline,kacct,x,alltranline5,IN,x,x=950&amp;cr=293" xr:uid="{FE661A60-2308-4943-B38D-F8134E436DB4}"/>
    <hyperlink ref="A907" r:id="rId904" display="https://9607261.app.netsuite.com/app/reporting/reportrunner.nl?fromreport=320&amp;regtx,tranline,kacct,x,alltranline5,IN,x,x=950&amp;cr=293" xr:uid="{BFE6D275-5F4A-4015-BCF1-BF651360239A}"/>
    <hyperlink ref="A908" r:id="rId905" display="https://9607261.app.netsuite.com/app/reporting/reportrunner.nl?fromreport=320&amp;regtx,tranline,kacct,x,alltranline5,IN,x,x=950&amp;cr=293" xr:uid="{01916B91-A8E9-44AC-8B59-D7EC5E776897}"/>
    <hyperlink ref="A909" r:id="rId906" display="https://9607261.app.netsuite.com/app/reporting/reportrunner.nl?fromreport=320&amp;regtx,tranline,kacct,x,alltranline5,IN,x,x=950&amp;cr=293" xr:uid="{994A9CEA-B075-4FAF-841C-19DE60217FAD}"/>
    <hyperlink ref="A910" r:id="rId907" display="https://9607261.app.netsuite.com/app/reporting/reportrunner.nl?fromreport=320&amp;regtx,tranline,kacct,x,alltranline5,IN,x,x=950&amp;cr=293" xr:uid="{FEF8A7C5-ED04-4E65-8FAB-D2677E2326B6}"/>
    <hyperlink ref="A911" r:id="rId908" display="https://9607261.app.netsuite.com/app/reporting/reportrunner.nl?fromreport=320&amp;regtx,tranline,kacct,x,alltranline5,IN,x,x=950&amp;cr=293" xr:uid="{13769058-0609-4149-AE32-52F70DE10DB0}"/>
    <hyperlink ref="A912" r:id="rId909" display="https://9607261.app.netsuite.com/app/reporting/reportrunner.nl?fromreport=320&amp;regtx,tranline,kacct,x,alltranline5,IN,x,x=950&amp;cr=293" xr:uid="{2222DA21-8DE3-4D25-88E7-A45B89A01181}"/>
    <hyperlink ref="A913" r:id="rId910" display="https://9607261.app.netsuite.com/app/reporting/reportrunner.nl?fromreport=320&amp;regtx,tranline,kacct,x,alltranline5,IN,x,x=950&amp;cr=293" xr:uid="{6BD6F23D-E676-4BF2-96C4-BCF377D1A108}"/>
    <hyperlink ref="A914" r:id="rId911" display="https://9607261.app.netsuite.com/app/reporting/reportrunner.nl?fromreport=320&amp;regtx,tranline,kacct,x,alltranline5,IN,x,x=950&amp;cr=293" xr:uid="{DA4D85E5-F09E-405B-A5FE-D82C41707B9A}"/>
    <hyperlink ref="A915" r:id="rId912" display="https://9607261.app.netsuite.com/app/reporting/reportrunner.nl?fromreport=320&amp;regtx,tranline,kacct,x,alltranline5,IN,x,x=950&amp;cr=293" xr:uid="{F921D5A8-A2B8-4DCC-8D0C-73B0BAC550BA}"/>
    <hyperlink ref="A916" r:id="rId913" display="https://9607261.app.netsuite.com/app/reporting/reportrunner.nl?fromreport=320&amp;regtx,tranline,kacct,x,alltranline5,IN,x,x=950&amp;cr=293" xr:uid="{B80D5AD6-B91E-43F7-9117-61C3B687C780}"/>
    <hyperlink ref="A917" r:id="rId914" display="https://9607261.app.netsuite.com/app/reporting/reportrunner.nl?fromreport=320&amp;regtx,tranline,kacct,x,alltranline5,IN,x,x=950&amp;cr=293" xr:uid="{8A93C433-0FDB-4592-B27B-FA1F1EFF196B}"/>
    <hyperlink ref="A918" r:id="rId915" display="https://9607261.app.netsuite.com/app/reporting/reportrunner.nl?fromreport=320&amp;regtx,tranline,kacct,x,alltranline5,IN,x,x=950&amp;cr=293" xr:uid="{E97335D6-ED2A-41C7-A186-D91D591DCC77}"/>
    <hyperlink ref="A919" r:id="rId916" display="https://9607261.app.netsuite.com/app/reporting/reportrunner.nl?fromreport=320&amp;regtx,tranline,kacct,x,alltranline5,IN,x,x=950&amp;cr=293" xr:uid="{0C12FFDD-AA1C-4F68-ABFC-515F9AD2B73B}"/>
    <hyperlink ref="A920" r:id="rId917" display="https://9607261.app.netsuite.com/app/reporting/reportrunner.nl?fromreport=320&amp;regtx,tranline,kacct,x,alltranline5,IN,x,x=950&amp;cr=293" xr:uid="{5C39C022-3D94-47DB-973C-20B7AC6A30C5}"/>
    <hyperlink ref="A921" r:id="rId918" display="https://9607261.app.netsuite.com/app/reporting/reportrunner.nl?fromreport=320&amp;regtx,tranline,kacct,x,alltranline5,IN,x,x=950&amp;cr=293" xr:uid="{4196E6F4-F399-4FFD-877C-109DAE06273B}"/>
    <hyperlink ref="A922" r:id="rId919" display="https://9607261.app.netsuite.com/app/reporting/reportrunner.nl?fromreport=320&amp;regtx,tranline,kacct,x,alltranline5,IN,x,x=950&amp;cr=293" xr:uid="{FDD55569-1012-4877-8908-622F89F29775}"/>
    <hyperlink ref="A923" r:id="rId920" display="https://9607261.app.netsuite.com/app/reporting/reportrunner.nl?fromreport=320&amp;regtx,tranline,kacct,x,alltranline5,IN,x,x=950&amp;cr=293" xr:uid="{A8FBB34C-5AC2-4D22-9757-A5A200E995BC}"/>
    <hyperlink ref="A924" r:id="rId921" display="https://9607261.app.netsuite.com/app/reporting/reportrunner.nl?fromreport=320&amp;regtx,tranline,kacct,x,alltranline5,IN,x,x=950&amp;cr=293" xr:uid="{F9FE23C7-AD51-4F71-9244-38B3681F4441}"/>
    <hyperlink ref="A925" r:id="rId922" display="https://9607261.app.netsuite.com/app/reporting/reportrunner.nl?fromreport=320&amp;regtx,tranline,kacct,x,alltranline5,IN,x,x=950&amp;cr=293" xr:uid="{2D33851F-9924-43B8-8853-F59E1F4220ED}"/>
    <hyperlink ref="A926" r:id="rId923" display="https://9607261.app.netsuite.com/app/reporting/reportrunner.nl?fromreport=320&amp;regtx,tranline,kacct,x,alltranline5,IN,x,x=950&amp;cr=293" xr:uid="{4077E9FA-6CC7-4020-89A1-C9004498DEC9}"/>
    <hyperlink ref="A927" r:id="rId924" display="https://9607261.app.netsuite.com/app/reporting/reportrunner.nl?fromreport=320&amp;regtx,tranline,kacct,x,alltranline5,IN,x,x=950&amp;cr=293" xr:uid="{2E634BEC-D725-4C4C-B6F9-558D4E9979A0}"/>
    <hyperlink ref="A928" r:id="rId925" display="https://9607261.app.netsuite.com/app/reporting/reportrunner.nl?fromreport=320&amp;regtx,tranline,kacct,x,alltranline5,IN,x,x=950&amp;cr=293" xr:uid="{509CCF5F-C038-4CDE-BD30-25897E46567F}"/>
    <hyperlink ref="A929" r:id="rId926" display="https://9607261.app.netsuite.com/app/reporting/reportrunner.nl?fromreport=320&amp;regtx,tranline,kacct,x,alltranline5,IN,x,x=950&amp;cr=293" xr:uid="{92696C16-63DC-456C-9249-BC4AC61E088A}"/>
    <hyperlink ref="A930" r:id="rId927" display="https://9607261.app.netsuite.com/app/reporting/reportrunner.nl?fromreport=320&amp;regtx,tranline,kacct,x,alltranline5,IN,x,x=950&amp;cr=293" xr:uid="{2F7AF511-EA8B-4DB7-8B2F-09E1BECC9760}"/>
    <hyperlink ref="A931" r:id="rId928" display="https://9607261.app.netsuite.com/app/reporting/reportrunner.nl?fromreport=320&amp;regtx,tranline,kacct,x,alltranline5,IN,x,x=950&amp;cr=293" xr:uid="{AC259B51-5198-495C-AFB5-98C236FB6197}"/>
    <hyperlink ref="A932" r:id="rId929" display="https://9607261.app.netsuite.com/app/reporting/reportrunner.nl?fromreport=320&amp;regtx,tranline,kacct,x,alltranline5,IN,x,x=950&amp;cr=293" xr:uid="{573685EC-0F43-4035-AA76-15BD867FD50D}"/>
    <hyperlink ref="A933" r:id="rId930" display="https://9607261.app.netsuite.com/app/reporting/reportrunner.nl?fromreport=320&amp;regtx,tranline,kacct,x,alltranline5,IN,x,x=950&amp;cr=293" xr:uid="{17AD56D0-5899-4F9A-A3E2-883A5687EECD}"/>
    <hyperlink ref="A934" r:id="rId931" display="https://9607261.app.netsuite.com/app/reporting/reportrunner.nl?fromreport=320&amp;regtx,tranline,kacct,x,alltranline5,IN,x,x=950&amp;cr=293" xr:uid="{0086A5BA-691A-4C1E-AB81-541B63373E36}"/>
    <hyperlink ref="A935" r:id="rId932" display="https://9607261.app.netsuite.com/app/reporting/reportrunner.nl?fromreport=320&amp;regtx,tranline,kacct,x,alltranline5,IN,x,x=950&amp;cr=293" xr:uid="{D41C47B2-DB70-4423-927B-BCAB8D75D531}"/>
    <hyperlink ref="A936" r:id="rId933" display="https://9607261.app.netsuite.com/app/reporting/reportrunner.nl?fromreport=320&amp;regtx,tranline,kacct,x,alltranline5,IN,x,x=950&amp;cr=293" xr:uid="{12008DB5-0A9C-49B4-8D00-3AE62FEC7BFC}"/>
    <hyperlink ref="A937" r:id="rId934" display="https://9607261.app.netsuite.com/app/reporting/reportrunner.nl?fromreport=320&amp;regtx,tranline,kacct,x,alltranline5,IN,x,x=950&amp;cr=293" xr:uid="{95449954-4430-40BB-806C-6AE3296C1B05}"/>
    <hyperlink ref="A938" r:id="rId935" display="https://9607261.app.netsuite.com/app/reporting/reportrunner.nl?fromreport=320&amp;regtx,tranline,kacct,x,alltranline5,IN,x,x=950&amp;cr=293" xr:uid="{D3F1CD09-3291-486E-97E5-422EE803BD12}"/>
    <hyperlink ref="A939" r:id="rId936" display="https://9607261.app.netsuite.com/app/reporting/reportrunner.nl?fromreport=320&amp;regtx,tranline,kacct,x,alltranline5,IN,x,x=950&amp;cr=293" xr:uid="{5DD2E1DA-265A-46CE-8134-0500C00DCA4B}"/>
    <hyperlink ref="A940" r:id="rId937" display="https://9607261.app.netsuite.com/app/reporting/reportrunner.nl?fromreport=320&amp;regtx,tranline,kacct,x,alltranline5,IN,x,x=950&amp;cr=293" xr:uid="{6181F547-98D9-4AAB-A84C-3B9445F0508B}"/>
    <hyperlink ref="A941" r:id="rId938" display="https://9607261.app.netsuite.com/app/reporting/reportrunner.nl?fromreport=320&amp;regtx,tranline,kacct,x,alltranline5,IN,x,x=950&amp;cr=293" xr:uid="{C3711C41-E1D0-4C92-9BD8-42759231A781}"/>
    <hyperlink ref="A942" r:id="rId939" display="https://9607261.app.netsuite.com/app/reporting/reportrunner.nl?fromreport=320&amp;regtx,tranline,kacct,x,alltranline5,IN,x,x=950&amp;cr=293" xr:uid="{B2F1727A-7016-4E12-9C05-FBE6E55A8E19}"/>
    <hyperlink ref="A943" r:id="rId940" display="https://9607261.app.netsuite.com/app/reporting/reportrunner.nl?fromreport=320&amp;regtx,tranline,kacct,x,alltranline5,IN,x,x=950&amp;cr=293" xr:uid="{26AD005A-5386-498E-9CBB-EF3B78F2FAC7}"/>
    <hyperlink ref="A944" r:id="rId941" display="https://9607261.app.netsuite.com/app/reporting/reportrunner.nl?fromreport=320&amp;regtx,tranline,kacct,x,alltranline5,IN,x,x=950&amp;cr=293" xr:uid="{AF563DD9-5B81-4FC4-A632-8CE0B2015B6A}"/>
    <hyperlink ref="A945" r:id="rId942" display="https://9607261.app.netsuite.com/app/reporting/reportrunner.nl?fromreport=320&amp;regtx,tranline,kacct,x,alltranline5,IN,x,x=950&amp;cr=293" xr:uid="{86058A4F-EFAD-47BB-A234-6DA69C885D18}"/>
    <hyperlink ref="A946" r:id="rId943" display="https://9607261.app.netsuite.com/app/reporting/reportrunner.nl?fromreport=320&amp;regtx,tranline,kacct,x,alltranline5,IN,x,x=950&amp;cr=293" xr:uid="{71ADEB35-4D41-4C92-92A2-5771F4F4E277}"/>
    <hyperlink ref="A947" r:id="rId944" display="https://9607261.app.netsuite.com/app/reporting/reportrunner.nl?fromreport=320&amp;regtx,tranline,kacct,x,alltranline5,IN,x,x=950&amp;cr=293" xr:uid="{D67164D3-C883-4230-9422-40AA2D7E8C36}"/>
    <hyperlink ref="A948" r:id="rId945" display="https://9607261.app.netsuite.com/app/reporting/reportrunner.nl?fromreport=320&amp;regtx,tranline,kacct,x,alltranline5,IN,x,x=950&amp;cr=293" xr:uid="{49AA0EF5-E629-41B2-8B07-D352003C74B4}"/>
    <hyperlink ref="A949" r:id="rId946" display="https://9607261.app.netsuite.com/app/reporting/reportrunner.nl?fromreport=320&amp;regtx,tranline,kacct,x,alltranline5,IN,x,x=950&amp;cr=293" xr:uid="{657D55A7-7D20-4774-9DE9-AE6D822CA41B}"/>
    <hyperlink ref="A950" r:id="rId947" display="https://9607261.app.netsuite.com/app/reporting/reportrunner.nl?fromreport=320&amp;regtx,tranline,kacct,x,alltranline5,IN,x,x=950&amp;cr=293" xr:uid="{EE3DFDD2-31EE-4594-8400-60BA150BD47C}"/>
    <hyperlink ref="A951" r:id="rId948" display="https://9607261.app.netsuite.com/app/reporting/reportrunner.nl?fromreport=320&amp;regtx,tranline,kacct,x,alltranline5,IN,x,x=950&amp;cr=293" xr:uid="{5918FD3F-248E-4360-9E59-B75CD08767FF}"/>
    <hyperlink ref="A952" r:id="rId949" display="https://9607261.app.netsuite.com/app/reporting/reportrunner.nl?fromreport=320&amp;regtx,tranline,kacct,x,alltranline5,IN,x,x=950&amp;cr=293" xr:uid="{2209DF03-BA97-4F17-A5C4-220FBA1F284C}"/>
    <hyperlink ref="A953" r:id="rId950" display="https://9607261.app.netsuite.com/app/reporting/reportrunner.nl?fromreport=320&amp;regtx,tranline,kacct,x,alltranline5,IN,x,x=950&amp;cr=293" xr:uid="{4BCE144B-0C1B-4003-AEB8-69C8A35E5DCE}"/>
    <hyperlink ref="A954" r:id="rId951" display="https://9607261.app.netsuite.com/app/reporting/reportrunner.nl?fromreport=320&amp;regtx,tranline,kacct,x,alltranline5,IN,x,x=950&amp;cr=293" xr:uid="{18FDA118-8A47-4F7C-BA10-F28E9F9349F3}"/>
    <hyperlink ref="A955" r:id="rId952" display="https://9607261.app.netsuite.com/app/reporting/reportrunner.nl?fromreport=320&amp;regtx,tranline,kacct,x,alltranline5,IN,x,x=950&amp;cr=293" xr:uid="{217D81FB-35DC-4992-B20B-0E00DFC8E1C0}"/>
    <hyperlink ref="A956" r:id="rId953" display="https://9607261.app.netsuite.com/app/reporting/reportrunner.nl?fromreport=320&amp;regtx,tranline,kacct,x,alltranline5,IN,x,x=950&amp;cr=293" xr:uid="{5D898AB6-5198-4363-9AAF-B7275D1BA094}"/>
    <hyperlink ref="A957" r:id="rId954" display="https://9607261.app.netsuite.com/app/reporting/reportrunner.nl?fromreport=320&amp;regtx,tranline,kacct,x,alltranline5,IN,x,x=950&amp;cr=293" xr:uid="{6F990BCE-27E2-4818-A7D4-B9B2804DF560}"/>
    <hyperlink ref="A958" r:id="rId955" display="https://9607261.app.netsuite.com/app/reporting/reportrunner.nl?fromreport=320&amp;regtx,tranline,kacct,x,alltranline5,IN,x,x=950&amp;cr=293" xr:uid="{8C5D7695-6441-4477-AA02-7E513DEFE96E}"/>
    <hyperlink ref="A959" r:id="rId956" display="https://9607261.app.netsuite.com/app/reporting/reportrunner.nl?fromreport=320&amp;regtx,tranline,kacct,x,alltranline5,IN,x,x=950&amp;cr=293" xr:uid="{57FA4008-1CC6-499B-9439-8380011A69C5}"/>
    <hyperlink ref="A960" r:id="rId957" display="https://9607261.app.netsuite.com/app/reporting/reportrunner.nl?fromreport=320&amp;regtx,tranline,kacct,x,alltranline5,IN,x,x=950&amp;cr=293" xr:uid="{53D4874B-FEA8-4DEB-8533-BDFA4C243CA3}"/>
    <hyperlink ref="A961" r:id="rId958" display="https://9607261.app.netsuite.com/app/reporting/reportrunner.nl?fromreport=320&amp;regtx,tranline,kacct,x,alltranline5,IN,x,x=950&amp;cr=293" xr:uid="{31EEAFAC-9504-41ED-BCEB-778C5205C62F}"/>
    <hyperlink ref="A962" r:id="rId959" display="https://9607261.app.netsuite.com/app/reporting/reportrunner.nl?fromreport=320&amp;regtx,tranline,kacct,x,alltranline5,IN,x,x=950&amp;cr=293" xr:uid="{666BEB79-678B-4B80-BD04-0E93B1C2D4D9}"/>
    <hyperlink ref="A963" r:id="rId960" display="https://9607261.app.netsuite.com/app/reporting/reportrunner.nl?fromreport=320&amp;regtx,tranline,kacct,x,alltranline5,IN,x,x=950&amp;cr=293" xr:uid="{ABDDC879-20E1-4AAC-86D0-0A256902A8DB}"/>
    <hyperlink ref="A964" r:id="rId961" display="https://9607261.app.netsuite.com/app/reporting/reportrunner.nl?fromreport=320&amp;regtx,tranline,kacct,x,alltranline5,IN,x,x=950&amp;cr=293" xr:uid="{CDE918AF-1E5B-4C14-AADD-4787A2B2FEE3}"/>
    <hyperlink ref="A965" r:id="rId962" display="https://9607261.app.netsuite.com/app/reporting/reportrunner.nl?fromreport=320&amp;regtx,tranline,kacct,x,alltranline5,IN,x,x=950&amp;cr=293" xr:uid="{7E102110-BD30-4959-8C4D-8161CA45DC97}"/>
    <hyperlink ref="A966" r:id="rId963" display="https://9607261.app.netsuite.com/app/reporting/reportrunner.nl?fromreport=320&amp;regtx,tranline,kacct,x,alltranline5,IN,x,x=950&amp;cr=293" xr:uid="{E7C38B10-F98F-49A8-AAAB-A1F410AA8728}"/>
    <hyperlink ref="A967" r:id="rId964" display="https://9607261.app.netsuite.com/app/reporting/reportrunner.nl?fromreport=320&amp;regtx,tranline,kacct,x,alltranline5,IN,x,x=950&amp;cr=293" xr:uid="{2814BE55-2B7E-4E5C-9CFE-744D37B64A48}"/>
    <hyperlink ref="A968" r:id="rId965" display="https://9607261.app.netsuite.com/app/reporting/reportrunner.nl?fromreport=320&amp;regtx,tranline,kacct,x,alltranline5,IN,x,x=950&amp;cr=293" xr:uid="{315280BF-B7E5-4E23-A767-C4E5FB22F1A6}"/>
    <hyperlink ref="A969" r:id="rId966" display="https://9607261.app.netsuite.com/app/reporting/reportrunner.nl?fromreport=320&amp;regtx,tranline,kacct,x,alltranline5,IN,x,x=950&amp;cr=293" xr:uid="{767C7747-6987-4CD8-B493-7457D785D5A3}"/>
    <hyperlink ref="A970" r:id="rId967" display="https://9607261.app.netsuite.com/app/reporting/reportrunner.nl?fromreport=320&amp;regtx,tranline,kacct,x,alltranline5,IN,x,x=950&amp;cr=293" xr:uid="{421B45E0-88FA-4B4F-9D66-4D9CCDD9DAAC}"/>
    <hyperlink ref="A971" r:id="rId968" display="https://9607261.app.netsuite.com/app/reporting/reportrunner.nl?fromreport=320&amp;regtx,tranline,kacct,x,alltranline5,IN,x,x=950&amp;cr=293" xr:uid="{46658379-544D-4636-9723-223BC86E7CDB}"/>
    <hyperlink ref="A972" r:id="rId969" display="https://9607261.app.netsuite.com/app/reporting/reportrunner.nl?fromreport=320&amp;regtx,tranline,kacct,x,alltranline5,IN,x,x=950&amp;cr=293" xr:uid="{03995353-E8A9-4A44-83BD-0772099B1795}"/>
    <hyperlink ref="A973" r:id="rId970" display="https://9607261.app.netsuite.com/app/reporting/reportrunner.nl?fromreport=320&amp;regtx,tranline,kacct,x,alltranline5,IN,x,x=950&amp;cr=293" xr:uid="{CDF34916-2EA6-400C-BB0B-F0B1F4B56DD6}"/>
    <hyperlink ref="A974" r:id="rId971" display="https://9607261.app.netsuite.com/app/reporting/reportrunner.nl?fromreport=320&amp;regtx,tranline,kacct,x,alltranline5,IN,x,x=950&amp;cr=293" xr:uid="{AA17764B-15B1-425A-B74C-17F1F09497D8}"/>
    <hyperlink ref="A975" r:id="rId972" display="https://9607261.app.netsuite.com/app/reporting/reportrunner.nl?fromreport=320&amp;regtx,tranline,kacct,x,alltranline5,IN,x,x=950&amp;cr=293" xr:uid="{0450B90E-70B3-4CA0-80EC-23F1C43D1495}"/>
    <hyperlink ref="A976" r:id="rId973" display="https://9607261.app.netsuite.com/app/reporting/reportrunner.nl?fromreport=320&amp;regtx,tranline,kacct,x,alltranline5,IN,x,x=950&amp;cr=293" xr:uid="{79D4D236-E77E-434D-B72A-3BE233FDD3BE}"/>
    <hyperlink ref="A977" r:id="rId974" display="https://9607261.app.netsuite.com/app/reporting/reportrunner.nl?fromreport=320&amp;regtx,tranline,kacct,x,alltranline5,IN,x,x=950&amp;cr=293" xr:uid="{A5DE95E3-6D47-4284-B1F9-F37AE4C9F5F2}"/>
    <hyperlink ref="A978" r:id="rId975" display="https://9607261.app.netsuite.com/app/reporting/reportrunner.nl?fromreport=320&amp;regtx,tranline,kacct,x,alltranline5,IN,x,x=950&amp;cr=293" xr:uid="{8B2225A2-0D3B-423A-ACC8-FE8A1ED53725}"/>
    <hyperlink ref="A979" r:id="rId976" display="https://9607261.app.netsuite.com/app/reporting/reportrunner.nl?fromreport=320&amp;regtx,tranline,kacct,x,alltranline5,IN,x,x=950&amp;cr=293" xr:uid="{1835F71D-E825-4A5D-AB07-2CA047A378E6}"/>
    <hyperlink ref="A980" r:id="rId977" display="https://9607261.app.netsuite.com/app/reporting/reportrunner.nl?fromreport=320&amp;regtx,tranline,kacct,x,alltranline5,IN,x,x=950&amp;cr=293" xr:uid="{1F5F1DDA-A116-4958-9C3D-7ABCA1310BAD}"/>
    <hyperlink ref="A981" r:id="rId978" display="https://9607261.app.netsuite.com/app/reporting/reportrunner.nl?fromreport=320&amp;regtx,tranline,kacct,x,alltranline5,IN,x,x=950&amp;cr=293" xr:uid="{AC9EA918-2294-4AB6-A1A5-EE3E35FDC71C}"/>
    <hyperlink ref="A982" r:id="rId979" display="https://9607261.app.netsuite.com/app/reporting/reportrunner.nl?fromreport=320&amp;regtx,tranline,kacct,x,alltranline5,IN,x,x=950&amp;cr=293" xr:uid="{6F00631A-EEA8-4D47-A51A-F53F26E5BB92}"/>
    <hyperlink ref="A983" r:id="rId980" display="https://9607261.app.netsuite.com/app/reporting/reportrunner.nl?fromreport=320&amp;regtx,tranline,kacct,x,alltranline5,IN,x,x=950&amp;cr=293" xr:uid="{2714DF43-90FF-4860-956E-52F6C4478FFE}"/>
    <hyperlink ref="A984" r:id="rId981" display="https://9607261.app.netsuite.com/app/reporting/reportrunner.nl?fromreport=320&amp;regtx,tranline,kacct,x,alltranline5,IN,x,x=950&amp;cr=293" xr:uid="{7A33BF78-BF93-47D7-A5E4-452D21529561}"/>
    <hyperlink ref="A985" r:id="rId982" display="https://9607261.app.netsuite.com/app/reporting/reportrunner.nl?fromreport=320&amp;regtx,tranline,kacct,x,alltranline5,IN,x,x=950&amp;cr=293" xr:uid="{BCF32BE2-E51D-4BB1-A3C1-A76227ED5FEB}"/>
    <hyperlink ref="A986" r:id="rId983" display="https://9607261.app.netsuite.com/app/reporting/reportrunner.nl?fromreport=320&amp;regtx,tranline,kacct,x,alltranline5,IN,x,x=950&amp;cr=293" xr:uid="{1D7ABEA7-EE1C-44EB-869D-DAF17AB9FA5E}"/>
    <hyperlink ref="A987" r:id="rId984" display="https://9607261.app.netsuite.com/app/reporting/reportrunner.nl?fromreport=320&amp;regtx,tranline,kacct,x,alltranline5,IN,x,x=950&amp;cr=293" xr:uid="{B345A723-3A4B-4213-9A4F-F18F872818BB}"/>
    <hyperlink ref="A988" r:id="rId985" display="https://9607261.app.netsuite.com/app/reporting/reportrunner.nl?fromreport=320&amp;regtx,tranline,kacct,x,alltranline5,IN,x,x=950&amp;cr=293" xr:uid="{996D537D-CC4C-44CD-9321-8A925ED3ABDB}"/>
    <hyperlink ref="A989" r:id="rId986" display="https://9607261.app.netsuite.com/app/reporting/reportrunner.nl?fromreport=320&amp;regtx,tranline,kacct,x,alltranline5,IN,x,x=950&amp;cr=293" xr:uid="{63FAEF19-EAC7-479B-B154-96FEC71E234E}"/>
    <hyperlink ref="A990" r:id="rId987" display="https://9607261.app.netsuite.com/app/reporting/reportrunner.nl?fromreport=320&amp;regtx,tranline,kacct,x,alltranline5,IN,x,x=950&amp;cr=293" xr:uid="{776DCB58-5CC0-41B1-A656-030CCF54431E}"/>
    <hyperlink ref="A991" r:id="rId988" display="https://9607261.app.netsuite.com/app/reporting/reportrunner.nl?fromreport=320&amp;regtx,tranline,kacct,x,alltranline5,IN,x,x=950&amp;cr=293" xr:uid="{252FD512-EE9D-4BE9-8D99-AA811C871C76}"/>
    <hyperlink ref="A992" r:id="rId989" display="https://9607261.app.netsuite.com/app/reporting/reportrunner.nl?fromreport=320&amp;regtx,tranline,kacct,x,alltranline5,IN,x,x=950&amp;cr=293" xr:uid="{A946DD42-A3F7-481C-8FD3-EE865C0F74E3}"/>
    <hyperlink ref="A993" r:id="rId990" display="https://9607261.app.netsuite.com/app/reporting/reportrunner.nl?fromreport=320&amp;regtx,tranline,kacct,x,alltranline5,IN,x,x=950&amp;cr=293" xr:uid="{59022142-79B9-4276-BADA-6939A708B749}"/>
    <hyperlink ref="A994" r:id="rId991" display="https://9607261.app.netsuite.com/app/reporting/reportrunner.nl?fromreport=320&amp;regtx,tranline,kacct,x,alltranline5,IN,x,x=950&amp;cr=293" xr:uid="{86E32D1C-79FE-41B9-AD67-EDB33510A5B6}"/>
    <hyperlink ref="A995" r:id="rId992" display="https://9607261.app.netsuite.com/app/reporting/reportrunner.nl?fromreport=320&amp;regtx,tranline,kacct,x,alltranline5,IN,x,x=950&amp;cr=293" xr:uid="{107646A5-4CF2-4270-8E4D-2491C69DFB8A}"/>
    <hyperlink ref="A996" r:id="rId993" display="https://9607261.app.netsuite.com/app/reporting/reportrunner.nl?fromreport=320&amp;regtx,tranline,kacct,x,alltranline5,IN,x,x=950&amp;cr=293" xr:uid="{112131E6-B454-4099-969C-12C4733C00D6}"/>
    <hyperlink ref="A997" r:id="rId994" display="https://9607261.app.netsuite.com/app/reporting/reportrunner.nl?fromreport=320&amp;regtx,tranline,kacct,x,alltranline5,IN,x,x=950&amp;cr=293" xr:uid="{91FED3C3-0395-4635-8A9B-46A62F508455}"/>
    <hyperlink ref="A998" r:id="rId995" display="https://9607261.app.netsuite.com/app/reporting/reportrunner.nl?fromreport=320&amp;regtx,tranline,kacct,x,alltranline5,IN,x,x=950&amp;cr=293" xr:uid="{8E6FB93A-0A75-4E72-969C-BA0F329D60D1}"/>
    <hyperlink ref="A999" r:id="rId996" display="https://9607261.app.netsuite.com/app/reporting/reportrunner.nl?fromreport=320&amp;regtx,tranline,kacct,x,alltranline5,IN,x,x=950&amp;cr=293" xr:uid="{D7AC5B5B-5EEC-43B1-8F82-1AF2D38860BE}"/>
    <hyperlink ref="A1000" r:id="rId997" display="https://9607261.app.netsuite.com/app/reporting/reportrunner.nl?fromreport=320&amp;regtx,tranline,kacct,x,alltranline5,IN,x,x=950&amp;cr=293" xr:uid="{9EB49F36-11C3-4C54-A51B-7FAA9619B421}"/>
    <hyperlink ref="A1001" r:id="rId998" display="https://9607261.app.netsuite.com/app/reporting/reportrunner.nl?fromreport=320&amp;regtx,tranline,kacct,x,alltranline5,IN,x,x=950&amp;cr=293" xr:uid="{9AD67868-21E3-46FB-9A33-6F10F3DF631B}"/>
    <hyperlink ref="A1002" r:id="rId999" display="https://9607261.app.netsuite.com/app/reporting/reportrunner.nl?fromreport=320&amp;regtx,tranline,kacct,x,alltranline5,IN,x,x=950&amp;cr=293" xr:uid="{4A3BA832-B615-4363-BA79-E0996D5DFDDB}"/>
    <hyperlink ref="A1003" r:id="rId1000" display="https://9607261.app.netsuite.com/app/reporting/reportrunner.nl?fromreport=320&amp;regtx,tranline,kacct,x,alltranline5,IN,x,x=950&amp;cr=293" xr:uid="{13FC0DEE-E5FA-4953-BAC1-13959ACECA98}"/>
    <hyperlink ref="A1004" r:id="rId1001" display="https://9607261.app.netsuite.com/app/reporting/reportrunner.nl?fromreport=320&amp;regtx,tranline,kacct,x,alltranline5,IN,x,x=950&amp;cr=293" xr:uid="{4B527BC5-6502-4695-B0C3-C66A98F16863}"/>
    <hyperlink ref="A1005" r:id="rId1002" display="https://9607261.app.netsuite.com/app/reporting/reportrunner.nl?fromreport=320&amp;regtx,tranline,kacct,x,alltranline5,IN,x,x=950&amp;cr=293" xr:uid="{E998429E-28B9-4BE7-A50A-BB91EC7839FB}"/>
    <hyperlink ref="A1006" r:id="rId1003" display="https://9607261.app.netsuite.com/app/reporting/reportrunner.nl?fromreport=320&amp;regtx,tranline,kacct,x,alltranline5,IN,x,x=950&amp;cr=293" xr:uid="{B133DA46-63ED-446E-B866-D9177013A259}"/>
    <hyperlink ref="A1007" r:id="rId1004" display="https://9607261.app.netsuite.com/app/reporting/reportrunner.nl?fromreport=320&amp;regtx,tranline,kacct,x,alltranline5,IN,x,x=950&amp;cr=293" xr:uid="{FD3046A5-9C64-4023-99C6-7A6B104DF5C3}"/>
    <hyperlink ref="A1008" r:id="rId1005" display="https://9607261.app.netsuite.com/app/reporting/reportrunner.nl?fromreport=320&amp;regtx,tranline,kacct,x,alltranline5,IN,x,x=950&amp;cr=293" xr:uid="{ECC48D7C-8812-41A0-AFBF-E1EB3C95F40F}"/>
    <hyperlink ref="A1009" r:id="rId1006" display="https://9607261.app.netsuite.com/app/reporting/reportrunner.nl?fromreport=320&amp;regtx,tranline,kacct,x,alltranline5,IN,x,x=950&amp;cr=293" xr:uid="{C9C6B23E-3229-45F8-A1FF-9D9F81473E03}"/>
    <hyperlink ref="A1010" r:id="rId1007" display="https://9607261.app.netsuite.com/app/reporting/reportrunner.nl?fromreport=320&amp;regtx,tranline,kacct,x,alltranline5,IN,x,x=950&amp;cr=293" xr:uid="{4750ABAF-14B6-4E1D-A3CB-4E89706DA1C9}"/>
    <hyperlink ref="A1011" r:id="rId1008" display="https://9607261.app.netsuite.com/app/reporting/reportrunner.nl?fromreport=320&amp;regtx,tranline,kacct,x,alltranline5,IN,x,x=950&amp;cr=293" xr:uid="{5F996C02-7970-4EE6-BD9E-F24463162923}"/>
    <hyperlink ref="A1012" r:id="rId1009" display="https://9607261.app.netsuite.com/app/reporting/reportrunner.nl?fromreport=320&amp;regtx,tranline,kacct,x,alltranline5,IN,x,x=950&amp;cr=293" xr:uid="{A1EC8873-F50E-4401-8BC3-C7A9475D6581}"/>
    <hyperlink ref="A1013" r:id="rId1010" display="https://9607261.app.netsuite.com/app/reporting/reportrunner.nl?fromreport=320&amp;regtx,tranline,kacct,x,alltranline5,IN,x,x=950&amp;cr=293" xr:uid="{008747EC-66F4-4BE4-89D1-2C13F5F05FD6}"/>
    <hyperlink ref="A1014" r:id="rId1011" display="https://9607261.app.netsuite.com/app/reporting/reportrunner.nl?fromreport=320&amp;regtx,tranline,kacct,x,alltranline5,IN,x,x=950&amp;cr=293" xr:uid="{A8A8EED3-1726-4274-A8B8-9BF658CB872A}"/>
    <hyperlink ref="A1015" r:id="rId1012" display="https://9607261.app.netsuite.com/app/reporting/reportrunner.nl?fromreport=320&amp;regtx,tranline,kacct,x,alltranline5,IN,x,x=950&amp;cr=293" xr:uid="{044A41A5-8BEC-44C1-9EB4-EF21B609903C}"/>
    <hyperlink ref="A1016" r:id="rId1013" display="https://9607261.app.netsuite.com/app/reporting/reportrunner.nl?fromreport=320&amp;regtx,tranline,kacct,x,alltranline5,IN,x,x=950&amp;cr=293" xr:uid="{D71C2804-44AC-4885-8FFD-FD67D2EBA897}"/>
    <hyperlink ref="A1017" r:id="rId1014" display="https://9607261.app.netsuite.com/app/reporting/reportrunner.nl?fromreport=320&amp;regtx,tranline,kacct,x,alltranline5,IN,x,x=950&amp;cr=293" xr:uid="{D90D4F18-66E0-45C0-A510-D72F041E3F8E}"/>
    <hyperlink ref="A1018" r:id="rId1015" display="https://9607261.app.netsuite.com/app/reporting/reportrunner.nl?fromreport=320&amp;regtx,tranline,kacct,x,alltranline5,IN,x,x=950&amp;cr=293" xr:uid="{CF61B545-D267-4DB9-8DB1-042940E38762}"/>
    <hyperlink ref="A1019" r:id="rId1016" display="https://9607261.app.netsuite.com/app/reporting/reportrunner.nl?fromreport=320&amp;regtx,tranline,kacct,x,alltranline5,IN,x,x=950&amp;cr=293" xr:uid="{FA9C212D-31AC-464D-AEA2-C3FCE2E4B7E7}"/>
    <hyperlink ref="A1020" r:id="rId1017" display="https://9607261.app.netsuite.com/app/reporting/reportrunner.nl?fromreport=320&amp;regtx,tranline,kacct,x,alltranline5,IN,x,x=950&amp;cr=293" xr:uid="{7F421336-CC98-4BFF-9647-A0146B3C8B53}"/>
    <hyperlink ref="A1021" r:id="rId1018" display="https://9607261.app.netsuite.com/app/reporting/reportrunner.nl?fromreport=320&amp;regtx,tranline,kacct,x,alltranline5,IN,x,x=950&amp;cr=293" xr:uid="{47C1A5E0-409B-4A46-8BD0-B2C49FC3FA7E}"/>
    <hyperlink ref="A1022" r:id="rId1019" display="https://9607261.app.netsuite.com/app/reporting/reportrunner.nl?fromreport=320&amp;regtx,tranline,kacct,x,alltranline5,IN,x,x=950&amp;cr=293" xr:uid="{8C8F76B9-717E-44D8-BE3F-57F33BB3E720}"/>
    <hyperlink ref="A1023" r:id="rId1020" display="https://9607261.app.netsuite.com/app/reporting/reportrunner.nl?fromreport=320&amp;regtx,tranline,kacct,x,alltranline5,IN,x,x=950&amp;cr=293" xr:uid="{F2E5FF33-F737-4A67-8590-9F1AE2AE1C89}"/>
    <hyperlink ref="A1024" r:id="rId1021" display="https://9607261.app.netsuite.com/app/reporting/reportrunner.nl?fromreport=320&amp;regtx,tranline,kacct,x,alltranline5,IN,x,x=950&amp;cr=293" xr:uid="{7498E03F-1062-43AB-A98D-A614459E3546}"/>
    <hyperlink ref="A1025" r:id="rId1022" display="https://9607261.app.netsuite.com/app/reporting/reportrunner.nl?fromreport=320&amp;regtx,tranline,kacct,x,alltranline5,IN,x,x=950&amp;cr=293" xr:uid="{BBA1E436-BAB3-442F-9DF0-A1CA93B8A2BB}"/>
    <hyperlink ref="A1026" r:id="rId1023" display="https://9607261.app.netsuite.com/app/reporting/reportrunner.nl?fromreport=320&amp;regtx,tranline,kacct,x,alltranline5,IN,x,x=950&amp;cr=293" xr:uid="{379341E1-8EE2-44BC-93A3-614CB31C7B34}"/>
    <hyperlink ref="A1027" r:id="rId1024" display="https://9607261.app.netsuite.com/app/reporting/reportrunner.nl?fromreport=320&amp;regtx,tranline,kacct,x,alltranline5,IN,x,x=950&amp;cr=293" xr:uid="{C9A8EB5E-6BB3-435F-A5D1-9CEC00A96EDA}"/>
    <hyperlink ref="A1028" r:id="rId1025" display="https://9607261.app.netsuite.com/app/reporting/reportrunner.nl?fromreport=320&amp;regtx,tranline,kacct,x,alltranline5,IN,x,x=950&amp;cr=293" xr:uid="{E973C8FD-7EE1-41C3-A4ED-07DE8E2811B9}"/>
    <hyperlink ref="A1029" r:id="rId1026" display="https://9607261.app.netsuite.com/app/reporting/reportrunner.nl?fromreport=320&amp;regtx,tranline,kacct,x,alltranline5,IN,x,x=950&amp;cr=293" xr:uid="{61457B0C-AA72-42A6-AEE8-50D961C941F1}"/>
    <hyperlink ref="A1030" r:id="rId1027" display="https://9607261.app.netsuite.com/app/reporting/reportrunner.nl?fromreport=320&amp;regtx,tranline,kacct,x,alltranline5,IN,x,x=950&amp;cr=293" xr:uid="{FCD61644-F514-421D-AFC5-818EEFB561E5}"/>
    <hyperlink ref="A1031" r:id="rId1028" display="https://9607261.app.netsuite.com/app/reporting/reportrunner.nl?fromreport=320&amp;regtx,tranline,kacct,x,alltranline5,IN,x,x=950&amp;cr=293" xr:uid="{0E978652-A7CC-4C8F-9725-7D201D4E660F}"/>
    <hyperlink ref="A1032" r:id="rId1029" display="https://9607261.app.netsuite.com/app/reporting/reportrunner.nl?fromreport=320&amp;regtx,tranline,kacct,x,alltranline5,IN,x,x=950&amp;cr=293" xr:uid="{22662743-6029-4EB1-A59A-92C1F13F4197}"/>
    <hyperlink ref="A1033" r:id="rId1030" display="https://9607261.app.netsuite.com/app/reporting/reportrunner.nl?fromreport=320&amp;regtx,tranline,kacct,x,alltranline5,IN,x,x=950&amp;cr=293" xr:uid="{FF0393D3-2274-43A5-805C-0E14F1D51120}"/>
    <hyperlink ref="A1034" r:id="rId1031" display="https://9607261.app.netsuite.com/app/reporting/reportrunner.nl?fromreport=320&amp;regtx,tranline,kacct,x,alltranline5,IN,x,x=950&amp;cr=293" xr:uid="{19D73D37-D071-4166-A4C4-E9AA80039215}"/>
    <hyperlink ref="A1035" r:id="rId1032" display="https://9607261.app.netsuite.com/app/reporting/reportrunner.nl?fromreport=320&amp;regtx,tranline,kacct,x,alltranline5,IN,x,x=950&amp;cr=293" xr:uid="{4844B080-0DE1-4D46-B299-F4C6BBC444AD}"/>
    <hyperlink ref="A1036" r:id="rId1033" display="https://9607261.app.netsuite.com/app/reporting/reportrunner.nl?fromreport=320&amp;regtx,tranline,kacct,x,alltranline5,IN,x,x=950&amp;cr=293" xr:uid="{F9925291-6507-4410-BA81-3770F2BCD528}"/>
    <hyperlink ref="A1037" r:id="rId1034" display="https://9607261.app.netsuite.com/app/reporting/reportrunner.nl?fromreport=320&amp;regtx,tranline,kacct,x,alltranline5,IN,x,x=950&amp;cr=293" xr:uid="{23F7439B-8AB9-4392-8362-C3F6781B584B}"/>
    <hyperlink ref="A1038" r:id="rId1035" display="https://9607261.app.netsuite.com/app/reporting/reportrunner.nl?fromreport=320&amp;regtx,tranline,kacct,x,alltranline5,IN,x,x=950&amp;cr=293" xr:uid="{B112E68E-2139-49DC-BA0B-EC40E04EC3C7}"/>
    <hyperlink ref="A1039" r:id="rId1036" display="https://9607261.app.netsuite.com/app/reporting/reportrunner.nl?fromreport=320&amp;regtx,tranline,kacct,x,alltranline5,IN,x,x=950&amp;cr=293" xr:uid="{B456D269-200E-4734-8B76-4D31489FA1A9}"/>
    <hyperlink ref="A1040" r:id="rId1037" display="https://9607261.app.netsuite.com/app/reporting/reportrunner.nl?fromreport=320&amp;regtx,tranline,kacct,x,alltranline5,IN,x,x=950&amp;cr=293" xr:uid="{E3977C8B-22D5-4577-954B-2AF4F559A45C}"/>
    <hyperlink ref="A1041" r:id="rId1038" display="https://9607261.app.netsuite.com/app/reporting/reportrunner.nl?fromreport=320&amp;regtx,tranline,kacct,x,alltranline5,IN,x,x=950&amp;cr=293" xr:uid="{B59A8C81-C436-48A7-93CC-472ADF29CB60}"/>
    <hyperlink ref="A1042" r:id="rId1039" display="https://9607261.app.netsuite.com/app/reporting/reportrunner.nl?fromreport=320&amp;regtx,tranline,kacct,x,alltranline5,IN,x,x=950&amp;cr=293" xr:uid="{8359ECCB-5433-4599-9AF1-944553393BC8}"/>
    <hyperlink ref="A1043" r:id="rId1040" display="https://9607261.app.netsuite.com/app/reporting/reportrunner.nl?fromreport=320&amp;regtx,tranline,kacct,x,alltranline5,IN,x,x=950&amp;cr=293" xr:uid="{7940595F-352F-449F-9CAA-3B4D18DDA173}"/>
    <hyperlink ref="A1044" r:id="rId1041" display="https://9607261.app.netsuite.com/app/reporting/reportrunner.nl?fromreport=320&amp;regtx,tranline,kacct,x,alltranline5,IN,x,x=950&amp;cr=293" xr:uid="{86CE3C20-09DF-4A74-B8AC-B94C81E01838}"/>
    <hyperlink ref="A1045" r:id="rId1042" display="https://9607261.app.netsuite.com/app/reporting/reportrunner.nl?fromreport=320&amp;regtx,tranline,kacct,x,alltranline5,IN,x,x=950&amp;cr=293" xr:uid="{6799A7A3-8C04-4EF4-8A8A-2ACBA57B199A}"/>
    <hyperlink ref="A1046" r:id="rId1043" display="https://9607261.app.netsuite.com/app/reporting/reportrunner.nl?fromreport=320&amp;regtx,tranline,kacct,x,alltranline5,IN,x,x=950&amp;cr=293" xr:uid="{BFB81AC4-48EC-492F-8072-B74185EE2684}"/>
    <hyperlink ref="A1047" r:id="rId1044" display="https://9607261.app.netsuite.com/app/reporting/reportrunner.nl?fromreport=320&amp;regtx,tranline,kacct,x,alltranline5,IN,x,x=950&amp;cr=293" xr:uid="{A237E133-855D-4B5B-AE0A-36FE312EAF10}"/>
    <hyperlink ref="A1048" r:id="rId1045" display="https://9607261.app.netsuite.com/app/reporting/reportrunner.nl?fromreport=320&amp;regtx,tranline,kacct,x,alltranline5,IN,x,x=950&amp;cr=293" xr:uid="{85B37737-D1C8-470B-8E0C-4400218C93D3}"/>
    <hyperlink ref="A1049" r:id="rId1046" display="https://9607261.app.netsuite.com/app/reporting/reportrunner.nl?fromreport=320&amp;regtx,tranline,kacct,x,alltranline5,IN,x,x=950&amp;cr=293" xr:uid="{99884C96-3773-489C-B115-715FBBF2328D}"/>
    <hyperlink ref="A1050" r:id="rId1047" display="https://9607261.app.netsuite.com/app/reporting/reportrunner.nl?fromreport=320&amp;regtx,tranline,kacct,x,alltranline5,IN,x,x=950&amp;cr=293" xr:uid="{F66C0807-FBA3-4FB4-9DA0-757989942BE2}"/>
    <hyperlink ref="A1051" r:id="rId1048" display="https://9607261.app.netsuite.com/app/reporting/reportrunner.nl?fromreport=320&amp;regtx,tranline,kacct,x,alltranline5,IN,x,x=950&amp;cr=293" xr:uid="{1D18C835-D716-4E39-AC13-5DE807FEA3E4}"/>
    <hyperlink ref="A1052" r:id="rId1049" display="https://9607261.app.netsuite.com/app/reporting/reportrunner.nl?fromreport=320&amp;regtx,tranline,kacct,x,alltranline5,IN,x,x=950&amp;cr=293" xr:uid="{C5A74B0B-91B1-4BE7-A7C8-0602B6CE5FDC}"/>
    <hyperlink ref="A1053" r:id="rId1050" display="https://9607261.app.netsuite.com/app/reporting/reportrunner.nl?fromreport=320&amp;regtx,tranline,kacct,x,alltranline5,IN,x,x=950&amp;cr=293" xr:uid="{4AE4D496-8BF1-43E9-AD74-2C9979671CCA}"/>
    <hyperlink ref="A1054" r:id="rId1051" display="https://9607261.app.netsuite.com/app/reporting/reportrunner.nl?fromreport=320&amp;regtx,tranline,kacct,x,alltranline5,IN,x,x=950&amp;cr=293" xr:uid="{AD2BBB8B-A7FE-4685-B8BA-9A07BBE19DFF}"/>
    <hyperlink ref="A1055" r:id="rId1052" display="https://9607261.app.netsuite.com/app/reporting/reportrunner.nl?fromreport=320&amp;regtx,tranline,kacct,x,alltranline5,IN,x,x=950&amp;cr=293" xr:uid="{762FD20D-BDAB-4372-ABA9-BA52B3E66B4A}"/>
    <hyperlink ref="A1056" r:id="rId1053" display="https://9607261.app.netsuite.com/app/reporting/reportrunner.nl?fromreport=320&amp;regtx,tranline,kacct,x,alltranline5,IN,x,x=950&amp;cr=293" xr:uid="{5C32C470-AEE5-4131-BE46-97C848918FC0}"/>
    <hyperlink ref="A1057" r:id="rId1054" display="https://9607261.app.netsuite.com/app/reporting/reportrunner.nl?fromreport=320&amp;regtx,tranline,kacct,x,alltranline5,IN,x,x=950&amp;cr=293" xr:uid="{7C129AFA-F159-4C0A-BE05-C91EEFCA5D05}"/>
    <hyperlink ref="A1058" r:id="rId1055" display="https://9607261.app.netsuite.com/app/reporting/reportrunner.nl?fromreport=320&amp;regtx,tranline,kacct,x,alltranline5,IN,x,x=950&amp;cr=293" xr:uid="{EED8953E-F3C0-48D1-83FA-1438E60E6996}"/>
    <hyperlink ref="A1059" r:id="rId1056" display="https://9607261.app.netsuite.com/app/reporting/reportrunner.nl?fromreport=320&amp;regtx,tranline,kacct,x,alltranline5,IN,x,x=950&amp;cr=293" xr:uid="{0926558B-FA33-4848-B5B2-C78033702AC9}"/>
    <hyperlink ref="A1060" r:id="rId1057" display="https://9607261.app.netsuite.com/app/reporting/reportrunner.nl?fromreport=320&amp;regtx,tranline,kacct,x,alltranline5,IN,x,x=950&amp;cr=293" xr:uid="{ADE7EC55-B3ED-4F3E-8712-7E199F887D74}"/>
    <hyperlink ref="A1061" r:id="rId1058" display="https://9607261.app.netsuite.com/app/reporting/reportrunner.nl?fromreport=320&amp;regtx,tranline,kacct,x,alltranline5,IN,x,x=950&amp;cr=293" xr:uid="{E37D6301-C6E3-4E0A-A2B2-432318ECC04F}"/>
    <hyperlink ref="A1062" r:id="rId1059" display="https://9607261.app.netsuite.com/app/reporting/reportrunner.nl?fromreport=320&amp;regtx,tranline,kacct,x,alltranline5,IN,x,x=950&amp;cr=293" xr:uid="{C42A7767-D9E2-4488-8DB3-171777BEDFB4}"/>
    <hyperlink ref="A1063" r:id="rId1060" display="https://9607261.app.netsuite.com/app/reporting/reportrunner.nl?fromreport=320&amp;regtx,tranline,kacct,x,alltranline5,IN,x,x=950&amp;cr=293" xr:uid="{27D9AFD2-C5A1-4F89-8341-A2523582521F}"/>
    <hyperlink ref="A1064" r:id="rId1061" display="https://9607261.app.netsuite.com/app/reporting/reportrunner.nl?fromreport=320&amp;regtx,tranline,kacct,x,alltranline5,IN,x,x=950&amp;cr=293" xr:uid="{3F562B95-871C-452F-8960-FAD880677690}"/>
    <hyperlink ref="A1065" r:id="rId1062" display="https://9607261.app.netsuite.com/app/reporting/reportrunner.nl?fromreport=320&amp;regtx,tranline,kacct,x,alltranline5,IN,x,x=950&amp;cr=293" xr:uid="{E919ED3C-8802-482F-8B6D-6464FC0943A2}"/>
    <hyperlink ref="A1066" r:id="rId1063" display="https://9607261.app.netsuite.com/app/reporting/reportrunner.nl?fromreport=320&amp;regtx,tranline,kacct,x,alltranline5,IN,x,x=950&amp;cr=293" xr:uid="{81960E03-545A-4709-83CC-CD7ADB81BF2B}"/>
    <hyperlink ref="A1067" r:id="rId1064" display="https://9607261.app.netsuite.com/app/reporting/reportrunner.nl?fromreport=320&amp;regtx,tranline,kacct,x,alltranline5,IN,x,x=950&amp;cr=293" xr:uid="{A959BC49-496B-44D5-BF07-60171019F6D9}"/>
    <hyperlink ref="A1068" r:id="rId1065" display="https://9607261.app.netsuite.com/app/reporting/reportrunner.nl?fromreport=320&amp;regtx,tranline,kacct,x,alltranline5,IN,x,x=950&amp;cr=293" xr:uid="{1DFBBBE0-3867-4823-8271-68395C4EDEB5}"/>
    <hyperlink ref="A1069" r:id="rId1066" display="https://9607261.app.netsuite.com/app/reporting/reportrunner.nl?fromreport=320&amp;regtx,tranline,kacct,x,alltranline5,IN,x,x=950&amp;cr=293" xr:uid="{0DBB0AF4-1E67-43FD-88F5-5D3ADBE02C12}"/>
    <hyperlink ref="A1070" r:id="rId1067" display="https://9607261.app.netsuite.com/app/reporting/reportrunner.nl?fromreport=320&amp;regtx,tranline,kacct,x,alltranline5,IN,x,x=950&amp;cr=293" xr:uid="{86484D82-C86C-4220-8543-6A0BFBB3EB3C}"/>
    <hyperlink ref="A1071" r:id="rId1068" display="https://9607261.app.netsuite.com/app/reporting/reportrunner.nl?fromreport=320&amp;regtx,tranline,kacct,x,alltranline5,IN,x,x=950&amp;cr=293" xr:uid="{8E700E5D-2D93-4816-82D9-81D2DB72BD93}"/>
    <hyperlink ref="A1072" r:id="rId1069" display="https://9607261.app.netsuite.com/app/reporting/reportrunner.nl?fromreport=320&amp;regtx,tranline,kacct,x,alltranline5,IN,x,x=950&amp;cr=293" xr:uid="{57A4D643-CD28-4CB0-BA30-187E3A89FB95}"/>
    <hyperlink ref="A1073" r:id="rId1070" display="https://9607261.app.netsuite.com/app/reporting/reportrunner.nl?fromreport=320&amp;regtx,tranline,kacct,x,alltranline5,IN,x,x=950&amp;cr=293" xr:uid="{68864E8C-32C3-4769-B689-B5FD38A77122}"/>
    <hyperlink ref="A1074" r:id="rId1071" display="https://9607261.app.netsuite.com/app/reporting/reportrunner.nl?fromreport=320&amp;regtx,tranline,kacct,x,alltranline5,IN,x,x=950&amp;cr=293" xr:uid="{7A10510B-D43F-4085-AA61-15FD43B8FDF7}"/>
    <hyperlink ref="A1075" r:id="rId1072" display="https://9607261.app.netsuite.com/app/reporting/reportrunner.nl?fromreport=320&amp;regtx,tranline,kacct,x,alltranline5,IN,x,x=950&amp;cr=293" xr:uid="{5A6937D7-B141-4A6B-B5AE-E0DCD37DB778}"/>
    <hyperlink ref="A1076" r:id="rId1073" display="https://9607261.app.netsuite.com/app/reporting/reportrunner.nl?fromreport=320&amp;regtx,tranline,kacct,x,alltranline5,IN,x,x=950&amp;cr=293" xr:uid="{096F9EB7-0C3F-4FD1-8329-03683E5AA1AD}"/>
    <hyperlink ref="A1077" r:id="rId1074" display="https://9607261.app.netsuite.com/app/reporting/reportrunner.nl?fromreport=320&amp;regtx,tranline,kacct,x,alltranline5,IN,x,x=950&amp;cr=293" xr:uid="{9E51C163-ABCB-4333-9123-4CB6E1CEE065}"/>
    <hyperlink ref="A1078" r:id="rId1075" display="https://9607261.app.netsuite.com/app/reporting/reportrunner.nl?fromreport=320&amp;regtx,tranline,kacct,x,alltranline5,IN,x,x=950&amp;cr=293" xr:uid="{66BE4E45-C1C1-4769-87A9-F75811FD3AE1}"/>
    <hyperlink ref="A1079" r:id="rId1076" display="https://9607261.app.netsuite.com/app/reporting/reportrunner.nl?fromreport=320&amp;regtx,tranline,kacct,x,alltranline5,IN,x,x=950&amp;cr=293" xr:uid="{BCE18ADD-D65F-48E0-8ABA-1870E3DBCC05}"/>
    <hyperlink ref="A1080" r:id="rId1077" display="https://9607261.app.netsuite.com/app/reporting/reportrunner.nl?fromreport=320&amp;regtx,tranline,kacct,x,alltranline5,IN,x,x=950&amp;cr=293" xr:uid="{62739C38-DAEC-4B0F-BAF0-CFBE4E65217F}"/>
    <hyperlink ref="A1081" r:id="rId1078" display="https://9607261.app.netsuite.com/app/reporting/reportrunner.nl?fromreport=320&amp;regtx,tranline,kacct,x,alltranline5,IN,x,x=950&amp;cr=293" xr:uid="{49E0EC77-14AF-4606-B155-CEA2265560DA}"/>
    <hyperlink ref="A1082" r:id="rId1079" display="https://9607261.app.netsuite.com/app/reporting/reportrunner.nl?fromreport=320&amp;regtx,tranline,kacct,x,alltranline5,IN,x,x=950&amp;cr=293" xr:uid="{D95B1697-1563-4021-96FC-C17C6BC50B1B}"/>
    <hyperlink ref="A1083" r:id="rId1080" display="https://9607261.app.netsuite.com/app/reporting/reportrunner.nl?fromreport=320&amp;regtx,tranline,kacct,x,alltranline5,IN,x,x=950&amp;cr=293" xr:uid="{46CEBB8C-4EB2-4D82-80DA-37081746442F}"/>
    <hyperlink ref="A1084" r:id="rId1081" display="https://9607261.app.netsuite.com/app/reporting/reportrunner.nl?fromreport=320&amp;regtx,tranline,kacct,x,alltranline5,IN,x,x=950&amp;cr=293" xr:uid="{9F2D1AC3-973A-4DDB-9A88-478E9DC69DDB}"/>
    <hyperlink ref="A1085" r:id="rId1082" display="https://9607261.app.netsuite.com/app/reporting/reportrunner.nl?fromreport=320&amp;regtx,tranline,kacct,x,alltranline5,IN,x,x=950&amp;cr=293" xr:uid="{7031779D-6C8C-4C8B-9CA7-4897DE63F4AA}"/>
    <hyperlink ref="A1086" r:id="rId1083" display="https://9607261.app.netsuite.com/app/reporting/reportrunner.nl?fromreport=320&amp;regtx,tranline,kacct,x,alltranline5,IN,x,x=950&amp;cr=293" xr:uid="{A364D876-DE15-4F50-BB8E-717A41FC46C6}"/>
    <hyperlink ref="A1087" r:id="rId1084" display="https://9607261.app.netsuite.com/app/reporting/reportrunner.nl?fromreport=320&amp;regtx,tranline,kacct,x,alltranline5,IN,x,x=950&amp;cr=293" xr:uid="{ECF65E46-4C50-44F9-B77A-593095C2FD2A}"/>
    <hyperlink ref="A1088" r:id="rId1085" display="https://9607261.app.netsuite.com/app/reporting/reportrunner.nl?fromreport=320&amp;regtx,tranline,kacct,x,alltranline5,IN,x,x=950&amp;cr=293" xr:uid="{D8014481-2D08-4DF7-9AC4-67988591DA7A}"/>
    <hyperlink ref="A1089" r:id="rId1086" display="https://9607261.app.netsuite.com/app/reporting/reportrunner.nl?fromreport=320&amp;regtx,tranline,kacct,x,alltranline5,IN,x,x=950&amp;cr=293" xr:uid="{0049EAEA-5490-4E95-9BF2-B4525AC11F57}"/>
    <hyperlink ref="A1090" r:id="rId1087" display="https://9607261.app.netsuite.com/app/reporting/reportrunner.nl?fromreport=320&amp;regtx,tranline,kacct,x,alltranline5,IN,x,x=950&amp;cr=293" xr:uid="{ED8F5D2A-186B-4FBB-A970-B640B3DEA175}"/>
    <hyperlink ref="A1091:A1171" r:id="rId1088" display="https://9607261.app.netsuite.com/app/reporting/reportrunner.nl?fromreport=320&amp;regtx,tranline,kacct,x,alltranline5,IN,x,x=950&amp;cr=293" xr:uid="{6AF4E7D4-7DDB-44EF-A80C-D7E71395197B}"/>
    <hyperlink ref="A1172" r:id="rId1089" display="https://9607261.app.netsuite.com/app/reporting/reportrunner.nl?fromreport=320&amp;regtx,tranline,kacct,x,alltranline5,IN,x,x=950&amp;cr=293" xr:uid="{2897F2DE-42B8-4446-9DAA-8D8CE3E23820}"/>
    <hyperlink ref="A1173" r:id="rId1090" display="https://9607261.app.netsuite.com/app/reporting/reportrunner.nl?fromreport=320&amp;regtx,tranline,kacct,x,alltranline5,IN,x,x=950&amp;cr=293" xr:uid="{86020519-7478-4257-B101-00AAA6F03D1A}"/>
    <hyperlink ref="A1174" r:id="rId1091" display="https://9607261.app.netsuite.com/app/reporting/reportrunner.nl?fromreport=320&amp;regtx,tranline,kacct,x,alltranline5,IN,x,x=950&amp;cr=293" xr:uid="{2BC9017F-A649-4F54-B680-02497FE84CDE}"/>
    <hyperlink ref="A1175" r:id="rId1092" display="https://9607261.app.netsuite.com/app/reporting/reportrunner.nl?fromreport=320&amp;regtx,tranline,kacct,x,alltranline5,IN,x,x=950&amp;cr=293" xr:uid="{A9DDFA80-0A5C-4317-929E-A3EC327BAE40}"/>
    <hyperlink ref="A1176" r:id="rId1093" display="https://9607261.app.netsuite.com/app/reporting/reportrunner.nl?fromreport=320&amp;regtx,tranline,kacct,x,alltranline5,IN,x,x=950&amp;cr=293" xr:uid="{33C0EE7C-1834-4B6B-93C6-22568C4995A1}"/>
    <hyperlink ref="A1177" r:id="rId1094" display="https://9607261.app.netsuite.com/app/reporting/reportrunner.nl?fromreport=320&amp;regtx,tranline,kacct,x,alltranline5,IN,x,x=950&amp;cr=293" xr:uid="{5C7DC361-83B9-4071-BEE0-7AC976091A18}"/>
    <hyperlink ref="A1178" r:id="rId1095" display="https://9607261.app.netsuite.com/app/reporting/reportrunner.nl?fromreport=320&amp;regtx,tranline,kacct,x,alltranline5,IN,x,x=950&amp;cr=293" xr:uid="{AEA0C391-9CB3-4AAB-8AE9-6B91CEB187EA}"/>
    <hyperlink ref="A1179" r:id="rId1096" display="https://9607261.app.netsuite.com/app/reporting/reportrunner.nl?fromreport=320&amp;regtx,tranline,kacct,x,alltranline5,IN,x,x=950&amp;cr=293" xr:uid="{B8A63A36-5C74-4C62-BB21-FB0B81AB3DAA}"/>
    <hyperlink ref="A1180" r:id="rId1097" display="https://9607261.app.netsuite.com/app/reporting/reportrunner.nl?fromreport=320&amp;regtx,tranline,kacct,x,alltranline5,IN,x,x=950&amp;cr=293" xr:uid="{9A308DDC-77B8-43F3-8B99-53260099CE81}"/>
    <hyperlink ref="A1181" r:id="rId1098" display="https://9607261.app.netsuite.com/app/reporting/reportrunner.nl?fromreport=320&amp;regtx,tranline,kacct,x,alltranline5,IN,x,x=950&amp;cr=293" xr:uid="{C32BB8FB-6AB2-46A4-B69E-D9432D889D0A}"/>
    <hyperlink ref="A1182" r:id="rId1099" display="https://9607261.app.netsuite.com/app/reporting/reportrunner.nl?fromreport=320&amp;regtx,tranline,kacct,x,alltranline5,IN,x,x=950&amp;cr=293" xr:uid="{4AB11474-263C-4D3E-8727-036D45A9C902}"/>
    <hyperlink ref="A1183" r:id="rId1100" display="https://9607261.app.netsuite.com/app/reporting/reportrunner.nl?fromreport=320&amp;regtx,tranline,kacct,x,alltranline5,IN,x,x=950&amp;cr=293" xr:uid="{5C8D7242-01E5-4BB2-9D02-BE8574701E39}"/>
    <hyperlink ref="A1184" r:id="rId1101" display="https://9607261.app.netsuite.com/app/reporting/reportrunner.nl?fromreport=320&amp;regtx,tranline,kacct,x,alltranline5,IN,x,x=950&amp;cr=293" xr:uid="{6738A460-3CFA-4E41-BC6C-795D2958BFA6}"/>
    <hyperlink ref="A1185" r:id="rId1102" display="https://9607261.app.netsuite.com/app/reporting/reportrunner.nl?fromreport=320&amp;regtx,tranline,kacct,x,alltranline5,IN,x,x=950&amp;cr=293" xr:uid="{944DB9EF-AA7F-489F-B9BA-7D83330146DC}"/>
    <hyperlink ref="A1186" r:id="rId1103" display="https://9607261.app.netsuite.com/app/reporting/reportrunner.nl?fromreport=320&amp;regtx,tranline,kacct,x,alltranline5,IN,x,x=950&amp;cr=293" xr:uid="{DBDBB95E-C3F0-4A0C-9E8E-7D1A9F12BB9C}"/>
    <hyperlink ref="A1187" r:id="rId1104" display="https://9607261.app.netsuite.com/app/reporting/reportrunner.nl?fromreport=320&amp;regtx,tranline,kacct,x,alltranline5,IN,x,x=950&amp;cr=293" xr:uid="{F79F227C-828F-4968-85EC-CA68830F21D2}"/>
    <hyperlink ref="A1188" r:id="rId1105" display="https://9607261.app.netsuite.com/app/reporting/reportrunner.nl?fromreport=320&amp;regtx,tranline,kacct,x,alltranline5,IN,x,x=950&amp;cr=293" xr:uid="{DD60ED9E-DEF2-4DC4-AD48-95630EFC99B1}"/>
    <hyperlink ref="A1189" r:id="rId1106" display="https://9607261.app.netsuite.com/app/reporting/reportrunner.nl?fromreport=320&amp;regtx,tranline,kacct,x,alltranline5,IN,x,x=950&amp;cr=293" xr:uid="{68B8D6F5-B44D-439F-B5BC-84018E9AC3E6}"/>
    <hyperlink ref="A1190" r:id="rId1107" display="https://9607261.app.netsuite.com/app/reporting/reportrunner.nl?fromreport=320&amp;regtx,tranline,kacct,x,alltranline5,IN,x,x=950&amp;cr=293" xr:uid="{D58D2CAA-2BC5-483E-85C7-E35941BE38FA}"/>
    <hyperlink ref="A1191" r:id="rId1108" display="https://9607261.app.netsuite.com/app/reporting/reportrunner.nl?fromreport=320&amp;regtx,tranline,kacct,x,alltranline5,IN,x,x=950&amp;cr=293" xr:uid="{C5771223-16E1-48E9-AAC0-FF68FC488C39}"/>
    <hyperlink ref="A1192" r:id="rId1109" display="https://9607261.app.netsuite.com/app/reporting/reportrunner.nl?fromreport=320&amp;regtx,tranline,kacct,x,alltranline5,IN,x,x=950&amp;cr=293" xr:uid="{629500F3-422E-406D-8702-4756226339CD}"/>
    <hyperlink ref="A1193" r:id="rId1110" display="https://9607261.app.netsuite.com/app/reporting/reportrunner.nl?fromreport=320&amp;regtx,tranline,kacct,x,alltranline5,IN,x,x=950&amp;cr=293" xr:uid="{3003E66C-520B-4873-A1EA-C1C9512F84B4}"/>
    <hyperlink ref="A1194" r:id="rId1111" display="https://9607261.app.netsuite.com/app/reporting/reportrunner.nl?fromreport=320&amp;regtx,tranline,kacct,x,alltranline5,IN,x,x=950&amp;cr=293" xr:uid="{6DA444BD-61B0-4586-A7AE-B769F5A090B6}"/>
    <hyperlink ref="A1195" r:id="rId1112" display="https://9607261.app.netsuite.com/app/reporting/reportrunner.nl?fromreport=320&amp;regtx,tranline,kacct,x,alltranline5,IN,x,x=950&amp;cr=293" xr:uid="{038C5E8B-4232-4003-A866-2C4A45D4B3EF}"/>
    <hyperlink ref="A1196" r:id="rId1113" display="https://9607261.app.netsuite.com/app/reporting/reportrunner.nl?fromreport=320&amp;regtx,tranline,kacct,x,alltranline5,IN,x,x=950&amp;cr=293" xr:uid="{C6EE8794-A29E-4586-8A20-8EC1CC84F49F}"/>
    <hyperlink ref="A1197" r:id="rId1114" display="https://9607261.app.netsuite.com/app/reporting/reportrunner.nl?fromreport=320&amp;regtx,tranline,kacct,x,alltranline5,IN,x,x=950&amp;cr=293" xr:uid="{C6BABA35-DD04-41EF-A715-4A7559698D00}"/>
    <hyperlink ref="A1198" r:id="rId1115" display="https://9607261.app.netsuite.com/app/reporting/reportrunner.nl?fromreport=320&amp;regtx,tranline,kacct,x,alltranline5,IN,x,x=950&amp;cr=293" xr:uid="{5B1EBB63-C29C-41D3-A901-CD8307A95528}"/>
    <hyperlink ref="A1199" r:id="rId1116" display="https://9607261.app.netsuite.com/app/reporting/reportrunner.nl?fromreport=320&amp;regtx,tranline,kacct,x,alltranline5,IN,x,x=950&amp;cr=293" xr:uid="{71BEFE19-E8A9-4225-8610-12A813D5610F}"/>
    <hyperlink ref="A1200" r:id="rId1117" display="https://9607261.app.netsuite.com/app/reporting/reportrunner.nl?fromreport=320&amp;regtx,tranline,kacct,x,alltranline5,IN,x,x=950&amp;cr=293" xr:uid="{254FFD1C-954A-4E70-A58B-01F536CE8086}"/>
    <hyperlink ref="A1201" r:id="rId1118" display="https://9607261.app.netsuite.com/app/reporting/reportrunner.nl?fromreport=320&amp;regtx,tranline,kacct,x,alltranline5,IN,x,x=950&amp;cr=293" xr:uid="{2F15F813-E6D4-4DDB-AA39-86EEAEF2A9EC}"/>
    <hyperlink ref="A1202" r:id="rId1119" display="https://9607261.app.netsuite.com/app/reporting/reportrunner.nl?fromreport=320&amp;regtx,tranline,kacct,x,alltranline5,IN,x,x=950&amp;cr=293" xr:uid="{C545DA6F-0612-4405-A176-354D24885A17}"/>
    <hyperlink ref="A1203" r:id="rId1120" display="https://9607261.app.netsuite.com/app/reporting/reportrunner.nl?fromreport=320&amp;regtx,tranline,kacct,x,alltranline5,IN,x,x=950&amp;cr=293" xr:uid="{D5572ECC-B897-4DD5-A0A9-DC649F457D94}"/>
    <hyperlink ref="A1204" r:id="rId1121" display="https://9607261.app.netsuite.com/app/reporting/reportrunner.nl?fromreport=320&amp;regtx,tranline,kacct,x,alltranline5,IN,x,x=950&amp;cr=293" xr:uid="{9ECF3570-7094-4ECE-83BD-980CF34ECDB6}"/>
    <hyperlink ref="A1205" r:id="rId1122" display="https://9607261.app.netsuite.com/app/reporting/reportrunner.nl?fromreport=320&amp;regtx,tranline,kacct,x,alltranline5,IN,x,x=950&amp;cr=293" xr:uid="{7F2FBED0-2C0C-4E9D-828F-538DC1D20C46}"/>
    <hyperlink ref="A1206" r:id="rId1123" display="https://9607261.app.netsuite.com/app/reporting/reportrunner.nl?fromreport=320&amp;regtx,tranline,kacct,x,alltranline5,IN,x,x=950&amp;cr=293" xr:uid="{5897040C-9613-4D1D-8E90-32E33B2F664D}"/>
    <hyperlink ref="A1207" r:id="rId1124" display="https://9607261.app.netsuite.com/app/reporting/reportrunner.nl?fromreport=320&amp;regtx,tranline,kacct,x,alltranline5,IN,x,x=950&amp;cr=293" xr:uid="{A50B458A-F0A2-4E5E-83F7-908DF23300AF}"/>
    <hyperlink ref="A1208" r:id="rId1125" display="https://9607261.app.netsuite.com/app/reporting/reportrunner.nl?fromreport=320&amp;regtx,tranline,kacct,x,alltranline5,IN,x,x=950&amp;cr=293" xr:uid="{A1044C40-43CB-4806-87D5-66A0A9D3BA14}"/>
    <hyperlink ref="A1209" r:id="rId1126" display="https://9607261.app.netsuite.com/app/reporting/reportrunner.nl?fromreport=320&amp;regtx,tranline,kacct,x,alltranline5,IN,x,x=950&amp;cr=293" xr:uid="{90CC5F65-1739-4E44-AFF5-E76FE7873992}"/>
    <hyperlink ref="A1210" r:id="rId1127" display="https://9607261.app.netsuite.com/app/reporting/reportrunner.nl?fromreport=320&amp;regtx,tranline,kacct,x,alltranline5,IN,x,x=950&amp;cr=293" xr:uid="{819D8434-2527-4384-A2F0-608240263F71}"/>
    <hyperlink ref="A1211" r:id="rId1128" display="https://9607261.app.netsuite.com/app/reporting/reportrunner.nl?fromreport=320&amp;regtx,tranline,kacct,x,alltranline5,IN,x,x=950&amp;cr=293" xr:uid="{0E3534AB-0883-4AAE-9284-D52D0CFEF426}"/>
    <hyperlink ref="A1212" r:id="rId1129" display="https://9607261.app.netsuite.com/app/reporting/reportrunner.nl?fromreport=320&amp;regtx,tranline,kacct,x,alltranline5,IN,x,x=950&amp;cr=293" xr:uid="{5651FB19-95D8-4411-90E2-64A169498B21}"/>
    <hyperlink ref="A1213" r:id="rId1130" display="https://9607261.app.netsuite.com/app/reporting/reportrunner.nl?fromreport=320&amp;regtx,tranline,kacct,x,alltranline5,IN,x,x=950&amp;cr=293" xr:uid="{216871CB-F836-41A2-A9D0-9A8A0FE124E9}"/>
    <hyperlink ref="A1214" r:id="rId1131" display="https://9607261.app.netsuite.com/app/reporting/reportrunner.nl?fromreport=320&amp;regtx,tranline,kacct,x,alltranline5,IN,x,x=950&amp;cr=293" xr:uid="{BFF073F3-7677-49F0-823D-C23940E68A27}"/>
    <hyperlink ref="A1215" r:id="rId1132" display="https://9607261.app.netsuite.com/app/reporting/reportrunner.nl?fromreport=320&amp;regtx,tranline,kacct,x,alltranline5,IN,x,x=950&amp;cr=293" xr:uid="{0C3F27B5-C115-47C1-8AAC-8276525A14BF}"/>
    <hyperlink ref="A1216" r:id="rId1133" display="https://9607261.app.netsuite.com/app/reporting/reportrunner.nl?fromreport=320&amp;regtx,tranline,kacct,x,alltranline5,IN,x,x=950&amp;cr=293" xr:uid="{A142267B-A3CF-4D6B-A03B-87E18FE387E3}"/>
    <hyperlink ref="A1217" r:id="rId1134" display="https://9607261.app.netsuite.com/app/reporting/reportrunner.nl?fromreport=320&amp;regtx,tranline,kacct,x,alltranline5,IN,x,x=950&amp;cr=293" xr:uid="{771063AA-CA85-43D8-8CAD-20B478E36C22}"/>
    <hyperlink ref="A1218" r:id="rId1135" display="https://9607261.app.netsuite.com/app/reporting/reportrunner.nl?fromreport=320&amp;regtx,tranline,kacct,x,alltranline5,IN,x,x=950&amp;cr=293" xr:uid="{05DF5475-0BFC-43D4-8533-030DCC6A7C9D}"/>
    <hyperlink ref="A1219" r:id="rId1136" display="https://9607261.app.netsuite.com/app/reporting/reportrunner.nl?fromreport=320&amp;regtx,tranline,kacct,x,alltranline5,IN,x,x=950&amp;cr=293" xr:uid="{91F8FC97-8EA1-446B-8F59-E4804D945D7A}"/>
    <hyperlink ref="A1220" r:id="rId1137" display="https://9607261.app.netsuite.com/app/reporting/reportrunner.nl?fromreport=320&amp;regtx,tranline,kacct,x,alltranline5,IN,x,x=950&amp;cr=293" xr:uid="{5418ACFD-8B5B-47B3-BC2F-AC60E2692940}"/>
    <hyperlink ref="A1221" r:id="rId1138" display="https://9607261.app.netsuite.com/app/reporting/reportrunner.nl?fromreport=320&amp;regtx,tranline,kacct,x,alltranline5,IN,x,x=950&amp;cr=293" xr:uid="{AFAC05B1-7794-4874-8C0B-3E7CE6914BC8}"/>
    <hyperlink ref="A1222" r:id="rId1139" display="https://9607261.app.netsuite.com/app/reporting/reportrunner.nl?fromreport=320&amp;regtx,tranline,kacct,x,alltranline5,IN,x,x=950&amp;cr=293" xr:uid="{A9C67D54-08A4-4DB3-95FB-1459A993EFEA}"/>
    <hyperlink ref="A1223" r:id="rId1140" display="https://9607261.app.netsuite.com/app/reporting/reportrunner.nl?fromreport=320&amp;regtx,tranline,kacct,x,alltranline5,IN,x,x=950&amp;cr=293" xr:uid="{F7D03741-66E2-4451-8CB0-FA5C2CCA453B}"/>
    <hyperlink ref="A1224" r:id="rId1141" display="https://9607261.app.netsuite.com/app/reporting/reportrunner.nl?fromreport=320&amp;regtx,tranline,kacct,x,alltranline5,IN,x,x=950&amp;cr=293" xr:uid="{0CE80DBE-86BF-47E9-8DEF-A5E1498145B7}"/>
    <hyperlink ref="A1225" r:id="rId1142" display="https://9607261.app.netsuite.com/app/reporting/reportrunner.nl?fromreport=320&amp;regtx,tranline,kacct,x,alltranline5,IN,x,x=950&amp;cr=293" xr:uid="{BFC4FEDD-2BC2-4165-84D9-165400776AFA}"/>
    <hyperlink ref="A1226" r:id="rId1143" display="https://9607261.app.netsuite.com/app/reporting/reportrunner.nl?fromreport=320&amp;regtx,tranline,kacct,x,alltranline5,IN,x,x=950&amp;cr=293" xr:uid="{93A308D6-5BBF-4EE9-994C-FB5B81495BAE}"/>
    <hyperlink ref="A1227" r:id="rId1144" display="https://9607261.app.netsuite.com/app/reporting/reportrunner.nl?fromreport=320&amp;regtx,tranline,kacct,x,alltranline5,IN,x,x=950&amp;cr=293" xr:uid="{8DBE0ED5-D702-4A71-836B-D6D84A37C1EE}"/>
    <hyperlink ref="A1228" r:id="rId1145" display="https://9607261.app.netsuite.com/app/reporting/reportrunner.nl?fromreport=320&amp;regtx,tranline,kacct,x,alltranline5,IN,x,x=950&amp;cr=293" xr:uid="{45763010-A639-4915-972E-8C970A5022A0}"/>
    <hyperlink ref="A1229" r:id="rId1146" display="https://9607261.app.netsuite.com/app/reporting/reportrunner.nl?fromreport=320&amp;regtx,tranline,kacct,x,alltranline5,IN,x,x=950&amp;cr=293" xr:uid="{1E42BA1F-16A4-48FC-8041-75DD5AF58C4D}"/>
    <hyperlink ref="A1230" r:id="rId1147" display="https://9607261.app.netsuite.com/app/reporting/reportrunner.nl?fromreport=320&amp;regtx,tranline,kacct,x,alltranline5,IN,x,x=950&amp;cr=293" xr:uid="{44E6BB1C-E272-4620-B26C-5AA2FB9217AB}"/>
    <hyperlink ref="A1231" r:id="rId1148" display="https://9607261.app.netsuite.com/app/reporting/reportrunner.nl?fromreport=320&amp;regtx,tranline,kacct,x,alltranline5,IN,x,x=950&amp;cr=293" xr:uid="{745DAFA7-19F0-461F-BD37-1F6347B848B0}"/>
    <hyperlink ref="A1232" r:id="rId1149" display="https://9607261.app.netsuite.com/app/reporting/reportrunner.nl?fromreport=320&amp;regtx,tranline,kacct,x,alltranline5,IN,x,x=950&amp;cr=293" xr:uid="{6863BB7D-6987-470C-943C-63C406A4115A}"/>
    <hyperlink ref="A1233" r:id="rId1150" display="https://9607261.app.netsuite.com/app/reporting/reportrunner.nl?fromreport=320&amp;regtx,tranline,kacct,x,alltranline5,IN,x,x=950&amp;cr=293" xr:uid="{2D5FDEDD-7B84-46BD-A00F-604678ECDDBA}"/>
    <hyperlink ref="A1234" r:id="rId1151" display="https://9607261.app.netsuite.com/app/reporting/reportrunner.nl?fromreport=320&amp;regtx,tranline,kacct,x,alltranline5,IN,x,x=950&amp;cr=293" xr:uid="{9CD5653F-53C6-4F98-9E50-CA21D8B3D4CD}"/>
    <hyperlink ref="A1235" r:id="rId1152" display="https://9607261.app.netsuite.com/app/reporting/reportrunner.nl?fromreport=320&amp;regtx,tranline,kacct,x,alltranline5,IN,x,x=950&amp;cr=293" xr:uid="{C01E8A17-D8E0-4A0F-B415-B4398D6EB2A7}"/>
    <hyperlink ref="A1236" r:id="rId1153" display="https://9607261.app.netsuite.com/app/reporting/reportrunner.nl?fromreport=320&amp;regtx,tranline,kacct,x,alltranline5,IN,x,x=950&amp;cr=293" xr:uid="{183EE39E-E1EC-4F71-9721-010F3183CF01}"/>
    <hyperlink ref="A1237" r:id="rId1154" display="https://9607261.app.netsuite.com/app/reporting/reportrunner.nl?fromreport=320&amp;regtx,tranline,kacct,x,alltranline5,IN,x,x=950&amp;cr=293" xr:uid="{4129F941-C3F5-4234-83F4-306B305021D5}"/>
    <hyperlink ref="A1238" r:id="rId1155" display="https://9607261.app.netsuite.com/app/reporting/reportrunner.nl?fromreport=320&amp;regtx,tranline,kacct,x,alltranline5,IN,x,x=950&amp;cr=293" xr:uid="{C90C2ECB-F721-413C-A34E-EF74A45482E3}"/>
    <hyperlink ref="A1239" r:id="rId1156" display="https://9607261.app.netsuite.com/app/reporting/reportrunner.nl?fromreport=320&amp;regtx,tranline,kacct,x,alltranline5,IN,x,x=950&amp;cr=293" xr:uid="{C3928CD6-4D16-4E07-BADB-ABA54ADAF030}"/>
    <hyperlink ref="A1240" r:id="rId1157" display="https://9607261.app.netsuite.com/app/reporting/reportrunner.nl?fromreport=320&amp;regtx,tranline,kacct,x,alltranline5,IN,x,x=950&amp;cr=293" xr:uid="{26EAB8B7-6307-489B-AABF-AB119DE84299}"/>
    <hyperlink ref="A1241" r:id="rId1158" display="https://9607261.app.netsuite.com/app/reporting/reportrunner.nl?fromreport=320&amp;regtx,tranline,kacct,x,alltranline5,IN,x,x=950&amp;cr=293" xr:uid="{937D8890-291C-4D84-9E20-BB8E374284DA}"/>
    <hyperlink ref="A1242" r:id="rId1159" display="https://9607261.app.netsuite.com/app/reporting/reportrunner.nl?fromreport=320&amp;regtx,tranline,kacct,x,alltranline5,IN,x,x=950&amp;cr=293" xr:uid="{E070CABE-A731-458D-9D2B-465782775D00}"/>
    <hyperlink ref="A1243" r:id="rId1160" display="https://9607261.app.netsuite.com/app/reporting/reportrunner.nl?fromreport=320&amp;regtx,tranline,kacct,x,alltranline5,IN,x,x=950&amp;cr=293" xr:uid="{3DA7F580-A03A-4850-A5F3-D97FECDE7BA6}"/>
    <hyperlink ref="A1244" r:id="rId1161" display="https://9607261.app.netsuite.com/app/reporting/reportrunner.nl?fromreport=320&amp;regtx,tranline,kacct,x,alltranline5,IN,x,x=950&amp;cr=293" xr:uid="{D0799708-F150-4A39-B7D8-8DA91D029A92}"/>
    <hyperlink ref="A1245" r:id="rId1162" display="https://9607261.app.netsuite.com/app/reporting/reportrunner.nl?fromreport=320&amp;regtx,tranline,kacct,x,alltranline5,IN,x,x=950&amp;cr=293" xr:uid="{A499E03A-35BE-432E-AE30-A92049AB75EA}"/>
    <hyperlink ref="A1246" r:id="rId1163" display="https://9607261.app.netsuite.com/app/reporting/reportrunner.nl?fromreport=320&amp;regtx,tranline,kacct,x,alltranline5,IN,x,x=950&amp;cr=293" xr:uid="{0F5B7475-E0D6-45FD-8804-624CFF0C3D39}"/>
    <hyperlink ref="A1247" r:id="rId1164" display="https://9607261.app.netsuite.com/app/reporting/reportrunner.nl?fromreport=320&amp;regtx,tranline,kacct,x,alltranline5,IN,x,x=950&amp;cr=293" xr:uid="{6F6929B2-4658-45C6-B562-99EA024C5D98}"/>
    <hyperlink ref="A1248" r:id="rId1165" display="https://9607261.app.netsuite.com/app/reporting/reportrunner.nl?fromreport=320&amp;regtx,tranline,kacct,x,alltranline5,IN,x,x=950&amp;cr=293" xr:uid="{E367844B-69A0-4210-9B97-A09DED86161B}"/>
    <hyperlink ref="A1249" r:id="rId1166" display="https://9607261.app.netsuite.com/app/reporting/reportrunner.nl?fromreport=320&amp;regtx,tranline,kacct,x,alltranline5,IN,x,x=950&amp;cr=293" xr:uid="{CED5603E-61B7-417F-858C-D2525473C7CC}"/>
    <hyperlink ref="A1250" r:id="rId1167" display="https://9607261.app.netsuite.com/app/reporting/reportrunner.nl?fromreport=320&amp;regtx,tranline,kacct,x,alltranline5,IN,x,x=950&amp;cr=293" xr:uid="{E1D795EC-6EAA-40F1-8AA3-D1376FC9323B}"/>
    <hyperlink ref="A1251" r:id="rId1168" display="https://9607261.app.netsuite.com/app/reporting/reportrunner.nl?fromreport=320&amp;regtx,tranline,kacct,x,alltranline5,IN,x,x=950&amp;cr=293" xr:uid="{2C5EC3EE-C3E9-4052-B35C-C9A087936A8A}"/>
    <hyperlink ref="A1252" r:id="rId1169" display="https://9607261.app.netsuite.com/app/reporting/reportrunner.nl?fromreport=320&amp;regtx,tranline,kacct,x,alltranline5,IN,x,x=950&amp;cr=293" xr:uid="{DFC491B9-1819-4D89-B5AE-A0F0A6BEFC83}"/>
    <hyperlink ref="A1253" r:id="rId1170" display="https://9607261.app.netsuite.com/app/reporting/reportrunner.nl?fromreport=320&amp;regtx,tranline,kacct,x,alltranline5,IN,x,x=950&amp;cr=293" xr:uid="{B1AD703A-696D-4D0E-804A-3157E35C971E}"/>
    <hyperlink ref="A1254" r:id="rId1171" display="https://9607261.app.netsuite.com/app/reporting/reportrunner.nl?fromreport=320&amp;regtx,tranline,kacct,x,alltranline5,IN,x,x=950&amp;cr=293" xr:uid="{CF061CB8-BB8B-47A7-AE2B-D11381DB9393}"/>
    <hyperlink ref="A1255" r:id="rId1172" display="https://9607261.app.netsuite.com/app/reporting/reportrunner.nl?fromreport=320&amp;regtx,tranline,kacct,x,alltranline5,IN,x,x=950&amp;cr=293" xr:uid="{0E483465-B01B-491E-A65C-CF2A0DF3546A}"/>
    <hyperlink ref="A1256" r:id="rId1173" display="https://9607261.app.netsuite.com/app/reporting/reportrunner.nl?fromreport=320&amp;regtx,tranline,kacct,x,alltranline5,IN,x,x=950&amp;cr=293" xr:uid="{4E9DCBDC-260B-480B-BB69-10F69EB7E38D}"/>
    <hyperlink ref="A1257" r:id="rId1174" display="https://9607261.app.netsuite.com/app/reporting/reportrunner.nl?fromreport=320&amp;regtx,tranline,kacct,x,alltranline5,IN,x,x=950&amp;cr=293" xr:uid="{C11CAFB4-3826-49E0-B1AF-F5635943C1F6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BFBF-946D-400F-884F-DA8C5A0FB706}">
  <dimension ref="A1:L857"/>
  <sheetViews>
    <sheetView topLeftCell="A48" zoomScale="98" workbookViewId="0">
      <selection activeCell="C74" sqref="C74"/>
    </sheetView>
  </sheetViews>
  <sheetFormatPr defaultRowHeight="14" x14ac:dyDescent="0.3"/>
  <cols>
    <col min="1" max="1" width="36.1640625" style="44" customWidth="1"/>
    <col min="2" max="2" width="27.9140625" style="44" customWidth="1"/>
    <col min="3" max="3" width="11.6640625" customWidth="1"/>
    <col min="4" max="5" width="29.83203125" customWidth="1"/>
    <col min="6" max="6" width="40.1640625" hidden="1" customWidth="1"/>
    <col min="7" max="7" width="16" customWidth="1"/>
    <col min="8" max="8" width="14" customWidth="1"/>
    <col min="9" max="9" width="9.9140625" bestFit="1" customWidth="1"/>
  </cols>
  <sheetData>
    <row r="1" spans="1:8" x14ac:dyDescent="0.3">
      <c r="G1" s="41"/>
      <c r="H1" s="41"/>
    </row>
    <row r="2" spans="1:8" ht="18.649999999999999" customHeight="1" x14ac:dyDescent="0.35">
      <c r="A2" s="20" t="s">
        <v>2635</v>
      </c>
      <c r="B2" s="20" t="s">
        <v>3580</v>
      </c>
      <c r="C2" s="39" t="s">
        <v>2545</v>
      </c>
      <c r="D2" s="39"/>
      <c r="E2" s="40" t="s">
        <v>949</v>
      </c>
      <c r="F2" s="40" t="s">
        <v>3803</v>
      </c>
      <c r="G2" t="s">
        <v>2635</v>
      </c>
      <c r="H2" s="20" t="s">
        <v>3580</v>
      </c>
    </row>
    <row r="3" spans="1:8" ht="14.5" x14ac:dyDescent="0.35">
      <c r="A3" s="20" t="s">
        <v>3582</v>
      </c>
      <c r="B3" s="20" t="s">
        <v>3581</v>
      </c>
    </row>
    <row r="4" spans="1:8" ht="14.5" x14ac:dyDescent="0.35">
      <c r="A4" s="45" t="s">
        <v>3588</v>
      </c>
      <c r="B4" s="46" t="s">
        <v>3589</v>
      </c>
      <c r="C4" s="36">
        <v>45839</v>
      </c>
      <c r="D4" s="36" t="s">
        <v>2547</v>
      </c>
      <c r="E4" s="37">
        <v>31647</v>
      </c>
      <c r="F4" s="37" t="s">
        <v>3804</v>
      </c>
      <c r="G4" s="38">
        <v>78.61</v>
      </c>
      <c r="H4" s="38">
        <v>0</v>
      </c>
    </row>
    <row r="5" spans="1:8" ht="14.5" x14ac:dyDescent="0.35">
      <c r="A5" s="45" t="s">
        <v>3588</v>
      </c>
      <c r="B5" s="46" t="s">
        <v>3589</v>
      </c>
      <c r="C5" s="36">
        <v>45839</v>
      </c>
      <c r="D5" s="36" t="s">
        <v>2197</v>
      </c>
      <c r="E5" s="37" t="s">
        <v>2548</v>
      </c>
      <c r="F5" s="37" t="s">
        <v>3804</v>
      </c>
      <c r="G5" s="38">
        <v>3554.96</v>
      </c>
      <c r="H5" s="38">
        <v>0</v>
      </c>
    </row>
    <row r="6" spans="1:8" ht="14.5" x14ac:dyDescent="0.35">
      <c r="A6" s="45" t="s">
        <v>3588</v>
      </c>
      <c r="B6" s="46" t="s">
        <v>3589</v>
      </c>
      <c r="C6" s="36">
        <v>45839</v>
      </c>
      <c r="D6" s="36" t="s">
        <v>2555</v>
      </c>
      <c r="E6" s="37">
        <v>33555</v>
      </c>
      <c r="F6" s="37" t="s">
        <v>3804</v>
      </c>
      <c r="G6" s="38">
        <v>10748.910000000002</v>
      </c>
      <c r="H6" s="38">
        <v>0</v>
      </c>
    </row>
    <row r="7" spans="1:8" ht="14.5" x14ac:dyDescent="0.35">
      <c r="A7" s="45" t="s">
        <v>3588</v>
      </c>
      <c r="B7" s="46" t="s">
        <v>3589</v>
      </c>
      <c r="C7" s="36">
        <v>45839</v>
      </c>
      <c r="D7" s="36" t="s">
        <v>2020</v>
      </c>
      <c r="E7" s="37" t="s">
        <v>2551</v>
      </c>
      <c r="F7" s="37" t="s">
        <v>3804</v>
      </c>
      <c r="G7" s="38">
        <v>893.18</v>
      </c>
      <c r="H7" s="38">
        <v>0</v>
      </c>
    </row>
    <row r="8" spans="1:8" ht="14.5" x14ac:dyDescent="0.35">
      <c r="A8" s="45" t="s">
        <v>3588</v>
      </c>
      <c r="B8" s="46" t="s">
        <v>3589</v>
      </c>
      <c r="C8" s="36">
        <v>45839</v>
      </c>
      <c r="D8" s="36" t="s">
        <v>2132</v>
      </c>
      <c r="E8" s="37" t="s">
        <v>2552</v>
      </c>
      <c r="F8" s="37" t="s">
        <v>3804</v>
      </c>
      <c r="G8" s="38">
        <v>848</v>
      </c>
      <c r="H8" s="38">
        <v>0</v>
      </c>
    </row>
    <row r="9" spans="1:8" ht="14.5" x14ac:dyDescent="0.35">
      <c r="A9" s="45" t="s">
        <v>3588</v>
      </c>
      <c r="B9" s="46" t="s">
        <v>3589</v>
      </c>
      <c r="C9" s="36">
        <v>45839</v>
      </c>
      <c r="D9" s="36" t="s">
        <v>2547</v>
      </c>
      <c r="E9" s="37">
        <v>33984</v>
      </c>
      <c r="F9" s="37" t="s">
        <v>3804</v>
      </c>
      <c r="G9" s="38">
        <v>345</v>
      </c>
      <c r="H9" s="38">
        <v>0</v>
      </c>
    </row>
    <row r="10" spans="1:8" ht="14.5" x14ac:dyDescent="0.35">
      <c r="A10" s="45" t="s">
        <v>3588</v>
      </c>
      <c r="B10" s="46" t="s">
        <v>3589</v>
      </c>
      <c r="C10" s="36">
        <v>45839</v>
      </c>
      <c r="D10" s="36" t="s">
        <v>2562</v>
      </c>
      <c r="E10" s="37">
        <v>34076</v>
      </c>
      <c r="F10" s="37" t="s">
        <v>3804</v>
      </c>
      <c r="G10" s="38">
        <v>6083.65</v>
      </c>
      <c r="H10" s="38">
        <v>0</v>
      </c>
    </row>
    <row r="11" spans="1:8" ht="14.5" x14ac:dyDescent="0.35">
      <c r="A11" s="45" t="s">
        <v>3588</v>
      </c>
      <c r="B11" s="46" t="s">
        <v>3589</v>
      </c>
      <c r="C11" s="36">
        <v>45839</v>
      </c>
      <c r="D11" s="36" t="s">
        <v>2197</v>
      </c>
      <c r="E11" s="37" t="s">
        <v>2553</v>
      </c>
      <c r="F11" s="37" t="s">
        <v>3804</v>
      </c>
      <c r="G11" s="38">
        <v>10311.030000000001</v>
      </c>
      <c r="H11" s="38">
        <v>0</v>
      </c>
    </row>
    <row r="12" spans="1:8" ht="14.5" x14ac:dyDescent="0.35">
      <c r="A12" s="45" t="s">
        <v>3588</v>
      </c>
      <c r="B12" s="46" t="s">
        <v>3589</v>
      </c>
      <c r="C12" s="36">
        <v>45839</v>
      </c>
      <c r="D12" s="36" t="s">
        <v>2033</v>
      </c>
      <c r="E12" s="37" t="s">
        <v>2554</v>
      </c>
      <c r="F12" s="37" t="s">
        <v>3804</v>
      </c>
      <c r="G12" s="38">
        <v>980.95</v>
      </c>
      <c r="H12" s="38">
        <v>0</v>
      </c>
    </row>
    <row r="13" spans="1:8" ht="14.5" x14ac:dyDescent="0.35">
      <c r="A13" s="45" t="s">
        <v>3588</v>
      </c>
      <c r="B13" s="46" t="s">
        <v>3589</v>
      </c>
      <c r="C13" s="36">
        <v>45839</v>
      </c>
      <c r="D13" s="36" t="s">
        <v>2575</v>
      </c>
      <c r="E13" s="37" t="s">
        <v>2556</v>
      </c>
      <c r="F13" s="37" t="s">
        <v>3804</v>
      </c>
      <c r="G13" s="38">
        <v>541.70000000000005</v>
      </c>
      <c r="H13" s="38">
        <v>0</v>
      </c>
    </row>
    <row r="14" spans="1:8" ht="14.5" x14ac:dyDescent="0.35">
      <c r="A14" s="45" t="s">
        <v>3588</v>
      </c>
      <c r="B14" s="46" t="s">
        <v>3589</v>
      </c>
      <c r="C14" s="36">
        <v>45839</v>
      </c>
      <c r="D14" s="36" t="s">
        <v>2079</v>
      </c>
      <c r="E14" s="37">
        <v>34967</v>
      </c>
      <c r="F14" s="37" t="s">
        <v>3804</v>
      </c>
      <c r="G14" s="38">
        <v>3300.55</v>
      </c>
      <c r="H14" s="38">
        <v>0</v>
      </c>
    </row>
    <row r="15" spans="1:8" ht="14.5" x14ac:dyDescent="0.35">
      <c r="A15" s="45" t="s">
        <v>3588</v>
      </c>
      <c r="B15" s="46" t="s">
        <v>3589</v>
      </c>
      <c r="C15" s="36">
        <v>45839</v>
      </c>
      <c r="D15" s="36" t="s">
        <v>1549</v>
      </c>
      <c r="E15" s="37">
        <v>35518</v>
      </c>
      <c r="F15" s="37" t="s">
        <v>3804</v>
      </c>
      <c r="G15" s="38">
        <v>28372.899999999994</v>
      </c>
      <c r="H15" s="38">
        <v>0</v>
      </c>
    </row>
    <row r="16" spans="1:8" ht="14.5" x14ac:dyDescent="0.35">
      <c r="A16" s="45" t="s">
        <v>3588</v>
      </c>
      <c r="B16" s="46" t="s">
        <v>3589</v>
      </c>
      <c r="C16" s="36">
        <v>45839</v>
      </c>
      <c r="D16" s="36" t="s">
        <v>301</v>
      </c>
      <c r="E16" s="37">
        <v>36158</v>
      </c>
      <c r="F16" s="37" t="s">
        <v>3804</v>
      </c>
      <c r="G16" s="38">
        <v>1277.06</v>
      </c>
      <c r="H16" s="38">
        <v>0</v>
      </c>
    </row>
    <row r="17" spans="1:8" ht="14.5" x14ac:dyDescent="0.35">
      <c r="A17" s="45" t="s">
        <v>3588</v>
      </c>
      <c r="B17" s="46" t="s">
        <v>3589</v>
      </c>
      <c r="C17" s="36">
        <v>45839</v>
      </c>
      <c r="D17" s="36" t="s">
        <v>301</v>
      </c>
      <c r="E17" s="37" t="s">
        <v>2557</v>
      </c>
      <c r="F17" s="37" t="s">
        <v>3804</v>
      </c>
      <c r="G17" s="38">
        <v>2609.6299999999997</v>
      </c>
      <c r="H17" s="38">
        <v>0</v>
      </c>
    </row>
    <row r="18" spans="1:8" ht="14.5" x14ac:dyDescent="0.35">
      <c r="A18" s="45" t="s">
        <v>3588</v>
      </c>
      <c r="B18" s="46" t="s">
        <v>3589</v>
      </c>
      <c r="C18" s="36">
        <v>45839</v>
      </c>
      <c r="D18" s="36" t="s">
        <v>1334</v>
      </c>
      <c r="E18" s="37">
        <v>36221</v>
      </c>
      <c r="F18" s="37" t="s">
        <v>3804</v>
      </c>
      <c r="G18" s="38">
        <v>386.87</v>
      </c>
      <c r="H18" s="38">
        <v>0</v>
      </c>
    </row>
    <row r="19" spans="1:8" ht="14.5" x14ac:dyDescent="0.35">
      <c r="A19" s="45" t="s">
        <v>3588</v>
      </c>
      <c r="B19" s="46" t="s">
        <v>3589</v>
      </c>
      <c r="C19" s="36">
        <v>45839</v>
      </c>
      <c r="D19" s="36" t="s">
        <v>2603</v>
      </c>
      <c r="E19" s="37">
        <v>37217</v>
      </c>
      <c r="F19" s="37" t="s">
        <v>3804</v>
      </c>
      <c r="G19" s="38">
        <v>127</v>
      </c>
      <c r="H19" s="38">
        <v>0</v>
      </c>
    </row>
    <row r="20" spans="1:8" ht="14.5" x14ac:dyDescent="0.35">
      <c r="A20" s="45" t="s">
        <v>3588</v>
      </c>
      <c r="B20" s="46" t="s">
        <v>3589</v>
      </c>
      <c r="C20" s="36">
        <v>45839</v>
      </c>
      <c r="D20" s="36" t="s">
        <v>1475</v>
      </c>
      <c r="E20" s="37" t="s">
        <v>2558</v>
      </c>
      <c r="F20" s="37" t="s">
        <v>3804</v>
      </c>
      <c r="G20" s="38">
        <v>23478.329999999998</v>
      </c>
      <c r="H20" s="38">
        <v>0</v>
      </c>
    </row>
    <row r="21" spans="1:8" ht="14.5" x14ac:dyDescent="0.35">
      <c r="A21" s="45" t="s">
        <v>3588</v>
      </c>
      <c r="B21" s="46" t="s">
        <v>3589</v>
      </c>
      <c r="C21" s="36">
        <v>45839</v>
      </c>
      <c r="D21" s="36" t="s">
        <v>1426</v>
      </c>
      <c r="E21" s="37" t="s">
        <v>2559</v>
      </c>
      <c r="F21" s="37" t="s">
        <v>3804</v>
      </c>
      <c r="G21" s="38">
        <v>8127.5499999999993</v>
      </c>
      <c r="H21" s="38">
        <v>0</v>
      </c>
    </row>
    <row r="22" spans="1:8" ht="14.5" x14ac:dyDescent="0.35">
      <c r="A22" s="45" t="s">
        <v>3588</v>
      </c>
      <c r="B22" s="46" t="s">
        <v>3589</v>
      </c>
      <c r="C22" s="36">
        <v>45839</v>
      </c>
      <c r="D22" s="36" t="s">
        <v>2220</v>
      </c>
      <c r="E22" s="37" t="s">
        <v>2560</v>
      </c>
      <c r="F22" s="37" t="s">
        <v>3804</v>
      </c>
      <c r="G22" s="38">
        <v>12463.65</v>
      </c>
      <c r="H22" s="38">
        <v>0</v>
      </c>
    </row>
    <row r="23" spans="1:8" ht="14.5" x14ac:dyDescent="0.35">
      <c r="A23" s="45" t="s">
        <v>3588</v>
      </c>
      <c r="B23" s="46" t="s">
        <v>3589</v>
      </c>
      <c r="C23" s="36">
        <v>45839</v>
      </c>
      <c r="D23" s="36" t="s">
        <v>2276</v>
      </c>
      <c r="E23" s="37">
        <v>38130</v>
      </c>
      <c r="F23" s="37" t="s">
        <v>3804</v>
      </c>
      <c r="G23" s="38">
        <v>787.36</v>
      </c>
      <c r="H23" s="38">
        <v>0</v>
      </c>
    </row>
    <row r="24" spans="1:8" ht="14.5" x14ac:dyDescent="0.35">
      <c r="A24" s="45" t="s">
        <v>3588</v>
      </c>
      <c r="B24" s="46" t="s">
        <v>3589</v>
      </c>
      <c r="C24" s="36">
        <v>45845</v>
      </c>
      <c r="D24" s="36" t="s">
        <v>1475</v>
      </c>
      <c r="E24" s="37" t="s">
        <v>2561</v>
      </c>
      <c r="F24" s="37" t="s">
        <v>3804</v>
      </c>
      <c r="G24" s="38">
        <v>5111.26</v>
      </c>
      <c r="H24" s="38">
        <v>0</v>
      </c>
    </row>
    <row r="25" spans="1:8" ht="14.5" x14ac:dyDescent="0.35">
      <c r="A25" s="45" t="s">
        <v>3588</v>
      </c>
      <c r="B25" s="46" t="s">
        <v>3589</v>
      </c>
      <c r="C25" s="36">
        <v>45845</v>
      </c>
      <c r="D25" s="36" t="s">
        <v>1475</v>
      </c>
      <c r="E25" s="37">
        <v>35807</v>
      </c>
      <c r="F25" s="37" t="s">
        <v>3804</v>
      </c>
      <c r="G25" s="38">
        <v>1418.87</v>
      </c>
      <c r="H25" s="38">
        <v>0</v>
      </c>
    </row>
    <row r="26" spans="1:8" ht="14.5" x14ac:dyDescent="0.35">
      <c r="A26" s="45" t="s">
        <v>3588</v>
      </c>
      <c r="B26" s="46" t="s">
        <v>3589</v>
      </c>
      <c r="C26" s="36">
        <v>45845</v>
      </c>
      <c r="D26" s="36" t="s">
        <v>1475</v>
      </c>
      <c r="E26" s="37">
        <v>35808</v>
      </c>
      <c r="F26" s="37" t="s">
        <v>3804</v>
      </c>
      <c r="G26" s="38">
        <v>7421.0100000000011</v>
      </c>
      <c r="H26" s="38">
        <v>0</v>
      </c>
    </row>
    <row r="27" spans="1:8" ht="14.5" x14ac:dyDescent="0.35">
      <c r="A27" s="45" t="s">
        <v>3588</v>
      </c>
      <c r="B27" s="46" t="s">
        <v>3589</v>
      </c>
      <c r="C27" s="36">
        <v>45845</v>
      </c>
      <c r="D27" s="36" t="s">
        <v>1475</v>
      </c>
      <c r="E27" s="37">
        <v>35812</v>
      </c>
      <c r="F27" s="37" t="s">
        <v>3804</v>
      </c>
      <c r="G27" s="38">
        <v>27258.190000000002</v>
      </c>
      <c r="H27" s="38">
        <v>0</v>
      </c>
    </row>
    <row r="28" spans="1:8" ht="14.5" x14ac:dyDescent="0.35">
      <c r="A28" s="45" t="s">
        <v>3588</v>
      </c>
      <c r="B28" s="46" t="s">
        <v>3589</v>
      </c>
      <c r="C28" s="36">
        <v>45845</v>
      </c>
      <c r="D28" s="36" t="s">
        <v>1475</v>
      </c>
      <c r="E28" s="37" t="s">
        <v>2563</v>
      </c>
      <c r="F28" s="37" t="s">
        <v>3804</v>
      </c>
      <c r="G28" s="38">
        <v>358.55</v>
      </c>
      <c r="H28" s="38">
        <v>0</v>
      </c>
    </row>
    <row r="29" spans="1:8" ht="14.5" x14ac:dyDescent="0.35">
      <c r="A29" s="45" t="s">
        <v>3588</v>
      </c>
      <c r="B29" s="46" t="s">
        <v>3589</v>
      </c>
      <c r="C29" s="36">
        <v>45845</v>
      </c>
      <c r="D29" s="36" t="s">
        <v>1582</v>
      </c>
      <c r="E29" s="37" t="s">
        <v>2564</v>
      </c>
      <c r="F29" s="37" t="s">
        <v>3804</v>
      </c>
      <c r="G29" s="38">
        <v>6139.05</v>
      </c>
      <c r="H29" s="38">
        <v>0</v>
      </c>
    </row>
    <row r="30" spans="1:8" ht="14.5" x14ac:dyDescent="0.35">
      <c r="A30" s="45" t="s">
        <v>3588</v>
      </c>
      <c r="B30" s="46" t="s">
        <v>3589</v>
      </c>
      <c r="C30" s="36">
        <v>45845</v>
      </c>
      <c r="D30" s="36" t="s">
        <v>1269</v>
      </c>
      <c r="E30" s="37" t="s">
        <v>2565</v>
      </c>
      <c r="F30" s="37" t="s">
        <v>3804</v>
      </c>
      <c r="G30" s="38">
        <v>207.44</v>
      </c>
      <c r="H30" s="38">
        <v>0</v>
      </c>
    </row>
    <row r="31" spans="1:8" ht="14.5" x14ac:dyDescent="0.35">
      <c r="A31" s="45" t="s">
        <v>3588</v>
      </c>
      <c r="B31" s="46" t="s">
        <v>3589</v>
      </c>
      <c r="C31" s="36">
        <v>45845</v>
      </c>
      <c r="D31" s="36" t="s">
        <v>1269</v>
      </c>
      <c r="E31" s="37" t="s">
        <v>2566</v>
      </c>
      <c r="F31" s="37" t="s">
        <v>3804</v>
      </c>
      <c r="G31" s="38">
        <v>570.62</v>
      </c>
      <c r="H31" s="38">
        <v>0</v>
      </c>
    </row>
    <row r="32" spans="1:8" ht="14.5" x14ac:dyDescent="0.35">
      <c r="A32" s="45" t="s">
        <v>3588</v>
      </c>
      <c r="B32" s="46" t="s">
        <v>3589</v>
      </c>
      <c r="C32" s="36">
        <v>45845</v>
      </c>
      <c r="D32" s="36" t="s">
        <v>1269</v>
      </c>
      <c r="E32" s="37" t="s">
        <v>2567</v>
      </c>
      <c r="F32" s="37" t="s">
        <v>3804</v>
      </c>
      <c r="G32" s="38">
        <v>518.72</v>
      </c>
      <c r="H32" s="38">
        <v>0</v>
      </c>
    </row>
    <row r="33" spans="1:8" ht="14.5" x14ac:dyDescent="0.35">
      <c r="A33" s="45" t="s">
        <v>3588</v>
      </c>
      <c r="B33" s="46" t="s">
        <v>3589</v>
      </c>
      <c r="C33" s="36">
        <v>45845</v>
      </c>
      <c r="D33" s="36" t="s">
        <v>1269</v>
      </c>
      <c r="E33" s="37" t="s">
        <v>2568</v>
      </c>
      <c r="F33" s="37" t="s">
        <v>3804</v>
      </c>
      <c r="G33" s="38">
        <v>3038.6899999999996</v>
      </c>
      <c r="H33" s="38">
        <v>0</v>
      </c>
    </row>
    <row r="34" spans="1:8" ht="14.5" x14ac:dyDescent="0.35">
      <c r="A34" s="45" t="s">
        <v>3588</v>
      </c>
      <c r="B34" s="46" t="s">
        <v>3589</v>
      </c>
      <c r="C34" s="36">
        <v>45845</v>
      </c>
      <c r="D34" s="36" t="s">
        <v>1269</v>
      </c>
      <c r="E34" s="37">
        <v>38738</v>
      </c>
      <c r="F34" s="37" t="s">
        <v>3804</v>
      </c>
      <c r="G34" s="38">
        <v>527.46</v>
      </c>
      <c r="H34" s="38">
        <v>0</v>
      </c>
    </row>
    <row r="35" spans="1:8" ht="14.5" x14ac:dyDescent="0.35">
      <c r="A35" s="45" t="s">
        <v>3588</v>
      </c>
      <c r="B35" s="46" t="s">
        <v>3589</v>
      </c>
      <c r="C35" s="36">
        <v>45846</v>
      </c>
      <c r="D35" s="36" t="s">
        <v>2626</v>
      </c>
      <c r="E35" s="37">
        <v>38187</v>
      </c>
      <c r="F35" s="37" t="s">
        <v>3804</v>
      </c>
      <c r="G35" s="38">
        <v>17439.66</v>
      </c>
      <c r="H35" s="38">
        <v>0</v>
      </c>
    </row>
    <row r="36" spans="1:8" ht="14.5" x14ac:dyDescent="0.35">
      <c r="A36" s="45" t="s">
        <v>3588</v>
      </c>
      <c r="B36" s="46" t="s">
        <v>3589</v>
      </c>
      <c r="C36" s="36">
        <v>45846</v>
      </c>
      <c r="D36" s="36" t="s">
        <v>2626</v>
      </c>
      <c r="E36" s="37">
        <v>38196</v>
      </c>
      <c r="F36" s="37" t="s">
        <v>3804</v>
      </c>
      <c r="G36" s="38">
        <v>22343.02</v>
      </c>
      <c r="H36" s="38">
        <v>0</v>
      </c>
    </row>
    <row r="37" spans="1:8" ht="14.5" x14ac:dyDescent="0.35">
      <c r="A37" s="45" t="s">
        <v>3588</v>
      </c>
      <c r="B37" s="46" t="s">
        <v>3589</v>
      </c>
      <c r="C37" s="36">
        <v>45846</v>
      </c>
      <c r="D37" s="36" t="s">
        <v>1269</v>
      </c>
      <c r="E37" s="37" t="s">
        <v>2569</v>
      </c>
      <c r="F37" s="37" t="s">
        <v>3804</v>
      </c>
      <c r="G37" s="38">
        <v>6013.2900000000009</v>
      </c>
      <c r="H37" s="38">
        <v>0</v>
      </c>
    </row>
    <row r="38" spans="1:8" ht="14.5" x14ac:dyDescent="0.35">
      <c r="A38" s="45" t="s">
        <v>3588</v>
      </c>
      <c r="B38" s="46" t="s">
        <v>3589</v>
      </c>
      <c r="C38" s="36">
        <v>45846</v>
      </c>
      <c r="D38" s="36" t="s">
        <v>1269</v>
      </c>
      <c r="E38" s="37">
        <v>38396</v>
      </c>
      <c r="F38" s="37" t="s">
        <v>3804</v>
      </c>
      <c r="G38" s="38">
        <v>436.38</v>
      </c>
      <c r="H38" s="38">
        <v>0</v>
      </c>
    </row>
    <row r="39" spans="1:8" ht="14.5" x14ac:dyDescent="0.35">
      <c r="A39" s="45" t="s">
        <v>3588</v>
      </c>
      <c r="B39" s="46" t="s">
        <v>3589</v>
      </c>
      <c r="C39" s="36">
        <v>45846</v>
      </c>
      <c r="D39" s="36" t="s">
        <v>1582</v>
      </c>
      <c r="E39" s="37">
        <v>38637</v>
      </c>
      <c r="F39" s="37" t="s">
        <v>3804</v>
      </c>
      <c r="G39" s="38">
        <v>18175.810000000001</v>
      </c>
      <c r="H39" s="38">
        <v>0</v>
      </c>
    </row>
    <row r="40" spans="1:8" ht="14.5" x14ac:dyDescent="0.35">
      <c r="A40" s="45" t="s">
        <v>3588</v>
      </c>
      <c r="B40" s="46" t="s">
        <v>3589</v>
      </c>
      <c r="C40" s="36">
        <v>45847</v>
      </c>
      <c r="D40" s="36" t="s">
        <v>1475</v>
      </c>
      <c r="E40" s="37" t="s">
        <v>2570</v>
      </c>
      <c r="F40" s="37" t="s">
        <v>3804</v>
      </c>
      <c r="G40" s="38">
        <v>44426.079999999994</v>
      </c>
      <c r="H40" s="38">
        <v>0</v>
      </c>
    </row>
    <row r="41" spans="1:8" ht="14.5" x14ac:dyDescent="0.35">
      <c r="A41" s="45" t="s">
        <v>3588</v>
      </c>
      <c r="B41" s="46" t="s">
        <v>3589</v>
      </c>
      <c r="C41" s="36">
        <v>45847</v>
      </c>
      <c r="D41" s="36" t="s">
        <v>1475</v>
      </c>
      <c r="E41" s="37" t="s">
        <v>2571</v>
      </c>
      <c r="F41" s="37" t="s">
        <v>3804</v>
      </c>
      <c r="G41" s="38">
        <v>43182.939999999995</v>
      </c>
      <c r="H41" s="38">
        <v>0</v>
      </c>
    </row>
    <row r="42" spans="1:8" ht="14.5" x14ac:dyDescent="0.35">
      <c r="A42" s="45" t="s">
        <v>3588</v>
      </c>
      <c r="B42" s="46" t="s">
        <v>3589</v>
      </c>
      <c r="C42" s="36">
        <v>45847</v>
      </c>
      <c r="D42" s="36" t="s">
        <v>1263</v>
      </c>
      <c r="E42" s="37" t="s">
        <v>2572</v>
      </c>
      <c r="F42" s="37" t="s">
        <v>3804</v>
      </c>
      <c r="G42" s="38">
        <v>183269.71000000002</v>
      </c>
      <c r="H42" s="38">
        <v>0</v>
      </c>
    </row>
    <row r="43" spans="1:8" ht="14.5" x14ac:dyDescent="0.35">
      <c r="A43" s="45" t="s">
        <v>3588</v>
      </c>
      <c r="B43" s="46" t="s">
        <v>3589</v>
      </c>
      <c r="C43" s="36">
        <v>45847</v>
      </c>
      <c r="D43" s="36" t="s">
        <v>1263</v>
      </c>
      <c r="E43" s="37" t="s">
        <v>2573</v>
      </c>
      <c r="F43" s="37" t="s">
        <v>3804</v>
      </c>
      <c r="G43" s="38">
        <v>783.96</v>
      </c>
      <c r="H43" s="38">
        <v>0</v>
      </c>
    </row>
    <row r="44" spans="1:8" ht="14.5" x14ac:dyDescent="0.35">
      <c r="A44" s="45" t="s">
        <v>3588</v>
      </c>
      <c r="B44" s="46" t="s">
        <v>3589</v>
      </c>
      <c r="C44" s="36">
        <v>45848</v>
      </c>
      <c r="D44" s="36" t="s">
        <v>2627</v>
      </c>
      <c r="E44" s="37" t="s">
        <v>2574</v>
      </c>
      <c r="F44" s="37" t="s">
        <v>3804</v>
      </c>
      <c r="G44" s="38">
        <v>2004.76</v>
      </c>
      <c r="H44" s="38">
        <v>0</v>
      </c>
    </row>
    <row r="45" spans="1:8" ht="14.5" x14ac:dyDescent="0.35">
      <c r="A45" s="45" t="s">
        <v>3588</v>
      </c>
      <c r="B45" s="46" t="s">
        <v>3589</v>
      </c>
      <c r="C45" s="36">
        <v>45849</v>
      </c>
      <c r="D45" s="36" t="s">
        <v>1757</v>
      </c>
      <c r="E45" s="37" t="s">
        <v>2576</v>
      </c>
      <c r="F45" s="37" t="s">
        <v>3804</v>
      </c>
      <c r="G45" s="38">
        <v>0</v>
      </c>
      <c r="H45" s="38">
        <v>0</v>
      </c>
    </row>
    <row r="46" spans="1:8" ht="14.5" x14ac:dyDescent="0.35">
      <c r="A46" s="45" t="s">
        <v>3588</v>
      </c>
      <c r="B46" s="46" t="s">
        <v>3589</v>
      </c>
      <c r="C46" s="36">
        <v>45849</v>
      </c>
      <c r="D46" s="36" t="s">
        <v>1004</v>
      </c>
      <c r="E46" s="37" t="s">
        <v>2577</v>
      </c>
      <c r="F46" s="37" t="s">
        <v>3804</v>
      </c>
      <c r="G46" s="38">
        <v>6123.55</v>
      </c>
      <c r="H46" s="38">
        <v>0</v>
      </c>
    </row>
    <row r="47" spans="1:8" ht="14.5" x14ac:dyDescent="0.35">
      <c r="A47" s="45" t="s">
        <v>3588</v>
      </c>
      <c r="B47" s="46" t="s">
        <v>3589</v>
      </c>
      <c r="C47" s="36">
        <v>45849</v>
      </c>
      <c r="D47" s="36" t="s">
        <v>1379</v>
      </c>
      <c r="E47" s="37" t="s">
        <v>2578</v>
      </c>
      <c r="F47" s="37" t="s">
        <v>3804</v>
      </c>
      <c r="G47" s="38">
        <v>41969.68</v>
      </c>
      <c r="H47" s="38">
        <v>0</v>
      </c>
    </row>
    <row r="48" spans="1:8" ht="14.5" x14ac:dyDescent="0.35">
      <c r="A48" s="45" t="s">
        <v>3588</v>
      </c>
      <c r="B48" s="46" t="s">
        <v>3589</v>
      </c>
      <c r="C48" s="36">
        <v>45849</v>
      </c>
      <c r="D48" s="36" t="s">
        <v>2266</v>
      </c>
      <c r="E48" s="37" t="s">
        <v>2579</v>
      </c>
      <c r="F48" s="37" t="s">
        <v>3804</v>
      </c>
      <c r="G48" s="38">
        <v>2002.92</v>
      </c>
      <c r="H48" s="38">
        <v>0</v>
      </c>
    </row>
    <row r="49" spans="1:8" ht="14.5" x14ac:dyDescent="0.35">
      <c r="A49" s="45" t="s">
        <v>3588</v>
      </c>
      <c r="B49" s="46" t="s">
        <v>3589</v>
      </c>
      <c r="C49" s="36">
        <v>45849</v>
      </c>
      <c r="D49" s="36" t="s">
        <v>2266</v>
      </c>
      <c r="E49" s="37" t="s">
        <v>2580</v>
      </c>
      <c r="F49" s="37" t="s">
        <v>3804</v>
      </c>
      <c r="G49" s="38">
        <v>3301.16</v>
      </c>
      <c r="H49" s="38">
        <v>0</v>
      </c>
    </row>
    <row r="50" spans="1:8" ht="14.5" x14ac:dyDescent="0.35">
      <c r="A50" s="45" t="s">
        <v>3588</v>
      </c>
      <c r="B50" s="46" t="s">
        <v>3589</v>
      </c>
      <c r="C50" s="36">
        <v>45849</v>
      </c>
      <c r="D50" s="36" t="s">
        <v>2266</v>
      </c>
      <c r="E50" s="37" t="s">
        <v>2581</v>
      </c>
      <c r="F50" s="37" t="s">
        <v>3804</v>
      </c>
      <c r="G50" s="38">
        <v>1429.8</v>
      </c>
      <c r="H50" s="38">
        <v>0</v>
      </c>
    </row>
    <row r="51" spans="1:8" ht="14.5" x14ac:dyDescent="0.35">
      <c r="A51" s="45" t="s">
        <v>3588</v>
      </c>
      <c r="B51" s="46" t="s">
        <v>3589</v>
      </c>
      <c r="C51" s="36">
        <v>45849</v>
      </c>
      <c r="D51" s="36" t="s">
        <v>1379</v>
      </c>
      <c r="E51" s="37" t="s">
        <v>2582</v>
      </c>
      <c r="F51" s="37" t="s">
        <v>3804</v>
      </c>
      <c r="G51" s="38">
        <v>2299</v>
      </c>
      <c r="H51" s="38">
        <v>0</v>
      </c>
    </row>
    <row r="52" spans="1:8" ht="14.5" x14ac:dyDescent="0.35">
      <c r="A52" s="45" t="s">
        <v>3588</v>
      </c>
      <c r="B52" s="46" t="s">
        <v>3589</v>
      </c>
      <c r="C52" s="36">
        <v>45852</v>
      </c>
      <c r="D52" s="36" t="s">
        <v>2291</v>
      </c>
      <c r="E52" s="37" t="s">
        <v>2583</v>
      </c>
      <c r="F52" s="37" t="s">
        <v>3804</v>
      </c>
      <c r="G52" s="38">
        <v>4467.28</v>
      </c>
      <c r="H52" s="38">
        <v>0</v>
      </c>
    </row>
    <row r="53" spans="1:8" ht="14.5" x14ac:dyDescent="0.35">
      <c r="A53" s="45" t="s">
        <v>3588</v>
      </c>
      <c r="B53" s="46" t="s">
        <v>3589</v>
      </c>
      <c r="C53" s="36">
        <v>45852</v>
      </c>
      <c r="D53" s="36" t="s">
        <v>2291</v>
      </c>
      <c r="E53" s="37" t="s">
        <v>2584</v>
      </c>
      <c r="F53" s="37" t="s">
        <v>3804</v>
      </c>
      <c r="G53" s="38">
        <v>14000.89</v>
      </c>
      <c r="H53" s="38">
        <v>0</v>
      </c>
    </row>
    <row r="54" spans="1:8" ht="14.5" x14ac:dyDescent="0.35">
      <c r="A54" s="45" t="s">
        <v>3588</v>
      </c>
      <c r="B54" s="46" t="s">
        <v>3589</v>
      </c>
      <c r="C54" s="36">
        <v>45852</v>
      </c>
      <c r="D54" s="36" t="s">
        <v>2291</v>
      </c>
      <c r="E54" s="37" t="s">
        <v>2585</v>
      </c>
      <c r="F54" s="37" t="s">
        <v>3804</v>
      </c>
      <c r="G54" s="38">
        <v>419.36</v>
      </c>
      <c r="H54" s="38">
        <v>0</v>
      </c>
    </row>
    <row r="55" spans="1:8" ht="14.5" x14ac:dyDescent="0.35">
      <c r="A55" s="45" t="s">
        <v>3588</v>
      </c>
      <c r="B55" s="46" t="s">
        <v>3589</v>
      </c>
      <c r="C55" s="36">
        <v>45852</v>
      </c>
      <c r="D55" s="36" t="s">
        <v>2291</v>
      </c>
      <c r="E55" s="37" t="s">
        <v>2586</v>
      </c>
      <c r="F55" s="37" t="s">
        <v>3804</v>
      </c>
      <c r="G55" s="38">
        <v>6129.97</v>
      </c>
      <c r="H55" s="38">
        <v>0</v>
      </c>
    </row>
    <row r="56" spans="1:8" ht="14.5" x14ac:dyDescent="0.35">
      <c r="A56" s="45" t="s">
        <v>3588</v>
      </c>
      <c r="B56" s="46" t="s">
        <v>3589</v>
      </c>
      <c r="C56" s="36">
        <v>45852</v>
      </c>
      <c r="D56" s="36" t="s">
        <v>2291</v>
      </c>
      <c r="E56" s="37" t="s">
        <v>2587</v>
      </c>
      <c r="F56" s="37" t="s">
        <v>3804</v>
      </c>
      <c r="G56" s="38">
        <v>449.79999999999995</v>
      </c>
      <c r="H56" s="38">
        <v>0</v>
      </c>
    </row>
    <row r="57" spans="1:8" ht="14.5" x14ac:dyDescent="0.35">
      <c r="A57" s="45" t="s">
        <v>3588</v>
      </c>
      <c r="B57" s="46" t="s">
        <v>3589</v>
      </c>
      <c r="C57" s="36">
        <v>45852</v>
      </c>
      <c r="D57" s="36" t="s">
        <v>1269</v>
      </c>
      <c r="E57" s="37" t="s">
        <v>2588</v>
      </c>
      <c r="F57" s="37" t="s">
        <v>3804</v>
      </c>
      <c r="G57" s="38">
        <v>187888.10000000003</v>
      </c>
      <c r="H57" s="38">
        <v>0</v>
      </c>
    </row>
    <row r="58" spans="1:8" ht="14.5" x14ac:dyDescent="0.35">
      <c r="A58" s="45" t="s">
        <v>3588</v>
      </c>
      <c r="B58" s="46" t="s">
        <v>3589</v>
      </c>
      <c r="C58" s="36">
        <v>45854</v>
      </c>
      <c r="D58" s="36" t="s">
        <v>1269</v>
      </c>
      <c r="E58" s="37" t="s">
        <v>2589</v>
      </c>
      <c r="F58" s="37" t="s">
        <v>3804</v>
      </c>
      <c r="G58" s="38">
        <v>29426.300000000003</v>
      </c>
      <c r="H58" s="38">
        <v>0</v>
      </c>
    </row>
    <row r="59" spans="1:8" ht="14.5" x14ac:dyDescent="0.35">
      <c r="A59" s="45" t="s">
        <v>3588</v>
      </c>
      <c r="B59" s="46" t="s">
        <v>3589</v>
      </c>
      <c r="C59" s="36">
        <v>45854</v>
      </c>
      <c r="D59" s="36" t="s">
        <v>1269</v>
      </c>
      <c r="E59" s="37" t="s">
        <v>2590</v>
      </c>
      <c r="F59" s="37" t="s">
        <v>3804</v>
      </c>
      <c r="G59" s="38">
        <v>4262</v>
      </c>
      <c r="H59" s="38">
        <v>0</v>
      </c>
    </row>
    <row r="60" spans="1:8" ht="14.5" x14ac:dyDescent="0.35">
      <c r="A60" s="45" t="s">
        <v>3588</v>
      </c>
      <c r="B60" s="46" t="s">
        <v>3589</v>
      </c>
      <c r="C60" s="36">
        <v>45856</v>
      </c>
      <c r="D60" s="36" t="s">
        <v>1582</v>
      </c>
      <c r="E60" s="37" t="s">
        <v>2591</v>
      </c>
      <c r="F60" s="37" t="s">
        <v>3804</v>
      </c>
      <c r="G60" s="38">
        <v>109103.20000000001</v>
      </c>
      <c r="H60" s="38">
        <v>0</v>
      </c>
    </row>
    <row r="61" spans="1:8" ht="14.5" x14ac:dyDescent="0.35">
      <c r="A61" s="45" t="s">
        <v>3588</v>
      </c>
      <c r="B61" s="46" t="s">
        <v>3589</v>
      </c>
      <c r="C61" s="36">
        <v>45856</v>
      </c>
      <c r="D61" s="36" t="s">
        <v>341</v>
      </c>
      <c r="E61" s="37" t="s">
        <v>342</v>
      </c>
      <c r="F61" s="37" t="s">
        <v>3804</v>
      </c>
      <c r="G61" s="38">
        <v>5200</v>
      </c>
      <c r="H61" s="38">
        <v>0</v>
      </c>
    </row>
    <row r="62" spans="1:8" ht="14.5" x14ac:dyDescent="0.35">
      <c r="A62" s="45" t="s">
        <v>3588</v>
      </c>
      <c r="B62" s="46" t="s">
        <v>3589</v>
      </c>
      <c r="C62" s="36">
        <v>45861</v>
      </c>
      <c r="D62" s="36" t="s">
        <v>1004</v>
      </c>
      <c r="E62" s="37" t="s">
        <v>2593</v>
      </c>
      <c r="F62" s="37" t="s">
        <v>3804</v>
      </c>
      <c r="G62" s="38">
        <v>32.18</v>
      </c>
      <c r="H62" s="38">
        <v>0</v>
      </c>
    </row>
    <row r="63" spans="1:8" ht="14.5" x14ac:dyDescent="0.35">
      <c r="A63" s="45" t="s">
        <v>3588</v>
      </c>
      <c r="B63" s="46" t="s">
        <v>3589</v>
      </c>
      <c r="C63" s="36">
        <v>45862</v>
      </c>
      <c r="D63" s="36" t="s">
        <v>1263</v>
      </c>
      <c r="E63" s="37" t="s">
        <v>2594</v>
      </c>
      <c r="F63" s="37" t="s">
        <v>3804</v>
      </c>
      <c r="G63" s="38">
        <v>32463.58</v>
      </c>
      <c r="H63" s="38">
        <v>0</v>
      </c>
    </row>
    <row r="64" spans="1:8" ht="14.5" x14ac:dyDescent="0.35">
      <c r="A64" s="45" t="s">
        <v>3588</v>
      </c>
      <c r="B64" s="46" t="s">
        <v>3589</v>
      </c>
      <c r="C64" s="36">
        <v>45863</v>
      </c>
      <c r="D64" s="36" t="s">
        <v>2628</v>
      </c>
      <c r="E64" s="37" t="s">
        <v>2595</v>
      </c>
      <c r="F64" s="37" t="s">
        <v>3804</v>
      </c>
      <c r="G64" s="38">
        <v>8893.7000000000007</v>
      </c>
      <c r="H64" s="38">
        <v>0</v>
      </c>
    </row>
    <row r="65" spans="1:8" ht="14.5" x14ac:dyDescent="0.35">
      <c r="A65" s="45" t="s">
        <v>3588</v>
      </c>
      <c r="B65" s="46" t="s">
        <v>3589</v>
      </c>
      <c r="C65" s="36">
        <v>45863</v>
      </c>
      <c r="D65" s="36" t="s">
        <v>2628</v>
      </c>
      <c r="E65" s="37" t="s">
        <v>2596</v>
      </c>
      <c r="F65" s="37" t="s">
        <v>3804</v>
      </c>
      <c r="G65" s="38">
        <v>2033.83</v>
      </c>
      <c r="H65" s="38">
        <v>0</v>
      </c>
    </row>
    <row r="66" spans="1:8" ht="14.5" x14ac:dyDescent="0.35">
      <c r="A66" s="45" t="s">
        <v>3588</v>
      </c>
      <c r="B66" s="46" t="s">
        <v>3589</v>
      </c>
      <c r="C66" s="36">
        <v>45863</v>
      </c>
      <c r="D66" s="36" t="s">
        <v>2629</v>
      </c>
      <c r="E66" s="37">
        <v>38332</v>
      </c>
      <c r="F66" s="37" t="s">
        <v>3804</v>
      </c>
      <c r="G66" s="38">
        <v>7741.34</v>
      </c>
      <c r="H66" s="38">
        <v>0</v>
      </c>
    </row>
    <row r="67" spans="1:8" ht="14.5" x14ac:dyDescent="0.35">
      <c r="A67" s="45" t="s">
        <v>3588</v>
      </c>
      <c r="B67" s="46" t="s">
        <v>3589</v>
      </c>
      <c r="C67" s="36">
        <v>45864</v>
      </c>
      <c r="D67" s="36" t="s">
        <v>2628</v>
      </c>
      <c r="E67" s="37" t="s">
        <v>2597</v>
      </c>
      <c r="F67" s="37" t="s">
        <v>3804</v>
      </c>
      <c r="G67" s="38">
        <v>2336.64</v>
      </c>
      <c r="H67" s="38">
        <v>0</v>
      </c>
    </row>
    <row r="68" spans="1:8" ht="14.5" x14ac:dyDescent="0.35">
      <c r="A68" s="45" t="s">
        <v>3588</v>
      </c>
      <c r="B68" s="46" t="s">
        <v>3589</v>
      </c>
      <c r="C68" s="36">
        <v>45864</v>
      </c>
      <c r="D68" s="36" t="s">
        <v>2628</v>
      </c>
      <c r="E68" s="37" t="s">
        <v>2598</v>
      </c>
      <c r="F68" s="37" t="s">
        <v>3804</v>
      </c>
      <c r="G68" s="38">
        <v>9337.1200000000008</v>
      </c>
      <c r="H68" s="38">
        <v>0</v>
      </c>
    </row>
    <row r="69" spans="1:8" ht="14.5" x14ac:dyDescent="0.35">
      <c r="A69" s="45" t="s">
        <v>3588</v>
      </c>
      <c r="B69" s="46" t="s">
        <v>3589</v>
      </c>
      <c r="C69" s="36">
        <v>45864</v>
      </c>
      <c r="D69" s="36" t="s">
        <v>2628</v>
      </c>
      <c r="E69" s="37" t="s">
        <v>2599</v>
      </c>
      <c r="F69" s="37" t="s">
        <v>3804</v>
      </c>
      <c r="G69" s="38">
        <v>3461.21</v>
      </c>
      <c r="H69" s="38">
        <v>0</v>
      </c>
    </row>
    <row r="70" spans="1:8" ht="14.5" x14ac:dyDescent="0.35">
      <c r="A70" s="45" t="s">
        <v>3588</v>
      </c>
      <c r="B70" s="46" t="s">
        <v>3589</v>
      </c>
      <c r="C70" s="36">
        <v>45864</v>
      </c>
      <c r="D70" s="36" t="s">
        <v>2629</v>
      </c>
      <c r="E70" s="37" t="s">
        <v>2600</v>
      </c>
      <c r="F70" s="37" t="s">
        <v>3804</v>
      </c>
      <c r="G70" s="38">
        <v>1118.5999999999999</v>
      </c>
      <c r="H70" s="38">
        <v>0</v>
      </c>
    </row>
    <row r="71" spans="1:8" ht="14.5" x14ac:dyDescent="0.35">
      <c r="A71" s="45" t="s">
        <v>3588</v>
      </c>
      <c r="B71" s="46" t="s">
        <v>3589</v>
      </c>
      <c r="C71" s="36">
        <v>45866</v>
      </c>
      <c r="D71" s="36" t="s">
        <v>2630</v>
      </c>
      <c r="E71" s="37" t="s">
        <v>2601</v>
      </c>
      <c r="F71" s="37" t="s">
        <v>3804</v>
      </c>
      <c r="G71" s="38">
        <v>0</v>
      </c>
      <c r="H71" s="38">
        <v>807.59</v>
      </c>
    </row>
    <row r="72" spans="1:8" ht="14.5" x14ac:dyDescent="0.35">
      <c r="A72" s="45" t="s">
        <v>3588</v>
      </c>
      <c r="B72" s="46" t="s">
        <v>3589</v>
      </c>
      <c r="C72" s="36">
        <v>45868</v>
      </c>
      <c r="D72" s="36" t="s">
        <v>1608</v>
      </c>
      <c r="E72" s="37" t="s">
        <v>2602</v>
      </c>
      <c r="F72" s="37" t="s">
        <v>3804</v>
      </c>
      <c r="G72" s="38">
        <v>1323.43</v>
      </c>
      <c r="H72" s="38">
        <v>0</v>
      </c>
    </row>
    <row r="73" spans="1:8" ht="14.5" x14ac:dyDescent="0.35">
      <c r="A73" s="45" t="s">
        <v>3588</v>
      </c>
      <c r="B73" s="46" t="s">
        <v>3589</v>
      </c>
      <c r="C73" s="36">
        <v>45868</v>
      </c>
      <c r="D73" s="36" t="s">
        <v>2291</v>
      </c>
      <c r="E73" s="37" t="s">
        <v>2604</v>
      </c>
      <c r="F73" s="37" t="s">
        <v>3804</v>
      </c>
      <c r="G73" s="38">
        <v>814.76</v>
      </c>
      <c r="H73" s="38">
        <v>0</v>
      </c>
    </row>
    <row r="74" spans="1:8" ht="14.5" x14ac:dyDescent="0.35">
      <c r="A74" s="45" t="s">
        <v>3588</v>
      </c>
      <c r="B74" s="46" t="s">
        <v>3589</v>
      </c>
      <c r="C74" s="36">
        <v>45868</v>
      </c>
      <c r="D74" s="36" t="s">
        <v>2291</v>
      </c>
      <c r="E74" s="37" t="s">
        <v>2605</v>
      </c>
      <c r="F74" s="37" t="s">
        <v>3804</v>
      </c>
      <c r="G74" s="38">
        <v>6756.13</v>
      </c>
      <c r="H74" s="38">
        <v>0</v>
      </c>
    </row>
    <row r="75" spans="1:8" ht="14.5" x14ac:dyDescent="0.35">
      <c r="A75" s="45" t="s">
        <v>3588</v>
      </c>
      <c r="B75" s="46" t="s">
        <v>3589</v>
      </c>
      <c r="C75" s="36">
        <v>45868</v>
      </c>
      <c r="D75" s="36" t="s">
        <v>2291</v>
      </c>
      <c r="E75" s="37" t="s">
        <v>2606</v>
      </c>
      <c r="F75" s="37" t="s">
        <v>3804</v>
      </c>
      <c r="G75" s="38">
        <v>11579.06</v>
      </c>
      <c r="H75" s="38">
        <v>0</v>
      </c>
    </row>
    <row r="76" spans="1:8" ht="14.5" x14ac:dyDescent="0.35">
      <c r="A76" s="45" t="s">
        <v>3588</v>
      </c>
      <c r="B76" s="46" t="s">
        <v>3589</v>
      </c>
      <c r="C76" s="36">
        <v>45868</v>
      </c>
      <c r="D76" s="36" t="s">
        <v>2291</v>
      </c>
      <c r="E76" s="37">
        <v>36570</v>
      </c>
      <c r="F76" s="37" t="s">
        <v>3804</v>
      </c>
      <c r="G76" s="38">
        <v>25989.85999999999</v>
      </c>
      <c r="H76" s="38">
        <v>0</v>
      </c>
    </row>
    <row r="77" spans="1:8" ht="14.5" x14ac:dyDescent="0.35">
      <c r="A77" s="45" t="s">
        <v>3588</v>
      </c>
      <c r="B77" s="46" t="s">
        <v>3589</v>
      </c>
      <c r="C77" s="36">
        <v>45868</v>
      </c>
      <c r="D77" s="36" t="s">
        <v>2291</v>
      </c>
      <c r="E77" s="37" t="s">
        <v>2607</v>
      </c>
      <c r="F77" s="37" t="s">
        <v>3804</v>
      </c>
      <c r="G77" s="38">
        <v>2354.56</v>
      </c>
      <c r="H77" s="38">
        <v>0</v>
      </c>
    </row>
    <row r="78" spans="1:8" ht="14.5" x14ac:dyDescent="0.35">
      <c r="A78" s="45" t="s">
        <v>3588</v>
      </c>
      <c r="B78" s="46" t="s">
        <v>3589</v>
      </c>
      <c r="C78" s="36">
        <v>45868</v>
      </c>
      <c r="D78" s="36" t="s">
        <v>2291</v>
      </c>
      <c r="E78" s="37" t="s">
        <v>2608</v>
      </c>
      <c r="F78" s="37" t="s">
        <v>3804</v>
      </c>
      <c r="G78" s="38">
        <v>970.22</v>
      </c>
      <c r="H78" s="38">
        <v>0</v>
      </c>
    </row>
    <row r="79" spans="1:8" ht="14.5" x14ac:dyDescent="0.35">
      <c r="A79" s="45" t="s">
        <v>3588</v>
      </c>
      <c r="B79" s="46" t="s">
        <v>3589</v>
      </c>
      <c r="C79" s="36">
        <v>45868</v>
      </c>
      <c r="D79" s="36" t="s">
        <v>2291</v>
      </c>
      <c r="E79" s="37">
        <v>36581</v>
      </c>
      <c r="F79" s="37" t="s">
        <v>3804</v>
      </c>
      <c r="G79" s="38">
        <v>2749.8199999999997</v>
      </c>
      <c r="H79" s="38">
        <v>0</v>
      </c>
    </row>
    <row r="80" spans="1:8" ht="14.5" x14ac:dyDescent="0.35">
      <c r="A80" s="45" t="s">
        <v>3588</v>
      </c>
      <c r="B80" s="46" t="s">
        <v>3589</v>
      </c>
      <c r="C80" s="36">
        <v>45868</v>
      </c>
      <c r="D80" s="36" t="s">
        <v>2291</v>
      </c>
      <c r="E80" s="37" t="s">
        <v>2609</v>
      </c>
      <c r="F80" s="37" t="s">
        <v>3804</v>
      </c>
      <c r="G80" s="38">
        <v>2202</v>
      </c>
      <c r="H80" s="38">
        <v>0</v>
      </c>
    </row>
    <row r="81" spans="1:8" ht="14.5" x14ac:dyDescent="0.35">
      <c r="A81" s="45" t="s">
        <v>3588</v>
      </c>
      <c r="B81" s="46" t="s">
        <v>3589</v>
      </c>
      <c r="C81" s="36">
        <v>45868</v>
      </c>
      <c r="D81" s="36" t="s">
        <v>1608</v>
      </c>
      <c r="E81" s="37" t="s">
        <v>2610</v>
      </c>
      <c r="F81" s="37" t="s">
        <v>3804</v>
      </c>
      <c r="G81" s="38">
        <v>1059.45</v>
      </c>
      <c r="H81" s="38">
        <v>0</v>
      </c>
    </row>
    <row r="82" spans="1:8" ht="14.5" x14ac:dyDescent="0.35">
      <c r="A82" s="45" t="s">
        <v>3588</v>
      </c>
      <c r="B82" s="46" t="s">
        <v>3589</v>
      </c>
      <c r="C82" s="36">
        <v>45868</v>
      </c>
      <c r="D82" s="36" t="s">
        <v>1582</v>
      </c>
      <c r="E82" s="37" t="s">
        <v>2611</v>
      </c>
      <c r="F82" s="37" t="s">
        <v>3804</v>
      </c>
      <c r="G82" s="38">
        <v>25145.31</v>
      </c>
      <c r="H82" s="38">
        <v>0</v>
      </c>
    </row>
    <row r="83" spans="1:8" ht="14.5" x14ac:dyDescent="0.35">
      <c r="A83" s="45" t="s">
        <v>3588</v>
      </c>
      <c r="B83" s="46" t="s">
        <v>3589</v>
      </c>
      <c r="C83" s="36">
        <v>45869</v>
      </c>
      <c r="D83" s="36" t="s">
        <v>1920</v>
      </c>
      <c r="E83" s="37" t="s">
        <v>2612</v>
      </c>
      <c r="F83" s="37" t="s">
        <v>3804</v>
      </c>
      <c r="G83" s="38">
        <v>5960.15</v>
      </c>
      <c r="H83" s="38">
        <v>0</v>
      </c>
    </row>
    <row r="84" spans="1:8" ht="14.5" x14ac:dyDescent="0.35">
      <c r="A84" s="45" t="s">
        <v>3588</v>
      </c>
      <c r="B84" s="46" t="s">
        <v>3589</v>
      </c>
      <c r="C84" s="36">
        <v>45869</v>
      </c>
      <c r="D84" s="36" t="s">
        <v>1475</v>
      </c>
      <c r="E84" s="37">
        <v>35801</v>
      </c>
      <c r="F84" s="37" t="s">
        <v>3804</v>
      </c>
      <c r="G84" s="38">
        <v>59350.85</v>
      </c>
      <c r="H84" s="38">
        <v>0</v>
      </c>
    </row>
    <row r="85" spans="1:8" ht="14.5" x14ac:dyDescent="0.35">
      <c r="A85" s="45" t="s">
        <v>3588</v>
      </c>
      <c r="B85" s="46" t="s">
        <v>3589</v>
      </c>
      <c r="C85" s="36">
        <v>45869</v>
      </c>
      <c r="D85" s="36" t="s">
        <v>1475</v>
      </c>
      <c r="E85" s="37">
        <v>35805</v>
      </c>
      <c r="F85" s="37" t="s">
        <v>3804</v>
      </c>
      <c r="G85" s="38">
        <v>92044.079999999987</v>
      </c>
      <c r="H85" s="38">
        <v>0</v>
      </c>
    </row>
    <row r="86" spans="1:8" ht="14.5" x14ac:dyDescent="0.35">
      <c r="A86" s="45" t="s">
        <v>3588</v>
      </c>
      <c r="B86" s="46" t="s">
        <v>3589</v>
      </c>
      <c r="C86" s="36">
        <v>45869</v>
      </c>
      <c r="D86" s="36" t="s">
        <v>2291</v>
      </c>
      <c r="E86" s="37" t="s">
        <v>2613</v>
      </c>
      <c r="F86" s="37" t="s">
        <v>3804</v>
      </c>
      <c r="G86" s="38">
        <v>717.83</v>
      </c>
      <c r="H86" s="38">
        <v>0</v>
      </c>
    </row>
    <row r="87" spans="1:8" ht="14.5" x14ac:dyDescent="0.35">
      <c r="A87" s="45" t="s">
        <v>3588</v>
      </c>
      <c r="B87" s="46" t="s">
        <v>3589</v>
      </c>
      <c r="C87" s="36">
        <v>45869</v>
      </c>
      <c r="D87" s="36" t="s">
        <v>1426</v>
      </c>
      <c r="E87" s="37">
        <v>36729</v>
      </c>
      <c r="F87" s="37" t="s">
        <v>3804</v>
      </c>
      <c r="G87" s="38">
        <v>2167.08</v>
      </c>
      <c r="H87" s="38">
        <v>0</v>
      </c>
    </row>
    <row r="88" spans="1:8" ht="14.5" x14ac:dyDescent="0.35">
      <c r="A88" s="45" t="s">
        <v>3588</v>
      </c>
      <c r="B88" s="46" t="s">
        <v>3589</v>
      </c>
      <c r="C88" s="36">
        <v>45869</v>
      </c>
      <c r="D88" s="36" t="s">
        <v>1924</v>
      </c>
      <c r="E88" s="37" t="s">
        <v>2614</v>
      </c>
      <c r="F88" s="37" t="s">
        <v>3804</v>
      </c>
      <c r="G88" s="38">
        <v>540.48</v>
      </c>
      <c r="H88" s="38">
        <v>0</v>
      </c>
    </row>
    <row r="89" spans="1:8" ht="14.5" x14ac:dyDescent="0.35">
      <c r="A89" s="45" t="s">
        <v>3588</v>
      </c>
      <c r="B89" s="46" t="s">
        <v>3589</v>
      </c>
      <c r="C89" s="36">
        <v>45869</v>
      </c>
      <c r="D89" s="36" t="s">
        <v>1924</v>
      </c>
      <c r="E89" s="37" t="s">
        <v>2615</v>
      </c>
      <c r="F89" s="37" t="s">
        <v>3804</v>
      </c>
      <c r="G89" s="38">
        <v>7869.69</v>
      </c>
      <c r="H89" s="38">
        <v>0</v>
      </c>
    </row>
    <row r="90" spans="1:8" ht="14.5" x14ac:dyDescent="0.35">
      <c r="A90" s="45" t="s">
        <v>3588</v>
      </c>
      <c r="B90" s="46" t="s">
        <v>3589</v>
      </c>
      <c r="C90" s="36">
        <v>45869</v>
      </c>
      <c r="D90" s="36" t="s">
        <v>1272</v>
      </c>
      <c r="E90" s="37" t="s">
        <v>2616</v>
      </c>
      <c r="F90" s="37" t="s">
        <v>3804</v>
      </c>
      <c r="G90" s="38">
        <v>20085.5</v>
      </c>
      <c r="H90" s="38">
        <v>0</v>
      </c>
    </row>
    <row r="91" spans="1:8" ht="14.5" x14ac:dyDescent="0.35">
      <c r="A91" s="45" t="s">
        <v>3588</v>
      </c>
      <c r="B91" s="46" t="s">
        <v>3589</v>
      </c>
      <c r="C91" s="36">
        <v>45869</v>
      </c>
      <c r="D91" s="36" t="s">
        <v>1475</v>
      </c>
      <c r="E91" s="37">
        <v>37239</v>
      </c>
      <c r="F91" s="37" t="s">
        <v>3804</v>
      </c>
      <c r="G91" s="38">
        <v>40121.46</v>
      </c>
      <c r="H91" s="38">
        <v>0</v>
      </c>
    </row>
    <row r="92" spans="1:8" ht="14.5" x14ac:dyDescent="0.35">
      <c r="A92" s="45" t="s">
        <v>3588</v>
      </c>
      <c r="B92" s="46" t="s">
        <v>3589</v>
      </c>
      <c r="C92" s="36">
        <v>45869</v>
      </c>
      <c r="D92" s="36" t="s">
        <v>1924</v>
      </c>
      <c r="E92" s="37">
        <v>37283</v>
      </c>
      <c r="F92" s="37" t="s">
        <v>3804</v>
      </c>
      <c r="G92" s="38">
        <v>577.45000000000005</v>
      </c>
      <c r="H92" s="38">
        <v>0</v>
      </c>
    </row>
    <row r="93" spans="1:8" ht="14.5" x14ac:dyDescent="0.35">
      <c r="A93" s="45" t="s">
        <v>3588</v>
      </c>
      <c r="B93" s="46" t="s">
        <v>3589</v>
      </c>
      <c r="C93" s="36">
        <v>45869</v>
      </c>
      <c r="D93" s="36" t="s">
        <v>992</v>
      </c>
      <c r="E93" s="37">
        <v>37369</v>
      </c>
      <c r="F93" s="37" t="s">
        <v>3804</v>
      </c>
      <c r="G93" s="38">
        <v>0</v>
      </c>
      <c r="H93" s="38">
        <v>0</v>
      </c>
    </row>
    <row r="94" spans="1:8" ht="14.5" x14ac:dyDescent="0.35">
      <c r="A94" s="45" t="s">
        <v>3588</v>
      </c>
      <c r="B94" s="46" t="s">
        <v>3589</v>
      </c>
      <c r="C94" s="36">
        <v>45869</v>
      </c>
      <c r="D94" s="36" t="s">
        <v>1035</v>
      </c>
      <c r="E94" s="37" t="s">
        <v>2617</v>
      </c>
      <c r="F94" s="37" t="s">
        <v>3804</v>
      </c>
      <c r="G94" s="38">
        <v>27.26</v>
      </c>
      <c r="H94" s="38">
        <v>0</v>
      </c>
    </row>
    <row r="95" spans="1:8" ht="14.5" x14ac:dyDescent="0.35">
      <c r="A95" s="45" t="s">
        <v>3588</v>
      </c>
      <c r="B95" s="46" t="s">
        <v>3589</v>
      </c>
      <c r="C95" s="36">
        <v>45869</v>
      </c>
      <c r="D95" s="36" t="s">
        <v>1263</v>
      </c>
      <c r="E95" s="37">
        <v>37682</v>
      </c>
      <c r="F95" s="37" t="s">
        <v>3804</v>
      </c>
      <c r="G95" s="38">
        <v>45609.45</v>
      </c>
      <c r="H95" s="38">
        <v>0</v>
      </c>
    </row>
    <row r="96" spans="1:8" ht="14.5" x14ac:dyDescent="0.35">
      <c r="A96" s="45" t="s">
        <v>3588</v>
      </c>
      <c r="B96" s="46" t="s">
        <v>3589</v>
      </c>
      <c r="C96" s="36">
        <v>45869</v>
      </c>
      <c r="D96" s="36" t="s">
        <v>1426</v>
      </c>
      <c r="E96" s="37" t="s">
        <v>2618</v>
      </c>
      <c r="F96" s="37" t="s">
        <v>3804</v>
      </c>
      <c r="G96" s="38">
        <v>2882.82</v>
      </c>
      <c r="H96" s="38">
        <v>0</v>
      </c>
    </row>
    <row r="97" spans="1:8" ht="14.5" x14ac:dyDescent="0.35">
      <c r="A97" s="45" t="s">
        <v>3588</v>
      </c>
      <c r="B97" s="46" t="s">
        <v>3589</v>
      </c>
      <c r="C97" s="36">
        <v>45869</v>
      </c>
      <c r="D97" s="36" t="s">
        <v>1223</v>
      </c>
      <c r="E97" s="37" t="s">
        <v>2619</v>
      </c>
      <c r="F97" s="37" t="s">
        <v>3804</v>
      </c>
      <c r="G97" s="38">
        <v>928.45999999999992</v>
      </c>
      <c r="H97" s="38">
        <v>0</v>
      </c>
    </row>
    <row r="98" spans="1:8" ht="14.5" x14ac:dyDescent="0.35">
      <c r="A98" s="45" t="s">
        <v>3588</v>
      </c>
      <c r="B98" s="46" t="s">
        <v>3589</v>
      </c>
      <c r="C98" s="36">
        <v>45869</v>
      </c>
      <c r="D98" s="36" t="s">
        <v>1223</v>
      </c>
      <c r="E98" s="37" t="s">
        <v>2620</v>
      </c>
      <c r="F98" s="37" t="s">
        <v>3804</v>
      </c>
      <c r="G98" s="38">
        <v>987290.94000000018</v>
      </c>
      <c r="H98" s="38">
        <v>0</v>
      </c>
    </row>
    <row r="99" spans="1:8" ht="14.5" x14ac:dyDescent="0.35">
      <c r="A99" s="45" t="s">
        <v>3588</v>
      </c>
      <c r="B99" s="46" t="s">
        <v>3589</v>
      </c>
      <c r="C99" s="36">
        <v>45869</v>
      </c>
      <c r="D99" s="36" t="s">
        <v>1223</v>
      </c>
      <c r="E99" s="37">
        <v>38362</v>
      </c>
      <c r="F99" s="37" t="s">
        <v>3804</v>
      </c>
      <c r="G99" s="38">
        <v>151319.26999999999</v>
      </c>
      <c r="H99" s="38">
        <v>0</v>
      </c>
    </row>
    <row r="100" spans="1:8" ht="14.5" x14ac:dyDescent="0.35">
      <c r="A100" s="45" t="s">
        <v>3588</v>
      </c>
      <c r="B100" s="46" t="s">
        <v>3589</v>
      </c>
      <c r="C100" s="36">
        <v>45869</v>
      </c>
      <c r="D100" s="36" t="s">
        <v>1223</v>
      </c>
      <c r="E100" s="37" t="s">
        <v>2621</v>
      </c>
      <c r="F100" s="37" t="s">
        <v>3804</v>
      </c>
      <c r="G100" s="38">
        <v>27734.05</v>
      </c>
      <c r="H100" s="38">
        <v>0</v>
      </c>
    </row>
    <row r="101" spans="1:8" ht="14.5" x14ac:dyDescent="0.35">
      <c r="A101" s="45" t="s">
        <v>3588</v>
      </c>
      <c r="B101" s="46" t="s">
        <v>3589</v>
      </c>
      <c r="C101" s="36">
        <v>45869</v>
      </c>
      <c r="D101" s="36" t="s">
        <v>1223</v>
      </c>
      <c r="E101" s="37" t="s">
        <v>2622</v>
      </c>
      <c r="F101" s="37" t="s">
        <v>3804</v>
      </c>
      <c r="G101" s="38">
        <v>4386.24</v>
      </c>
      <c r="H101" s="38">
        <v>0</v>
      </c>
    </row>
    <row r="102" spans="1:8" ht="14.5" x14ac:dyDescent="0.35">
      <c r="A102" s="45" t="s">
        <v>3588</v>
      </c>
      <c r="B102" s="46" t="s">
        <v>3589</v>
      </c>
      <c r="C102" s="36">
        <v>45869</v>
      </c>
      <c r="D102" s="36" t="s">
        <v>1223</v>
      </c>
      <c r="E102" s="37" t="s">
        <v>2623</v>
      </c>
      <c r="F102" s="37" t="s">
        <v>3804</v>
      </c>
      <c r="G102" s="38">
        <v>226.01</v>
      </c>
      <c r="H102" s="38">
        <v>0</v>
      </c>
    </row>
    <row r="103" spans="1:8" ht="14.5" x14ac:dyDescent="0.35">
      <c r="A103" s="45" t="s">
        <v>3588</v>
      </c>
      <c r="B103" s="46" t="s">
        <v>3589</v>
      </c>
      <c r="C103" s="36">
        <v>45869</v>
      </c>
      <c r="D103" s="36" t="s">
        <v>1223</v>
      </c>
      <c r="E103" s="37" t="s">
        <v>2624</v>
      </c>
      <c r="F103" s="37" t="s">
        <v>3804</v>
      </c>
      <c r="G103" s="38">
        <v>31869.05</v>
      </c>
      <c r="H103" s="38">
        <v>0</v>
      </c>
    </row>
    <row r="104" spans="1:8" ht="14.5" x14ac:dyDescent="0.35">
      <c r="A104" s="45" t="s">
        <v>3588</v>
      </c>
      <c r="B104" s="46" t="s">
        <v>3589</v>
      </c>
      <c r="C104" s="36">
        <v>45869</v>
      </c>
      <c r="D104" s="36" t="s">
        <v>1269</v>
      </c>
      <c r="E104" s="37">
        <v>38384</v>
      </c>
      <c r="F104" s="37" t="s">
        <v>3804</v>
      </c>
      <c r="G104" s="38">
        <v>15788.49</v>
      </c>
      <c r="H104" s="38">
        <v>0</v>
      </c>
    </row>
    <row r="105" spans="1:8" ht="14.5" x14ac:dyDescent="0.35">
      <c r="A105" s="45" t="s">
        <v>3588</v>
      </c>
      <c r="B105" s="46" t="s">
        <v>3589</v>
      </c>
      <c r="C105" s="36">
        <v>45869</v>
      </c>
      <c r="D105" s="36" t="s">
        <v>1269</v>
      </c>
      <c r="E105" s="37" t="s">
        <v>2625</v>
      </c>
      <c r="F105" s="37" t="s">
        <v>3804</v>
      </c>
      <c r="G105" s="38">
        <v>15594.23</v>
      </c>
      <c r="H105" s="38">
        <v>0</v>
      </c>
    </row>
    <row r="106" spans="1:8" ht="14.5" x14ac:dyDescent="0.35">
      <c r="A106" s="45" t="s">
        <v>3588</v>
      </c>
      <c r="B106" s="46" t="s">
        <v>3589</v>
      </c>
      <c r="C106" s="36">
        <v>45869</v>
      </c>
      <c r="D106" s="36" t="s">
        <v>1269</v>
      </c>
      <c r="E106" s="37">
        <v>38400</v>
      </c>
      <c r="F106" s="37" t="s">
        <v>3804</v>
      </c>
      <c r="G106" s="38">
        <v>9049</v>
      </c>
      <c r="H106" s="38">
        <v>0</v>
      </c>
    </row>
    <row r="107" spans="1:8" ht="14.5" x14ac:dyDescent="0.35">
      <c r="A107" s="45" t="s">
        <v>3588</v>
      </c>
      <c r="B107" s="46" t="s">
        <v>3589</v>
      </c>
      <c r="C107" s="36">
        <v>45869</v>
      </c>
      <c r="D107" s="36" t="s">
        <v>2456</v>
      </c>
      <c r="E107" s="37">
        <v>38623</v>
      </c>
      <c r="F107" s="37" t="s">
        <v>3804</v>
      </c>
      <c r="G107" s="38">
        <v>2434</v>
      </c>
      <c r="H107" s="38">
        <v>0</v>
      </c>
    </row>
    <row r="108" spans="1:8" ht="14.5" x14ac:dyDescent="0.35">
      <c r="A108" s="45" t="s">
        <v>3588</v>
      </c>
      <c r="B108" s="46" t="s">
        <v>3589</v>
      </c>
      <c r="C108" s="36">
        <v>45869</v>
      </c>
      <c r="D108" s="36" t="s">
        <v>2631</v>
      </c>
      <c r="E108" s="37">
        <v>38724</v>
      </c>
      <c r="F108" s="37" t="s">
        <v>3804</v>
      </c>
      <c r="G108" s="38">
        <v>2617.33</v>
      </c>
      <c r="H108" s="38">
        <v>0</v>
      </c>
    </row>
    <row r="109" spans="1:8" ht="14.5" x14ac:dyDescent="0.35">
      <c r="A109" s="45" t="s">
        <v>3588</v>
      </c>
      <c r="B109" s="46" t="s">
        <v>3589</v>
      </c>
      <c r="C109" s="36">
        <v>45869</v>
      </c>
      <c r="D109" s="36" t="s">
        <v>3586</v>
      </c>
      <c r="E109" s="37" t="s">
        <v>3583</v>
      </c>
      <c r="F109" s="37" t="s">
        <v>3804</v>
      </c>
      <c r="G109" s="38">
        <v>0</v>
      </c>
      <c r="H109" s="38">
        <v>90.48</v>
      </c>
    </row>
    <row r="110" spans="1:8" ht="14.5" x14ac:dyDescent="0.35">
      <c r="A110" s="45" t="s">
        <v>3588</v>
      </c>
      <c r="B110" s="46" t="s">
        <v>3589</v>
      </c>
      <c r="C110" s="36">
        <v>45869</v>
      </c>
      <c r="D110" s="36" t="s">
        <v>3587</v>
      </c>
      <c r="E110" s="37" t="s">
        <v>3585</v>
      </c>
      <c r="F110" s="37" t="s">
        <v>3804</v>
      </c>
      <c r="G110" s="38">
        <v>0</v>
      </c>
      <c r="H110" s="38">
        <v>128.38999999999999</v>
      </c>
    </row>
    <row r="111" spans="1:8" ht="14.5" x14ac:dyDescent="0.35">
      <c r="A111" s="45"/>
      <c r="B111" s="46"/>
      <c r="C111" s="36"/>
      <c r="D111" s="36"/>
      <c r="E111" s="37" t="s">
        <v>4729</v>
      </c>
      <c r="F111" s="37"/>
      <c r="G111" s="145">
        <f>SUM(G4:G110)</f>
        <v>2599989.34</v>
      </c>
      <c r="H111" s="145">
        <f>SUM(H4:H110)</f>
        <v>1026.46</v>
      </c>
    </row>
    <row r="112" spans="1:8" ht="14.5" x14ac:dyDescent="0.35">
      <c r="A112" s="45"/>
      <c r="B112" s="46"/>
      <c r="C112" s="36"/>
      <c r="D112" s="36"/>
      <c r="E112" s="37"/>
      <c r="F112" s="37"/>
      <c r="G112" s="38"/>
      <c r="H112" s="38"/>
    </row>
    <row r="113" spans="1:8" ht="14.5" x14ac:dyDescent="0.35">
      <c r="A113" s="45" t="s">
        <v>3588</v>
      </c>
      <c r="B113" s="46" t="s">
        <v>3589</v>
      </c>
      <c r="C113" s="36">
        <v>45861</v>
      </c>
      <c r="D113" s="36" t="s">
        <v>422</v>
      </c>
      <c r="E113" s="37">
        <v>45839</v>
      </c>
      <c r="F113" s="37" t="s">
        <v>3804</v>
      </c>
      <c r="G113" s="38">
        <v>19568.120000000003</v>
      </c>
      <c r="H113" s="38"/>
    </row>
    <row r="114" spans="1:8" ht="14.5" x14ac:dyDescent="0.35">
      <c r="A114" s="46" t="s">
        <v>3589</v>
      </c>
      <c r="B114" s="45" t="s">
        <v>3588</v>
      </c>
      <c r="C114" s="36">
        <v>45861</v>
      </c>
      <c r="D114" s="36" t="s">
        <v>422</v>
      </c>
      <c r="E114" s="37" t="s">
        <v>4727</v>
      </c>
      <c r="F114" s="37" t="s">
        <v>3804</v>
      </c>
      <c r="G114" s="38"/>
      <c r="H114" s="38">
        <v>19568.12</v>
      </c>
    </row>
    <row r="115" spans="1:8" ht="14.5" x14ac:dyDescent="0.35">
      <c r="A115" s="45" t="s">
        <v>3588</v>
      </c>
      <c r="B115" s="46" t="s">
        <v>3589</v>
      </c>
      <c r="C115" s="36">
        <v>45869</v>
      </c>
      <c r="D115" s="36" t="s">
        <v>3587</v>
      </c>
      <c r="E115" s="37" t="s">
        <v>3584</v>
      </c>
      <c r="F115" s="37" t="s">
        <v>3804</v>
      </c>
      <c r="G115" s="38">
        <v>62.34</v>
      </c>
      <c r="H115" s="38"/>
    </row>
    <row r="116" spans="1:8" ht="14.5" x14ac:dyDescent="0.35">
      <c r="A116" s="46" t="s">
        <v>3589</v>
      </c>
      <c r="B116" s="45" t="s">
        <v>3588</v>
      </c>
      <c r="C116" s="36">
        <v>45869</v>
      </c>
      <c r="D116" s="36" t="s">
        <v>3587</v>
      </c>
      <c r="E116" s="37" t="s">
        <v>4728</v>
      </c>
      <c r="F116" s="37" t="s">
        <v>3804</v>
      </c>
      <c r="G116" s="38"/>
      <c r="H116" s="38">
        <v>62.339999999999996</v>
      </c>
    </row>
    <row r="117" spans="1:8" ht="14.5" x14ac:dyDescent="0.35">
      <c r="A117" s="46"/>
      <c r="B117" s="45"/>
      <c r="C117" s="36"/>
      <c r="D117" s="36"/>
      <c r="E117" s="37" t="s">
        <v>4730</v>
      </c>
      <c r="F117" s="37"/>
      <c r="G117" s="145">
        <f>SUM(G113:G116)</f>
        <v>19630.460000000003</v>
      </c>
      <c r="H117" s="145">
        <f>SUM(H113:H116)</f>
        <v>19630.46</v>
      </c>
    </row>
    <row r="118" spans="1:8" ht="14.5" x14ac:dyDescent="0.35">
      <c r="A118" s="46"/>
      <c r="B118" s="45"/>
      <c r="C118" s="36"/>
      <c r="D118" s="36"/>
      <c r="E118" s="37"/>
      <c r="F118" s="37"/>
      <c r="G118" s="38"/>
      <c r="H118" s="38"/>
    </row>
    <row r="119" spans="1:8" ht="14.5" x14ac:dyDescent="0.35">
      <c r="A119" s="44" t="s">
        <v>3589</v>
      </c>
      <c r="B119" s="142" t="s">
        <v>3799</v>
      </c>
      <c r="C119" s="36">
        <v>45839</v>
      </c>
      <c r="D119" s="37" t="s">
        <v>867</v>
      </c>
      <c r="E119" s="37">
        <v>1143438</v>
      </c>
      <c r="F119" s="37" t="s">
        <v>3805</v>
      </c>
      <c r="G119" s="38">
        <v>0</v>
      </c>
      <c r="H119" s="38">
        <v>1961.54</v>
      </c>
    </row>
    <row r="120" spans="1:8" ht="14.5" x14ac:dyDescent="0.35">
      <c r="A120" s="142" t="s">
        <v>3799</v>
      </c>
      <c r="B120" s="44" t="s">
        <v>3802</v>
      </c>
      <c r="C120" s="36">
        <v>45839</v>
      </c>
      <c r="D120" s="37" t="s">
        <v>819</v>
      </c>
      <c r="E120" s="37" t="s">
        <v>3590</v>
      </c>
      <c r="F120" s="37" t="s">
        <v>3805</v>
      </c>
      <c r="G120" s="38">
        <v>1365.4</v>
      </c>
      <c r="H120" s="38"/>
    </row>
    <row r="121" spans="1:8" ht="14.5" x14ac:dyDescent="0.35">
      <c r="A121" s="44" t="s">
        <v>3589</v>
      </c>
      <c r="B121" s="142" t="s">
        <v>3799</v>
      </c>
      <c r="C121" s="36">
        <v>45839</v>
      </c>
      <c r="D121" s="37" t="s">
        <v>819</v>
      </c>
      <c r="E121" s="37" t="s">
        <v>3590</v>
      </c>
      <c r="F121" s="37" t="s">
        <v>3805</v>
      </c>
      <c r="G121" s="38"/>
      <c r="H121" s="38">
        <v>318.21000000000004</v>
      </c>
    </row>
    <row r="122" spans="1:8" ht="14.5" x14ac:dyDescent="0.35">
      <c r="A122" s="142" t="s">
        <v>3799</v>
      </c>
      <c r="B122" s="44" t="s">
        <v>3802</v>
      </c>
      <c r="C122" s="36">
        <v>45839</v>
      </c>
      <c r="D122" s="37" t="s">
        <v>324</v>
      </c>
      <c r="E122" s="37" t="s">
        <v>4118</v>
      </c>
      <c r="F122" s="37" t="s">
        <v>3805</v>
      </c>
      <c r="G122" s="38">
        <v>84200</v>
      </c>
      <c r="H122" s="38"/>
    </row>
    <row r="123" spans="1:8" ht="14.5" x14ac:dyDescent="0.35">
      <c r="A123" s="44" t="s">
        <v>3589</v>
      </c>
      <c r="B123" s="44" t="s">
        <v>3802</v>
      </c>
      <c r="C123" s="36">
        <v>45839</v>
      </c>
      <c r="D123" s="37" t="s">
        <v>324</v>
      </c>
      <c r="E123" s="37" t="s">
        <v>4119</v>
      </c>
      <c r="F123" s="37" t="s">
        <v>3805</v>
      </c>
      <c r="G123" s="38"/>
      <c r="H123" s="38">
        <v>110</v>
      </c>
    </row>
    <row r="124" spans="1:8" ht="14.5" x14ac:dyDescent="0.35">
      <c r="A124" s="142" t="s">
        <v>3799</v>
      </c>
      <c r="B124" s="44" t="s">
        <v>3802</v>
      </c>
      <c r="C124" s="36">
        <v>45841</v>
      </c>
      <c r="D124" s="37" t="s">
        <v>324</v>
      </c>
      <c r="E124" s="37" t="s">
        <v>3591</v>
      </c>
      <c r="F124" s="37" t="s">
        <v>3805</v>
      </c>
      <c r="G124" s="38">
        <v>3264.4</v>
      </c>
      <c r="H124" s="38">
        <v>0</v>
      </c>
    </row>
    <row r="125" spans="1:8" ht="14.5" x14ac:dyDescent="0.35">
      <c r="A125" s="142" t="s">
        <v>3799</v>
      </c>
      <c r="B125" s="44" t="s">
        <v>3802</v>
      </c>
      <c r="C125" s="36">
        <v>45841</v>
      </c>
      <c r="D125" s="37" t="s">
        <v>3592</v>
      </c>
      <c r="E125" s="37" t="s">
        <v>4136</v>
      </c>
      <c r="F125" s="37" t="s">
        <v>3805</v>
      </c>
      <c r="G125" s="38">
        <v>3.6500000000000004</v>
      </c>
      <c r="H125" s="38"/>
    </row>
    <row r="126" spans="1:8" ht="14.5" x14ac:dyDescent="0.35">
      <c r="A126" s="44" t="s">
        <v>3589</v>
      </c>
      <c r="B126" s="142" t="s">
        <v>3799</v>
      </c>
      <c r="C126" s="36">
        <v>45841</v>
      </c>
      <c r="D126" s="37" t="s">
        <v>3592</v>
      </c>
      <c r="E126" s="37" t="s">
        <v>4135</v>
      </c>
      <c r="F126" s="37" t="s">
        <v>3805</v>
      </c>
      <c r="G126" s="38"/>
      <c r="H126" s="38">
        <v>3.65</v>
      </c>
    </row>
    <row r="127" spans="1:8" ht="14.5" x14ac:dyDescent="0.35">
      <c r="A127" s="44" t="s">
        <v>3589</v>
      </c>
      <c r="B127" s="142" t="s">
        <v>3799</v>
      </c>
      <c r="C127" s="36">
        <v>45841</v>
      </c>
      <c r="D127" s="37" t="s">
        <v>3593</v>
      </c>
      <c r="E127" s="37" t="s">
        <v>3594</v>
      </c>
      <c r="F127" s="37" t="s">
        <v>3805</v>
      </c>
      <c r="G127" s="38">
        <v>0</v>
      </c>
      <c r="H127" s="38">
        <v>5905.8899999999994</v>
      </c>
    </row>
    <row r="128" spans="1:8" ht="14.5" x14ac:dyDescent="0.35">
      <c r="A128" s="142" t="s">
        <v>3799</v>
      </c>
      <c r="B128" s="44" t="s">
        <v>3802</v>
      </c>
      <c r="C128" s="36">
        <v>45841</v>
      </c>
      <c r="D128" s="37" t="s">
        <v>324</v>
      </c>
      <c r="E128" s="37" t="s">
        <v>4134</v>
      </c>
      <c r="F128" s="37" t="s">
        <v>3805</v>
      </c>
      <c r="G128" s="38">
        <v>6556.9</v>
      </c>
      <c r="H128" s="38"/>
    </row>
    <row r="129" spans="1:12" ht="14.5" x14ac:dyDescent="0.35">
      <c r="A129" s="44" t="s">
        <v>3589</v>
      </c>
      <c r="B129" s="142" t="s">
        <v>3799</v>
      </c>
      <c r="C129" s="36">
        <v>45841</v>
      </c>
      <c r="D129" s="37" t="s">
        <v>324</v>
      </c>
      <c r="E129" s="37" t="s">
        <v>4133</v>
      </c>
      <c r="F129" s="37" t="s">
        <v>3805</v>
      </c>
      <c r="G129" s="38"/>
      <c r="H129" s="38">
        <v>210</v>
      </c>
    </row>
    <row r="130" spans="1:12" ht="14.5" x14ac:dyDescent="0.35">
      <c r="A130" s="44" t="s">
        <v>3589</v>
      </c>
      <c r="B130" s="142" t="s">
        <v>3799</v>
      </c>
      <c r="C130" s="36">
        <v>45846</v>
      </c>
      <c r="D130" s="37" t="s">
        <v>324</v>
      </c>
      <c r="E130" s="37" t="s">
        <v>4130</v>
      </c>
      <c r="F130" s="37" t="s">
        <v>3805</v>
      </c>
      <c r="G130" s="38">
        <v>0</v>
      </c>
      <c r="H130" s="38">
        <v>3909.05</v>
      </c>
    </row>
    <row r="131" spans="1:12" ht="14.5" x14ac:dyDescent="0.35">
      <c r="A131" s="44" t="s">
        <v>3589</v>
      </c>
      <c r="B131" s="142" t="s">
        <v>3799</v>
      </c>
      <c r="C131" s="36">
        <v>45846</v>
      </c>
      <c r="D131" s="37" t="s">
        <v>324</v>
      </c>
      <c r="E131" s="37" t="s">
        <v>4131</v>
      </c>
      <c r="F131" s="37" t="s">
        <v>3805</v>
      </c>
      <c r="G131" s="38">
        <v>0</v>
      </c>
      <c r="H131" s="38">
        <v>17658.350000000002</v>
      </c>
    </row>
    <row r="132" spans="1:12" ht="14.5" x14ac:dyDescent="0.35">
      <c r="A132" s="44" t="s">
        <v>3589</v>
      </c>
      <c r="B132" s="142" t="s">
        <v>3799</v>
      </c>
      <c r="C132" s="36">
        <v>45846</v>
      </c>
      <c r="D132" s="37" t="s">
        <v>422</v>
      </c>
      <c r="E132" s="37" t="s">
        <v>4132</v>
      </c>
      <c r="F132" s="37" t="s">
        <v>3805</v>
      </c>
      <c r="G132" s="38">
        <v>0</v>
      </c>
      <c r="H132" s="38">
        <v>761.47</v>
      </c>
    </row>
    <row r="133" spans="1:12" ht="14.5" x14ac:dyDescent="0.35">
      <c r="A133" s="142" t="s">
        <v>3799</v>
      </c>
      <c r="B133" s="44" t="s">
        <v>3802</v>
      </c>
      <c r="C133" s="36">
        <v>45846</v>
      </c>
      <c r="D133" s="37" t="s">
        <v>422</v>
      </c>
      <c r="E133" s="37" t="s">
        <v>4128</v>
      </c>
      <c r="F133" s="37" t="s">
        <v>3805</v>
      </c>
      <c r="G133" s="38">
        <v>7279.9999999999991</v>
      </c>
      <c r="H133" s="38"/>
    </row>
    <row r="134" spans="1:12" ht="14.5" x14ac:dyDescent="0.35">
      <c r="A134" s="44" t="s">
        <v>3589</v>
      </c>
      <c r="B134" s="142" t="s">
        <v>3799</v>
      </c>
      <c r="C134" s="36">
        <v>45846</v>
      </c>
      <c r="D134" s="37" t="s">
        <v>422</v>
      </c>
      <c r="E134" s="37" t="s">
        <v>4129</v>
      </c>
      <c r="F134" s="37" t="s">
        <v>3805</v>
      </c>
      <c r="G134" s="38"/>
      <c r="H134" s="38">
        <v>8191.59</v>
      </c>
    </row>
    <row r="135" spans="1:12" ht="14.5" x14ac:dyDescent="0.35">
      <c r="A135" s="142" t="s">
        <v>3799</v>
      </c>
      <c r="B135" s="44" t="s">
        <v>3802</v>
      </c>
      <c r="C135" s="36">
        <v>45846</v>
      </c>
      <c r="D135" s="37" t="s">
        <v>422</v>
      </c>
      <c r="E135" s="37" t="s">
        <v>4137</v>
      </c>
      <c r="F135" s="37" t="s">
        <v>3805</v>
      </c>
      <c r="G135" s="38">
        <v>847.00000000000011</v>
      </c>
      <c r="H135" s="38"/>
    </row>
    <row r="136" spans="1:12" ht="14.5" x14ac:dyDescent="0.35">
      <c r="A136" s="44" t="s">
        <v>3589</v>
      </c>
      <c r="B136" s="142" t="s">
        <v>3799</v>
      </c>
      <c r="C136" s="36">
        <v>45846</v>
      </c>
      <c r="D136" s="37" t="s">
        <v>422</v>
      </c>
      <c r="E136" s="37" t="s">
        <v>4138</v>
      </c>
      <c r="F136" s="37" t="s">
        <v>3805</v>
      </c>
      <c r="G136" s="38"/>
      <c r="H136" s="38">
        <v>1760.46</v>
      </c>
    </row>
    <row r="137" spans="1:12" ht="14.5" x14ac:dyDescent="0.35">
      <c r="A137" s="142" t="s">
        <v>3799</v>
      </c>
      <c r="B137" s="44" t="s">
        <v>3802</v>
      </c>
      <c r="C137" s="36">
        <v>45846</v>
      </c>
      <c r="D137" s="37" t="s">
        <v>422</v>
      </c>
      <c r="E137" t="s">
        <v>4139</v>
      </c>
      <c r="F137" s="37" t="s">
        <v>3805</v>
      </c>
      <c r="G137" s="38">
        <v>847.5</v>
      </c>
      <c r="H137" s="38"/>
      <c r="J137" s="37"/>
      <c r="K137" s="140"/>
      <c r="L137" t="s">
        <v>4120</v>
      </c>
    </row>
    <row r="138" spans="1:12" ht="14.5" x14ac:dyDescent="0.35">
      <c r="A138" s="44" t="s">
        <v>3589</v>
      </c>
      <c r="B138" s="142" t="s">
        <v>3799</v>
      </c>
      <c r="C138" s="36">
        <v>45846</v>
      </c>
      <c r="D138" s="37" t="s">
        <v>422</v>
      </c>
      <c r="E138" t="s">
        <v>4140</v>
      </c>
      <c r="F138" s="37" t="s">
        <v>3805</v>
      </c>
      <c r="G138" s="38"/>
      <c r="H138" s="38">
        <v>4784.18</v>
      </c>
      <c r="J138" s="37"/>
      <c r="K138" s="140"/>
      <c r="L138" t="s">
        <v>4120</v>
      </c>
    </row>
    <row r="139" spans="1:12" ht="14.5" x14ac:dyDescent="0.35">
      <c r="A139" s="44" t="s">
        <v>3589</v>
      </c>
      <c r="B139" s="142" t="s">
        <v>3799</v>
      </c>
      <c r="C139" s="36">
        <v>45846</v>
      </c>
      <c r="D139" s="37" t="s">
        <v>422</v>
      </c>
      <c r="E139" t="s">
        <v>4121</v>
      </c>
      <c r="F139" s="37" t="s">
        <v>3805</v>
      </c>
      <c r="G139" s="38">
        <v>0</v>
      </c>
      <c r="H139" s="38">
        <v>91.36</v>
      </c>
      <c r="J139" s="37"/>
      <c r="K139" s="140"/>
      <c r="L139" t="s">
        <v>4121</v>
      </c>
    </row>
    <row r="140" spans="1:12" ht="14.5" x14ac:dyDescent="0.35">
      <c r="A140" s="44" t="s">
        <v>3589</v>
      </c>
      <c r="B140" s="142" t="s">
        <v>3799</v>
      </c>
      <c r="C140" s="36">
        <v>45846</v>
      </c>
      <c r="D140" s="37" t="s">
        <v>422</v>
      </c>
      <c r="E140" t="s">
        <v>4122</v>
      </c>
      <c r="F140" s="37" t="s">
        <v>3805</v>
      </c>
      <c r="G140" s="38">
        <v>0</v>
      </c>
      <c r="H140" s="38">
        <v>1938.98</v>
      </c>
      <c r="J140" s="37"/>
      <c r="K140" s="140"/>
      <c r="L140" t="s">
        <v>4122</v>
      </c>
    </row>
    <row r="141" spans="1:12" ht="14.5" x14ac:dyDescent="0.35">
      <c r="A141" s="44" t="s">
        <v>3589</v>
      </c>
      <c r="B141" s="142" t="s">
        <v>3799</v>
      </c>
      <c r="C141" s="36">
        <v>45846</v>
      </c>
      <c r="D141" s="37" t="s">
        <v>422</v>
      </c>
      <c r="E141" t="s">
        <v>4123</v>
      </c>
      <c r="F141" s="37" t="s">
        <v>3805</v>
      </c>
      <c r="G141" s="38">
        <v>0</v>
      </c>
      <c r="H141" s="38">
        <v>1302.48</v>
      </c>
      <c r="J141" s="37"/>
      <c r="K141" s="140"/>
      <c r="L141" t="s">
        <v>4123</v>
      </c>
    </row>
    <row r="142" spans="1:12" ht="14.5" x14ac:dyDescent="0.35">
      <c r="A142" s="44" t="s">
        <v>3589</v>
      </c>
      <c r="B142" s="142" t="s">
        <v>3799</v>
      </c>
      <c r="C142" s="36">
        <v>45846</v>
      </c>
      <c r="D142" s="37" t="s">
        <v>819</v>
      </c>
      <c r="E142" t="s">
        <v>4124</v>
      </c>
      <c r="F142" s="37" t="s">
        <v>3805</v>
      </c>
      <c r="G142" s="38">
        <v>0</v>
      </c>
      <c r="H142" s="38">
        <v>941</v>
      </c>
      <c r="J142" s="37"/>
      <c r="K142" s="140"/>
      <c r="L142" t="s">
        <v>4124</v>
      </c>
    </row>
    <row r="143" spans="1:12" ht="14.5" x14ac:dyDescent="0.35">
      <c r="A143" s="44" t="s">
        <v>3589</v>
      </c>
      <c r="B143" s="142" t="s">
        <v>3799</v>
      </c>
      <c r="C143" s="36">
        <v>45846</v>
      </c>
      <c r="D143" s="37" t="s">
        <v>422</v>
      </c>
      <c r="E143" t="s">
        <v>4125</v>
      </c>
      <c r="F143" s="37" t="s">
        <v>3805</v>
      </c>
      <c r="G143" s="38">
        <v>0</v>
      </c>
      <c r="H143" s="38">
        <v>199.39999999999998</v>
      </c>
      <c r="J143" s="37"/>
      <c r="K143" s="140"/>
      <c r="L143" t="s">
        <v>4125</v>
      </c>
    </row>
    <row r="144" spans="1:12" ht="14.5" x14ac:dyDescent="0.35">
      <c r="A144" s="44" t="s">
        <v>3589</v>
      </c>
      <c r="B144" s="142" t="s">
        <v>3799</v>
      </c>
      <c r="C144" s="36">
        <v>45846</v>
      </c>
      <c r="D144" s="37" t="s">
        <v>819</v>
      </c>
      <c r="E144" t="s">
        <v>4126</v>
      </c>
      <c r="F144" s="37" t="s">
        <v>3805</v>
      </c>
      <c r="G144" s="38">
        <v>0</v>
      </c>
      <c r="H144" s="38">
        <v>25</v>
      </c>
      <c r="J144" s="37"/>
      <c r="K144" s="140"/>
      <c r="L144" t="s">
        <v>4126</v>
      </c>
    </row>
    <row r="145" spans="1:12" ht="14.5" x14ac:dyDescent="0.35">
      <c r="A145" s="44" t="s">
        <v>3589</v>
      </c>
      <c r="B145" s="142" t="s">
        <v>3799</v>
      </c>
      <c r="C145" s="36">
        <v>45847</v>
      </c>
      <c r="D145" s="37" t="s">
        <v>96</v>
      </c>
      <c r="E145" t="s">
        <v>4127</v>
      </c>
      <c r="F145" s="37" t="s">
        <v>3805</v>
      </c>
      <c r="G145" s="38">
        <v>0</v>
      </c>
      <c r="H145" s="38">
        <v>7.0000000000000007E-2</v>
      </c>
      <c r="J145" s="37"/>
      <c r="K145" s="140"/>
      <c r="L145" t="s">
        <v>4127</v>
      </c>
    </row>
    <row r="146" spans="1:12" ht="14.5" x14ac:dyDescent="0.35">
      <c r="A146" s="44" t="s">
        <v>3589</v>
      </c>
      <c r="B146" s="142" t="s">
        <v>3799</v>
      </c>
      <c r="C146" s="36">
        <v>45847</v>
      </c>
      <c r="D146" s="37" t="s">
        <v>819</v>
      </c>
      <c r="E146" s="37" t="s">
        <v>3596</v>
      </c>
      <c r="F146" s="37" t="s">
        <v>3805</v>
      </c>
      <c r="G146" s="38">
        <v>0</v>
      </c>
      <c r="H146" s="38">
        <v>10520.77</v>
      </c>
    </row>
    <row r="147" spans="1:12" ht="14.5" x14ac:dyDescent="0.35">
      <c r="A147" s="142" t="s">
        <v>3799</v>
      </c>
      <c r="B147" s="44" t="s">
        <v>3802</v>
      </c>
      <c r="C147" s="36">
        <v>45847</v>
      </c>
      <c r="D147" s="37" t="s">
        <v>819</v>
      </c>
      <c r="E147" s="37" t="s">
        <v>4141</v>
      </c>
      <c r="F147" s="37" t="s">
        <v>3805</v>
      </c>
      <c r="G147" s="38">
        <v>1143.0899999999999</v>
      </c>
      <c r="H147" s="38"/>
    </row>
    <row r="148" spans="1:12" ht="14.5" x14ac:dyDescent="0.35">
      <c r="A148" s="44" t="s">
        <v>3589</v>
      </c>
      <c r="B148" s="142" t="s">
        <v>3799</v>
      </c>
      <c r="C148" s="36">
        <v>45847</v>
      </c>
      <c r="D148" s="37" t="s">
        <v>819</v>
      </c>
      <c r="E148" s="37" t="s">
        <v>4142</v>
      </c>
      <c r="F148" s="37" t="s">
        <v>3805</v>
      </c>
      <c r="G148" s="38"/>
      <c r="H148" s="38">
        <v>40449.97</v>
      </c>
    </row>
    <row r="149" spans="1:12" ht="14.5" x14ac:dyDescent="0.35">
      <c r="A149" s="142" t="s">
        <v>3799</v>
      </c>
      <c r="B149" s="44" t="s">
        <v>3802</v>
      </c>
      <c r="C149" s="36">
        <v>45847</v>
      </c>
      <c r="D149" s="37" t="s">
        <v>324</v>
      </c>
      <c r="E149" s="37" t="s">
        <v>3597</v>
      </c>
      <c r="F149" s="37" t="s">
        <v>3805</v>
      </c>
      <c r="G149" s="38">
        <v>487.5</v>
      </c>
      <c r="H149" s="38">
        <v>0</v>
      </c>
    </row>
    <row r="150" spans="1:12" ht="14.5" x14ac:dyDescent="0.35">
      <c r="A150" s="44" t="s">
        <v>3589</v>
      </c>
      <c r="B150" s="142" t="s">
        <v>3799</v>
      </c>
      <c r="C150" s="36">
        <v>45852</v>
      </c>
      <c r="D150" s="37" t="s">
        <v>819</v>
      </c>
      <c r="E150" s="37" t="s">
        <v>844</v>
      </c>
      <c r="F150" s="37" t="s">
        <v>3805</v>
      </c>
      <c r="G150" s="38">
        <v>0</v>
      </c>
      <c r="H150" s="38">
        <v>2600</v>
      </c>
    </row>
    <row r="151" spans="1:12" ht="14.5" x14ac:dyDescent="0.35">
      <c r="A151" s="44" t="s">
        <v>3589</v>
      </c>
      <c r="B151" s="142" t="s">
        <v>3799</v>
      </c>
      <c r="C151" s="36">
        <v>45852</v>
      </c>
      <c r="D151" s="37" t="s">
        <v>819</v>
      </c>
      <c r="E151" s="37" t="s">
        <v>847</v>
      </c>
      <c r="F151" s="37" t="s">
        <v>3805</v>
      </c>
      <c r="G151" s="38">
        <v>0</v>
      </c>
      <c r="H151" s="38">
        <v>41907.9</v>
      </c>
    </row>
    <row r="152" spans="1:12" ht="14.5" x14ac:dyDescent="0.35">
      <c r="A152" s="44" t="s">
        <v>3589</v>
      </c>
      <c r="B152" s="142" t="s">
        <v>3799</v>
      </c>
      <c r="C152" s="36">
        <v>45854</v>
      </c>
      <c r="D152" s="37" t="s">
        <v>34</v>
      </c>
      <c r="E152" s="37" t="s">
        <v>48</v>
      </c>
      <c r="F152" s="37" t="s">
        <v>3805</v>
      </c>
      <c r="G152" s="38">
        <v>0</v>
      </c>
      <c r="H152" s="38">
        <v>3115.34</v>
      </c>
    </row>
    <row r="153" spans="1:12" ht="14.5" x14ac:dyDescent="0.35">
      <c r="A153" s="142" t="s">
        <v>3799</v>
      </c>
      <c r="B153" s="44" t="s">
        <v>3802</v>
      </c>
      <c r="C153" s="36">
        <v>45855</v>
      </c>
      <c r="D153" s="37" t="s">
        <v>793</v>
      </c>
      <c r="E153" s="37">
        <v>18</v>
      </c>
      <c r="F153" s="37" t="s">
        <v>3805</v>
      </c>
      <c r="G153" s="38">
        <v>33.130000000000003</v>
      </c>
      <c r="H153" s="38"/>
    </row>
    <row r="154" spans="1:12" ht="14.5" x14ac:dyDescent="0.35">
      <c r="A154" s="44" t="s">
        <v>3589</v>
      </c>
      <c r="B154" s="142" t="s">
        <v>3799</v>
      </c>
      <c r="C154" s="36">
        <v>45855</v>
      </c>
      <c r="D154" s="37" t="s">
        <v>793</v>
      </c>
      <c r="E154" s="37">
        <v>18</v>
      </c>
      <c r="F154" s="37" t="s">
        <v>3805</v>
      </c>
      <c r="G154" s="38"/>
      <c r="H154" s="38">
        <v>33.130000000000003</v>
      </c>
    </row>
    <row r="155" spans="1:12" ht="14.5" x14ac:dyDescent="0.35">
      <c r="A155" s="142" t="s">
        <v>3799</v>
      </c>
      <c r="B155" s="44" t="s">
        <v>3802</v>
      </c>
      <c r="C155" s="36">
        <v>45856</v>
      </c>
      <c r="D155" s="37" t="s">
        <v>341</v>
      </c>
      <c r="E155" s="37" t="s">
        <v>4143</v>
      </c>
      <c r="F155" s="37" t="s">
        <v>3805</v>
      </c>
      <c r="G155" s="38">
        <v>15525</v>
      </c>
      <c r="H155" s="38"/>
    </row>
    <row r="156" spans="1:12" ht="14.5" x14ac:dyDescent="0.35">
      <c r="A156" s="44" t="s">
        <v>3589</v>
      </c>
      <c r="B156" s="142" t="s">
        <v>3799</v>
      </c>
      <c r="C156" s="36">
        <v>45856</v>
      </c>
      <c r="D156" s="37" t="s">
        <v>341</v>
      </c>
      <c r="E156" s="37" t="s">
        <v>4144</v>
      </c>
      <c r="F156" s="37" t="s">
        <v>3805</v>
      </c>
      <c r="G156" s="38"/>
      <c r="H156" s="38">
        <v>53050</v>
      </c>
    </row>
    <row r="157" spans="1:12" ht="14.5" x14ac:dyDescent="0.35">
      <c r="A157" s="142" t="s">
        <v>3799</v>
      </c>
      <c r="B157" s="44" t="s">
        <v>3802</v>
      </c>
      <c r="C157" s="36">
        <v>45856</v>
      </c>
      <c r="D157" s="37" t="s">
        <v>933</v>
      </c>
      <c r="E157" s="37" t="s">
        <v>3598</v>
      </c>
      <c r="F157" s="37" t="s">
        <v>3805</v>
      </c>
      <c r="G157" s="38">
        <v>3801.4</v>
      </c>
      <c r="H157" s="38">
        <v>0</v>
      </c>
    </row>
    <row r="158" spans="1:12" ht="14.5" x14ac:dyDescent="0.35">
      <c r="A158" s="142" t="s">
        <v>3799</v>
      </c>
      <c r="B158" s="44" t="s">
        <v>3802</v>
      </c>
      <c r="C158" s="36">
        <v>45859</v>
      </c>
      <c r="D158" s="37" t="s">
        <v>324</v>
      </c>
      <c r="E158" s="37" t="s">
        <v>3599</v>
      </c>
      <c r="F158" s="37" t="s">
        <v>3805</v>
      </c>
      <c r="G158" s="38">
        <v>39.270000000000003</v>
      </c>
      <c r="H158" s="38">
        <v>0</v>
      </c>
    </row>
    <row r="159" spans="1:12" ht="14.5" x14ac:dyDescent="0.35">
      <c r="A159" s="142" t="s">
        <v>3799</v>
      </c>
      <c r="B159" s="44" t="s">
        <v>3802</v>
      </c>
      <c r="C159" s="36">
        <v>45859</v>
      </c>
      <c r="D159" s="37" t="s">
        <v>324</v>
      </c>
      <c r="E159" s="37" t="s">
        <v>3600</v>
      </c>
      <c r="F159" s="37" t="s">
        <v>3805</v>
      </c>
      <c r="G159" s="38">
        <v>1072</v>
      </c>
      <c r="H159" s="38">
        <v>0</v>
      </c>
    </row>
    <row r="160" spans="1:12" ht="14.5" x14ac:dyDescent="0.35">
      <c r="A160" s="142" t="s">
        <v>3799</v>
      </c>
      <c r="B160" s="44" t="s">
        <v>3802</v>
      </c>
      <c r="C160" s="36">
        <v>45859</v>
      </c>
      <c r="D160" s="37" t="s">
        <v>324</v>
      </c>
      <c r="E160" s="37" t="s">
        <v>3601</v>
      </c>
      <c r="F160" s="37" t="s">
        <v>3805</v>
      </c>
      <c r="G160" s="38">
        <v>3318.5</v>
      </c>
      <c r="H160" s="38">
        <v>0</v>
      </c>
    </row>
    <row r="161" spans="1:8" ht="14.5" x14ac:dyDescent="0.35">
      <c r="A161" s="142" t="s">
        <v>3799</v>
      </c>
      <c r="B161" s="44" t="s">
        <v>3802</v>
      </c>
      <c r="C161" s="36">
        <v>45859</v>
      </c>
      <c r="D161" s="37" t="s">
        <v>324</v>
      </c>
      <c r="E161" s="37" t="s">
        <v>3602</v>
      </c>
      <c r="F161" s="37" t="s">
        <v>3805</v>
      </c>
      <c r="G161" s="38">
        <v>3885</v>
      </c>
      <c r="H161" s="38">
        <v>0</v>
      </c>
    </row>
    <row r="162" spans="1:8" ht="14.5" x14ac:dyDescent="0.35">
      <c r="A162" s="44" t="s">
        <v>3589</v>
      </c>
      <c r="B162" s="142" t="s">
        <v>3799</v>
      </c>
      <c r="C162" s="36">
        <v>45860</v>
      </c>
      <c r="D162" s="37" t="s">
        <v>422</v>
      </c>
      <c r="E162" s="37" t="s">
        <v>599</v>
      </c>
      <c r="F162" s="37" t="s">
        <v>3805</v>
      </c>
      <c r="G162" s="38">
        <v>0</v>
      </c>
      <c r="H162" s="38">
        <v>1054</v>
      </c>
    </row>
    <row r="163" spans="1:8" ht="14.5" x14ac:dyDescent="0.35">
      <c r="A163" s="44" t="s">
        <v>3589</v>
      </c>
      <c r="B163" s="142" t="s">
        <v>3799</v>
      </c>
      <c r="C163" s="36">
        <v>45860</v>
      </c>
      <c r="D163" s="37" t="s">
        <v>422</v>
      </c>
      <c r="E163" s="37" t="s">
        <v>581</v>
      </c>
      <c r="F163" s="37" t="s">
        <v>3805</v>
      </c>
      <c r="G163" s="38">
        <v>0</v>
      </c>
      <c r="H163" s="38">
        <v>87.050000000000011</v>
      </c>
    </row>
    <row r="164" spans="1:8" ht="14.5" x14ac:dyDescent="0.35">
      <c r="A164" s="44" t="s">
        <v>3589</v>
      </c>
      <c r="B164" s="142" t="s">
        <v>3799</v>
      </c>
      <c r="C164" s="36">
        <v>45860</v>
      </c>
      <c r="D164" s="37" t="s">
        <v>17</v>
      </c>
      <c r="E164" s="37">
        <v>202505104</v>
      </c>
      <c r="F164" s="37" t="s">
        <v>3805</v>
      </c>
      <c r="G164" s="38">
        <v>0</v>
      </c>
      <c r="H164" s="38">
        <v>150.00000000000006</v>
      </c>
    </row>
    <row r="165" spans="1:8" ht="14.5" x14ac:dyDescent="0.35">
      <c r="A165" s="44" t="s">
        <v>3589</v>
      </c>
      <c r="B165" s="142" t="s">
        <v>3799</v>
      </c>
      <c r="C165" s="36">
        <v>45860</v>
      </c>
      <c r="D165" s="37" t="s">
        <v>422</v>
      </c>
      <c r="E165" s="37" t="s">
        <v>593</v>
      </c>
      <c r="F165" s="37" t="s">
        <v>3805</v>
      </c>
      <c r="G165" s="38">
        <v>0</v>
      </c>
      <c r="H165" s="38">
        <v>916.44</v>
      </c>
    </row>
    <row r="166" spans="1:8" ht="14.5" x14ac:dyDescent="0.35">
      <c r="A166" s="44" t="s">
        <v>3589</v>
      </c>
      <c r="B166" s="142" t="s">
        <v>3799</v>
      </c>
      <c r="C166" s="36">
        <v>45860</v>
      </c>
      <c r="D166" s="37" t="s">
        <v>422</v>
      </c>
      <c r="E166" s="37" t="s">
        <v>601</v>
      </c>
      <c r="F166" s="37" t="s">
        <v>3805</v>
      </c>
      <c r="G166" s="38">
        <v>0</v>
      </c>
      <c r="H166" s="38">
        <v>56.86</v>
      </c>
    </row>
    <row r="167" spans="1:8" ht="14.5" x14ac:dyDescent="0.35">
      <c r="A167" s="44" t="s">
        <v>3589</v>
      </c>
      <c r="B167" s="142" t="s">
        <v>3799</v>
      </c>
      <c r="C167" s="36">
        <v>45860</v>
      </c>
      <c r="D167" s="37" t="s">
        <v>422</v>
      </c>
      <c r="E167" s="37" t="s">
        <v>602</v>
      </c>
      <c r="F167" s="37" t="s">
        <v>3805</v>
      </c>
      <c r="G167" s="38">
        <v>0</v>
      </c>
      <c r="H167" s="38">
        <v>642.19000000000005</v>
      </c>
    </row>
    <row r="168" spans="1:8" ht="14.5" x14ac:dyDescent="0.35">
      <c r="A168" s="44" t="s">
        <v>3589</v>
      </c>
      <c r="B168" s="142" t="s">
        <v>3799</v>
      </c>
      <c r="C168" s="36">
        <v>45860</v>
      </c>
      <c r="D168" s="37" t="s">
        <v>422</v>
      </c>
      <c r="E168" s="37" t="s">
        <v>582</v>
      </c>
      <c r="F168" s="37" t="s">
        <v>3805</v>
      </c>
      <c r="G168" s="38">
        <v>0</v>
      </c>
      <c r="H168" s="38">
        <v>1306.3</v>
      </c>
    </row>
    <row r="169" spans="1:8" ht="14.5" x14ac:dyDescent="0.35">
      <c r="A169" s="44" t="s">
        <v>3589</v>
      </c>
      <c r="B169" s="142" t="s">
        <v>3799</v>
      </c>
      <c r="C169" s="36">
        <v>45860</v>
      </c>
      <c r="D169" s="37" t="s">
        <v>422</v>
      </c>
      <c r="E169" s="37" t="s">
        <v>3603</v>
      </c>
      <c r="F169" s="37" t="s">
        <v>3805</v>
      </c>
      <c r="G169" s="38">
        <v>0</v>
      </c>
      <c r="H169" s="38">
        <v>131.32999999999998</v>
      </c>
    </row>
    <row r="170" spans="1:8" ht="14.5" x14ac:dyDescent="0.35">
      <c r="A170" s="44" t="s">
        <v>3589</v>
      </c>
      <c r="B170" s="142" t="s">
        <v>3799</v>
      </c>
      <c r="C170" s="36">
        <v>45860</v>
      </c>
      <c r="D170" s="37" t="s">
        <v>422</v>
      </c>
      <c r="E170" s="37" t="s">
        <v>590</v>
      </c>
      <c r="F170" s="37" t="s">
        <v>3805</v>
      </c>
      <c r="G170" s="38">
        <v>0</v>
      </c>
      <c r="H170" s="38">
        <v>59.900000000000013</v>
      </c>
    </row>
    <row r="171" spans="1:8" ht="14.5" x14ac:dyDescent="0.35">
      <c r="A171" s="44" t="s">
        <v>3589</v>
      </c>
      <c r="B171" s="142" t="s">
        <v>3799</v>
      </c>
      <c r="C171" s="36">
        <v>45860</v>
      </c>
      <c r="D171" s="37" t="s">
        <v>422</v>
      </c>
      <c r="E171" s="37" t="s">
        <v>587</v>
      </c>
      <c r="F171" s="37" t="s">
        <v>3805</v>
      </c>
      <c r="G171" s="38">
        <v>0</v>
      </c>
      <c r="H171" s="38">
        <v>248.72</v>
      </c>
    </row>
    <row r="172" spans="1:8" ht="14.5" x14ac:dyDescent="0.35">
      <c r="A172" s="44" t="s">
        <v>3589</v>
      </c>
      <c r="B172" s="142" t="s">
        <v>3799</v>
      </c>
      <c r="C172" s="36">
        <v>45860</v>
      </c>
      <c r="D172" s="37" t="s">
        <v>66</v>
      </c>
      <c r="E172" s="37" t="s">
        <v>79</v>
      </c>
      <c r="F172" s="37" t="s">
        <v>3805</v>
      </c>
      <c r="G172" s="38">
        <v>0</v>
      </c>
      <c r="H172" s="38">
        <v>1936.4999999999995</v>
      </c>
    </row>
    <row r="173" spans="1:8" ht="14.5" x14ac:dyDescent="0.35">
      <c r="A173" s="44" t="s">
        <v>3589</v>
      </c>
      <c r="B173" s="142" t="s">
        <v>3799</v>
      </c>
      <c r="C173" s="36">
        <v>45860</v>
      </c>
      <c r="D173" s="37" t="s">
        <v>422</v>
      </c>
      <c r="E173" s="37" t="s">
        <v>605</v>
      </c>
      <c r="F173" s="37" t="s">
        <v>3805</v>
      </c>
      <c r="G173" s="38">
        <v>0</v>
      </c>
      <c r="H173" s="38">
        <v>267</v>
      </c>
    </row>
    <row r="174" spans="1:8" ht="14.5" x14ac:dyDescent="0.35">
      <c r="A174" s="142" t="s">
        <v>3799</v>
      </c>
      <c r="B174" s="44" t="s">
        <v>3802</v>
      </c>
      <c r="C174" s="36">
        <v>45860</v>
      </c>
      <c r="D174" s="37" t="s">
        <v>422</v>
      </c>
      <c r="E174" s="37" t="s">
        <v>4145</v>
      </c>
      <c r="F174" s="37" t="s">
        <v>3805</v>
      </c>
      <c r="G174" s="38">
        <v>35</v>
      </c>
      <c r="H174" s="38"/>
    </row>
    <row r="175" spans="1:8" ht="14.5" x14ac:dyDescent="0.35">
      <c r="A175" s="44" t="s">
        <v>3589</v>
      </c>
      <c r="B175" s="142" t="s">
        <v>3799</v>
      </c>
      <c r="C175" s="36">
        <v>45860</v>
      </c>
      <c r="D175" s="37" t="s">
        <v>422</v>
      </c>
      <c r="E175" s="37" t="s">
        <v>4146</v>
      </c>
      <c r="F175" s="37" t="s">
        <v>3805</v>
      </c>
      <c r="G175" s="38"/>
      <c r="H175" s="38">
        <v>576.91</v>
      </c>
    </row>
    <row r="176" spans="1:8" ht="14.5" x14ac:dyDescent="0.35">
      <c r="A176" s="44" t="s">
        <v>3589</v>
      </c>
      <c r="B176" s="142" t="s">
        <v>3799</v>
      </c>
      <c r="C176" s="36">
        <v>45860</v>
      </c>
      <c r="D176" s="37" t="s">
        <v>422</v>
      </c>
      <c r="E176" s="37" t="s">
        <v>595</v>
      </c>
      <c r="F176" s="37" t="s">
        <v>3805</v>
      </c>
      <c r="G176" s="38">
        <v>0</v>
      </c>
      <c r="H176" s="38">
        <v>739.04</v>
      </c>
    </row>
    <row r="177" spans="1:8" ht="14.5" x14ac:dyDescent="0.35">
      <c r="A177" s="44" t="s">
        <v>3589</v>
      </c>
      <c r="B177" s="142" t="s">
        <v>3799</v>
      </c>
      <c r="C177" s="36">
        <v>45860</v>
      </c>
      <c r="D177" s="37" t="s">
        <v>422</v>
      </c>
      <c r="E177" s="37" t="s">
        <v>603</v>
      </c>
      <c r="F177" s="37" t="s">
        <v>3805</v>
      </c>
      <c r="G177" s="38">
        <v>0</v>
      </c>
      <c r="H177" s="38">
        <v>1126</v>
      </c>
    </row>
    <row r="178" spans="1:8" ht="14.5" x14ac:dyDescent="0.35">
      <c r="A178" s="44" t="s">
        <v>3589</v>
      </c>
      <c r="B178" s="142" t="s">
        <v>3799</v>
      </c>
      <c r="C178" s="36">
        <v>45860</v>
      </c>
      <c r="D178" s="37" t="s">
        <v>422</v>
      </c>
      <c r="E178" s="37" t="s">
        <v>585</v>
      </c>
      <c r="F178" s="37" t="s">
        <v>3805</v>
      </c>
      <c r="G178" s="38">
        <v>0</v>
      </c>
      <c r="H178" s="38">
        <v>1795.2799999999995</v>
      </c>
    </row>
    <row r="179" spans="1:8" ht="14.5" x14ac:dyDescent="0.35">
      <c r="A179" s="44" t="s">
        <v>3589</v>
      </c>
      <c r="B179" s="142" t="s">
        <v>3799</v>
      </c>
      <c r="C179" s="36">
        <v>45860</v>
      </c>
      <c r="D179" s="37" t="s">
        <v>422</v>
      </c>
      <c r="E179" s="37" t="s">
        <v>589</v>
      </c>
      <c r="F179" s="37" t="s">
        <v>3805</v>
      </c>
      <c r="G179" s="38">
        <v>0</v>
      </c>
      <c r="H179" s="38">
        <v>26.52</v>
      </c>
    </row>
    <row r="180" spans="1:8" ht="14.5" x14ac:dyDescent="0.35">
      <c r="A180" s="44" t="s">
        <v>3589</v>
      </c>
      <c r="B180" s="142" t="s">
        <v>3799</v>
      </c>
      <c r="C180" s="36">
        <v>45860</v>
      </c>
      <c r="D180" s="37" t="s">
        <v>422</v>
      </c>
      <c r="E180" s="37" t="s">
        <v>591</v>
      </c>
      <c r="F180" s="37" t="s">
        <v>3805</v>
      </c>
      <c r="G180" s="38">
        <v>0</v>
      </c>
      <c r="H180" s="38">
        <v>308.63999999999993</v>
      </c>
    </row>
    <row r="181" spans="1:8" ht="14.5" x14ac:dyDescent="0.35">
      <c r="A181" s="44" t="s">
        <v>3589</v>
      </c>
      <c r="B181" s="142" t="s">
        <v>3799</v>
      </c>
      <c r="C181" s="36">
        <v>45860</v>
      </c>
      <c r="D181" s="37" t="s">
        <v>422</v>
      </c>
      <c r="E181" s="37" t="s">
        <v>586</v>
      </c>
      <c r="F181" s="37" t="s">
        <v>3805</v>
      </c>
      <c r="G181" s="38">
        <v>0</v>
      </c>
      <c r="H181" s="38">
        <v>476.13</v>
      </c>
    </row>
    <row r="182" spans="1:8" ht="14.5" x14ac:dyDescent="0.35">
      <c r="A182" s="44" t="s">
        <v>3589</v>
      </c>
      <c r="B182" s="142" t="s">
        <v>3799</v>
      </c>
      <c r="C182" s="36">
        <v>45860</v>
      </c>
      <c r="D182" s="37" t="s">
        <v>422</v>
      </c>
      <c r="E182" s="37" t="s">
        <v>604</v>
      </c>
      <c r="F182" s="37" t="s">
        <v>3805</v>
      </c>
      <c r="G182" s="38">
        <v>0</v>
      </c>
      <c r="H182" s="38">
        <v>73.09</v>
      </c>
    </row>
    <row r="183" spans="1:8" ht="14.5" x14ac:dyDescent="0.35">
      <c r="A183" s="44" t="s">
        <v>3589</v>
      </c>
      <c r="B183" s="142" t="s">
        <v>3799</v>
      </c>
      <c r="C183" s="36">
        <v>45860</v>
      </c>
      <c r="D183" s="37" t="s">
        <v>422</v>
      </c>
      <c r="E183" s="37" t="s">
        <v>606</v>
      </c>
      <c r="F183" s="37" t="s">
        <v>3805</v>
      </c>
      <c r="G183" s="38">
        <v>0</v>
      </c>
      <c r="H183" s="38">
        <v>425.55</v>
      </c>
    </row>
    <row r="184" spans="1:8" ht="14.5" x14ac:dyDescent="0.35">
      <c r="A184" s="44" t="s">
        <v>3589</v>
      </c>
      <c r="B184" s="142" t="s">
        <v>3799</v>
      </c>
      <c r="C184" s="36">
        <v>45860</v>
      </c>
      <c r="D184" s="37" t="s">
        <v>422</v>
      </c>
      <c r="E184" s="37" t="s">
        <v>3604</v>
      </c>
      <c r="F184" s="37" t="s">
        <v>3805</v>
      </c>
      <c r="G184" s="38">
        <v>0</v>
      </c>
      <c r="H184" s="38">
        <v>220.75</v>
      </c>
    </row>
    <row r="185" spans="1:8" ht="14.5" x14ac:dyDescent="0.35">
      <c r="A185" s="44" t="s">
        <v>3589</v>
      </c>
      <c r="B185" s="142" t="s">
        <v>3799</v>
      </c>
      <c r="C185" s="36">
        <v>45860</v>
      </c>
      <c r="D185" s="37" t="s">
        <v>422</v>
      </c>
      <c r="E185" s="37" t="s">
        <v>594</v>
      </c>
      <c r="F185" s="37" t="s">
        <v>3805</v>
      </c>
      <c r="G185" s="38">
        <v>0</v>
      </c>
      <c r="H185" s="38">
        <v>168.61999999999998</v>
      </c>
    </row>
    <row r="186" spans="1:8" ht="14.5" x14ac:dyDescent="0.35">
      <c r="A186" s="44" t="s">
        <v>3589</v>
      </c>
      <c r="B186" s="142" t="s">
        <v>3799</v>
      </c>
      <c r="C186" s="36">
        <v>45860</v>
      </c>
      <c r="D186" s="37" t="s">
        <v>422</v>
      </c>
      <c r="E186" s="37" t="s">
        <v>592</v>
      </c>
      <c r="F186" s="37" t="s">
        <v>3805</v>
      </c>
      <c r="G186" s="38">
        <v>0</v>
      </c>
      <c r="H186" s="38">
        <v>365.99</v>
      </c>
    </row>
    <row r="187" spans="1:8" ht="14.5" x14ac:dyDescent="0.35">
      <c r="A187" s="44" t="s">
        <v>3589</v>
      </c>
      <c r="B187" s="142" t="s">
        <v>3799</v>
      </c>
      <c r="C187" s="36">
        <v>45860</v>
      </c>
      <c r="D187" s="37" t="s">
        <v>422</v>
      </c>
      <c r="E187" s="37" t="s">
        <v>583</v>
      </c>
      <c r="F187" s="37" t="s">
        <v>3805</v>
      </c>
      <c r="G187" s="38">
        <v>0</v>
      </c>
      <c r="H187" s="38">
        <v>467.27</v>
      </c>
    </row>
    <row r="188" spans="1:8" ht="14.5" x14ac:dyDescent="0.35">
      <c r="A188" s="44" t="s">
        <v>3589</v>
      </c>
      <c r="B188" s="142" t="s">
        <v>3799</v>
      </c>
      <c r="C188" s="36">
        <v>45860</v>
      </c>
      <c r="D188" s="37" t="s">
        <v>422</v>
      </c>
      <c r="E188" s="37" t="s">
        <v>588</v>
      </c>
      <c r="F188" s="37" t="s">
        <v>3805</v>
      </c>
      <c r="G188" s="38">
        <v>0</v>
      </c>
      <c r="H188" s="38">
        <v>387.25000000000006</v>
      </c>
    </row>
    <row r="189" spans="1:8" ht="14.5" x14ac:dyDescent="0.35">
      <c r="A189" s="44" t="s">
        <v>3589</v>
      </c>
      <c r="B189" s="142" t="s">
        <v>3799</v>
      </c>
      <c r="C189" s="36">
        <v>45860</v>
      </c>
      <c r="D189" s="37" t="s">
        <v>422</v>
      </c>
      <c r="E189" s="37" t="s">
        <v>584</v>
      </c>
      <c r="F189" s="37" t="s">
        <v>3805</v>
      </c>
      <c r="G189" s="38">
        <v>0</v>
      </c>
      <c r="H189" s="38">
        <v>430.15000000000003</v>
      </c>
    </row>
    <row r="190" spans="1:8" ht="14.5" x14ac:dyDescent="0.35">
      <c r="A190" s="142" t="s">
        <v>3799</v>
      </c>
      <c r="B190" s="44" t="s">
        <v>3802</v>
      </c>
      <c r="C190" s="36">
        <v>45860</v>
      </c>
      <c r="D190" s="37" t="s">
        <v>933</v>
      </c>
      <c r="E190" s="37" t="s">
        <v>4147</v>
      </c>
      <c r="F190" s="37" t="s">
        <v>3805</v>
      </c>
      <c r="G190" s="38">
        <v>7849.5</v>
      </c>
      <c r="H190" s="38"/>
    </row>
    <row r="191" spans="1:8" ht="14.5" x14ac:dyDescent="0.35">
      <c r="A191" s="44" t="s">
        <v>3589</v>
      </c>
      <c r="B191" s="142" t="s">
        <v>3799</v>
      </c>
      <c r="C191" s="36">
        <v>45860</v>
      </c>
      <c r="D191" s="37" t="s">
        <v>933</v>
      </c>
      <c r="E191" s="37" t="s">
        <v>4148</v>
      </c>
      <c r="F191" s="37" t="s">
        <v>3805</v>
      </c>
      <c r="G191" s="38"/>
      <c r="H191" s="38">
        <v>487.5</v>
      </c>
    </row>
    <row r="192" spans="1:8" ht="14.5" x14ac:dyDescent="0.35">
      <c r="A192" s="142" t="s">
        <v>3799</v>
      </c>
      <c r="B192" s="44" t="s">
        <v>3802</v>
      </c>
      <c r="C192" s="36">
        <v>45861</v>
      </c>
      <c r="D192" s="37" t="s">
        <v>422</v>
      </c>
      <c r="E192" s="37" t="s">
        <v>4149</v>
      </c>
      <c r="F192" s="37" t="s">
        <v>3805</v>
      </c>
      <c r="G192" s="38">
        <v>287692.09999999998</v>
      </c>
      <c r="H192" s="38"/>
    </row>
    <row r="193" spans="1:8" ht="14.5" x14ac:dyDescent="0.35">
      <c r="A193" s="44" t="s">
        <v>3589</v>
      </c>
      <c r="B193" s="142" t="s">
        <v>3799</v>
      </c>
      <c r="C193" s="36">
        <v>45861</v>
      </c>
      <c r="D193" s="37" t="s">
        <v>422</v>
      </c>
      <c r="E193" s="37" t="s">
        <v>4150</v>
      </c>
      <c r="F193" s="37" t="s">
        <v>3805</v>
      </c>
      <c r="G193" s="38"/>
      <c r="H193" s="38">
        <v>287692.09999999998</v>
      </c>
    </row>
    <row r="194" spans="1:8" ht="14.5" x14ac:dyDescent="0.35">
      <c r="A194" s="142" t="s">
        <v>3799</v>
      </c>
      <c r="B194" s="44" t="s">
        <v>3802</v>
      </c>
      <c r="C194" s="36">
        <v>45862</v>
      </c>
      <c r="D194" s="37" t="s">
        <v>793</v>
      </c>
      <c r="E194" s="37">
        <v>5</v>
      </c>
      <c r="F194" s="37" t="s">
        <v>3805</v>
      </c>
      <c r="G194" s="38">
        <v>121.92</v>
      </c>
      <c r="H194" s="38">
        <v>0</v>
      </c>
    </row>
    <row r="195" spans="1:8" ht="14.5" x14ac:dyDescent="0.35">
      <c r="A195" s="142" t="s">
        <v>3799</v>
      </c>
      <c r="B195" s="44" t="s">
        <v>3802</v>
      </c>
      <c r="C195" s="36">
        <v>45862</v>
      </c>
      <c r="D195" s="37" t="s">
        <v>109</v>
      </c>
      <c r="E195" s="37" t="s">
        <v>4151</v>
      </c>
      <c r="F195" s="37" t="s">
        <v>3805</v>
      </c>
      <c r="G195" s="38">
        <v>61.999999999999993</v>
      </c>
      <c r="H195" s="38"/>
    </row>
    <row r="196" spans="1:8" ht="14.5" x14ac:dyDescent="0.35">
      <c r="A196" s="44" t="s">
        <v>3589</v>
      </c>
      <c r="B196" s="142" t="s">
        <v>3799</v>
      </c>
      <c r="C196" s="36">
        <v>45862</v>
      </c>
      <c r="D196" s="37" t="s">
        <v>109</v>
      </c>
      <c r="E196" s="37" t="s">
        <v>4152</v>
      </c>
      <c r="F196" s="37" t="s">
        <v>3805</v>
      </c>
      <c r="G196" s="38"/>
      <c r="H196" s="38">
        <v>50</v>
      </c>
    </row>
    <row r="197" spans="1:8" ht="14.5" x14ac:dyDescent="0.35">
      <c r="A197" s="142" t="s">
        <v>3799</v>
      </c>
      <c r="B197" s="142" t="s">
        <v>3799</v>
      </c>
      <c r="C197" s="36">
        <v>45862</v>
      </c>
      <c r="D197" s="37" t="s">
        <v>109</v>
      </c>
      <c r="E197" s="37" t="s">
        <v>4153</v>
      </c>
      <c r="F197" s="37" t="s">
        <v>3805</v>
      </c>
      <c r="G197" s="38">
        <v>67</v>
      </c>
      <c r="H197" s="38"/>
    </row>
    <row r="198" spans="1:8" ht="14.5" x14ac:dyDescent="0.35">
      <c r="A198" s="44" t="s">
        <v>3589</v>
      </c>
      <c r="B198" s="142" t="s">
        <v>3799</v>
      </c>
      <c r="C198" s="36">
        <v>45862</v>
      </c>
      <c r="D198" s="37" t="s">
        <v>109</v>
      </c>
      <c r="E198" s="37" t="s">
        <v>4154</v>
      </c>
      <c r="F198" s="37" t="s">
        <v>3805</v>
      </c>
      <c r="G198" s="38"/>
      <c r="H198" s="38">
        <v>55</v>
      </c>
    </row>
    <row r="199" spans="1:8" ht="14.5" x14ac:dyDescent="0.35">
      <c r="A199" s="142" t="s">
        <v>3799</v>
      </c>
      <c r="B199" s="44" t="s">
        <v>3802</v>
      </c>
      <c r="C199" s="36">
        <v>45862</v>
      </c>
      <c r="D199" s="37" t="s">
        <v>96</v>
      </c>
      <c r="E199" s="37" t="s">
        <v>101</v>
      </c>
      <c r="F199" s="37" t="s">
        <v>3805</v>
      </c>
      <c r="G199" s="38">
        <v>0.42</v>
      </c>
      <c r="H199" s="38">
        <v>0</v>
      </c>
    </row>
    <row r="200" spans="1:8" ht="14.5" x14ac:dyDescent="0.35">
      <c r="A200" s="142" t="s">
        <v>3799</v>
      </c>
      <c r="B200" s="44" t="s">
        <v>3802</v>
      </c>
      <c r="C200" s="36">
        <v>45862</v>
      </c>
      <c r="D200" s="37" t="s">
        <v>109</v>
      </c>
      <c r="E200" s="37" t="s">
        <v>4155</v>
      </c>
      <c r="F200" s="37" t="s">
        <v>3805</v>
      </c>
      <c r="G200" s="38">
        <v>67</v>
      </c>
      <c r="H200" s="38"/>
    </row>
    <row r="201" spans="1:8" ht="14.5" x14ac:dyDescent="0.35">
      <c r="A201" s="142" t="s">
        <v>3799</v>
      </c>
      <c r="B201" s="44" t="s">
        <v>3802</v>
      </c>
      <c r="C201" s="36">
        <v>45862</v>
      </c>
      <c r="D201" s="37" t="s">
        <v>96</v>
      </c>
      <c r="E201" s="37" t="s">
        <v>4156</v>
      </c>
      <c r="F201" s="37" t="s">
        <v>3805</v>
      </c>
      <c r="G201" s="38">
        <v>1056.45</v>
      </c>
      <c r="H201" s="38"/>
    </row>
    <row r="202" spans="1:8" ht="14.5" x14ac:dyDescent="0.35">
      <c r="A202" s="142" t="s">
        <v>3799</v>
      </c>
      <c r="B202" s="44" t="s">
        <v>3802</v>
      </c>
      <c r="C202" s="36">
        <v>45862</v>
      </c>
      <c r="D202" s="37" t="s">
        <v>109</v>
      </c>
      <c r="E202" s="37" t="s">
        <v>4157</v>
      </c>
      <c r="F202" s="37" t="s">
        <v>3805</v>
      </c>
      <c r="G202" s="38">
        <v>67</v>
      </c>
      <c r="H202" s="38"/>
    </row>
    <row r="203" spans="1:8" ht="14.5" x14ac:dyDescent="0.35">
      <c r="A203" s="142" t="s">
        <v>3799</v>
      </c>
      <c r="B203" s="44" t="s">
        <v>3802</v>
      </c>
      <c r="C203" s="36">
        <v>45862</v>
      </c>
      <c r="D203" s="37" t="s">
        <v>109</v>
      </c>
      <c r="E203" s="37" t="s">
        <v>4158</v>
      </c>
      <c r="F203" s="37" t="s">
        <v>3805</v>
      </c>
      <c r="G203" s="38">
        <v>68</v>
      </c>
      <c r="H203" s="38"/>
    </row>
    <row r="204" spans="1:8" ht="14.5" x14ac:dyDescent="0.35">
      <c r="A204" s="142" t="s">
        <v>3799</v>
      </c>
      <c r="B204" s="44" t="s">
        <v>3802</v>
      </c>
      <c r="C204" s="36">
        <v>45862</v>
      </c>
      <c r="D204" s="37" t="s">
        <v>109</v>
      </c>
      <c r="E204" s="37" t="s">
        <v>4159</v>
      </c>
      <c r="F204" s="37" t="s">
        <v>3805</v>
      </c>
      <c r="G204" s="38">
        <v>67</v>
      </c>
      <c r="H204" s="38"/>
    </row>
    <row r="205" spans="1:8" ht="14.5" x14ac:dyDescent="0.35">
      <c r="A205" s="142" t="s">
        <v>3799</v>
      </c>
      <c r="B205" s="44" t="s">
        <v>3802</v>
      </c>
      <c r="C205" s="36">
        <v>45862</v>
      </c>
      <c r="D205" s="37" t="s">
        <v>109</v>
      </c>
      <c r="E205" s="37" t="s">
        <v>4160</v>
      </c>
      <c r="F205" s="37" t="s">
        <v>3805</v>
      </c>
      <c r="G205" s="38">
        <v>67</v>
      </c>
      <c r="H205" s="38"/>
    </row>
    <row r="206" spans="1:8" ht="14.5" x14ac:dyDescent="0.35">
      <c r="A206" s="142" t="s">
        <v>3799</v>
      </c>
      <c r="B206" s="44" t="s">
        <v>3802</v>
      </c>
      <c r="C206" s="36">
        <v>45862</v>
      </c>
      <c r="D206" s="37" t="s">
        <v>109</v>
      </c>
      <c r="E206" s="37" t="s">
        <v>4161</v>
      </c>
      <c r="F206" s="37" t="s">
        <v>3805</v>
      </c>
      <c r="G206" s="38">
        <v>67</v>
      </c>
      <c r="H206" s="38"/>
    </row>
    <row r="207" spans="1:8" ht="14.5" x14ac:dyDescent="0.35">
      <c r="A207" s="142" t="s">
        <v>3799</v>
      </c>
      <c r="B207" s="44" t="s">
        <v>3802</v>
      </c>
      <c r="C207" s="36">
        <v>45862</v>
      </c>
      <c r="D207" s="37" t="s">
        <v>17</v>
      </c>
      <c r="E207" s="37" t="s">
        <v>4162</v>
      </c>
      <c r="F207" s="37" t="s">
        <v>3805</v>
      </c>
      <c r="G207" s="38">
        <v>6177.4900000000007</v>
      </c>
      <c r="H207" s="38"/>
    </row>
    <row r="208" spans="1:8" ht="14.5" x14ac:dyDescent="0.35">
      <c r="A208" s="44" t="s">
        <v>3589</v>
      </c>
      <c r="B208" s="142" t="s">
        <v>3799</v>
      </c>
      <c r="C208" s="36">
        <v>45862</v>
      </c>
      <c r="D208" s="37" t="s">
        <v>109</v>
      </c>
      <c r="E208" s="37" t="s">
        <v>4163</v>
      </c>
      <c r="F208" s="37" t="s">
        <v>3805</v>
      </c>
      <c r="G208" s="38"/>
      <c r="H208" s="38">
        <v>55</v>
      </c>
    </row>
    <row r="209" spans="1:8" ht="14.5" x14ac:dyDescent="0.35">
      <c r="A209" s="44" t="s">
        <v>3589</v>
      </c>
      <c r="B209" s="142" t="s">
        <v>3799</v>
      </c>
      <c r="C209" s="36">
        <v>45862</v>
      </c>
      <c r="D209" s="37" t="s">
        <v>96</v>
      </c>
      <c r="E209" s="37" t="s">
        <v>4164</v>
      </c>
      <c r="F209" s="37" t="s">
        <v>3805</v>
      </c>
      <c r="G209" s="38"/>
      <c r="H209" s="38">
        <v>816</v>
      </c>
    </row>
    <row r="210" spans="1:8" ht="14.5" x14ac:dyDescent="0.35">
      <c r="A210" s="44" t="s">
        <v>3589</v>
      </c>
      <c r="B210" s="142" t="s">
        <v>3799</v>
      </c>
      <c r="C210" s="36">
        <v>45862</v>
      </c>
      <c r="D210" s="37" t="s">
        <v>109</v>
      </c>
      <c r="E210" s="37" t="s">
        <v>4165</v>
      </c>
      <c r="F210" s="37" t="s">
        <v>3805</v>
      </c>
      <c r="G210" s="38"/>
      <c r="H210" s="38">
        <v>55</v>
      </c>
    </row>
    <row r="211" spans="1:8" ht="14.5" x14ac:dyDescent="0.35">
      <c r="A211" s="44" t="s">
        <v>3589</v>
      </c>
      <c r="B211" s="142" t="s">
        <v>3799</v>
      </c>
      <c r="C211" s="36">
        <v>45862</v>
      </c>
      <c r="D211" s="37" t="s">
        <v>109</v>
      </c>
      <c r="E211" s="37" t="s">
        <v>4166</v>
      </c>
      <c r="F211" s="37" t="s">
        <v>3805</v>
      </c>
      <c r="G211" s="38"/>
      <c r="H211" s="38">
        <v>55</v>
      </c>
    </row>
    <row r="212" spans="1:8" ht="14.5" x14ac:dyDescent="0.35">
      <c r="A212" s="44" t="s">
        <v>3589</v>
      </c>
      <c r="B212" s="142" t="s">
        <v>3799</v>
      </c>
      <c r="C212" s="36">
        <v>45862</v>
      </c>
      <c r="D212" s="37" t="s">
        <v>109</v>
      </c>
      <c r="E212" s="37" t="s">
        <v>4167</v>
      </c>
      <c r="F212" s="37" t="s">
        <v>3805</v>
      </c>
      <c r="G212" s="38"/>
      <c r="H212" s="38">
        <v>55</v>
      </c>
    </row>
    <row r="213" spans="1:8" ht="14.5" x14ac:dyDescent="0.35">
      <c r="A213" s="44" t="s">
        <v>3589</v>
      </c>
      <c r="B213" s="142" t="s">
        <v>3799</v>
      </c>
      <c r="C213" s="36">
        <v>45862</v>
      </c>
      <c r="D213" s="37" t="s">
        <v>109</v>
      </c>
      <c r="E213" s="37" t="s">
        <v>4168</v>
      </c>
      <c r="F213" s="37" t="s">
        <v>3805</v>
      </c>
      <c r="G213" s="38"/>
      <c r="H213" s="38">
        <v>55</v>
      </c>
    </row>
    <row r="214" spans="1:8" ht="14.5" x14ac:dyDescent="0.35">
      <c r="A214" s="44" t="s">
        <v>3589</v>
      </c>
      <c r="B214" s="142" t="s">
        <v>3799</v>
      </c>
      <c r="C214" s="36">
        <v>45862</v>
      </c>
      <c r="D214" s="37" t="s">
        <v>109</v>
      </c>
      <c r="E214" s="37" t="s">
        <v>4169</v>
      </c>
      <c r="F214" s="37" t="s">
        <v>3805</v>
      </c>
      <c r="G214" s="38"/>
      <c r="H214" s="38">
        <v>55</v>
      </c>
    </row>
    <row r="215" spans="1:8" ht="14.5" x14ac:dyDescent="0.35">
      <c r="A215" s="44" t="s">
        <v>3589</v>
      </c>
      <c r="B215" s="142" t="s">
        <v>3799</v>
      </c>
      <c r="C215" s="36">
        <v>45862</v>
      </c>
      <c r="D215" s="37" t="s">
        <v>17</v>
      </c>
      <c r="E215" s="37" t="s">
        <v>4170</v>
      </c>
      <c r="F215" s="37" t="s">
        <v>3805</v>
      </c>
      <c r="G215" s="38"/>
      <c r="H215" s="38">
        <v>5789.5</v>
      </c>
    </row>
    <row r="216" spans="1:8" ht="14.5" x14ac:dyDescent="0.35">
      <c r="A216" s="142" t="s">
        <v>3799</v>
      </c>
      <c r="B216" s="44" t="s">
        <v>3802</v>
      </c>
      <c r="C216" s="36">
        <v>45862</v>
      </c>
      <c r="D216" s="37" t="s">
        <v>17</v>
      </c>
      <c r="E216" s="37">
        <v>20250180</v>
      </c>
      <c r="F216" s="37" t="s">
        <v>3805</v>
      </c>
      <c r="G216" s="38">
        <v>458.01999999999992</v>
      </c>
      <c r="H216" s="38">
        <v>0</v>
      </c>
    </row>
    <row r="217" spans="1:8" ht="14.5" x14ac:dyDescent="0.35">
      <c r="A217" s="142" t="s">
        <v>3799</v>
      </c>
      <c r="B217" s="44" t="s">
        <v>3802</v>
      </c>
      <c r="C217" s="36">
        <v>45862</v>
      </c>
      <c r="D217" s="37" t="s">
        <v>17</v>
      </c>
      <c r="E217" s="37">
        <v>20250179</v>
      </c>
      <c r="F217" s="37" t="s">
        <v>3805</v>
      </c>
      <c r="G217" s="38">
        <v>85.83</v>
      </c>
      <c r="H217" s="38">
        <v>0</v>
      </c>
    </row>
    <row r="218" spans="1:8" ht="14.5" x14ac:dyDescent="0.35">
      <c r="A218" s="142" t="s">
        <v>3799</v>
      </c>
      <c r="B218" s="44" t="s">
        <v>3802</v>
      </c>
      <c r="C218" s="36">
        <v>45862</v>
      </c>
      <c r="D218" s="37" t="s">
        <v>422</v>
      </c>
      <c r="E218" s="37" t="s">
        <v>3610</v>
      </c>
      <c r="F218" s="37" t="s">
        <v>3805</v>
      </c>
      <c r="G218" s="38">
        <v>3526.5699999999997</v>
      </c>
      <c r="H218" s="38">
        <v>0</v>
      </c>
    </row>
    <row r="219" spans="1:8" ht="14.5" x14ac:dyDescent="0.35">
      <c r="A219" s="142" t="s">
        <v>3799</v>
      </c>
      <c r="B219" s="44" t="s">
        <v>3802</v>
      </c>
      <c r="C219" s="36">
        <v>45862</v>
      </c>
      <c r="D219" s="37" t="s">
        <v>324</v>
      </c>
      <c r="E219" s="37" t="s">
        <v>3611</v>
      </c>
      <c r="F219" s="37" t="s">
        <v>3805</v>
      </c>
      <c r="G219" s="38">
        <v>14666.45</v>
      </c>
      <c r="H219" s="38">
        <v>0</v>
      </c>
    </row>
    <row r="220" spans="1:8" ht="14.5" x14ac:dyDescent="0.35">
      <c r="A220" s="44" t="s">
        <v>3589</v>
      </c>
      <c r="B220" s="142" t="s">
        <v>3799</v>
      </c>
      <c r="C220" s="36">
        <v>45863</v>
      </c>
      <c r="D220" s="37" t="s">
        <v>422</v>
      </c>
      <c r="E220" s="37" t="s">
        <v>617</v>
      </c>
      <c r="F220" s="37" t="s">
        <v>3805</v>
      </c>
      <c r="G220" s="38">
        <v>0</v>
      </c>
      <c r="H220" s="38">
        <v>468.09000000000003</v>
      </c>
    </row>
    <row r="221" spans="1:8" ht="14.5" x14ac:dyDescent="0.35">
      <c r="A221" s="44" t="s">
        <v>3589</v>
      </c>
      <c r="B221" s="142" t="s">
        <v>3799</v>
      </c>
      <c r="C221" s="36">
        <v>45863</v>
      </c>
      <c r="D221" s="37" t="s">
        <v>422</v>
      </c>
      <c r="E221" s="37" t="s">
        <v>626</v>
      </c>
      <c r="F221" s="37" t="s">
        <v>3805</v>
      </c>
      <c r="G221" s="38">
        <v>0</v>
      </c>
      <c r="H221" s="38">
        <v>170.48</v>
      </c>
    </row>
    <row r="222" spans="1:8" ht="14.5" x14ac:dyDescent="0.35">
      <c r="A222" s="44" t="s">
        <v>3589</v>
      </c>
      <c r="B222" s="142" t="s">
        <v>3799</v>
      </c>
      <c r="C222" s="36">
        <v>45863</v>
      </c>
      <c r="D222" s="37" t="s">
        <v>422</v>
      </c>
      <c r="E222" s="37" t="s">
        <v>622</v>
      </c>
      <c r="F222" s="37" t="s">
        <v>3805</v>
      </c>
      <c r="G222" s="38">
        <v>0</v>
      </c>
      <c r="H222" s="38">
        <v>5609.12</v>
      </c>
    </row>
    <row r="223" spans="1:8" ht="14.5" x14ac:dyDescent="0.35">
      <c r="A223" s="142" t="s">
        <v>3799</v>
      </c>
      <c r="B223" s="44" t="s">
        <v>3802</v>
      </c>
      <c r="C223" s="36">
        <v>45863</v>
      </c>
      <c r="D223" s="37" t="s">
        <v>422</v>
      </c>
      <c r="E223" s="37" t="s">
        <v>3613</v>
      </c>
      <c r="F223" s="37" t="s">
        <v>3805</v>
      </c>
      <c r="G223" s="38">
        <v>619.42999999999995</v>
      </c>
      <c r="H223" s="38">
        <v>0</v>
      </c>
    </row>
    <row r="224" spans="1:8" ht="14.5" x14ac:dyDescent="0.35">
      <c r="A224" s="142" t="s">
        <v>3799</v>
      </c>
      <c r="B224" s="44" t="s">
        <v>3802</v>
      </c>
      <c r="C224" s="36">
        <v>45863</v>
      </c>
      <c r="D224" s="37" t="s">
        <v>96</v>
      </c>
      <c r="E224" s="37" t="s">
        <v>3614</v>
      </c>
      <c r="F224" s="37" t="s">
        <v>3805</v>
      </c>
      <c r="G224" s="38">
        <v>5378.85</v>
      </c>
      <c r="H224" s="38">
        <v>0</v>
      </c>
    </row>
    <row r="225" spans="1:9" ht="14.5" x14ac:dyDescent="0.35">
      <c r="A225" s="44" t="s">
        <v>3589</v>
      </c>
      <c r="B225" s="142" t="s">
        <v>3799</v>
      </c>
      <c r="C225" s="36">
        <v>45863</v>
      </c>
      <c r="D225" s="37" t="s">
        <v>422</v>
      </c>
      <c r="E225" s="37" t="s">
        <v>627</v>
      </c>
      <c r="F225" s="37" t="s">
        <v>3805</v>
      </c>
      <c r="G225" s="38">
        <v>0</v>
      </c>
      <c r="H225" s="38">
        <v>66.180000000000007</v>
      </c>
    </row>
    <row r="226" spans="1:9" ht="14.5" x14ac:dyDescent="0.35">
      <c r="A226" s="44" t="s">
        <v>3589</v>
      </c>
      <c r="B226" s="142" t="s">
        <v>3799</v>
      </c>
      <c r="C226" s="36">
        <v>45863</v>
      </c>
      <c r="D226" s="37" t="s">
        <v>422</v>
      </c>
      <c r="E226" s="37" t="s">
        <v>621</v>
      </c>
      <c r="F226" s="37" t="s">
        <v>3805</v>
      </c>
      <c r="G226" s="38">
        <v>0</v>
      </c>
      <c r="H226" s="38">
        <v>536.59</v>
      </c>
    </row>
    <row r="227" spans="1:9" ht="14.5" x14ac:dyDescent="0.35">
      <c r="A227" s="44" t="s">
        <v>3589</v>
      </c>
      <c r="B227" s="142" t="s">
        <v>3799</v>
      </c>
      <c r="C227" s="36">
        <v>45863</v>
      </c>
      <c r="D227" s="37" t="s">
        <v>716</v>
      </c>
      <c r="E227" s="37" t="s">
        <v>732</v>
      </c>
      <c r="F227" s="37" t="s">
        <v>3805</v>
      </c>
      <c r="G227" s="38">
        <v>0</v>
      </c>
      <c r="H227" s="38">
        <v>3922.02</v>
      </c>
    </row>
    <row r="228" spans="1:9" ht="14.5" x14ac:dyDescent="0.35">
      <c r="A228" s="44" t="s">
        <v>3589</v>
      </c>
      <c r="B228" s="142" t="s">
        <v>3799</v>
      </c>
      <c r="C228" s="36">
        <v>45863</v>
      </c>
      <c r="D228" s="37" t="s">
        <v>422</v>
      </c>
      <c r="E228" s="37" t="s">
        <v>618</v>
      </c>
      <c r="F228" s="37" t="s">
        <v>3805</v>
      </c>
      <c r="G228" s="38">
        <v>0</v>
      </c>
      <c r="H228" s="38">
        <v>1290.1500000000001</v>
      </c>
    </row>
    <row r="229" spans="1:9" ht="14.5" x14ac:dyDescent="0.35">
      <c r="A229" s="44" t="s">
        <v>3589</v>
      </c>
      <c r="B229" s="142" t="s">
        <v>3799</v>
      </c>
      <c r="C229" s="36">
        <v>45863</v>
      </c>
      <c r="D229" s="37" t="s">
        <v>422</v>
      </c>
      <c r="E229" s="37" t="s">
        <v>630</v>
      </c>
      <c r="F229" s="37" t="s">
        <v>3805</v>
      </c>
      <c r="G229" s="38">
        <v>0</v>
      </c>
      <c r="H229" s="38">
        <v>594.47</v>
      </c>
    </row>
    <row r="230" spans="1:9" ht="14.5" x14ac:dyDescent="0.35">
      <c r="A230" s="44" t="s">
        <v>3589</v>
      </c>
      <c r="B230" s="142" t="s">
        <v>3799</v>
      </c>
      <c r="C230" s="36">
        <v>45863</v>
      </c>
      <c r="D230" s="37" t="s">
        <v>422</v>
      </c>
      <c r="E230" s="37" t="s">
        <v>629</v>
      </c>
      <c r="F230" s="37" t="s">
        <v>3805</v>
      </c>
      <c r="G230" s="38">
        <v>0</v>
      </c>
      <c r="H230" s="38">
        <v>927.58999999999992</v>
      </c>
    </row>
    <row r="231" spans="1:9" ht="14.5" x14ac:dyDescent="0.35">
      <c r="A231" s="44" t="s">
        <v>3589</v>
      </c>
      <c r="B231" s="142" t="s">
        <v>3799</v>
      </c>
      <c r="C231" s="36">
        <v>45863</v>
      </c>
      <c r="D231" s="37" t="s">
        <v>422</v>
      </c>
      <c r="E231" s="37" t="s">
        <v>620</v>
      </c>
      <c r="F231" s="37" t="s">
        <v>3805</v>
      </c>
      <c r="G231" s="38">
        <v>0</v>
      </c>
      <c r="H231" s="38">
        <v>185.76</v>
      </c>
    </row>
    <row r="232" spans="1:9" ht="14.5" x14ac:dyDescent="0.35">
      <c r="A232" s="44" t="s">
        <v>3589</v>
      </c>
      <c r="B232" s="142" t="s">
        <v>3799</v>
      </c>
      <c r="C232" s="36">
        <v>45863</v>
      </c>
      <c r="D232" s="37" t="s">
        <v>422</v>
      </c>
      <c r="E232" s="37" t="s">
        <v>624</v>
      </c>
      <c r="F232" s="37" t="s">
        <v>3805</v>
      </c>
      <c r="G232" s="38">
        <v>0</v>
      </c>
      <c r="H232" s="38">
        <v>647.85</v>
      </c>
    </row>
    <row r="233" spans="1:9" ht="14.5" x14ac:dyDescent="0.35">
      <c r="A233" s="44" t="s">
        <v>3589</v>
      </c>
      <c r="B233" s="142" t="s">
        <v>3799</v>
      </c>
      <c r="C233" s="36">
        <v>45863</v>
      </c>
      <c r="D233" s="37" t="s">
        <v>422</v>
      </c>
      <c r="E233" s="37" t="s">
        <v>632</v>
      </c>
      <c r="F233" s="37" t="s">
        <v>3805</v>
      </c>
      <c r="G233" s="38">
        <v>0</v>
      </c>
      <c r="H233" s="38">
        <v>269.11</v>
      </c>
    </row>
    <row r="234" spans="1:9" ht="14.5" x14ac:dyDescent="0.35">
      <c r="A234" s="142" t="s">
        <v>3799</v>
      </c>
      <c r="B234" s="142" t="s">
        <v>3799</v>
      </c>
      <c r="C234" s="36">
        <v>45863</v>
      </c>
      <c r="D234" s="37" t="s">
        <v>422</v>
      </c>
      <c r="E234" s="37" t="s">
        <v>3616</v>
      </c>
      <c r="F234" s="37" t="s">
        <v>3805</v>
      </c>
      <c r="G234" s="38">
        <v>2069.08</v>
      </c>
      <c r="H234" s="38">
        <v>0</v>
      </c>
    </row>
    <row r="235" spans="1:9" ht="14.5" x14ac:dyDescent="0.35">
      <c r="A235" s="142" t="s">
        <v>3799</v>
      </c>
      <c r="B235" s="142" t="s">
        <v>3799</v>
      </c>
      <c r="C235" s="36">
        <v>45863</v>
      </c>
      <c r="D235" s="37" t="s">
        <v>422</v>
      </c>
      <c r="E235" s="37" t="s">
        <v>3617</v>
      </c>
      <c r="F235" s="37" t="s">
        <v>3805</v>
      </c>
      <c r="G235" s="38">
        <v>430.74</v>
      </c>
      <c r="H235" s="38">
        <v>0</v>
      </c>
    </row>
    <row r="236" spans="1:9" ht="14.5" x14ac:dyDescent="0.35">
      <c r="A236" s="44" t="s">
        <v>3589</v>
      </c>
      <c r="B236" s="142" t="s">
        <v>3799</v>
      </c>
      <c r="C236" s="36">
        <v>45863</v>
      </c>
      <c r="D236" s="37" t="s">
        <v>422</v>
      </c>
      <c r="E236" s="37" t="s">
        <v>616</v>
      </c>
      <c r="F236" s="37" t="s">
        <v>3805</v>
      </c>
      <c r="G236" s="38">
        <v>0</v>
      </c>
      <c r="H236" s="38">
        <v>121.71</v>
      </c>
    </row>
    <row r="237" spans="1:9" ht="14.5" x14ac:dyDescent="0.35">
      <c r="A237" s="142" t="s">
        <v>3799</v>
      </c>
      <c r="B237" s="44" t="s">
        <v>3802</v>
      </c>
      <c r="C237" s="36">
        <v>45862</v>
      </c>
      <c r="D237" s="37" t="s">
        <v>109</v>
      </c>
      <c r="E237" t="s">
        <v>4171</v>
      </c>
      <c r="F237" s="37" t="s">
        <v>3805</v>
      </c>
      <c r="G237" s="38">
        <v>67</v>
      </c>
      <c r="H237" s="38"/>
      <c r="I237" s="37"/>
    </row>
    <row r="238" spans="1:9" ht="14.5" x14ac:dyDescent="0.35">
      <c r="A238" s="142" t="s">
        <v>3799</v>
      </c>
      <c r="B238" s="44" t="s">
        <v>3802</v>
      </c>
      <c r="C238" s="36">
        <v>45862</v>
      </c>
      <c r="D238" s="37" t="s">
        <v>96</v>
      </c>
      <c r="E238" t="s">
        <v>4172</v>
      </c>
      <c r="F238" s="37" t="s">
        <v>3805</v>
      </c>
      <c r="G238" s="38">
        <v>7236</v>
      </c>
      <c r="H238" s="38"/>
      <c r="I238" s="37"/>
    </row>
    <row r="239" spans="1:9" ht="14.5" x14ac:dyDescent="0.35">
      <c r="A239" s="142" t="s">
        <v>3799</v>
      </c>
      <c r="B239" s="44" t="s">
        <v>3802</v>
      </c>
      <c r="C239" s="36">
        <v>45862</v>
      </c>
      <c r="D239" s="37" t="s">
        <v>109</v>
      </c>
      <c r="E239" t="s">
        <v>4173</v>
      </c>
      <c r="F239" s="37" t="s">
        <v>3805</v>
      </c>
      <c r="G239" s="38">
        <v>67</v>
      </c>
      <c r="H239" s="38"/>
      <c r="I239" s="37"/>
    </row>
    <row r="240" spans="1:9" ht="14.5" x14ac:dyDescent="0.35">
      <c r="A240" s="142" t="s">
        <v>3799</v>
      </c>
      <c r="B240" s="44" t="s">
        <v>3802</v>
      </c>
      <c r="C240" s="36">
        <v>45862</v>
      </c>
      <c r="D240" s="37" t="s">
        <v>3607</v>
      </c>
      <c r="E240" t="s">
        <v>4174</v>
      </c>
      <c r="F240" s="37" t="s">
        <v>3805</v>
      </c>
      <c r="G240" s="38">
        <v>1002.97</v>
      </c>
      <c r="H240" s="38"/>
      <c r="I240" s="37"/>
    </row>
    <row r="241" spans="1:9" ht="14.5" x14ac:dyDescent="0.35">
      <c r="A241" s="142" t="s">
        <v>3799</v>
      </c>
      <c r="B241" s="44" t="s">
        <v>3802</v>
      </c>
      <c r="C241" s="36">
        <v>45862</v>
      </c>
      <c r="D241" s="37" t="s">
        <v>109</v>
      </c>
      <c r="E241" t="s">
        <v>4175</v>
      </c>
      <c r="F241" s="37" t="s">
        <v>3805</v>
      </c>
      <c r="G241" s="38">
        <v>68</v>
      </c>
      <c r="H241" s="38"/>
      <c r="I241" s="37"/>
    </row>
    <row r="242" spans="1:9" ht="14.5" x14ac:dyDescent="0.35">
      <c r="A242" s="142" t="s">
        <v>3799</v>
      </c>
      <c r="B242" s="44" t="s">
        <v>3802</v>
      </c>
      <c r="C242" s="36">
        <v>45863</v>
      </c>
      <c r="D242" s="37" t="s">
        <v>422</v>
      </c>
      <c r="E242" t="s">
        <v>4176</v>
      </c>
      <c r="F242" s="37" t="s">
        <v>3805</v>
      </c>
      <c r="G242" s="38">
        <v>946.32999999999993</v>
      </c>
      <c r="H242" s="38"/>
      <c r="I242" s="37"/>
    </row>
    <row r="243" spans="1:9" ht="14.5" x14ac:dyDescent="0.35">
      <c r="A243" s="142" t="s">
        <v>3799</v>
      </c>
      <c r="B243" s="44" t="s">
        <v>3802</v>
      </c>
      <c r="C243" s="36">
        <v>45863</v>
      </c>
      <c r="D243" s="37" t="s">
        <v>422</v>
      </c>
      <c r="E243" t="s">
        <v>4177</v>
      </c>
      <c r="F243" s="37" t="s">
        <v>3805</v>
      </c>
      <c r="G243" s="38">
        <v>166</v>
      </c>
      <c r="H243" s="38"/>
      <c r="I243" s="37"/>
    </row>
    <row r="244" spans="1:9" ht="14.5" x14ac:dyDescent="0.35">
      <c r="A244" s="142" t="s">
        <v>3799</v>
      </c>
      <c r="B244" s="44" t="s">
        <v>3802</v>
      </c>
      <c r="C244" s="36">
        <v>45863</v>
      </c>
      <c r="D244" s="37" t="s">
        <v>422</v>
      </c>
      <c r="E244" t="s">
        <v>4178</v>
      </c>
      <c r="F244" s="37" t="s">
        <v>3805</v>
      </c>
      <c r="G244" s="38">
        <v>68</v>
      </c>
      <c r="H244" s="38"/>
      <c r="I244" s="37"/>
    </row>
    <row r="245" spans="1:9" ht="14.5" x14ac:dyDescent="0.35">
      <c r="A245" s="142" t="s">
        <v>3799</v>
      </c>
      <c r="B245" s="44" t="s">
        <v>3802</v>
      </c>
      <c r="C245" s="36">
        <v>45863</v>
      </c>
      <c r="D245" s="37" t="s">
        <v>422</v>
      </c>
      <c r="E245" t="s">
        <v>4179</v>
      </c>
      <c r="F245" s="37" t="s">
        <v>3805</v>
      </c>
      <c r="G245" s="38">
        <v>20</v>
      </c>
      <c r="H245" s="38"/>
      <c r="I245" s="37"/>
    </row>
    <row r="246" spans="1:9" ht="14.5" x14ac:dyDescent="0.35">
      <c r="A246" s="142" t="s">
        <v>3799</v>
      </c>
      <c r="B246" s="44" t="s">
        <v>3802</v>
      </c>
      <c r="C246" s="36">
        <v>45863</v>
      </c>
      <c r="D246" s="37" t="s">
        <v>422</v>
      </c>
      <c r="E246" t="s">
        <v>4180</v>
      </c>
      <c r="F246" s="37" t="s">
        <v>3805</v>
      </c>
      <c r="G246" s="38">
        <v>10.38</v>
      </c>
      <c r="H246" s="38"/>
      <c r="I246" s="37"/>
    </row>
    <row r="247" spans="1:9" ht="14.5" x14ac:dyDescent="0.35">
      <c r="A247" s="142" t="s">
        <v>3799</v>
      </c>
      <c r="B247" s="44" t="s">
        <v>3802</v>
      </c>
      <c r="C247" s="36">
        <v>45863</v>
      </c>
      <c r="D247" s="37" t="s">
        <v>422</v>
      </c>
      <c r="E247" t="s">
        <v>4181</v>
      </c>
      <c r="F247" s="37" t="s">
        <v>3805</v>
      </c>
      <c r="G247" s="38">
        <v>0</v>
      </c>
      <c r="H247" s="38"/>
      <c r="I247" s="37"/>
    </row>
    <row r="248" spans="1:9" ht="14.5" x14ac:dyDescent="0.35">
      <c r="A248" s="142" t="s">
        <v>3799</v>
      </c>
      <c r="B248" s="44" t="s">
        <v>3802</v>
      </c>
      <c r="C248" s="36">
        <v>45863</v>
      </c>
      <c r="D248" s="37" t="s">
        <v>422</v>
      </c>
      <c r="E248" t="s">
        <v>4182</v>
      </c>
      <c r="F248" s="37" t="s">
        <v>3805</v>
      </c>
      <c r="G248" s="38">
        <v>411.19</v>
      </c>
      <c r="H248" s="38"/>
      <c r="I248" s="37"/>
    </row>
    <row r="249" spans="1:9" ht="14.5" x14ac:dyDescent="0.35">
      <c r="A249" s="142" t="s">
        <v>3799</v>
      </c>
      <c r="B249" s="44" t="s">
        <v>3802</v>
      </c>
      <c r="C249" s="36">
        <v>45863</v>
      </c>
      <c r="D249" s="37" t="s">
        <v>422</v>
      </c>
      <c r="E249" t="s">
        <v>4183</v>
      </c>
      <c r="F249" s="37" t="s">
        <v>3805</v>
      </c>
      <c r="G249" s="38">
        <v>424.09</v>
      </c>
      <c r="H249" s="38"/>
      <c r="I249" s="37"/>
    </row>
    <row r="250" spans="1:9" ht="14.5" x14ac:dyDescent="0.35">
      <c r="A250" s="142" t="s">
        <v>3799</v>
      </c>
      <c r="B250" s="44" t="s">
        <v>3802</v>
      </c>
      <c r="C250" s="36">
        <v>45863</v>
      </c>
      <c r="D250" s="37" t="s">
        <v>66</v>
      </c>
      <c r="E250" t="s">
        <v>4184</v>
      </c>
      <c r="F250" s="37" t="s">
        <v>3805</v>
      </c>
      <c r="G250" s="38">
        <v>4223.9399999999996</v>
      </c>
      <c r="H250" s="38"/>
      <c r="I250" s="37"/>
    </row>
    <row r="251" spans="1:9" ht="14.5" x14ac:dyDescent="0.35">
      <c r="A251" s="142" t="s">
        <v>3799</v>
      </c>
      <c r="B251" s="44" t="s">
        <v>3802</v>
      </c>
      <c r="C251" s="36">
        <v>45863</v>
      </c>
      <c r="D251" s="37" t="s">
        <v>422</v>
      </c>
      <c r="E251" t="s">
        <v>4185</v>
      </c>
      <c r="F251" s="37" t="s">
        <v>3805</v>
      </c>
      <c r="G251" s="38">
        <v>10</v>
      </c>
      <c r="H251" s="38"/>
      <c r="I251" s="37"/>
    </row>
    <row r="252" spans="1:9" ht="14.5" x14ac:dyDescent="0.35">
      <c r="A252" s="44" t="s">
        <v>3589</v>
      </c>
      <c r="B252" s="142" t="s">
        <v>3799</v>
      </c>
      <c r="C252" s="36">
        <v>45862</v>
      </c>
      <c r="D252" s="37" t="s">
        <v>109</v>
      </c>
      <c r="E252" t="s">
        <v>4186</v>
      </c>
      <c r="F252" s="37" t="s">
        <v>3805</v>
      </c>
      <c r="G252" s="38"/>
      <c r="H252" s="38">
        <v>55</v>
      </c>
      <c r="I252" s="37"/>
    </row>
    <row r="253" spans="1:9" ht="14.5" x14ac:dyDescent="0.35">
      <c r="A253" s="44" t="s">
        <v>3589</v>
      </c>
      <c r="B253" s="142" t="s">
        <v>3799</v>
      </c>
      <c r="C253" s="36">
        <v>45862</v>
      </c>
      <c r="D253" s="37" t="s">
        <v>96</v>
      </c>
      <c r="E253" t="s">
        <v>4187</v>
      </c>
      <c r="F253" s="37" t="s">
        <v>3805</v>
      </c>
      <c r="G253" s="38"/>
      <c r="H253" s="38">
        <v>7000</v>
      </c>
      <c r="I253" s="37"/>
    </row>
    <row r="254" spans="1:9" ht="14.5" x14ac:dyDescent="0.35">
      <c r="A254" s="44" t="s">
        <v>3589</v>
      </c>
      <c r="B254" s="142" t="s">
        <v>3799</v>
      </c>
      <c r="C254" s="36">
        <v>45862</v>
      </c>
      <c r="D254" s="37" t="s">
        <v>109</v>
      </c>
      <c r="E254" t="s">
        <v>4188</v>
      </c>
      <c r="F254" s="37" t="s">
        <v>3805</v>
      </c>
      <c r="G254" s="38"/>
      <c r="H254" s="38">
        <v>55</v>
      </c>
      <c r="I254" s="37"/>
    </row>
    <row r="255" spans="1:9" ht="14.5" x14ac:dyDescent="0.35">
      <c r="A255" s="44" t="s">
        <v>3589</v>
      </c>
      <c r="B255" s="142" t="s">
        <v>3799</v>
      </c>
      <c r="C255" s="36">
        <v>45862</v>
      </c>
      <c r="D255" s="37" t="s">
        <v>3607</v>
      </c>
      <c r="E255" t="s">
        <v>4189</v>
      </c>
      <c r="F255" s="37" t="s">
        <v>3805</v>
      </c>
      <c r="G255" s="38"/>
      <c r="H255" s="38">
        <v>0</v>
      </c>
      <c r="I255" s="37"/>
    </row>
    <row r="256" spans="1:9" ht="14.5" x14ac:dyDescent="0.35">
      <c r="A256" s="44" t="s">
        <v>3589</v>
      </c>
      <c r="B256" s="142" t="s">
        <v>3799</v>
      </c>
      <c r="C256" s="36">
        <v>45862</v>
      </c>
      <c r="D256" s="37" t="s">
        <v>109</v>
      </c>
      <c r="E256" t="s">
        <v>4190</v>
      </c>
      <c r="F256" s="37" t="s">
        <v>3805</v>
      </c>
      <c r="G256" s="38"/>
      <c r="H256" s="38">
        <v>55</v>
      </c>
      <c r="I256" s="37"/>
    </row>
    <row r="257" spans="1:9" ht="14.5" x14ac:dyDescent="0.35">
      <c r="A257" s="44" t="s">
        <v>3589</v>
      </c>
      <c r="B257" s="142" t="s">
        <v>3799</v>
      </c>
      <c r="C257" s="36">
        <v>45863</v>
      </c>
      <c r="D257" s="37" t="s">
        <v>422</v>
      </c>
      <c r="E257" t="s">
        <v>4191</v>
      </c>
      <c r="F257" s="37" t="s">
        <v>3805</v>
      </c>
      <c r="G257" s="38"/>
      <c r="H257" s="38">
        <v>946.32999999999993</v>
      </c>
      <c r="I257" s="37"/>
    </row>
    <row r="258" spans="1:9" ht="14.5" x14ac:dyDescent="0.35">
      <c r="A258" s="44" t="s">
        <v>3589</v>
      </c>
      <c r="B258" s="142" t="s">
        <v>3799</v>
      </c>
      <c r="C258" s="36">
        <v>45863</v>
      </c>
      <c r="D258" s="37" t="s">
        <v>422</v>
      </c>
      <c r="E258" t="s">
        <v>4192</v>
      </c>
      <c r="F258" s="37" t="s">
        <v>3805</v>
      </c>
      <c r="G258" s="38"/>
      <c r="H258" s="38">
        <v>34</v>
      </c>
      <c r="I258" s="37"/>
    </row>
    <row r="259" spans="1:9" ht="14.5" x14ac:dyDescent="0.35">
      <c r="A259" s="44" t="s">
        <v>3589</v>
      </c>
      <c r="B259" s="142" t="s">
        <v>3799</v>
      </c>
      <c r="C259" s="36">
        <v>45863</v>
      </c>
      <c r="D259" s="37" t="s">
        <v>422</v>
      </c>
      <c r="E259" t="s">
        <v>4193</v>
      </c>
      <c r="F259" s="37" t="s">
        <v>3805</v>
      </c>
      <c r="G259" s="38"/>
      <c r="H259" s="38">
        <v>351.29</v>
      </c>
      <c r="I259" s="37"/>
    </row>
    <row r="260" spans="1:9" ht="14.5" x14ac:dyDescent="0.35">
      <c r="A260" s="44" t="s">
        <v>3589</v>
      </c>
      <c r="B260" s="142" t="s">
        <v>3799</v>
      </c>
      <c r="C260" s="36">
        <v>45863</v>
      </c>
      <c r="D260" s="37" t="s">
        <v>422</v>
      </c>
      <c r="E260" t="s">
        <v>4194</v>
      </c>
      <c r="F260" s="37" t="s">
        <v>3805</v>
      </c>
      <c r="G260" s="38"/>
      <c r="H260" s="38">
        <v>240.57999999999998</v>
      </c>
      <c r="I260" s="37"/>
    </row>
    <row r="261" spans="1:9" ht="14.5" x14ac:dyDescent="0.35">
      <c r="A261" s="44" t="s">
        <v>3589</v>
      </c>
      <c r="B261" s="142" t="s">
        <v>3799</v>
      </c>
      <c r="C261" s="36">
        <v>45863</v>
      </c>
      <c r="D261" s="37" t="s">
        <v>422</v>
      </c>
      <c r="E261" t="s">
        <v>4195</v>
      </c>
      <c r="F261" s="37" t="s">
        <v>3805</v>
      </c>
      <c r="G261" s="38"/>
      <c r="H261" s="38">
        <v>10.38</v>
      </c>
      <c r="I261" s="37"/>
    </row>
    <row r="262" spans="1:9" ht="14.5" x14ac:dyDescent="0.35">
      <c r="A262" s="44" t="s">
        <v>3589</v>
      </c>
      <c r="B262" s="142" t="s">
        <v>3799</v>
      </c>
      <c r="C262" s="36">
        <v>45863</v>
      </c>
      <c r="D262" s="37" t="s">
        <v>422</v>
      </c>
      <c r="E262" t="s">
        <v>4196</v>
      </c>
      <c r="F262" s="37" t="s">
        <v>3805</v>
      </c>
      <c r="G262" s="38"/>
      <c r="H262" s="38">
        <v>669.73000000000013</v>
      </c>
      <c r="I262" s="37"/>
    </row>
    <row r="263" spans="1:9" ht="14.5" x14ac:dyDescent="0.35">
      <c r="A263" s="44" t="s">
        <v>3589</v>
      </c>
      <c r="B263" s="142" t="s">
        <v>3799</v>
      </c>
      <c r="C263" s="36">
        <v>45863</v>
      </c>
      <c r="D263" s="37" t="s">
        <v>422</v>
      </c>
      <c r="E263" t="s">
        <v>4197</v>
      </c>
      <c r="F263" s="37" t="s">
        <v>3805</v>
      </c>
      <c r="G263" s="38"/>
      <c r="H263" s="38">
        <v>0</v>
      </c>
      <c r="I263" s="37"/>
    </row>
    <row r="264" spans="1:9" ht="14.5" x14ac:dyDescent="0.35">
      <c r="A264" s="44" t="s">
        <v>3589</v>
      </c>
      <c r="B264" s="142" t="s">
        <v>3799</v>
      </c>
      <c r="C264" s="36">
        <v>45863</v>
      </c>
      <c r="D264" s="37" t="s">
        <v>422</v>
      </c>
      <c r="E264" t="s">
        <v>4198</v>
      </c>
      <c r="F264" s="37" t="s">
        <v>3805</v>
      </c>
      <c r="G264" s="38"/>
      <c r="H264" s="38">
        <v>424.09</v>
      </c>
      <c r="I264" s="37"/>
    </row>
    <row r="265" spans="1:9" ht="14.5" x14ac:dyDescent="0.35">
      <c r="A265" s="44" t="s">
        <v>3589</v>
      </c>
      <c r="B265" s="142" t="s">
        <v>3799</v>
      </c>
      <c r="C265" s="36">
        <v>45863</v>
      </c>
      <c r="D265" s="37" t="s">
        <v>66</v>
      </c>
      <c r="E265" t="s">
        <v>4199</v>
      </c>
      <c r="F265" s="37" t="s">
        <v>3805</v>
      </c>
      <c r="G265" s="38"/>
      <c r="H265" s="38">
        <v>1710</v>
      </c>
      <c r="I265" s="37"/>
    </row>
    <row r="266" spans="1:9" ht="14.5" x14ac:dyDescent="0.35">
      <c r="A266" s="44" t="s">
        <v>3589</v>
      </c>
      <c r="B266" s="142" t="s">
        <v>3799</v>
      </c>
      <c r="C266" s="36">
        <v>45863</v>
      </c>
      <c r="D266" s="37" t="s">
        <v>422</v>
      </c>
      <c r="E266" t="s">
        <v>4200</v>
      </c>
      <c r="F266" s="37" t="s">
        <v>3805</v>
      </c>
      <c r="G266" s="38"/>
      <c r="H266" s="38">
        <v>82.31</v>
      </c>
      <c r="I266" s="37"/>
    </row>
    <row r="267" spans="1:9" ht="14.5" x14ac:dyDescent="0.35">
      <c r="A267" s="142" t="s">
        <v>3799</v>
      </c>
      <c r="B267" s="44" t="s">
        <v>3802</v>
      </c>
      <c r="C267" s="36">
        <v>45863</v>
      </c>
      <c r="D267" s="37" t="s">
        <v>422</v>
      </c>
      <c r="E267" s="37" t="s">
        <v>4201</v>
      </c>
      <c r="F267" s="37" t="s">
        <v>3805</v>
      </c>
      <c r="G267" s="38">
        <v>498</v>
      </c>
      <c r="H267" s="38"/>
    </row>
    <row r="268" spans="1:9" ht="14.5" x14ac:dyDescent="0.35">
      <c r="A268" s="44" t="s">
        <v>3589</v>
      </c>
      <c r="B268" s="142" t="s">
        <v>3799</v>
      </c>
      <c r="C268" s="36">
        <v>45863</v>
      </c>
      <c r="D268" s="37" t="s">
        <v>422</v>
      </c>
      <c r="E268" s="37" t="s">
        <v>4202</v>
      </c>
      <c r="F268" s="37" t="s">
        <v>3805</v>
      </c>
      <c r="G268" s="38"/>
      <c r="H268" s="38">
        <v>498</v>
      </c>
    </row>
    <row r="269" spans="1:9" ht="14.5" x14ac:dyDescent="0.35">
      <c r="A269" s="142" t="s">
        <v>3799</v>
      </c>
      <c r="B269" s="44" t="s">
        <v>3802</v>
      </c>
      <c r="C269" s="36">
        <v>45863</v>
      </c>
      <c r="D269" s="37" t="s">
        <v>422</v>
      </c>
      <c r="E269" t="s">
        <v>4203</v>
      </c>
      <c r="F269" s="37" t="s">
        <v>3805</v>
      </c>
      <c r="G269" s="38">
        <v>397.04</v>
      </c>
      <c r="H269" s="38"/>
      <c r="I269" s="37"/>
    </row>
    <row r="270" spans="1:9" ht="14.5" x14ac:dyDescent="0.35">
      <c r="A270" s="142" t="s">
        <v>3799</v>
      </c>
      <c r="B270" s="44" t="s">
        <v>3802</v>
      </c>
      <c r="C270" s="36">
        <v>45864</v>
      </c>
      <c r="D270" s="37" t="s">
        <v>422</v>
      </c>
      <c r="E270" t="s">
        <v>4204</v>
      </c>
      <c r="F270" s="37" t="s">
        <v>3805</v>
      </c>
      <c r="G270" s="38">
        <v>5</v>
      </c>
      <c r="H270" s="38"/>
      <c r="I270" s="37"/>
    </row>
    <row r="271" spans="1:9" ht="14.5" x14ac:dyDescent="0.35">
      <c r="A271" s="142" t="s">
        <v>3799</v>
      </c>
      <c r="B271" s="44" t="s">
        <v>3802</v>
      </c>
      <c r="C271" s="36">
        <v>45864</v>
      </c>
      <c r="D271" s="37" t="s">
        <v>422</v>
      </c>
      <c r="E271" t="s">
        <v>4205</v>
      </c>
      <c r="F271" s="37" t="s">
        <v>3805</v>
      </c>
      <c r="G271" s="38">
        <v>5</v>
      </c>
      <c r="H271" s="38"/>
      <c r="I271" s="37"/>
    </row>
    <row r="272" spans="1:9" ht="14.5" x14ac:dyDescent="0.35">
      <c r="A272" s="142" t="s">
        <v>3799</v>
      </c>
      <c r="B272" s="44" t="s">
        <v>3802</v>
      </c>
      <c r="C272" s="36">
        <v>45864</v>
      </c>
      <c r="D272" s="37" t="s">
        <v>422</v>
      </c>
      <c r="E272" t="s">
        <v>4206</v>
      </c>
      <c r="F272" s="37" t="s">
        <v>3805</v>
      </c>
      <c r="G272" s="38">
        <v>38</v>
      </c>
      <c r="H272" s="38"/>
      <c r="I272" s="37"/>
    </row>
    <row r="273" spans="1:9" ht="14.5" x14ac:dyDescent="0.35">
      <c r="A273" s="142" t="s">
        <v>3799</v>
      </c>
      <c r="B273" s="44" t="s">
        <v>3802</v>
      </c>
      <c r="C273" s="36">
        <v>45864</v>
      </c>
      <c r="D273" s="37" t="s">
        <v>422</v>
      </c>
      <c r="E273" t="s">
        <v>4207</v>
      </c>
      <c r="F273" s="37" t="s">
        <v>3805</v>
      </c>
      <c r="G273" s="38">
        <v>4</v>
      </c>
      <c r="H273" s="38"/>
      <c r="I273" s="37"/>
    </row>
    <row r="274" spans="1:9" ht="14.5" x14ac:dyDescent="0.35">
      <c r="A274" s="142" t="s">
        <v>3799</v>
      </c>
      <c r="B274" s="44" t="s">
        <v>3802</v>
      </c>
      <c r="C274" s="36">
        <v>45864</v>
      </c>
      <c r="D274" s="37" t="s">
        <v>422</v>
      </c>
      <c r="E274" t="s">
        <v>4208</v>
      </c>
      <c r="F274" s="37" t="s">
        <v>3805</v>
      </c>
      <c r="G274" s="38">
        <v>4</v>
      </c>
      <c r="H274" s="38"/>
      <c r="I274" s="37"/>
    </row>
    <row r="275" spans="1:9" ht="14.5" x14ac:dyDescent="0.35">
      <c r="A275" s="142" t="s">
        <v>3799</v>
      </c>
      <c r="B275" s="44" t="s">
        <v>3802</v>
      </c>
      <c r="C275" s="36">
        <v>45864</v>
      </c>
      <c r="D275" s="37" t="s">
        <v>422</v>
      </c>
      <c r="E275" t="s">
        <v>4209</v>
      </c>
      <c r="F275" s="37" t="s">
        <v>3805</v>
      </c>
      <c r="G275" s="38">
        <v>5</v>
      </c>
      <c r="H275" s="38"/>
      <c r="I275" s="37"/>
    </row>
    <row r="276" spans="1:9" ht="14.5" x14ac:dyDescent="0.35">
      <c r="A276" s="142" t="s">
        <v>3799</v>
      </c>
      <c r="B276" s="44" t="s">
        <v>3802</v>
      </c>
      <c r="C276" s="36">
        <v>45864</v>
      </c>
      <c r="D276" s="37" t="s">
        <v>422</v>
      </c>
      <c r="E276" t="s">
        <v>4210</v>
      </c>
      <c r="F276" s="37" t="s">
        <v>3805</v>
      </c>
      <c r="G276" s="38">
        <v>5</v>
      </c>
      <c r="H276" s="38"/>
      <c r="I276" s="37"/>
    </row>
    <row r="277" spans="1:9" ht="14.5" x14ac:dyDescent="0.35">
      <c r="A277" s="142" t="s">
        <v>3799</v>
      </c>
      <c r="B277" s="44" t="s">
        <v>3802</v>
      </c>
      <c r="C277" s="36">
        <v>45864</v>
      </c>
      <c r="D277" s="37" t="s">
        <v>422</v>
      </c>
      <c r="E277" t="s">
        <v>4211</v>
      </c>
      <c r="F277" s="37" t="s">
        <v>3805</v>
      </c>
      <c r="G277" s="38">
        <v>5</v>
      </c>
      <c r="H277" s="38"/>
      <c r="I277" s="37"/>
    </row>
    <row r="278" spans="1:9" ht="14.5" x14ac:dyDescent="0.35">
      <c r="A278" s="142" t="s">
        <v>3799</v>
      </c>
      <c r="B278" s="44" t="s">
        <v>3802</v>
      </c>
      <c r="C278" s="36">
        <v>45864</v>
      </c>
      <c r="D278" s="37" t="s">
        <v>422</v>
      </c>
      <c r="E278" t="s">
        <v>4212</v>
      </c>
      <c r="F278" s="37" t="s">
        <v>3805</v>
      </c>
      <c r="G278" s="38">
        <v>5</v>
      </c>
      <c r="H278" s="38"/>
      <c r="I278" s="37"/>
    </row>
    <row r="279" spans="1:9" ht="14.5" x14ac:dyDescent="0.35">
      <c r="A279" s="142" t="s">
        <v>3799</v>
      </c>
      <c r="B279" s="44" t="s">
        <v>3802</v>
      </c>
      <c r="C279" s="36">
        <v>45864</v>
      </c>
      <c r="D279" s="37" t="s">
        <v>422</v>
      </c>
      <c r="E279" t="s">
        <v>4213</v>
      </c>
      <c r="F279" s="37" t="s">
        <v>3805</v>
      </c>
      <c r="G279" s="38">
        <v>38</v>
      </c>
      <c r="H279" s="38"/>
      <c r="I279" s="37"/>
    </row>
    <row r="280" spans="1:9" ht="14.5" x14ac:dyDescent="0.35">
      <c r="A280" s="142" t="s">
        <v>3799</v>
      </c>
      <c r="B280" s="44" t="s">
        <v>3802</v>
      </c>
      <c r="C280" s="36">
        <v>45864</v>
      </c>
      <c r="D280" s="37" t="s">
        <v>422</v>
      </c>
      <c r="E280" t="s">
        <v>4214</v>
      </c>
      <c r="F280" s="37" t="s">
        <v>3805</v>
      </c>
      <c r="G280" s="38">
        <v>38</v>
      </c>
      <c r="H280" s="38"/>
      <c r="I280" s="37"/>
    </row>
    <row r="281" spans="1:9" ht="14.5" x14ac:dyDescent="0.35">
      <c r="A281" s="142" t="s">
        <v>3799</v>
      </c>
      <c r="B281" s="44" t="s">
        <v>3802</v>
      </c>
      <c r="C281" s="36">
        <v>45864</v>
      </c>
      <c r="D281" s="37" t="s">
        <v>422</v>
      </c>
      <c r="E281" t="s">
        <v>4215</v>
      </c>
      <c r="F281" s="37" t="s">
        <v>3805</v>
      </c>
      <c r="G281" s="38">
        <v>5</v>
      </c>
      <c r="H281" s="38"/>
      <c r="I281" s="37"/>
    </row>
    <row r="282" spans="1:9" ht="14.5" x14ac:dyDescent="0.35">
      <c r="A282" s="142" t="s">
        <v>3799</v>
      </c>
      <c r="B282" s="44" t="s">
        <v>3802</v>
      </c>
      <c r="C282" s="36">
        <v>45864</v>
      </c>
      <c r="D282" s="37" t="s">
        <v>422</v>
      </c>
      <c r="E282" t="s">
        <v>4216</v>
      </c>
      <c r="F282" s="37" t="s">
        <v>3805</v>
      </c>
      <c r="G282" s="38">
        <v>20</v>
      </c>
      <c r="H282" s="38"/>
      <c r="I282" s="37"/>
    </row>
    <row r="283" spans="1:9" ht="14.5" x14ac:dyDescent="0.35">
      <c r="A283" s="142" t="s">
        <v>3799</v>
      </c>
      <c r="B283" s="44" t="s">
        <v>3802</v>
      </c>
      <c r="C283" s="36">
        <v>45864</v>
      </c>
      <c r="D283" s="37" t="s">
        <v>422</v>
      </c>
      <c r="E283" t="s">
        <v>4217</v>
      </c>
      <c r="F283" s="37" t="s">
        <v>3805</v>
      </c>
      <c r="G283" s="38">
        <v>4</v>
      </c>
      <c r="H283" s="38"/>
      <c r="I283" s="37"/>
    </row>
    <row r="284" spans="1:9" ht="14.5" x14ac:dyDescent="0.35">
      <c r="A284" s="142" t="s">
        <v>3799</v>
      </c>
      <c r="B284" s="44" t="s">
        <v>3802</v>
      </c>
      <c r="C284" s="36">
        <v>45864</v>
      </c>
      <c r="D284" s="37" t="s">
        <v>422</v>
      </c>
      <c r="E284" t="s">
        <v>4218</v>
      </c>
      <c r="F284" s="37" t="s">
        <v>3805</v>
      </c>
      <c r="G284" s="38">
        <v>174.5</v>
      </c>
      <c r="H284" s="38"/>
      <c r="I284" s="37"/>
    </row>
    <row r="285" spans="1:9" ht="14.5" x14ac:dyDescent="0.35">
      <c r="A285" s="142" t="s">
        <v>3799</v>
      </c>
      <c r="B285" s="44" t="s">
        <v>3802</v>
      </c>
      <c r="C285" s="36">
        <v>45864</v>
      </c>
      <c r="D285" s="37" t="s">
        <v>422</v>
      </c>
      <c r="E285" t="s">
        <v>4219</v>
      </c>
      <c r="F285" s="37" t="s">
        <v>3805</v>
      </c>
      <c r="G285" s="38">
        <v>5</v>
      </c>
      <c r="H285" s="38"/>
      <c r="I285" s="37"/>
    </row>
    <row r="286" spans="1:9" ht="14.5" x14ac:dyDescent="0.35">
      <c r="A286" s="142" t="s">
        <v>3799</v>
      </c>
      <c r="B286" s="44" t="s">
        <v>3802</v>
      </c>
      <c r="C286" s="36">
        <v>45864</v>
      </c>
      <c r="D286" s="37" t="s">
        <v>17</v>
      </c>
      <c r="E286" t="s">
        <v>4220</v>
      </c>
      <c r="F286" s="37" t="s">
        <v>3805</v>
      </c>
      <c r="G286" s="38">
        <v>4223.45</v>
      </c>
      <c r="H286" s="38"/>
      <c r="I286" s="37"/>
    </row>
    <row r="287" spans="1:9" ht="14.5" x14ac:dyDescent="0.35">
      <c r="A287" s="142" t="s">
        <v>3799</v>
      </c>
      <c r="B287" s="44" t="s">
        <v>3802</v>
      </c>
      <c r="C287" s="36">
        <v>45864</v>
      </c>
      <c r="D287" s="37" t="s">
        <v>422</v>
      </c>
      <c r="E287" t="s">
        <v>4221</v>
      </c>
      <c r="F287" s="37" t="s">
        <v>3805</v>
      </c>
      <c r="G287" s="38">
        <v>5</v>
      </c>
      <c r="H287" s="38"/>
      <c r="I287" s="37"/>
    </row>
    <row r="288" spans="1:9" ht="14.5" x14ac:dyDescent="0.35">
      <c r="A288" s="142" t="s">
        <v>3799</v>
      </c>
      <c r="B288" s="44" t="s">
        <v>3802</v>
      </c>
      <c r="C288" s="36">
        <v>45864</v>
      </c>
      <c r="D288" s="37" t="s">
        <v>422</v>
      </c>
      <c r="E288" t="s">
        <v>4222</v>
      </c>
      <c r="F288" s="37" t="s">
        <v>3805</v>
      </c>
      <c r="G288" s="38">
        <v>5</v>
      </c>
      <c r="H288" s="38"/>
      <c r="I288" s="37"/>
    </row>
    <row r="289" spans="1:9" ht="14.5" x14ac:dyDescent="0.35">
      <c r="A289" s="142" t="s">
        <v>3799</v>
      </c>
      <c r="B289" s="44" t="s">
        <v>3802</v>
      </c>
      <c r="C289" s="36">
        <v>45864</v>
      </c>
      <c r="D289" s="37" t="s">
        <v>422</v>
      </c>
      <c r="E289" t="s">
        <v>4223</v>
      </c>
      <c r="F289" s="37" t="s">
        <v>3805</v>
      </c>
      <c r="G289" s="38">
        <v>74</v>
      </c>
      <c r="H289" s="38"/>
      <c r="I289" s="37"/>
    </row>
    <row r="290" spans="1:9" ht="14.5" x14ac:dyDescent="0.35">
      <c r="A290" s="142" t="s">
        <v>3799</v>
      </c>
      <c r="B290" s="44" t="s">
        <v>3802</v>
      </c>
      <c r="C290" s="36">
        <v>45864</v>
      </c>
      <c r="D290" s="37" t="s">
        <v>422</v>
      </c>
      <c r="E290" t="s">
        <v>4224</v>
      </c>
      <c r="F290" s="37" t="s">
        <v>3805</v>
      </c>
      <c r="G290" s="38">
        <v>20</v>
      </c>
      <c r="H290" s="38"/>
      <c r="I290" s="37"/>
    </row>
    <row r="291" spans="1:9" ht="14.5" x14ac:dyDescent="0.35">
      <c r="A291" s="142" t="s">
        <v>3799</v>
      </c>
      <c r="B291" s="44" t="s">
        <v>3802</v>
      </c>
      <c r="C291" s="36">
        <v>45864</v>
      </c>
      <c r="D291" s="37" t="s">
        <v>927</v>
      </c>
      <c r="E291" t="s">
        <v>4225</v>
      </c>
      <c r="F291" s="37" t="s">
        <v>3805</v>
      </c>
      <c r="G291" s="38">
        <v>977</v>
      </c>
      <c r="H291" s="38"/>
      <c r="I291" s="37"/>
    </row>
    <row r="292" spans="1:9" ht="14.5" x14ac:dyDescent="0.35">
      <c r="A292" s="142" t="s">
        <v>3799</v>
      </c>
      <c r="B292" s="44" t="s">
        <v>3802</v>
      </c>
      <c r="C292" s="36">
        <v>45864</v>
      </c>
      <c r="D292" s="37" t="s">
        <v>17</v>
      </c>
      <c r="E292" t="s">
        <v>4226</v>
      </c>
      <c r="F292" s="37" t="s">
        <v>3805</v>
      </c>
      <c r="G292" s="38">
        <v>4897.7299999999996</v>
      </c>
      <c r="H292" s="38"/>
      <c r="I292" s="37"/>
    </row>
    <row r="293" spans="1:9" ht="14.5" x14ac:dyDescent="0.35">
      <c r="A293" s="142" t="s">
        <v>3799</v>
      </c>
      <c r="B293" s="44" t="s">
        <v>3802</v>
      </c>
      <c r="C293" s="36">
        <v>45864</v>
      </c>
      <c r="D293" s="37" t="s">
        <v>66</v>
      </c>
      <c r="E293" t="s">
        <v>4227</v>
      </c>
      <c r="F293" s="37" t="s">
        <v>3805</v>
      </c>
      <c r="G293" s="38">
        <v>2299.9700000000003</v>
      </c>
      <c r="H293" s="38"/>
      <c r="I293" s="37"/>
    </row>
    <row r="294" spans="1:9" ht="14.5" x14ac:dyDescent="0.35">
      <c r="A294" s="142" t="s">
        <v>3799</v>
      </c>
      <c r="B294" s="44" t="s">
        <v>3802</v>
      </c>
      <c r="C294" s="36">
        <v>45864</v>
      </c>
      <c r="D294" s="37" t="s">
        <v>66</v>
      </c>
      <c r="E294" t="s">
        <v>4228</v>
      </c>
      <c r="F294" s="37" t="s">
        <v>3805</v>
      </c>
      <c r="G294" s="38">
        <v>6896.7199999999921</v>
      </c>
      <c r="H294" s="38"/>
      <c r="I294" s="37"/>
    </row>
    <row r="295" spans="1:9" ht="14.5" x14ac:dyDescent="0.35">
      <c r="A295" s="142" t="s">
        <v>3799</v>
      </c>
      <c r="B295" s="44" t="s">
        <v>3802</v>
      </c>
      <c r="C295" s="36">
        <v>45864</v>
      </c>
      <c r="D295" s="37" t="s">
        <v>927</v>
      </c>
      <c r="E295" t="s">
        <v>4229</v>
      </c>
      <c r="F295" s="37" t="s">
        <v>3805</v>
      </c>
      <c r="G295" s="38">
        <v>977</v>
      </c>
      <c r="H295" s="38"/>
      <c r="I295" s="37"/>
    </row>
    <row r="296" spans="1:9" ht="14.5" x14ac:dyDescent="0.35">
      <c r="A296" s="142" t="s">
        <v>3799</v>
      </c>
      <c r="B296" s="44" t="s">
        <v>3802</v>
      </c>
      <c r="C296" s="36">
        <v>45864</v>
      </c>
      <c r="D296" s="37" t="s">
        <v>927</v>
      </c>
      <c r="E296" t="s">
        <v>4230</v>
      </c>
      <c r="F296" s="37" t="s">
        <v>3805</v>
      </c>
      <c r="G296" s="38">
        <v>977</v>
      </c>
      <c r="H296" s="38"/>
      <c r="I296" s="37"/>
    </row>
    <row r="297" spans="1:9" ht="14.5" x14ac:dyDescent="0.35">
      <c r="A297" s="142" t="s">
        <v>3799</v>
      </c>
      <c r="B297" s="44" t="s">
        <v>3802</v>
      </c>
      <c r="C297" s="36">
        <v>45864</v>
      </c>
      <c r="D297" s="37" t="s">
        <v>927</v>
      </c>
      <c r="E297" t="s">
        <v>4231</v>
      </c>
      <c r="F297" s="37" t="s">
        <v>3805</v>
      </c>
      <c r="G297" s="38">
        <v>976.99999999999989</v>
      </c>
      <c r="H297" s="38"/>
      <c r="I297" s="37"/>
    </row>
    <row r="298" spans="1:9" ht="14.5" x14ac:dyDescent="0.35">
      <c r="A298" s="142" t="s">
        <v>3799</v>
      </c>
      <c r="B298" s="44" t="s">
        <v>3802</v>
      </c>
      <c r="C298" s="36">
        <v>45864</v>
      </c>
      <c r="D298" s="37" t="s">
        <v>422</v>
      </c>
      <c r="E298" t="s">
        <v>4232</v>
      </c>
      <c r="F298" s="37" t="s">
        <v>3805</v>
      </c>
      <c r="G298" s="38">
        <v>20</v>
      </c>
      <c r="H298" s="38"/>
      <c r="I298" s="37"/>
    </row>
    <row r="299" spans="1:9" ht="14.5" x14ac:dyDescent="0.35">
      <c r="A299" s="142" t="s">
        <v>3799</v>
      </c>
      <c r="B299" s="44" t="s">
        <v>3802</v>
      </c>
      <c r="C299" s="36">
        <v>45864</v>
      </c>
      <c r="D299" s="37" t="s">
        <v>927</v>
      </c>
      <c r="E299" t="s">
        <v>4233</v>
      </c>
      <c r="F299" s="37" t="s">
        <v>3805</v>
      </c>
      <c r="G299" s="38">
        <v>976</v>
      </c>
      <c r="H299" s="38"/>
      <c r="I299" s="37"/>
    </row>
    <row r="300" spans="1:9" ht="14.5" x14ac:dyDescent="0.35">
      <c r="A300" s="142" t="s">
        <v>3799</v>
      </c>
      <c r="B300" s="44" t="s">
        <v>3802</v>
      </c>
      <c r="C300" s="36">
        <v>45864</v>
      </c>
      <c r="D300" s="37" t="s">
        <v>927</v>
      </c>
      <c r="E300" t="s">
        <v>4234</v>
      </c>
      <c r="F300" s="37" t="s">
        <v>3805</v>
      </c>
      <c r="G300" s="38">
        <v>976</v>
      </c>
      <c r="H300" s="38"/>
      <c r="I300" s="37"/>
    </row>
    <row r="301" spans="1:9" ht="14.5" x14ac:dyDescent="0.35">
      <c r="A301" s="142" t="s">
        <v>3799</v>
      </c>
      <c r="B301" s="44" t="s">
        <v>3802</v>
      </c>
      <c r="C301" s="36">
        <v>45866</v>
      </c>
      <c r="D301" s="37" t="s">
        <v>422</v>
      </c>
      <c r="E301" t="s">
        <v>4235</v>
      </c>
      <c r="F301" s="37" t="s">
        <v>3805</v>
      </c>
      <c r="G301" s="38">
        <v>90</v>
      </c>
      <c r="H301" s="38"/>
      <c r="I301" s="37"/>
    </row>
    <row r="302" spans="1:9" ht="14.5" x14ac:dyDescent="0.35">
      <c r="A302" s="142" t="s">
        <v>3799</v>
      </c>
      <c r="B302" s="44" t="s">
        <v>3802</v>
      </c>
      <c r="C302" s="36">
        <v>45866</v>
      </c>
      <c r="D302" s="37" t="s">
        <v>422</v>
      </c>
      <c r="E302" t="s">
        <v>4236</v>
      </c>
      <c r="F302" s="37" t="s">
        <v>3805</v>
      </c>
      <c r="G302" s="38">
        <v>40</v>
      </c>
      <c r="H302" s="38"/>
      <c r="I302" s="37"/>
    </row>
    <row r="303" spans="1:9" ht="14.5" x14ac:dyDescent="0.35">
      <c r="A303" s="142" t="s">
        <v>3799</v>
      </c>
      <c r="B303" s="44" t="s">
        <v>3802</v>
      </c>
      <c r="C303" s="36">
        <v>45866</v>
      </c>
      <c r="D303" s="37" t="s">
        <v>422</v>
      </c>
      <c r="E303" t="s">
        <v>4237</v>
      </c>
      <c r="F303" s="37" t="s">
        <v>3805</v>
      </c>
      <c r="G303" s="38">
        <v>69</v>
      </c>
      <c r="H303" s="38"/>
      <c r="I303" s="37"/>
    </row>
    <row r="304" spans="1:9" ht="14.5" x14ac:dyDescent="0.35">
      <c r="A304" s="142" t="s">
        <v>3799</v>
      </c>
      <c r="B304" s="44" t="s">
        <v>3802</v>
      </c>
      <c r="C304" s="36">
        <v>45866</v>
      </c>
      <c r="D304" s="37" t="s">
        <v>422</v>
      </c>
      <c r="E304" t="s">
        <v>4238</v>
      </c>
      <c r="F304" s="37" t="s">
        <v>3805</v>
      </c>
      <c r="G304" s="38">
        <v>87</v>
      </c>
      <c r="H304" s="38"/>
      <c r="I304" s="37"/>
    </row>
    <row r="305" spans="1:9" ht="14.5" x14ac:dyDescent="0.35">
      <c r="A305" s="142" t="s">
        <v>3799</v>
      </c>
      <c r="B305" s="44" t="s">
        <v>3802</v>
      </c>
      <c r="C305" s="36">
        <v>45866</v>
      </c>
      <c r="D305" s="37" t="s">
        <v>422</v>
      </c>
      <c r="E305" t="s">
        <v>4239</v>
      </c>
      <c r="F305" s="37" t="s">
        <v>3805</v>
      </c>
      <c r="G305" s="38">
        <v>87</v>
      </c>
      <c r="H305" s="38"/>
      <c r="I305" s="37"/>
    </row>
    <row r="306" spans="1:9" ht="14.5" x14ac:dyDescent="0.35">
      <c r="A306" s="142" t="s">
        <v>3799</v>
      </c>
      <c r="B306" s="44" t="s">
        <v>3802</v>
      </c>
      <c r="C306" s="36">
        <v>45866</v>
      </c>
      <c r="D306" s="37" t="s">
        <v>422</v>
      </c>
      <c r="E306" t="s">
        <v>4240</v>
      </c>
      <c r="F306" s="37" t="s">
        <v>3805</v>
      </c>
      <c r="G306" s="38">
        <v>65</v>
      </c>
      <c r="H306" s="38"/>
      <c r="I306" s="37"/>
    </row>
    <row r="307" spans="1:9" ht="14.5" x14ac:dyDescent="0.35">
      <c r="A307" s="142" t="s">
        <v>3799</v>
      </c>
      <c r="B307" s="44" t="s">
        <v>3802</v>
      </c>
      <c r="C307" s="36">
        <v>45866</v>
      </c>
      <c r="D307" s="37" t="s">
        <v>422</v>
      </c>
      <c r="E307" t="s">
        <v>4241</v>
      </c>
      <c r="F307" s="37" t="s">
        <v>3805</v>
      </c>
      <c r="G307" s="38">
        <v>86.999999999999986</v>
      </c>
      <c r="H307" s="38"/>
      <c r="I307" s="37"/>
    </row>
    <row r="308" spans="1:9" ht="14.5" x14ac:dyDescent="0.35">
      <c r="A308" s="142" t="s">
        <v>3799</v>
      </c>
      <c r="B308" s="44" t="s">
        <v>3802</v>
      </c>
      <c r="C308" s="36">
        <v>45866</v>
      </c>
      <c r="D308" s="37" t="s">
        <v>422</v>
      </c>
      <c r="E308" t="s">
        <v>4242</v>
      </c>
      <c r="F308" s="37" t="s">
        <v>3805</v>
      </c>
      <c r="G308" s="38">
        <v>87</v>
      </c>
      <c r="H308" s="38"/>
      <c r="I308" s="37"/>
    </row>
    <row r="309" spans="1:9" ht="14.5" x14ac:dyDescent="0.35">
      <c r="A309" s="142" t="s">
        <v>3799</v>
      </c>
      <c r="B309" s="44" t="s">
        <v>3802</v>
      </c>
      <c r="C309" s="36">
        <v>45866</v>
      </c>
      <c r="D309" s="37" t="s">
        <v>422</v>
      </c>
      <c r="E309" t="s">
        <v>4243</v>
      </c>
      <c r="F309" s="37" t="s">
        <v>3805</v>
      </c>
      <c r="G309" s="38">
        <v>64</v>
      </c>
      <c r="H309" s="38"/>
      <c r="I309" s="37"/>
    </row>
    <row r="310" spans="1:9" ht="14.5" x14ac:dyDescent="0.35">
      <c r="A310" s="142" t="s">
        <v>3799</v>
      </c>
      <c r="B310" s="44" t="s">
        <v>3802</v>
      </c>
      <c r="C310" s="36">
        <v>45866</v>
      </c>
      <c r="D310" s="37" t="s">
        <v>422</v>
      </c>
      <c r="E310" t="s">
        <v>4244</v>
      </c>
      <c r="F310" s="37" t="s">
        <v>3805</v>
      </c>
      <c r="G310" s="38">
        <v>67</v>
      </c>
      <c r="H310" s="38"/>
      <c r="I310" s="37"/>
    </row>
    <row r="311" spans="1:9" ht="14.5" x14ac:dyDescent="0.35">
      <c r="A311" s="142" t="s">
        <v>3799</v>
      </c>
      <c r="B311" s="44" t="s">
        <v>3802</v>
      </c>
      <c r="C311" s="36">
        <v>45866</v>
      </c>
      <c r="D311" s="37" t="s">
        <v>422</v>
      </c>
      <c r="E311" t="s">
        <v>4245</v>
      </c>
      <c r="F311" s="37" t="s">
        <v>3805</v>
      </c>
      <c r="G311" s="38">
        <v>87</v>
      </c>
      <c r="H311" s="38"/>
      <c r="I311" s="37"/>
    </row>
    <row r="312" spans="1:9" ht="14.5" x14ac:dyDescent="0.35">
      <c r="A312" s="142" t="s">
        <v>3799</v>
      </c>
      <c r="B312" s="44" t="s">
        <v>3802</v>
      </c>
      <c r="C312" s="36">
        <v>45866</v>
      </c>
      <c r="D312" s="37" t="s">
        <v>422</v>
      </c>
      <c r="E312" t="s">
        <v>4246</v>
      </c>
      <c r="F312" s="37" t="s">
        <v>3805</v>
      </c>
      <c r="G312" s="38">
        <v>87</v>
      </c>
      <c r="H312" s="38"/>
      <c r="I312" s="37"/>
    </row>
    <row r="313" spans="1:9" ht="14.5" x14ac:dyDescent="0.35">
      <c r="A313" s="142" t="s">
        <v>3799</v>
      </c>
      <c r="B313" s="44" t="s">
        <v>3802</v>
      </c>
      <c r="C313" s="36">
        <v>45866</v>
      </c>
      <c r="D313" s="37" t="s">
        <v>819</v>
      </c>
      <c r="E313" t="s">
        <v>4247</v>
      </c>
      <c r="F313" s="37" t="s">
        <v>3805</v>
      </c>
      <c r="G313" s="38">
        <v>234</v>
      </c>
      <c r="H313" s="38"/>
      <c r="I313" s="37"/>
    </row>
    <row r="314" spans="1:9" ht="14.5" x14ac:dyDescent="0.35">
      <c r="A314" s="142" t="s">
        <v>3799</v>
      </c>
      <c r="B314" s="44" t="s">
        <v>3802</v>
      </c>
      <c r="C314" s="36">
        <v>45866</v>
      </c>
      <c r="D314" s="37" t="s">
        <v>819</v>
      </c>
      <c r="E314" t="s">
        <v>4248</v>
      </c>
      <c r="F314" s="37" t="s">
        <v>3805</v>
      </c>
      <c r="G314" s="38">
        <v>2219.9999999999995</v>
      </c>
      <c r="H314" s="38"/>
      <c r="I314" s="37"/>
    </row>
    <row r="315" spans="1:9" ht="14.5" x14ac:dyDescent="0.35">
      <c r="A315" s="142" t="s">
        <v>3799</v>
      </c>
      <c r="B315" s="44" t="s">
        <v>3802</v>
      </c>
      <c r="C315" s="36">
        <v>45866</v>
      </c>
      <c r="D315" s="37" t="s">
        <v>819</v>
      </c>
      <c r="E315" t="s">
        <v>4249</v>
      </c>
      <c r="F315" s="37" t="s">
        <v>3805</v>
      </c>
      <c r="G315" s="38">
        <v>2790.0000000000009</v>
      </c>
      <c r="H315" s="38"/>
      <c r="I315" s="37"/>
    </row>
    <row r="316" spans="1:9" ht="14.5" x14ac:dyDescent="0.35">
      <c r="A316" s="142" t="s">
        <v>3799</v>
      </c>
      <c r="B316" s="44" t="s">
        <v>3802</v>
      </c>
      <c r="C316" s="36">
        <v>45866</v>
      </c>
      <c r="D316" s="37" t="s">
        <v>422</v>
      </c>
      <c r="E316" t="s">
        <v>4250</v>
      </c>
      <c r="F316" s="37" t="s">
        <v>3805</v>
      </c>
      <c r="G316" s="38">
        <v>90</v>
      </c>
      <c r="H316" s="38"/>
      <c r="I316" s="37"/>
    </row>
    <row r="317" spans="1:9" ht="14.5" x14ac:dyDescent="0.35">
      <c r="A317" s="142" t="s">
        <v>3799</v>
      </c>
      <c r="B317" s="44" t="s">
        <v>3802</v>
      </c>
      <c r="C317" s="36">
        <v>45866</v>
      </c>
      <c r="D317" s="37" t="s">
        <v>422</v>
      </c>
      <c r="E317" t="s">
        <v>4251</v>
      </c>
      <c r="F317" s="37" t="s">
        <v>3805</v>
      </c>
      <c r="G317" s="38">
        <v>64</v>
      </c>
      <c r="H317" s="38"/>
      <c r="I317" s="37"/>
    </row>
    <row r="318" spans="1:9" ht="14.5" x14ac:dyDescent="0.35">
      <c r="A318" s="142" t="s">
        <v>3799</v>
      </c>
      <c r="B318" s="44" t="s">
        <v>3802</v>
      </c>
      <c r="C318" s="36">
        <v>45866</v>
      </c>
      <c r="D318" s="37" t="s">
        <v>422</v>
      </c>
      <c r="E318" t="s">
        <v>4252</v>
      </c>
      <c r="F318" s="37" t="s">
        <v>3805</v>
      </c>
      <c r="G318" s="38">
        <v>213.99999999999994</v>
      </c>
      <c r="H318" s="38"/>
      <c r="I318" s="37"/>
    </row>
    <row r="319" spans="1:9" ht="14.5" x14ac:dyDescent="0.35">
      <c r="A319" s="142" t="s">
        <v>3799</v>
      </c>
      <c r="B319" s="44" t="s">
        <v>3802</v>
      </c>
      <c r="C319" s="36">
        <v>45866</v>
      </c>
      <c r="D319" s="37" t="s">
        <v>803</v>
      </c>
      <c r="E319" t="s">
        <v>4253</v>
      </c>
      <c r="F319" s="37" t="s">
        <v>3805</v>
      </c>
      <c r="G319" s="38">
        <v>650</v>
      </c>
      <c r="H319" s="38"/>
      <c r="I319" s="37"/>
    </row>
    <row r="320" spans="1:9" ht="14.5" x14ac:dyDescent="0.35">
      <c r="A320" s="142" t="s">
        <v>3799</v>
      </c>
      <c r="B320" s="44" t="s">
        <v>3802</v>
      </c>
      <c r="C320" s="36">
        <v>45866</v>
      </c>
      <c r="D320" s="37" t="s">
        <v>422</v>
      </c>
      <c r="E320" t="s">
        <v>4254</v>
      </c>
      <c r="F320" s="37" t="s">
        <v>3805</v>
      </c>
      <c r="G320" s="38">
        <v>90</v>
      </c>
      <c r="H320" s="38"/>
      <c r="I320" s="37"/>
    </row>
    <row r="321" spans="1:9" ht="14.5" x14ac:dyDescent="0.35">
      <c r="A321" s="142" t="s">
        <v>3799</v>
      </c>
      <c r="B321" s="44" t="s">
        <v>3802</v>
      </c>
      <c r="C321" s="36">
        <v>45866</v>
      </c>
      <c r="D321" s="37" t="s">
        <v>422</v>
      </c>
      <c r="E321" t="s">
        <v>4255</v>
      </c>
      <c r="F321" s="37" t="s">
        <v>3805</v>
      </c>
      <c r="G321" s="38">
        <v>65</v>
      </c>
      <c r="H321" s="38"/>
      <c r="I321" s="37"/>
    </row>
    <row r="322" spans="1:9" ht="14.5" x14ac:dyDescent="0.35">
      <c r="A322" s="142" t="s">
        <v>3799</v>
      </c>
      <c r="B322" s="44" t="s">
        <v>3802</v>
      </c>
      <c r="C322" s="36">
        <v>45866</v>
      </c>
      <c r="D322" s="37" t="s">
        <v>422</v>
      </c>
      <c r="E322" t="s">
        <v>4256</v>
      </c>
      <c r="F322" s="37" t="s">
        <v>3805</v>
      </c>
      <c r="G322" s="38">
        <v>65</v>
      </c>
      <c r="H322" s="38"/>
      <c r="I322" s="37"/>
    </row>
    <row r="323" spans="1:9" ht="14.5" x14ac:dyDescent="0.35">
      <c r="A323" s="142" t="s">
        <v>3799</v>
      </c>
      <c r="B323" s="44" t="s">
        <v>3802</v>
      </c>
      <c r="C323" s="36">
        <v>45866</v>
      </c>
      <c r="D323" s="37" t="s">
        <v>422</v>
      </c>
      <c r="E323" t="s">
        <v>4257</v>
      </c>
      <c r="F323" s="37" t="s">
        <v>3805</v>
      </c>
      <c r="G323" s="38">
        <v>107</v>
      </c>
      <c r="H323" s="38"/>
      <c r="I323" s="37"/>
    </row>
    <row r="324" spans="1:9" ht="14.5" x14ac:dyDescent="0.35">
      <c r="A324" s="142" t="s">
        <v>3799</v>
      </c>
      <c r="B324" s="44" t="s">
        <v>3802</v>
      </c>
      <c r="C324" s="36">
        <v>45866</v>
      </c>
      <c r="D324" s="37" t="s">
        <v>422</v>
      </c>
      <c r="E324" t="s">
        <v>4258</v>
      </c>
      <c r="F324" s="37" t="s">
        <v>3805</v>
      </c>
      <c r="G324" s="38">
        <v>218</v>
      </c>
      <c r="H324" s="38"/>
      <c r="I324" s="37"/>
    </row>
    <row r="325" spans="1:9" ht="14.5" x14ac:dyDescent="0.35">
      <c r="A325" s="142" t="s">
        <v>3799</v>
      </c>
      <c r="B325" s="44" t="s">
        <v>3802</v>
      </c>
      <c r="C325" s="36">
        <v>45866</v>
      </c>
      <c r="D325" s="37" t="s">
        <v>422</v>
      </c>
      <c r="E325" t="s">
        <v>4259</v>
      </c>
      <c r="F325" s="37" t="s">
        <v>3805</v>
      </c>
      <c r="G325" s="38">
        <v>218</v>
      </c>
      <c r="H325" s="38"/>
      <c r="I325" s="37"/>
    </row>
    <row r="326" spans="1:9" ht="14.5" x14ac:dyDescent="0.35">
      <c r="A326" s="142" t="s">
        <v>3799</v>
      </c>
      <c r="B326" s="44" t="s">
        <v>3802</v>
      </c>
      <c r="C326" s="36">
        <v>45866</v>
      </c>
      <c r="D326" s="37" t="s">
        <v>716</v>
      </c>
      <c r="E326" t="s">
        <v>4260</v>
      </c>
      <c r="F326" s="37" t="s">
        <v>3805</v>
      </c>
      <c r="G326" s="38">
        <v>541</v>
      </c>
      <c r="H326" s="38"/>
      <c r="I326" s="37"/>
    </row>
    <row r="327" spans="1:9" ht="14.5" x14ac:dyDescent="0.35">
      <c r="A327" s="142" t="s">
        <v>3799</v>
      </c>
      <c r="B327" s="44" t="s">
        <v>3802</v>
      </c>
      <c r="C327" s="36">
        <v>45866</v>
      </c>
      <c r="D327" s="37" t="s">
        <v>422</v>
      </c>
      <c r="E327" t="s">
        <v>4261</v>
      </c>
      <c r="F327" s="37" t="s">
        <v>3805</v>
      </c>
      <c r="G327" s="38">
        <v>64</v>
      </c>
      <c r="H327" s="38"/>
      <c r="I327" s="37"/>
    </row>
    <row r="328" spans="1:9" ht="14.5" x14ac:dyDescent="0.35">
      <c r="A328" s="142" t="s">
        <v>3799</v>
      </c>
      <c r="B328" s="44" t="s">
        <v>3802</v>
      </c>
      <c r="C328" s="36">
        <v>45866</v>
      </c>
      <c r="D328" s="37" t="s">
        <v>422</v>
      </c>
      <c r="E328" t="s">
        <v>4262</v>
      </c>
      <c r="F328" s="37" t="s">
        <v>3805</v>
      </c>
      <c r="G328" s="38">
        <v>69</v>
      </c>
      <c r="H328" s="38"/>
      <c r="I328" s="37"/>
    </row>
    <row r="329" spans="1:9" ht="14.5" x14ac:dyDescent="0.35">
      <c r="A329" s="142" t="s">
        <v>3799</v>
      </c>
      <c r="B329" s="44" t="s">
        <v>3802</v>
      </c>
      <c r="C329" s="36">
        <v>45866</v>
      </c>
      <c r="D329" s="37" t="s">
        <v>422</v>
      </c>
      <c r="E329" t="s">
        <v>4263</v>
      </c>
      <c r="F329" s="37" t="s">
        <v>3805</v>
      </c>
      <c r="G329" s="38">
        <v>107.99999999999999</v>
      </c>
      <c r="H329" s="38"/>
      <c r="I329" s="37"/>
    </row>
    <row r="330" spans="1:9" ht="14.5" x14ac:dyDescent="0.35">
      <c r="A330" s="142" t="s">
        <v>3799</v>
      </c>
      <c r="B330" s="44" t="s">
        <v>3802</v>
      </c>
      <c r="C330" s="36">
        <v>45866</v>
      </c>
      <c r="D330" s="37" t="s">
        <v>422</v>
      </c>
      <c r="E330" t="s">
        <v>4264</v>
      </c>
      <c r="F330" s="37" t="s">
        <v>3805</v>
      </c>
      <c r="G330" s="38">
        <v>229</v>
      </c>
      <c r="H330" s="38"/>
      <c r="I330" s="37"/>
    </row>
    <row r="331" spans="1:9" ht="14.5" x14ac:dyDescent="0.35">
      <c r="A331" s="142" t="s">
        <v>3799</v>
      </c>
      <c r="B331" s="44" t="s">
        <v>3802</v>
      </c>
      <c r="C331" s="36">
        <v>45866</v>
      </c>
      <c r="D331" s="37" t="s">
        <v>422</v>
      </c>
      <c r="E331" t="s">
        <v>4265</v>
      </c>
      <c r="F331" s="37" t="s">
        <v>3805</v>
      </c>
      <c r="G331" s="38">
        <v>69</v>
      </c>
      <c r="H331" s="38"/>
      <c r="I331" s="37"/>
    </row>
    <row r="332" spans="1:9" ht="14.5" x14ac:dyDescent="0.35">
      <c r="A332" s="142" t="s">
        <v>3799</v>
      </c>
      <c r="B332" s="44" t="s">
        <v>3802</v>
      </c>
      <c r="C332" s="36">
        <v>45866</v>
      </c>
      <c r="D332" s="37" t="s">
        <v>422</v>
      </c>
      <c r="E332" t="s">
        <v>4266</v>
      </c>
      <c r="F332" s="37" t="s">
        <v>3805</v>
      </c>
      <c r="G332" s="38">
        <v>65</v>
      </c>
      <c r="H332" s="38"/>
      <c r="I332" s="37"/>
    </row>
    <row r="333" spans="1:9" ht="14.5" x14ac:dyDescent="0.35">
      <c r="A333" s="142" t="s">
        <v>3799</v>
      </c>
      <c r="B333" s="44" t="s">
        <v>3802</v>
      </c>
      <c r="C333" s="36">
        <v>45866</v>
      </c>
      <c r="D333" s="37" t="s">
        <v>422</v>
      </c>
      <c r="E333" t="s">
        <v>4267</v>
      </c>
      <c r="F333" s="37" t="s">
        <v>3805</v>
      </c>
      <c r="G333" s="38">
        <v>87</v>
      </c>
      <c r="H333" s="38"/>
      <c r="I333" s="37"/>
    </row>
    <row r="334" spans="1:9" ht="14.5" x14ac:dyDescent="0.35">
      <c r="A334" s="142" t="s">
        <v>3799</v>
      </c>
      <c r="B334" s="44" t="s">
        <v>3802</v>
      </c>
      <c r="C334" s="36">
        <v>45866</v>
      </c>
      <c r="D334" s="37" t="s">
        <v>422</v>
      </c>
      <c r="E334" t="s">
        <v>4268</v>
      </c>
      <c r="F334" s="37" t="s">
        <v>3805</v>
      </c>
      <c r="G334" s="38">
        <v>2639.9999999999991</v>
      </c>
      <c r="H334" s="38"/>
      <c r="I334" s="37"/>
    </row>
    <row r="335" spans="1:9" ht="14.5" x14ac:dyDescent="0.35">
      <c r="A335" s="142" t="s">
        <v>3799</v>
      </c>
      <c r="B335" s="44" t="s">
        <v>3802</v>
      </c>
      <c r="C335" s="36">
        <v>45866</v>
      </c>
      <c r="D335" s="37" t="s">
        <v>422</v>
      </c>
      <c r="E335" t="s">
        <v>4269</v>
      </c>
      <c r="F335" s="37" t="s">
        <v>3805</v>
      </c>
      <c r="G335" s="38">
        <v>218</v>
      </c>
      <c r="H335" s="38"/>
      <c r="I335" s="37"/>
    </row>
    <row r="336" spans="1:9" ht="14.5" x14ac:dyDescent="0.35">
      <c r="A336" s="142" t="s">
        <v>3799</v>
      </c>
      <c r="B336" s="44" t="s">
        <v>3802</v>
      </c>
      <c r="C336" s="36">
        <v>45866</v>
      </c>
      <c r="D336" s="37" t="s">
        <v>819</v>
      </c>
      <c r="E336" t="s">
        <v>4270</v>
      </c>
      <c r="F336" s="37" t="s">
        <v>3805</v>
      </c>
      <c r="G336" s="38">
        <v>234</v>
      </c>
      <c r="H336" s="38"/>
      <c r="I336" s="37"/>
    </row>
    <row r="337" spans="1:9" ht="14.5" x14ac:dyDescent="0.35">
      <c r="A337" s="142" t="s">
        <v>3799</v>
      </c>
      <c r="B337" s="44" t="s">
        <v>3802</v>
      </c>
      <c r="C337" s="36">
        <v>45866</v>
      </c>
      <c r="D337" s="37" t="s">
        <v>422</v>
      </c>
      <c r="E337" t="s">
        <v>4271</v>
      </c>
      <c r="F337" s="37" t="s">
        <v>3805</v>
      </c>
      <c r="G337" s="38">
        <v>1320</v>
      </c>
      <c r="H337" s="38"/>
      <c r="I337" s="37"/>
    </row>
    <row r="338" spans="1:9" ht="14.5" x14ac:dyDescent="0.35">
      <c r="A338" s="142" t="s">
        <v>3799</v>
      </c>
      <c r="B338" s="44" t="s">
        <v>3802</v>
      </c>
      <c r="C338" s="36">
        <v>45866</v>
      </c>
      <c r="D338" s="37" t="s">
        <v>422</v>
      </c>
      <c r="E338" t="s">
        <v>4272</v>
      </c>
      <c r="F338" s="37" t="s">
        <v>3805</v>
      </c>
      <c r="G338" s="38">
        <v>64</v>
      </c>
      <c r="H338" s="38"/>
      <c r="I338" s="37"/>
    </row>
    <row r="339" spans="1:9" ht="14.5" x14ac:dyDescent="0.35">
      <c r="A339" s="142" t="s">
        <v>3799</v>
      </c>
      <c r="B339" s="44" t="s">
        <v>3802</v>
      </c>
      <c r="C339" s="36">
        <v>45866</v>
      </c>
      <c r="D339" s="37" t="s">
        <v>422</v>
      </c>
      <c r="E339" t="s">
        <v>4273</v>
      </c>
      <c r="F339" s="37" t="s">
        <v>3805</v>
      </c>
      <c r="G339" s="38">
        <v>258</v>
      </c>
      <c r="H339" s="38"/>
      <c r="I339" s="37"/>
    </row>
    <row r="340" spans="1:9" ht="14.5" x14ac:dyDescent="0.35">
      <c r="A340" s="142" t="s">
        <v>3799</v>
      </c>
      <c r="B340" s="44" t="s">
        <v>3802</v>
      </c>
      <c r="C340" s="36">
        <v>45866</v>
      </c>
      <c r="D340" s="37" t="s">
        <v>422</v>
      </c>
      <c r="E340" t="s">
        <v>4274</v>
      </c>
      <c r="F340" s="37" t="s">
        <v>3805</v>
      </c>
      <c r="G340" s="38">
        <v>65</v>
      </c>
      <c r="H340" s="38"/>
      <c r="I340" s="37"/>
    </row>
    <row r="341" spans="1:9" ht="14.5" x14ac:dyDescent="0.35">
      <c r="A341" s="142" t="s">
        <v>3799</v>
      </c>
      <c r="B341" s="44" t="s">
        <v>3802</v>
      </c>
      <c r="C341" s="36">
        <v>45866</v>
      </c>
      <c r="D341" s="37" t="s">
        <v>819</v>
      </c>
      <c r="E341" t="s">
        <v>4275</v>
      </c>
      <c r="F341" s="37" t="s">
        <v>3805</v>
      </c>
      <c r="G341" s="38">
        <v>234</v>
      </c>
      <c r="H341" s="38"/>
      <c r="I341" s="37"/>
    </row>
    <row r="342" spans="1:9" ht="14.5" x14ac:dyDescent="0.35">
      <c r="A342" s="142" t="s">
        <v>3799</v>
      </c>
      <c r="B342" s="44" t="s">
        <v>3802</v>
      </c>
      <c r="C342" s="36">
        <v>45866</v>
      </c>
      <c r="D342" s="37" t="s">
        <v>819</v>
      </c>
      <c r="E342" t="s">
        <v>4276</v>
      </c>
      <c r="F342" s="37" t="s">
        <v>3805</v>
      </c>
      <c r="G342" s="38">
        <v>234</v>
      </c>
      <c r="H342" s="38"/>
      <c r="I342" s="37"/>
    </row>
    <row r="343" spans="1:9" ht="14.5" x14ac:dyDescent="0.35">
      <c r="A343" s="142" t="s">
        <v>3799</v>
      </c>
      <c r="B343" s="44" t="s">
        <v>3802</v>
      </c>
      <c r="C343" s="36">
        <v>45866</v>
      </c>
      <c r="D343" s="37" t="s">
        <v>422</v>
      </c>
      <c r="E343" t="s">
        <v>4277</v>
      </c>
      <c r="F343" s="37" t="s">
        <v>3805</v>
      </c>
      <c r="G343" s="38">
        <v>87</v>
      </c>
      <c r="H343" s="38"/>
      <c r="I343" s="37"/>
    </row>
    <row r="344" spans="1:9" ht="14.5" x14ac:dyDescent="0.35">
      <c r="A344" s="142" t="s">
        <v>3799</v>
      </c>
      <c r="B344" s="44" t="s">
        <v>3802</v>
      </c>
      <c r="C344" s="36">
        <v>45866</v>
      </c>
      <c r="D344" s="37" t="s">
        <v>422</v>
      </c>
      <c r="E344" t="s">
        <v>4278</v>
      </c>
      <c r="F344" s="37" t="s">
        <v>3805</v>
      </c>
      <c r="G344" s="38">
        <v>292</v>
      </c>
      <c r="H344" s="38"/>
      <c r="I344" s="37"/>
    </row>
    <row r="345" spans="1:9" ht="14.5" x14ac:dyDescent="0.35">
      <c r="A345" s="142" t="s">
        <v>3799</v>
      </c>
      <c r="B345" s="44" t="s">
        <v>3802</v>
      </c>
      <c r="C345" s="36">
        <v>45866</v>
      </c>
      <c r="D345" s="37" t="s">
        <v>819</v>
      </c>
      <c r="E345" t="s">
        <v>4279</v>
      </c>
      <c r="F345" s="37" t="s">
        <v>3805</v>
      </c>
      <c r="G345" s="38">
        <v>3230</v>
      </c>
      <c r="H345" s="38"/>
      <c r="I345" s="37"/>
    </row>
    <row r="346" spans="1:9" ht="14.5" x14ac:dyDescent="0.35">
      <c r="A346" s="142" t="s">
        <v>3799</v>
      </c>
      <c r="B346" s="44" t="s">
        <v>3802</v>
      </c>
      <c r="C346" s="36">
        <v>45866</v>
      </c>
      <c r="D346" s="37" t="s">
        <v>422</v>
      </c>
      <c r="E346" t="s">
        <v>4280</v>
      </c>
      <c r="F346" s="37" t="s">
        <v>3805</v>
      </c>
      <c r="G346" s="38">
        <v>69</v>
      </c>
      <c r="H346" s="38"/>
      <c r="I346" s="37"/>
    </row>
    <row r="347" spans="1:9" ht="14.5" x14ac:dyDescent="0.35">
      <c r="A347" s="142" t="s">
        <v>3799</v>
      </c>
      <c r="B347" s="44" t="s">
        <v>3802</v>
      </c>
      <c r="C347" s="36">
        <v>45866</v>
      </c>
      <c r="D347" s="37" t="s">
        <v>422</v>
      </c>
      <c r="E347" t="s">
        <v>4281</v>
      </c>
      <c r="F347" s="37" t="s">
        <v>3805</v>
      </c>
      <c r="G347" s="38">
        <v>422</v>
      </c>
      <c r="H347" s="38"/>
      <c r="I347" s="37"/>
    </row>
    <row r="348" spans="1:9" ht="14.5" x14ac:dyDescent="0.35">
      <c r="A348" s="142" t="s">
        <v>3799</v>
      </c>
      <c r="B348" s="44" t="s">
        <v>3802</v>
      </c>
      <c r="C348" s="36">
        <v>45866</v>
      </c>
      <c r="D348" s="37" t="s">
        <v>819</v>
      </c>
      <c r="E348" t="s">
        <v>4282</v>
      </c>
      <c r="F348" s="37" t="s">
        <v>3805</v>
      </c>
      <c r="G348" s="38">
        <v>234</v>
      </c>
      <c r="H348" s="38"/>
      <c r="I348" s="37"/>
    </row>
    <row r="349" spans="1:9" ht="14.5" x14ac:dyDescent="0.35">
      <c r="A349" s="142" t="s">
        <v>3799</v>
      </c>
      <c r="B349" s="44" t="s">
        <v>3802</v>
      </c>
      <c r="C349" s="36">
        <v>45866</v>
      </c>
      <c r="D349" s="37" t="s">
        <v>422</v>
      </c>
      <c r="E349" t="s">
        <v>4283</v>
      </c>
      <c r="F349" s="37" t="s">
        <v>3805</v>
      </c>
      <c r="G349" s="38">
        <v>1490</v>
      </c>
      <c r="H349" s="38"/>
      <c r="I349" s="37"/>
    </row>
    <row r="350" spans="1:9" ht="14.5" x14ac:dyDescent="0.35">
      <c r="A350" s="142" t="s">
        <v>3799</v>
      </c>
      <c r="B350" s="44" t="s">
        <v>3802</v>
      </c>
      <c r="C350" s="36">
        <v>45866</v>
      </c>
      <c r="D350" s="37" t="s">
        <v>422</v>
      </c>
      <c r="E350" t="s">
        <v>4284</v>
      </c>
      <c r="F350" s="37" t="s">
        <v>3805</v>
      </c>
      <c r="G350" s="38">
        <v>229</v>
      </c>
      <c r="H350" s="38"/>
      <c r="I350" s="37"/>
    </row>
    <row r="351" spans="1:9" ht="14.5" x14ac:dyDescent="0.35">
      <c r="A351" s="142" t="s">
        <v>3799</v>
      </c>
      <c r="B351" s="44" t="s">
        <v>3802</v>
      </c>
      <c r="C351" s="36">
        <v>45866</v>
      </c>
      <c r="D351" s="37" t="s">
        <v>422</v>
      </c>
      <c r="E351" t="s">
        <v>4285</v>
      </c>
      <c r="F351" s="37" t="s">
        <v>3805</v>
      </c>
      <c r="G351" s="38">
        <v>228</v>
      </c>
      <c r="H351" s="38"/>
      <c r="I351" s="37"/>
    </row>
    <row r="352" spans="1:9" ht="14.5" x14ac:dyDescent="0.35">
      <c r="A352" s="142" t="s">
        <v>3799</v>
      </c>
      <c r="B352" s="44" t="s">
        <v>3802</v>
      </c>
      <c r="C352" s="36">
        <v>45866</v>
      </c>
      <c r="D352" s="37" t="s">
        <v>422</v>
      </c>
      <c r="E352" t="s">
        <v>4286</v>
      </c>
      <c r="F352" s="37" t="s">
        <v>3805</v>
      </c>
      <c r="G352" s="38">
        <v>259</v>
      </c>
      <c r="H352" s="38"/>
      <c r="I352" s="37"/>
    </row>
    <row r="353" spans="1:9" ht="14.5" x14ac:dyDescent="0.35">
      <c r="A353" s="142" t="s">
        <v>3799</v>
      </c>
      <c r="B353" s="44" t="s">
        <v>3802</v>
      </c>
      <c r="C353" s="36">
        <v>45866</v>
      </c>
      <c r="D353" s="37" t="s">
        <v>422</v>
      </c>
      <c r="E353" t="s">
        <v>4287</v>
      </c>
      <c r="F353" s="37" t="s">
        <v>3805</v>
      </c>
      <c r="G353" s="38">
        <v>101</v>
      </c>
      <c r="H353" s="38"/>
      <c r="I353" s="37"/>
    </row>
    <row r="354" spans="1:9" ht="14.5" x14ac:dyDescent="0.35">
      <c r="A354" s="142" t="s">
        <v>3799</v>
      </c>
      <c r="B354" s="44" t="s">
        <v>3802</v>
      </c>
      <c r="C354" s="36">
        <v>45866</v>
      </c>
      <c r="D354" s="37" t="s">
        <v>422</v>
      </c>
      <c r="E354" t="s">
        <v>4288</v>
      </c>
      <c r="F354" s="37" t="s">
        <v>3805</v>
      </c>
      <c r="G354" s="38">
        <v>87</v>
      </c>
      <c r="H354" s="38"/>
      <c r="I354" s="37"/>
    </row>
    <row r="355" spans="1:9" ht="14.5" x14ac:dyDescent="0.35">
      <c r="A355" s="142" t="s">
        <v>3799</v>
      </c>
      <c r="B355" s="44" t="s">
        <v>3802</v>
      </c>
      <c r="C355" s="36">
        <v>45866</v>
      </c>
      <c r="D355" s="37" t="s">
        <v>66</v>
      </c>
      <c r="E355" t="s">
        <v>4289</v>
      </c>
      <c r="F355" s="37" t="s">
        <v>3805</v>
      </c>
      <c r="G355" s="38">
        <v>323</v>
      </c>
      <c r="H355" s="38"/>
      <c r="I355" s="37"/>
    </row>
    <row r="356" spans="1:9" ht="14.5" x14ac:dyDescent="0.35">
      <c r="A356" s="142" t="s">
        <v>3799</v>
      </c>
      <c r="B356" s="44" t="s">
        <v>3802</v>
      </c>
      <c r="C356" s="36">
        <v>45866</v>
      </c>
      <c r="D356" s="37" t="s">
        <v>422</v>
      </c>
      <c r="E356" t="s">
        <v>4290</v>
      </c>
      <c r="F356" s="37" t="s">
        <v>3805</v>
      </c>
      <c r="G356" s="38">
        <v>228</v>
      </c>
      <c r="H356" s="38"/>
      <c r="I356" s="37"/>
    </row>
    <row r="357" spans="1:9" ht="14.5" x14ac:dyDescent="0.35">
      <c r="A357" s="142" t="s">
        <v>3799</v>
      </c>
      <c r="B357" s="44" t="s">
        <v>3802</v>
      </c>
      <c r="C357" s="36">
        <v>45866</v>
      </c>
      <c r="D357" s="37" t="s">
        <v>819</v>
      </c>
      <c r="E357" t="s">
        <v>4291</v>
      </c>
      <c r="F357" s="37" t="s">
        <v>3805</v>
      </c>
      <c r="G357" s="38">
        <v>6280.0000000000009</v>
      </c>
      <c r="H357" s="38"/>
      <c r="I357" s="37"/>
    </row>
    <row r="358" spans="1:9" ht="14.5" x14ac:dyDescent="0.35">
      <c r="A358" s="142" t="s">
        <v>3799</v>
      </c>
      <c r="B358" s="44" t="s">
        <v>3802</v>
      </c>
      <c r="C358" s="36">
        <v>45866</v>
      </c>
      <c r="D358" s="37" t="s">
        <v>422</v>
      </c>
      <c r="E358" t="s">
        <v>4292</v>
      </c>
      <c r="F358" s="37" t="s">
        <v>3805</v>
      </c>
      <c r="G358" s="38">
        <v>1943.9999999999998</v>
      </c>
      <c r="H358" s="38"/>
      <c r="I358" s="37"/>
    </row>
    <row r="359" spans="1:9" ht="14.5" x14ac:dyDescent="0.35">
      <c r="A359" s="142" t="s">
        <v>3799</v>
      </c>
      <c r="B359" s="44" t="s">
        <v>3802</v>
      </c>
      <c r="C359" s="36">
        <v>45866</v>
      </c>
      <c r="D359" s="37" t="s">
        <v>819</v>
      </c>
      <c r="E359" t="s">
        <v>4293</v>
      </c>
      <c r="F359" s="37" t="s">
        <v>3805</v>
      </c>
      <c r="G359" s="38">
        <v>1450</v>
      </c>
      <c r="H359" s="38"/>
      <c r="I359" s="37"/>
    </row>
    <row r="360" spans="1:9" ht="14.5" x14ac:dyDescent="0.35">
      <c r="A360" s="142" t="s">
        <v>3799</v>
      </c>
      <c r="B360" s="44" t="s">
        <v>3802</v>
      </c>
      <c r="C360" s="36">
        <v>45866</v>
      </c>
      <c r="D360" s="37" t="s">
        <v>66</v>
      </c>
      <c r="E360" t="s">
        <v>4294</v>
      </c>
      <c r="F360" s="37" t="s">
        <v>3805</v>
      </c>
      <c r="G360" s="38">
        <v>271</v>
      </c>
      <c r="H360" s="38"/>
      <c r="I360" s="37"/>
    </row>
    <row r="361" spans="1:9" ht="14.5" x14ac:dyDescent="0.35">
      <c r="A361" s="142" t="s">
        <v>3799</v>
      </c>
      <c r="B361" s="44" t="s">
        <v>3802</v>
      </c>
      <c r="C361" s="36">
        <v>45866</v>
      </c>
      <c r="D361" s="37" t="s">
        <v>422</v>
      </c>
      <c r="E361" t="s">
        <v>4295</v>
      </c>
      <c r="F361" s="37" t="s">
        <v>3805</v>
      </c>
      <c r="G361" s="38">
        <v>64</v>
      </c>
      <c r="H361" s="38"/>
      <c r="I361" s="37"/>
    </row>
    <row r="362" spans="1:9" ht="14.5" x14ac:dyDescent="0.35">
      <c r="A362" s="142" t="s">
        <v>3799</v>
      </c>
      <c r="B362" s="44" t="s">
        <v>3802</v>
      </c>
      <c r="C362" s="36">
        <v>45866</v>
      </c>
      <c r="D362" s="37" t="s">
        <v>17</v>
      </c>
      <c r="E362" t="s">
        <v>4296</v>
      </c>
      <c r="F362" s="37" t="s">
        <v>3805</v>
      </c>
      <c r="G362" s="38">
        <v>1640</v>
      </c>
      <c r="H362" s="38"/>
      <c r="I362" s="37"/>
    </row>
    <row r="363" spans="1:9" ht="14.5" x14ac:dyDescent="0.35">
      <c r="A363" s="142" t="s">
        <v>3799</v>
      </c>
      <c r="B363" s="44" t="s">
        <v>3802</v>
      </c>
      <c r="C363" s="36">
        <v>45866</v>
      </c>
      <c r="D363" s="37" t="s">
        <v>422</v>
      </c>
      <c r="E363" t="s">
        <v>4297</v>
      </c>
      <c r="F363" s="37" t="s">
        <v>3805</v>
      </c>
      <c r="G363" s="38">
        <v>87</v>
      </c>
      <c r="H363" s="38"/>
      <c r="I363" s="37"/>
    </row>
    <row r="364" spans="1:9" ht="14.5" x14ac:dyDescent="0.35">
      <c r="A364" s="142" t="s">
        <v>3799</v>
      </c>
      <c r="B364" s="44" t="s">
        <v>3802</v>
      </c>
      <c r="C364" s="36">
        <v>45866</v>
      </c>
      <c r="D364" s="37" t="s">
        <v>422</v>
      </c>
      <c r="E364" t="s">
        <v>4298</v>
      </c>
      <c r="F364" s="37" t="s">
        <v>3805</v>
      </c>
      <c r="G364" s="38">
        <v>40</v>
      </c>
      <c r="H364" s="38"/>
      <c r="I364" s="37"/>
    </row>
    <row r="365" spans="1:9" ht="14.5" x14ac:dyDescent="0.35">
      <c r="A365" s="142" t="s">
        <v>3799</v>
      </c>
      <c r="B365" s="44" t="s">
        <v>3802</v>
      </c>
      <c r="C365" s="36">
        <v>45866</v>
      </c>
      <c r="D365" s="37" t="s">
        <v>66</v>
      </c>
      <c r="E365" t="s">
        <v>4299</v>
      </c>
      <c r="F365" s="37" t="s">
        <v>3805</v>
      </c>
      <c r="G365" s="38">
        <v>322.99999999999994</v>
      </c>
      <c r="H365" s="38"/>
      <c r="I365" s="37"/>
    </row>
    <row r="366" spans="1:9" ht="14.5" x14ac:dyDescent="0.35">
      <c r="A366" s="142" t="s">
        <v>3799</v>
      </c>
      <c r="B366" s="44" t="s">
        <v>3802</v>
      </c>
      <c r="C366" s="36">
        <v>45866</v>
      </c>
      <c r="D366" s="37" t="s">
        <v>66</v>
      </c>
      <c r="E366" t="s">
        <v>4300</v>
      </c>
      <c r="F366" s="37" t="s">
        <v>3805</v>
      </c>
      <c r="G366" s="38">
        <v>324</v>
      </c>
      <c r="H366" s="38"/>
      <c r="I366" s="37"/>
    </row>
    <row r="367" spans="1:9" ht="14.5" x14ac:dyDescent="0.35">
      <c r="A367" s="142" t="s">
        <v>3799</v>
      </c>
      <c r="B367" s="44" t="s">
        <v>3802</v>
      </c>
      <c r="C367" s="36">
        <v>45866</v>
      </c>
      <c r="D367" s="37" t="s">
        <v>422</v>
      </c>
      <c r="E367" t="s">
        <v>4301</v>
      </c>
      <c r="F367" s="37" t="s">
        <v>3805</v>
      </c>
      <c r="G367" s="38">
        <v>136</v>
      </c>
      <c r="H367" s="38"/>
      <c r="I367" s="37"/>
    </row>
    <row r="368" spans="1:9" ht="14.5" x14ac:dyDescent="0.35">
      <c r="A368" s="142" t="s">
        <v>3799</v>
      </c>
      <c r="B368" s="44" t="s">
        <v>3802</v>
      </c>
      <c r="C368" s="36">
        <v>45866</v>
      </c>
      <c r="D368" s="37" t="s">
        <v>66</v>
      </c>
      <c r="E368" t="s">
        <v>4302</v>
      </c>
      <c r="F368" s="37" t="s">
        <v>3805</v>
      </c>
      <c r="G368" s="38">
        <v>270.99999999999989</v>
      </c>
      <c r="H368" s="38"/>
      <c r="I368" s="37"/>
    </row>
    <row r="369" spans="1:9" ht="14.5" x14ac:dyDescent="0.35">
      <c r="A369" s="44" t="s">
        <v>3589</v>
      </c>
      <c r="B369" s="142" t="s">
        <v>3799</v>
      </c>
      <c r="C369" s="36">
        <v>45863</v>
      </c>
      <c r="D369" s="37" t="s">
        <v>422</v>
      </c>
      <c r="E369" t="s">
        <v>4303</v>
      </c>
      <c r="F369" s="37" t="s">
        <v>3805</v>
      </c>
      <c r="G369" s="38"/>
      <c r="H369" s="38">
        <v>0</v>
      </c>
      <c r="I369" s="37"/>
    </row>
    <row r="370" spans="1:9" ht="14.5" x14ac:dyDescent="0.35">
      <c r="A370" s="44" t="s">
        <v>3589</v>
      </c>
      <c r="B370" s="142" t="s">
        <v>3799</v>
      </c>
      <c r="C370" s="36">
        <v>45864</v>
      </c>
      <c r="D370" s="37" t="s">
        <v>422</v>
      </c>
      <c r="E370" t="s">
        <v>4304</v>
      </c>
      <c r="F370" s="37" t="s">
        <v>3805</v>
      </c>
      <c r="G370" s="38"/>
      <c r="H370" s="38">
        <v>5</v>
      </c>
      <c r="I370" s="37"/>
    </row>
    <row r="371" spans="1:9" ht="14.5" x14ac:dyDescent="0.35">
      <c r="A371" s="44" t="s">
        <v>3589</v>
      </c>
      <c r="B371" s="142" t="s">
        <v>3799</v>
      </c>
      <c r="C371" s="36">
        <v>45864</v>
      </c>
      <c r="D371" s="37" t="s">
        <v>422</v>
      </c>
      <c r="E371" t="s">
        <v>4305</v>
      </c>
      <c r="F371" s="37" t="s">
        <v>3805</v>
      </c>
      <c r="G371" s="38"/>
      <c r="H371" s="38">
        <v>1115.1600000000001</v>
      </c>
      <c r="I371" s="37"/>
    </row>
    <row r="372" spans="1:9" ht="14.5" x14ac:dyDescent="0.35">
      <c r="A372" s="44" t="s">
        <v>3589</v>
      </c>
      <c r="B372" s="142" t="s">
        <v>3799</v>
      </c>
      <c r="C372" s="36">
        <v>45864</v>
      </c>
      <c r="D372" s="37" t="s">
        <v>422</v>
      </c>
      <c r="E372" t="s">
        <v>4306</v>
      </c>
      <c r="F372" s="37" t="s">
        <v>3805</v>
      </c>
      <c r="G372" s="38"/>
      <c r="H372" s="38">
        <v>38</v>
      </c>
      <c r="I372" s="37"/>
    </row>
    <row r="373" spans="1:9" ht="14.5" x14ac:dyDescent="0.35">
      <c r="A373" s="44" t="s">
        <v>3589</v>
      </c>
      <c r="B373" s="142" t="s">
        <v>3799</v>
      </c>
      <c r="C373" s="36">
        <v>45864</v>
      </c>
      <c r="D373" s="37" t="s">
        <v>422</v>
      </c>
      <c r="E373" t="s">
        <v>4307</v>
      </c>
      <c r="F373" s="37" t="s">
        <v>3805</v>
      </c>
      <c r="G373" s="38"/>
      <c r="H373" s="38">
        <v>4</v>
      </c>
      <c r="I373" s="37"/>
    </row>
    <row r="374" spans="1:9" ht="14.5" x14ac:dyDescent="0.35">
      <c r="A374" s="44" t="s">
        <v>3589</v>
      </c>
      <c r="B374" s="142" t="s">
        <v>3799</v>
      </c>
      <c r="C374" s="36">
        <v>45864</v>
      </c>
      <c r="D374" s="37" t="s">
        <v>422</v>
      </c>
      <c r="E374" t="s">
        <v>4308</v>
      </c>
      <c r="F374" s="37" t="s">
        <v>3805</v>
      </c>
      <c r="G374" s="38"/>
      <c r="H374" s="38">
        <v>4</v>
      </c>
      <c r="I374" s="37"/>
    </row>
    <row r="375" spans="1:9" ht="14.5" x14ac:dyDescent="0.35">
      <c r="A375" s="44" t="s">
        <v>3589</v>
      </c>
      <c r="B375" s="142" t="s">
        <v>3799</v>
      </c>
      <c r="C375" s="36">
        <v>45864</v>
      </c>
      <c r="D375" s="37" t="s">
        <v>422</v>
      </c>
      <c r="E375" t="s">
        <v>4309</v>
      </c>
      <c r="F375" s="37" t="s">
        <v>3805</v>
      </c>
      <c r="G375" s="38"/>
      <c r="H375" s="38">
        <v>5</v>
      </c>
      <c r="I375" s="37"/>
    </row>
    <row r="376" spans="1:9" ht="14.5" x14ac:dyDescent="0.35">
      <c r="A376" s="44" t="s">
        <v>3589</v>
      </c>
      <c r="B376" s="142" t="s">
        <v>3799</v>
      </c>
      <c r="C376" s="36">
        <v>45864</v>
      </c>
      <c r="D376" s="37" t="s">
        <v>422</v>
      </c>
      <c r="E376" t="s">
        <v>4310</v>
      </c>
      <c r="F376" s="37" t="s">
        <v>3805</v>
      </c>
      <c r="G376" s="38"/>
      <c r="H376" s="38">
        <v>5</v>
      </c>
      <c r="I376" s="37"/>
    </row>
    <row r="377" spans="1:9" ht="14.5" x14ac:dyDescent="0.35">
      <c r="A377" s="44" t="s">
        <v>3589</v>
      </c>
      <c r="B377" s="142" t="s">
        <v>3799</v>
      </c>
      <c r="C377" s="36">
        <v>45864</v>
      </c>
      <c r="D377" s="37" t="s">
        <v>422</v>
      </c>
      <c r="E377" t="s">
        <v>4311</v>
      </c>
      <c r="F377" s="37" t="s">
        <v>3805</v>
      </c>
      <c r="G377" s="38"/>
      <c r="H377" s="38">
        <v>5</v>
      </c>
      <c r="I377" s="37"/>
    </row>
    <row r="378" spans="1:9" ht="14.5" x14ac:dyDescent="0.35">
      <c r="A378" s="44" t="s">
        <v>3589</v>
      </c>
      <c r="B378" s="142" t="s">
        <v>3799</v>
      </c>
      <c r="C378" s="36">
        <v>45864</v>
      </c>
      <c r="D378" s="37" t="s">
        <v>422</v>
      </c>
      <c r="E378" t="s">
        <v>4312</v>
      </c>
      <c r="F378" s="37" t="s">
        <v>3805</v>
      </c>
      <c r="G378" s="38"/>
      <c r="H378" s="38">
        <v>5</v>
      </c>
      <c r="I378" s="37"/>
    </row>
    <row r="379" spans="1:9" ht="14.5" x14ac:dyDescent="0.35">
      <c r="A379" s="44" t="s">
        <v>3589</v>
      </c>
      <c r="B379" s="142" t="s">
        <v>3799</v>
      </c>
      <c r="C379" s="36">
        <v>45864</v>
      </c>
      <c r="D379" s="37" t="s">
        <v>422</v>
      </c>
      <c r="E379" t="s">
        <v>4313</v>
      </c>
      <c r="F379" s="37" t="s">
        <v>3805</v>
      </c>
      <c r="G379" s="38"/>
      <c r="H379" s="38">
        <v>38</v>
      </c>
      <c r="I379" s="37"/>
    </row>
    <row r="380" spans="1:9" ht="14.5" x14ac:dyDescent="0.35">
      <c r="A380" s="44" t="s">
        <v>3589</v>
      </c>
      <c r="B380" s="142" t="s">
        <v>3799</v>
      </c>
      <c r="C380" s="36">
        <v>45864</v>
      </c>
      <c r="D380" s="37" t="s">
        <v>422</v>
      </c>
      <c r="E380" t="s">
        <v>4314</v>
      </c>
      <c r="F380" s="37" t="s">
        <v>3805</v>
      </c>
      <c r="G380" s="38"/>
      <c r="H380" s="38">
        <v>38</v>
      </c>
      <c r="I380" s="37"/>
    </row>
    <row r="381" spans="1:9" ht="14.5" x14ac:dyDescent="0.35">
      <c r="A381" s="44" t="s">
        <v>3589</v>
      </c>
      <c r="B381" s="142" t="s">
        <v>3799</v>
      </c>
      <c r="C381" s="36">
        <v>45864</v>
      </c>
      <c r="D381" s="37" t="s">
        <v>422</v>
      </c>
      <c r="E381" t="s">
        <v>4315</v>
      </c>
      <c r="F381" s="37" t="s">
        <v>3805</v>
      </c>
      <c r="G381" s="38"/>
      <c r="H381" s="38">
        <v>5</v>
      </c>
      <c r="I381" s="37"/>
    </row>
    <row r="382" spans="1:9" ht="14.5" x14ac:dyDescent="0.35">
      <c r="A382" s="44" t="s">
        <v>3589</v>
      </c>
      <c r="B382" s="142" t="s">
        <v>3799</v>
      </c>
      <c r="C382" s="36">
        <v>45864</v>
      </c>
      <c r="D382" s="37" t="s">
        <v>422</v>
      </c>
      <c r="E382" t="s">
        <v>4316</v>
      </c>
      <c r="F382" s="37" t="s">
        <v>3805</v>
      </c>
      <c r="G382" s="38"/>
      <c r="H382" s="38">
        <v>20</v>
      </c>
      <c r="I382" s="37"/>
    </row>
    <row r="383" spans="1:9" ht="14.5" x14ac:dyDescent="0.35">
      <c r="A383" s="44" t="s">
        <v>3589</v>
      </c>
      <c r="B383" s="142" t="s">
        <v>3799</v>
      </c>
      <c r="C383" s="36">
        <v>45864</v>
      </c>
      <c r="D383" s="37" t="s">
        <v>422</v>
      </c>
      <c r="E383" t="s">
        <v>4317</v>
      </c>
      <c r="F383" s="37" t="s">
        <v>3805</v>
      </c>
      <c r="G383" s="38"/>
      <c r="H383" s="38">
        <v>4</v>
      </c>
      <c r="I383" s="37"/>
    </row>
    <row r="384" spans="1:9" ht="14.5" x14ac:dyDescent="0.35">
      <c r="A384" s="44" t="s">
        <v>3589</v>
      </c>
      <c r="B384" s="142" t="s">
        <v>3799</v>
      </c>
      <c r="C384" s="36">
        <v>45864</v>
      </c>
      <c r="D384" s="37" t="s">
        <v>422</v>
      </c>
      <c r="E384" t="s">
        <v>4318</v>
      </c>
      <c r="F384" s="37" t="s">
        <v>3805</v>
      </c>
      <c r="G384" s="38"/>
      <c r="H384" s="38">
        <v>174.5</v>
      </c>
      <c r="I384" s="37"/>
    </row>
    <row r="385" spans="1:9" ht="14.5" x14ac:dyDescent="0.35">
      <c r="A385" s="44" t="s">
        <v>3589</v>
      </c>
      <c r="B385" s="142" t="s">
        <v>3799</v>
      </c>
      <c r="C385" s="36">
        <v>45864</v>
      </c>
      <c r="D385" s="37" t="s">
        <v>422</v>
      </c>
      <c r="E385" t="s">
        <v>4319</v>
      </c>
      <c r="F385" s="37" t="s">
        <v>3805</v>
      </c>
      <c r="G385" s="38"/>
      <c r="H385" s="38">
        <v>5</v>
      </c>
      <c r="I385" s="37"/>
    </row>
    <row r="386" spans="1:9" ht="14.5" x14ac:dyDescent="0.35">
      <c r="A386" s="44" t="s">
        <v>3589</v>
      </c>
      <c r="B386" s="142" t="s">
        <v>3799</v>
      </c>
      <c r="C386" s="36">
        <v>45864</v>
      </c>
      <c r="D386" s="37" t="s">
        <v>17</v>
      </c>
      <c r="E386" t="s">
        <v>4320</v>
      </c>
      <c r="F386" s="37" t="s">
        <v>3805</v>
      </c>
      <c r="G386" s="38"/>
      <c r="H386" s="38">
        <v>4060</v>
      </c>
      <c r="I386" s="37"/>
    </row>
    <row r="387" spans="1:9" ht="14.5" x14ac:dyDescent="0.35">
      <c r="A387" s="44" t="s">
        <v>3589</v>
      </c>
      <c r="B387" s="142" t="s">
        <v>3799</v>
      </c>
      <c r="C387" s="36">
        <v>45864</v>
      </c>
      <c r="D387" s="37" t="s">
        <v>422</v>
      </c>
      <c r="E387" t="s">
        <v>4321</v>
      </c>
      <c r="F387" s="37" t="s">
        <v>3805</v>
      </c>
      <c r="G387" s="38"/>
      <c r="H387" s="38">
        <v>5</v>
      </c>
      <c r="I387" s="37"/>
    </row>
    <row r="388" spans="1:9" ht="14.5" x14ac:dyDescent="0.35">
      <c r="A388" s="44" t="s">
        <v>3589</v>
      </c>
      <c r="B388" s="142" t="s">
        <v>3799</v>
      </c>
      <c r="C388" s="36">
        <v>45864</v>
      </c>
      <c r="D388" s="37" t="s">
        <v>422</v>
      </c>
      <c r="E388" t="s">
        <v>4322</v>
      </c>
      <c r="F388" s="37" t="s">
        <v>3805</v>
      </c>
      <c r="G388" s="38"/>
      <c r="H388" s="38">
        <v>5</v>
      </c>
      <c r="I388" s="37"/>
    </row>
    <row r="389" spans="1:9" ht="14.5" x14ac:dyDescent="0.35">
      <c r="A389" s="44" t="s">
        <v>3589</v>
      </c>
      <c r="B389" s="142" t="s">
        <v>3799</v>
      </c>
      <c r="C389" s="36">
        <v>45864</v>
      </c>
      <c r="D389" s="37" t="s">
        <v>422</v>
      </c>
      <c r="E389" t="s">
        <v>4323</v>
      </c>
      <c r="F389" s="37" t="s">
        <v>3805</v>
      </c>
      <c r="G389" s="38"/>
      <c r="H389" s="38">
        <v>74</v>
      </c>
      <c r="I389" s="37"/>
    </row>
    <row r="390" spans="1:9" ht="14.5" x14ac:dyDescent="0.35">
      <c r="A390" s="44" t="s">
        <v>3589</v>
      </c>
      <c r="B390" s="142" t="s">
        <v>3799</v>
      </c>
      <c r="C390" s="36">
        <v>45864</v>
      </c>
      <c r="D390" s="37" t="s">
        <v>422</v>
      </c>
      <c r="E390" t="s">
        <v>4324</v>
      </c>
      <c r="F390" s="37" t="s">
        <v>3805</v>
      </c>
      <c r="G390" s="38"/>
      <c r="H390" s="38">
        <v>20</v>
      </c>
      <c r="I390" s="37"/>
    </row>
    <row r="391" spans="1:9" ht="14.5" x14ac:dyDescent="0.35">
      <c r="A391" s="44" t="s">
        <v>3589</v>
      </c>
      <c r="B391" s="142" t="s">
        <v>3799</v>
      </c>
      <c r="C391" s="36">
        <v>45864</v>
      </c>
      <c r="D391" s="37" t="s">
        <v>927</v>
      </c>
      <c r="E391" t="s">
        <v>4325</v>
      </c>
      <c r="F391" s="37" t="s">
        <v>3805</v>
      </c>
      <c r="G391" s="38"/>
      <c r="H391" s="38">
        <v>977</v>
      </c>
      <c r="I391" s="37"/>
    </row>
    <row r="392" spans="1:9" ht="14.5" x14ac:dyDescent="0.35">
      <c r="A392" s="44" t="s">
        <v>3589</v>
      </c>
      <c r="B392" s="142" t="s">
        <v>3799</v>
      </c>
      <c r="C392" s="36">
        <v>45864</v>
      </c>
      <c r="D392" s="37" t="s">
        <v>17</v>
      </c>
      <c r="E392" t="s">
        <v>4326</v>
      </c>
      <c r="F392" s="37" t="s">
        <v>3805</v>
      </c>
      <c r="G392" s="38"/>
      <c r="H392" s="38">
        <v>4760</v>
      </c>
      <c r="I392" s="37"/>
    </row>
    <row r="393" spans="1:9" ht="14.5" x14ac:dyDescent="0.35">
      <c r="A393" s="44" t="s">
        <v>3589</v>
      </c>
      <c r="B393" s="142" t="s">
        <v>3799</v>
      </c>
      <c r="C393" s="36">
        <v>45864</v>
      </c>
      <c r="D393" s="37" t="s">
        <v>66</v>
      </c>
      <c r="E393" t="s">
        <v>4327</v>
      </c>
      <c r="F393" s="37" t="s">
        <v>3805</v>
      </c>
      <c r="G393" s="38"/>
      <c r="H393" s="38">
        <v>2260</v>
      </c>
      <c r="I393" s="37"/>
    </row>
    <row r="394" spans="1:9" ht="14.5" x14ac:dyDescent="0.35">
      <c r="A394" s="44" t="s">
        <v>3589</v>
      </c>
      <c r="B394" s="142" t="s">
        <v>3799</v>
      </c>
      <c r="C394" s="36">
        <v>45864</v>
      </c>
      <c r="D394" s="37" t="s">
        <v>66</v>
      </c>
      <c r="E394" t="s">
        <v>4328</v>
      </c>
      <c r="F394" s="37" t="s">
        <v>3805</v>
      </c>
      <c r="G394" s="38"/>
      <c r="H394" s="38">
        <v>6874.5</v>
      </c>
      <c r="I394" s="37"/>
    </row>
    <row r="395" spans="1:9" ht="14.5" x14ac:dyDescent="0.35">
      <c r="A395" s="44" t="s">
        <v>3589</v>
      </c>
      <c r="B395" s="142" t="s">
        <v>3799</v>
      </c>
      <c r="C395" s="36">
        <v>45864</v>
      </c>
      <c r="D395" s="37" t="s">
        <v>927</v>
      </c>
      <c r="E395" t="s">
        <v>4329</v>
      </c>
      <c r="F395" s="37" t="s">
        <v>3805</v>
      </c>
      <c r="G395" s="38"/>
      <c r="H395" s="38">
        <v>977</v>
      </c>
      <c r="I395" s="37"/>
    </row>
    <row r="396" spans="1:9" ht="14.5" x14ac:dyDescent="0.35">
      <c r="A396" s="44" t="s">
        <v>3589</v>
      </c>
      <c r="B396" s="142" t="s">
        <v>3799</v>
      </c>
      <c r="C396" s="36">
        <v>45864</v>
      </c>
      <c r="D396" s="37" t="s">
        <v>927</v>
      </c>
      <c r="E396" t="s">
        <v>4330</v>
      </c>
      <c r="F396" s="37" t="s">
        <v>3805</v>
      </c>
      <c r="G396" s="38"/>
      <c r="H396" s="38">
        <v>977</v>
      </c>
      <c r="I396" s="37"/>
    </row>
    <row r="397" spans="1:9" ht="14.5" x14ac:dyDescent="0.35">
      <c r="A397" s="44" t="s">
        <v>3589</v>
      </c>
      <c r="B397" s="142" t="s">
        <v>3799</v>
      </c>
      <c r="C397" s="36">
        <v>45864</v>
      </c>
      <c r="D397" s="37" t="s">
        <v>927</v>
      </c>
      <c r="E397" t="s">
        <v>4331</v>
      </c>
      <c r="F397" s="37" t="s">
        <v>3805</v>
      </c>
      <c r="G397" s="38"/>
      <c r="H397" s="38">
        <v>977</v>
      </c>
      <c r="I397" s="37"/>
    </row>
    <row r="398" spans="1:9" ht="14.5" x14ac:dyDescent="0.35">
      <c r="A398" s="44" t="s">
        <v>3589</v>
      </c>
      <c r="B398" s="142" t="s">
        <v>3799</v>
      </c>
      <c r="C398" s="36">
        <v>45864</v>
      </c>
      <c r="D398" s="37" t="s">
        <v>422</v>
      </c>
      <c r="E398" t="s">
        <v>4332</v>
      </c>
      <c r="F398" s="37" t="s">
        <v>3805</v>
      </c>
      <c r="G398" s="38"/>
      <c r="H398" s="38">
        <v>20</v>
      </c>
      <c r="I398" s="37"/>
    </row>
    <row r="399" spans="1:9" ht="14.5" x14ac:dyDescent="0.35">
      <c r="A399" s="44" t="s">
        <v>3589</v>
      </c>
      <c r="B399" s="142" t="s">
        <v>3799</v>
      </c>
      <c r="C399" s="36">
        <v>45864</v>
      </c>
      <c r="D399" s="37" t="s">
        <v>927</v>
      </c>
      <c r="E399" t="s">
        <v>4333</v>
      </c>
      <c r="F399" s="37" t="s">
        <v>3805</v>
      </c>
      <c r="G399" s="38"/>
      <c r="H399" s="38">
        <v>976</v>
      </c>
      <c r="I399" s="37"/>
    </row>
    <row r="400" spans="1:9" ht="14.5" x14ac:dyDescent="0.35">
      <c r="A400" s="44" t="s">
        <v>3589</v>
      </c>
      <c r="B400" s="142" t="s">
        <v>3799</v>
      </c>
      <c r="C400" s="36">
        <v>45864</v>
      </c>
      <c r="D400" s="37" t="s">
        <v>927</v>
      </c>
      <c r="E400" t="s">
        <v>4334</v>
      </c>
      <c r="F400" s="37" t="s">
        <v>3805</v>
      </c>
      <c r="G400" s="38"/>
      <c r="H400" s="38">
        <v>976</v>
      </c>
      <c r="I400" s="37"/>
    </row>
    <row r="401" spans="1:9" ht="14.5" x14ac:dyDescent="0.35">
      <c r="A401" s="44" t="s">
        <v>3589</v>
      </c>
      <c r="B401" s="142" t="s">
        <v>3799</v>
      </c>
      <c r="C401" s="36">
        <v>45866</v>
      </c>
      <c r="D401" s="37" t="s">
        <v>422</v>
      </c>
      <c r="E401" t="s">
        <v>4335</v>
      </c>
      <c r="F401" s="37" t="s">
        <v>3805</v>
      </c>
      <c r="G401" s="38"/>
      <c r="H401" s="38">
        <v>90</v>
      </c>
      <c r="I401" s="37"/>
    </row>
    <row r="402" spans="1:9" ht="14.5" x14ac:dyDescent="0.35">
      <c r="A402" s="44" t="s">
        <v>3589</v>
      </c>
      <c r="B402" s="142" t="s">
        <v>3799</v>
      </c>
      <c r="C402" s="36">
        <v>45866</v>
      </c>
      <c r="D402" s="37" t="s">
        <v>422</v>
      </c>
      <c r="E402" t="s">
        <v>4336</v>
      </c>
      <c r="F402" s="37" t="s">
        <v>3805</v>
      </c>
      <c r="G402" s="38"/>
      <c r="H402" s="38">
        <v>40</v>
      </c>
      <c r="I402" s="37"/>
    </row>
    <row r="403" spans="1:9" ht="14.5" x14ac:dyDescent="0.35">
      <c r="A403" s="44" t="s">
        <v>3589</v>
      </c>
      <c r="B403" s="142" t="s">
        <v>3799</v>
      </c>
      <c r="C403" s="36">
        <v>45866</v>
      </c>
      <c r="D403" s="37" t="s">
        <v>422</v>
      </c>
      <c r="E403" t="s">
        <v>4337</v>
      </c>
      <c r="F403" s="37" t="s">
        <v>3805</v>
      </c>
      <c r="G403" s="38"/>
      <c r="H403" s="38">
        <v>69</v>
      </c>
      <c r="I403" s="37"/>
    </row>
    <row r="404" spans="1:9" ht="14.5" x14ac:dyDescent="0.35">
      <c r="A404" s="44" t="s">
        <v>3589</v>
      </c>
      <c r="B404" s="142" t="s">
        <v>3799</v>
      </c>
      <c r="C404" s="36">
        <v>45866</v>
      </c>
      <c r="D404" s="37" t="s">
        <v>422</v>
      </c>
      <c r="E404" t="s">
        <v>4338</v>
      </c>
      <c r="F404" s="37" t="s">
        <v>3805</v>
      </c>
      <c r="G404" s="38"/>
      <c r="H404" s="38">
        <v>87</v>
      </c>
      <c r="I404" s="37"/>
    </row>
    <row r="405" spans="1:9" ht="14.5" x14ac:dyDescent="0.35">
      <c r="A405" s="44" t="s">
        <v>3589</v>
      </c>
      <c r="B405" s="142" t="s">
        <v>3799</v>
      </c>
      <c r="C405" s="36">
        <v>45866</v>
      </c>
      <c r="D405" s="37" t="s">
        <v>422</v>
      </c>
      <c r="E405" t="s">
        <v>4339</v>
      </c>
      <c r="F405" s="37" t="s">
        <v>3805</v>
      </c>
      <c r="G405" s="38"/>
      <c r="H405" s="38">
        <v>87</v>
      </c>
      <c r="I405" s="37"/>
    </row>
    <row r="406" spans="1:9" ht="14.5" x14ac:dyDescent="0.35">
      <c r="A406" s="44" t="s">
        <v>3589</v>
      </c>
      <c r="B406" s="142" t="s">
        <v>3799</v>
      </c>
      <c r="C406" s="36">
        <v>45866</v>
      </c>
      <c r="D406" s="37" t="s">
        <v>422</v>
      </c>
      <c r="E406" t="s">
        <v>4340</v>
      </c>
      <c r="F406" s="37" t="s">
        <v>3805</v>
      </c>
      <c r="G406" s="38"/>
      <c r="H406" s="38">
        <v>65</v>
      </c>
      <c r="I406" s="37"/>
    </row>
    <row r="407" spans="1:9" ht="14.5" x14ac:dyDescent="0.35">
      <c r="A407" s="44" t="s">
        <v>3589</v>
      </c>
      <c r="B407" s="142" t="s">
        <v>3799</v>
      </c>
      <c r="C407" s="36">
        <v>45866</v>
      </c>
      <c r="D407" s="37" t="s">
        <v>422</v>
      </c>
      <c r="E407" t="s">
        <v>4341</v>
      </c>
      <c r="F407" s="37" t="s">
        <v>3805</v>
      </c>
      <c r="G407" s="38"/>
      <c r="H407" s="38">
        <v>87</v>
      </c>
      <c r="I407" s="37"/>
    </row>
    <row r="408" spans="1:9" ht="14.5" x14ac:dyDescent="0.35">
      <c r="A408" s="44" t="s">
        <v>3589</v>
      </c>
      <c r="B408" s="142" t="s">
        <v>3799</v>
      </c>
      <c r="C408" s="36">
        <v>45866</v>
      </c>
      <c r="D408" s="37" t="s">
        <v>422</v>
      </c>
      <c r="E408" t="s">
        <v>4342</v>
      </c>
      <c r="F408" s="37" t="s">
        <v>3805</v>
      </c>
      <c r="G408" s="38"/>
      <c r="H408" s="38">
        <v>87</v>
      </c>
      <c r="I408" s="37"/>
    </row>
    <row r="409" spans="1:9" ht="14.5" x14ac:dyDescent="0.35">
      <c r="A409" s="44" t="s">
        <v>3589</v>
      </c>
      <c r="B409" s="142" t="s">
        <v>3799</v>
      </c>
      <c r="C409" s="36">
        <v>45866</v>
      </c>
      <c r="D409" s="37" t="s">
        <v>422</v>
      </c>
      <c r="E409" t="s">
        <v>4343</v>
      </c>
      <c r="F409" s="37" t="s">
        <v>3805</v>
      </c>
      <c r="G409" s="38"/>
      <c r="H409" s="38">
        <v>64</v>
      </c>
      <c r="I409" s="37"/>
    </row>
    <row r="410" spans="1:9" ht="14.5" x14ac:dyDescent="0.35">
      <c r="A410" s="44" t="s">
        <v>3589</v>
      </c>
      <c r="B410" s="142" t="s">
        <v>3799</v>
      </c>
      <c r="C410" s="36">
        <v>45866</v>
      </c>
      <c r="D410" s="37" t="s">
        <v>422</v>
      </c>
      <c r="E410" t="s">
        <v>4344</v>
      </c>
      <c r="F410" s="37" t="s">
        <v>3805</v>
      </c>
      <c r="G410" s="38"/>
      <c r="H410" s="38">
        <v>67</v>
      </c>
      <c r="I410" s="37"/>
    </row>
    <row r="411" spans="1:9" ht="14.5" x14ac:dyDescent="0.35">
      <c r="A411" s="44" t="s">
        <v>3589</v>
      </c>
      <c r="B411" s="142" t="s">
        <v>3799</v>
      </c>
      <c r="C411" s="36">
        <v>45866</v>
      </c>
      <c r="D411" s="37" t="s">
        <v>422</v>
      </c>
      <c r="E411" t="s">
        <v>4345</v>
      </c>
      <c r="F411" s="37" t="s">
        <v>3805</v>
      </c>
      <c r="G411" s="38"/>
      <c r="H411" s="38">
        <v>87</v>
      </c>
      <c r="I411" s="37"/>
    </row>
    <row r="412" spans="1:9" ht="14.5" x14ac:dyDescent="0.35">
      <c r="A412" s="44" t="s">
        <v>3589</v>
      </c>
      <c r="B412" s="142" t="s">
        <v>3799</v>
      </c>
      <c r="C412" s="36">
        <v>45866</v>
      </c>
      <c r="D412" s="37" t="s">
        <v>422</v>
      </c>
      <c r="E412" t="s">
        <v>4346</v>
      </c>
      <c r="F412" s="37" t="s">
        <v>3805</v>
      </c>
      <c r="G412" s="38"/>
      <c r="H412" s="38">
        <v>87</v>
      </c>
      <c r="I412" s="37"/>
    </row>
    <row r="413" spans="1:9" ht="14.5" x14ac:dyDescent="0.35">
      <c r="A413" s="44" t="s">
        <v>3589</v>
      </c>
      <c r="B413" s="142" t="s">
        <v>3799</v>
      </c>
      <c r="C413" s="36">
        <v>45866</v>
      </c>
      <c r="D413" s="37" t="s">
        <v>819</v>
      </c>
      <c r="E413" t="s">
        <v>4347</v>
      </c>
      <c r="F413" s="37" t="s">
        <v>3805</v>
      </c>
      <c r="G413" s="38"/>
      <c r="H413" s="38">
        <v>234</v>
      </c>
      <c r="I413" s="37"/>
    </row>
    <row r="414" spans="1:9" ht="14.5" x14ac:dyDescent="0.35">
      <c r="A414" s="44" t="s">
        <v>3589</v>
      </c>
      <c r="B414" s="142" t="s">
        <v>3799</v>
      </c>
      <c r="C414" s="36">
        <v>45866</v>
      </c>
      <c r="D414" s="37" t="s">
        <v>819</v>
      </c>
      <c r="E414" t="s">
        <v>4348</v>
      </c>
      <c r="F414" s="37" t="s">
        <v>3805</v>
      </c>
      <c r="G414" s="38"/>
      <c r="H414" s="38">
        <v>2220</v>
      </c>
      <c r="I414" s="37"/>
    </row>
    <row r="415" spans="1:9" ht="14.5" x14ac:dyDescent="0.35">
      <c r="A415" s="44" t="s">
        <v>3589</v>
      </c>
      <c r="B415" s="142" t="s">
        <v>3799</v>
      </c>
      <c r="C415" s="36">
        <v>45866</v>
      </c>
      <c r="D415" s="37" t="s">
        <v>819</v>
      </c>
      <c r="E415" t="s">
        <v>4349</v>
      </c>
      <c r="F415" s="37" t="s">
        <v>3805</v>
      </c>
      <c r="G415" s="38"/>
      <c r="H415" s="38">
        <v>2790</v>
      </c>
      <c r="I415" s="37"/>
    </row>
    <row r="416" spans="1:9" ht="14.5" x14ac:dyDescent="0.35">
      <c r="A416" s="44" t="s">
        <v>3589</v>
      </c>
      <c r="B416" s="142" t="s">
        <v>3799</v>
      </c>
      <c r="C416" s="36">
        <v>45866</v>
      </c>
      <c r="D416" s="37" t="s">
        <v>422</v>
      </c>
      <c r="E416" t="s">
        <v>4350</v>
      </c>
      <c r="F416" s="37" t="s">
        <v>3805</v>
      </c>
      <c r="G416" s="38"/>
      <c r="H416" s="38">
        <v>90</v>
      </c>
      <c r="I416" s="37"/>
    </row>
    <row r="417" spans="1:9" ht="14.5" x14ac:dyDescent="0.35">
      <c r="A417" s="44" t="s">
        <v>3589</v>
      </c>
      <c r="B417" s="142" t="s">
        <v>3799</v>
      </c>
      <c r="C417" s="36">
        <v>45866</v>
      </c>
      <c r="D417" s="37" t="s">
        <v>422</v>
      </c>
      <c r="E417" t="s">
        <v>4351</v>
      </c>
      <c r="F417" s="37" t="s">
        <v>3805</v>
      </c>
      <c r="G417" s="38"/>
      <c r="H417" s="38">
        <v>64</v>
      </c>
      <c r="I417" s="37"/>
    </row>
    <row r="418" spans="1:9" ht="14.5" x14ac:dyDescent="0.35">
      <c r="A418" s="44" t="s">
        <v>3589</v>
      </c>
      <c r="B418" s="142" t="s">
        <v>3799</v>
      </c>
      <c r="C418" s="36">
        <v>45866</v>
      </c>
      <c r="D418" s="37" t="s">
        <v>422</v>
      </c>
      <c r="E418" t="s">
        <v>4352</v>
      </c>
      <c r="F418" s="37" t="s">
        <v>3805</v>
      </c>
      <c r="G418" s="38"/>
      <c r="H418" s="38">
        <v>214</v>
      </c>
      <c r="I418" s="37"/>
    </row>
    <row r="419" spans="1:9" ht="14.5" x14ac:dyDescent="0.35">
      <c r="A419" s="44" t="s">
        <v>3589</v>
      </c>
      <c r="B419" s="142" t="s">
        <v>3799</v>
      </c>
      <c r="C419" s="36">
        <v>45866</v>
      </c>
      <c r="D419" s="37" t="s">
        <v>803</v>
      </c>
      <c r="E419" t="s">
        <v>4353</v>
      </c>
      <c r="F419" s="37" t="s">
        <v>3805</v>
      </c>
      <c r="G419" s="38"/>
      <c r="H419" s="38">
        <v>650</v>
      </c>
      <c r="I419" s="37"/>
    </row>
    <row r="420" spans="1:9" ht="14.5" x14ac:dyDescent="0.35">
      <c r="A420" s="44" t="s">
        <v>3589</v>
      </c>
      <c r="B420" s="142" t="s">
        <v>3799</v>
      </c>
      <c r="C420" s="36">
        <v>45866</v>
      </c>
      <c r="D420" s="37" t="s">
        <v>422</v>
      </c>
      <c r="E420" t="s">
        <v>4354</v>
      </c>
      <c r="F420" s="37" t="s">
        <v>3805</v>
      </c>
      <c r="G420" s="38"/>
      <c r="H420" s="38">
        <v>90</v>
      </c>
      <c r="I420" s="37"/>
    </row>
    <row r="421" spans="1:9" ht="14.5" x14ac:dyDescent="0.35">
      <c r="A421" s="44" t="s">
        <v>3589</v>
      </c>
      <c r="B421" s="142" t="s">
        <v>3799</v>
      </c>
      <c r="C421" s="36">
        <v>45866</v>
      </c>
      <c r="D421" s="37" t="s">
        <v>422</v>
      </c>
      <c r="E421" t="s">
        <v>4355</v>
      </c>
      <c r="F421" s="37" t="s">
        <v>3805</v>
      </c>
      <c r="G421" s="38"/>
      <c r="H421" s="38">
        <v>65</v>
      </c>
      <c r="I421" s="37"/>
    </row>
    <row r="422" spans="1:9" ht="14.5" x14ac:dyDescent="0.35">
      <c r="A422" s="44" t="s">
        <v>3589</v>
      </c>
      <c r="B422" s="142" t="s">
        <v>3799</v>
      </c>
      <c r="C422" s="36">
        <v>45866</v>
      </c>
      <c r="D422" s="37" t="s">
        <v>422</v>
      </c>
      <c r="E422" t="s">
        <v>4356</v>
      </c>
      <c r="F422" s="37" t="s">
        <v>3805</v>
      </c>
      <c r="G422" s="38"/>
      <c r="H422" s="38">
        <v>65</v>
      </c>
      <c r="I422" s="37"/>
    </row>
    <row r="423" spans="1:9" ht="14.5" x14ac:dyDescent="0.35">
      <c r="A423" s="44" t="s">
        <v>3589</v>
      </c>
      <c r="B423" s="142" t="s">
        <v>3799</v>
      </c>
      <c r="C423" s="36">
        <v>45866</v>
      </c>
      <c r="D423" s="37" t="s">
        <v>422</v>
      </c>
      <c r="E423" t="s">
        <v>4357</v>
      </c>
      <c r="F423" s="37" t="s">
        <v>3805</v>
      </c>
      <c r="G423" s="38"/>
      <c r="H423" s="38">
        <v>107</v>
      </c>
      <c r="I423" s="37"/>
    </row>
    <row r="424" spans="1:9" ht="14.5" x14ac:dyDescent="0.35">
      <c r="A424" s="44" t="s">
        <v>3589</v>
      </c>
      <c r="B424" s="142" t="s">
        <v>3799</v>
      </c>
      <c r="C424" s="36">
        <v>45866</v>
      </c>
      <c r="D424" s="37" t="s">
        <v>422</v>
      </c>
      <c r="E424" t="s">
        <v>4358</v>
      </c>
      <c r="F424" s="37" t="s">
        <v>3805</v>
      </c>
      <c r="G424" s="38"/>
      <c r="H424" s="38">
        <v>218</v>
      </c>
      <c r="I424" s="37"/>
    </row>
    <row r="425" spans="1:9" ht="14.5" x14ac:dyDescent="0.35">
      <c r="A425" s="44" t="s">
        <v>3589</v>
      </c>
      <c r="B425" s="142" t="s">
        <v>3799</v>
      </c>
      <c r="C425" s="36">
        <v>45866</v>
      </c>
      <c r="D425" s="37" t="s">
        <v>422</v>
      </c>
      <c r="E425" t="s">
        <v>4359</v>
      </c>
      <c r="F425" s="37" t="s">
        <v>3805</v>
      </c>
      <c r="G425" s="38"/>
      <c r="H425" s="38">
        <v>438.75</v>
      </c>
      <c r="I425" s="37"/>
    </row>
    <row r="426" spans="1:9" ht="14.5" x14ac:dyDescent="0.35">
      <c r="A426" s="44" t="s">
        <v>3589</v>
      </c>
      <c r="B426" s="142" t="s">
        <v>3799</v>
      </c>
      <c r="C426" s="36">
        <v>45866</v>
      </c>
      <c r="D426" s="37" t="s">
        <v>716</v>
      </c>
      <c r="E426" t="s">
        <v>4360</v>
      </c>
      <c r="F426" s="37" t="s">
        <v>3805</v>
      </c>
      <c r="G426" s="38"/>
      <c r="H426" s="38">
        <v>541</v>
      </c>
      <c r="I426" s="37"/>
    </row>
    <row r="427" spans="1:9" ht="14.5" x14ac:dyDescent="0.35">
      <c r="A427" s="44" t="s">
        <v>3589</v>
      </c>
      <c r="B427" s="142" t="s">
        <v>3799</v>
      </c>
      <c r="C427" s="36">
        <v>45866</v>
      </c>
      <c r="D427" s="37" t="s">
        <v>422</v>
      </c>
      <c r="E427" t="s">
        <v>4361</v>
      </c>
      <c r="F427" s="37" t="s">
        <v>3805</v>
      </c>
      <c r="G427" s="38"/>
      <c r="H427" s="38">
        <v>64</v>
      </c>
      <c r="I427" s="37"/>
    </row>
    <row r="428" spans="1:9" ht="14.5" x14ac:dyDescent="0.35">
      <c r="A428" s="44" t="s">
        <v>3589</v>
      </c>
      <c r="B428" s="142" t="s">
        <v>3799</v>
      </c>
      <c r="C428" s="36">
        <v>45866</v>
      </c>
      <c r="D428" s="37" t="s">
        <v>422</v>
      </c>
      <c r="E428" t="s">
        <v>4362</v>
      </c>
      <c r="F428" s="37" t="s">
        <v>3805</v>
      </c>
      <c r="G428" s="38"/>
      <c r="H428" s="38">
        <v>69</v>
      </c>
      <c r="I428" s="37"/>
    </row>
    <row r="429" spans="1:9" ht="14.5" x14ac:dyDescent="0.35">
      <c r="A429" s="44" t="s">
        <v>3589</v>
      </c>
      <c r="B429" s="142" t="s">
        <v>3799</v>
      </c>
      <c r="C429" s="36">
        <v>45866</v>
      </c>
      <c r="D429" s="37" t="s">
        <v>422</v>
      </c>
      <c r="E429" t="s">
        <v>4363</v>
      </c>
      <c r="F429" s="37" t="s">
        <v>3805</v>
      </c>
      <c r="G429" s="38"/>
      <c r="H429" s="38">
        <v>108</v>
      </c>
      <c r="I429" s="37"/>
    </row>
    <row r="430" spans="1:9" ht="14.5" x14ac:dyDescent="0.35">
      <c r="A430" s="44" t="s">
        <v>3589</v>
      </c>
      <c r="B430" s="142" t="s">
        <v>3799</v>
      </c>
      <c r="C430" s="36">
        <v>45866</v>
      </c>
      <c r="D430" s="37" t="s">
        <v>422</v>
      </c>
      <c r="E430" t="s">
        <v>4364</v>
      </c>
      <c r="F430" s="37" t="s">
        <v>3805</v>
      </c>
      <c r="G430" s="38"/>
      <c r="H430" s="38">
        <v>229</v>
      </c>
      <c r="I430" s="37"/>
    </row>
    <row r="431" spans="1:9" ht="14.5" x14ac:dyDescent="0.35">
      <c r="A431" s="44" t="s">
        <v>3589</v>
      </c>
      <c r="B431" s="142" t="s">
        <v>3799</v>
      </c>
      <c r="C431" s="36">
        <v>45866</v>
      </c>
      <c r="D431" s="37" t="s">
        <v>422</v>
      </c>
      <c r="E431" t="s">
        <v>4365</v>
      </c>
      <c r="F431" s="37" t="s">
        <v>3805</v>
      </c>
      <c r="G431" s="38"/>
      <c r="H431" s="38">
        <v>69</v>
      </c>
      <c r="I431" s="37"/>
    </row>
    <row r="432" spans="1:9" ht="14.5" x14ac:dyDescent="0.35">
      <c r="A432" s="44" t="s">
        <v>3589</v>
      </c>
      <c r="B432" s="142" t="s">
        <v>3799</v>
      </c>
      <c r="C432" s="36">
        <v>45866</v>
      </c>
      <c r="D432" s="37" t="s">
        <v>422</v>
      </c>
      <c r="E432" t="s">
        <v>4366</v>
      </c>
      <c r="F432" s="37" t="s">
        <v>3805</v>
      </c>
      <c r="G432" s="38"/>
      <c r="H432" s="38">
        <v>65</v>
      </c>
      <c r="I432" s="37"/>
    </row>
    <row r="433" spans="1:9" ht="14.5" x14ac:dyDescent="0.35">
      <c r="A433" s="44" t="s">
        <v>3589</v>
      </c>
      <c r="B433" s="142" t="s">
        <v>3799</v>
      </c>
      <c r="C433" s="36">
        <v>45866</v>
      </c>
      <c r="D433" s="37" t="s">
        <v>422</v>
      </c>
      <c r="E433" t="s">
        <v>4367</v>
      </c>
      <c r="F433" s="37" t="s">
        <v>3805</v>
      </c>
      <c r="G433" s="38"/>
      <c r="H433" s="38">
        <v>87</v>
      </c>
      <c r="I433" s="37"/>
    </row>
    <row r="434" spans="1:9" ht="14.5" x14ac:dyDescent="0.35">
      <c r="A434" s="44" t="s">
        <v>3589</v>
      </c>
      <c r="B434" s="142" t="s">
        <v>3799</v>
      </c>
      <c r="C434" s="36">
        <v>45866</v>
      </c>
      <c r="D434" s="37" t="s">
        <v>422</v>
      </c>
      <c r="E434" t="s">
        <v>4368</v>
      </c>
      <c r="F434" s="37" t="s">
        <v>3805</v>
      </c>
      <c r="G434" s="38"/>
      <c r="H434" s="38">
        <v>2640</v>
      </c>
      <c r="I434" s="37"/>
    </row>
    <row r="435" spans="1:9" ht="14.5" x14ac:dyDescent="0.35">
      <c r="A435" s="44" t="s">
        <v>3589</v>
      </c>
      <c r="B435" s="142" t="s">
        <v>3799</v>
      </c>
      <c r="C435" s="36">
        <v>45866</v>
      </c>
      <c r="D435" s="37" t="s">
        <v>422</v>
      </c>
      <c r="E435" t="s">
        <v>4369</v>
      </c>
      <c r="F435" s="37" t="s">
        <v>3805</v>
      </c>
      <c r="G435" s="38"/>
      <c r="H435" s="38">
        <v>218</v>
      </c>
      <c r="I435" s="37"/>
    </row>
    <row r="436" spans="1:9" ht="14.5" x14ac:dyDescent="0.35">
      <c r="A436" s="44" t="s">
        <v>3589</v>
      </c>
      <c r="B436" s="142" t="s">
        <v>3799</v>
      </c>
      <c r="C436" s="36">
        <v>45866</v>
      </c>
      <c r="D436" s="37" t="s">
        <v>819</v>
      </c>
      <c r="E436" t="s">
        <v>4370</v>
      </c>
      <c r="F436" s="37" t="s">
        <v>3805</v>
      </c>
      <c r="G436" s="38"/>
      <c r="H436" s="38">
        <v>234</v>
      </c>
      <c r="I436" s="37"/>
    </row>
    <row r="437" spans="1:9" ht="14.5" x14ac:dyDescent="0.35">
      <c r="A437" s="44" t="s">
        <v>3589</v>
      </c>
      <c r="B437" s="142" t="s">
        <v>3799</v>
      </c>
      <c r="C437" s="36">
        <v>45866</v>
      </c>
      <c r="D437" s="37" t="s">
        <v>422</v>
      </c>
      <c r="E437" t="s">
        <v>4371</v>
      </c>
      <c r="F437" s="37" t="s">
        <v>3805</v>
      </c>
      <c r="G437" s="38"/>
      <c r="H437" s="38">
        <v>1320</v>
      </c>
      <c r="I437" s="37"/>
    </row>
    <row r="438" spans="1:9" ht="14.5" x14ac:dyDescent="0.35">
      <c r="A438" s="44" t="s">
        <v>3589</v>
      </c>
      <c r="B438" s="142" t="s">
        <v>3799</v>
      </c>
      <c r="C438" s="36">
        <v>45866</v>
      </c>
      <c r="D438" s="37" t="s">
        <v>422</v>
      </c>
      <c r="E438" t="s">
        <v>4372</v>
      </c>
      <c r="F438" s="37" t="s">
        <v>3805</v>
      </c>
      <c r="G438" s="38"/>
      <c r="H438" s="38">
        <v>64</v>
      </c>
      <c r="I438" s="37"/>
    </row>
    <row r="439" spans="1:9" ht="14.5" x14ac:dyDescent="0.35">
      <c r="A439" s="44" t="s">
        <v>3589</v>
      </c>
      <c r="B439" s="142" t="s">
        <v>3799</v>
      </c>
      <c r="C439" s="36">
        <v>45866</v>
      </c>
      <c r="D439" s="37" t="s">
        <v>422</v>
      </c>
      <c r="E439" t="s">
        <v>4373</v>
      </c>
      <c r="F439" s="37" t="s">
        <v>3805</v>
      </c>
      <c r="G439" s="38"/>
      <c r="H439" s="38">
        <v>258</v>
      </c>
      <c r="I439" s="37"/>
    </row>
    <row r="440" spans="1:9" ht="14.5" x14ac:dyDescent="0.35">
      <c r="A440" s="44" t="s">
        <v>3589</v>
      </c>
      <c r="B440" s="142" t="s">
        <v>3799</v>
      </c>
      <c r="C440" s="36">
        <v>45866</v>
      </c>
      <c r="D440" s="37" t="s">
        <v>422</v>
      </c>
      <c r="E440" t="s">
        <v>4374</v>
      </c>
      <c r="F440" s="37" t="s">
        <v>3805</v>
      </c>
      <c r="G440" s="38"/>
      <c r="H440" s="38">
        <v>65</v>
      </c>
      <c r="I440" s="37"/>
    </row>
    <row r="441" spans="1:9" ht="14.5" x14ac:dyDescent="0.35">
      <c r="A441" s="44" t="s">
        <v>3589</v>
      </c>
      <c r="B441" s="142" t="s">
        <v>3799</v>
      </c>
      <c r="C441" s="36">
        <v>45866</v>
      </c>
      <c r="D441" s="37" t="s">
        <v>819</v>
      </c>
      <c r="E441" t="s">
        <v>4375</v>
      </c>
      <c r="F441" s="37" t="s">
        <v>3805</v>
      </c>
      <c r="G441" s="38"/>
      <c r="H441" s="38">
        <v>234</v>
      </c>
      <c r="I441" s="37"/>
    </row>
    <row r="442" spans="1:9" ht="14.5" x14ac:dyDescent="0.35">
      <c r="A442" s="44" t="s">
        <v>3589</v>
      </c>
      <c r="B442" s="142" t="s">
        <v>3799</v>
      </c>
      <c r="C442" s="36">
        <v>45866</v>
      </c>
      <c r="D442" s="37" t="s">
        <v>819</v>
      </c>
      <c r="E442" t="s">
        <v>4376</v>
      </c>
      <c r="F442" s="37" t="s">
        <v>3805</v>
      </c>
      <c r="G442" s="38"/>
      <c r="H442" s="38">
        <v>234</v>
      </c>
      <c r="I442" s="37"/>
    </row>
    <row r="443" spans="1:9" ht="14.5" x14ac:dyDescent="0.35">
      <c r="A443" s="44" t="s">
        <v>3589</v>
      </c>
      <c r="B443" s="142" t="s">
        <v>3799</v>
      </c>
      <c r="C443" s="36">
        <v>45866</v>
      </c>
      <c r="D443" s="37" t="s">
        <v>422</v>
      </c>
      <c r="E443" t="s">
        <v>4377</v>
      </c>
      <c r="F443" s="37" t="s">
        <v>3805</v>
      </c>
      <c r="G443" s="38"/>
      <c r="H443" s="38">
        <v>87</v>
      </c>
      <c r="I443" s="37"/>
    </row>
    <row r="444" spans="1:9" ht="14.5" x14ac:dyDescent="0.35">
      <c r="A444" s="44" t="s">
        <v>3589</v>
      </c>
      <c r="B444" s="142" t="s">
        <v>3799</v>
      </c>
      <c r="C444" s="36">
        <v>45866</v>
      </c>
      <c r="D444" s="37" t="s">
        <v>422</v>
      </c>
      <c r="E444" t="s">
        <v>4378</v>
      </c>
      <c r="F444" s="37" t="s">
        <v>3805</v>
      </c>
      <c r="G444" s="38"/>
      <c r="H444" s="38">
        <v>292</v>
      </c>
      <c r="I444" s="37"/>
    </row>
    <row r="445" spans="1:9" ht="14.5" x14ac:dyDescent="0.35">
      <c r="A445" s="44" t="s">
        <v>3589</v>
      </c>
      <c r="B445" s="142" t="s">
        <v>3799</v>
      </c>
      <c r="C445" s="36">
        <v>45866</v>
      </c>
      <c r="D445" s="37" t="s">
        <v>819</v>
      </c>
      <c r="E445" t="s">
        <v>4379</v>
      </c>
      <c r="F445" s="37" t="s">
        <v>3805</v>
      </c>
      <c r="G445" s="38"/>
      <c r="H445" s="38">
        <v>3230</v>
      </c>
      <c r="I445" s="37"/>
    </row>
    <row r="446" spans="1:9" ht="14.5" x14ac:dyDescent="0.35">
      <c r="A446" s="44" t="s">
        <v>3589</v>
      </c>
      <c r="B446" s="142" t="s">
        <v>3799</v>
      </c>
      <c r="C446" s="36">
        <v>45866</v>
      </c>
      <c r="D446" s="37" t="s">
        <v>422</v>
      </c>
      <c r="E446" t="s">
        <v>4380</v>
      </c>
      <c r="F446" s="37" t="s">
        <v>3805</v>
      </c>
      <c r="G446" s="38"/>
      <c r="H446" s="38">
        <v>69</v>
      </c>
      <c r="I446" s="37"/>
    </row>
    <row r="447" spans="1:9" ht="14.5" x14ac:dyDescent="0.35">
      <c r="A447" s="44" t="s">
        <v>3589</v>
      </c>
      <c r="B447" s="142" t="s">
        <v>3799</v>
      </c>
      <c r="C447" s="36">
        <v>45866</v>
      </c>
      <c r="D447" s="37" t="s">
        <v>422</v>
      </c>
      <c r="E447" t="s">
        <v>4381</v>
      </c>
      <c r="F447" s="37" t="s">
        <v>3805</v>
      </c>
      <c r="G447" s="38"/>
      <c r="H447" s="38">
        <v>422</v>
      </c>
      <c r="I447" s="37"/>
    </row>
    <row r="448" spans="1:9" ht="14.5" x14ac:dyDescent="0.35">
      <c r="A448" s="44" t="s">
        <v>3589</v>
      </c>
      <c r="B448" s="142" t="s">
        <v>3799</v>
      </c>
      <c r="C448" s="36">
        <v>45866</v>
      </c>
      <c r="D448" s="37" t="s">
        <v>819</v>
      </c>
      <c r="E448" t="s">
        <v>4382</v>
      </c>
      <c r="F448" s="37" t="s">
        <v>3805</v>
      </c>
      <c r="G448" s="38"/>
      <c r="H448" s="38">
        <v>234</v>
      </c>
      <c r="I448" s="37"/>
    </row>
    <row r="449" spans="1:9" ht="14.5" x14ac:dyDescent="0.35">
      <c r="A449" s="44" t="s">
        <v>3589</v>
      </c>
      <c r="B449" s="142" t="s">
        <v>3799</v>
      </c>
      <c r="C449" s="36">
        <v>45866</v>
      </c>
      <c r="D449" s="37" t="s">
        <v>422</v>
      </c>
      <c r="E449" t="s">
        <v>4383</v>
      </c>
      <c r="F449" s="37" t="s">
        <v>3805</v>
      </c>
      <c r="G449" s="38"/>
      <c r="H449" s="38">
        <v>1490</v>
      </c>
      <c r="I449" s="37"/>
    </row>
    <row r="450" spans="1:9" ht="14.5" x14ac:dyDescent="0.35">
      <c r="A450" s="44" t="s">
        <v>3589</v>
      </c>
      <c r="B450" s="142" t="s">
        <v>3799</v>
      </c>
      <c r="C450" s="36">
        <v>45866</v>
      </c>
      <c r="D450" s="37" t="s">
        <v>422</v>
      </c>
      <c r="E450" t="s">
        <v>4384</v>
      </c>
      <c r="F450" s="37" t="s">
        <v>3805</v>
      </c>
      <c r="G450" s="38"/>
      <c r="H450" s="38">
        <v>229</v>
      </c>
      <c r="I450" s="37"/>
    </row>
    <row r="451" spans="1:9" ht="14.5" x14ac:dyDescent="0.35">
      <c r="A451" s="44" t="s">
        <v>3589</v>
      </c>
      <c r="B451" s="142" t="s">
        <v>3799</v>
      </c>
      <c r="C451" s="36">
        <v>45866</v>
      </c>
      <c r="D451" s="37" t="s">
        <v>422</v>
      </c>
      <c r="E451" t="s">
        <v>4385</v>
      </c>
      <c r="F451" s="37" t="s">
        <v>3805</v>
      </c>
      <c r="G451" s="38"/>
      <c r="H451" s="38">
        <v>228</v>
      </c>
      <c r="I451" s="37"/>
    </row>
    <row r="452" spans="1:9" ht="14.5" x14ac:dyDescent="0.35">
      <c r="A452" s="44" t="s">
        <v>3589</v>
      </c>
      <c r="B452" s="142" t="s">
        <v>3799</v>
      </c>
      <c r="C452" s="36">
        <v>45866</v>
      </c>
      <c r="D452" s="37" t="s">
        <v>422</v>
      </c>
      <c r="E452" t="s">
        <v>4386</v>
      </c>
      <c r="F452" s="37" t="s">
        <v>3805</v>
      </c>
      <c r="G452" s="38"/>
      <c r="H452" s="38">
        <v>259</v>
      </c>
      <c r="I452" s="37"/>
    </row>
    <row r="453" spans="1:9" ht="14.5" x14ac:dyDescent="0.35">
      <c r="A453" s="44" t="s">
        <v>3589</v>
      </c>
      <c r="B453" s="142" t="s">
        <v>3799</v>
      </c>
      <c r="C453" s="36">
        <v>45866</v>
      </c>
      <c r="D453" s="37" t="s">
        <v>422</v>
      </c>
      <c r="E453" t="s">
        <v>4387</v>
      </c>
      <c r="F453" s="37" t="s">
        <v>3805</v>
      </c>
      <c r="G453" s="38"/>
      <c r="H453" s="38">
        <v>101</v>
      </c>
      <c r="I453" s="37"/>
    </row>
    <row r="454" spans="1:9" ht="14.5" x14ac:dyDescent="0.35">
      <c r="A454" s="44" t="s">
        <v>3589</v>
      </c>
      <c r="B454" s="142" t="s">
        <v>3799</v>
      </c>
      <c r="C454" s="36">
        <v>45866</v>
      </c>
      <c r="D454" s="37" t="s">
        <v>422</v>
      </c>
      <c r="E454" t="s">
        <v>4388</v>
      </c>
      <c r="F454" s="37" t="s">
        <v>3805</v>
      </c>
      <c r="G454" s="38"/>
      <c r="H454" s="38">
        <v>87</v>
      </c>
      <c r="I454" s="37"/>
    </row>
    <row r="455" spans="1:9" ht="14.5" x14ac:dyDescent="0.35">
      <c r="A455" s="44" t="s">
        <v>3589</v>
      </c>
      <c r="B455" s="142" t="s">
        <v>3799</v>
      </c>
      <c r="C455" s="36">
        <v>45866</v>
      </c>
      <c r="D455" s="37" t="s">
        <v>66</v>
      </c>
      <c r="E455" t="s">
        <v>4389</v>
      </c>
      <c r="F455" s="37" t="s">
        <v>3805</v>
      </c>
      <c r="G455" s="38"/>
      <c r="H455" s="38">
        <v>323</v>
      </c>
      <c r="I455" s="37"/>
    </row>
    <row r="456" spans="1:9" ht="14.5" x14ac:dyDescent="0.35">
      <c r="A456" s="44" t="s">
        <v>3589</v>
      </c>
      <c r="B456" s="142" t="s">
        <v>3799</v>
      </c>
      <c r="C456" s="36">
        <v>45866</v>
      </c>
      <c r="D456" s="37" t="s">
        <v>422</v>
      </c>
      <c r="E456" t="s">
        <v>4390</v>
      </c>
      <c r="F456" s="37" t="s">
        <v>3805</v>
      </c>
      <c r="G456" s="38"/>
      <c r="H456" s="38">
        <v>228</v>
      </c>
      <c r="I456" s="37"/>
    </row>
    <row r="457" spans="1:9" ht="14.5" x14ac:dyDescent="0.35">
      <c r="A457" s="44" t="s">
        <v>3589</v>
      </c>
      <c r="B457" s="142" t="s">
        <v>3799</v>
      </c>
      <c r="C457" s="36">
        <v>45866</v>
      </c>
      <c r="D457" s="37" t="s">
        <v>819</v>
      </c>
      <c r="E457" t="s">
        <v>4391</v>
      </c>
      <c r="F457" s="37" t="s">
        <v>3805</v>
      </c>
      <c r="G457" s="38"/>
      <c r="H457" s="38">
        <v>6280</v>
      </c>
      <c r="I457" s="37"/>
    </row>
    <row r="458" spans="1:9" ht="14.5" x14ac:dyDescent="0.35">
      <c r="A458" s="44" t="s">
        <v>3589</v>
      </c>
      <c r="B458" s="142" t="s">
        <v>3799</v>
      </c>
      <c r="C458" s="36">
        <v>45866</v>
      </c>
      <c r="D458" s="37" t="s">
        <v>422</v>
      </c>
      <c r="E458" t="s">
        <v>4392</v>
      </c>
      <c r="F458" s="37" t="s">
        <v>3805</v>
      </c>
      <c r="G458" s="38"/>
      <c r="H458" s="38">
        <v>1944</v>
      </c>
      <c r="I458" s="37"/>
    </row>
    <row r="459" spans="1:9" ht="14.5" x14ac:dyDescent="0.35">
      <c r="A459" s="44" t="s">
        <v>3589</v>
      </c>
      <c r="B459" s="142" t="s">
        <v>3799</v>
      </c>
      <c r="C459" s="36">
        <v>45866</v>
      </c>
      <c r="D459" s="37" t="s">
        <v>819</v>
      </c>
      <c r="E459" t="s">
        <v>4393</v>
      </c>
      <c r="F459" s="37" t="s">
        <v>3805</v>
      </c>
      <c r="G459" s="38"/>
      <c r="H459" s="38">
        <v>1450</v>
      </c>
      <c r="I459" s="37"/>
    </row>
    <row r="460" spans="1:9" ht="14.5" x14ac:dyDescent="0.35">
      <c r="A460" s="44" t="s">
        <v>3589</v>
      </c>
      <c r="B460" s="142" t="s">
        <v>3799</v>
      </c>
      <c r="C460" s="36">
        <v>45866</v>
      </c>
      <c r="D460" s="37" t="s">
        <v>66</v>
      </c>
      <c r="E460" t="s">
        <v>4394</v>
      </c>
      <c r="F460" s="37" t="s">
        <v>3805</v>
      </c>
      <c r="G460" s="38"/>
      <c r="H460" s="38">
        <v>271</v>
      </c>
      <c r="I460" s="37"/>
    </row>
    <row r="461" spans="1:9" ht="14.5" x14ac:dyDescent="0.35">
      <c r="A461" s="44" t="s">
        <v>3589</v>
      </c>
      <c r="B461" s="142" t="s">
        <v>3799</v>
      </c>
      <c r="C461" s="36">
        <v>45866</v>
      </c>
      <c r="D461" s="37" t="s">
        <v>422</v>
      </c>
      <c r="E461" t="s">
        <v>4395</v>
      </c>
      <c r="F461" s="37" t="s">
        <v>3805</v>
      </c>
      <c r="G461" s="38"/>
      <c r="H461" s="38">
        <v>64</v>
      </c>
      <c r="I461" s="37"/>
    </row>
    <row r="462" spans="1:9" ht="14.5" x14ac:dyDescent="0.35">
      <c r="A462" s="44" t="s">
        <v>3589</v>
      </c>
      <c r="B462" s="142" t="s">
        <v>3799</v>
      </c>
      <c r="C462" s="36">
        <v>45866</v>
      </c>
      <c r="D462" s="37" t="s">
        <v>17</v>
      </c>
      <c r="E462" t="s">
        <v>4396</v>
      </c>
      <c r="F462" s="37" t="s">
        <v>3805</v>
      </c>
      <c r="G462" s="38"/>
      <c r="H462" s="38">
        <v>1640</v>
      </c>
      <c r="I462" s="37"/>
    </row>
    <row r="463" spans="1:9" ht="14.5" x14ac:dyDescent="0.35">
      <c r="A463" s="44" t="s">
        <v>3589</v>
      </c>
      <c r="B463" s="142" t="s">
        <v>3799</v>
      </c>
      <c r="C463" s="36">
        <v>45866</v>
      </c>
      <c r="D463" s="37" t="s">
        <v>422</v>
      </c>
      <c r="E463" t="s">
        <v>4397</v>
      </c>
      <c r="F463" s="37" t="s">
        <v>3805</v>
      </c>
      <c r="G463" s="38"/>
      <c r="H463" s="38">
        <v>87</v>
      </c>
      <c r="I463" s="37"/>
    </row>
    <row r="464" spans="1:9" ht="14.5" x14ac:dyDescent="0.35">
      <c r="A464" s="44" t="s">
        <v>3589</v>
      </c>
      <c r="B464" s="142" t="s">
        <v>3799</v>
      </c>
      <c r="C464" s="36">
        <v>45866</v>
      </c>
      <c r="D464" s="37" t="s">
        <v>422</v>
      </c>
      <c r="E464" t="s">
        <v>4398</v>
      </c>
      <c r="F464" s="37" t="s">
        <v>3805</v>
      </c>
      <c r="G464" s="38"/>
      <c r="H464" s="38">
        <v>40</v>
      </c>
      <c r="I464" s="37"/>
    </row>
    <row r="465" spans="1:9" ht="14.5" x14ac:dyDescent="0.35">
      <c r="A465" s="44" t="s">
        <v>3589</v>
      </c>
      <c r="B465" s="142" t="s">
        <v>3799</v>
      </c>
      <c r="C465" s="36">
        <v>45866</v>
      </c>
      <c r="D465" s="37" t="s">
        <v>66</v>
      </c>
      <c r="E465" t="s">
        <v>4399</v>
      </c>
      <c r="F465" s="37" t="s">
        <v>3805</v>
      </c>
      <c r="G465" s="38"/>
      <c r="H465" s="38">
        <v>323</v>
      </c>
      <c r="I465" s="37"/>
    </row>
    <row r="466" spans="1:9" ht="14.5" x14ac:dyDescent="0.35">
      <c r="A466" s="44" t="s">
        <v>3589</v>
      </c>
      <c r="B466" s="142" t="s">
        <v>3799</v>
      </c>
      <c r="C466" s="36">
        <v>45866</v>
      </c>
      <c r="D466" s="37" t="s">
        <v>66</v>
      </c>
      <c r="E466" t="s">
        <v>4400</v>
      </c>
      <c r="F466" s="37" t="s">
        <v>3805</v>
      </c>
      <c r="G466" s="38"/>
      <c r="H466" s="38">
        <v>324</v>
      </c>
      <c r="I466" s="37"/>
    </row>
    <row r="467" spans="1:9" ht="14.5" x14ac:dyDescent="0.35">
      <c r="A467" s="44" t="s">
        <v>3589</v>
      </c>
      <c r="B467" s="142" t="s">
        <v>3799</v>
      </c>
      <c r="C467" s="36">
        <v>45866</v>
      </c>
      <c r="D467" s="37" t="s">
        <v>422</v>
      </c>
      <c r="E467" t="s">
        <v>4401</v>
      </c>
      <c r="F467" s="37" t="s">
        <v>3805</v>
      </c>
      <c r="G467" s="38"/>
      <c r="H467" s="38">
        <v>136</v>
      </c>
      <c r="I467" s="37"/>
    </row>
    <row r="468" spans="1:9" ht="14.5" x14ac:dyDescent="0.35">
      <c r="A468" s="44" t="s">
        <v>3589</v>
      </c>
      <c r="B468" s="142" t="s">
        <v>3799</v>
      </c>
      <c r="C468" s="36">
        <v>45866</v>
      </c>
      <c r="D468" s="37" t="s">
        <v>66</v>
      </c>
      <c r="E468" t="s">
        <v>4402</v>
      </c>
      <c r="F468" s="37" t="s">
        <v>3805</v>
      </c>
      <c r="G468" s="38"/>
      <c r="H468" s="38">
        <v>271</v>
      </c>
      <c r="I468" s="37"/>
    </row>
    <row r="469" spans="1:9" ht="14.5" x14ac:dyDescent="0.35">
      <c r="A469" s="142" t="s">
        <v>3799</v>
      </c>
      <c r="B469" s="44" t="s">
        <v>3802</v>
      </c>
      <c r="C469" s="36">
        <v>45866</v>
      </c>
      <c r="D469" s="37" t="s">
        <v>695</v>
      </c>
      <c r="E469" t="s">
        <v>4403</v>
      </c>
      <c r="F469" s="37" t="s">
        <v>3805</v>
      </c>
      <c r="G469" s="38">
        <v>970</v>
      </c>
      <c r="H469" s="38"/>
      <c r="I469" s="37"/>
    </row>
    <row r="470" spans="1:9" ht="14.5" x14ac:dyDescent="0.35">
      <c r="A470" s="142" t="s">
        <v>3799</v>
      </c>
      <c r="B470" s="44" t="s">
        <v>3802</v>
      </c>
      <c r="C470" s="36">
        <v>45866</v>
      </c>
      <c r="D470" s="37" t="s">
        <v>66</v>
      </c>
      <c r="E470" t="s">
        <v>4404</v>
      </c>
      <c r="F470" s="37" t="s">
        <v>3805</v>
      </c>
      <c r="G470" s="38">
        <v>273</v>
      </c>
      <c r="H470" s="38"/>
      <c r="I470" s="37"/>
    </row>
    <row r="471" spans="1:9" ht="14.5" x14ac:dyDescent="0.35">
      <c r="A471" s="142" t="s">
        <v>3799</v>
      </c>
      <c r="B471" s="44" t="s">
        <v>3802</v>
      </c>
      <c r="C471" s="36">
        <v>45866</v>
      </c>
      <c r="D471" s="37" t="s">
        <v>66</v>
      </c>
      <c r="E471" t="s">
        <v>4405</v>
      </c>
      <c r="F471" s="37" t="s">
        <v>3805</v>
      </c>
      <c r="G471" s="38">
        <v>271.00000000000011</v>
      </c>
      <c r="H471" s="38"/>
      <c r="I471" s="37"/>
    </row>
    <row r="472" spans="1:9" ht="14.5" x14ac:dyDescent="0.35">
      <c r="A472" s="142" t="s">
        <v>3799</v>
      </c>
      <c r="B472" s="44" t="s">
        <v>3802</v>
      </c>
      <c r="C472" s="36">
        <v>45866</v>
      </c>
      <c r="D472" s="37" t="s">
        <v>66</v>
      </c>
      <c r="E472" t="s">
        <v>4406</v>
      </c>
      <c r="F472" s="37" t="s">
        <v>3805</v>
      </c>
      <c r="G472" s="38">
        <v>272</v>
      </c>
      <c r="H472" s="38"/>
      <c r="I472" s="37"/>
    </row>
    <row r="473" spans="1:9" ht="14.5" x14ac:dyDescent="0.35">
      <c r="A473" s="142" t="s">
        <v>3799</v>
      </c>
      <c r="B473" s="44" t="s">
        <v>3802</v>
      </c>
      <c r="C473" s="36">
        <v>45866</v>
      </c>
      <c r="D473" s="37" t="s">
        <v>422</v>
      </c>
      <c r="E473" t="s">
        <v>4407</v>
      </c>
      <c r="F473" s="37" t="s">
        <v>3805</v>
      </c>
      <c r="G473" s="38">
        <v>65</v>
      </c>
      <c r="H473" s="38"/>
      <c r="I473" s="37"/>
    </row>
    <row r="474" spans="1:9" ht="14.5" x14ac:dyDescent="0.35">
      <c r="A474" s="142" t="s">
        <v>3799</v>
      </c>
      <c r="B474" s="44" t="s">
        <v>3802</v>
      </c>
      <c r="C474" s="36">
        <v>45866</v>
      </c>
      <c r="D474" s="37" t="s">
        <v>66</v>
      </c>
      <c r="E474" t="s">
        <v>4408</v>
      </c>
      <c r="F474" s="37" t="s">
        <v>3805</v>
      </c>
      <c r="G474" s="38">
        <v>272</v>
      </c>
      <c r="H474" s="38"/>
      <c r="I474" s="37"/>
    </row>
    <row r="475" spans="1:9" ht="14.5" x14ac:dyDescent="0.35">
      <c r="A475" s="142" t="s">
        <v>3799</v>
      </c>
      <c r="B475" s="44" t="s">
        <v>3802</v>
      </c>
      <c r="C475" s="36">
        <v>45866</v>
      </c>
      <c r="D475" s="37" t="s">
        <v>422</v>
      </c>
      <c r="E475" t="s">
        <v>4409</v>
      </c>
      <c r="F475" s="37" t="s">
        <v>3805</v>
      </c>
      <c r="G475" s="38">
        <v>68</v>
      </c>
      <c r="H475" s="38"/>
      <c r="I475" s="37"/>
    </row>
    <row r="476" spans="1:9" ht="14.5" x14ac:dyDescent="0.35">
      <c r="A476" s="142" t="s">
        <v>3799</v>
      </c>
      <c r="B476" s="44" t="s">
        <v>3802</v>
      </c>
      <c r="C476" s="36">
        <v>45866</v>
      </c>
      <c r="D476" s="37" t="s">
        <v>82</v>
      </c>
      <c r="E476" t="s">
        <v>4410</v>
      </c>
      <c r="F476" s="37" t="s">
        <v>3805</v>
      </c>
      <c r="G476" s="38">
        <v>109</v>
      </c>
      <c r="H476" s="38"/>
      <c r="I476" s="37"/>
    </row>
    <row r="477" spans="1:9" ht="14.5" x14ac:dyDescent="0.35">
      <c r="A477" s="142" t="s">
        <v>3799</v>
      </c>
      <c r="B477" s="44" t="s">
        <v>3802</v>
      </c>
      <c r="C477" s="36">
        <v>45866</v>
      </c>
      <c r="D477" s="37" t="s">
        <v>422</v>
      </c>
      <c r="E477" t="s">
        <v>4411</v>
      </c>
      <c r="F477" s="37" t="s">
        <v>3805</v>
      </c>
      <c r="G477" s="38">
        <v>40</v>
      </c>
      <c r="H477" s="38"/>
      <c r="I477" s="37"/>
    </row>
    <row r="478" spans="1:9" ht="14.5" x14ac:dyDescent="0.35">
      <c r="A478" s="142" t="s">
        <v>3799</v>
      </c>
      <c r="B478" s="44" t="s">
        <v>3802</v>
      </c>
      <c r="C478" s="36">
        <v>45866</v>
      </c>
      <c r="D478" s="37" t="s">
        <v>3592</v>
      </c>
      <c r="E478" t="s">
        <v>4412</v>
      </c>
      <c r="F478" s="37" t="s">
        <v>3805</v>
      </c>
      <c r="G478" s="38">
        <v>770</v>
      </c>
      <c r="H478" s="38"/>
      <c r="I478" s="37"/>
    </row>
    <row r="479" spans="1:9" ht="14.5" x14ac:dyDescent="0.35">
      <c r="A479" s="142" t="s">
        <v>3799</v>
      </c>
      <c r="B479" s="44" t="s">
        <v>3802</v>
      </c>
      <c r="C479" s="36">
        <v>45866</v>
      </c>
      <c r="D479" s="37" t="s">
        <v>422</v>
      </c>
      <c r="E479" t="s">
        <v>4413</v>
      </c>
      <c r="F479" s="37" t="s">
        <v>3805</v>
      </c>
      <c r="G479" s="38">
        <v>218</v>
      </c>
      <c r="H479" s="38"/>
      <c r="I479" s="37"/>
    </row>
    <row r="480" spans="1:9" ht="14.5" x14ac:dyDescent="0.35">
      <c r="A480" s="142" t="s">
        <v>3799</v>
      </c>
      <c r="B480" s="44" t="s">
        <v>3802</v>
      </c>
      <c r="C480" s="36">
        <v>45866</v>
      </c>
      <c r="D480" s="37" t="s">
        <v>422</v>
      </c>
      <c r="E480" t="s">
        <v>4414</v>
      </c>
      <c r="F480" s="37" t="s">
        <v>3805</v>
      </c>
      <c r="G480" s="38">
        <v>218</v>
      </c>
      <c r="H480" s="38"/>
      <c r="I480" s="37"/>
    </row>
    <row r="481" spans="1:9" ht="14.5" x14ac:dyDescent="0.35">
      <c r="A481" s="142" t="s">
        <v>3799</v>
      </c>
      <c r="B481" s="44" t="s">
        <v>3802</v>
      </c>
      <c r="C481" s="36">
        <v>45867</v>
      </c>
      <c r="D481" s="37" t="s">
        <v>422</v>
      </c>
      <c r="E481" t="s">
        <v>4415</v>
      </c>
      <c r="F481" s="37" t="s">
        <v>3805</v>
      </c>
      <c r="G481" s="38">
        <v>35</v>
      </c>
      <c r="H481" s="38"/>
      <c r="I481" s="37"/>
    </row>
    <row r="482" spans="1:9" ht="14.5" x14ac:dyDescent="0.35">
      <c r="A482" s="142" t="s">
        <v>3799</v>
      </c>
      <c r="B482" s="44" t="s">
        <v>3802</v>
      </c>
      <c r="C482" s="36">
        <v>45867</v>
      </c>
      <c r="D482" s="37" t="s">
        <v>716</v>
      </c>
      <c r="E482" t="s">
        <v>4416</v>
      </c>
      <c r="F482" s="37" t="s">
        <v>3805</v>
      </c>
      <c r="G482" s="38">
        <v>769.99999999999989</v>
      </c>
      <c r="H482" s="38"/>
      <c r="I482" s="37"/>
    </row>
    <row r="483" spans="1:9" ht="14.5" x14ac:dyDescent="0.35">
      <c r="A483" s="142" t="s">
        <v>3799</v>
      </c>
      <c r="B483" s="44" t="s">
        <v>3802</v>
      </c>
      <c r="C483" s="36">
        <v>45867</v>
      </c>
      <c r="D483" s="37" t="s">
        <v>422</v>
      </c>
      <c r="E483" t="s">
        <v>4417</v>
      </c>
      <c r="F483" s="37" t="s">
        <v>3805</v>
      </c>
      <c r="G483" s="38">
        <v>34</v>
      </c>
      <c r="H483" s="38"/>
      <c r="I483" s="37"/>
    </row>
    <row r="484" spans="1:9" ht="14.5" x14ac:dyDescent="0.35">
      <c r="A484" s="142" t="s">
        <v>3799</v>
      </c>
      <c r="B484" s="44" t="s">
        <v>3802</v>
      </c>
      <c r="C484" s="36">
        <v>45867</v>
      </c>
      <c r="D484" s="37" t="s">
        <v>422</v>
      </c>
      <c r="E484" t="s">
        <v>4418</v>
      </c>
      <c r="F484" s="37" t="s">
        <v>3805</v>
      </c>
      <c r="G484" s="38">
        <v>34</v>
      </c>
      <c r="H484" s="38"/>
      <c r="I484" s="37"/>
    </row>
    <row r="485" spans="1:9" ht="14.5" x14ac:dyDescent="0.35">
      <c r="A485" s="142" t="s">
        <v>3799</v>
      </c>
      <c r="B485" s="44" t="s">
        <v>3802</v>
      </c>
      <c r="C485" s="36">
        <v>45867</v>
      </c>
      <c r="D485" s="37" t="s">
        <v>422</v>
      </c>
      <c r="E485" t="s">
        <v>4419</v>
      </c>
      <c r="F485" s="37" t="s">
        <v>3805</v>
      </c>
      <c r="G485" s="38">
        <v>34</v>
      </c>
      <c r="H485" s="38"/>
      <c r="I485" s="37"/>
    </row>
    <row r="486" spans="1:9" ht="14.5" x14ac:dyDescent="0.35">
      <c r="A486" s="142" t="s">
        <v>3799</v>
      </c>
      <c r="B486" s="44" t="s">
        <v>3802</v>
      </c>
      <c r="C486" s="36">
        <v>45867</v>
      </c>
      <c r="D486" s="37" t="s">
        <v>422</v>
      </c>
      <c r="E486" t="s">
        <v>4420</v>
      </c>
      <c r="F486" s="37" t="s">
        <v>3805</v>
      </c>
      <c r="G486" s="38">
        <v>314</v>
      </c>
      <c r="H486" s="38"/>
      <c r="I486" s="37"/>
    </row>
    <row r="487" spans="1:9" ht="14.5" x14ac:dyDescent="0.35">
      <c r="A487" s="142" t="s">
        <v>3799</v>
      </c>
      <c r="B487" s="44" t="s">
        <v>3802</v>
      </c>
      <c r="C487" s="36">
        <v>45867</v>
      </c>
      <c r="D487" s="37" t="s">
        <v>422</v>
      </c>
      <c r="E487" t="s">
        <v>4421</v>
      </c>
      <c r="F487" s="37" t="s">
        <v>3805</v>
      </c>
      <c r="G487" s="38">
        <v>77</v>
      </c>
      <c r="H487" s="38"/>
      <c r="I487" s="37"/>
    </row>
    <row r="488" spans="1:9" ht="14.5" x14ac:dyDescent="0.35">
      <c r="A488" s="142" t="s">
        <v>3799</v>
      </c>
      <c r="B488" s="44" t="s">
        <v>3802</v>
      </c>
      <c r="C488" s="36">
        <v>45867</v>
      </c>
      <c r="D488" s="37" t="s">
        <v>422</v>
      </c>
      <c r="E488" t="s">
        <v>4422</v>
      </c>
      <c r="F488" s="37" t="s">
        <v>3805</v>
      </c>
      <c r="G488" s="38">
        <v>80</v>
      </c>
      <c r="H488" s="38"/>
      <c r="I488" s="37"/>
    </row>
    <row r="489" spans="1:9" ht="14.5" x14ac:dyDescent="0.35">
      <c r="A489" s="142" t="s">
        <v>3799</v>
      </c>
      <c r="B489" s="44" t="s">
        <v>3802</v>
      </c>
      <c r="C489" s="36">
        <v>45867</v>
      </c>
      <c r="D489" s="37" t="s">
        <v>422</v>
      </c>
      <c r="E489" t="s">
        <v>4423</v>
      </c>
      <c r="F489" s="37" t="s">
        <v>3805</v>
      </c>
      <c r="G489" s="38">
        <v>34</v>
      </c>
      <c r="H489" s="38"/>
      <c r="I489" s="37"/>
    </row>
    <row r="490" spans="1:9" ht="14.5" x14ac:dyDescent="0.35">
      <c r="A490" s="142" t="s">
        <v>3799</v>
      </c>
      <c r="B490" s="44" t="s">
        <v>3802</v>
      </c>
      <c r="C490" s="36">
        <v>45867</v>
      </c>
      <c r="D490" s="37" t="s">
        <v>422</v>
      </c>
      <c r="E490" t="s">
        <v>4424</v>
      </c>
      <c r="F490" s="37" t="s">
        <v>3805</v>
      </c>
      <c r="G490" s="38">
        <v>33</v>
      </c>
      <c r="H490" s="38"/>
      <c r="I490" s="37"/>
    </row>
    <row r="491" spans="1:9" ht="14.5" x14ac:dyDescent="0.35">
      <c r="A491" s="142" t="s">
        <v>3799</v>
      </c>
      <c r="B491" s="44" t="s">
        <v>3802</v>
      </c>
      <c r="C491" s="36">
        <v>45867</v>
      </c>
      <c r="D491" s="37" t="s">
        <v>422</v>
      </c>
      <c r="E491" t="s">
        <v>4425</v>
      </c>
      <c r="F491" s="37" t="s">
        <v>3805</v>
      </c>
      <c r="G491" s="38">
        <v>39</v>
      </c>
      <c r="H491" s="38"/>
      <c r="I491" s="37"/>
    </row>
    <row r="492" spans="1:9" ht="14.5" x14ac:dyDescent="0.35">
      <c r="A492" s="142" t="s">
        <v>3799</v>
      </c>
      <c r="B492" s="44" t="s">
        <v>3802</v>
      </c>
      <c r="C492" s="36">
        <v>45867</v>
      </c>
      <c r="D492" s="37" t="s">
        <v>422</v>
      </c>
      <c r="E492" t="s">
        <v>4426</v>
      </c>
      <c r="F492" s="37" t="s">
        <v>3805</v>
      </c>
      <c r="G492" s="38">
        <v>39</v>
      </c>
      <c r="H492" s="38"/>
      <c r="I492" s="37"/>
    </row>
    <row r="493" spans="1:9" ht="14.5" x14ac:dyDescent="0.35">
      <c r="A493" s="142" t="s">
        <v>3799</v>
      </c>
      <c r="B493" s="44" t="s">
        <v>3802</v>
      </c>
      <c r="C493" s="36">
        <v>45867</v>
      </c>
      <c r="D493" s="37" t="s">
        <v>422</v>
      </c>
      <c r="E493" t="s">
        <v>4427</v>
      </c>
      <c r="F493" s="37" t="s">
        <v>3805</v>
      </c>
      <c r="G493" s="38">
        <v>39</v>
      </c>
      <c r="H493" s="38"/>
      <c r="I493" s="37"/>
    </row>
    <row r="494" spans="1:9" ht="14.5" x14ac:dyDescent="0.35">
      <c r="A494" s="142" t="s">
        <v>3799</v>
      </c>
      <c r="B494" s="44" t="s">
        <v>3802</v>
      </c>
      <c r="C494" s="36">
        <v>45867</v>
      </c>
      <c r="D494" s="37" t="s">
        <v>422</v>
      </c>
      <c r="E494" t="s">
        <v>4428</v>
      </c>
      <c r="F494" s="37" t="s">
        <v>3805</v>
      </c>
      <c r="G494" s="38">
        <v>32</v>
      </c>
      <c r="H494" s="38"/>
      <c r="I494" s="37"/>
    </row>
    <row r="495" spans="1:9" ht="14.5" x14ac:dyDescent="0.35">
      <c r="A495" s="142" t="s">
        <v>3799</v>
      </c>
      <c r="B495" s="44" t="s">
        <v>3802</v>
      </c>
      <c r="C495" s="36">
        <v>45867</v>
      </c>
      <c r="D495" s="37" t="s">
        <v>422</v>
      </c>
      <c r="E495" t="s">
        <v>4429</v>
      </c>
      <c r="F495" s="37" t="s">
        <v>3805</v>
      </c>
      <c r="G495" s="38">
        <v>64</v>
      </c>
      <c r="H495" s="38"/>
      <c r="I495" s="37"/>
    </row>
    <row r="496" spans="1:9" ht="14.5" x14ac:dyDescent="0.35">
      <c r="A496" s="142" t="s">
        <v>3799</v>
      </c>
      <c r="B496" s="44" t="s">
        <v>3802</v>
      </c>
      <c r="C496" s="36">
        <v>45867</v>
      </c>
      <c r="D496" s="37" t="s">
        <v>422</v>
      </c>
      <c r="E496" t="s">
        <v>4430</v>
      </c>
      <c r="F496" s="37" t="s">
        <v>3805</v>
      </c>
      <c r="G496" s="38">
        <v>39</v>
      </c>
      <c r="H496" s="38"/>
      <c r="I496" s="37"/>
    </row>
    <row r="497" spans="1:9" ht="14.5" x14ac:dyDescent="0.35">
      <c r="A497" s="142" t="s">
        <v>3799</v>
      </c>
      <c r="B497" s="44" t="s">
        <v>3802</v>
      </c>
      <c r="C497" s="36">
        <v>45867</v>
      </c>
      <c r="D497" s="37" t="s">
        <v>422</v>
      </c>
      <c r="E497" t="s">
        <v>4431</v>
      </c>
      <c r="F497" s="37" t="s">
        <v>3805</v>
      </c>
      <c r="G497" s="38">
        <v>34</v>
      </c>
      <c r="H497" s="38"/>
      <c r="I497" s="37"/>
    </row>
    <row r="498" spans="1:9" ht="14.5" x14ac:dyDescent="0.35">
      <c r="A498" s="142" t="s">
        <v>3799</v>
      </c>
      <c r="B498" s="44" t="s">
        <v>3802</v>
      </c>
      <c r="C498" s="36">
        <v>45867</v>
      </c>
      <c r="D498" s="37" t="s">
        <v>422</v>
      </c>
      <c r="E498" t="s">
        <v>4432</v>
      </c>
      <c r="F498" s="37" t="s">
        <v>3805</v>
      </c>
      <c r="G498" s="38">
        <v>64</v>
      </c>
      <c r="H498" s="38"/>
      <c r="I498" s="37"/>
    </row>
    <row r="499" spans="1:9" ht="14.5" x14ac:dyDescent="0.35">
      <c r="A499" s="142" t="s">
        <v>3799</v>
      </c>
      <c r="B499" s="44" t="s">
        <v>3802</v>
      </c>
      <c r="C499" s="36">
        <v>45867</v>
      </c>
      <c r="D499" s="37" t="s">
        <v>422</v>
      </c>
      <c r="E499" t="s">
        <v>4433</v>
      </c>
      <c r="F499" s="37" t="s">
        <v>3805</v>
      </c>
      <c r="G499" s="38">
        <v>43</v>
      </c>
      <c r="H499" s="38"/>
      <c r="I499" s="37"/>
    </row>
    <row r="500" spans="1:9" ht="14.5" x14ac:dyDescent="0.35">
      <c r="A500" s="142" t="s">
        <v>3799</v>
      </c>
      <c r="B500" s="44" t="s">
        <v>3802</v>
      </c>
      <c r="C500" s="36">
        <v>45867</v>
      </c>
      <c r="D500" s="37" t="s">
        <v>422</v>
      </c>
      <c r="E500" t="s">
        <v>4434</v>
      </c>
      <c r="F500" s="37" t="s">
        <v>3805</v>
      </c>
      <c r="G500" s="38">
        <v>64</v>
      </c>
      <c r="H500" s="38"/>
      <c r="I500" s="37"/>
    </row>
    <row r="501" spans="1:9" ht="14.5" x14ac:dyDescent="0.35">
      <c r="A501" s="142" t="s">
        <v>3799</v>
      </c>
      <c r="B501" s="44" t="s">
        <v>3802</v>
      </c>
      <c r="C501" s="36">
        <v>45867</v>
      </c>
      <c r="D501" s="37" t="s">
        <v>422</v>
      </c>
      <c r="E501" t="s">
        <v>4435</v>
      </c>
      <c r="F501" s="37" t="s">
        <v>3805</v>
      </c>
      <c r="G501" s="38">
        <v>39</v>
      </c>
      <c r="H501" s="38"/>
      <c r="I501" s="37"/>
    </row>
    <row r="502" spans="1:9" ht="14.5" x14ac:dyDescent="0.35">
      <c r="A502" s="142" t="s">
        <v>3799</v>
      </c>
      <c r="B502" s="44" t="s">
        <v>3802</v>
      </c>
      <c r="C502" s="36">
        <v>45867</v>
      </c>
      <c r="D502" s="37" t="s">
        <v>422</v>
      </c>
      <c r="E502" t="s">
        <v>4436</v>
      </c>
      <c r="F502" s="37" t="s">
        <v>3805</v>
      </c>
      <c r="G502" s="38">
        <v>39</v>
      </c>
      <c r="H502" s="38"/>
      <c r="I502" s="37"/>
    </row>
    <row r="503" spans="1:9" ht="14.5" x14ac:dyDescent="0.35">
      <c r="A503" s="142" t="s">
        <v>3799</v>
      </c>
      <c r="B503" s="44" t="s">
        <v>3802</v>
      </c>
      <c r="C503" s="36">
        <v>45867</v>
      </c>
      <c r="D503" s="37" t="s">
        <v>422</v>
      </c>
      <c r="E503" t="s">
        <v>4437</v>
      </c>
      <c r="F503" s="37" t="s">
        <v>3805</v>
      </c>
      <c r="G503" s="38">
        <v>39</v>
      </c>
      <c r="H503" s="38"/>
      <c r="I503" s="37"/>
    </row>
    <row r="504" spans="1:9" ht="14.5" x14ac:dyDescent="0.35">
      <c r="A504" s="142" t="s">
        <v>3799</v>
      </c>
      <c r="B504" s="44" t="s">
        <v>3802</v>
      </c>
      <c r="C504" s="36">
        <v>45867</v>
      </c>
      <c r="D504" s="37" t="s">
        <v>422</v>
      </c>
      <c r="E504" t="s">
        <v>4438</v>
      </c>
      <c r="F504" s="37" t="s">
        <v>3805</v>
      </c>
      <c r="G504" s="38">
        <v>43</v>
      </c>
      <c r="H504" s="38"/>
      <c r="I504" s="37"/>
    </row>
    <row r="505" spans="1:9" ht="14.5" x14ac:dyDescent="0.35">
      <c r="A505" s="142" t="s">
        <v>3799</v>
      </c>
      <c r="B505" s="44" t="s">
        <v>3802</v>
      </c>
      <c r="C505" s="36">
        <v>45867</v>
      </c>
      <c r="D505" s="37" t="s">
        <v>422</v>
      </c>
      <c r="E505" t="s">
        <v>4439</v>
      </c>
      <c r="F505" s="37" t="s">
        <v>3805</v>
      </c>
      <c r="G505" s="38">
        <v>194</v>
      </c>
      <c r="H505" s="38"/>
      <c r="I505" s="37"/>
    </row>
    <row r="506" spans="1:9" ht="14.5" x14ac:dyDescent="0.35">
      <c r="A506" s="142" t="s">
        <v>3799</v>
      </c>
      <c r="B506" s="44" t="s">
        <v>3802</v>
      </c>
      <c r="C506" s="36">
        <v>45867</v>
      </c>
      <c r="D506" s="37" t="s">
        <v>422</v>
      </c>
      <c r="E506" t="s">
        <v>4440</v>
      </c>
      <c r="F506" s="37" t="s">
        <v>3805</v>
      </c>
      <c r="G506" s="38">
        <v>193.99999999999997</v>
      </c>
      <c r="H506" s="38"/>
      <c r="I506" s="37"/>
    </row>
    <row r="507" spans="1:9" ht="14.5" x14ac:dyDescent="0.35">
      <c r="A507" s="142" t="s">
        <v>3799</v>
      </c>
      <c r="B507" s="44" t="s">
        <v>3802</v>
      </c>
      <c r="C507" s="36">
        <v>45867</v>
      </c>
      <c r="D507" s="37" t="s">
        <v>422</v>
      </c>
      <c r="E507" t="s">
        <v>4441</v>
      </c>
      <c r="F507" s="37" t="s">
        <v>3805</v>
      </c>
      <c r="G507" s="38">
        <v>33</v>
      </c>
      <c r="H507" s="38"/>
      <c r="I507" s="37"/>
    </row>
    <row r="508" spans="1:9" ht="14.5" x14ac:dyDescent="0.35">
      <c r="A508" s="142" t="s">
        <v>3799</v>
      </c>
      <c r="B508" s="44" t="s">
        <v>3802</v>
      </c>
      <c r="C508" s="36">
        <v>45867</v>
      </c>
      <c r="D508" s="37" t="s">
        <v>933</v>
      </c>
      <c r="E508" t="s">
        <v>4442</v>
      </c>
      <c r="F508" s="37" t="s">
        <v>3805</v>
      </c>
      <c r="G508" s="38">
        <v>487</v>
      </c>
      <c r="H508" s="38"/>
      <c r="I508" s="37"/>
    </row>
    <row r="509" spans="1:9" ht="14.5" x14ac:dyDescent="0.35">
      <c r="A509" s="142" t="s">
        <v>3799</v>
      </c>
      <c r="B509" s="44" t="s">
        <v>3802</v>
      </c>
      <c r="C509" s="36">
        <v>45867</v>
      </c>
      <c r="D509" s="37" t="s">
        <v>422</v>
      </c>
      <c r="E509" t="s">
        <v>4443</v>
      </c>
      <c r="F509" s="37" t="s">
        <v>3805</v>
      </c>
      <c r="G509" s="38">
        <v>64</v>
      </c>
      <c r="H509" s="38"/>
      <c r="I509" s="37"/>
    </row>
    <row r="510" spans="1:9" ht="14.5" x14ac:dyDescent="0.35">
      <c r="A510" s="142" t="s">
        <v>3799</v>
      </c>
      <c r="B510" s="44" t="s">
        <v>3802</v>
      </c>
      <c r="C510" s="36">
        <v>45867</v>
      </c>
      <c r="D510" s="37" t="s">
        <v>422</v>
      </c>
      <c r="E510" t="s">
        <v>4444</v>
      </c>
      <c r="F510" s="37" t="s">
        <v>3805</v>
      </c>
      <c r="G510" s="38">
        <v>35</v>
      </c>
      <c r="H510" s="38"/>
      <c r="I510" s="37"/>
    </row>
    <row r="511" spans="1:9" ht="14.5" x14ac:dyDescent="0.35">
      <c r="A511" s="142" t="s">
        <v>3799</v>
      </c>
      <c r="B511" s="44" t="s">
        <v>3802</v>
      </c>
      <c r="C511" s="36">
        <v>45867</v>
      </c>
      <c r="D511" s="37" t="s">
        <v>96</v>
      </c>
      <c r="E511" t="s">
        <v>4445</v>
      </c>
      <c r="F511" s="37" t="s">
        <v>3805</v>
      </c>
      <c r="G511" s="38">
        <v>118</v>
      </c>
      <c r="H511" s="38"/>
      <c r="I511" s="37"/>
    </row>
    <row r="512" spans="1:9" ht="14.5" x14ac:dyDescent="0.35">
      <c r="A512" s="142" t="s">
        <v>3799</v>
      </c>
      <c r="B512" s="44" t="s">
        <v>3802</v>
      </c>
      <c r="C512" s="36">
        <v>45867</v>
      </c>
      <c r="D512" s="37" t="s">
        <v>422</v>
      </c>
      <c r="E512" t="s">
        <v>4446</v>
      </c>
      <c r="F512" s="37" t="s">
        <v>3805</v>
      </c>
      <c r="G512" s="38">
        <v>77</v>
      </c>
      <c r="H512" s="38"/>
      <c r="I512" s="37"/>
    </row>
    <row r="513" spans="1:9" ht="14.5" x14ac:dyDescent="0.35">
      <c r="A513" s="142" t="s">
        <v>3799</v>
      </c>
      <c r="B513" s="44" t="s">
        <v>3802</v>
      </c>
      <c r="C513" s="36">
        <v>45867</v>
      </c>
      <c r="D513" s="37" t="s">
        <v>422</v>
      </c>
      <c r="E513" t="s">
        <v>4447</v>
      </c>
      <c r="F513" s="37" t="s">
        <v>3805</v>
      </c>
      <c r="G513" s="38">
        <v>39</v>
      </c>
      <c r="H513" s="38"/>
      <c r="I513" s="37"/>
    </row>
    <row r="514" spans="1:9" ht="14.5" x14ac:dyDescent="0.35">
      <c r="A514" s="142" t="s">
        <v>3799</v>
      </c>
      <c r="B514" s="44" t="s">
        <v>3802</v>
      </c>
      <c r="C514" s="36">
        <v>45867</v>
      </c>
      <c r="D514" s="37" t="s">
        <v>422</v>
      </c>
      <c r="E514" t="s">
        <v>4448</v>
      </c>
      <c r="F514" s="37" t="s">
        <v>3805</v>
      </c>
      <c r="G514" s="38">
        <v>32</v>
      </c>
      <c r="H514" s="38"/>
      <c r="I514" s="37"/>
    </row>
    <row r="515" spans="1:9" ht="14.5" x14ac:dyDescent="0.35">
      <c r="A515" s="142" t="s">
        <v>3799</v>
      </c>
      <c r="B515" s="44" t="s">
        <v>3802</v>
      </c>
      <c r="C515" s="36">
        <v>45867</v>
      </c>
      <c r="D515" s="37" t="s">
        <v>422</v>
      </c>
      <c r="E515" t="s">
        <v>4449</v>
      </c>
      <c r="F515" s="37" t="s">
        <v>3805</v>
      </c>
      <c r="G515" s="38">
        <v>39</v>
      </c>
      <c r="H515" s="38"/>
      <c r="I515" s="37"/>
    </row>
    <row r="516" spans="1:9" ht="14.5" x14ac:dyDescent="0.35">
      <c r="A516" s="142" t="s">
        <v>3799</v>
      </c>
      <c r="B516" s="44" t="s">
        <v>3802</v>
      </c>
      <c r="C516" s="36">
        <v>45867</v>
      </c>
      <c r="D516" s="37" t="s">
        <v>422</v>
      </c>
      <c r="E516" t="s">
        <v>4450</v>
      </c>
      <c r="F516" s="37" t="s">
        <v>3805</v>
      </c>
      <c r="G516" s="38">
        <v>40</v>
      </c>
      <c r="H516" s="38"/>
      <c r="I516" s="37"/>
    </row>
    <row r="517" spans="1:9" ht="14.5" x14ac:dyDescent="0.35">
      <c r="A517" s="142" t="s">
        <v>3799</v>
      </c>
      <c r="B517" s="44" t="s">
        <v>3802</v>
      </c>
      <c r="C517" s="36">
        <v>45867</v>
      </c>
      <c r="D517" s="37" t="s">
        <v>422</v>
      </c>
      <c r="E517" t="s">
        <v>4451</v>
      </c>
      <c r="F517" s="37" t="s">
        <v>3805</v>
      </c>
      <c r="G517" s="38">
        <v>77</v>
      </c>
      <c r="H517" s="38"/>
      <c r="I517" s="37"/>
    </row>
    <row r="518" spans="1:9" ht="14.5" x14ac:dyDescent="0.35">
      <c r="A518" s="142" t="s">
        <v>3799</v>
      </c>
      <c r="B518" s="44" t="s">
        <v>3802</v>
      </c>
      <c r="C518" s="36">
        <v>45867</v>
      </c>
      <c r="D518" s="37" t="s">
        <v>422</v>
      </c>
      <c r="E518" t="s">
        <v>4452</v>
      </c>
      <c r="F518" s="37" t="s">
        <v>3805</v>
      </c>
      <c r="G518" s="38">
        <v>34</v>
      </c>
      <c r="H518" s="38"/>
      <c r="I518" s="37"/>
    </row>
    <row r="519" spans="1:9" ht="14.5" x14ac:dyDescent="0.35">
      <c r="A519" s="142" t="s">
        <v>3799</v>
      </c>
      <c r="B519" s="44" t="s">
        <v>3802</v>
      </c>
      <c r="C519" s="36">
        <v>45867</v>
      </c>
      <c r="D519" s="37" t="s">
        <v>422</v>
      </c>
      <c r="E519" t="s">
        <v>4453</v>
      </c>
      <c r="F519" s="37" t="s">
        <v>3805</v>
      </c>
      <c r="G519" s="38">
        <v>32</v>
      </c>
      <c r="H519" s="38"/>
      <c r="I519" s="37"/>
    </row>
    <row r="520" spans="1:9" ht="14.5" x14ac:dyDescent="0.35">
      <c r="A520" s="142" t="s">
        <v>3799</v>
      </c>
      <c r="B520" s="44" t="s">
        <v>3802</v>
      </c>
      <c r="C520" s="36">
        <v>45867</v>
      </c>
      <c r="D520" s="37" t="s">
        <v>422</v>
      </c>
      <c r="E520" t="s">
        <v>4454</v>
      </c>
      <c r="F520" s="37" t="s">
        <v>3805</v>
      </c>
      <c r="G520" s="38">
        <v>43</v>
      </c>
      <c r="H520" s="38"/>
      <c r="I520" s="37"/>
    </row>
    <row r="521" spans="1:9" ht="14.5" x14ac:dyDescent="0.35">
      <c r="A521" s="142" t="s">
        <v>3799</v>
      </c>
      <c r="B521" s="44" t="s">
        <v>3802</v>
      </c>
      <c r="C521" s="36">
        <v>45867</v>
      </c>
      <c r="D521" s="37" t="s">
        <v>422</v>
      </c>
      <c r="E521" t="s">
        <v>4455</v>
      </c>
      <c r="F521" s="37" t="s">
        <v>3805</v>
      </c>
      <c r="G521" s="38">
        <v>44</v>
      </c>
      <c r="H521" s="38"/>
      <c r="I521" s="37"/>
    </row>
    <row r="522" spans="1:9" ht="14.5" x14ac:dyDescent="0.35">
      <c r="A522" s="142" t="s">
        <v>3799</v>
      </c>
      <c r="B522" s="44" t="s">
        <v>3802</v>
      </c>
      <c r="C522" s="36">
        <v>45867</v>
      </c>
      <c r="D522" s="37" t="s">
        <v>422</v>
      </c>
      <c r="E522" t="s">
        <v>4456</v>
      </c>
      <c r="F522" s="37" t="s">
        <v>3805</v>
      </c>
      <c r="G522" s="38">
        <v>33</v>
      </c>
      <c r="H522" s="38"/>
      <c r="I522" s="37"/>
    </row>
    <row r="523" spans="1:9" ht="14.5" x14ac:dyDescent="0.35">
      <c r="A523" s="142" t="s">
        <v>3799</v>
      </c>
      <c r="B523" s="44" t="s">
        <v>3802</v>
      </c>
      <c r="C523" s="36">
        <v>45867</v>
      </c>
      <c r="D523" s="37" t="s">
        <v>422</v>
      </c>
      <c r="E523" t="s">
        <v>4457</v>
      </c>
      <c r="F523" s="37" t="s">
        <v>3805</v>
      </c>
      <c r="G523" s="38">
        <v>43</v>
      </c>
      <c r="H523" s="38"/>
      <c r="I523" s="37"/>
    </row>
    <row r="524" spans="1:9" ht="14.5" x14ac:dyDescent="0.35">
      <c r="A524" s="142" t="s">
        <v>3799</v>
      </c>
      <c r="B524" s="44" t="s">
        <v>3802</v>
      </c>
      <c r="C524" s="36">
        <v>45867</v>
      </c>
      <c r="D524" s="37" t="s">
        <v>422</v>
      </c>
      <c r="E524" t="s">
        <v>4458</v>
      </c>
      <c r="F524" s="37" t="s">
        <v>3805</v>
      </c>
      <c r="G524" s="38">
        <v>65</v>
      </c>
      <c r="H524" s="38"/>
      <c r="I524" s="37"/>
    </row>
    <row r="525" spans="1:9" ht="14.5" x14ac:dyDescent="0.35">
      <c r="A525" s="142" t="s">
        <v>3799</v>
      </c>
      <c r="B525" s="44" t="s">
        <v>3802</v>
      </c>
      <c r="C525" s="36">
        <v>45867</v>
      </c>
      <c r="D525" s="37" t="s">
        <v>422</v>
      </c>
      <c r="E525" t="s">
        <v>4459</v>
      </c>
      <c r="F525" s="37" t="s">
        <v>3805</v>
      </c>
      <c r="G525" s="38">
        <v>39</v>
      </c>
      <c r="H525" s="38"/>
      <c r="I525" s="37"/>
    </row>
    <row r="526" spans="1:9" ht="14.5" x14ac:dyDescent="0.35">
      <c r="A526" s="142" t="s">
        <v>3799</v>
      </c>
      <c r="B526" s="44" t="s">
        <v>3802</v>
      </c>
      <c r="C526" s="36">
        <v>45867</v>
      </c>
      <c r="D526" s="37" t="s">
        <v>422</v>
      </c>
      <c r="E526" t="s">
        <v>4460</v>
      </c>
      <c r="F526" s="37" t="s">
        <v>3805</v>
      </c>
      <c r="G526" s="38">
        <v>85.999999999999986</v>
      </c>
      <c r="H526" s="38"/>
      <c r="I526" s="37"/>
    </row>
    <row r="527" spans="1:9" ht="14.5" x14ac:dyDescent="0.35">
      <c r="A527" s="142" t="s">
        <v>3799</v>
      </c>
      <c r="B527" s="44" t="s">
        <v>3802</v>
      </c>
      <c r="C527" s="36">
        <v>45867</v>
      </c>
      <c r="D527" s="37" t="s">
        <v>422</v>
      </c>
      <c r="E527" t="s">
        <v>4461</v>
      </c>
      <c r="F527" s="37" t="s">
        <v>3805</v>
      </c>
      <c r="G527" s="38">
        <v>39</v>
      </c>
      <c r="H527" s="38"/>
      <c r="I527" s="37"/>
    </row>
    <row r="528" spans="1:9" ht="14.5" x14ac:dyDescent="0.35">
      <c r="A528" s="142" t="s">
        <v>3799</v>
      </c>
      <c r="B528" s="44" t="s">
        <v>3802</v>
      </c>
      <c r="C528" s="36">
        <v>45867</v>
      </c>
      <c r="D528" s="37" t="s">
        <v>422</v>
      </c>
      <c r="E528" t="s">
        <v>4462</v>
      </c>
      <c r="F528" s="37" t="s">
        <v>3805</v>
      </c>
      <c r="G528" s="38">
        <v>35</v>
      </c>
      <c r="H528" s="38"/>
      <c r="I528" s="37"/>
    </row>
    <row r="529" spans="1:9" ht="14.5" x14ac:dyDescent="0.35">
      <c r="A529" s="142" t="s">
        <v>3799</v>
      </c>
      <c r="B529" s="44" t="s">
        <v>3802</v>
      </c>
      <c r="C529" s="36">
        <v>45867</v>
      </c>
      <c r="D529" s="37" t="s">
        <v>422</v>
      </c>
      <c r="E529" t="s">
        <v>4463</v>
      </c>
      <c r="F529" s="37" t="s">
        <v>3805</v>
      </c>
      <c r="G529" s="38">
        <v>64</v>
      </c>
      <c r="H529" s="38"/>
      <c r="I529" s="37"/>
    </row>
    <row r="530" spans="1:9" ht="14.5" x14ac:dyDescent="0.35">
      <c r="A530" s="142" t="s">
        <v>3799</v>
      </c>
      <c r="B530" s="44" t="s">
        <v>3802</v>
      </c>
      <c r="C530" s="36">
        <v>45867</v>
      </c>
      <c r="D530" s="37" t="s">
        <v>422</v>
      </c>
      <c r="E530" t="s">
        <v>4464</v>
      </c>
      <c r="F530" s="37" t="s">
        <v>3805</v>
      </c>
      <c r="G530" s="38">
        <v>177</v>
      </c>
      <c r="H530" s="38"/>
      <c r="I530" s="37"/>
    </row>
    <row r="531" spans="1:9" ht="14.5" x14ac:dyDescent="0.35">
      <c r="A531" s="142" t="s">
        <v>3799</v>
      </c>
      <c r="B531" s="44" t="s">
        <v>3802</v>
      </c>
      <c r="C531" s="36">
        <v>45867</v>
      </c>
      <c r="D531" s="37" t="s">
        <v>882</v>
      </c>
      <c r="E531" t="s">
        <v>4465</v>
      </c>
      <c r="F531" s="37" t="s">
        <v>3805</v>
      </c>
      <c r="G531" s="38">
        <v>116</v>
      </c>
      <c r="H531" s="38"/>
      <c r="I531" s="37"/>
    </row>
    <row r="532" spans="1:9" ht="14.5" x14ac:dyDescent="0.35">
      <c r="A532" s="142" t="s">
        <v>3799</v>
      </c>
      <c r="B532" s="44" t="s">
        <v>3802</v>
      </c>
      <c r="C532" s="36">
        <v>45867</v>
      </c>
      <c r="D532" s="37" t="s">
        <v>422</v>
      </c>
      <c r="E532" t="s">
        <v>4466</v>
      </c>
      <c r="F532" s="37" t="s">
        <v>3805</v>
      </c>
      <c r="G532" s="38">
        <v>77</v>
      </c>
      <c r="H532" s="38"/>
      <c r="I532" s="37"/>
    </row>
    <row r="533" spans="1:9" ht="14.5" x14ac:dyDescent="0.35">
      <c r="A533" s="142" t="s">
        <v>3799</v>
      </c>
      <c r="B533" s="44" t="s">
        <v>3802</v>
      </c>
      <c r="C533" s="36">
        <v>45867</v>
      </c>
      <c r="D533" s="37" t="s">
        <v>422</v>
      </c>
      <c r="E533" t="s">
        <v>4467</v>
      </c>
      <c r="F533" s="37" t="s">
        <v>3805</v>
      </c>
      <c r="G533" s="38">
        <v>33</v>
      </c>
      <c r="H533" s="38"/>
      <c r="I533" s="37"/>
    </row>
    <row r="534" spans="1:9" ht="14.5" x14ac:dyDescent="0.35">
      <c r="A534" s="142" t="s">
        <v>3799</v>
      </c>
      <c r="B534" s="44" t="s">
        <v>3802</v>
      </c>
      <c r="C534" s="36">
        <v>45867</v>
      </c>
      <c r="D534" s="37" t="s">
        <v>422</v>
      </c>
      <c r="E534" t="s">
        <v>4468</v>
      </c>
      <c r="F534" s="37" t="s">
        <v>3805</v>
      </c>
      <c r="G534" s="38">
        <v>64</v>
      </c>
      <c r="H534" s="38"/>
      <c r="I534" s="37"/>
    </row>
    <row r="535" spans="1:9" ht="14.5" x14ac:dyDescent="0.35">
      <c r="A535" s="142" t="s">
        <v>3799</v>
      </c>
      <c r="B535" s="44" t="s">
        <v>3802</v>
      </c>
      <c r="C535" s="36">
        <v>45867</v>
      </c>
      <c r="D535" s="37" t="s">
        <v>422</v>
      </c>
      <c r="E535" t="s">
        <v>4469</v>
      </c>
      <c r="F535" s="37" t="s">
        <v>3805</v>
      </c>
      <c r="G535" s="38">
        <v>39</v>
      </c>
      <c r="H535" s="38"/>
      <c r="I535" s="37"/>
    </row>
    <row r="536" spans="1:9" ht="14.5" x14ac:dyDescent="0.35">
      <c r="A536" s="142" t="s">
        <v>3799</v>
      </c>
      <c r="B536" s="44" t="s">
        <v>3802</v>
      </c>
      <c r="C536" s="36">
        <v>45867</v>
      </c>
      <c r="D536" s="37" t="s">
        <v>422</v>
      </c>
      <c r="E536" t="s">
        <v>4470</v>
      </c>
      <c r="F536" s="37" t="s">
        <v>3805</v>
      </c>
      <c r="G536" s="38">
        <v>39</v>
      </c>
      <c r="H536" s="38"/>
      <c r="I536" s="37"/>
    </row>
    <row r="537" spans="1:9" ht="14.5" x14ac:dyDescent="0.35">
      <c r="A537" s="142" t="s">
        <v>3799</v>
      </c>
      <c r="B537" s="44" t="s">
        <v>3802</v>
      </c>
      <c r="C537" s="36">
        <v>45867</v>
      </c>
      <c r="D537" s="37" t="s">
        <v>422</v>
      </c>
      <c r="E537" t="s">
        <v>4471</v>
      </c>
      <c r="F537" s="37" t="s">
        <v>3805</v>
      </c>
      <c r="G537" s="38">
        <v>154</v>
      </c>
      <c r="H537" s="38"/>
      <c r="I537" s="37"/>
    </row>
    <row r="538" spans="1:9" ht="14.5" x14ac:dyDescent="0.35">
      <c r="A538" s="142" t="s">
        <v>3799</v>
      </c>
      <c r="B538" s="44" t="s">
        <v>3802</v>
      </c>
      <c r="C538" s="36">
        <v>45867</v>
      </c>
      <c r="D538" s="37" t="s">
        <v>66</v>
      </c>
      <c r="E538" t="s">
        <v>4472</v>
      </c>
      <c r="F538" s="37" t="s">
        <v>3805</v>
      </c>
      <c r="G538" s="38">
        <v>162</v>
      </c>
      <c r="H538" s="38"/>
      <c r="I538" s="37"/>
    </row>
    <row r="539" spans="1:9" ht="14.5" x14ac:dyDescent="0.35">
      <c r="A539" s="142" t="s">
        <v>3799</v>
      </c>
      <c r="B539" s="44" t="s">
        <v>3802</v>
      </c>
      <c r="C539" s="36">
        <v>45867</v>
      </c>
      <c r="D539" s="37" t="s">
        <v>422</v>
      </c>
      <c r="E539" t="s">
        <v>4473</v>
      </c>
      <c r="F539" s="37" t="s">
        <v>3805</v>
      </c>
      <c r="G539" s="38">
        <v>65</v>
      </c>
      <c r="H539" s="38"/>
      <c r="I539" s="37"/>
    </row>
    <row r="540" spans="1:9" ht="14.5" x14ac:dyDescent="0.35">
      <c r="A540" s="142" t="s">
        <v>3799</v>
      </c>
      <c r="B540" s="44" t="s">
        <v>3802</v>
      </c>
      <c r="C540" s="36">
        <v>45867</v>
      </c>
      <c r="D540" s="37" t="s">
        <v>422</v>
      </c>
      <c r="E540" t="s">
        <v>4474</v>
      </c>
      <c r="F540" s="37" t="s">
        <v>3805</v>
      </c>
      <c r="G540" s="38">
        <v>32</v>
      </c>
      <c r="H540" s="38"/>
      <c r="I540" s="37"/>
    </row>
    <row r="541" spans="1:9" ht="14.5" x14ac:dyDescent="0.35">
      <c r="A541" s="142" t="s">
        <v>3799</v>
      </c>
      <c r="B541" s="44" t="s">
        <v>3802</v>
      </c>
      <c r="C541" s="36">
        <v>45867</v>
      </c>
      <c r="D541" s="37" t="s">
        <v>422</v>
      </c>
      <c r="E541" t="s">
        <v>4475</v>
      </c>
      <c r="F541" s="37" t="s">
        <v>3805</v>
      </c>
      <c r="G541" s="38">
        <v>64</v>
      </c>
      <c r="H541" s="38"/>
      <c r="I541" s="37"/>
    </row>
    <row r="542" spans="1:9" ht="14.5" x14ac:dyDescent="0.35">
      <c r="A542" s="142" t="s">
        <v>3799</v>
      </c>
      <c r="B542" s="44" t="s">
        <v>3802</v>
      </c>
      <c r="C542" s="36">
        <v>45867</v>
      </c>
      <c r="D542" s="37" t="s">
        <v>422</v>
      </c>
      <c r="E542" t="s">
        <v>4476</v>
      </c>
      <c r="F542" s="37" t="s">
        <v>3805</v>
      </c>
      <c r="G542" s="38">
        <v>33</v>
      </c>
      <c r="H542" s="38"/>
      <c r="I542" s="37"/>
    </row>
    <row r="543" spans="1:9" ht="14.5" x14ac:dyDescent="0.35">
      <c r="A543" s="142" t="s">
        <v>3799</v>
      </c>
      <c r="B543" s="44" t="s">
        <v>3802</v>
      </c>
      <c r="C543" s="36">
        <v>45867</v>
      </c>
      <c r="D543" s="37" t="s">
        <v>422</v>
      </c>
      <c r="E543" t="s">
        <v>4477</v>
      </c>
      <c r="F543" s="37" t="s">
        <v>3805</v>
      </c>
      <c r="G543" s="38">
        <v>104</v>
      </c>
      <c r="H543" s="38"/>
      <c r="I543" s="37"/>
    </row>
    <row r="544" spans="1:9" ht="14.5" x14ac:dyDescent="0.35">
      <c r="A544" s="142" t="s">
        <v>3799</v>
      </c>
      <c r="B544" s="44" t="s">
        <v>3802</v>
      </c>
      <c r="C544" s="36">
        <v>45867</v>
      </c>
      <c r="D544" s="37" t="s">
        <v>66</v>
      </c>
      <c r="E544" t="s">
        <v>4478</v>
      </c>
      <c r="F544" s="37" t="s">
        <v>3805</v>
      </c>
      <c r="G544" s="38">
        <v>162</v>
      </c>
      <c r="H544" s="38"/>
      <c r="I544" s="37"/>
    </row>
    <row r="545" spans="1:9" ht="14.5" x14ac:dyDescent="0.35">
      <c r="A545" s="142" t="s">
        <v>3799</v>
      </c>
      <c r="B545" s="44" t="s">
        <v>3802</v>
      </c>
      <c r="C545" s="36">
        <v>45867</v>
      </c>
      <c r="D545" s="37" t="s">
        <v>422</v>
      </c>
      <c r="E545" t="s">
        <v>4479</v>
      </c>
      <c r="F545" s="37" t="s">
        <v>3805</v>
      </c>
      <c r="G545" s="38">
        <v>39</v>
      </c>
      <c r="H545" s="38"/>
      <c r="I545" s="37"/>
    </row>
    <row r="546" spans="1:9" ht="14.5" x14ac:dyDescent="0.35">
      <c r="A546" s="142" t="s">
        <v>3799</v>
      </c>
      <c r="B546" s="44" t="s">
        <v>3802</v>
      </c>
      <c r="C546" s="36">
        <v>45867</v>
      </c>
      <c r="D546" s="37" t="s">
        <v>422</v>
      </c>
      <c r="E546" t="s">
        <v>4480</v>
      </c>
      <c r="F546" s="37" t="s">
        <v>3805</v>
      </c>
      <c r="G546" s="38">
        <v>68</v>
      </c>
      <c r="H546" s="38"/>
      <c r="I546" s="37"/>
    </row>
    <row r="547" spans="1:9" ht="14.5" x14ac:dyDescent="0.35">
      <c r="A547" s="142" t="s">
        <v>3799</v>
      </c>
      <c r="B547" s="44" t="s">
        <v>3802</v>
      </c>
      <c r="C547" s="36">
        <v>45867</v>
      </c>
      <c r="D547" s="37" t="s">
        <v>422</v>
      </c>
      <c r="E547" t="s">
        <v>4481</v>
      </c>
      <c r="F547" s="37" t="s">
        <v>3805</v>
      </c>
      <c r="G547" s="38">
        <v>40</v>
      </c>
      <c r="H547" s="38"/>
      <c r="I547" s="37"/>
    </row>
    <row r="548" spans="1:9" ht="14.5" x14ac:dyDescent="0.35">
      <c r="A548" s="142" t="s">
        <v>3799</v>
      </c>
      <c r="B548" s="44" t="s">
        <v>3802</v>
      </c>
      <c r="C548" s="36">
        <v>45867</v>
      </c>
      <c r="D548" s="37" t="s">
        <v>422</v>
      </c>
      <c r="E548" t="s">
        <v>4482</v>
      </c>
      <c r="F548" s="37" t="s">
        <v>3805</v>
      </c>
      <c r="G548" s="38">
        <v>35</v>
      </c>
      <c r="H548" s="38"/>
      <c r="I548" s="37"/>
    </row>
    <row r="549" spans="1:9" ht="14.5" x14ac:dyDescent="0.35">
      <c r="A549" s="142" t="s">
        <v>3799</v>
      </c>
      <c r="B549" s="44" t="s">
        <v>3802</v>
      </c>
      <c r="C549" s="36">
        <v>45867</v>
      </c>
      <c r="D549" s="37" t="s">
        <v>422</v>
      </c>
      <c r="E549" t="s">
        <v>4483</v>
      </c>
      <c r="F549" s="37" t="s">
        <v>3805</v>
      </c>
      <c r="G549" s="38">
        <v>32</v>
      </c>
      <c r="H549" s="38"/>
      <c r="I549" s="37"/>
    </row>
    <row r="550" spans="1:9" ht="14.5" x14ac:dyDescent="0.35">
      <c r="A550" s="142" t="s">
        <v>3799</v>
      </c>
      <c r="B550" s="44" t="s">
        <v>3802</v>
      </c>
      <c r="C550" s="36">
        <v>45867</v>
      </c>
      <c r="D550" s="37" t="s">
        <v>422</v>
      </c>
      <c r="E550" t="s">
        <v>4484</v>
      </c>
      <c r="F550" s="37" t="s">
        <v>3805</v>
      </c>
      <c r="G550" s="38">
        <v>44</v>
      </c>
      <c r="H550" s="38"/>
      <c r="I550" s="37"/>
    </row>
    <row r="551" spans="1:9" ht="14.5" x14ac:dyDescent="0.35">
      <c r="A551" s="142" t="s">
        <v>3799</v>
      </c>
      <c r="B551" s="44" t="s">
        <v>3802</v>
      </c>
      <c r="C551" s="36">
        <v>45867</v>
      </c>
      <c r="D551" s="37" t="s">
        <v>422</v>
      </c>
      <c r="E551" t="s">
        <v>4485</v>
      </c>
      <c r="F551" s="37" t="s">
        <v>3805</v>
      </c>
      <c r="G551" s="38">
        <v>34</v>
      </c>
      <c r="H551" s="38"/>
      <c r="I551" s="37"/>
    </row>
    <row r="552" spans="1:9" ht="14.5" x14ac:dyDescent="0.35">
      <c r="A552" s="142" t="s">
        <v>3799</v>
      </c>
      <c r="B552" s="44" t="s">
        <v>3802</v>
      </c>
      <c r="C552" s="36">
        <v>45867</v>
      </c>
      <c r="D552" s="37" t="s">
        <v>422</v>
      </c>
      <c r="E552" t="s">
        <v>4486</v>
      </c>
      <c r="F552" s="37" t="s">
        <v>3805</v>
      </c>
      <c r="G552" s="38">
        <v>43</v>
      </c>
      <c r="H552" s="38"/>
      <c r="I552" s="37"/>
    </row>
    <row r="553" spans="1:9" ht="14.5" x14ac:dyDescent="0.35">
      <c r="A553" s="142" t="s">
        <v>3799</v>
      </c>
      <c r="B553" s="44" t="s">
        <v>3802</v>
      </c>
      <c r="C553" s="36">
        <v>45867</v>
      </c>
      <c r="D553" s="37" t="s">
        <v>422</v>
      </c>
      <c r="E553" t="s">
        <v>4487</v>
      </c>
      <c r="F553" s="37" t="s">
        <v>3805</v>
      </c>
      <c r="G553" s="38">
        <v>34</v>
      </c>
      <c r="H553" s="38"/>
      <c r="I553" s="37"/>
    </row>
    <row r="554" spans="1:9" ht="14.5" x14ac:dyDescent="0.35">
      <c r="A554" s="142" t="s">
        <v>3799</v>
      </c>
      <c r="B554" s="44" t="s">
        <v>3802</v>
      </c>
      <c r="C554" s="36">
        <v>45867</v>
      </c>
      <c r="D554" s="37" t="s">
        <v>66</v>
      </c>
      <c r="E554" t="s">
        <v>4488</v>
      </c>
      <c r="F554" s="37" t="s">
        <v>3805</v>
      </c>
      <c r="G554" s="38">
        <v>243.00000000000003</v>
      </c>
      <c r="H554" s="38"/>
      <c r="I554" s="37"/>
    </row>
    <row r="555" spans="1:9" ht="14.5" x14ac:dyDescent="0.35">
      <c r="A555" s="142" t="s">
        <v>3799</v>
      </c>
      <c r="B555" s="44" t="s">
        <v>3802</v>
      </c>
      <c r="C555" s="36">
        <v>45867</v>
      </c>
      <c r="D555" s="37" t="s">
        <v>66</v>
      </c>
      <c r="E555" t="s">
        <v>4489</v>
      </c>
      <c r="F555" s="37" t="s">
        <v>3805</v>
      </c>
      <c r="G555" s="38">
        <v>81</v>
      </c>
      <c r="H555" s="38"/>
      <c r="I555" s="37"/>
    </row>
    <row r="556" spans="1:9" ht="14.5" x14ac:dyDescent="0.35">
      <c r="A556" s="142" t="s">
        <v>3799</v>
      </c>
      <c r="B556" s="44" t="s">
        <v>3802</v>
      </c>
      <c r="C556" s="36">
        <v>45867</v>
      </c>
      <c r="D556" s="37" t="s">
        <v>819</v>
      </c>
      <c r="E556" t="s">
        <v>4490</v>
      </c>
      <c r="F556" s="37" t="s">
        <v>3805</v>
      </c>
      <c r="G556" s="38">
        <v>650</v>
      </c>
      <c r="H556" s="38"/>
      <c r="I556" s="37"/>
    </row>
    <row r="557" spans="1:9" ht="14.5" x14ac:dyDescent="0.35">
      <c r="A557" s="142" t="s">
        <v>3799</v>
      </c>
      <c r="B557" s="44" t="s">
        <v>3802</v>
      </c>
      <c r="C557" s="36">
        <v>45867</v>
      </c>
      <c r="D557" s="37" t="s">
        <v>422</v>
      </c>
      <c r="E557" t="s">
        <v>4491</v>
      </c>
      <c r="F557" s="37" t="s">
        <v>3805</v>
      </c>
      <c r="G557" s="38">
        <v>34</v>
      </c>
      <c r="H557" s="38"/>
      <c r="I557" s="37"/>
    </row>
    <row r="558" spans="1:9" ht="14.5" x14ac:dyDescent="0.35">
      <c r="A558" s="142" t="s">
        <v>3799</v>
      </c>
      <c r="B558" s="44" t="s">
        <v>3802</v>
      </c>
      <c r="C558" s="36">
        <v>45867</v>
      </c>
      <c r="D558" s="37" t="s">
        <v>422</v>
      </c>
      <c r="E558" t="s">
        <v>4492</v>
      </c>
      <c r="F558" s="37" t="s">
        <v>3805</v>
      </c>
      <c r="G558" s="38">
        <v>34</v>
      </c>
      <c r="H558" s="38"/>
      <c r="I558" s="37"/>
    </row>
    <row r="559" spans="1:9" ht="14.5" x14ac:dyDescent="0.35">
      <c r="A559" s="142" t="s">
        <v>3799</v>
      </c>
      <c r="B559" s="44" t="s">
        <v>3802</v>
      </c>
      <c r="C559" s="36">
        <v>45867</v>
      </c>
      <c r="D559" s="37" t="s">
        <v>422</v>
      </c>
      <c r="E559" t="s">
        <v>4493</v>
      </c>
      <c r="F559" s="37" t="s">
        <v>3805</v>
      </c>
      <c r="G559" s="38">
        <v>34</v>
      </c>
      <c r="H559" s="38"/>
      <c r="I559" s="37"/>
    </row>
    <row r="560" spans="1:9" ht="14.5" x14ac:dyDescent="0.35">
      <c r="A560" s="142" t="s">
        <v>3799</v>
      </c>
      <c r="B560" s="44" t="s">
        <v>3802</v>
      </c>
      <c r="C560" s="36">
        <v>45867</v>
      </c>
      <c r="D560" s="37" t="s">
        <v>422</v>
      </c>
      <c r="E560" t="s">
        <v>4494</v>
      </c>
      <c r="F560" s="37" t="s">
        <v>3805</v>
      </c>
      <c r="G560" s="38">
        <v>39</v>
      </c>
      <c r="H560" s="38"/>
      <c r="I560" s="37"/>
    </row>
    <row r="561" spans="1:9" ht="14.5" x14ac:dyDescent="0.35">
      <c r="A561" s="142" t="s">
        <v>3799</v>
      </c>
      <c r="B561" s="44" t="s">
        <v>3802</v>
      </c>
      <c r="C561" s="36">
        <v>45867</v>
      </c>
      <c r="D561" s="37" t="s">
        <v>422</v>
      </c>
      <c r="E561" t="s">
        <v>4495</v>
      </c>
      <c r="F561" s="37" t="s">
        <v>3805</v>
      </c>
      <c r="G561" s="38">
        <v>32.000000000000007</v>
      </c>
      <c r="H561" s="38"/>
      <c r="I561" s="37"/>
    </row>
    <row r="562" spans="1:9" ht="14.5" x14ac:dyDescent="0.35">
      <c r="A562" s="142" t="s">
        <v>3799</v>
      </c>
      <c r="B562" s="44" t="s">
        <v>3802</v>
      </c>
      <c r="C562" s="36">
        <v>45867</v>
      </c>
      <c r="D562" s="37" t="s">
        <v>422</v>
      </c>
      <c r="E562" t="s">
        <v>4496</v>
      </c>
      <c r="F562" s="37" t="s">
        <v>3805</v>
      </c>
      <c r="G562" s="38">
        <v>43</v>
      </c>
      <c r="H562" s="38"/>
      <c r="I562" s="37"/>
    </row>
    <row r="563" spans="1:9" ht="14.5" x14ac:dyDescent="0.35">
      <c r="A563" s="142" t="s">
        <v>3799</v>
      </c>
      <c r="B563" s="44" t="s">
        <v>3802</v>
      </c>
      <c r="C563" s="36">
        <v>45867</v>
      </c>
      <c r="D563" s="37" t="s">
        <v>422</v>
      </c>
      <c r="E563" t="s">
        <v>4497</v>
      </c>
      <c r="F563" s="37" t="s">
        <v>3805</v>
      </c>
      <c r="G563" s="38">
        <v>33</v>
      </c>
      <c r="H563" s="38"/>
      <c r="I563" s="37"/>
    </row>
    <row r="564" spans="1:9" ht="14.5" x14ac:dyDescent="0.35">
      <c r="A564" s="142" t="s">
        <v>3799</v>
      </c>
      <c r="B564" s="44" t="s">
        <v>3802</v>
      </c>
      <c r="C564" s="36">
        <v>45867</v>
      </c>
      <c r="D564" s="37" t="s">
        <v>422</v>
      </c>
      <c r="E564" t="s">
        <v>4498</v>
      </c>
      <c r="F564" s="37" t="s">
        <v>3805</v>
      </c>
      <c r="G564" s="38">
        <v>68</v>
      </c>
      <c r="H564" s="38"/>
      <c r="I564" s="37"/>
    </row>
    <row r="565" spans="1:9" ht="14.5" x14ac:dyDescent="0.35">
      <c r="A565" s="142" t="s">
        <v>3799</v>
      </c>
      <c r="B565" s="44" t="s">
        <v>3802</v>
      </c>
      <c r="C565" s="36">
        <v>45867</v>
      </c>
      <c r="D565" s="37" t="s">
        <v>17</v>
      </c>
      <c r="E565" t="s">
        <v>4499</v>
      </c>
      <c r="F565" s="37" t="s">
        <v>3805</v>
      </c>
      <c r="G565" s="38">
        <v>2710</v>
      </c>
      <c r="H565" s="38"/>
      <c r="I565" s="37"/>
    </row>
    <row r="566" spans="1:9" ht="14.5" x14ac:dyDescent="0.35">
      <c r="A566" s="142" t="s">
        <v>3799</v>
      </c>
      <c r="B566" s="44" t="s">
        <v>3802</v>
      </c>
      <c r="C566" s="36">
        <v>45867</v>
      </c>
      <c r="D566" s="37" t="s">
        <v>422</v>
      </c>
      <c r="E566" t="s">
        <v>4500</v>
      </c>
      <c r="F566" s="37" t="s">
        <v>3805</v>
      </c>
      <c r="G566" s="38">
        <v>43</v>
      </c>
      <c r="H566" s="38"/>
      <c r="I566" s="37"/>
    </row>
    <row r="567" spans="1:9" ht="14.5" x14ac:dyDescent="0.35">
      <c r="A567" s="142" t="s">
        <v>3799</v>
      </c>
      <c r="B567" s="44" t="s">
        <v>3802</v>
      </c>
      <c r="C567" s="36">
        <v>45867</v>
      </c>
      <c r="D567" s="37" t="s">
        <v>422</v>
      </c>
      <c r="E567" t="s">
        <v>4501</v>
      </c>
      <c r="F567" s="37" t="s">
        <v>3805</v>
      </c>
      <c r="G567" s="38">
        <v>34</v>
      </c>
      <c r="H567" s="38"/>
      <c r="I567" s="37"/>
    </row>
    <row r="568" spans="1:9" ht="14.5" x14ac:dyDescent="0.35">
      <c r="A568" s="142" t="s">
        <v>3799</v>
      </c>
      <c r="B568" s="44" t="s">
        <v>3802</v>
      </c>
      <c r="C568" s="36">
        <v>45867</v>
      </c>
      <c r="D568" s="37" t="s">
        <v>933</v>
      </c>
      <c r="E568" t="s">
        <v>4502</v>
      </c>
      <c r="F568" s="37" t="s">
        <v>3805</v>
      </c>
      <c r="G568" s="38">
        <v>1499.9999999999998</v>
      </c>
      <c r="H568" s="38"/>
      <c r="I568" s="37"/>
    </row>
    <row r="569" spans="1:9" ht="14.5" x14ac:dyDescent="0.35">
      <c r="A569" s="142" t="s">
        <v>3799</v>
      </c>
      <c r="B569" s="44" t="s">
        <v>3802</v>
      </c>
      <c r="C569" s="36">
        <v>45867</v>
      </c>
      <c r="D569" s="37" t="s">
        <v>422</v>
      </c>
      <c r="E569" t="s">
        <v>4503</v>
      </c>
      <c r="F569" s="37" t="s">
        <v>3805</v>
      </c>
      <c r="G569" s="38">
        <v>39</v>
      </c>
      <c r="H569" s="38"/>
      <c r="I569" s="37"/>
    </row>
    <row r="570" spans="1:9" ht="14.5" x14ac:dyDescent="0.35">
      <c r="A570" s="142" t="s">
        <v>3799</v>
      </c>
      <c r="B570" s="44" t="s">
        <v>3802</v>
      </c>
      <c r="C570" s="36">
        <v>45867</v>
      </c>
      <c r="D570" s="37" t="s">
        <v>17</v>
      </c>
      <c r="E570" t="s">
        <v>4504</v>
      </c>
      <c r="F570" s="37" t="s">
        <v>3805</v>
      </c>
      <c r="G570" s="38">
        <v>970</v>
      </c>
      <c r="H570" s="38"/>
      <c r="I570" s="37"/>
    </row>
    <row r="571" spans="1:9" ht="14.5" x14ac:dyDescent="0.35">
      <c r="A571" s="142" t="s">
        <v>3799</v>
      </c>
      <c r="B571" s="44" t="s">
        <v>3802</v>
      </c>
      <c r="C571" s="36">
        <v>45867</v>
      </c>
      <c r="D571" s="37" t="s">
        <v>422</v>
      </c>
      <c r="E571" t="s">
        <v>4505</v>
      </c>
      <c r="F571" s="37" t="s">
        <v>3805</v>
      </c>
      <c r="G571" s="38">
        <v>64.000000000000014</v>
      </c>
      <c r="H571" s="38"/>
      <c r="I571" s="37"/>
    </row>
    <row r="572" spans="1:9" ht="14.5" x14ac:dyDescent="0.35">
      <c r="A572" s="142" t="s">
        <v>3799</v>
      </c>
      <c r="B572" s="44" t="s">
        <v>3802</v>
      </c>
      <c r="C572" s="36">
        <v>45867</v>
      </c>
      <c r="D572" s="37" t="s">
        <v>422</v>
      </c>
      <c r="E572" t="s">
        <v>4506</v>
      </c>
      <c r="F572" s="37" t="s">
        <v>3805</v>
      </c>
      <c r="G572" s="38">
        <v>110</v>
      </c>
      <c r="H572" s="38"/>
      <c r="I572" s="37"/>
    </row>
    <row r="573" spans="1:9" ht="14.5" x14ac:dyDescent="0.35">
      <c r="A573" s="142" t="s">
        <v>3799</v>
      </c>
      <c r="B573" s="44" t="s">
        <v>3802</v>
      </c>
      <c r="C573" s="36">
        <v>45867</v>
      </c>
      <c r="D573" s="37" t="s">
        <v>422</v>
      </c>
      <c r="E573" t="s">
        <v>4507</v>
      </c>
      <c r="F573" s="37" t="s">
        <v>3805</v>
      </c>
      <c r="G573" s="38">
        <v>35</v>
      </c>
      <c r="H573" s="38"/>
      <c r="I573" s="37"/>
    </row>
    <row r="574" spans="1:9" ht="14.5" x14ac:dyDescent="0.35">
      <c r="A574" s="142" t="s">
        <v>3799</v>
      </c>
      <c r="B574" s="44" t="s">
        <v>3802</v>
      </c>
      <c r="C574" s="36">
        <v>45867</v>
      </c>
      <c r="D574" s="37" t="s">
        <v>422</v>
      </c>
      <c r="E574" t="s">
        <v>4508</v>
      </c>
      <c r="F574" s="37" t="s">
        <v>3805</v>
      </c>
      <c r="G574" s="38">
        <v>34</v>
      </c>
      <c r="H574" s="38"/>
      <c r="I574" s="37"/>
    </row>
    <row r="575" spans="1:9" ht="14.5" x14ac:dyDescent="0.35">
      <c r="A575" s="142" t="s">
        <v>3799</v>
      </c>
      <c r="B575" s="44" t="s">
        <v>3802</v>
      </c>
      <c r="C575" s="36">
        <v>45867</v>
      </c>
      <c r="D575" s="37" t="s">
        <v>34</v>
      </c>
      <c r="E575" t="s">
        <v>4509</v>
      </c>
      <c r="F575" s="37" t="s">
        <v>3805</v>
      </c>
      <c r="G575" s="38">
        <v>770</v>
      </c>
      <c r="H575" s="38"/>
      <c r="I575" s="37"/>
    </row>
    <row r="576" spans="1:9" ht="14.5" x14ac:dyDescent="0.35">
      <c r="A576" s="142" t="s">
        <v>3799</v>
      </c>
      <c r="B576" s="44" t="s">
        <v>3802</v>
      </c>
      <c r="C576" s="36">
        <v>45867</v>
      </c>
      <c r="D576" s="37" t="s">
        <v>422</v>
      </c>
      <c r="E576" t="s">
        <v>4510</v>
      </c>
      <c r="F576" s="37" t="s">
        <v>3805</v>
      </c>
      <c r="G576" s="38">
        <v>43</v>
      </c>
      <c r="H576" s="38"/>
      <c r="I576" s="37"/>
    </row>
    <row r="577" spans="1:9" ht="14.5" x14ac:dyDescent="0.35">
      <c r="A577" s="142" t="s">
        <v>3799</v>
      </c>
      <c r="B577" s="44" t="s">
        <v>3802</v>
      </c>
      <c r="C577" s="36">
        <v>45867</v>
      </c>
      <c r="D577" s="37" t="s">
        <v>66</v>
      </c>
      <c r="E577" t="s">
        <v>4511</v>
      </c>
      <c r="F577" s="37" t="s">
        <v>3805</v>
      </c>
      <c r="G577" s="38">
        <v>81</v>
      </c>
      <c r="H577" s="38"/>
      <c r="I577" s="37"/>
    </row>
    <row r="578" spans="1:9" ht="14.5" x14ac:dyDescent="0.35">
      <c r="A578" s="142" t="s">
        <v>3799</v>
      </c>
      <c r="B578" s="44" t="s">
        <v>3802</v>
      </c>
      <c r="C578" s="36">
        <v>45867</v>
      </c>
      <c r="D578" s="37" t="s">
        <v>422</v>
      </c>
      <c r="E578" t="s">
        <v>4512</v>
      </c>
      <c r="F578" s="37" t="s">
        <v>3805</v>
      </c>
      <c r="G578" s="38">
        <v>32</v>
      </c>
      <c r="H578" s="38"/>
      <c r="I578" s="37"/>
    </row>
    <row r="579" spans="1:9" ht="14.5" x14ac:dyDescent="0.35">
      <c r="A579" s="142" t="s">
        <v>3799</v>
      </c>
      <c r="B579" s="44" t="s">
        <v>3802</v>
      </c>
      <c r="C579" s="36">
        <v>45867</v>
      </c>
      <c r="D579" s="37" t="s">
        <v>422</v>
      </c>
      <c r="E579" t="s">
        <v>4513</v>
      </c>
      <c r="F579" s="37" t="s">
        <v>3805</v>
      </c>
      <c r="G579" s="38">
        <v>43</v>
      </c>
      <c r="H579" s="38"/>
      <c r="I579" s="37"/>
    </row>
    <row r="580" spans="1:9" ht="14.5" x14ac:dyDescent="0.35">
      <c r="A580" s="142" t="s">
        <v>3799</v>
      </c>
      <c r="B580" s="44" t="s">
        <v>3802</v>
      </c>
      <c r="C580" s="36">
        <v>45867</v>
      </c>
      <c r="D580" s="37" t="s">
        <v>422</v>
      </c>
      <c r="E580" t="s">
        <v>4514</v>
      </c>
      <c r="F580" s="37" t="s">
        <v>3805</v>
      </c>
      <c r="G580" s="38">
        <v>43</v>
      </c>
      <c r="H580" s="38"/>
      <c r="I580" s="37"/>
    </row>
    <row r="581" spans="1:9" ht="14.5" x14ac:dyDescent="0.35">
      <c r="A581" s="142" t="s">
        <v>3799</v>
      </c>
      <c r="B581" s="44" t="s">
        <v>3802</v>
      </c>
      <c r="C581" s="36">
        <v>45867</v>
      </c>
      <c r="D581" s="37" t="s">
        <v>422</v>
      </c>
      <c r="E581" t="s">
        <v>4515</v>
      </c>
      <c r="F581" s="37" t="s">
        <v>3805</v>
      </c>
      <c r="G581" s="38">
        <v>34</v>
      </c>
      <c r="H581" s="38"/>
      <c r="I581" s="37"/>
    </row>
    <row r="582" spans="1:9" ht="14.5" x14ac:dyDescent="0.35">
      <c r="A582" s="142" t="s">
        <v>3799</v>
      </c>
      <c r="B582" s="44" t="s">
        <v>3802</v>
      </c>
      <c r="C582" s="36">
        <v>45867</v>
      </c>
      <c r="D582" s="37" t="s">
        <v>422</v>
      </c>
      <c r="E582" t="s">
        <v>4516</v>
      </c>
      <c r="F582" s="37" t="s">
        <v>3805</v>
      </c>
      <c r="G582" s="38">
        <v>33</v>
      </c>
      <c r="H582" s="38"/>
      <c r="I582" s="37"/>
    </row>
    <row r="583" spans="1:9" ht="14.5" x14ac:dyDescent="0.35">
      <c r="A583" s="142" t="s">
        <v>3799</v>
      </c>
      <c r="B583" s="44" t="s">
        <v>3802</v>
      </c>
      <c r="C583" s="36">
        <v>45867</v>
      </c>
      <c r="D583" s="37" t="s">
        <v>422</v>
      </c>
      <c r="E583" t="s">
        <v>4517</v>
      </c>
      <c r="F583" s="37" t="s">
        <v>3805</v>
      </c>
      <c r="G583" s="38">
        <v>63.999999999999993</v>
      </c>
      <c r="H583" s="38"/>
      <c r="I583" s="37"/>
    </row>
    <row r="584" spans="1:9" ht="14.5" x14ac:dyDescent="0.35">
      <c r="A584" s="142" t="s">
        <v>3799</v>
      </c>
      <c r="B584" s="44" t="s">
        <v>3802</v>
      </c>
      <c r="C584" s="36">
        <v>45867</v>
      </c>
      <c r="D584" s="37" t="s">
        <v>422</v>
      </c>
      <c r="E584" t="s">
        <v>4518</v>
      </c>
      <c r="F584" s="37" t="s">
        <v>3805</v>
      </c>
      <c r="G584" s="38">
        <v>34</v>
      </c>
      <c r="H584" s="38"/>
      <c r="I584" s="37"/>
    </row>
    <row r="585" spans="1:9" ht="14.5" x14ac:dyDescent="0.35">
      <c r="A585" s="142" t="s">
        <v>3799</v>
      </c>
      <c r="B585" s="44" t="s">
        <v>3802</v>
      </c>
      <c r="C585" s="36">
        <v>45867</v>
      </c>
      <c r="D585" s="37" t="s">
        <v>422</v>
      </c>
      <c r="E585" t="s">
        <v>4519</v>
      </c>
      <c r="F585" s="37" t="s">
        <v>3805</v>
      </c>
      <c r="G585" s="38">
        <v>65</v>
      </c>
      <c r="H585" s="38"/>
      <c r="I585" s="37"/>
    </row>
    <row r="586" spans="1:9" ht="14.5" x14ac:dyDescent="0.35">
      <c r="A586" s="142" t="s">
        <v>3799</v>
      </c>
      <c r="B586" s="44" t="s">
        <v>3802</v>
      </c>
      <c r="C586" s="36">
        <v>45867</v>
      </c>
      <c r="D586" s="37" t="s">
        <v>422</v>
      </c>
      <c r="E586" t="s">
        <v>4520</v>
      </c>
      <c r="F586" s="37" t="s">
        <v>3805</v>
      </c>
      <c r="G586" s="38">
        <v>34</v>
      </c>
      <c r="H586" s="38"/>
      <c r="I586" s="37"/>
    </row>
    <row r="587" spans="1:9" ht="14.5" x14ac:dyDescent="0.35">
      <c r="A587" s="142" t="s">
        <v>3799</v>
      </c>
      <c r="B587" s="44" t="s">
        <v>3802</v>
      </c>
      <c r="C587" s="36">
        <v>45867</v>
      </c>
      <c r="D587" s="37" t="s">
        <v>422</v>
      </c>
      <c r="E587" t="s">
        <v>4521</v>
      </c>
      <c r="F587" s="37" t="s">
        <v>3805</v>
      </c>
      <c r="G587" s="38">
        <v>32</v>
      </c>
      <c r="H587" s="38"/>
      <c r="I587" s="37"/>
    </row>
    <row r="588" spans="1:9" ht="14.5" x14ac:dyDescent="0.35">
      <c r="A588" s="142" t="s">
        <v>3799</v>
      </c>
      <c r="B588" s="44" t="s">
        <v>3802</v>
      </c>
      <c r="C588" s="36">
        <v>45867</v>
      </c>
      <c r="D588" s="37" t="s">
        <v>422</v>
      </c>
      <c r="E588" t="s">
        <v>4522</v>
      </c>
      <c r="F588" s="37" t="s">
        <v>3805</v>
      </c>
      <c r="G588" s="38">
        <v>43</v>
      </c>
      <c r="H588" s="38"/>
      <c r="I588" s="37"/>
    </row>
    <row r="589" spans="1:9" ht="14.5" x14ac:dyDescent="0.35">
      <c r="A589" s="142" t="s">
        <v>3799</v>
      </c>
      <c r="B589" s="44" t="s">
        <v>3802</v>
      </c>
      <c r="C589" s="36">
        <v>45867</v>
      </c>
      <c r="D589" s="37" t="s">
        <v>422</v>
      </c>
      <c r="E589" t="s">
        <v>4523</v>
      </c>
      <c r="F589" s="37" t="s">
        <v>3805</v>
      </c>
      <c r="G589" s="38">
        <v>34</v>
      </c>
      <c r="H589" s="38"/>
      <c r="I589" s="37"/>
    </row>
    <row r="590" spans="1:9" ht="14.5" x14ac:dyDescent="0.35">
      <c r="A590" s="142" t="s">
        <v>3799</v>
      </c>
      <c r="B590" s="44" t="s">
        <v>3802</v>
      </c>
      <c r="C590" s="36">
        <v>45867</v>
      </c>
      <c r="D590" s="37" t="s">
        <v>422</v>
      </c>
      <c r="E590" t="s">
        <v>4524</v>
      </c>
      <c r="F590" s="37" t="s">
        <v>3805</v>
      </c>
      <c r="G590" s="38">
        <v>34</v>
      </c>
      <c r="H590" s="38"/>
      <c r="I590" s="37"/>
    </row>
    <row r="591" spans="1:9" ht="14.5" x14ac:dyDescent="0.35">
      <c r="A591" s="142" t="s">
        <v>3799</v>
      </c>
      <c r="B591" s="44" t="s">
        <v>3802</v>
      </c>
      <c r="C591" s="36">
        <v>45867</v>
      </c>
      <c r="D591" s="37" t="s">
        <v>422</v>
      </c>
      <c r="E591" t="s">
        <v>4525</v>
      </c>
      <c r="F591" s="37" t="s">
        <v>3805</v>
      </c>
      <c r="G591" s="38">
        <v>34</v>
      </c>
      <c r="H591" s="38"/>
      <c r="I591" s="37"/>
    </row>
    <row r="592" spans="1:9" ht="14.5" x14ac:dyDescent="0.35">
      <c r="A592" s="142" t="s">
        <v>3799</v>
      </c>
      <c r="B592" s="44" t="s">
        <v>3802</v>
      </c>
      <c r="C592" s="36">
        <v>45867</v>
      </c>
      <c r="D592" s="37" t="s">
        <v>66</v>
      </c>
      <c r="E592" t="s">
        <v>4526</v>
      </c>
      <c r="F592" s="37" t="s">
        <v>3805</v>
      </c>
      <c r="G592" s="38">
        <v>80.999999999999986</v>
      </c>
      <c r="H592" s="38"/>
      <c r="I592" s="37"/>
    </row>
    <row r="593" spans="1:9" ht="14.5" x14ac:dyDescent="0.35">
      <c r="A593" s="142" t="s">
        <v>3799</v>
      </c>
      <c r="B593" s="44" t="s">
        <v>3802</v>
      </c>
      <c r="C593" s="36">
        <v>45867</v>
      </c>
      <c r="D593" s="37" t="s">
        <v>422</v>
      </c>
      <c r="E593" t="s">
        <v>4527</v>
      </c>
      <c r="F593" s="37" t="s">
        <v>3805</v>
      </c>
      <c r="G593" s="38">
        <v>34</v>
      </c>
      <c r="H593" s="38"/>
      <c r="I593" s="37"/>
    </row>
    <row r="594" spans="1:9" ht="14.5" x14ac:dyDescent="0.35">
      <c r="A594" s="142" t="s">
        <v>3799</v>
      </c>
      <c r="B594" s="44" t="s">
        <v>3802</v>
      </c>
      <c r="C594" s="36">
        <v>45867</v>
      </c>
      <c r="D594" s="37" t="s">
        <v>422</v>
      </c>
      <c r="E594" t="s">
        <v>4528</v>
      </c>
      <c r="F594" s="37" t="s">
        <v>3805</v>
      </c>
      <c r="G594" s="38">
        <v>69</v>
      </c>
      <c r="H594" s="38"/>
      <c r="I594" s="37"/>
    </row>
    <row r="595" spans="1:9" ht="14.5" x14ac:dyDescent="0.35">
      <c r="A595" s="142" t="s">
        <v>3799</v>
      </c>
      <c r="B595" s="44" t="s">
        <v>3802</v>
      </c>
      <c r="C595" s="36">
        <v>45867</v>
      </c>
      <c r="D595" s="37" t="s">
        <v>422</v>
      </c>
      <c r="E595" t="s">
        <v>4529</v>
      </c>
      <c r="F595" s="37" t="s">
        <v>3805</v>
      </c>
      <c r="G595" s="38">
        <v>65</v>
      </c>
      <c r="H595" s="38"/>
      <c r="I595" s="37"/>
    </row>
    <row r="596" spans="1:9" ht="14.5" x14ac:dyDescent="0.35">
      <c r="A596" s="142" t="s">
        <v>3799</v>
      </c>
      <c r="B596" s="44" t="s">
        <v>3802</v>
      </c>
      <c r="C596" s="36">
        <v>45867</v>
      </c>
      <c r="D596" s="37" t="s">
        <v>422</v>
      </c>
      <c r="E596" t="s">
        <v>4530</v>
      </c>
      <c r="F596" s="37" t="s">
        <v>3805</v>
      </c>
      <c r="G596" s="38">
        <v>34</v>
      </c>
      <c r="H596" s="38"/>
      <c r="I596" s="37"/>
    </row>
    <row r="597" spans="1:9" ht="14.5" x14ac:dyDescent="0.35">
      <c r="A597" s="142" t="s">
        <v>3799</v>
      </c>
      <c r="B597" s="44" t="s">
        <v>3802</v>
      </c>
      <c r="C597" s="36">
        <v>45867</v>
      </c>
      <c r="D597" s="37" t="s">
        <v>422</v>
      </c>
      <c r="E597" t="s">
        <v>4531</v>
      </c>
      <c r="F597" s="37" t="s">
        <v>3805</v>
      </c>
      <c r="G597" s="38">
        <v>43</v>
      </c>
      <c r="H597" s="38"/>
      <c r="I597" s="37"/>
    </row>
    <row r="598" spans="1:9" ht="14.5" x14ac:dyDescent="0.35">
      <c r="A598" s="142" t="s">
        <v>3799</v>
      </c>
      <c r="B598" s="44" t="s">
        <v>3802</v>
      </c>
      <c r="C598" s="36">
        <v>45867</v>
      </c>
      <c r="D598" s="37" t="s">
        <v>927</v>
      </c>
      <c r="E598" t="s">
        <v>4532</v>
      </c>
      <c r="F598" s="37" t="s">
        <v>3805</v>
      </c>
      <c r="G598" s="38">
        <v>324</v>
      </c>
      <c r="H598" s="38"/>
      <c r="I598" s="37"/>
    </row>
    <row r="599" spans="1:9" ht="14.5" x14ac:dyDescent="0.35">
      <c r="A599" s="142" t="s">
        <v>3799</v>
      </c>
      <c r="B599" s="44" t="s">
        <v>3802</v>
      </c>
      <c r="C599" s="36">
        <v>45867</v>
      </c>
      <c r="D599" s="37" t="s">
        <v>422</v>
      </c>
      <c r="E599" t="s">
        <v>4533</v>
      </c>
      <c r="F599" s="37" t="s">
        <v>3805</v>
      </c>
      <c r="G599" s="38">
        <v>34</v>
      </c>
      <c r="H599" s="38"/>
      <c r="I599" s="37"/>
    </row>
    <row r="600" spans="1:9" ht="14.5" x14ac:dyDescent="0.35">
      <c r="A600" s="142" t="s">
        <v>3799</v>
      </c>
      <c r="B600" s="44" t="s">
        <v>3802</v>
      </c>
      <c r="C600" s="36">
        <v>45867</v>
      </c>
      <c r="D600" s="37" t="s">
        <v>3593</v>
      </c>
      <c r="E600" t="s">
        <v>4534</v>
      </c>
      <c r="F600" s="37" t="s">
        <v>3805</v>
      </c>
      <c r="G600" s="38">
        <v>11745.779999999999</v>
      </c>
      <c r="H600" s="38"/>
      <c r="I600" s="37"/>
    </row>
    <row r="601" spans="1:9" ht="14.5" x14ac:dyDescent="0.35">
      <c r="A601" s="142" t="s">
        <v>3799</v>
      </c>
      <c r="B601" s="44" t="s">
        <v>3802</v>
      </c>
      <c r="C601" s="36">
        <v>45867</v>
      </c>
      <c r="D601" s="37" t="s">
        <v>422</v>
      </c>
      <c r="E601" t="s">
        <v>4535</v>
      </c>
      <c r="F601" s="37" t="s">
        <v>3805</v>
      </c>
      <c r="G601" s="38">
        <v>34</v>
      </c>
      <c r="H601" s="38"/>
      <c r="I601" s="37"/>
    </row>
    <row r="602" spans="1:9" ht="14.5" x14ac:dyDescent="0.35">
      <c r="A602" s="142" t="s">
        <v>3799</v>
      </c>
      <c r="B602" s="44" t="s">
        <v>3802</v>
      </c>
      <c r="C602" s="36">
        <v>45867</v>
      </c>
      <c r="D602" s="37" t="s">
        <v>422</v>
      </c>
      <c r="E602" t="s">
        <v>4536</v>
      </c>
      <c r="F602" s="37" t="s">
        <v>3805</v>
      </c>
      <c r="G602" s="38">
        <v>34</v>
      </c>
      <c r="H602" s="38"/>
      <c r="I602" s="37"/>
    </row>
    <row r="603" spans="1:9" ht="14.5" x14ac:dyDescent="0.35">
      <c r="A603" s="142" t="s">
        <v>3799</v>
      </c>
      <c r="B603" s="44" t="s">
        <v>3802</v>
      </c>
      <c r="C603" s="36">
        <v>45867</v>
      </c>
      <c r="D603" s="37" t="s">
        <v>34</v>
      </c>
      <c r="E603" t="s">
        <v>4537</v>
      </c>
      <c r="F603" s="37" t="s">
        <v>3805</v>
      </c>
      <c r="G603" s="38">
        <v>1658</v>
      </c>
      <c r="H603" s="38"/>
      <c r="I603" s="37"/>
    </row>
    <row r="604" spans="1:9" ht="14.5" x14ac:dyDescent="0.35">
      <c r="A604" s="142" t="s">
        <v>3799</v>
      </c>
      <c r="B604" s="44" t="s">
        <v>3802</v>
      </c>
      <c r="C604" s="36">
        <v>45867</v>
      </c>
      <c r="D604" s="37" t="s">
        <v>422</v>
      </c>
      <c r="E604" t="s">
        <v>4538</v>
      </c>
      <c r="F604" s="37" t="s">
        <v>3805</v>
      </c>
      <c r="G604" s="38">
        <v>80</v>
      </c>
      <c r="H604" s="38"/>
      <c r="I604" s="37"/>
    </row>
    <row r="605" spans="1:9" ht="14.5" x14ac:dyDescent="0.35">
      <c r="A605" s="142" t="s">
        <v>3799</v>
      </c>
      <c r="B605" s="44" t="s">
        <v>3802</v>
      </c>
      <c r="C605" s="36">
        <v>45867</v>
      </c>
      <c r="D605" s="37" t="s">
        <v>927</v>
      </c>
      <c r="E605" t="s">
        <v>4539</v>
      </c>
      <c r="F605" s="37" t="s">
        <v>3805</v>
      </c>
      <c r="G605" s="38">
        <v>323</v>
      </c>
      <c r="H605" s="38"/>
      <c r="I605" s="37"/>
    </row>
    <row r="606" spans="1:9" ht="14.5" x14ac:dyDescent="0.35">
      <c r="A606" s="142" t="s">
        <v>3799</v>
      </c>
      <c r="B606" s="44" t="s">
        <v>3802</v>
      </c>
      <c r="C606" s="36">
        <v>45867</v>
      </c>
      <c r="D606" s="37" t="s">
        <v>927</v>
      </c>
      <c r="E606" t="s">
        <v>4540</v>
      </c>
      <c r="F606" s="37" t="s">
        <v>3805</v>
      </c>
      <c r="G606" s="38">
        <v>323</v>
      </c>
      <c r="H606" s="38"/>
      <c r="I606" s="37"/>
    </row>
    <row r="607" spans="1:9" ht="14.5" x14ac:dyDescent="0.35">
      <c r="A607" s="142" t="s">
        <v>3799</v>
      </c>
      <c r="B607" s="44" t="s">
        <v>3802</v>
      </c>
      <c r="C607" s="36">
        <v>45868</v>
      </c>
      <c r="D607" s="37" t="s">
        <v>66</v>
      </c>
      <c r="E607" t="s">
        <v>4541</v>
      </c>
      <c r="F607" s="37" t="s">
        <v>3805</v>
      </c>
      <c r="G607" s="38">
        <v>8985.9800000000032</v>
      </c>
      <c r="H607" s="38"/>
      <c r="I607" s="37"/>
    </row>
    <row r="608" spans="1:9" ht="14.5" x14ac:dyDescent="0.35">
      <c r="A608" s="142" t="s">
        <v>3799</v>
      </c>
      <c r="B608" s="44" t="s">
        <v>3802</v>
      </c>
      <c r="C608" s="36">
        <v>45868</v>
      </c>
      <c r="D608" s="37" t="s">
        <v>109</v>
      </c>
      <c r="E608" t="s">
        <v>4542</v>
      </c>
      <c r="F608" s="37" t="s">
        <v>3805</v>
      </c>
      <c r="G608" s="38">
        <v>1435</v>
      </c>
      <c r="H608" s="38"/>
      <c r="I608" s="37"/>
    </row>
    <row r="609" spans="1:9" ht="14.5" x14ac:dyDescent="0.35">
      <c r="A609" s="44" t="s">
        <v>3589</v>
      </c>
      <c r="B609" s="142" t="s">
        <v>3799</v>
      </c>
      <c r="C609" s="36">
        <v>45866</v>
      </c>
      <c r="D609" s="37" t="s">
        <v>695</v>
      </c>
      <c r="E609" t="s">
        <v>4543</v>
      </c>
      <c r="F609" s="37" t="s">
        <v>3805</v>
      </c>
      <c r="G609" s="38"/>
      <c r="H609" s="38">
        <v>970</v>
      </c>
      <c r="I609" s="141"/>
    </row>
    <row r="610" spans="1:9" ht="14.5" x14ac:dyDescent="0.35">
      <c r="A610" s="44" t="s">
        <v>3589</v>
      </c>
      <c r="B610" s="142" t="s">
        <v>3799</v>
      </c>
      <c r="C610" s="36">
        <v>45866</v>
      </c>
      <c r="D610" s="37" t="s">
        <v>66</v>
      </c>
      <c r="E610" t="s">
        <v>4544</v>
      </c>
      <c r="F610" s="37" t="s">
        <v>3805</v>
      </c>
      <c r="G610" s="38"/>
      <c r="H610" s="38">
        <v>273</v>
      </c>
      <c r="I610" s="141"/>
    </row>
    <row r="611" spans="1:9" ht="14.5" x14ac:dyDescent="0.35">
      <c r="A611" s="44" t="s">
        <v>3589</v>
      </c>
      <c r="B611" s="142" t="s">
        <v>3799</v>
      </c>
      <c r="C611" s="36">
        <v>45866</v>
      </c>
      <c r="D611" s="37" t="s">
        <v>66</v>
      </c>
      <c r="E611" t="s">
        <v>4545</v>
      </c>
      <c r="F611" s="37" t="s">
        <v>3805</v>
      </c>
      <c r="G611" s="38"/>
      <c r="H611" s="38">
        <v>271</v>
      </c>
      <c r="I611" s="141"/>
    </row>
    <row r="612" spans="1:9" ht="14.5" x14ac:dyDescent="0.35">
      <c r="A612" s="44" t="s">
        <v>3589</v>
      </c>
      <c r="B612" s="142" t="s">
        <v>3799</v>
      </c>
      <c r="C612" s="36">
        <v>45866</v>
      </c>
      <c r="D612" s="37" t="s">
        <v>66</v>
      </c>
      <c r="E612" t="s">
        <v>4546</v>
      </c>
      <c r="F612" s="37" t="s">
        <v>3805</v>
      </c>
      <c r="G612" s="38"/>
      <c r="H612" s="38">
        <v>272</v>
      </c>
      <c r="I612" s="141"/>
    </row>
    <row r="613" spans="1:9" ht="14.5" x14ac:dyDescent="0.35">
      <c r="A613" s="44" t="s">
        <v>3589</v>
      </c>
      <c r="B613" s="142" t="s">
        <v>3799</v>
      </c>
      <c r="C613" s="36">
        <v>45866</v>
      </c>
      <c r="D613" s="37" t="s">
        <v>422</v>
      </c>
      <c r="E613" t="s">
        <v>4547</v>
      </c>
      <c r="F613" s="37" t="s">
        <v>3805</v>
      </c>
      <c r="G613" s="38"/>
      <c r="H613" s="38">
        <v>65</v>
      </c>
      <c r="I613" s="141"/>
    </row>
    <row r="614" spans="1:9" ht="14.5" x14ac:dyDescent="0.35">
      <c r="A614" s="44" t="s">
        <v>3589</v>
      </c>
      <c r="B614" s="142" t="s">
        <v>3799</v>
      </c>
      <c r="C614" s="36">
        <v>45866</v>
      </c>
      <c r="D614" s="37" t="s">
        <v>66</v>
      </c>
      <c r="E614" t="s">
        <v>4548</v>
      </c>
      <c r="F614" s="37" t="s">
        <v>3805</v>
      </c>
      <c r="G614" s="38"/>
      <c r="H614" s="38">
        <v>272</v>
      </c>
      <c r="I614" s="141"/>
    </row>
    <row r="615" spans="1:9" ht="14.5" x14ac:dyDescent="0.35">
      <c r="A615" s="44" t="s">
        <v>3589</v>
      </c>
      <c r="B615" s="142" t="s">
        <v>3799</v>
      </c>
      <c r="C615" s="36">
        <v>45866</v>
      </c>
      <c r="D615" s="37" t="s">
        <v>422</v>
      </c>
      <c r="E615" t="s">
        <v>4549</v>
      </c>
      <c r="F615" s="37" t="s">
        <v>3805</v>
      </c>
      <c r="G615" s="38"/>
      <c r="H615" s="38">
        <v>68</v>
      </c>
      <c r="I615" s="141"/>
    </row>
    <row r="616" spans="1:9" ht="14.5" x14ac:dyDescent="0.35">
      <c r="A616" s="44" t="s">
        <v>3589</v>
      </c>
      <c r="B616" s="142" t="s">
        <v>3799</v>
      </c>
      <c r="C616" s="36">
        <v>45866</v>
      </c>
      <c r="D616" s="37" t="s">
        <v>82</v>
      </c>
      <c r="E616" t="s">
        <v>4550</v>
      </c>
      <c r="F616" s="37" t="s">
        <v>3805</v>
      </c>
      <c r="G616" s="38"/>
      <c r="H616" s="38">
        <v>109</v>
      </c>
      <c r="I616" s="141"/>
    </row>
    <row r="617" spans="1:9" ht="14.5" x14ac:dyDescent="0.35">
      <c r="A617" s="44" t="s">
        <v>3589</v>
      </c>
      <c r="B617" s="142" t="s">
        <v>3799</v>
      </c>
      <c r="C617" s="36">
        <v>45866</v>
      </c>
      <c r="D617" s="37" t="s">
        <v>422</v>
      </c>
      <c r="E617" t="s">
        <v>4551</v>
      </c>
      <c r="F617" s="37" t="s">
        <v>3805</v>
      </c>
      <c r="G617" s="38"/>
      <c r="H617" s="38">
        <v>40</v>
      </c>
      <c r="I617" s="141"/>
    </row>
    <row r="618" spans="1:9" ht="14.5" x14ac:dyDescent="0.35">
      <c r="A618" s="44" t="s">
        <v>3589</v>
      </c>
      <c r="B618" s="142" t="s">
        <v>3799</v>
      </c>
      <c r="C618" s="36">
        <v>45866</v>
      </c>
      <c r="D618" s="37" t="s">
        <v>3592</v>
      </c>
      <c r="E618" t="s">
        <v>4552</v>
      </c>
      <c r="F618" s="37" t="s">
        <v>3805</v>
      </c>
      <c r="G618" s="38"/>
      <c r="H618" s="38">
        <v>770</v>
      </c>
      <c r="I618" s="141"/>
    </row>
    <row r="619" spans="1:9" ht="14.5" x14ac:dyDescent="0.35">
      <c r="A619" s="44" t="s">
        <v>3589</v>
      </c>
      <c r="B619" s="142" t="s">
        <v>3799</v>
      </c>
      <c r="C619" s="36">
        <v>45866</v>
      </c>
      <c r="D619" s="37" t="s">
        <v>422</v>
      </c>
      <c r="E619" t="s">
        <v>4553</v>
      </c>
      <c r="F619" s="37" t="s">
        <v>3805</v>
      </c>
      <c r="G619" s="38"/>
      <c r="H619" s="38">
        <v>218</v>
      </c>
      <c r="I619" s="141"/>
    </row>
    <row r="620" spans="1:9" ht="14.5" x14ac:dyDescent="0.35">
      <c r="A620" s="44" t="s">
        <v>3589</v>
      </c>
      <c r="B620" s="142" t="s">
        <v>3799</v>
      </c>
      <c r="C620" s="36">
        <v>45866</v>
      </c>
      <c r="D620" s="37" t="s">
        <v>422</v>
      </c>
      <c r="E620" t="s">
        <v>4554</v>
      </c>
      <c r="F620" s="37" t="s">
        <v>3805</v>
      </c>
      <c r="G620" s="38"/>
      <c r="H620" s="38">
        <v>218</v>
      </c>
      <c r="I620" s="141"/>
    </row>
    <row r="621" spans="1:9" ht="14.5" x14ac:dyDescent="0.35">
      <c r="A621" s="44" t="s">
        <v>3589</v>
      </c>
      <c r="B621" s="142" t="s">
        <v>3799</v>
      </c>
      <c r="C621" s="36">
        <v>45867</v>
      </c>
      <c r="D621" s="37" t="s">
        <v>422</v>
      </c>
      <c r="E621" t="s">
        <v>4555</v>
      </c>
      <c r="F621" s="37" t="s">
        <v>3805</v>
      </c>
      <c r="G621" s="38"/>
      <c r="H621" s="38">
        <v>35</v>
      </c>
      <c r="I621" s="141"/>
    </row>
    <row r="622" spans="1:9" ht="14.5" x14ac:dyDescent="0.35">
      <c r="A622" s="44" t="s">
        <v>3589</v>
      </c>
      <c r="B622" s="142" t="s">
        <v>3799</v>
      </c>
      <c r="C622" s="36">
        <v>45867</v>
      </c>
      <c r="D622" s="37" t="s">
        <v>716</v>
      </c>
      <c r="E622" t="s">
        <v>4556</v>
      </c>
      <c r="F622" s="37" t="s">
        <v>3805</v>
      </c>
      <c r="G622" s="38"/>
      <c r="H622" s="38">
        <v>770</v>
      </c>
      <c r="I622" s="141"/>
    </row>
    <row r="623" spans="1:9" ht="14.5" x14ac:dyDescent="0.35">
      <c r="A623" s="44" t="s">
        <v>3589</v>
      </c>
      <c r="B623" s="142" t="s">
        <v>3799</v>
      </c>
      <c r="C623" s="36">
        <v>45867</v>
      </c>
      <c r="D623" s="37" t="s">
        <v>422</v>
      </c>
      <c r="E623" t="s">
        <v>4557</v>
      </c>
      <c r="F623" s="37" t="s">
        <v>3805</v>
      </c>
      <c r="G623" s="38"/>
      <c r="H623" s="38">
        <v>34</v>
      </c>
      <c r="I623" s="141"/>
    </row>
    <row r="624" spans="1:9" ht="14.5" x14ac:dyDescent="0.35">
      <c r="A624" s="44" t="s">
        <v>3589</v>
      </c>
      <c r="B624" s="142" t="s">
        <v>3799</v>
      </c>
      <c r="C624" s="36">
        <v>45867</v>
      </c>
      <c r="D624" s="37" t="s">
        <v>422</v>
      </c>
      <c r="E624" t="s">
        <v>4558</v>
      </c>
      <c r="F624" s="37" t="s">
        <v>3805</v>
      </c>
      <c r="G624" s="38"/>
      <c r="H624" s="38">
        <v>34</v>
      </c>
      <c r="I624" s="141"/>
    </row>
    <row r="625" spans="1:9" ht="14.5" x14ac:dyDescent="0.35">
      <c r="A625" s="44" t="s">
        <v>3589</v>
      </c>
      <c r="B625" s="142" t="s">
        <v>3799</v>
      </c>
      <c r="C625" s="36">
        <v>45867</v>
      </c>
      <c r="D625" s="37" t="s">
        <v>422</v>
      </c>
      <c r="E625" t="s">
        <v>4559</v>
      </c>
      <c r="F625" s="37" t="s">
        <v>3805</v>
      </c>
      <c r="G625" s="38"/>
      <c r="H625" s="38">
        <v>34</v>
      </c>
      <c r="I625" s="141"/>
    </row>
    <row r="626" spans="1:9" ht="14.5" x14ac:dyDescent="0.35">
      <c r="A626" s="44" t="s">
        <v>3589</v>
      </c>
      <c r="B626" s="142" t="s">
        <v>3799</v>
      </c>
      <c r="C626" s="36">
        <v>45867</v>
      </c>
      <c r="D626" s="37" t="s">
        <v>422</v>
      </c>
      <c r="E626" t="s">
        <v>4560</v>
      </c>
      <c r="F626" s="37" t="s">
        <v>3805</v>
      </c>
      <c r="G626" s="38"/>
      <c r="H626" s="38">
        <v>314</v>
      </c>
      <c r="I626" s="141"/>
    </row>
    <row r="627" spans="1:9" ht="14.5" x14ac:dyDescent="0.35">
      <c r="A627" s="44" t="s">
        <v>3589</v>
      </c>
      <c r="B627" s="142" t="s">
        <v>3799</v>
      </c>
      <c r="C627" s="36">
        <v>45867</v>
      </c>
      <c r="D627" s="37" t="s">
        <v>422</v>
      </c>
      <c r="E627" t="s">
        <v>4561</v>
      </c>
      <c r="F627" s="37" t="s">
        <v>3805</v>
      </c>
      <c r="G627" s="38"/>
      <c r="H627" s="38">
        <v>77</v>
      </c>
      <c r="I627" s="141"/>
    </row>
    <row r="628" spans="1:9" ht="14.5" x14ac:dyDescent="0.35">
      <c r="A628" s="44" t="s">
        <v>3589</v>
      </c>
      <c r="B628" s="142" t="s">
        <v>3799</v>
      </c>
      <c r="C628" s="36">
        <v>45867</v>
      </c>
      <c r="D628" s="37" t="s">
        <v>422</v>
      </c>
      <c r="E628" t="s">
        <v>4562</v>
      </c>
      <c r="F628" s="37" t="s">
        <v>3805</v>
      </c>
      <c r="G628" s="38"/>
      <c r="H628" s="38">
        <v>80</v>
      </c>
      <c r="I628" s="141"/>
    </row>
    <row r="629" spans="1:9" ht="14.5" x14ac:dyDescent="0.35">
      <c r="A629" s="44" t="s">
        <v>3589</v>
      </c>
      <c r="B629" s="142" t="s">
        <v>3799</v>
      </c>
      <c r="C629" s="36">
        <v>45867</v>
      </c>
      <c r="D629" s="37" t="s">
        <v>422</v>
      </c>
      <c r="E629" t="s">
        <v>4563</v>
      </c>
      <c r="F629" s="37" t="s">
        <v>3805</v>
      </c>
      <c r="G629" s="38"/>
      <c r="H629" s="38">
        <v>34</v>
      </c>
      <c r="I629" s="141"/>
    </row>
    <row r="630" spans="1:9" ht="14.5" x14ac:dyDescent="0.35">
      <c r="A630" s="44" t="s">
        <v>3589</v>
      </c>
      <c r="B630" s="142" t="s">
        <v>3799</v>
      </c>
      <c r="C630" s="36">
        <v>45867</v>
      </c>
      <c r="D630" s="37" t="s">
        <v>422</v>
      </c>
      <c r="E630" t="s">
        <v>4564</v>
      </c>
      <c r="F630" s="37" t="s">
        <v>3805</v>
      </c>
      <c r="G630" s="38"/>
      <c r="H630" s="38">
        <v>33</v>
      </c>
      <c r="I630" s="141"/>
    </row>
    <row r="631" spans="1:9" ht="14.5" x14ac:dyDescent="0.35">
      <c r="A631" s="44" t="s">
        <v>3589</v>
      </c>
      <c r="B631" s="142" t="s">
        <v>3799</v>
      </c>
      <c r="C631" s="36">
        <v>45867</v>
      </c>
      <c r="D631" s="37" t="s">
        <v>422</v>
      </c>
      <c r="E631" t="s">
        <v>4565</v>
      </c>
      <c r="F631" s="37" t="s">
        <v>3805</v>
      </c>
      <c r="G631" s="38"/>
      <c r="H631" s="38">
        <v>39</v>
      </c>
      <c r="I631" s="141"/>
    </row>
    <row r="632" spans="1:9" ht="14.5" x14ac:dyDescent="0.35">
      <c r="A632" s="44" t="s">
        <v>3589</v>
      </c>
      <c r="B632" s="142" t="s">
        <v>3799</v>
      </c>
      <c r="C632" s="36">
        <v>45867</v>
      </c>
      <c r="D632" s="37" t="s">
        <v>422</v>
      </c>
      <c r="E632" t="s">
        <v>4566</v>
      </c>
      <c r="F632" s="37" t="s">
        <v>3805</v>
      </c>
      <c r="G632" s="38"/>
      <c r="H632" s="38">
        <v>39</v>
      </c>
      <c r="I632" s="141"/>
    </row>
    <row r="633" spans="1:9" ht="14.5" x14ac:dyDescent="0.35">
      <c r="A633" s="44" t="s">
        <v>3589</v>
      </c>
      <c r="B633" s="142" t="s">
        <v>3799</v>
      </c>
      <c r="C633" s="36">
        <v>45867</v>
      </c>
      <c r="D633" s="37" t="s">
        <v>422</v>
      </c>
      <c r="E633" t="s">
        <v>4567</v>
      </c>
      <c r="F633" s="37" t="s">
        <v>3805</v>
      </c>
      <c r="G633" s="38"/>
      <c r="H633" s="38">
        <v>39</v>
      </c>
      <c r="I633" s="141"/>
    </row>
    <row r="634" spans="1:9" ht="14.5" x14ac:dyDescent="0.35">
      <c r="A634" s="44" t="s">
        <v>3589</v>
      </c>
      <c r="B634" s="142" t="s">
        <v>3799</v>
      </c>
      <c r="C634" s="36">
        <v>45867</v>
      </c>
      <c r="D634" s="37" t="s">
        <v>422</v>
      </c>
      <c r="E634" t="s">
        <v>4568</v>
      </c>
      <c r="F634" s="37" t="s">
        <v>3805</v>
      </c>
      <c r="G634" s="38"/>
      <c r="H634" s="38">
        <v>32</v>
      </c>
      <c r="I634" s="141"/>
    </row>
    <row r="635" spans="1:9" ht="14.5" x14ac:dyDescent="0.35">
      <c r="A635" s="44" t="s">
        <v>3589</v>
      </c>
      <c r="B635" s="142" t="s">
        <v>3799</v>
      </c>
      <c r="C635" s="36">
        <v>45867</v>
      </c>
      <c r="D635" s="37" t="s">
        <v>422</v>
      </c>
      <c r="E635" t="s">
        <v>4569</v>
      </c>
      <c r="F635" s="37" t="s">
        <v>3805</v>
      </c>
      <c r="G635" s="38"/>
      <c r="H635" s="38">
        <v>64</v>
      </c>
      <c r="I635" s="141"/>
    </row>
    <row r="636" spans="1:9" ht="14.5" x14ac:dyDescent="0.35">
      <c r="A636" s="44" t="s">
        <v>3589</v>
      </c>
      <c r="B636" s="142" t="s">
        <v>3799</v>
      </c>
      <c r="C636" s="36">
        <v>45867</v>
      </c>
      <c r="D636" s="37" t="s">
        <v>422</v>
      </c>
      <c r="E636" t="s">
        <v>4570</v>
      </c>
      <c r="F636" s="37" t="s">
        <v>3805</v>
      </c>
      <c r="G636" s="38"/>
      <c r="H636" s="38">
        <v>39</v>
      </c>
      <c r="I636" s="37"/>
    </row>
    <row r="637" spans="1:9" ht="14.5" x14ac:dyDescent="0.35">
      <c r="A637" s="44" t="s">
        <v>3589</v>
      </c>
      <c r="B637" s="142" t="s">
        <v>3799</v>
      </c>
      <c r="C637" s="36">
        <v>45867</v>
      </c>
      <c r="D637" s="37" t="s">
        <v>422</v>
      </c>
      <c r="E637" t="s">
        <v>4571</v>
      </c>
      <c r="F637" s="37" t="s">
        <v>3805</v>
      </c>
      <c r="G637" s="38"/>
      <c r="H637" s="38">
        <v>34</v>
      </c>
      <c r="I637" s="37"/>
    </row>
    <row r="638" spans="1:9" ht="14.5" x14ac:dyDescent="0.35">
      <c r="A638" s="44" t="s">
        <v>3589</v>
      </c>
      <c r="B638" s="142" t="s">
        <v>3799</v>
      </c>
      <c r="C638" s="36">
        <v>45867</v>
      </c>
      <c r="D638" s="37" t="s">
        <v>422</v>
      </c>
      <c r="E638" t="s">
        <v>4572</v>
      </c>
      <c r="F638" s="37" t="s">
        <v>3805</v>
      </c>
      <c r="G638" s="38"/>
      <c r="H638" s="38">
        <v>64</v>
      </c>
      <c r="I638" s="37"/>
    </row>
    <row r="639" spans="1:9" ht="14.5" x14ac:dyDescent="0.35">
      <c r="A639" s="44" t="s">
        <v>3589</v>
      </c>
      <c r="B639" s="142" t="s">
        <v>3799</v>
      </c>
      <c r="C639" s="36">
        <v>45867</v>
      </c>
      <c r="D639" s="37" t="s">
        <v>422</v>
      </c>
      <c r="E639" t="s">
        <v>4573</v>
      </c>
      <c r="F639" s="37" t="s">
        <v>3805</v>
      </c>
      <c r="G639" s="38"/>
      <c r="H639" s="38">
        <v>43</v>
      </c>
      <c r="I639" s="37"/>
    </row>
    <row r="640" spans="1:9" ht="14.5" x14ac:dyDescent="0.35">
      <c r="A640" s="44" t="s">
        <v>3589</v>
      </c>
      <c r="B640" s="142" t="s">
        <v>3799</v>
      </c>
      <c r="C640" s="36">
        <v>45867</v>
      </c>
      <c r="D640" s="37" t="s">
        <v>422</v>
      </c>
      <c r="E640" t="s">
        <v>4574</v>
      </c>
      <c r="F640" s="37" t="s">
        <v>3805</v>
      </c>
      <c r="G640" s="38"/>
      <c r="H640" s="38">
        <v>64</v>
      </c>
      <c r="I640" s="37"/>
    </row>
    <row r="641" spans="1:9" ht="14.5" x14ac:dyDescent="0.35">
      <c r="A641" s="44" t="s">
        <v>3589</v>
      </c>
      <c r="B641" s="142" t="s">
        <v>3799</v>
      </c>
      <c r="C641" s="36">
        <v>45867</v>
      </c>
      <c r="D641" s="37" t="s">
        <v>422</v>
      </c>
      <c r="E641" t="s">
        <v>4575</v>
      </c>
      <c r="F641" s="37" t="s">
        <v>3805</v>
      </c>
      <c r="G641" s="38"/>
      <c r="H641" s="38">
        <v>39</v>
      </c>
      <c r="I641" s="37"/>
    </row>
    <row r="642" spans="1:9" ht="14.5" x14ac:dyDescent="0.35">
      <c r="A642" s="44" t="s">
        <v>3589</v>
      </c>
      <c r="B642" s="142" t="s">
        <v>3799</v>
      </c>
      <c r="C642" s="36">
        <v>45867</v>
      </c>
      <c r="D642" s="37" t="s">
        <v>422</v>
      </c>
      <c r="E642" t="s">
        <v>4576</v>
      </c>
      <c r="F642" s="37" t="s">
        <v>3805</v>
      </c>
      <c r="G642" s="38"/>
      <c r="H642" s="38">
        <v>39</v>
      </c>
      <c r="I642" s="37"/>
    </row>
    <row r="643" spans="1:9" ht="14.5" x14ac:dyDescent="0.35">
      <c r="A643" s="44" t="s">
        <v>3589</v>
      </c>
      <c r="B643" s="142" t="s">
        <v>3799</v>
      </c>
      <c r="C643" s="36">
        <v>45867</v>
      </c>
      <c r="D643" s="37" t="s">
        <v>422</v>
      </c>
      <c r="E643" t="s">
        <v>4577</v>
      </c>
      <c r="F643" s="37" t="s">
        <v>3805</v>
      </c>
      <c r="G643" s="38"/>
      <c r="H643" s="38">
        <v>39</v>
      </c>
      <c r="I643" s="37"/>
    </row>
    <row r="644" spans="1:9" ht="14.5" x14ac:dyDescent="0.35">
      <c r="A644" s="44" t="s">
        <v>3589</v>
      </c>
      <c r="B644" s="142" t="s">
        <v>3799</v>
      </c>
      <c r="C644" s="36">
        <v>45867</v>
      </c>
      <c r="D644" s="37" t="s">
        <v>422</v>
      </c>
      <c r="E644" t="s">
        <v>4578</v>
      </c>
      <c r="F644" s="37" t="s">
        <v>3805</v>
      </c>
      <c r="G644" s="38"/>
      <c r="H644" s="38">
        <v>43</v>
      </c>
      <c r="I644" s="37"/>
    </row>
    <row r="645" spans="1:9" ht="14.5" x14ac:dyDescent="0.35">
      <c r="A645" s="44" t="s">
        <v>3589</v>
      </c>
      <c r="B645" s="142" t="s">
        <v>3799</v>
      </c>
      <c r="C645" s="36">
        <v>45867</v>
      </c>
      <c r="D645" s="37" t="s">
        <v>422</v>
      </c>
      <c r="E645" t="s">
        <v>4579</v>
      </c>
      <c r="F645" s="37" t="s">
        <v>3805</v>
      </c>
      <c r="G645" s="38"/>
      <c r="H645" s="38">
        <v>194</v>
      </c>
      <c r="I645" s="37"/>
    </row>
    <row r="646" spans="1:9" ht="14.5" x14ac:dyDescent="0.35">
      <c r="A646" s="44" t="s">
        <v>3589</v>
      </c>
      <c r="B646" s="142" t="s">
        <v>3799</v>
      </c>
      <c r="C646" s="36">
        <v>45867</v>
      </c>
      <c r="D646" s="37" t="s">
        <v>422</v>
      </c>
      <c r="E646" t="s">
        <v>4580</v>
      </c>
      <c r="F646" s="37" t="s">
        <v>3805</v>
      </c>
      <c r="G646" s="38"/>
      <c r="H646" s="38">
        <v>194</v>
      </c>
      <c r="I646" s="37"/>
    </row>
    <row r="647" spans="1:9" ht="14.5" x14ac:dyDescent="0.35">
      <c r="A647" s="44" t="s">
        <v>3589</v>
      </c>
      <c r="B647" s="142" t="s">
        <v>3799</v>
      </c>
      <c r="C647" s="36">
        <v>45867</v>
      </c>
      <c r="D647" s="37" t="s">
        <v>422</v>
      </c>
      <c r="E647" t="s">
        <v>4581</v>
      </c>
      <c r="F647" s="37" t="s">
        <v>3805</v>
      </c>
      <c r="G647" s="38"/>
      <c r="H647" s="38">
        <v>33</v>
      </c>
      <c r="I647" s="37"/>
    </row>
    <row r="648" spans="1:9" ht="14.5" x14ac:dyDescent="0.35">
      <c r="A648" s="44" t="s">
        <v>3589</v>
      </c>
      <c r="B648" s="142" t="s">
        <v>3799</v>
      </c>
      <c r="C648" s="36">
        <v>45867</v>
      </c>
      <c r="D648" s="37" t="s">
        <v>933</v>
      </c>
      <c r="E648" t="s">
        <v>4582</v>
      </c>
      <c r="F648" s="37" t="s">
        <v>3805</v>
      </c>
      <c r="G648" s="38"/>
      <c r="H648" s="38">
        <v>487</v>
      </c>
      <c r="I648" s="37"/>
    </row>
    <row r="649" spans="1:9" ht="14.5" x14ac:dyDescent="0.35">
      <c r="A649" s="44" t="s">
        <v>3589</v>
      </c>
      <c r="B649" s="142" t="s">
        <v>3799</v>
      </c>
      <c r="C649" s="36">
        <v>45867</v>
      </c>
      <c r="D649" s="37" t="s">
        <v>422</v>
      </c>
      <c r="E649" t="s">
        <v>4583</v>
      </c>
      <c r="F649" s="37" t="s">
        <v>3805</v>
      </c>
      <c r="G649" s="38"/>
      <c r="H649" s="38">
        <v>64</v>
      </c>
      <c r="I649" s="37"/>
    </row>
    <row r="650" spans="1:9" ht="14.5" x14ac:dyDescent="0.35">
      <c r="A650" s="44" t="s">
        <v>3589</v>
      </c>
      <c r="B650" s="142" t="s">
        <v>3799</v>
      </c>
      <c r="C650" s="36">
        <v>45867</v>
      </c>
      <c r="D650" s="37" t="s">
        <v>422</v>
      </c>
      <c r="E650" t="s">
        <v>4584</v>
      </c>
      <c r="F650" s="37" t="s">
        <v>3805</v>
      </c>
      <c r="G650" s="38"/>
      <c r="H650" s="38">
        <v>35</v>
      </c>
      <c r="I650" s="37"/>
    </row>
    <row r="651" spans="1:9" ht="14.5" x14ac:dyDescent="0.35">
      <c r="A651" s="44" t="s">
        <v>3589</v>
      </c>
      <c r="B651" s="142" t="s">
        <v>3799</v>
      </c>
      <c r="C651" s="36">
        <v>45867</v>
      </c>
      <c r="D651" s="37" t="s">
        <v>96</v>
      </c>
      <c r="E651" t="s">
        <v>4585</v>
      </c>
      <c r="F651" s="37" t="s">
        <v>3805</v>
      </c>
      <c r="G651" s="38"/>
      <c r="H651" s="38">
        <v>118</v>
      </c>
      <c r="I651" s="37"/>
    </row>
    <row r="652" spans="1:9" ht="14.5" x14ac:dyDescent="0.35">
      <c r="A652" s="44" t="s">
        <v>3589</v>
      </c>
      <c r="B652" s="142" t="s">
        <v>3799</v>
      </c>
      <c r="C652" s="36">
        <v>45867</v>
      </c>
      <c r="D652" s="37" t="s">
        <v>422</v>
      </c>
      <c r="E652" t="s">
        <v>4586</v>
      </c>
      <c r="F652" s="37" t="s">
        <v>3805</v>
      </c>
      <c r="G652" s="38"/>
      <c r="H652" s="38">
        <v>77</v>
      </c>
      <c r="I652" s="37"/>
    </row>
    <row r="653" spans="1:9" ht="14.5" x14ac:dyDescent="0.35">
      <c r="A653" s="44" t="s">
        <v>3589</v>
      </c>
      <c r="B653" s="142" t="s">
        <v>3799</v>
      </c>
      <c r="C653" s="36">
        <v>45867</v>
      </c>
      <c r="D653" s="37" t="s">
        <v>422</v>
      </c>
      <c r="E653" t="s">
        <v>4587</v>
      </c>
      <c r="F653" s="37" t="s">
        <v>3805</v>
      </c>
      <c r="G653" s="38"/>
      <c r="H653" s="38">
        <v>39</v>
      </c>
      <c r="I653" s="37"/>
    </row>
    <row r="654" spans="1:9" ht="14.5" x14ac:dyDescent="0.35">
      <c r="A654" s="44" t="s">
        <v>3589</v>
      </c>
      <c r="B654" s="142" t="s">
        <v>3799</v>
      </c>
      <c r="C654" s="36">
        <v>45867</v>
      </c>
      <c r="D654" s="37" t="s">
        <v>422</v>
      </c>
      <c r="E654" t="s">
        <v>4588</v>
      </c>
      <c r="F654" s="37" t="s">
        <v>3805</v>
      </c>
      <c r="G654" s="38"/>
      <c r="H654" s="38">
        <v>32</v>
      </c>
      <c r="I654" s="37"/>
    </row>
    <row r="655" spans="1:9" ht="14.5" x14ac:dyDescent="0.35">
      <c r="A655" s="44" t="s">
        <v>3589</v>
      </c>
      <c r="B655" s="142" t="s">
        <v>3799</v>
      </c>
      <c r="C655" s="36">
        <v>45867</v>
      </c>
      <c r="D655" s="37" t="s">
        <v>422</v>
      </c>
      <c r="E655" t="s">
        <v>4589</v>
      </c>
      <c r="F655" s="37" t="s">
        <v>3805</v>
      </c>
      <c r="G655" s="38"/>
      <c r="H655" s="38">
        <v>39</v>
      </c>
      <c r="I655" s="37"/>
    </row>
    <row r="656" spans="1:9" ht="14.5" x14ac:dyDescent="0.35">
      <c r="A656" s="44" t="s">
        <v>3589</v>
      </c>
      <c r="B656" s="142" t="s">
        <v>3799</v>
      </c>
      <c r="C656" s="36">
        <v>45867</v>
      </c>
      <c r="D656" s="37" t="s">
        <v>422</v>
      </c>
      <c r="E656" t="s">
        <v>4590</v>
      </c>
      <c r="F656" s="37" t="s">
        <v>3805</v>
      </c>
      <c r="G656" s="38"/>
      <c r="H656" s="38">
        <v>40</v>
      </c>
      <c r="I656" s="37"/>
    </row>
    <row r="657" spans="1:9" ht="14.5" x14ac:dyDescent="0.35">
      <c r="A657" s="44" t="s">
        <v>3589</v>
      </c>
      <c r="B657" s="142" t="s">
        <v>3799</v>
      </c>
      <c r="C657" s="36">
        <v>45867</v>
      </c>
      <c r="D657" s="37" t="s">
        <v>422</v>
      </c>
      <c r="E657" t="s">
        <v>4591</v>
      </c>
      <c r="F657" s="37" t="s">
        <v>3805</v>
      </c>
      <c r="G657" s="38"/>
      <c r="H657" s="38">
        <v>77</v>
      </c>
      <c r="I657" s="37"/>
    </row>
    <row r="658" spans="1:9" ht="14.5" x14ac:dyDescent="0.35">
      <c r="A658" s="44" t="s">
        <v>3589</v>
      </c>
      <c r="B658" s="142" t="s">
        <v>3799</v>
      </c>
      <c r="C658" s="36">
        <v>45867</v>
      </c>
      <c r="D658" s="37" t="s">
        <v>422</v>
      </c>
      <c r="E658" t="s">
        <v>4592</v>
      </c>
      <c r="F658" s="37" t="s">
        <v>3805</v>
      </c>
      <c r="G658" s="38"/>
      <c r="H658" s="38">
        <v>34</v>
      </c>
      <c r="I658" s="37"/>
    </row>
    <row r="659" spans="1:9" ht="14.5" x14ac:dyDescent="0.35">
      <c r="A659" s="44" t="s">
        <v>3589</v>
      </c>
      <c r="B659" s="142" t="s">
        <v>3799</v>
      </c>
      <c r="C659" s="36">
        <v>45867</v>
      </c>
      <c r="D659" s="37" t="s">
        <v>422</v>
      </c>
      <c r="E659" t="s">
        <v>4593</v>
      </c>
      <c r="F659" s="37" t="s">
        <v>3805</v>
      </c>
      <c r="G659" s="38"/>
      <c r="H659" s="38">
        <v>32</v>
      </c>
      <c r="I659" s="37"/>
    </row>
    <row r="660" spans="1:9" ht="14.5" x14ac:dyDescent="0.35">
      <c r="A660" s="44" t="s">
        <v>3589</v>
      </c>
      <c r="B660" s="142" t="s">
        <v>3799</v>
      </c>
      <c r="C660" s="36">
        <v>45867</v>
      </c>
      <c r="D660" s="37" t="s">
        <v>422</v>
      </c>
      <c r="E660" t="s">
        <v>4594</v>
      </c>
      <c r="F660" s="37" t="s">
        <v>3805</v>
      </c>
      <c r="G660" s="38"/>
      <c r="H660" s="38">
        <v>43</v>
      </c>
      <c r="I660" s="37"/>
    </row>
    <row r="661" spans="1:9" ht="14.5" x14ac:dyDescent="0.35">
      <c r="A661" s="44" t="s">
        <v>3589</v>
      </c>
      <c r="B661" s="142" t="s">
        <v>3799</v>
      </c>
      <c r="C661" s="36">
        <v>45867</v>
      </c>
      <c r="D661" s="37" t="s">
        <v>422</v>
      </c>
      <c r="E661" t="s">
        <v>4595</v>
      </c>
      <c r="F661" s="37" t="s">
        <v>3805</v>
      </c>
      <c r="G661" s="38"/>
      <c r="H661" s="38">
        <v>44</v>
      </c>
      <c r="I661" s="37"/>
    </row>
    <row r="662" spans="1:9" ht="14.5" x14ac:dyDescent="0.35">
      <c r="A662" s="44" t="s">
        <v>3589</v>
      </c>
      <c r="B662" s="142" t="s">
        <v>3799</v>
      </c>
      <c r="C662" s="36">
        <v>45867</v>
      </c>
      <c r="D662" s="37" t="s">
        <v>422</v>
      </c>
      <c r="E662" t="s">
        <v>4596</v>
      </c>
      <c r="F662" s="37" t="s">
        <v>3805</v>
      </c>
      <c r="G662" s="38"/>
      <c r="H662" s="38">
        <v>33</v>
      </c>
      <c r="I662" s="37"/>
    </row>
    <row r="663" spans="1:9" ht="14.5" x14ac:dyDescent="0.35">
      <c r="A663" s="44" t="s">
        <v>3589</v>
      </c>
      <c r="B663" s="142" t="s">
        <v>3799</v>
      </c>
      <c r="C663" s="36">
        <v>45867</v>
      </c>
      <c r="D663" s="37" t="s">
        <v>422</v>
      </c>
      <c r="E663" t="s">
        <v>4597</v>
      </c>
      <c r="F663" s="37" t="s">
        <v>3805</v>
      </c>
      <c r="G663" s="38"/>
      <c r="H663" s="38">
        <v>43</v>
      </c>
      <c r="I663" s="37"/>
    </row>
    <row r="664" spans="1:9" ht="14.5" x14ac:dyDescent="0.35">
      <c r="A664" s="44" t="s">
        <v>3589</v>
      </c>
      <c r="B664" s="142" t="s">
        <v>3799</v>
      </c>
      <c r="C664" s="36">
        <v>45867</v>
      </c>
      <c r="D664" s="37" t="s">
        <v>422</v>
      </c>
      <c r="E664" t="s">
        <v>4598</v>
      </c>
      <c r="F664" s="37" t="s">
        <v>3805</v>
      </c>
      <c r="G664" s="38"/>
      <c r="H664" s="38">
        <v>65</v>
      </c>
      <c r="I664" s="37"/>
    </row>
    <row r="665" spans="1:9" ht="14.5" x14ac:dyDescent="0.35">
      <c r="A665" s="44" t="s">
        <v>3589</v>
      </c>
      <c r="B665" s="142" t="s">
        <v>3799</v>
      </c>
      <c r="C665" s="36">
        <v>45867</v>
      </c>
      <c r="D665" s="37" t="s">
        <v>422</v>
      </c>
      <c r="E665" t="s">
        <v>4599</v>
      </c>
      <c r="F665" s="37" t="s">
        <v>3805</v>
      </c>
      <c r="G665" s="38"/>
      <c r="H665" s="38">
        <v>39</v>
      </c>
      <c r="I665" s="37"/>
    </row>
    <row r="666" spans="1:9" ht="14.5" x14ac:dyDescent="0.35">
      <c r="A666" s="44" t="s">
        <v>3589</v>
      </c>
      <c r="B666" s="142" t="s">
        <v>3799</v>
      </c>
      <c r="C666" s="36">
        <v>45867</v>
      </c>
      <c r="D666" s="37" t="s">
        <v>422</v>
      </c>
      <c r="E666" t="s">
        <v>4600</v>
      </c>
      <c r="F666" s="37" t="s">
        <v>3805</v>
      </c>
      <c r="G666" s="38"/>
      <c r="H666" s="38">
        <v>86</v>
      </c>
      <c r="I666" s="37"/>
    </row>
    <row r="667" spans="1:9" ht="14.5" x14ac:dyDescent="0.35">
      <c r="A667" s="44" t="s">
        <v>3589</v>
      </c>
      <c r="B667" s="142" t="s">
        <v>3799</v>
      </c>
      <c r="C667" s="36">
        <v>45867</v>
      </c>
      <c r="D667" s="37" t="s">
        <v>422</v>
      </c>
      <c r="E667" t="s">
        <v>4601</v>
      </c>
      <c r="F667" s="37" t="s">
        <v>3805</v>
      </c>
      <c r="G667" s="38"/>
      <c r="H667" s="38">
        <v>39</v>
      </c>
      <c r="I667" s="37"/>
    </row>
    <row r="668" spans="1:9" ht="14.5" x14ac:dyDescent="0.35">
      <c r="A668" s="44" t="s">
        <v>3589</v>
      </c>
      <c r="B668" s="142" t="s">
        <v>3799</v>
      </c>
      <c r="C668" s="36">
        <v>45867</v>
      </c>
      <c r="D668" s="37" t="s">
        <v>422</v>
      </c>
      <c r="E668" t="s">
        <v>4602</v>
      </c>
      <c r="F668" s="37" t="s">
        <v>3805</v>
      </c>
      <c r="G668" s="38"/>
      <c r="H668" s="38">
        <v>35</v>
      </c>
      <c r="I668" s="37"/>
    </row>
    <row r="669" spans="1:9" ht="14.5" x14ac:dyDescent="0.35">
      <c r="A669" s="44" t="s">
        <v>3589</v>
      </c>
      <c r="B669" s="142" t="s">
        <v>3799</v>
      </c>
      <c r="C669" s="36">
        <v>45867</v>
      </c>
      <c r="D669" s="37" t="s">
        <v>422</v>
      </c>
      <c r="E669" t="s">
        <v>4603</v>
      </c>
      <c r="F669" s="37" t="s">
        <v>3805</v>
      </c>
      <c r="G669" s="38"/>
      <c r="H669" s="38">
        <v>64</v>
      </c>
      <c r="I669" s="37"/>
    </row>
    <row r="670" spans="1:9" ht="14.5" x14ac:dyDescent="0.35">
      <c r="A670" s="44" t="s">
        <v>3589</v>
      </c>
      <c r="B670" s="142" t="s">
        <v>3799</v>
      </c>
      <c r="C670" s="36">
        <v>45867</v>
      </c>
      <c r="D670" s="37" t="s">
        <v>422</v>
      </c>
      <c r="E670" t="s">
        <v>4604</v>
      </c>
      <c r="F670" s="37" t="s">
        <v>3805</v>
      </c>
      <c r="G670" s="38"/>
      <c r="H670" s="38">
        <v>177</v>
      </c>
      <c r="I670" s="37"/>
    </row>
    <row r="671" spans="1:9" ht="14.5" x14ac:dyDescent="0.35">
      <c r="A671" s="44" t="s">
        <v>3589</v>
      </c>
      <c r="B671" s="142" t="s">
        <v>3799</v>
      </c>
      <c r="C671" s="36">
        <v>45867</v>
      </c>
      <c r="D671" s="37" t="s">
        <v>882</v>
      </c>
      <c r="E671" t="s">
        <v>4605</v>
      </c>
      <c r="F671" s="37" t="s">
        <v>3805</v>
      </c>
      <c r="G671" s="38"/>
      <c r="H671" s="38">
        <v>116</v>
      </c>
      <c r="I671" s="37"/>
    </row>
    <row r="672" spans="1:9" ht="14.5" x14ac:dyDescent="0.35">
      <c r="A672" s="44" t="s">
        <v>3589</v>
      </c>
      <c r="B672" s="142" t="s">
        <v>3799</v>
      </c>
      <c r="C672" s="36">
        <v>45867</v>
      </c>
      <c r="D672" s="37" t="s">
        <v>422</v>
      </c>
      <c r="E672" t="s">
        <v>4606</v>
      </c>
      <c r="F672" s="37" t="s">
        <v>3805</v>
      </c>
      <c r="G672" s="38"/>
      <c r="H672" s="38">
        <v>77</v>
      </c>
      <c r="I672" s="37"/>
    </row>
    <row r="673" spans="1:9" ht="14.5" x14ac:dyDescent="0.35">
      <c r="A673" s="44" t="s">
        <v>3589</v>
      </c>
      <c r="B673" s="142" t="s">
        <v>3799</v>
      </c>
      <c r="C673" s="36">
        <v>45867</v>
      </c>
      <c r="D673" s="37" t="s">
        <v>422</v>
      </c>
      <c r="E673" t="s">
        <v>4607</v>
      </c>
      <c r="F673" s="37" t="s">
        <v>3805</v>
      </c>
      <c r="G673" s="38"/>
      <c r="H673" s="38">
        <v>33</v>
      </c>
      <c r="I673" s="37"/>
    </row>
    <row r="674" spans="1:9" ht="14.5" x14ac:dyDescent="0.35">
      <c r="A674" s="44" t="s">
        <v>3589</v>
      </c>
      <c r="B674" s="142" t="s">
        <v>3799</v>
      </c>
      <c r="C674" s="36">
        <v>45867</v>
      </c>
      <c r="D674" s="37" t="s">
        <v>422</v>
      </c>
      <c r="E674" t="s">
        <v>4608</v>
      </c>
      <c r="F674" s="37" t="s">
        <v>3805</v>
      </c>
      <c r="G674" s="38"/>
      <c r="H674" s="38">
        <v>64</v>
      </c>
      <c r="I674" s="37"/>
    </row>
    <row r="675" spans="1:9" ht="14.5" x14ac:dyDescent="0.35">
      <c r="A675" s="44" t="s">
        <v>3589</v>
      </c>
      <c r="B675" s="142" t="s">
        <v>3799</v>
      </c>
      <c r="C675" s="36">
        <v>45867</v>
      </c>
      <c r="D675" s="37" t="s">
        <v>422</v>
      </c>
      <c r="E675" t="s">
        <v>4609</v>
      </c>
      <c r="F675" s="37" t="s">
        <v>3805</v>
      </c>
      <c r="G675" s="38"/>
      <c r="H675" s="38">
        <v>39</v>
      </c>
      <c r="I675" s="37"/>
    </row>
    <row r="676" spans="1:9" ht="14.5" x14ac:dyDescent="0.35">
      <c r="A676" s="44" t="s">
        <v>3589</v>
      </c>
      <c r="B676" s="142" t="s">
        <v>3799</v>
      </c>
      <c r="C676" s="36">
        <v>45867</v>
      </c>
      <c r="D676" s="37" t="s">
        <v>422</v>
      </c>
      <c r="E676" t="s">
        <v>4610</v>
      </c>
      <c r="F676" s="37" t="s">
        <v>3805</v>
      </c>
      <c r="G676" s="38"/>
      <c r="H676" s="38">
        <v>39</v>
      </c>
      <c r="I676" s="37"/>
    </row>
    <row r="677" spans="1:9" ht="14.5" x14ac:dyDescent="0.35">
      <c r="A677" s="44" t="s">
        <v>3589</v>
      </c>
      <c r="B677" s="142" t="s">
        <v>3799</v>
      </c>
      <c r="C677" s="36">
        <v>45867</v>
      </c>
      <c r="D677" s="37" t="s">
        <v>422</v>
      </c>
      <c r="E677" t="s">
        <v>4611</v>
      </c>
      <c r="F677" s="37" t="s">
        <v>3805</v>
      </c>
      <c r="G677" s="38"/>
      <c r="H677" s="38">
        <v>154</v>
      </c>
      <c r="I677" s="37"/>
    </row>
    <row r="678" spans="1:9" ht="14.5" x14ac:dyDescent="0.35">
      <c r="A678" s="44" t="s">
        <v>3589</v>
      </c>
      <c r="B678" s="142" t="s">
        <v>3799</v>
      </c>
      <c r="C678" s="36">
        <v>45867</v>
      </c>
      <c r="D678" s="37" t="s">
        <v>66</v>
      </c>
      <c r="E678" t="s">
        <v>4612</v>
      </c>
      <c r="F678" s="37" t="s">
        <v>3805</v>
      </c>
      <c r="G678" s="38"/>
      <c r="H678" s="38">
        <v>162</v>
      </c>
      <c r="I678" s="37"/>
    </row>
    <row r="679" spans="1:9" ht="14.5" x14ac:dyDescent="0.35">
      <c r="A679" s="44" t="s">
        <v>3589</v>
      </c>
      <c r="B679" s="142" t="s">
        <v>3799</v>
      </c>
      <c r="C679" s="36">
        <v>45867</v>
      </c>
      <c r="D679" s="37" t="s">
        <v>422</v>
      </c>
      <c r="E679" t="s">
        <v>4613</v>
      </c>
      <c r="F679" s="37" t="s">
        <v>3805</v>
      </c>
      <c r="G679" s="38"/>
      <c r="H679" s="38">
        <v>65</v>
      </c>
      <c r="I679" s="37"/>
    </row>
    <row r="680" spans="1:9" ht="14.5" x14ac:dyDescent="0.35">
      <c r="A680" s="44" t="s">
        <v>3589</v>
      </c>
      <c r="B680" s="142" t="s">
        <v>3799</v>
      </c>
      <c r="C680" s="36">
        <v>45867</v>
      </c>
      <c r="D680" s="37" t="s">
        <v>422</v>
      </c>
      <c r="E680" t="s">
        <v>4614</v>
      </c>
      <c r="F680" s="37" t="s">
        <v>3805</v>
      </c>
      <c r="G680" s="38"/>
      <c r="H680" s="38">
        <v>32</v>
      </c>
      <c r="I680" s="37"/>
    </row>
    <row r="681" spans="1:9" ht="14.5" x14ac:dyDescent="0.35">
      <c r="A681" s="44" t="s">
        <v>3589</v>
      </c>
      <c r="B681" s="142" t="s">
        <v>3799</v>
      </c>
      <c r="C681" s="36">
        <v>45867</v>
      </c>
      <c r="D681" s="37" t="s">
        <v>422</v>
      </c>
      <c r="E681" t="s">
        <v>4615</v>
      </c>
      <c r="F681" s="37" t="s">
        <v>3805</v>
      </c>
      <c r="G681" s="38"/>
      <c r="H681" s="38">
        <v>64</v>
      </c>
      <c r="I681" s="37"/>
    </row>
    <row r="682" spans="1:9" ht="14.5" x14ac:dyDescent="0.35">
      <c r="A682" s="44" t="s">
        <v>3589</v>
      </c>
      <c r="B682" s="142" t="s">
        <v>3799</v>
      </c>
      <c r="C682" s="36">
        <v>45867</v>
      </c>
      <c r="D682" s="37" t="s">
        <v>422</v>
      </c>
      <c r="E682" t="s">
        <v>4616</v>
      </c>
      <c r="F682" s="37" t="s">
        <v>3805</v>
      </c>
      <c r="G682" s="38"/>
      <c r="H682" s="38">
        <v>33</v>
      </c>
      <c r="I682" s="37"/>
    </row>
    <row r="683" spans="1:9" ht="14.5" x14ac:dyDescent="0.35">
      <c r="A683" s="44" t="s">
        <v>3589</v>
      </c>
      <c r="B683" s="142" t="s">
        <v>3799</v>
      </c>
      <c r="C683" s="36">
        <v>45867</v>
      </c>
      <c r="D683" s="37" t="s">
        <v>422</v>
      </c>
      <c r="E683" t="s">
        <v>4617</v>
      </c>
      <c r="F683" s="37" t="s">
        <v>3805</v>
      </c>
      <c r="G683" s="38"/>
      <c r="H683" s="38">
        <v>104</v>
      </c>
      <c r="I683" s="37"/>
    </row>
    <row r="684" spans="1:9" ht="14.5" x14ac:dyDescent="0.35">
      <c r="A684" s="44" t="s">
        <v>3589</v>
      </c>
      <c r="B684" s="142" t="s">
        <v>3799</v>
      </c>
      <c r="C684" s="36">
        <v>45867</v>
      </c>
      <c r="D684" s="37" t="s">
        <v>66</v>
      </c>
      <c r="E684" t="s">
        <v>4618</v>
      </c>
      <c r="F684" s="37" t="s">
        <v>3805</v>
      </c>
      <c r="G684" s="38"/>
      <c r="H684" s="38">
        <v>162</v>
      </c>
      <c r="I684" s="37"/>
    </row>
    <row r="685" spans="1:9" ht="14.5" x14ac:dyDescent="0.35">
      <c r="A685" s="44" t="s">
        <v>3589</v>
      </c>
      <c r="B685" s="142" t="s">
        <v>3799</v>
      </c>
      <c r="C685" s="36">
        <v>45867</v>
      </c>
      <c r="D685" s="37" t="s">
        <v>422</v>
      </c>
      <c r="E685" t="s">
        <v>4619</v>
      </c>
      <c r="F685" s="37" t="s">
        <v>3805</v>
      </c>
      <c r="G685" s="38"/>
      <c r="H685" s="38">
        <v>39</v>
      </c>
      <c r="I685" s="37"/>
    </row>
    <row r="686" spans="1:9" ht="14.5" x14ac:dyDescent="0.35">
      <c r="A686" s="44" t="s">
        <v>3589</v>
      </c>
      <c r="B686" s="142" t="s">
        <v>3799</v>
      </c>
      <c r="C686" s="36">
        <v>45867</v>
      </c>
      <c r="D686" s="37" t="s">
        <v>422</v>
      </c>
      <c r="E686" t="s">
        <v>4620</v>
      </c>
      <c r="F686" s="37" t="s">
        <v>3805</v>
      </c>
      <c r="G686" s="38"/>
      <c r="H686" s="38">
        <v>68</v>
      </c>
      <c r="I686" s="37"/>
    </row>
    <row r="687" spans="1:9" ht="14.5" x14ac:dyDescent="0.35">
      <c r="A687" s="44" t="s">
        <v>3589</v>
      </c>
      <c r="B687" s="142" t="s">
        <v>3799</v>
      </c>
      <c r="C687" s="36">
        <v>45867</v>
      </c>
      <c r="D687" s="37" t="s">
        <v>422</v>
      </c>
      <c r="E687" t="s">
        <v>4621</v>
      </c>
      <c r="F687" s="37" t="s">
        <v>3805</v>
      </c>
      <c r="G687" s="38"/>
      <c r="H687" s="38">
        <v>40</v>
      </c>
      <c r="I687" s="37"/>
    </row>
    <row r="688" spans="1:9" ht="14.5" x14ac:dyDescent="0.35">
      <c r="A688" s="44" t="s">
        <v>3589</v>
      </c>
      <c r="B688" s="142" t="s">
        <v>3799</v>
      </c>
      <c r="C688" s="36">
        <v>45867</v>
      </c>
      <c r="D688" s="37" t="s">
        <v>422</v>
      </c>
      <c r="E688" t="s">
        <v>4622</v>
      </c>
      <c r="F688" s="37" t="s">
        <v>3805</v>
      </c>
      <c r="G688" s="38"/>
      <c r="H688" s="38">
        <v>35</v>
      </c>
      <c r="I688" s="37"/>
    </row>
    <row r="689" spans="1:9" ht="14.5" x14ac:dyDescent="0.35">
      <c r="A689" s="44" t="s">
        <v>3589</v>
      </c>
      <c r="B689" s="142" t="s">
        <v>3799</v>
      </c>
      <c r="C689" s="36">
        <v>45867</v>
      </c>
      <c r="D689" s="37" t="s">
        <v>422</v>
      </c>
      <c r="E689" t="s">
        <v>4623</v>
      </c>
      <c r="F689" s="37" t="s">
        <v>3805</v>
      </c>
      <c r="G689" s="38"/>
      <c r="H689" s="38">
        <v>32</v>
      </c>
      <c r="I689" s="37"/>
    </row>
    <row r="690" spans="1:9" ht="14.5" x14ac:dyDescent="0.35">
      <c r="A690" s="44" t="s">
        <v>3589</v>
      </c>
      <c r="B690" s="142" t="s">
        <v>3799</v>
      </c>
      <c r="C690" s="36">
        <v>45867</v>
      </c>
      <c r="D690" s="37" t="s">
        <v>422</v>
      </c>
      <c r="E690" t="s">
        <v>4624</v>
      </c>
      <c r="F690" s="37" t="s">
        <v>3805</v>
      </c>
      <c r="G690" s="38"/>
      <c r="H690" s="38">
        <v>44</v>
      </c>
      <c r="I690" s="37"/>
    </row>
    <row r="691" spans="1:9" ht="14.5" x14ac:dyDescent="0.35">
      <c r="A691" s="44" t="s">
        <v>3589</v>
      </c>
      <c r="B691" s="142" t="s">
        <v>3799</v>
      </c>
      <c r="C691" s="36">
        <v>45867</v>
      </c>
      <c r="D691" s="37" t="s">
        <v>422</v>
      </c>
      <c r="E691" t="s">
        <v>4625</v>
      </c>
      <c r="F691" s="37" t="s">
        <v>3805</v>
      </c>
      <c r="G691" s="38"/>
      <c r="H691" s="38">
        <v>34</v>
      </c>
      <c r="I691" s="37"/>
    </row>
    <row r="692" spans="1:9" ht="14.5" x14ac:dyDescent="0.35">
      <c r="A692" s="44" t="s">
        <v>3589</v>
      </c>
      <c r="B692" s="142" t="s">
        <v>3799</v>
      </c>
      <c r="C692" s="36">
        <v>45867</v>
      </c>
      <c r="D692" s="37" t="s">
        <v>422</v>
      </c>
      <c r="E692" t="s">
        <v>4626</v>
      </c>
      <c r="F692" s="37" t="s">
        <v>3805</v>
      </c>
      <c r="G692" s="38"/>
      <c r="H692" s="38">
        <v>43</v>
      </c>
      <c r="I692" s="37"/>
    </row>
    <row r="693" spans="1:9" ht="14.5" x14ac:dyDescent="0.35">
      <c r="A693" s="44" t="s">
        <v>3589</v>
      </c>
      <c r="B693" s="142" t="s">
        <v>3799</v>
      </c>
      <c r="C693" s="36">
        <v>45867</v>
      </c>
      <c r="D693" s="37" t="s">
        <v>422</v>
      </c>
      <c r="E693" t="s">
        <v>4627</v>
      </c>
      <c r="F693" s="37" t="s">
        <v>3805</v>
      </c>
      <c r="G693" s="38"/>
      <c r="H693" s="38">
        <v>34</v>
      </c>
      <c r="I693" s="37"/>
    </row>
    <row r="694" spans="1:9" ht="14.5" x14ac:dyDescent="0.35">
      <c r="A694" s="44" t="s">
        <v>3589</v>
      </c>
      <c r="B694" s="142" t="s">
        <v>3799</v>
      </c>
      <c r="C694" s="36">
        <v>45867</v>
      </c>
      <c r="D694" s="37" t="s">
        <v>66</v>
      </c>
      <c r="E694" t="s">
        <v>4628</v>
      </c>
      <c r="F694" s="37" t="s">
        <v>3805</v>
      </c>
      <c r="G694" s="38"/>
      <c r="H694" s="38">
        <v>243</v>
      </c>
      <c r="I694" s="37"/>
    </row>
    <row r="695" spans="1:9" ht="14.5" x14ac:dyDescent="0.35">
      <c r="A695" s="44" t="s">
        <v>3589</v>
      </c>
      <c r="B695" s="142" t="s">
        <v>3799</v>
      </c>
      <c r="C695" s="36">
        <v>45867</v>
      </c>
      <c r="D695" s="37" t="s">
        <v>66</v>
      </c>
      <c r="E695" t="s">
        <v>4629</v>
      </c>
      <c r="F695" s="37" t="s">
        <v>3805</v>
      </c>
      <c r="G695" s="38"/>
      <c r="H695" s="38">
        <v>81</v>
      </c>
      <c r="I695" s="37"/>
    </row>
    <row r="696" spans="1:9" ht="14.5" x14ac:dyDescent="0.35">
      <c r="A696" s="44" t="s">
        <v>3589</v>
      </c>
      <c r="B696" s="142" t="s">
        <v>3799</v>
      </c>
      <c r="C696" s="36">
        <v>45867</v>
      </c>
      <c r="D696" s="37" t="s">
        <v>819</v>
      </c>
      <c r="E696" t="s">
        <v>4630</v>
      </c>
      <c r="F696" s="37" t="s">
        <v>3805</v>
      </c>
      <c r="G696" s="38"/>
      <c r="H696" s="38">
        <v>650</v>
      </c>
      <c r="I696" s="37"/>
    </row>
    <row r="697" spans="1:9" ht="14.5" x14ac:dyDescent="0.35">
      <c r="A697" s="44" t="s">
        <v>3589</v>
      </c>
      <c r="B697" s="142" t="s">
        <v>3799</v>
      </c>
      <c r="C697" s="36">
        <v>45867</v>
      </c>
      <c r="D697" s="37" t="s">
        <v>422</v>
      </c>
      <c r="E697" t="s">
        <v>4631</v>
      </c>
      <c r="F697" s="37" t="s">
        <v>3805</v>
      </c>
      <c r="G697" s="38"/>
      <c r="H697" s="38">
        <v>34</v>
      </c>
      <c r="I697" s="37"/>
    </row>
    <row r="698" spans="1:9" ht="14.5" x14ac:dyDescent="0.35">
      <c r="A698" s="44" t="s">
        <v>3589</v>
      </c>
      <c r="B698" s="142" t="s">
        <v>3799</v>
      </c>
      <c r="C698" s="36">
        <v>45867</v>
      </c>
      <c r="D698" s="37" t="s">
        <v>422</v>
      </c>
      <c r="E698" t="s">
        <v>4632</v>
      </c>
      <c r="F698" s="37" t="s">
        <v>3805</v>
      </c>
      <c r="G698" s="38"/>
      <c r="H698" s="38">
        <v>34</v>
      </c>
      <c r="I698" s="37"/>
    </row>
    <row r="699" spans="1:9" ht="14.5" x14ac:dyDescent="0.35">
      <c r="A699" s="44" t="s">
        <v>3589</v>
      </c>
      <c r="B699" s="142" t="s">
        <v>3799</v>
      </c>
      <c r="C699" s="36">
        <v>45867</v>
      </c>
      <c r="D699" s="37" t="s">
        <v>422</v>
      </c>
      <c r="E699" t="s">
        <v>4633</v>
      </c>
      <c r="F699" s="37" t="s">
        <v>3805</v>
      </c>
      <c r="G699" s="38"/>
      <c r="H699" s="38">
        <v>34</v>
      </c>
      <c r="I699" s="37"/>
    </row>
    <row r="700" spans="1:9" ht="14.5" x14ac:dyDescent="0.35">
      <c r="A700" s="44" t="s">
        <v>3589</v>
      </c>
      <c r="B700" s="142" t="s">
        <v>3799</v>
      </c>
      <c r="C700" s="36">
        <v>45867</v>
      </c>
      <c r="D700" s="37" t="s">
        <v>422</v>
      </c>
      <c r="E700" t="s">
        <v>4634</v>
      </c>
      <c r="F700" s="37" t="s">
        <v>3805</v>
      </c>
      <c r="G700" s="38"/>
      <c r="H700" s="38">
        <v>39</v>
      </c>
      <c r="I700" s="37"/>
    </row>
    <row r="701" spans="1:9" ht="14.5" x14ac:dyDescent="0.35">
      <c r="A701" s="44" t="s">
        <v>3589</v>
      </c>
      <c r="B701" s="142" t="s">
        <v>3799</v>
      </c>
      <c r="C701" s="36">
        <v>45867</v>
      </c>
      <c r="D701" s="37" t="s">
        <v>422</v>
      </c>
      <c r="E701" t="s">
        <v>4635</v>
      </c>
      <c r="F701" s="37" t="s">
        <v>3805</v>
      </c>
      <c r="G701" s="38"/>
      <c r="H701" s="38">
        <v>32</v>
      </c>
      <c r="I701" s="37"/>
    </row>
    <row r="702" spans="1:9" ht="14.5" x14ac:dyDescent="0.35">
      <c r="A702" s="44" t="s">
        <v>3589</v>
      </c>
      <c r="B702" s="142" t="s">
        <v>3799</v>
      </c>
      <c r="C702" s="36">
        <v>45867</v>
      </c>
      <c r="D702" s="37" t="s">
        <v>422</v>
      </c>
      <c r="E702" t="s">
        <v>4636</v>
      </c>
      <c r="F702" s="37" t="s">
        <v>3805</v>
      </c>
      <c r="G702" s="38"/>
      <c r="H702" s="38">
        <v>43</v>
      </c>
      <c r="I702" s="37"/>
    </row>
    <row r="703" spans="1:9" ht="14.5" x14ac:dyDescent="0.35">
      <c r="A703" s="44" t="s">
        <v>3589</v>
      </c>
      <c r="B703" s="142" t="s">
        <v>3799</v>
      </c>
      <c r="C703" s="36">
        <v>45867</v>
      </c>
      <c r="D703" s="37" t="s">
        <v>422</v>
      </c>
      <c r="E703" t="s">
        <v>4637</v>
      </c>
      <c r="F703" s="37" t="s">
        <v>3805</v>
      </c>
      <c r="G703" s="38"/>
      <c r="H703" s="38">
        <v>33</v>
      </c>
      <c r="I703" s="37"/>
    </row>
    <row r="704" spans="1:9" ht="14.5" x14ac:dyDescent="0.35">
      <c r="A704" s="44" t="s">
        <v>3589</v>
      </c>
      <c r="B704" s="142" t="s">
        <v>3799</v>
      </c>
      <c r="C704" s="36">
        <v>45867</v>
      </c>
      <c r="D704" s="37" t="s">
        <v>422</v>
      </c>
      <c r="E704" t="s">
        <v>4638</v>
      </c>
      <c r="F704" s="37" t="s">
        <v>3805</v>
      </c>
      <c r="G704" s="38"/>
      <c r="H704" s="38">
        <v>68</v>
      </c>
      <c r="I704" s="37"/>
    </row>
    <row r="705" spans="1:9" ht="14.5" x14ac:dyDescent="0.35">
      <c r="A705" s="44" t="s">
        <v>3589</v>
      </c>
      <c r="B705" s="142" t="s">
        <v>3799</v>
      </c>
      <c r="C705" s="36">
        <v>45867</v>
      </c>
      <c r="D705" s="37" t="s">
        <v>17</v>
      </c>
      <c r="E705" t="s">
        <v>4639</v>
      </c>
      <c r="F705" s="37" t="s">
        <v>3805</v>
      </c>
      <c r="G705" s="38"/>
      <c r="H705" s="38">
        <v>2710</v>
      </c>
      <c r="I705" s="37"/>
    </row>
    <row r="706" spans="1:9" ht="14.5" x14ac:dyDescent="0.35">
      <c r="A706" s="44" t="s">
        <v>3589</v>
      </c>
      <c r="B706" s="142" t="s">
        <v>3799</v>
      </c>
      <c r="C706" s="36">
        <v>45867</v>
      </c>
      <c r="D706" s="37" t="s">
        <v>422</v>
      </c>
      <c r="E706" t="s">
        <v>4640</v>
      </c>
      <c r="F706" s="37" t="s">
        <v>3805</v>
      </c>
      <c r="G706" s="38"/>
      <c r="H706" s="38">
        <v>43</v>
      </c>
      <c r="I706" s="37"/>
    </row>
    <row r="707" spans="1:9" ht="14.5" x14ac:dyDescent="0.35">
      <c r="A707" s="44" t="s">
        <v>3589</v>
      </c>
      <c r="B707" s="142" t="s">
        <v>3799</v>
      </c>
      <c r="C707" s="36">
        <v>45867</v>
      </c>
      <c r="D707" s="37" t="s">
        <v>422</v>
      </c>
      <c r="E707" t="s">
        <v>4641</v>
      </c>
      <c r="F707" s="37" t="s">
        <v>3805</v>
      </c>
      <c r="G707" s="38"/>
      <c r="H707" s="38">
        <v>34</v>
      </c>
      <c r="I707" s="37"/>
    </row>
    <row r="708" spans="1:9" ht="14.5" x14ac:dyDescent="0.35">
      <c r="A708" s="44" t="s">
        <v>3589</v>
      </c>
      <c r="B708" s="142" t="s">
        <v>3799</v>
      </c>
      <c r="C708" s="36">
        <v>45867</v>
      </c>
      <c r="D708" s="37" t="s">
        <v>933</v>
      </c>
      <c r="E708" t="s">
        <v>4642</v>
      </c>
      <c r="F708" s="37" t="s">
        <v>3805</v>
      </c>
      <c r="G708" s="38"/>
      <c r="H708" s="38">
        <v>1500</v>
      </c>
      <c r="I708" s="37"/>
    </row>
    <row r="709" spans="1:9" ht="14.5" x14ac:dyDescent="0.35">
      <c r="A709" s="44" t="s">
        <v>3589</v>
      </c>
      <c r="B709" s="142" t="s">
        <v>3799</v>
      </c>
      <c r="C709" s="36">
        <v>45867</v>
      </c>
      <c r="D709" s="37" t="s">
        <v>422</v>
      </c>
      <c r="E709" t="s">
        <v>4643</v>
      </c>
      <c r="F709" s="37" t="s">
        <v>3805</v>
      </c>
      <c r="G709" s="38"/>
      <c r="H709" s="38">
        <v>39</v>
      </c>
      <c r="I709" s="37"/>
    </row>
    <row r="710" spans="1:9" ht="14.5" x14ac:dyDescent="0.35">
      <c r="A710" s="44" t="s">
        <v>3589</v>
      </c>
      <c r="B710" s="142" t="s">
        <v>3799</v>
      </c>
      <c r="C710" s="36">
        <v>45867</v>
      </c>
      <c r="D710" s="37" t="s">
        <v>17</v>
      </c>
      <c r="E710" t="s">
        <v>4644</v>
      </c>
      <c r="F710" s="37" t="s">
        <v>3805</v>
      </c>
      <c r="G710" s="38"/>
      <c r="H710" s="38">
        <v>970</v>
      </c>
      <c r="I710" s="37"/>
    </row>
    <row r="711" spans="1:9" ht="14.5" x14ac:dyDescent="0.35">
      <c r="A711" s="44" t="s">
        <v>3589</v>
      </c>
      <c r="B711" s="142" t="s">
        <v>3799</v>
      </c>
      <c r="C711" s="36">
        <v>45867</v>
      </c>
      <c r="D711" s="37" t="s">
        <v>422</v>
      </c>
      <c r="E711" t="s">
        <v>4645</v>
      </c>
      <c r="F711" s="37" t="s">
        <v>3805</v>
      </c>
      <c r="G711" s="38"/>
      <c r="H711" s="38">
        <v>64</v>
      </c>
      <c r="I711" s="37"/>
    </row>
    <row r="712" spans="1:9" ht="14.5" x14ac:dyDescent="0.35">
      <c r="A712" s="44" t="s">
        <v>3589</v>
      </c>
      <c r="B712" s="142" t="s">
        <v>3799</v>
      </c>
      <c r="C712" s="36">
        <v>45867</v>
      </c>
      <c r="D712" s="37" t="s">
        <v>422</v>
      </c>
      <c r="E712" t="s">
        <v>4646</v>
      </c>
      <c r="F712" s="37" t="s">
        <v>3805</v>
      </c>
      <c r="G712" s="38"/>
      <c r="H712" s="38">
        <v>110</v>
      </c>
      <c r="I712" s="37"/>
    </row>
    <row r="713" spans="1:9" ht="14.5" x14ac:dyDescent="0.35">
      <c r="A713" s="44" t="s">
        <v>3589</v>
      </c>
      <c r="B713" s="142" t="s">
        <v>3799</v>
      </c>
      <c r="C713" s="36">
        <v>45867</v>
      </c>
      <c r="D713" s="37" t="s">
        <v>422</v>
      </c>
      <c r="E713" t="s">
        <v>4647</v>
      </c>
      <c r="F713" s="37" t="s">
        <v>3805</v>
      </c>
      <c r="G713" s="38"/>
      <c r="H713" s="38">
        <v>35</v>
      </c>
      <c r="I713" s="37"/>
    </row>
    <row r="714" spans="1:9" ht="14.5" x14ac:dyDescent="0.35">
      <c r="A714" s="44" t="s">
        <v>3589</v>
      </c>
      <c r="B714" s="142" t="s">
        <v>3799</v>
      </c>
      <c r="C714" s="36">
        <v>45867</v>
      </c>
      <c r="D714" s="37" t="s">
        <v>422</v>
      </c>
      <c r="E714" t="s">
        <v>4648</v>
      </c>
      <c r="F714" s="37" t="s">
        <v>3805</v>
      </c>
      <c r="G714" s="38"/>
      <c r="H714" s="38">
        <v>34</v>
      </c>
      <c r="I714" s="37"/>
    </row>
    <row r="715" spans="1:9" ht="14.5" x14ac:dyDescent="0.35">
      <c r="A715" s="44" t="s">
        <v>3589</v>
      </c>
      <c r="B715" s="142" t="s">
        <v>3799</v>
      </c>
      <c r="C715" s="36">
        <v>45867</v>
      </c>
      <c r="D715" s="37" t="s">
        <v>34</v>
      </c>
      <c r="E715" t="s">
        <v>4649</v>
      </c>
      <c r="F715" s="37" t="s">
        <v>3805</v>
      </c>
      <c r="G715" s="38"/>
      <c r="H715" s="38">
        <v>770</v>
      </c>
      <c r="I715" s="37"/>
    </row>
    <row r="716" spans="1:9" ht="14.5" x14ac:dyDescent="0.35">
      <c r="A716" s="44" t="s">
        <v>3589</v>
      </c>
      <c r="B716" s="142" t="s">
        <v>3799</v>
      </c>
      <c r="C716" s="36">
        <v>45867</v>
      </c>
      <c r="D716" s="37" t="s">
        <v>422</v>
      </c>
      <c r="E716" t="s">
        <v>4650</v>
      </c>
      <c r="F716" s="37" t="s">
        <v>3805</v>
      </c>
      <c r="G716" s="38"/>
      <c r="H716" s="38">
        <v>43</v>
      </c>
      <c r="I716" s="37"/>
    </row>
    <row r="717" spans="1:9" ht="14.5" x14ac:dyDescent="0.35">
      <c r="A717" s="44" t="s">
        <v>3589</v>
      </c>
      <c r="B717" s="142" t="s">
        <v>3799</v>
      </c>
      <c r="C717" s="36">
        <v>45867</v>
      </c>
      <c r="D717" s="37" t="s">
        <v>66</v>
      </c>
      <c r="E717" t="s">
        <v>4651</v>
      </c>
      <c r="F717" s="37" t="s">
        <v>3805</v>
      </c>
      <c r="G717" s="38"/>
      <c r="H717" s="38">
        <v>81</v>
      </c>
      <c r="I717" s="37"/>
    </row>
    <row r="718" spans="1:9" ht="14.5" x14ac:dyDescent="0.35">
      <c r="A718" s="44" t="s">
        <v>3589</v>
      </c>
      <c r="B718" s="142" t="s">
        <v>3799</v>
      </c>
      <c r="C718" s="36">
        <v>45867</v>
      </c>
      <c r="D718" s="37" t="s">
        <v>422</v>
      </c>
      <c r="E718" t="s">
        <v>4652</v>
      </c>
      <c r="F718" s="37" t="s">
        <v>3805</v>
      </c>
      <c r="G718" s="38"/>
      <c r="H718" s="38">
        <v>32</v>
      </c>
      <c r="I718" s="37"/>
    </row>
    <row r="719" spans="1:9" ht="14.5" x14ac:dyDescent="0.35">
      <c r="A719" s="44" t="s">
        <v>3589</v>
      </c>
      <c r="B719" s="142" t="s">
        <v>3799</v>
      </c>
      <c r="C719" s="36">
        <v>45867</v>
      </c>
      <c r="D719" s="37" t="s">
        <v>422</v>
      </c>
      <c r="E719" t="s">
        <v>4653</v>
      </c>
      <c r="F719" s="37" t="s">
        <v>3805</v>
      </c>
      <c r="G719" s="38"/>
      <c r="H719" s="38">
        <v>43</v>
      </c>
      <c r="I719" s="37"/>
    </row>
    <row r="720" spans="1:9" ht="14.5" x14ac:dyDescent="0.35">
      <c r="A720" s="44" t="s">
        <v>3589</v>
      </c>
      <c r="B720" s="142" t="s">
        <v>3799</v>
      </c>
      <c r="C720" s="36">
        <v>45867</v>
      </c>
      <c r="D720" s="37" t="s">
        <v>422</v>
      </c>
      <c r="E720" t="s">
        <v>4654</v>
      </c>
      <c r="F720" s="37" t="s">
        <v>3805</v>
      </c>
      <c r="G720" s="38"/>
      <c r="H720" s="38">
        <v>43</v>
      </c>
      <c r="I720" s="37"/>
    </row>
    <row r="721" spans="1:9" ht="14.5" x14ac:dyDescent="0.35">
      <c r="A721" s="44" t="s">
        <v>3589</v>
      </c>
      <c r="B721" s="142" t="s">
        <v>3799</v>
      </c>
      <c r="C721" s="36">
        <v>45867</v>
      </c>
      <c r="D721" s="37" t="s">
        <v>422</v>
      </c>
      <c r="E721" t="s">
        <v>4655</v>
      </c>
      <c r="F721" s="37" t="s">
        <v>3805</v>
      </c>
      <c r="G721" s="38"/>
      <c r="H721" s="38">
        <v>34</v>
      </c>
      <c r="I721" s="37"/>
    </row>
    <row r="722" spans="1:9" ht="14.5" x14ac:dyDescent="0.35">
      <c r="A722" s="44" t="s">
        <v>3589</v>
      </c>
      <c r="B722" s="142" t="s">
        <v>3799</v>
      </c>
      <c r="C722" s="36">
        <v>45867</v>
      </c>
      <c r="D722" s="37" t="s">
        <v>422</v>
      </c>
      <c r="E722" t="s">
        <v>4656</v>
      </c>
      <c r="F722" s="37" t="s">
        <v>3805</v>
      </c>
      <c r="G722" s="38"/>
      <c r="H722" s="38">
        <v>33</v>
      </c>
      <c r="I722" s="37"/>
    </row>
    <row r="723" spans="1:9" ht="14.5" x14ac:dyDescent="0.35">
      <c r="A723" s="44" t="s">
        <v>3589</v>
      </c>
      <c r="B723" s="142" t="s">
        <v>3799</v>
      </c>
      <c r="C723" s="36">
        <v>45867</v>
      </c>
      <c r="D723" s="37" t="s">
        <v>422</v>
      </c>
      <c r="E723" t="s">
        <v>4657</v>
      </c>
      <c r="F723" s="37" t="s">
        <v>3805</v>
      </c>
      <c r="G723" s="38"/>
      <c r="H723" s="38">
        <v>64</v>
      </c>
      <c r="I723" s="37"/>
    </row>
    <row r="724" spans="1:9" ht="14.5" x14ac:dyDescent="0.35">
      <c r="A724" s="44" t="s">
        <v>3589</v>
      </c>
      <c r="B724" s="142" t="s">
        <v>3799</v>
      </c>
      <c r="C724" s="36">
        <v>45867</v>
      </c>
      <c r="D724" s="37" t="s">
        <v>422</v>
      </c>
      <c r="E724" t="s">
        <v>4658</v>
      </c>
      <c r="F724" s="37" t="s">
        <v>3805</v>
      </c>
      <c r="G724" s="38"/>
      <c r="H724" s="38">
        <v>34</v>
      </c>
      <c r="I724" s="37"/>
    </row>
    <row r="725" spans="1:9" ht="14.5" x14ac:dyDescent="0.35">
      <c r="A725" s="44" t="s">
        <v>3589</v>
      </c>
      <c r="B725" s="142" t="s">
        <v>3799</v>
      </c>
      <c r="C725" s="36">
        <v>45867</v>
      </c>
      <c r="D725" s="37" t="s">
        <v>422</v>
      </c>
      <c r="E725" t="s">
        <v>4659</v>
      </c>
      <c r="F725" s="37" t="s">
        <v>3805</v>
      </c>
      <c r="G725" s="38"/>
      <c r="H725" s="38">
        <v>65</v>
      </c>
      <c r="I725" s="37"/>
    </row>
    <row r="726" spans="1:9" ht="14.5" x14ac:dyDescent="0.35">
      <c r="A726" s="44" t="s">
        <v>3589</v>
      </c>
      <c r="B726" s="142" t="s">
        <v>3799</v>
      </c>
      <c r="C726" s="36">
        <v>45867</v>
      </c>
      <c r="D726" s="37" t="s">
        <v>422</v>
      </c>
      <c r="E726" t="s">
        <v>4660</v>
      </c>
      <c r="F726" s="37" t="s">
        <v>3805</v>
      </c>
      <c r="G726" s="38"/>
      <c r="H726" s="38">
        <v>34</v>
      </c>
      <c r="I726" s="37"/>
    </row>
    <row r="727" spans="1:9" ht="14.5" x14ac:dyDescent="0.35">
      <c r="A727" s="44" t="s">
        <v>3589</v>
      </c>
      <c r="B727" s="142" t="s">
        <v>3799</v>
      </c>
      <c r="C727" s="36">
        <v>45867</v>
      </c>
      <c r="D727" s="37" t="s">
        <v>422</v>
      </c>
      <c r="E727" t="s">
        <v>4661</v>
      </c>
      <c r="F727" s="37" t="s">
        <v>3805</v>
      </c>
      <c r="G727" s="38"/>
      <c r="H727" s="38">
        <v>32</v>
      </c>
      <c r="I727" s="37"/>
    </row>
    <row r="728" spans="1:9" ht="14.5" x14ac:dyDescent="0.35">
      <c r="A728" s="44" t="s">
        <v>3589</v>
      </c>
      <c r="B728" s="142" t="s">
        <v>3799</v>
      </c>
      <c r="C728" s="36">
        <v>45867</v>
      </c>
      <c r="D728" s="37" t="s">
        <v>422</v>
      </c>
      <c r="E728" t="s">
        <v>4662</v>
      </c>
      <c r="F728" s="37" t="s">
        <v>3805</v>
      </c>
      <c r="G728" s="38"/>
      <c r="H728" s="38">
        <v>43</v>
      </c>
      <c r="I728" s="37"/>
    </row>
    <row r="729" spans="1:9" ht="14.5" x14ac:dyDescent="0.35">
      <c r="A729" s="44" t="s">
        <v>3589</v>
      </c>
      <c r="B729" s="142" t="s">
        <v>3799</v>
      </c>
      <c r="C729" s="36">
        <v>45867</v>
      </c>
      <c r="D729" s="37" t="s">
        <v>422</v>
      </c>
      <c r="E729" t="s">
        <v>4663</v>
      </c>
      <c r="F729" s="37" t="s">
        <v>3805</v>
      </c>
      <c r="G729" s="38"/>
      <c r="H729" s="38">
        <v>34</v>
      </c>
      <c r="I729" s="37"/>
    </row>
    <row r="730" spans="1:9" ht="14.5" x14ac:dyDescent="0.35">
      <c r="A730" s="44" t="s">
        <v>3589</v>
      </c>
      <c r="B730" s="142" t="s">
        <v>3799</v>
      </c>
      <c r="C730" s="36">
        <v>45867</v>
      </c>
      <c r="D730" s="37" t="s">
        <v>422</v>
      </c>
      <c r="E730" t="s">
        <v>4664</v>
      </c>
      <c r="F730" s="37" t="s">
        <v>3805</v>
      </c>
      <c r="G730" s="38"/>
      <c r="H730" s="38">
        <v>34</v>
      </c>
      <c r="I730" s="37"/>
    </row>
    <row r="731" spans="1:9" ht="14.5" x14ac:dyDescent="0.35">
      <c r="A731" s="44" t="s">
        <v>3589</v>
      </c>
      <c r="B731" s="142" t="s">
        <v>3799</v>
      </c>
      <c r="C731" s="36">
        <v>45867</v>
      </c>
      <c r="D731" s="37" t="s">
        <v>422</v>
      </c>
      <c r="E731" t="s">
        <v>4665</v>
      </c>
      <c r="F731" s="37" t="s">
        <v>3805</v>
      </c>
      <c r="G731" s="38"/>
      <c r="H731" s="38">
        <v>34</v>
      </c>
      <c r="I731" s="37"/>
    </row>
    <row r="732" spans="1:9" ht="14.5" x14ac:dyDescent="0.35">
      <c r="A732" s="44" t="s">
        <v>3589</v>
      </c>
      <c r="B732" s="142" t="s">
        <v>3799</v>
      </c>
      <c r="C732" s="36">
        <v>45867</v>
      </c>
      <c r="D732" s="37" t="s">
        <v>66</v>
      </c>
      <c r="E732" t="s">
        <v>4666</v>
      </c>
      <c r="F732" s="37" t="s">
        <v>3805</v>
      </c>
      <c r="G732" s="38"/>
      <c r="H732" s="38">
        <v>81</v>
      </c>
      <c r="I732" s="37"/>
    </row>
    <row r="733" spans="1:9" ht="14.5" x14ac:dyDescent="0.35">
      <c r="A733" s="44" t="s">
        <v>3589</v>
      </c>
      <c r="B733" s="142" t="s">
        <v>3799</v>
      </c>
      <c r="C733" s="36">
        <v>45867</v>
      </c>
      <c r="D733" s="37" t="s">
        <v>422</v>
      </c>
      <c r="E733" t="s">
        <v>4667</v>
      </c>
      <c r="F733" s="37" t="s">
        <v>3805</v>
      </c>
      <c r="G733" s="38"/>
      <c r="H733" s="38">
        <v>34</v>
      </c>
      <c r="I733" s="37"/>
    </row>
    <row r="734" spans="1:9" ht="14.5" x14ac:dyDescent="0.35">
      <c r="A734" s="44" t="s">
        <v>3589</v>
      </c>
      <c r="B734" s="142" t="s">
        <v>3799</v>
      </c>
      <c r="C734" s="36">
        <v>45867</v>
      </c>
      <c r="D734" s="37" t="s">
        <v>422</v>
      </c>
      <c r="E734" t="s">
        <v>4668</v>
      </c>
      <c r="F734" s="37" t="s">
        <v>3805</v>
      </c>
      <c r="G734" s="38"/>
      <c r="H734" s="38">
        <v>69</v>
      </c>
      <c r="I734" s="37"/>
    </row>
    <row r="735" spans="1:9" ht="14.5" x14ac:dyDescent="0.35">
      <c r="A735" s="44" t="s">
        <v>3589</v>
      </c>
      <c r="B735" s="142" t="s">
        <v>3799</v>
      </c>
      <c r="C735" s="36">
        <v>45867</v>
      </c>
      <c r="D735" s="37" t="s">
        <v>422</v>
      </c>
      <c r="E735" t="s">
        <v>4669</v>
      </c>
      <c r="F735" s="37" t="s">
        <v>3805</v>
      </c>
      <c r="G735" s="38"/>
      <c r="H735" s="38">
        <v>65</v>
      </c>
      <c r="I735" s="37"/>
    </row>
    <row r="736" spans="1:9" ht="14.5" x14ac:dyDescent="0.35">
      <c r="A736" s="44" t="s">
        <v>3589</v>
      </c>
      <c r="B736" s="142" t="s">
        <v>3799</v>
      </c>
      <c r="C736" s="36">
        <v>45867</v>
      </c>
      <c r="D736" s="37" t="s">
        <v>422</v>
      </c>
      <c r="E736" t="s">
        <v>4670</v>
      </c>
      <c r="F736" s="37" t="s">
        <v>3805</v>
      </c>
      <c r="G736" s="38"/>
      <c r="H736" s="38">
        <v>34</v>
      </c>
      <c r="I736" s="37"/>
    </row>
    <row r="737" spans="1:9" ht="14.5" x14ac:dyDescent="0.35">
      <c r="A737" s="44" t="s">
        <v>3589</v>
      </c>
      <c r="B737" s="142" t="s">
        <v>3799</v>
      </c>
      <c r="C737" s="36">
        <v>45867</v>
      </c>
      <c r="D737" s="37" t="s">
        <v>422</v>
      </c>
      <c r="E737" t="s">
        <v>4671</v>
      </c>
      <c r="F737" s="37" t="s">
        <v>3805</v>
      </c>
      <c r="G737" s="38"/>
      <c r="H737" s="38">
        <v>43</v>
      </c>
      <c r="I737" s="37"/>
    </row>
    <row r="738" spans="1:9" ht="14.5" x14ac:dyDescent="0.35">
      <c r="A738" s="44" t="s">
        <v>3589</v>
      </c>
      <c r="B738" s="142" t="s">
        <v>3799</v>
      </c>
      <c r="C738" s="36">
        <v>45867</v>
      </c>
      <c r="D738" s="37" t="s">
        <v>927</v>
      </c>
      <c r="E738" t="s">
        <v>4672</v>
      </c>
      <c r="F738" s="37" t="s">
        <v>3805</v>
      </c>
      <c r="G738" s="38"/>
      <c r="H738" s="38">
        <v>324</v>
      </c>
      <c r="I738" s="37"/>
    </row>
    <row r="739" spans="1:9" ht="14.5" x14ac:dyDescent="0.35">
      <c r="A739" s="44" t="s">
        <v>3589</v>
      </c>
      <c r="B739" s="142" t="s">
        <v>3799</v>
      </c>
      <c r="C739" s="36">
        <v>45867</v>
      </c>
      <c r="D739" s="37" t="s">
        <v>422</v>
      </c>
      <c r="E739" t="s">
        <v>4673</v>
      </c>
      <c r="F739" s="37" t="s">
        <v>3805</v>
      </c>
      <c r="G739" s="38"/>
      <c r="H739" s="38">
        <v>34</v>
      </c>
      <c r="I739" s="37"/>
    </row>
    <row r="740" spans="1:9" ht="14.5" x14ac:dyDescent="0.35">
      <c r="A740" s="44" t="s">
        <v>3589</v>
      </c>
      <c r="B740" s="142" t="s">
        <v>3799</v>
      </c>
      <c r="C740" s="36">
        <v>45867</v>
      </c>
      <c r="D740" s="37" t="s">
        <v>3593</v>
      </c>
      <c r="E740" t="s">
        <v>4674</v>
      </c>
      <c r="F740" s="37" t="s">
        <v>3805</v>
      </c>
      <c r="G740" s="38"/>
      <c r="H740" s="38">
        <v>5165</v>
      </c>
      <c r="I740" s="37"/>
    </row>
    <row r="741" spans="1:9" ht="14.5" x14ac:dyDescent="0.35">
      <c r="A741" s="44" t="s">
        <v>3589</v>
      </c>
      <c r="B741" s="142" t="s">
        <v>3799</v>
      </c>
      <c r="C741" s="36">
        <v>45867</v>
      </c>
      <c r="D741" s="37" t="s">
        <v>422</v>
      </c>
      <c r="E741" t="s">
        <v>4675</v>
      </c>
      <c r="F741" s="37" t="s">
        <v>3805</v>
      </c>
      <c r="G741" s="38"/>
      <c r="H741" s="38">
        <v>34</v>
      </c>
      <c r="I741" s="37"/>
    </row>
    <row r="742" spans="1:9" ht="14.5" x14ac:dyDescent="0.35">
      <c r="A742" s="44" t="s">
        <v>3589</v>
      </c>
      <c r="B742" s="142" t="s">
        <v>3799</v>
      </c>
      <c r="C742" s="36">
        <v>45867</v>
      </c>
      <c r="D742" s="37" t="s">
        <v>422</v>
      </c>
      <c r="E742" t="s">
        <v>4676</v>
      </c>
      <c r="F742" s="37" t="s">
        <v>3805</v>
      </c>
      <c r="G742" s="38"/>
      <c r="H742" s="38">
        <v>34</v>
      </c>
      <c r="I742" s="37"/>
    </row>
    <row r="743" spans="1:9" ht="14.5" x14ac:dyDescent="0.35">
      <c r="A743" s="44" t="s">
        <v>3589</v>
      </c>
      <c r="B743" s="142" t="s">
        <v>3799</v>
      </c>
      <c r="C743" s="36">
        <v>45867</v>
      </c>
      <c r="D743" s="37" t="s">
        <v>34</v>
      </c>
      <c r="E743" t="s">
        <v>4677</v>
      </c>
      <c r="F743" s="37" t="s">
        <v>3805</v>
      </c>
      <c r="G743" s="38"/>
      <c r="H743" s="38">
        <v>650</v>
      </c>
      <c r="I743" s="37"/>
    </row>
    <row r="744" spans="1:9" ht="14.5" x14ac:dyDescent="0.35">
      <c r="A744" s="44" t="s">
        <v>3589</v>
      </c>
      <c r="B744" s="142" t="s">
        <v>3799</v>
      </c>
      <c r="C744" s="36">
        <v>45867</v>
      </c>
      <c r="D744" s="37" t="s">
        <v>422</v>
      </c>
      <c r="E744" t="s">
        <v>4678</v>
      </c>
      <c r="F744" s="37" t="s">
        <v>3805</v>
      </c>
      <c r="G744" s="38"/>
      <c r="H744" s="38">
        <v>80</v>
      </c>
      <c r="I744" s="37"/>
    </row>
    <row r="745" spans="1:9" ht="14.5" x14ac:dyDescent="0.35">
      <c r="A745" s="44" t="s">
        <v>3589</v>
      </c>
      <c r="B745" s="142" t="s">
        <v>3799</v>
      </c>
      <c r="C745" s="36">
        <v>45867</v>
      </c>
      <c r="D745" s="37" t="s">
        <v>927</v>
      </c>
      <c r="E745" t="s">
        <v>4679</v>
      </c>
      <c r="F745" s="37" t="s">
        <v>3805</v>
      </c>
      <c r="G745" s="38"/>
      <c r="H745" s="38">
        <v>323</v>
      </c>
      <c r="I745" s="37"/>
    </row>
    <row r="746" spans="1:9" ht="14.5" x14ac:dyDescent="0.35">
      <c r="A746" s="44" t="s">
        <v>3589</v>
      </c>
      <c r="B746" s="142" t="s">
        <v>3799</v>
      </c>
      <c r="C746" s="36">
        <v>45867</v>
      </c>
      <c r="D746" s="37" t="s">
        <v>927</v>
      </c>
      <c r="E746" t="s">
        <v>4680</v>
      </c>
      <c r="F746" s="37" t="s">
        <v>3805</v>
      </c>
      <c r="G746" s="38"/>
      <c r="H746" s="38">
        <v>323</v>
      </c>
      <c r="I746" s="37"/>
    </row>
    <row r="747" spans="1:9" ht="14.5" x14ac:dyDescent="0.35">
      <c r="A747" s="44" t="s">
        <v>3589</v>
      </c>
      <c r="B747" s="142" t="s">
        <v>3799</v>
      </c>
      <c r="C747" s="36">
        <v>45868</v>
      </c>
      <c r="D747" s="37" t="s">
        <v>66</v>
      </c>
      <c r="E747" t="s">
        <v>4681</v>
      </c>
      <c r="F747" s="37" t="s">
        <v>3805</v>
      </c>
      <c r="G747" s="38"/>
      <c r="H747" s="38">
        <v>2860</v>
      </c>
      <c r="I747" s="37"/>
    </row>
    <row r="748" spans="1:9" ht="14.5" x14ac:dyDescent="0.35">
      <c r="A748" s="44" t="s">
        <v>3589</v>
      </c>
      <c r="B748" s="142" t="s">
        <v>3799</v>
      </c>
      <c r="C748" s="36">
        <v>45868</v>
      </c>
      <c r="D748" s="37" t="s">
        <v>109</v>
      </c>
      <c r="E748" t="s">
        <v>4682</v>
      </c>
      <c r="F748" s="37" t="s">
        <v>3805</v>
      </c>
      <c r="G748" s="38"/>
      <c r="H748" s="38">
        <v>1435</v>
      </c>
      <c r="I748" s="37"/>
    </row>
    <row r="749" spans="1:9" ht="14.5" x14ac:dyDescent="0.35">
      <c r="A749" s="142" t="s">
        <v>3799</v>
      </c>
      <c r="B749" s="142" t="s">
        <v>3799</v>
      </c>
      <c r="C749" s="36">
        <v>45868</v>
      </c>
      <c r="D749" s="37" t="s">
        <v>66</v>
      </c>
      <c r="E749" s="143" t="s">
        <v>4683</v>
      </c>
      <c r="F749" s="37" t="s">
        <v>3805</v>
      </c>
      <c r="G749" s="38">
        <v>1288.6500000000008</v>
      </c>
      <c r="H749" s="38"/>
      <c r="I749" s="37"/>
    </row>
    <row r="750" spans="1:9" ht="14.5" x14ac:dyDescent="0.35">
      <c r="A750" s="142" t="s">
        <v>3799</v>
      </c>
      <c r="B750" s="142" t="s">
        <v>3799</v>
      </c>
      <c r="C750" s="36">
        <v>45868</v>
      </c>
      <c r="D750" s="37" t="s">
        <v>66</v>
      </c>
      <c r="E750" s="143" t="s">
        <v>4684</v>
      </c>
      <c r="F750" s="37" t="s">
        <v>3805</v>
      </c>
      <c r="G750" s="38">
        <v>2574</v>
      </c>
      <c r="H750" s="38"/>
      <c r="I750" s="37"/>
    </row>
    <row r="751" spans="1:9" ht="14.5" x14ac:dyDescent="0.35">
      <c r="A751" s="142" t="s">
        <v>3799</v>
      </c>
      <c r="B751" s="142" t="s">
        <v>3799</v>
      </c>
      <c r="C751" s="36">
        <v>45868</v>
      </c>
      <c r="D751" s="37" t="s">
        <v>66</v>
      </c>
      <c r="E751" s="143" t="s">
        <v>4685</v>
      </c>
      <c r="F751" s="37" t="s">
        <v>3805</v>
      </c>
      <c r="G751" s="38">
        <v>1287</v>
      </c>
      <c r="H751" s="38"/>
      <c r="I751" s="37"/>
    </row>
    <row r="752" spans="1:9" ht="14.5" x14ac:dyDescent="0.35">
      <c r="A752" s="142" t="s">
        <v>3799</v>
      </c>
      <c r="B752" s="142" t="s">
        <v>3799</v>
      </c>
      <c r="C752" s="36">
        <v>45868</v>
      </c>
      <c r="D752" s="37" t="s">
        <v>66</v>
      </c>
      <c r="E752" s="143" t="s">
        <v>4686</v>
      </c>
      <c r="F752" s="37" t="s">
        <v>3805</v>
      </c>
      <c r="G752" s="38">
        <v>1288.0000000000005</v>
      </c>
      <c r="H752" s="38"/>
      <c r="I752" s="37"/>
    </row>
    <row r="753" spans="1:9" ht="14.5" x14ac:dyDescent="0.35">
      <c r="A753" s="142" t="s">
        <v>3799</v>
      </c>
      <c r="B753" s="142" t="s">
        <v>3799</v>
      </c>
      <c r="C753" s="36">
        <v>45868</v>
      </c>
      <c r="D753" s="37" t="s">
        <v>66</v>
      </c>
      <c r="E753" s="143" t="s">
        <v>4687</v>
      </c>
      <c r="F753" s="37" t="s">
        <v>3805</v>
      </c>
      <c r="G753" s="38">
        <v>1287</v>
      </c>
      <c r="H753" s="38"/>
      <c r="I753" s="37"/>
    </row>
    <row r="754" spans="1:9" ht="14.5" x14ac:dyDescent="0.35">
      <c r="A754" s="142" t="s">
        <v>3799</v>
      </c>
      <c r="B754" s="142" t="s">
        <v>3799</v>
      </c>
      <c r="C754" s="36">
        <v>45868</v>
      </c>
      <c r="D754" s="37" t="s">
        <v>819</v>
      </c>
      <c r="E754" s="143" t="s">
        <v>4688</v>
      </c>
      <c r="F754" s="37" t="s">
        <v>3805</v>
      </c>
      <c r="G754" s="38">
        <v>3395.0000000000005</v>
      </c>
      <c r="H754" s="38"/>
      <c r="I754" s="37"/>
    </row>
    <row r="755" spans="1:9" ht="14.5" x14ac:dyDescent="0.35">
      <c r="A755" s="142" t="s">
        <v>3799</v>
      </c>
      <c r="B755" s="142" t="s">
        <v>3799</v>
      </c>
      <c r="C755" s="36">
        <v>45868</v>
      </c>
      <c r="D755" s="37" t="s">
        <v>819</v>
      </c>
      <c r="E755" s="143" t="s">
        <v>4689</v>
      </c>
      <c r="F755" s="37" t="s">
        <v>3805</v>
      </c>
      <c r="G755" s="38">
        <v>2485.0099999999993</v>
      </c>
      <c r="H755" s="38"/>
      <c r="I755" s="37"/>
    </row>
    <row r="756" spans="1:9" ht="14.5" x14ac:dyDescent="0.35">
      <c r="A756" s="142" t="s">
        <v>3799</v>
      </c>
      <c r="B756" s="142" t="s">
        <v>3799</v>
      </c>
      <c r="C756" s="36">
        <v>45869</v>
      </c>
      <c r="D756" s="37" t="s">
        <v>736</v>
      </c>
      <c r="E756" s="143" t="s">
        <v>4690</v>
      </c>
      <c r="F756" s="37" t="s">
        <v>3805</v>
      </c>
      <c r="G756" s="38">
        <v>1400</v>
      </c>
      <c r="H756" s="38"/>
      <c r="I756" s="37"/>
    </row>
    <row r="757" spans="1:9" ht="14.5" x14ac:dyDescent="0.35">
      <c r="A757" s="142" t="s">
        <v>3799</v>
      </c>
      <c r="B757" s="142" t="s">
        <v>3799</v>
      </c>
      <c r="C757" s="36">
        <v>45869</v>
      </c>
      <c r="D757" s="37" t="s">
        <v>422</v>
      </c>
      <c r="E757" s="143" t="s">
        <v>4691</v>
      </c>
      <c r="F757" s="37" t="s">
        <v>3805</v>
      </c>
      <c r="G757" s="38">
        <v>879.89</v>
      </c>
      <c r="H757" s="38"/>
      <c r="I757" s="37"/>
    </row>
    <row r="758" spans="1:9" ht="14.5" x14ac:dyDescent="0.35">
      <c r="A758" s="142" t="s">
        <v>3799</v>
      </c>
      <c r="B758" s="142" t="s">
        <v>3799</v>
      </c>
      <c r="C758" s="36">
        <v>45869</v>
      </c>
      <c r="D758" s="37" t="s">
        <v>422</v>
      </c>
      <c r="E758" s="143" t="s">
        <v>4692</v>
      </c>
      <c r="F758" s="37" t="s">
        <v>3805</v>
      </c>
      <c r="G758" s="38">
        <v>150</v>
      </c>
      <c r="H758" s="38"/>
      <c r="I758" s="37"/>
    </row>
    <row r="759" spans="1:9" ht="14.5" x14ac:dyDescent="0.35">
      <c r="A759" s="142" t="s">
        <v>3799</v>
      </c>
      <c r="B759" s="142" t="s">
        <v>3799</v>
      </c>
      <c r="C759" s="36">
        <v>45869</v>
      </c>
      <c r="D759" s="37" t="s">
        <v>422</v>
      </c>
      <c r="E759" s="143" t="s">
        <v>4693</v>
      </c>
      <c r="F759" s="37" t="s">
        <v>3805</v>
      </c>
      <c r="G759" s="38">
        <v>3561.9</v>
      </c>
      <c r="H759" s="38"/>
      <c r="I759" s="37"/>
    </row>
    <row r="760" spans="1:9" ht="14.5" x14ac:dyDescent="0.35">
      <c r="A760" s="142" t="s">
        <v>3799</v>
      </c>
      <c r="B760" s="142" t="s">
        <v>3799</v>
      </c>
      <c r="C760" s="36">
        <v>45869</v>
      </c>
      <c r="D760" s="37" t="s">
        <v>17</v>
      </c>
      <c r="E760" s="143" t="s">
        <v>4694</v>
      </c>
      <c r="F760" s="37" t="s">
        <v>3805</v>
      </c>
      <c r="G760" s="38">
        <v>9496.17</v>
      </c>
      <c r="H760" s="38"/>
      <c r="I760" s="37"/>
    </row>
    <row r="761" spans="1:9" ht="14.5" x14ac:dyDescent="0.35">
      <c r="A761" s="142" t="s">
        <v>3799</v>
      </c>
      <c r="B761" s="142" t="s">
        <v>3799</v>
      </c>
      <c r="C761" s="36">
        <v>45869</v>
      </c>
      <c r="D761" s="37" t="s">
        <v>3587</v>
      </c>
      <c r="E761" s="143" t="s">
        <v>4695</v>
      </c>
      <c r="F761" s="37" t="s">
        <v>3805</v>
      </c>
      <c r="G761" s="38">
        <v>15</v>
      </c>
      <c r="H761" s="38"/>
      <c r="I761" s="37"/>
    </row>
    <row r="762" spans="1:9" ht="14.5" x14ac:dyDescent="0.35">
      <c r="A762" s="142" t="s">
        <v>3799</v>
      </c>
      <c r="B762" s="142" t="s">
        <v>3799</v>
      </c>
      <c r="C762" s="36">
        <v>45869</v>
      </c>
      <c r="D762" s="37" t="s">
        <v>422</v>
      </c>
      <c r="E762" s="143" t="s">
        <v>4696</v>
      </c>
      <c r="F762" s="37" t="s">
        <v>3805</v>
      </c>
      <c r="G762" s="38">
        <v>516.56999999999994</v>
      </c>
      <c r="H762" s="38"/>
      <c r="I762" s="37"/>
    </row>
    <row r="763" spans="1:9" ht="14.5" x14ac:dyDescent="0.35">
      <c r="A763" s="142" t="s">
        <v>3799</v>
      </c>
      <c r="B763" s="142" t="s">
        <v>3799</v>
      </c>
      <c r="C763" s="36">
        <v>45869</v>
      </c>
      <c r="D763" s="37" t="s">
        <v>422</v>
      </c>
      <c r="E763" s="143" t="s">
        <v>4697</v>
      </c>
      <c r="F763" s="37" t="s">
        <v>3805</v>
      </c>
      <c r="G763" s="38">
        <v>280.79000000000002</v>
      </c>
      <c r="H763" s="38"/>
      <c r="I763" s="37"/>
    </row>
    <row r="764" spans="1:9" ht="14.5" x14ac:dyDescent="0.35">
      <c r="A764" s="142" t="s">
        <v>3799</v>
      </c>
      <c r="B764" s="142" t="s">
        <v>3799</v>
      </c>
      <c r="C764" s="36">
        <v>45869</v>
      </c>
      <c r="D764" s="37" t="s">
        <v>422</v>
      </c>
      <c r="E764" s="143" t="s">
        <v>4698</v>
      </c>
      <c r="F764" s="37" t="s">
        <v>3805</v>
      </c>
      <c r="G764" s="38">
        <v>9</v>
      </c>
      <c r="H764" s="38"/>
      <c r="I764" s="37"/>
    </row>
    <row r="765" spans="1:9" ht="14.5" x14ac:dyDescent="0.35">
      <c r="A765" s="142" t="s">
        <v>3799</v>
      </c>
      <c r="B765" s="142" t="s">
        <v>3799</v>
      </c>
      <c r="C765" s="36">
        <v>45869</v>
      </c>
      <c r="D765" s="37" t="s">
        <v>422</v>
      </c>
      <c r="E765" s="143" t="s">
        <v>4699</v>
      </c>
      <c r="F765" s="37" t="s">
        <v>3805</v>
      </c>
      <c r="G765" s="38">
        <v>9</v>
      </c>
      <c r="H765" s="38"/>
      <c r="I765" s="37"/>
    </row>
    <row r="766" spans="1:9" ht="14.5" x14ac:dyDescent="0.35">
      <c r="A766" s="142" t="s">
        <v>3799</v>
      </c>
      <c r="B766" s="142" t="s">
        <v>3799</v>
      </c>
      <c r="C766" s="36">
        <v>45869</v>
      </c>
      <c r="D766" s="37" t="s">
        <v>422</v>
      </c>
      <c r="E766" s="143" t="s">
        <v>4700</v>
      </c>
      <c r="F766" s="37" t="s">
        <v>3805</v>
      </c>
      <c r="G766" s="38">
        <v>9.48</v>
      </c>
      <c r="H766" s="38"/>
      <c r="I766" s="37"/>
    </row>
    <row r="767" spans="1:9" ht="14.5" x14ac:dyDescent="0.35">
      <c r="A767" s="142" t="s">
        <v>3799</v>
      </c>
      <c r="B767" s="142" t="s">
        <v>3799</v>
      </c>
      <c r="C767" s="36">
        <v>45869</v>
      </c>
      <c r="D767" s="37" t="s">
        <v>17</v>
      </c>
      <c r="E767" s="143" t="s">
        <v>4701</v>
      </c>
      <c r="F767" s="37" t="s">
        <v>3805</v>
      </c>
      <c r="G767" s="38">
        <v>4810</v>
      </c>
      <c r="H767" s="38"/>
      <c r="I767" s="37"/>
    </row>
    <row r="768" spans="1:9" ht="14.5" x14ac:dyDescent="0.35">
      <c r="A768" s="142" t="s">
        <v>3799</v>
      </c>
      <c r="B768" s="142" t="s">
        <v>3799</v>
      </c>
      <c r="C768" s="36">
        <v>45869</v>
      </c>
      <c r="D768" s="37" t="s">
        <v>422</v>
      </c>
      <c r="E768" s="143" t="s">
        <v>4702</v>
      </c>
      <c r="F768" s="37" t="s">
        <v>3805</v>
      </c>
      <c r="G768" s="38">
        <v>19</v>
      </c>
      <c r="H768" s="38"/>
      <c r="I768" s="37"/>
    </row>
    <row r="769" spans="1:9" ht="14.5" x14ac:dyDescent="0.35">
      <c r="A769" s="142" t="s">
        <v>3799</v>
      </c>
      <c r="B769" s="142" t="s">
        <v>3799</v>
      </c>
      <c r="C769" s="36">
        <v>45869</v>
      </c>
      <c r="D769" s="37" t="s">
        <v>66</v>
      </c>
      <c r="E769" s="143" t="s">
        <v>4703</v>
      </c>
      <c r="F769" s="37" t="s">
        <v>3805</v>
      </c>
      <c r="G769" s="38">
        <v>1729.4999999999998</v>
      </c>
      <c r="H769" s="38"/>
      <c r="I769" s="37"/>
    </row>
    <row r="770" spans="1:9" ht="14.5" x14ac:dyDescent="0.35">
      <c r="A770" s="142" t="s">
        <v>3799</v>
      </c>
      <c r="B770" s="142" t="s">
        <v>3799</v>
      </c>
      <c r="C770" s="36">
        <v>45869</v>
      </c>
      <c r="D770" s="37" t="s">
        <v>422</v>
      </c>
      <c r="E770" s="143" t="s">
        <v>4704</v>
      </c>
      <c r="F770" s="37" t="s">
        <v>3805</v>
      </c>
      <c r="G770" s="38">
        <v>711.77</v>
      </c>
      <c r="H770" s="38"/>
      <c r="I770" s="37"/>
    </row>
    <row r="771" spans="1:9" ht="14.5" x14ac:dyDescent="0.35">
      <c r="A771" s="142" t="s">
        <v>3799</v>
      </c>
      <c r="B771" s="142" t="s">
        <v>3799</v>
      </c>
      <c r="C771" s="36">
        <v>45868</v>
      </c>
      <c r="D771" s="37" t="s">
        <v>66</v>
      </c>
      <c r="E771" t="s">
        <v>4705</v>
      </c>
      <c r="F771" s="37" t="s">
        <v>3805</v>
      </c>
      <c r="G771" s="38"/>
      <c r="H771" s="38">
        <v>502</v>
      </c>
      <c r="I771" s="37"/>
    </row>
    <row r="772" spans="1:9" ht="14.5" x14ac:dyDescent="0.35">
      <c r="A772" s="142" t="s">
        <v>3799</v>
      </c>
      <c r="B772" s="142" t="s">
        <v>3799</v>
      </c>
      <c r="C772" s="36">
        <v>45868</v>
      </c>
      <c r="D772" s="37" t="s">
        <v>66</v>
      </c>
      <c r="E772" t="s">
        <v>4706</v>
      </c>
      <c r="F772" s="37" t="s">
        <v>3805</v>
      </c>
      <c r="G772" s="38"/>
      <c r="H772" s="38">
        <v>1002</v>
      </c>
      <c r="I772" s="37"/>
    </row>
    <row r="773" spans="1:9" ht="14.5" x14ac:dyDescent="0.35">
      <c r="A773" s="142" t="s">
        <v>3799</v>
      </c>
      <c r="B773" s="142" t="s">
        <v>3799</v>
      </c>
      <c r="C773" s="36">
        <v>45868</v>
      </c>
      <c r="D773" s="37" t="s">
        <v>66</v>
      </c>
      <c r="E773" t="s">
        <v>4707</v>
      </c>
      <c r="F773" s="37" t="s">
        <v>3805</v>
      </c>
      <c r="G773" s="38"/>
      <c r="H773" s="38">
        <v>501</v>
      </c>
      <c r="I773" s="37"/>
    </row>
    <row r="774" spans="1:9" ht="14.5" x14ac:dyDescent="0.35">
      <c r="A774" s="142" t="s">
        <v>3799</v>
      </c>
      <c r="B774" s="142" t="s">
        <v>3799</v>
      </c>
      <c r="C774" s="36">
        <v>45868</v>
      </c>
      <c r="D774" s="37" t="s">
        <v>66</v>
      </c>
      <c r="E774" t="s">
        <v>4708</v>
      </c>
      <c r="F774" s="37" t="s">
        <v>3805</v>
      </c>
      <c r="G774" s="38"/>
      <c r="H774" s="38">
        <v>502</v>
      </c>
      <c r="I774" s="37"/>
    </row>
    <row r="775" spans="1:9" ht="14.5" x14ac:dyDescent="0.35">
      <c r="A775" s="142" t="s">
        <v>3799</v>
      </c>
      <c r="B775" s="142" t="s">
        <v>3799</v>
      </c>
      <c r="C775" s="36">
        <v>45868</v>
      </c>
      <c r="D775" s="37" t="s">
        <v>66</v>
      </c>
      <c r="E775" t="s">
        <v>4709</v>
      </c>
      <c r="F775" s="37" t="s">
        <v>3805</v>
      </c>
      <c r="G775" s="38"/>
      <c r="H775" s="38">
        <v>501</v>
      </c>
      <c r="I775" s="37"/>
    </row>
    <row r="776" spans="1:9" ht="14.5" x14ac:dyDescent="0.35">
      <c r="A776" s="142" t="s">
        <v>3799</v>
      </c>
      <c r="B776" s="142" t="s">
        <v>3799</v>
      </c>
      <c r="C776" s="36">
        <v>45868</v>
      </c>
      <c r="D776" s="37" t="s">
        <v>819</v>
      </c>
      <c r="E776" t="s">
        <v>4710</v>
      </c>
      <c r="F776" s="37" t="s">
        <v>3805</v>
      </c>
      <c r="G776" s="38"/>
      <c r="H776" s="38">
        <v>3395</v>
      </c>
      <c r="I776" s="37"/>
    </row>
    <row r="777" spans="1:9" ht="14.5" x14ac:dyDescent="0.35">
      <c r="A777" s="142" t="s">
        <v>3799</v>
      </c>
      <c r="B777" s="142" t="s">
        <v>3799</v>
      </c>
      <c r="C777" s="36">
        <v>45868</v>
      </c>
      <c r="D777" s="37" t="s">
        <v>819</v>
      </c>
      <c r="E777" t="s">
        <v>4711</v>
      </c>
      <c r="F777" s="37" t="s">
        <v>3805</v>
      </c>
      <c r="G777" s="38"/>
      <c r="H777" s="38">
        <v>2485.0100000000002</v>
      </c>
      <c r="I777" s="37"/>
    </row>
    <row r="778" spans="1:9" ht="14.5" x14ac:dyDescent="0.35">
      <c r="A778" s="142" t="s">
        <v>3799</v>
      </c>
      <c r="B778" s="142" t="s">
        <v>3799</v>
      </c>
      <c r="C778" s="36">
        <v>45869</v>
      </c>
      <c r="D778" s="37" t="s">
        <v>736</v>
      </c>
      <c r="E778" t="s">
        <v>4712</v>
      </c>
      <c r="F778" s="37" t="s">
        <v>3805</v>
      </c>
      <c r="G778" s="38"/>
      <c r="H778" s="38">
        <v>1400</v>
      </c>
      <c r="I778" s="37"/>
    </row>
    <row r="779" spans="1:9" ht="14.5" x14ac:dyDescent="0.35">
      <c r="A779" s="142" t="s">
        <v>3799</v>
      </c>
      <c r="B779" s="142" t="s">
        <v>3799</v>
      </c>
      <c r="C779" s="36">
        <v>45869</v>
      </c>
      <c r="D779" s="37" t="s">
        <v>422</v>
      </c>
      <c r="E779" t="s">
        <v>4713</v>
      </c>
      <c r="F779" s="37" t="s">
        <v>3805</v>
      </c>
      <c r="G779" s="38"/>
      <c r="H779" s="38">
        <v>879.89</v>
      </c>
      <c r="I779" s="37"/>
    </row>
    <row r="780" spans="1:9" ht="14.5" x14ac:dyDescent="0.35">
      <c r="A780" s="142" t="s">
        <v>3799</v>
      </c>
      <c r="B780" s="142" t="s">
        <v>3799</v>
      </c>
      <c r="C780" s="36">
        <v>45869</v>
      </c>
      <c r="D780" s="37" t="s">
        <v>422</v>
      </c>
      <c r="E780" t="s">
        <v>4714</v>
      </c>
      <c r="F780" s="37" t="s">
        <v>3805</v>
      </c>
      <c r="G780" s="38"/>
      <c r="H780" s="38">
        <v>150</v>
      </c>
      <c r="I780" s="37"/>
    </row>
    <row r="781" spans="1:9" ht="14.5" x14ac:dyDescent="0.35">
      <c r="A781" s="142" t="s">
        <v>3799</v>
      </c>
      <c r="B781" s="142" t="s">
        <v>3799</v>
      </c>
      <c r="C781" s="36">
        <v>45869</v>
      </c>
      <c r="D781" s="37" t="s">
        <v>422</v>
      </c>
      <c r="E781" t="s">
        <v>4715</v>
      </c>
      <c r="F781" s="37" t="s">
        <v>3805</v>
      </c>
      <c r="G781" s="38"/>
      <c r="H781" s="38">
        <v>3561.9</v>
      </c>
      <c r="I781" s="37"/>
    </row>
    <row r="782" spans="1:9" ht="14.5" x14ac:dyDescent="0.35">
      <c r="A782" s="142" t="s">
        <v>3799</v>
      </c>
      <c r="B782" s="142" t="s">
        <v>3799</v>
      </c>
      <c r="C782" s="36">
        <v>45869</v>
      </c>
      <c r="D782" s="37" t="s">
        <v>17</v>
      </c>
      <c r="E782" t="s">
        <v>4716</v>
      </c>
      <c r="F782" s="37" t="s">
        <v>3805</v>
      </c>
      <c r="G782" s="38"/>
      <c r="H782" s="38">
        <v>4060</v>
      </c>
      <c r="I782" s="37"/>
    </row>
    <row r="783" spans="1:9" ht="14.5" x14ac:dyDescent="0.35">
      <c r="A783" s="142" t="s">
        <v>3799</v>
      </c>
      <c r="B783" s="142" t="s">
        <v>3799</v>
      </c>
      <c r="C783" s="36">
        <v>45869</v>
      </c>
      <c r="D783" s="37" t="s">
        <v>3587</v>
      </c>
      <c r="E783" t="s">
        <v>4717</v>
      </c>
      <c r="F783" s="37" t="s">
        <v>3805</v>
      </c>
      <c r="G783" s="38"/>
      <c r="H783" s="38">
        <v>15</v>
      </c>
      <c r="I783" s="37"/>
    </row>
    <row r="784" spans="1:9" ht="14.5" x14ac:dyDescent="0.35">
      <c r="A784" s="142" t="s">
        <v>3799</v>
      </c>
      <c r="B784" s="142" t="s">
        <v>3799</v>
      </c>
      <c r="C784" s="36">
        <v>45869</v>
      </c>
      <c r="D784" s="37" t="s">
        <v>422</v>
      </c>
      <c r="E784" t="s">
        <v>4718</v>
      </c>
      <c r="F784" s="37" t="s">
        <v>3805</v>
      </c>
      <c r="G784" s="38"/>
      <c r="H784" s="38">
        <v>516.57000000000005</v>
      </c>
      <c r="I784" s="37"/>
    </row>
    <row r="785" spans="1:9" ht="14.5" x14ac:dyDescent="0.35">
      <c r="A785" s="142" t="s">
        <v>3799</v>
      </c>
      <c r="B785" s="142" t="s">
        <v>3799</v>
      </c>
      <c r="C785" s="36">
        <v>45869</v>
      </c>
      <c r="D785" s="37" t="s">
        <v>422</v>
      </c>
      <c r="E785" t="s">
        <v>4719</v>
      </c>
      <c r="F785" s="37" t="s">
        <v>3805</v>
      </c>
      <c r="G785" s="38"/>
      <c r="H785" s="38">
        <v>280.78999999999996</v>
      </c>
      <c r="I785" s="37"/>
    </row>
    <row r="786" spans="1:9" ht="14.5" x14ac:dyDescent="0.35">
      <c r="A786" s="142" t="s">
        <v>3799</v>
      </c>
      <c r="B786" s="142" t="s">
        <v>3799</v>
      </c>
      <c r="C786" s="36">
        <v>45869</v>
      </c>
      <c r="D786" s="37" t="s">
        <v>422</v>
      </c>
      <c r="E786" t="s">
        <v>4720</v>
      </c>
      <c r="F786" s="37" t="s">
        <v>3805</v>
      </c>
      <c r="G786" s="38"/>
      <c r="H786" s="38">
        <v>9</v>
      </c>
      <c r="I786" s="37"/>
    </row>
    <row r="787" spans="1:9" ht="14.5" x14ac:dyDescent="0.35">
      <c r="A787" s="142" t="s">
        <v>3799</v>
      </c>
      <c r="B787" s="142" t="s">
        <v>3799</v>
      </c>
      <c r="C787" s="36">
        <v>45869</v>
      </c>
      <c r="D787" s="37" t="s">
        <v>422</v>
      </c>
      <c r="E787" t="s">
        <v>4721</v>
      </c>
      <c r="F787" s="37" t="s">
        <v>3805</v>
      </c>
      <c r="G787" s="38"/>
      <c r="H787" s="38">
        <v>9</v>
      </c>
      <c r="I787" s="37"/>
    </row>
    <row r="788" spans="1:9" ht="14.5" x14ac:dyDescent="0.35">
      <c r="A788" s="142" t="s">
        <v>3799</v>
      </c>
      <c r="B788" s="142" t="s">
        <v>3799</v>
      </c>
      <c r="C788" s="36">
        <v>45869</v>
      </c>
      <c r="D788" s="37" t="s">
        <v>422</v>
      </c>
      <c r="E788" t="s">
        <v>4722</v>
      </c>
      <c r="F788" s="37" t="s">
        <v>3805</v>
      </c>
      <c r="G788" s="38"/>
      <c r="H788" s="38">
        <v>9.48</v>
      </c>
      <c r="I788" s="37"/>
    </row>
    <row r="789" spans="1:9" ht="14.5" x14ac:dyDescent="0.35">
      <c r="A789" s="142" t="s">
        <v>3799</v>
      </c>
      <c r="B789" s="142" t="s">
        <v>3799</v>
      </c>
      <c r="C789" s="36">
        <v>45869</v>
      </c>
      <c r="D789" s="37" t="s">
        <v>17</v>
      </c>
      <c r="E789" t="s">
        <v>4723</v>
      </c>
      <c r="F789" s="37" t="s">
        <v>3805</v>
      </c>
      <c r="G789" s="38"/>
      <c r="H789" s="38">
        <v>4810</v>
      </c>
      <c r="I789" s="37"/>
    </row>
    <row r="790" spans="1:9" ht="14.5" x14ac:dyDescent="0.35">
      <c r="A790" s="142" t="s">
        <v>3799</v>
      </c>
      <c r="B790" s="142" t="s">
        <v>3799</v>
      </c>
      <c r="C790" s="36">
        <v>45869</v>
      </c>
      <c r="D790" s="37" t="s">
        <v>422</v>
      </c>
      <c r="E790" t="s">
        <v>4724</v>
      </c>
      <c r="F790" s="37" t="s">
        <v>3805</v>
      </c>
      <c r="G790" s="38"/>
      <c r="H790" s="38">
        <v>19</v>
      </c>
      <c r="I790" s="37"/>
    </row>
    <row r="791" spans="1:9" ht="14.5" x14ac:dyDescent="0.35">
      <c r="A791" s="142" t="s">
        <v>3799</v>
      </c>
      <c r="B791" s="142" t="s">
        <v>3799</v>
      </c>
      <c r="C791" s="36">
        <v>45869</v>
      </c>
      <c r="D791" s="37" t="s">
        <v>66</v>
      </c>
      <c r="E791" t="s">
        <v>4725</v>
      </c>
      <c r="F791" s="37" t="s">
        <v>3805</v>
      </c>
      <c r="G791" s="38"/>
      <c r="H791" s="38">
        <v>1729.5</v>
      </c>
      <c r="I791" s="37"/>
    </row>
    <row r="792" spans="1:9" ht="14.5" x14ac:dyDescent="0.35">
      <c r="A792" s="142" t="s">
        <v>3799</v>
      </c>
      <c r="B792" s="142" t="s">
        <v>3799</v>
      </c>
      <c r="C792" s="36">
        <v>45869</v>
      </c>
      <c r="D792" s="37" t="s">
        <v>422</v>
      </c>
      <c r="E792" t="s">
        <v>4726</v>
      </c>
      <c r="F792" s="37" t="s">
        <v>3805</v>
      </c>
      <c r="G792" s="38"/>
      <c r="H792" s="38">
        <v>711.77</v>
      </c>
      <c r="I792" s="37"/>
    </row>
    <row r="793" spans="1:9" ht="14.5" x14ac:dyDescent="0.35">
      <c r="A793" s="44" t="s">
        <v>3589</v>
      </c>
      <c r="B793" s="142" t="s">
        <v>3799</v>
      </c>
      <c r="C793" s="36">
        <v>45868</v>
      </c>
      <c r="D793" s="37" t="s">
        <v>422</v>
      </c>
      <c r="E793" s="37" t="s">
        <v>631</v>
      </c>
      <c r="F793" s="37" t="s">
        <v>3805</v>
      </c>
      <c r="G793" s="38">
        <v>0</v>
      </c>
      <c r="H793" s="38">
        <v>2057.79</v>
      </c>
    </row>
    <row r="794" spans="1:9" ht="14.5" x14ac:dyDescent="0.35">
      <c r="A794" s="142" t="s">
        <v>3799</v>
      </c>
      <c r="B794" s="44" t="s">
        <v>3802</v>
      </c>
      <c r="C794" s="36">
        <v>45868</v>
      </c>
      <c r="D794" s="37" t="s">
        <v>793</v>
      </c>
      <c r="E794" s="37">
        <v>9</v>
      </c>
      <c r="F794" s="37" t="s">
        <v>3805</v>
      </c>
      <c r="G794" s="38">
        <v>11</v>
      </c>
      <c r="H794" s="38">
        <v>0</v>
      </c>
    </row>
    <row r="795" spans="1:9" ht="14.5" x14ac:dyDescent="0.35">
      <c r="A795" s="44" t="s">
        <v>3589</v>
      </c>
      <c r="B795" s="142" t="s">
        <v>3799</v>
      </c>
      <c r="C795" s="36">
        <v>45868</v>
      </c>
      <c r="D795" s="37" t="s">
        <v>422</v>
      </c>
      <c r="E795" s="37" t="s">
        <v>641</v>
      </c>
      <c r="F795" s="37" t="s">
        <v>3805</v>
      </c>
      <c r="G795" s="38">
        <v>0</v>
      </c>
      <c r="H795" s="38">
        <v>351.53</v>
      </c>
    </row>
    <row r="796" spans="1:9" ht="14.5" x14ac:dyDescent="0.35">
      <c r="A796" s="142" t="s">
        <v>3799</v>
      </c>
      <c r="B796" s="142" t="s">
        <v>3799</v>
      </c>
      <c r="C796" s="36">
        <v>45868</v>
      </c>
      <c r="D796" s="37" t="s">
        <v>819</v>
      </c>
      <c r="E796" s="37" t="s">
        <v>840</v>
      </c>
      <c r="F796" s="37" t="s">
        <v>3805</v>
      </c>
      <c r="G796" s="38">
        <v>1039.5</v>
      </c>
      <c r="H796" s="38">
        <v>1039.5</v>
      </c>
    </row>
    <row r="797" spans="1:9" ht="14.5" x14ac:dyDescent="0.35">
      <c r="A797" s="142" t="s">
        <v>3799</v>
      </c>
      <c r="B797" s="44" t="s">
        <v>3802</v>
      </c>
      <c r="C797" s="36">
        <v>45868</v>
      </c>
      <c r="D797" s="37" t="s">
        <v>109</v>
      </c>
      <c r="E797" s="37" t="s">
        <v>293</v>
      </c>
      <c r="F797" s="37" t="s">
        <v>3805</v>
      </c>
      <c r="G797" s="38">
        <v>12.14</v>
      </c>
      <c r="H797" s="38">
        <v>0</v>
      </c>
    </row>
    <row r="798" spans="1:9" ht="14.5" x14ac:dyDescent="0.35">
      <c r="A798" s="44" t="s">
        <v>3589</v>
      </c>
      <c r="B798" s="142" t="s">
        <v>3799</v>
      </c>
      <c r="C798" s="36">
        <v>45868</v>
      </c>
      <c r="D798" s="37" t="s">
        <v>422</v>
      </c>
      <c r="E798" s="37" t="s">
        <v>643</v>
      </c>
      <c r="F798" s="37" t="s">
        <v>3805</v>
      </c>
      <c r="G798" s="38">
        <v>0</v>
      </c>
      <c r="H798" s="38">
        <v>10396.18</v>
      </c>
    </row>
    <row r="799" spans="1:9" ht="14.5" x14ac:dyDescent="0.35">
      <c r="A799" s="142" t="s">
        <v>3799</v>
      </c>
      <c r="B799" s="44" t="s">
        <v>3802</v>
      </c>
      <c r="C799" s="36">
        <v>45868</v>
      </c>
      <c r="D799" s="37" t="s">
        <v>66</v>
      </c>
      <c r="E799" s="37" t="s">
        <v>3779</v>
      </c>
      <c r="F799" s="37" t="s">
        <v>3805</v>
      </c>
      <c r="G799" s="38">
        <v>72.150000000000006</v>
      </c>
      <c r="H799" s="38">
        <v>0</v>
      </c>
    </row>
    <row r="800" spans="1:9" ht="14.5" x14ac:dyDescent="0.35">
      <c r="A800" s="44" t="s">
        <v>3589</v>
      </c>
      <c r="B800" s="142" t="s">
        <v>3799</v>
      </c>
      <c r="C800" s="36">
        <v>45868</v>
      </c>
      <c r="D800" s="37" t="s">
        <v>422</v>
      </c>
      <c r="E800" s="37" t="s">
        <v>642</v>
      </c>
      <c r="F800" s="37" t="s">
        <v>3805</v>
      </c>
      <c r="G800" s="38">
        <v>0</v>
      </c>
      <c r="H800" s="38">
        <v>417.74</v>
      </c>
    </row>
    <row r="801" spans="1:8" ht="14.5" x14ac:dyDescent="0.35">
      <c r="A801" s="142" t="s">
        <v>3799</v>
      </c>
      <c r="B801" s="44" t="s">
        <v>3802</v>
      </c>
      <c r="C801" s="36">
        <v>45868</v>
      </c>
      <c r="D801" s="37" t="s">
        <v>66</v>
      </c>
      <c r="E801" s="37" t="s">
        <v>3780</v>
      </c>
      <c r="F801" s="37" t="s">
        <v>3805</v>
      </c>
      <c r="G801" s="38">
        <v>36</v>
      </c>
      <c r="H801" s="38">
        <v>0</v>
      </c>
    </row>
    <row r="802" spans="1:8" ht="14.5" x14ac:dyDescent="0.35">
      <c r="A802" s="142" t="s">
        <v>3799</v>
      </c>
      <c r="B802" s="142" t="s">
        <v>3799</v>
      </c>
      <c r="C802" s="36">
        <v>45868</v>
      </c>
      <c r="D802" s="37" t="s">
        <v>66</v>
      </c>
      <c r="E802" s="37" t="s">
        <v>69</v>
      </c>
      <c r="F802" s="37" t="s">
        <v>3805</v>
      </c>
      <c r="G802" s="38">
        <v>1289</v>
      </c>
      <c r="H802" s="38">
        <v>502</v>
      </c>
    </row>
    <row r="803" spans="1:8" ht="14.5" x14ac:dyDescent="0.35">
      <c r="A803" s="44" t="s">
        <v>3589</v>
      </c>
      <c r="B803" s="142" t="s">
        <v>3799</v>
      </c>
      <c r="C803" s="36">
        <v>45868</v>
      </c>
      <c r="D803" s="37" t="s">
        <v>819</v>
      </c>
      <c r="E803" s="37" t="s">
        <v>3781</v>
      </c>
      <c r="F803" s="37" t="s">
        <v>3805</v>
      </c>
      <c r="G803" s="38">
        <v>0</v>
      </c>
      <c r="H803" s="38">
        <v>1328.75</v>
      </c>
    </row>
    <row r="804" spans="1:8" ht="14.5" x14ac:dyDescent="0.35">
      <c r="A804" s="142" t="s">
        <v>3799</v>
      </c>
      <c r="B804" s="44" t="s">
        <v>3802</v>
      </c>
      <c r="C804" s="36">
        <v>45868</v>
      </c>
      <c r="D804" s="37" t="s">
        <v>17</v>
      </c>
      <c r="E804" s="37">
        <v>20250263</v>
      </c>
      <c r="F804" s="37" t="s">
        <v>3805</v>
      </c>
      <c r="G804" s="38">
        <v>43.150000000000006</v>
      </c>
      <c r="H804" s="38">
        <v>0</v>
      </c>
    </row>
    <row r="805" spans="1:8" ht="14.5" x14ac:dyDescent="0.35">
      <c r="A805" s="142" t="s">
        <v>3799</v>
      </c>
      <c r="B805" s="142" t="s">
        <v>3799</v>
      </c>
      <c r="C805" s="36">
        <v>45868</v>
      </c>
      <c r="D805" s="37" t="s">
        <v>422</v>
      </c>
      <c r="E805" s="37">
        <v>7312025</v>
      </c>
      <c r="F805" s="37" t="s">
        <v>3805</v>
      </c>
      <c r="G805" s="38">
        <v>69602.34</v>
      </c>
      <c r="H805" s="38">
        <v>69602.340000000011</v>
      </c>
    </row>
    <row r="806" spans="1:8" ht="14.5" x14ac:dyDescent="0.35">
      <c r="A806" s="142" t="s">
        <v>3799</v>
      </c>
      <c r="B806" s="44" t="s">
        <v>3802</v>
      </c>
      <c r="C806" s="36">
        <v>45868</v>
      </c>
      <c r="D806" s="37" t="s">
        <v>109</v>
      </c>
      <c r="E806" s="37" t="s">
        <v>295</v>
      </c>
      <c r="F806" s="37" t="s">
        <v>3805</v>
      </c>
      <c r="G806" s="38">
        <v>11</v>
      </c>
      <c r="H806" s="38">
        <v>0</v>
      </c>
    </row>
    <row r="807" spans="1:8" ht="14.5" x14ac:dyDescent="0.35">
      <c r="A807" s="44" t="s">
        <v>3589</v>
      </c>
      <c r="B807" s="142" t="s">
        <v>3799</v>
      </c>
      <c r="C807" s="36">
        <v>45868</v>
      </c>
      <c r="D807" s="37" t="s">
        <v>422</v>
      </c>
      <c r="E807" s="37" t="s">
        <v>633</v>
      </c>
      <c r="F807" s="37" t="s">
        <v>3805</v>
      </c>
      <c r="G807" s="38">
        <v>0</v>
      </c>
      <c r="H807" s="38">
        <v>114.50999999999999</v>
      </c>
    </row>
    <row r="808" spans="1:8" ht="14.5" x14ac:dyDescent="0.35">
      <c r="A808" s="142" t="s">
        <v>3799</v>
      </c>
      <c r="B808" s="44" t="s">
        <v>3802</v>
      </c>
      <c r="C808" s="36">
        <v>45868</v>
      </c>
      <c r="D808" s="37" t="s">
        <v>109</v>
      </c>
      <c r="E808" s="37" t="s">
        <v>294</v>
      </c>
      <c r="F808" s="37" t="s">
        <v>3805</v>
      </c>
      <c r="G808" s="38">
        <v>11</v>
      </c>
      <c r="H808" s="38">
        <v>0</v>
      </c>
    </row>
    <row r="809" spans="1:8" ht="14.5" x14ac:dyDescent="0.35">
      <c r="A809" s="142" t="s">
        <v>3799</v>
      </c>
      <c r="B809" s="44" t="s">
        <v>3802</v>
      </c>
      <c r="C809" s="36">
        <v>45868</v>
      </c>
      <c r="D809" s="37" t="s">
        <v>807</v>
      </c>
      <c r="E809" s="37">
        <v>28</v>
      </c>
      <c r="F809" s="37" t="s">
        <v>3805</v>
      </c>
      <c r="G809" s="38">
        <v>11</v>
      </c>
      <c r="H809" s="38">
        <v>0</v>
      </c>
    </row>
    <row r="810" spans="1:8" ht="14.5" x14ac:dyDescent="0.35">
      <c r="A810" s="142" t="s">
        <v>3799</v>
      </c>
      <c r="B810" s="44" t="s">
        <v>3802</v>
      </c>
      <c r="C810" s="36">
        <v>45868</v>
      </c>
      <c r="D810" s="37" t="s">
        <v>109</v>
      </c>
      <c r="E810" s="37" t="s">
        <v>297</v>
      </c>
      <c r="F810" s="37" t="s">
        <v>3805</v>
      </c>
      <c r="G810" s="38">
        <v>11</v>
      </c>
      <c r="H810" s="38">
        <v>0</v>
      </c>
    </row>
    <row r="811" spans="1:8" ht="14.5" x14ac:dyDescent="0.35">
      <c r="A811" s="142" t="s">
        <v>3799</v>
      </c>
      <c r="B811" s="44" t="s">
        <v>3802</v>
      </c>
      <c r="C811" s="36">
        <v>45868</v>
      </c>
      <c r="D811" s="37" t="s">
        <v>109</v>
      </c>
      <c r="E811" s="37" t="s">
        <v>298</v>
      </c>
      <c r="F811" s="37" t="s">
        <v>3805</v>
      </c>
      <c r="G811" s="38">
        <v>11</v>
      </c>
      <c r="H811" s="38">
        <v>0</v>
      </c>
    </row>
    <row r="812" spans="1:8" ht="14.5" x14ac:dyDescent="0.35">
      <c r="A812" s="142" t="s">
        <v>3799</v>
      </c>
      <c r="B812" s="44" t="s">
        <v>3802</v>
      </c>
      <c r="C812" s="36">
        <v>45868</v>
      </c>
      <c r="D812" s="37" t="s">
        <v>66</v>
      </c>
      <c r="E812" s="37" t="s">
        <v>3782</v>
      </c>
      <c r="F812" s="37" t="s">
        <v>3805</v>
      </c>
      <c r="G812" s="38">
        <v>37</v>
      </c>
      <c r="H812" s="38">
        <v>0</v>
      </c>
    </row>
    <row r="813" spans="1:8" ht="14.5" x14ac:dyDescent="0.35">
      <c r="A813" s="44" t="s">
        <v>3589</v>
      </c>
      <c r="B813" s="142" t="s">
        <v>3799</v>
      </c>
      <c r="C813" s="36">
        <v>45868</v>
      </c>
      <c r="D813" s="37" t="s">
        <v>422</v>
      </c>
      <c r="E813" s="37" t="s">
        <v>639</v>
      </c>
      <c r="F813" s="37" t="s">
        <v>3805</v>
      </c>
      <c r="G813" s="38">
        <v>0</v>
      </c>
      <c r="H813" s="38">
        <v>585</v>
      </c>
    </row>
    <row r="814" spans="1:8" ht="14.5" x14ac:dyDescent="0.35">
      <c r="A814" s="44" t="s">
        <v>3589</v>
      </c>
      <c r="B814" s="142" t="s">
        <v>3799</v>
      </c>
      <c r="C814" s="36">
        <v>45868</v>
      </c>
      <c r="D814" s="37" t="s">
        <v>422</v>
      </c>
      <c r="E814" s="37" t="s">
        <v>634</v>
      </c>
      <c r="F814" s="37" t="s">
        <v>3805</v>
      </c>
      <c r="G814" s="38">
        <v>0</v>
      </c>
      <c r="H814" s="38">
        <v>356.42</v>
      </c>
    </row>
    <row r="815" spans="1:8" ht="14.5" x14ac:dyDescent="0.35">
      <c r="A815" s="44" t="s">
        <v>3589</v>
      </c>
      <c r="B815" s="142" t="s">
        <v>3799</v>
      </c>
      <c r="C815" s="36">
        <v>45868</v>
      </c>
      <c r="D815" s="37" t="s">
        <v>422</v>
      </c>
      <c r="E815" s="37" t="s">
        <v>645</v>
      </c>
      <c r="F815" s="37" t="s">
        <v>3805</v>
      </c>
      <c r="G815" s="38">
        <v>0</v>
      </c>
      <c r="H815" s="38">
        <v>853.45999999999992</v>
      </c>
    </row>
    <row r="816" spans="1:8" ht="14.5" x14ac:dyDescent="0.35">
      <c r="A816" s="44" t="s">
        <v>3589</v>
      </c>
      <c r="B816" s="142" t="s">
        <v>3799</v>
      </c>
      <c r="C816" s="36">
        <v>45868</v>
      </c>
      <c r="D816" s="37" t="s">
        <v>422</v>
      </c>
      <c r="E816" s="37" t="s">
        <v>637</v>
      </c>
      <c r="F816" s="37" t="s">
        <v>3805</v>
      </c>
      <c r="G816" s="38">
        <v>0</v>
      </c>
      <c r="H816" s="38">
        <v>276.69999999999993</v>
      </c>
    </row>
    <row r="817" spans="1:8" ht="14.5" x14ac:dyDescent="0.35">
      <c r="A817" s="44" t="s">
        <v>3589</v>
      </c>
      <c r="B817" s="142" t="s">
        <v>3799</v>
      </c>
      <c r="C817" s="36">
        <v>45868</v>
      </c>
      <c r="D817" s="37" t="s">
        <v>422</v>
      </c>
      <c r="E817" s="37" t="s">
        <v>635</v>
      </c>
      <c r="F817" s="37" t="s">
        <v>3805</v>
      </c>
      <c r="G817" s="38">
        <v>0</v>
      </c>
      <c r="H817" s="38">
        <v>454.82000000000005</v>
      </c>
    </row>
    <row r="818" spans="1:8" ht="14.5" x14ac:dyDescent="0.35">
      <c r="A818" s="44" t="s">
        <v>3589</v>
      </c>
      <c r="B818" s="142" t="s">
        <v>3799</v>
      </c>
      <c r="C818" s="36">
        <v>45868</v>
      </c>
      <c r="D818" s="37" t="s">
        <v>819</v>
      </c>
      <c r="E818" s="37" t="s">
        <v>3784</v>
      </c>
      <c r="F818" s="37" t="s">
        <v>3805</v>
      </c>
      <c r="G818" s="38">
        <v>0</v>
      </c>
      <c r="H818" s="38">
        <v>1328.7500000000005</v>
      </c>
    </row>
    <row r="819" spans="1:8" ht="14.5" x14ac:dyDescent="0.35">
      <c r="A819" s="44" t="s">
        <v>3589</v>
      </c>
      <c r="B819" s="142" t="s">
        <v>3799</v>
      </c>
      <c r="C819" s="36">
        <v>45868</v>
      </c>
      <c r="D819" s="37" t="s">
        <v>819</v>
      </c>
      <c r="E819" s="37" t="s">
        <v>3785</v>
      </c>
      <c r="F819" s="37" t="s">
        <v>3805</v>
      </c>
      <c r="G819" s="38">
        <v>0</v>
      </c>
      <c r="H819" s="38">
        <v>1328.8</v>
      </c>
    </row>
    <row r="820" spans="1:8" ht="14.5" x14ac:dyDescent="0.35">
      <c r="A820" s="142" t="s">
        <v>3799</v>
      </c>
      <c r="B820" s="44" t="s">
        <v>3802</v>
      </c>
      <c r="C820" s="36">
        <v>45869</v>
      </c>
      <c r="D820" s="37" t="s">
        <v>716</v>
      </c>
      <c r="E820" s="37" t="s">
        <v>726</v>
      </c>
      <c r="F820" s="37" t="s">
        <v>3805</v>
      </c>
      <c r="G820" s="38">
        <v>754.46</v>
      </c>
      <c r="H820" s="38">
        <v>0</v>
      </c>
    </row>
    <row r="821" spans="1:8" ht="14.5" x14ac:dyDescent="0.35">
      <c r="A821" s="142" t="s">
        <v>3799</v>
      </c>
      <c r="B821" s="44" t="s">
        <v>3802</v>
      </c>
      <c r="C821" s="36">
        <v>45869</v>
      </c>
      <c r="D821" s="37" t="s">
        <v>716</v>
      </c>
      <c r="E821" s="37" t="s">
        <v>729</v>
      </c>
      <c r="F821" s="37" t="s">
        <v>3805</v>
      </c>
      <c r="G821" s="38">
        <v>3038.35</v>
      </c>
      <c r="H821" s="38">
        <v>0</v>
      </c>
    </row>
    <row r="822" spans="1:8" ht="14.5" x14ac:dyDescent="0.35">
      <c r="A822" s="142" t="s">
        <v>3799</v>
      </c>
      <c r="B822" s="44" t="s">
        <v>3802</v>
      </c>
      <c r="C822" s="36">
        <v>45869</v>
      </c>
      <c r="D822" s="37" t="s">
        <v>716</v>
      </c>
      <c r="E822" s="37" t="s">
        <v>730</v>
      </c>
      <c r="F822" s="37" t="s">
        <v>3805</v>
      </c>
      <c r="G822" s="38">
        <v>3039.0000000000032</v>
      </c>
      <c r="H822" s="38">
        <v>0</v>
      </c>
    </row>
    <row r="823" spans="1:8" ht="14.5" x14ac:dyDescent="0.35">
      <c r="A823" s="44" t="s">
        <v>3589</v>
      </c>
      <c r="B823" s="142" t="s">
        <v>3799</v>
      </c>
      <c r="C823" s="36">
        <v>45869</v>
      </c>
      <c r="D823" s="37" t="s">
        <v>109</v>
      </c>
      <c r="E823" s="37" t="s">
        <v>3786</v>
      </c>
      <c r="F823" s="37" t="s">
        <v>3805</v>
      </c>
      <c r="G823" s="38">
        <v>0</v>
      </c>
      <c r="H823" s="38">
        <v>64.89</v>
      </c>
    </row>
    <row r="824" spans="1:8" ht="14.5" x14ac:dyDescent="0.35">
      <c r="A824" s="44" t="s">
        <v>3589</v>
      </c>
      <c r="B824" s="142" t="s">
        <v>3799</v>
      </c>
      <c r="C824" s="36">
        <v>45869</v>
      </c>
      <c r="D824" s="37" t="s">
        <v>933</v>
      </c>
      <c r="E824" s="37" t="s">
        <v>936</v>
      </c>
      <c r="F824" s="37" t="s">
        <v>3805</v>
      </c>
      <c r="G824" s="38">
        <v>0</v>
      </c>
      <c r="H824" s="38">
        <v>8600</v>
      </c>
    </row>
    <row r="825" spans="1:8" ht="14.5" x14ac:dyDescent="0.35">
      <c r="A825" s="142" t="s">
        <v>3799</v>
      </c>
      <c r="B825" s="44" t="s">
        <v>3802</v>
      </c>
      <c r="C825" s="36">
        <v>45869</v>
      </c>
      <c r="D825" s="37" t="s">
        <v>96</v>
      </c>
      <c r="E825" s="37" t="s">
        <v>3787</v>
      </c>
      <c r="F825" s="37" t="s">
        <v>3805</v>
      </c>
      <c r="G825" s="38">
        <v>145.35</v>
      </c>
      <c r="H825" s="38">
        <v>0</v>
      </c>
    </row>
    <row r="826" spans="1:8" ht="14.5" x14ac:dyDescent="0.35">
      <c r="A826" s="44" t="s">
        <v>3589</v>
      </c>
      <c r="B826" s="142" t="s">
        <v>3799</v>
      </c>
      <c r="C826" s="36">
        <v>45869</v>
      </c>
      <c r="D826" s="37" t="s">
        <v>422</v>
      </c>
      <c r="E826" s="37" t="s">
        <v>597</v>
      </c>
      <c r="F826" s="37" t="s">
        <v>3805</v>
      </c>
      <c r="G826" s="38">
        <v>0</v>
      </c>
      <c r="H826" s="38">
        <v>2016.6899999999998</v>
      </c>
    </row>
    <row r="827" spans="1:8" ht="14.5" x14ac:dyDescent="0.35">
      <c r="A827" s="142" t="s">
        <v>3799</v>
      </c>
      <c r="B827" s="44" t="s">
        <v>3802</v>
      </c>
      <c r="C827" s="36">
        <v>45869</v>
      </c>
      <c r="D827" s="37" t="s">
        <v>698</v>
      </c>
      <c r="E827" s="37" t="s">
        <v>3788</v>
      </c>
      <c r="F827" s="37" t="s">
        <v>3805</v>
      </c>
      <c r="G827" s="38">
        <v>496.99</v>
      </c>
      <c r="H827" s="38">
        <v>0</v>
      </c>
    </row>
    <row r="828" spans="1:8" ht="14.5" x14ac:dyDescent="0.35">
      <c r="A828" s="142" t="s">
        <v>3799</v>
      </c>
      <c r="B828" s="44" t="s">
        <v>3802</v>
      </c>
      <c r="C828" s="36">
        <v>45869</v>
      </c>
      <c r="D828" s="37" t="s">
        <v>17</v>
      </c>
      <c r="E828" s="37">
        <v>20250213</v>
      </c>
      <c r="F828" s="37" t="s">
        <v>3805</v>
      </c>
      <c r="G828" s="38">
        <v>278.5</v>
      </c>
      <c r="H828" s="38">
        <v>0</v>
      </c>
    </row>
    <row r="829" spans="1:8" ht="14.5" x14ac:dyDescent="0.35">
      <c r="A829" s="44" t="s">
        <v>3589</v>
      </c>
      <c r="B829" s="142" t="s">
        <v>3799</v>
      </c>
      <c r="C829" s="36">
        <v>45869</v>
      </c>
      <c r="D829" s="37" t="s">
        <v>422</v>
      </c>
      <c r="E829" s="37" t="s">
        <v>646</v>
      </c>
      <c r="F829" s="37" t="s">
        <v>3805</v>
      </c>
      <c r="G829" s="38">
        <v>0</v>
      </c>
      <c r="H829" s="38">
        <v>6032.49</v>
      </c>
    </row>
    <row r="830" spans="1:8" ht="14.5" x14ac:dyDescent="0.35">
      <c r="A830" s="44" t="s">
        <v>3589</v>
      </c>
      <c r="B830" s="142" t="s">
        <v>3799</v>
      </c>
      <c r="C830" s="36">
        <v>45869</v>
      </c>
      <c r="D830" s="37" t="s">
        <v>422</v>
      </c>
      <c r="E830" s="37" t="s">
        <v>655</v>
      </c>
      <c r="F830" s="37" t="s">
        <v>3805</v>
      </c>
      <c r="G830" s="38">
        <v>0</v>
      </c>
      <c r="H830" s="38">
        <v>2922.2</v>
      </c>
    </row>
    <row r="831" spans="1:8" ht="14.5" x14ac:dyDescent="0.35">
      <c r="A831" s="44" t="s">
        <v>3589</v>
      </c>
      <c r="B831" s="142" t="s">
        <v>3799</v>
      </c>
      <c r="C831" s="36">
        <v>45869</v>
      </c>
      <c r="D831" s="37" t="s">
        <v>422</v>
      </c>
      <c r="E831" s="37" t="s">
        <v>3789</v>
      </c>
      <c r="F831" s="37" t="s">
        <v>3805</v>
      </c>
      <c r="G831" s="38">
        <v>0</v>
      </c>
      <c r="H831" s="38">
        <v>5311.68</v>
      </c>
    </row>
    <row r="832" spans="1:8" ht="14.5" x14ac:dyDescent="0.35">
      <c r="A832" s="44" t="s">
        <v>3589</v>
      </c>
      <c r="B832" s="142" t="s">
        <v>3799</v>
      </c>
      <c r="C832" s="36">
        <v>45869</v>
      </c>
      <c r="D832" s="37" t="s">
        <v>3586</v>
      </c>
      <c r="E832" s="37" t="s">
        <v>3583</v>
      </c>
      <c r="F832" s="37" t="s">
        <v>3805</v>
      </c>
      <c r="G832" s="38">
        <v>0</v>
      </c>
      <c r="H832" s="38">
        <v>144</v>
      </c>
    </row>
    <row r="833" spans="1:8" ht="14.5" x14ac:dyDescent="0.35">
      <c r="A833" s="142" t="s">
        <v>3799</v>
      </c>
      <c r="B833" s="44" t="s">
        <v>3802</v>
      </c>
      <c r="C833" s="36">
        <v>45869</v>
      </c>
      <c r="D833" s="37" t="s">
        <v>34</v>
      </c>
      <c r="E833" s="37" t="s">
        <v>3790</v>
      </c>
      <c r="F833" s="37" t="s">
        <v>3805</v>
      </c>
      <c r="G833" s="38">
        <v>976.92</v>
      </c>
      <c r="H833" s="38">
        <v>0</v>
      </c>
    </row>
    <row r="834" spans="1:8" ht="14.5" x14ac:dyDescent="0.35">
      <c r="A834" s="44" t="s">
        <v>3589</v>
      </c>
      <c r="B834" s="142" t="s">
        <v>3799</v>
      </c>
      <c r="C834" s="36">
        <v>45869</v>
      </c>
      <c r="D834" s="37" t="s">
        <v>3587</v>
      </c>
      <c r="E834" s="37" t="s">
        <v>3585</v>
      </c>
      <c r="F834" s="37" t="s">
        <v>3805</v>
      </c>
      <c r="G834" s="38">
        <v>0</v>
      </c>
      <c r="H834" s="38">
        <v>15</v>
      </c>
    </row>
    <row r="835" spans="1:8" ht="14.5" x14ac:dyDescent="0.35">
      <c r="A835" s="142" t="s">
        <v>3799</v>
      </c>
      <c r="B835" s="44" t="s">
        <v>3802</v>
      </c>
      <c r="C835" s="36">
        <v>45869</v>
      </c>
      <c r="D835" s="37" t="s">
        <v>34</v>
      </c>
      <c r="E835" s="37" t="s">
        <v>37</v>
      </c>
      <c r="F835" s="37" t="s">
        <v>3805</v>
      </c>
      <c r="G835" s="38">
        <v>977</v>
      </c>
      <c r="H835" s="38">
        <v>0</v>
      </c>
    </row>
    <row r="836" spans="1:8" ht="14.5" x14ac:dyDescent="0.35">
      <c r="A836" s="142" t="s">
        <v>3799</v>
      </c>
      <c r="B836" s="44" t="s">
        <v>3802</v>
      </c>
      <c r="C836" s="36">
        <v>45869</v>
      </c>
      <c r="D836" s="37" t="s">
        <v>790</v>
      </c>
      <c r="E836" s="37">
        <v>880</v>
      </c>
      <c r="F836" s="37" t="s">
        <v>3805</v>
      </c>
      <c r="G836" s="38">
        <f>5019.72</f>
        <v>5019.72</v>
      </c>
      <c r="H836" s="38">
        <v>0</v>
      </c>
    </row>
    <row r="837" spans="1:8" ht="14.5" x14ac:dyDescent="0.35">
      <c r="A837" s="142" t="s">
        <v>3799</v>
      </c>
      <c r="B837" s="44" t="s">
        <v>3802</v>
      </c>
      <c r="C837" s="36">
        <v>45869</v>
      </c>
      <c r="D837" s="37" t="s">
        <v>716</v>
      </c>
      <c r="E837" s="37" t="s">
        <v>724</v>
      </c>
      <c r="F837" s="37" t="s">
        <v>3805</v>
      </c>
      <c r="G837" s="38">
        <v>1907.6799999999998</v>
      </c>
      <c r="H837" s="38">
        <v>0</v>
      </c>
    </row>
    <row r="838" spans="1:8" ht="14.5" x14ac:dyDescent="0.35">
      <c r="A838" s="142" t="s">
        <v>3799</v>
      </c>
      <c r="B838" s="44" t="s">
        <v>3802</v>
      </c>
      <c r="C838" s="36">
        <v>45869</v>
      </c>
      <c r="D838" s="37" t="s">
        <v>882</v>
      </c>
      <c r="E838" s="37">
        <v>72500046</v>
      </c>
      <c r="F838" s="37" t="s">
        <v>3805</v>
      </c>
      <c r="G838" s="38">
        <v>30</v>
      </c>
      <c r="H838" s="38">
        <v>0</v>
      </c>
    </row>
    <row r="839" spans="1:8" ht="14.5" x14ac:dyDescent="0.35">
      <c r="A839" s="142" t="s">
        <v>3799</v>
      </c>
      <c r="B839" s="44" t="s">
        <v>3802</v>
      </c>
      <c r="C839" s="36">
        <v>45869</v>
      </c>
      <c r="D839" s="37" t="s">
        <v>716</v>
      </c>
      <c r="E839" s="37" t="s">
        <v>725</v>
      </c>
      <c r="F839" s="37" t="s">
        <v>3805</v>
      </c>
      <c r="G839" s="38">
        <v>2280</v>
      </c>
      <c r="H839" s="38">
        <v>0</v>
      </c>
    </row>
    <row r="840" spans="1:8" ht="14.5" x14ac:dyDescent="0.35">
      <c r="A840" s="142" t="s">
        <v>3799</v>
      </c>
      <c r="B840" s="44" t="s">
        <v>3802</v>
      </c>
      <c r="C840" s="36">
        <v>45869</v>
      </c>
      <c r="D840" s="37" t="s">
        <v>3791</v>
      </c>
      <c r="E840" s="37" t="s">
        <v>3792</v>
      </c>
      <c r="F840" s="37" t="s">
        <v>3805</v>
      </c>
      <c r="G840" s="38">
        <v>1551.0199999999998</v>
      </c>
      <c r="H840" s="38">
        <v>0</v>
      </c>
    </row>
    <row r="841" spans="1:8" ht="14.5" x14ac:dyDescent="0.35">
      <c r="A841" s="142" t="s">
        <v>3799</v>
      </c>
      <c r="B841" s="44" t="s">
        <v>3802</v>
      </c>
      <c r="C841" s="36">
        <v>45869</v>
      </c>
      <c r="D841" s="37" t="s">
        <v>34</v>
      </c>
      <c r="E841" s="37" t="s">
        <v>41</v>
      </c>
      <c r="F841" s="37" t="s">
        <v>3805</v>
      </c>
      <c r="G841" s="38">
        <v>7356.52</v>
      </c>
      <c r="H841" s="38">
        <v>0</v>
      </c>
    </row>
    <row r="842" spans="1:8" ht="14.5" x14ac:dyDescent="0.35">
      <c r="A842" s="142" t="s">
        <v>3799</v>
      </c>
      <c r="B842" s="44" t="s">
        <v>3802</v>
      </c>
      <c r="C842" s="36">
        <v>45869</v>
      </c>
      <c r="D842" s="37" t="s">
        <v>34</v>
      </c>
      <c r="E842" s="37" t="s">
        <v>39</v>
      </c>
      <c r="F842" s="37" t="s">
        <v>3805</v>
      </c>
      <c r="G842" s="38">
        <v>2626.11</v>
      </c>
      <c r="H842" s="38">
        <v>0</v>
      </c>
    </row>
    <row r="843" spans="1:8" ht="14.5" x14ac:dyDescent="0.35">
      <c r="A843" s="142" t="s">
        <v>3799</v>
      </c>
      <c r="B843" s="44" t="s">
        <v>3802</v>
      </c>
      <c r="C843" s="36">
        <v>45869</v>
      </c>
      <c r="D843" s="37" t="s">
        <v>34</v>
      </c>
      <c r="E843" s="37" t="s">
        <v>45</v>
      </c>
      <c r="F843" s="37" t="s">
        <v>3805</v>
      </c>
      <c r="G843" s="38">
        <v>5640.0800000000099</v>
      </c>
      <c r="H843" s="38">
        <v>0</v>
      </c>
    </row>
    <row r="844" spans="1:8" ht="14.5" x14ac:dyDescent="0.35">
      <c r="A844" s="142" t="s">
        <v>3799</v>
      </c>
      <c r="B844" s="44" t="s">
        <v>3802</v>
      </c>
      <c r="C844" s="36">
        <v>45869</v>
      </c>
      <c r="D844" s="37" t="s">
        <v>34</v>
      </c>
      <c r="E844" s="37" t="s">
        <v>42</v>
      </c>
      <c r="F844" s="37" t="s">
        <v>3805</v>
      </c>
      <c r="G844" s="38">
        <v>3765.9</v>
      </c>
      <c r="H844" s="38">
        <v>0</v>
      </c>
    </row>
    <row r="845" spans="1:8" ht="14.5" x14ac:dyDescent="0.35">
      <c r="A845" s="142" t="s">
        <v>3799</v>
      </c>
      <c r="B845" s="44" t="s">
        <v>3802</v>
      </c>
      <c r="C845" s="36">
        <v>45869</v>
      </c>
      <c r="D845" s="37" t="s">
        <v>34</v>
      </c>
      <c r="E845" s="37" t="s">
        <v>44</v>
      </c>
      <c r="F845" s="37" t="s">
        <v>3805</v>
      </c>
      <c r="G845" s="38">
        <v>3765</v>
      </c>
      <c r="H845" s="38">
        <v>0</v>
      </c>
    </row>
    <row r="846" spans="1:8" ht="14.5" x14ac:dyDescent="0.35">
      <c r="A846" s="142" t="s">
        <v>3799</v>
      </c>
      <c r="B846" s="44" t="s">
        <v>3802</v>
      </c>
      <c r="C846" s="36">
        <v>45869</v>
      </c>
      <c r="D846" s="37" t="s">
        <v>34</v>
      </c>
      <c r="E846" s="37" t="s">
        <v>43</v>
      </c>
      <c r="F846" s="37" t="s">
        <v>3805</v>
      </c>
      <c r="G846" s="38">
        <v>3765</v>
      </c>
      <c r="H846" s="38">
        <v>0</v>
      </c>
    </row>
    <row r="847" spans="1:8" ht="14.5" x14ac:dyDescent="0.35">
      <c r="A847" s="142" t="s">
        <v>3799</v>
      </c>
      <c r="B847" s="44" t="s">
        <v>3802</v>
      </c>
      <c r="C847" s="36">
        <v>45869</v>
      </c>
      <c r="D847" s="37" t="s">
        <v>34</v>
      </c>
      <c r="E847" s="37" t="s">
        <v>38</v>
      </c>
      <c r="F847" s="37" t="s">
        <v>3805</v>
      </c>
      <c r="G847" s="38">
        <v>1927.05</v>
      </c>
      <c r="H847" s="38">
        <v>0</v>
      </c>
    </row>
    <row r="848" spans="1:8" ht="14.5" x14ac:dyDescent="0.35">
      <c r="A848" s="44" t="s">
        <v>3589</v>
      </c>
      <c r="B848" s="142" t="s">
        <v>3799</v>
      </c>
      <c r="C848" s="36">
        <v>45869</v>
      </c>
      <c r="D848" s="37" t="s">
        <v>422</v>
      </c>
      <c r="E848" s="37" t="s">
        <v>3797</v>
      </c>
      <c r="F848" s="37" t="s">
        <v>3805</v>
      </c>
      <c r="G848" s="38">
        <v>0</v>
      </c>
      <c r="H848" s="38">
        <v>143.72999999999999</v>
      </c>
    </row>
    <row r="849" spans="1:9" ht="14.5" x14ac:dyDescent="0.35">
      <c r="A849" s="44" t="s">
        <v>3589</v>
      </c>
      <c r="B849" s="142" t="s">
        <v>3799</v>
      </c>
      <c r="C849" s="36">
        <v>45869</v>
      </c>
      <c r="D849" s="37" t="s">
        <v>422</v>
      </c>
      <c r="E849" s="37" t="s">
        <v>657</v>
      </c>
      <c r="F849" s="37" t="s">
        <v>3805</v>
      </c>
      <c r="G849" s="38">
        <v>0</v>
      </c>
      <c r="H849" s="38">
        <v>1363.89</v>
      </c>
    </row>
    <row r="850" spans="1:9" ht="14.5" x14ac:dyDescent="0.35">
      <c r="A850" s="44" t="s">
        <v>3589</v>
      </c>
      <c r="B850" s="142" t="s">
        <v>3799</v>
      </c>
      <c r="C850" s="36">
        <v>45869</v>
      </c>
      <c r="D850" s="37" t="s">
        <v>422</v>
      </c>
      <c r="E850" s="37" t="s">
        <v>660</v>
      </c>
      <c r="F850" s="37" t="s">
        <v>3805</v>
      </c>
      <c r="G850" s="38">
        <v>0</v>
      </c>
      <c r="H850" s="38">
        <v>367.83</v>
      </c>
    </row>
    <row r="851" spans="1:9" ht="14.5" x14ac:dyDescent="0.35">
      <c r="A851" s="44" t="s">
        <v>3589</v>
      </c>
      <c r="B851" s="142" t="s">
        <v>3799</v>
      </c>
      <c r="C851" s="36">
        <v>45869</v>
      </c>
      <c r="D851" s="37" t="s">
        <v>3798</v>
      </c>
      <c r="E851" s="37">
        <v>76164</v>
      </c>
      <c r="F851" s="37" t="s">
        <v>3805</v>
      </c>
      <c r="G851" s="38">
        <v>0</v>
      </c>
      <c r="H851" s="38">
        <v>270</v>
      </c>
    </row>
    <row r="852" spans="1:9" ht="14.5" x14ac:dyDescent="0.35">
      <c r="A852" s="44" t="s">
        <v>3589</v>
      </c>
      <c r="B852" s="142" t="s">
        <v>3799</v>
      </c>
      <c r="C852" s="36">
        <v>45869</v>
      </c>
      <c r="D852" s="37" t="s">
        <v>422</v>
      </c>
      <c r="E852" s="37" t="s">
        <v>658</v>
      </c>
      <c r="F852" s="37" t="s">
        <v>3805</v>
      </c>
      <c r="G852" s="38">
        <v>0</v>
      </c>
      <c r="H852" s="38">
        <v>35.56</v>
      </c>
    </row>
    <row r="853" spans="1:9" ht="14.5" x14ac:dyDescent="0.35">
      <c r="A853" s="44" t="s">
        <v>3589</v>
      </c>
      <c r="B853" s="142" t="s">
        <v>3799</v>
      </c>
      <c r="C853" s="36">
        <v>45869</v>
      </c>
      <c r="D853" s="37" t="s">
        <v>422</v>
      </c>
      <c r="E853" s="37" t="s">
        <v>663</v>
      </c>
      <c r="F853" s="37" t="s">
        <v>3805</v>
      </c>
      <c r="G853" s="38">
        <v>0</v>
      </c>
      <c r="H853" s="38">
        <v>621</v>
      </c>
    </row>
    <row r="854" spans="1:9" ht="14.5" x14ac:dyDescent="0.35">
      <c r="A854" s="144" t="s">
        <v>3802</v>
      </c>
      <c r="C854" s="37"/>
      <c r="D854" s="37"/>
      <c r="E854" s="37"/>
      <c r="F854" s="37" t="s">
        <v>3806</v>
      </c>
      <c r="G854" s="38">
        <f>32833.25+0.7</f>
        <v>32833.949999999997</v>
      </c>
      <c r="H854" s="38"/>
    </row>
    <row r="856" spans="1:9" x14ac:dyDescent="0.3">
      <c r="E856" t="s">
        <v>4731</v>
      </c>
      <c r="G856" s="41">
        <f>SUM(G119:G854)</f>
        <v>773642.27</v>
      </c>
      <c r="H856" s="41">
        <f>SUM(H119:H853)</f>
        <v>773642.2699999999</v>
      </c>
      <c r="I856" s="41"/>
    </row>
    <row r="857" spans="1:9" x14ac:dyDescent="0.3">
      <c r="H857" s="41">
        <f>H856-G856</f>
        <v>0</v>
      </c>
      <c r="I857" s="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CC82-6368-4FA7-AD77-A35EC31A9574}">
  <dimension ref="A1:M1503"/>
  <sheetViews>
    <sheetView topLeftCell="A1387" workbookViewId="0">
      <selection activeCell="A1400" sqref="A1400:H1502"/>
    </sheetView>
  </sheetViews>
  <sheetFormatPr defaultRowHeight="14" x14ac:dyDescent="0.3"/>
  <cols>
    <col min="1" max="1" width="27.08203125" style="44" customWidth="1"/>
    <col min="2" max="2" width="27.9140625" style="44" customWidth="1"/>
    <col min="3" max="3" width="17.6640625" customWidth="1"/>
    <col min="4" max="4" width="29.83203125" customWidth="1"/>
    <col min="5" max="5" width="14.33203125" customWidth="1"/>
    <col min="6" max="6" width="20.9140625" customWidth="1"/>
    <col min="7" max="7" width="16" customWidth="1"/>
    <col min="8" max="8" width="14" customWidth="1"/>
    <col min="11" max="11" width="13.9140625" customWidth="1"/>
    <col min="12" max="12" width="11.9140625" customWidth="1"/>
  </cols>
  <sheetData>
    <row r="1" spans="1:13" ht="14.5" x14ac:dyDescent="0.35">
      <c r="G1" s="38">
        <f>SUM(G4:G1015)</f>
        <v>6878765.9199999934</v>
      </c>
      <c r="H1" s="38">
        <f>SUM(H4:H1015)</f>
        <v>6878765.9199999934</v>
      </c>
      <c r="I1" s="38"/>
      <c r="J1" s="38"/>
      <c r="K1" s="56">
        <f>SUM(K4:K1013)</f>
        <v>6867445.2499999916</v>
      </c>
      <c r="L1" s="56">
        <f>SUM(L4:L1500)</f>
        <v>75569.009999999995</v>
      </c>
      <c r="M1" s="43" t="s">
        <v>4029</v>
      </c>
    </row>
    <row r="2" spans="1:13" ht="18.649999999999999" customHeight="1" x14ac:dyDescent="0.35">
      <c r="A2" s="20" t="s">
        <v>2635</v>
      </c>
      <c r="B2" s="20" t="s">
        <v>3580</v>
      </c>
      <c r="C2" s="39" t="s">
        <v>2545</v>
      </c>
      <c r="D2" s="39" t="s">
        <v>948</v>
      </c>
      <c r="E2" s="40" t="s">
        <v>949</v>
      </c>
      <c r="F2" s="40" t="s">
        <v>3803</v>
      </c>
      <c r="G2" t="s">
        <v>2635</v>
      </c>
      <c r="H2" s="20" t="s">
        <v>3580</v>
      </c>
      <c r="K2" s="43" t="s">
        <v>3818</v>
      </c>
      <c r="L2" s="43" t="s">
        <v>3819</v>
      </c>
    </row>
    <row r="3" spans="1:13" ht="14.5" x14ac:dyDescent="0.35">
      <c r="A3" s="20" t="s">
        <v>3582</v>
      </c>
      <c r="B3" s="20" t="s">
        <v>3581</v>
      </c>
      <c r="K3" s="11" t="s">
        <v>3817</v>
      </c>
      <c r="L3" s="11" t="s">
        <v>3817</v>
      </c>
    </row>
    <row r="4" spans="1:13" ht="14.5" x14ac:dyDescent="0.35">
      <c r="A4" s="45" t="s">
        <v>3588</v>
      </c>
      <c r="B4" s="46"/>
      <c r="C4" s="36">
        <v>45870</v>
      </c>
      <c r="D4" s="36" t="s">
        <v>1263</v>
      </c>
      <c r="E4" s="37" t="s">
        <v>2637</v>
      </c>
      <c r="F4" s="37" t="s">
        <v>4026</v>
      </c>
      <c r="G4" s="38">
        <v>45093.1</v>
      </c>
      <c r="H4" s="38">
        <v>0</v>
      </c>
      <c r="I4" s="37"/>
      <c r="J4" s="37"/>
      <c r="K4" s="38">
        <f>G4-H4</f>
        <v>45093.1</v>
      </c>
      <c r="L4" s="38"/>
    </row>
    <row r="5" spans="1:13" ht="14.5" x14ac:dyDescent="0.35">
      <c r="A5" s="45" t="s">
        <v>3588</v>
      </c>
      <c r="B5" s="46"/>
      <c r="C5" s="36">
        <v>45870</v>
      </c>
      <c r="D5" s="36" t="s">
        <v>702</v>
      </c>
      <c r="E5" s="37">
        <v>41188101</v>
      </c>
      <c r="F5" s="37" t="s">
        <v>4026</v>
      </c>
      <c r="G5" s="38">
        <v>113.4</v>
      </c>
      <c r="H5" s="38">
        <v>113.4</v>
      </c>
      <c r="I5" s="37"/>
      <c r="J5" s="37"/>
      <c r="K5" s="38">
        <f t="shared" ref="K5:K68" si="0">G5-H5</f>
        <v>0</v>
      </c>
      <c r="L5" s="38"/>
    </row>
    <row r="6" spans="1:13" ht="14.5" x14ac:dyDescent="0.35">
      <c r="A6" s="45" t="s">
        <v>3588</v>
      </c>
      <c r="B6" s="46"/>
      <c r="C6" s="36">
        <v>45873</v>
      </c>
      <c r="D6" s="36" t="s">
        <v>1475</v>
      </c>
      <c r="E6" s="37" t="s">
        <v>2638</v>
      </c>
      <c r="F6" s="37" t="s">
        <v>4026</v>
      </c>
      <c r="G6" s="38">
        <v>21564.59</v>
      </c>
      <c r="H6" s="38">
        <v>0</v>
      </c>
      <c r="I6" s="37"/>
      <c r="J6" s="37"/>
      <c r="K6" s="38">
        <f t="shared" si="0"/>
        <v>21564.59</v>
      </c>
      <c r="L6" s="38"/>
    </row>
    <row r="7" spans="1:13" ht="14.5" x14ac:dyDescent="0.35">
      <c r="A7" s="45" t="s">
        <v>3588</v>
      </c>
      <c r="B7" s="46"/>
      <c r="C7" s="36">
        <v>45873</v>
      </c>
      <c r="D7" s="36" t="s">
        <v>2644</v>
      </c>
      <c r="E7" s="37">
        <v>38633</v>
      </c>
      <c r="F7" s="37" t="s">
        <v>4026</v>
      </c>
      <c r="G7" s="38">
        <v>996.55</v>
      </c>
      <c r="H7" s="38">
        <v>0</v>
      </c>
      <c r="I7" s="37"/>
      <c r="J7" s="37"/>
      <c r="K7" s="38">
        <f t="shared" si="0"/>
        <v>996.55</v>
      </c>
      <c r="L7" s="38"/>
    </row>
    <row r="8" spans="1:13" ht="14.5" x14ac:dyDescent="0.35">
      <c r="A8" s="45" t="s">
        <v>3588</v>
      </c>
      <c r="B8" s="46"/>
      <c r="C8" s="36">
        <v>45874</v>
      </c>
      <c r="D8" s="36" t="s">
        <v>1582</v>
      </c>
      <c r="E8" s="37" t="s">
        <v>2639</v>
      </c>
      <c r="F8" s="37" t="s">
        <v>4026</v>
      </c>
      <c r="G8" s="38">
        <v>14077.810000000001</v>
      </c>
      <c r="H8" s="38">
        <v>0</v>
      </c>
      <c r="I8" s="37"/>
      <c r="J8" s="37"/>
      <c r="K8" s="38">
        <f t="shared" si="0"/>
        <v>14077.810000000001</v>
      </c>
      <c r="L8" s="38"/>
    </row>
    <row r="9" spans="1:13" ht="14.5" x14ac:dyDescent="0.35">
      <c r="A9" s="45" t="s">
        <v>3588</v>
      </c>
      <c r="B9" s="46"/>
      <c r="C9" s="36">
        <v>45874</v>
      </c>
      <c r="D9" s="36" t="s">
        <v>2628</v>
      </c>
      <c r="E9" s="37" t="s">
        <v>2640</v>
      </c>
      <c r="F9" s="37" t="s">
        <v>4026</v>
      </c>
      <c r="G9" s="38">
        <v>11730.059999999998</v>
      </c>
      <c r="H9" s="38">
        <v>0</v>
      </c>
      <c r="I9" s="37"/>
      <c r="J9" s="37"/>
      <c r="K9" s="38">
        <f t="shared" si="0"/>
        <v>11730.059999999998</v>
      </c>
      <c r="L9" s="38"/>
    </row>
    <row r="10" spans="1:13" ht="14.5" x14ac:dyDescent="0.35">
      <c r="A10" s="45" t="s">
        <v>3588</v>
      </c>
      <c r="B10" s="46"/>
      <c r="C10" s="36">
        <v>45874</v>
      </c>
      <c r="D10" s="36" t="s">
        <v>2628</v>
      </c>
      <c r="E10" s="37" t="s">
        <v>2641</v>
      </c>
      <c r="F10" s="37" t="s">
        <v>4026</v>
      </c>
      <c r="G10" s="38">
        <v>7314.78</v>
      </c>
      <c r="H10" s="38">
        <v>0</v>
      </c>
      <c r="I10" s="37"/>
      <c r="J10" s="37"/>
      <c r="K10" s="38">
        <f t="shared" si="0"/>
        <v>7314.78</v>
      </c>
      <c r="L10" s="38"/>
    </row>
    <row r="11" spans="1:13" ht="14.5" x14ac:dyDescent="0.35">
      <c r="A11" s="45" t="s">
        <v>3588</v>
      </c>
      <c r="B11" s="46"/>
      <c r="C11" s="36">
        <v>45874</v>
      </c>
      <c r="D11" s="36" t="s">
        <v>2628</v>
      </c>
      <c r="E11" s="37" t="s">
        <v>2642</v>
      </c>
      <c r="F11" s="37" t="s">
        <v>4026</v>
      </c>
      <c r="G11" s="38">
        <v>1256.79</v>
      </c>
      <c r="H11" s="38">
        <v>0</v>
      </c>
      <c r="I11" s="37"/>
      <c r="J11" s="37"/>
      <c r="K11" s="38">
        <f t="shared" si="0"/>
        <v>1256.79</v>
      </c>
      <c r="L11" s="38"/>
    </row>
    <row r="12" spans="1:13" ht="14.5" x14ac:dyDescent="0.35">
      <c r="A12" s="45" t="s">
        <v>3588</v>
      </c>
      <c r="B12" s="46"/>
      <c r="C12" s="36">
        <v>45876</v>
      </c>
      <c r="D12" s="36" t="s">
        <v>1263</v>
      </c>
      <c r="E12" s="37">
        <v>37687</v>
      </c>
      <c r="F12" s="37" t="s">
        <v>4026</v>
      </c>
      <c r="G12" s="38">
        <v>222.07</v>
      </c>
      <c r="H12" s="38">
        <v>0</v>
      </c>
      <c r="I12" s="37"/>
      <c r="J12" s="37"/>
      <c r="K12" s="38">
        <f t="shared" si="0"/>
        <v>222.07</v>
      </c>
      <c r="L12" s="38"/>
    </row>
    <row r="13" spans="1:13" ht="14.5" x14ac:dyDescent="0.35">
      <c r="A13" s="45" t="s">
        <v>3588</v>
      </c>
      <c r="B13" s="46"/>
      <c r="C13" s="36">
        <v>45876</v>
      </c>
      <c r="D13" s="36" t="s">
        <v>1263</v>
      </c>
      <c r="E13" s="37" t="s">
        <v>2643</v>
      </c>
      <c r="F13" s="37" t="s">
        <v>4026</v>
      </c>
      <c r="G13" s="38">
        <v>708.57</v>
      </c>
      <c r="H13" s="38">
        <v>0</v>
      </c>
      <c r="I13" s="37"/>
      <c r="J13" s="37"/>
      <c r="K13" s="38">
        <f t="shared" si="0"/>
        <v>708.57</v>
      </c>
      <c r="L13" s="38"/>
    </row>
    <row r="14" spans="1:13" ht="14.5" x14ac:dyDescent="0.35">
      <c r="A14" s="45" t="s">
        <v>3588</v>
      </c>
      <c r="B14" s="46"/>
      <c r="C14" s="36">
        <v>45876</v>
      </c>
      <c r="D14" s="36" t="s">
        <v>2650</v>
      </c>
      <c r="E14" s="37">
        <v>38661</v>
      </c>
      <c r="F14" s="37" t="s">
        <v>4026</v>
      </c>
      <c r="G14" s="38">
        <v>2966.73</v>
      </c>
      <c r="H14" s="38">
        <v>0</v>
      </c>
      <c r="I14" s="37"/>
      <c r="J14" s="37"/>
      <c r="K14" s="38">
        <f t="shared" si="0"/>
        <v>2966.73</v>
      </c>
      <c r="L14" s="38"/>
    </row>
    <row r="15" spans="1:13" ht="14.5" x14ac:dyDescent="0.35">
      <c r="A15" s="45" t="s">
        <v>3588</v>
      </c>
      <c r="B15" s="46"/>
      <c r="C15" s="36">
        <v>45877</v>
      </c>
      <c r="D15" s="36" t="s">
        <v>1839</v>
      </c>
      <c r="E15" s="37">
        <v>36248</v>
      </c>
      <c r="F15" s="37" t="s">
        <v>4026</v>
      </c>
      <c r="G15" s="38">
        <v>20</v>
      </c>
      <c r="H15" s="38">
        <v>0</v>
      </c>
      <c r="I15" s="37"/>
      <c r="J15" s="37"/>
      <c r="K15" s="38">
        <f t="shared" si="0"/>
        <v>20</v>
      </c>
      <c r="L15" s="38"/>
    </row>
    <row r="16" spans="1:13" ht="14.5" x14ac:dyDescent="0.35">
      <c r="A16" s="45" t="s">
        <v>3588</v>
      </c>
      <c r="B16" s="46"/>
      <c r="C16" s="36">
        <v>45877</v>
      </c>
      <c r="D16" s="36" t="s">
        <v>1839</v>
      </c>
      <c r="E16" s="37">
        <v>36250</v>
      </c>
      <c r="F16" s="37" t="s">
        <v>4026</v>
      </c>
      <c r="G16" s="38">
        <v>7206.6299999999992</v>
      </c>
      <c r="H16" s="38">
        <v>0</v>
      </c>
      <c r="I16" s="37"/>
      <c r="J16" s="37"/>
      <c r="K16" s="38">
        <f t="shared" si="0"/>
        <v>7206.6299999999992</v>
      </c>
      <c r="L16" s="38"/>
    </row>
    <row r="17" spans="1:12" ht="14.5" x14ac:dyDescent="0.35">
      <c r="A17" s="45" t="s">
        <v>3588</v>
      </c>
      <c r="B17" s="46"/>
      <c r="C17" s="36">
        <v>45877</v>
      </c>
      <c r="D17" s="36" t="s">
        <v>1035</v>
      </c>
      <c r="E17" s="37" t="s">
        <v>2645</v>
      </c>
      <c r="F17" s="37" t="s">
        <v>4026</v>
      </c>
      <c r="G17" s="38">
        <v>708.07999999999993</v>
      </c>
      <c r="H17" s="38">
        <v>0</v>
      </c>
      <c r="I17" s="37"/>
      <c r="J17" s="37"/>
      <c r="K17" s="38">
        <f t="shared" si="0"/>
        <v>708.07999999999993</v>
      </c>
      <c r="L17" s="38"/>
    </row>
    <row r="18" spans="1:12" ht="14.5" x14ac:dyDescent="0.35">
      <c r="A18" s="45" t="s">
        <v>3588</v>
      </c>
      <c r="B18" s="46"/>
      <c r="C18" s="36">
        <v>45877</v>
      </c>
      <c r="D18" s="36" t="s">
        <v>2662</v>
      </c>
      <c r="E18" s="37">
        <v>38292</v>
      </c>
      <c r="F18" s="37" t="s">
        <v>4026</v>
      </c>
      <c r="G18" s="38">
        <v>24766.760000000002</v>
      </c>
      <c r="H18" s="38">
        <v>0</v>
      </c>
      <c r="I18" s="37"/>
      <c r="J18" s="37"/>
      <c r="K18" s="38">
        <f t="shared" si="0"/>
        <v>24766.760000000002</v>
      </c>
      <c r="L18" s="38"/>
    </row>
    <row r="19" spans="1:12" ht="14.5" x14ac:dyDescent="0.35">
      <c r="A19" s="45" t="s">
        <v>3588</v>
      </c>
      <c r="B19" s="46"/>
      <c r="C19" s="36">
        <v>45877</v>
      </c>
      <c r="D19" s="36" t="s">
        <v>2662</v>
      </c>
      <c r="E19" s="37" t="s">
        <v>2646</v>
      </c>
      <c r="F19" s="37" t="s">
        <v>4026</v>
      </c>
      <c r="G19" s="38">
        <v>9768.7000000000007</v>
      </c>
      <c r="H19" s="38">
        <v>0</v>
      </c>
      <c r="I19" s="37"/>
      <c r="J19" s="37"/>
      <c r="K19" s="38">
        <f t="shared" si="0"/>
        <v>9768.7000000000007</v>
      </c>
      <c r="L19" s="38"/>
    </row>
    <row r="20" spans="1:12" ht="14.5" x14ac:dyDescent="0.35">
      <c r="A20" s="45" t="s">
        <v>3588</v>
      </c>
      <c r="B20" s="46"/>
      <c r="C20" s="36">
        <v>45880</v>
      </c>
      <c r="D20" s="36" t="s">
        <v>1179</v>
      </c>
      <c r="E20" s="37" t="s">
        <v>2647</v>
      </c>
      <c r="F20" s="37" t="s">
        <v>4026</v>
      </c>
      <c r="G20" s="38">
        <v>566.78</v>
      </c>
      <c r="H20" s="38">
        <v>0</v>
      </c>
      <c r="I20" s="37"/>
      <c r="J20" s="37"/>
      <c r="K20" s="38">
        <f t="shared" si="0"/>
        <v>566.78</v>
      </c>
      <c r="L20" s="38"/>
    </row>
    <row r="21" spans="1:12" ht="14.5" x14ac:dyDescent="0.35">
      <c r="A21" s="45" t="s">
        <v>3588</v>
      </c>
      <c r="B21" s="46"/>
      <c r="C21" s="36">
        <v>45880</v>
      </c>
      <c r="D21" s="36" t="s">
        <v>2677</v>
      </c>
      <c r="E21" s="37">
        <v>38259</v>
      </c>
      <c r="F21" s="37" t="s">
        <v>4026</v>
      </c>
      <c r="G21" s="38">
        <v>365.65</v>
      </c>
      <c r="H21" s="38">
        <v>0</v>
      </c>
      <c r="I21" s="37"/>
      <c r="J21" s="37"/>
      <c r="K21" s="38">
        <f t="shared" si="0"/>
        <v>365.65</v>
      </c>
      <c r="L21" s="38"/>
    </row>
    <row r="22" spans="1:12" ht="14.5" x14ac:dyDescent="0.35">
      <c r="A22" s="45" t="s">
        <v>3588</v>
      </c>
      <c r="B22" s="46"/>
      <c r="C22" s="36">
        <v>45880</v>
      </c>
      <c r="D22" s="36" t="s">
        <v>2677</v>
      </c>
      <c r="E22" s="37">
        <v>38260</v>
      </c>
      <c r="F22" s="37" t="s">
        <v>4026</v>
      </c>
      <c r="G22" s="38">
        <v>6467.3200000000006</v>
      </c>
      <c r="H22" s="38">
        <v>0</v>
      </c>
      <c r="I22" s="37"/>
      <c r="J22" s="37"/>
      <c r="K22" s="38">
        <f t="shared" si="0"/>
        <v>6467.3200000000006</v>
      </c>
      <c r="L22" s="38"/>
    </row>
    <row r="23" spans="1:12" ht="14.5" x14ac:dyDescent="0.35">
      <c r="A23" s="45" t="s">
        <v>3588</v>
      </c>
      <c r="B23" s="46"/>
      <c r="C23" s="36">
        <v>45880</v>
      </c>
      <c r="D23" s="36" t="s">
        <v>2205</v>
      </c>
      <c r="E23" s="37">
        <v>38579</v>
      </c>
      <c r="F23" s="37" t="s">
        <v>4026</v>
      </c>
      <c r="G23" s="38">
        <v>990.31</v>
      </c>
      <c r="H23" s="38">
        <v>0</v>
      </c>
      <c r="I23" s="37"/>
      <c r="J23" s="37"/>
      <c r="K23" s="38">
        <f t="shared" si="0"/>
        <v>990.31</v>
      </c>
      <c r="L23" s="38"/>
    </row>
    <row r="24" spans="1:12" ht="14.5" x14ac:dyDescent="0.35">
      <c r="A24" s="45" t="s">
        <v>3588</v>
      </c>
      <c r="B24" s="46"/>
      <c r="C24" s="36">
        <v>45881</v>
      </c>
      <c r="D24" s="36" t="s">
        <v>1179</v>
      </c>
      <c r="E24" s="37" t="s">
        <v>2648</v>
      </c>
      <c r="F24" s="37" t="s">
        <v>4026</v>
      </c>
      <c r="G24" s="38">
        <v>0</v>
      </c>
      <c r="H24" s="38">
        <v>147.47999999999999</v>
      </c>
      <c r="I24" s="37"/>
      <c r="J24" s="37"/>
      <c r="K24" s="38">
        <f t="shared" si="0"/>
        <v>-147.47999999999999</v>
      </c>
      <c r="L24" s="38"/>
    </row>
    <row r="25" spans="1:12" ht="14.5" x14ac:dyDescent="0.35">
      <c r="A25" s="45" t="s">
        <v>3588</v>
      </c>
      <c r="B25" s="46"/>
      <c r="C25" s="36">
        <v>45881</v>
      </c>
      <c r="D25" s="36" t="s">
        <v>1179</v>
      </c>
      <c r="E25" s="37" t="s">
        <v>2649</v>
      </c>
      <c r="F25" s="37" t="s">
        <v>4026</v>
      </c>
      <c r="G25" s="38">
        <v>0</v>
      </c>
      <c r="H25" s="38">
        <v>2222.38</v>
      </c>
      <c r="I25" s="37"/>
      <c r="J25" s="37"/>
      <c r="K25" s="38">
        <f t="shared" si="0"/>
        <v>-2222.38</v>
      </c>
      <c r="L25" s="38"/>
    </row>
    <row r="26" spans="1:12" ht="14.5" x14ac:dyDescent="0.35">
      <c r="A26" s="45" t="s">
        <v>3588</v>
      </c>
      <c r="B26" s="46"/>
      <c r="C26" s="36">
        <v>45881</v>
      </c>
      <c r="D26" s="36" t="s">
        <v>1004</v>
      </c>
      <c r="E26" s="37" t="s">
        <v>2651</v>
      </c>
      <c r="F26" s="37" t="s">
        <v>4026</v>
      </c>
      <c r="G26" s="38">
        <v>838.15</v>
      </c>
      <c r="H26" s="38">
        <v>0</v>
      </c>
      <c r="I26" s="37"/>
      <c r="J26" s="37"/>
      <c r="K26" s="38">
        <f t="shared" si="0"/>
        <v>838.15</v>
      </c>
      <c r="L26" s="38"/>
    </row>
    <row r="27" spans="1:12" ht="14.5" x14ac:dyDescent="0.35">
      <c r="A27" s="45" t="s">
        <v>3588</v>
      </c>
      <c r="B27" s="46"/>
      <c r="C27" s="36">
        <v>45881</v>
      </c>
      <c r="D27" s="36" t="s">
        <v>1004</v>
      </c>
      <c r="E27" s="37" t="s">
        <v>2652</v>
      </c>
      <c r="F27" s="37" t="s">
        <v>4026</v>
      </c>
      <c r="G27" s="38">
        <v>6753.3600000000006</v>
      </c>
      <c r="H27" s="38">
        <v>0</v>
      </c>
      <c r="I27" s="37"/>
      <c r="J27" s="37"/>
      <c r="K27" s="38">
        <f t="shared" si="0"/>
        <v>6753.3600000000006</v>
      </c>
      <c r="L27" s="38"/>
    </row>
    <row r="28" spans="1:12" ht="14.5" x14ac:dyDescent="0.35">
      <c r="A28" s="45" t="s">
        <v>3588</v>
      </c>
      <c r="B28" s="46"/>
      <c r="C28" s="36">
        <v>45881</v>
      </c>
      <c r="D28" s="36" t="s">
        <v>1004</v>
      </c>
      <c r="E28" s="37" t="s">
        <v>2653</v>
      </c>
      <c r="F28" s="37" t="s">
        <v>4026</v>
      </c>
      <c r="G28" s="38">
        <v>9522.3900000000012</v>
      </c>
      <c r="H28" s="38">
        <v>0</v>
      </c>
      <c r="I28" s="37"/>
      <c r="J28" s="37"/>
      <c r="K28" s="38">
        <f t="shared" si="0"/>
        <v>9522.3900000000012</v>
      </c>
      <c r="L28" s="38"/>
    </row>
    <row r="29" spans="1:12" ht="14.5" x14ac:dyDescent="0.35">
      <c r="A29" s="45" t="s">
        <v>3588</v>
      </c>
      <c r="B29" s="46"/>
      <c r="C29" s="36">
        <v>45881</v>
      </c>
      <c r="D29" s="36" t="s">
        <v>1263</v>
      </c>
      <c r="E29" s="37" t="s">
        <v>2654</v>
      </c>
      <c r="F29" s="37" t="s">
        <v>4026</v>
      </c>
      <c r="G29" s="38">
        <v>20317.560000000001</v>
      </c>
      <c r="H29" s="38">
        <v>0</v>
      </c>
      <c r="I29" s="37"/>
      <c r="J29" s="37"/>
      <c r="K29" s="38">
        <f t="shared" si="0"/>
        <v>20317.560000000001</v>
      </c>
      <c r="L29" s="38"/>
    </row>
    <row r="30" spans="1:12" ht="14.5" x14ac:dyDescent="0.35">
      <c r="A30" s="45" t="s">
        <v>3588</v>
      </c>
      <c r="B30" s="46"/>
      <c r="C30" s="36">
        <v>45881</v>
      </c>
      <c r="D30" s="36" t="s">
        <v>1263</v>
      </c>
      <c r="E30" s="37" t="s">
        <v>2655</v>
      </c>
      <c r="F30" s="37" t="s">
        <v>4026</v>
      </c>
      <c r="G30" s="38">
        <v>1973.79</v>
      </c>
      <c r="H30" s="38">
        <v>0</v>
      </c>
      <c r="I30" s="37"/>
      <c r="J30" s="37"/>
      <c r="K30" s="38">
        <f t="shared" si="0"/>
        <v>1973.79</v>
      </c>
      <c r="L30" s="38"/>
    </row>
    <row r="31" spans="1:12" ht="14.5" x14ac:dyDescent="0.35">
      <c r="A31" s="45" t="s">
        <v>3588</v>
      </c>
      <c r="B31" s="46"/>
      <c r="C31" s="36">
        <v>45881</v>
      </c>
      <c r="D31" s="36" t="s">
        <v>1263</v>
      </c>
      <c r="E31" s="37" t="s">
        <v>2656</v>
      </c>
      <c r="F31" s="37" t="s">
        <v>4026</v>
      </c>
      <c r="G31" s="38">
        <v>1232.29</v>
      </c>
      <c r="H31" s="38">
        <v>0</v>
      </c>
      <c r="I31" s="37"/>
      <c r="J31" s="37"/>
      <c r="K31" s="38">
        <f t="shared" si="0"/>
        <v>1232.29</v>
      </c>
      <c r="L31" s="38"/>
    </row>
    <row r="32" spans="1:12" ht="14.5" x14ac:dyDescent="0.35">
      <c r="A32" s="45" t="s">
        <v>3588</v>
      </c>
      <c r="B32" s="46"/>
      <c r="C32" s="36">
        <v>45881</v>
      </c>
      <c r="D32" s="36" t="s">
        <v>1263</v>
      </c>
      <c r="E32" s="37" t="s">
        <v>2657</v>
      </c>
      <c r="F32" s="37" t="s">
        <v>4026</v>
      </c>
      <c r="G32" s="38">
        <v>34212.080000000002</v>
      </c>
      <c r="H32" s="38">
        <v>0</v>
      </c>
      <c r="I32" s="37"/>
      <c r="J32" s="37"/>
      <c r="K32" s="38">
        <f t="shared" si="0"/>
        <v>34212.080000000002</v>
      </c>
      <c r="L32" s="38"/>
    </row>
    <row r="33" spans="1:12" ht="14.5" x14ac:dyDescent="0.35">
      <c r="A33" s="45" t="s">
        <v>3588</v>
      </c>
      <c r="B33" s="46"/>
      <c r="C33" s="36">
        <v>45881</v>
      </c>
      <c r="D33" s="36" t="s">
        <v>1263</v>
      </c>
      <c r="E33" s="37" t="s">
        <v>2658</v>
      </c>
      <c r="F33" s="37" t="s">
        <v>4026</v>
      </c>
      <c r="G33" s="38">
        <v>29639.670000000002</v>
      </c>
      <c r="H33" s="38">
        <v>0</v>
      </c>
      <c r="I33" s="37"/>
      <c r="J33" s="37"/>
      <c r="K33" s="38">
        <f t="shared" si="0"/>
        <v>29639.670000000002</v>
      </c>
      <c r="L33" s="38"/>
    </row>
    <row r="34" spans="1:12" ht="14.5" x14ac:dyDescent="0.35">
      <c r="A34" s="45" t="s">
        <v>3588</v>
      </c>
      <c r="B34" s="46"/>
      <c r="C34" s="36">
        <v>45881</v>
      </c>
      <c r="D34" s="36" t="s">
        <v>1263</v>
      </c>
      <c r="E34" s="37" t="s">
        <v>2659</v>
      </c>
      <c r="F34" s="37" t="s">
        <v>4026</v>
      </c>
      <c r="G34" s="38">
        <v>1750.49</v>
      </c>
      <c r="H34" s="38">
        <v>0</v>
      </c>
      <c r="I34" s="37"/>
      <c r="J34" s="37"/>
      <c r="K34" s="38">
        <f t="shared" si="0"/>
        <v>1750.49</v>
      </c>
      <c r="L34" s="38"/>
    </row>
    <row r="35" spans="1:12" ht="14.5" x14ac:dyDescent="0.35">
      <c r="A35" s="45" t="s">
        <v>3588</v>
      </c>
      <c r="B35" s="46"/>
      <c r="C35" s="36">
        <v>45881</v>
      </c>
      <c r="D35" s="36" t="s">
        <v>1263</v>
      </c>
      <c r="E35" s="37" t="s">
        <v>2660</v>
      </c>
      <c r="F35" s="37" t="s">
        <v>4026</v>
      </c>
      <c r="G35" s="38">
        <v>12495.009999999998</v>
      </c>
      <c r="H35" s="38">
        <v>0</v>
      </c>
      <c r="I35" s="37"/>
      <c r="J35" s="37"/>
      <c r="K35" s="38">
        <f t="shared" si="0"/>
        <v>12495.009999999998</v>
      </c>
      <c r="L35" s="38"/>
    </row>
    <row r="36" spans="1:12" ht="14.5" x14ac:dyDescent="0.35">
      <c r="A36" s="45" t="s">
        <v>3588</v>
      </c>
      <c r="B36" s="46"/>
      <c r="C36" s="36">
        <v>45881</v>
      </c>
      <c r="D36" s="36" t="s">
        <v>1263</v>
      </c>
      <c r="E36" s="37" t="s">
        <v>2661</v>
      </c>
      <c r="F36" s="37" t="s">
        <v>4026</v>
      </c>
      <c r="G36" s="38">
        <v>25083.95</v>
      </c>
      <c r="H36" s="38">
        <v>0</v>
      </c>
      <c r="I36" s="37"/>
      <c r="J36" s="37"/>
      <c r="K36" s="38">
        <f t="shared" si="0"/>
        <v>25083.95</v>
      </c>
      <c r="L36" s="38"/>
    </row>
    <row r="37" spans="1:12" ht="14.5" x14ac:dyDescent="0.35">
      <c r="A37" s="45" t="s">
        <v>3588</v>
      </c>
      <c r="B37" s="46"/>
      <c r="C37" s="36">
        <v>45881</v>
      </c>
      <c r="D37" s="36" t="s">
        <v>1263</v>
      </c>
      <c r="E37" s="37" t="s">
        <v>2663</v>
      </c>
      <c r="F37" s="37" t="s">
        <v>4026</v>
      </c>
      <c r="G37" s="38">
        <v>136.87</v>
      </c>
      <c r="H37" s="38">
        <v>0</v>
      </c>
      <c r="I37" s="37"/>
      <c r="J37" s="37"/>
      <c r="K37" s="38">
        <f t="shared" si="0"/>
        <v>136.87</v>
      </c>
      <c r="L37" s="38"/>
    </row>
    <row r="38" spans="1:12" ht="14.5" x14ac:dyDescent="0.35">
      <c r="A38" s="45" t="s">
        <v>3588</v>
      </c>
      <c r="B38" s="46"/>
      <c r="C38" s="36">
        <v>45881</v>
      </c>
      <c r="D38" s="36" t="s">
        <v>1263</v>
      </c>
      <c r="E38" s="37" t="s">
        <v>2664</v>
      </c>
      <c r="F38" s="37" t="s">
        <v>4026</v>
      </c>
      <c r="G38" s="38">
        <v>2454.7399999999998</v>
      </c>
      <c r="H38" s="38">
        <v>0</v>
      </c>
      <c r="I38" s="37"/>
      <c r="J38" s="37"/>
      <c r="K38" s="38">
        <f t="shared" si="0"/>
        <v>2454.7399999999998</v>
      </c>
      <c r="L38" s="38"/>
    </row>
    <row r="39" spans="1:12" ht="14.5" x14ac:dyDescent="0.35">
      <c r="A39" s="45" t="s">
        <v>3588</v>
      </c>
      <c r="B39" s="46"/>
      <c r="C39" s="36">
        <v>45881</v>
      </c>
      <c r="D39" s="36" t="s">
        <v>2677</v>
      </c>
      <c r="E39" s="37" t="s">
        <v>2665</v>
      </c>
      <c r="F39" s="37" t="s">
        <v>4026</v>
      </c>
      <c r="G39" s="38">
        <v>7343.21</v>
      </c>
      <c r="H39" s="38">
        <v>0</v>
      </c>
      <c r="I39" s="37"/>
      <c r="J39" s="37"/>
      <c r="K39" s="38">
        <f t="shared" si="0"/>
        <v>7343.21</v>
      </c>
      <c r="L39" s="38"/>
    </row>
    <row r="40" spans="1:12" ht="14.5" x14ac:dyDescent="0.35">
      <c r="A40" s="45" t="s">
        <v>3588</v>
      </c>
      <c r="B40" s="46"/>
      <c r="C40" s="36">
        <v>45881</v>
      </c>
      <c r="D40" s="36" t="s">
        <v>2677</v>
      </c>
      <c r="E40" s="37" t="s">
        <v>2666</v>
      </c>
      <c r="F40" s="37" t="s">
        <v>4026</v>
      </c>
      <c r="G40" s="38">
        <v>493.75</v>
      </c>
      <c r="H40" s="38">
        <v>0</v>
      </c>
      <c r="I40" s="37"/>
      <c r="J40" s="37"/>
      <c r="K40" s="38">
        <f t="shared" si="0"/>
        <v>493.75</v>
      </c>
      <c r="L40" s="38"/>
    </row>
    <row r="41" spans="1:12" ht="14.5" x14ac:dyDescent="0.35">
      <c r="A41" s="45" t="s">
        <v>3588</v>
      </c>
      <c r="B41" s="46"/>
      <c r="C41" s="36">
        <v>45881</v>
      </c>
      <c r="D41" s="36" t="s">
        <v>2677</v>
      </c>
      <c r="E41" s="37" t="s">
        <v>2667</v>
      </c>
      <c r="F41" s="37" t="s">
        <v>4026</v>
      </c>
      <c r="G41" s="38">
        <v>6729.76</v>
      </c>
      <c r="H41" s="38">
        <v>0</v>
      </c>
      <c r="I41" s="37"/>
      <c r="J41" s="37"/>
      <c r="K41" s="38">
        <f t="shared" si="0"/>
        <v>6729.76</v>
      </c>
      <c r="L41" s="38"/>
    </row>
    <row r="42" spans="1:12" ht="14.5" x14ac:dyDescent="0.35">
      <c r="A42" s="45" t="s">
        <v>3588</v>
      </c>
      <c r="B42" s="46"/>
      <c r="C42" s="36">
        <v>45881</v>
      </c>
      <c r="D42" s="36" t="s">
        <v>2677</v>
      </c>
      <c r="E42" s="37" t="s">
        <v>2668</v>
      </c>
      <c r="F42" s="37" t="s">
        <v>4026</v>
      </c>
      <c r="G42" s="38">
        <v>17550.43</v>
      </c>
      <c r="H42" s="38">
        <v>0</v>
      </c>
      <c r="I42" s="37"/>
      <c r="J42" s="37"/>
      <c r="K42" s="38">
        <f t="shared" si="0"/>
        <v>17550.43</v>
      </c>
      <c r="L42" s="38"/>
    </row>
    <row r="43" spans="1:12" ht="14.5" x14ac:dyDescent="0.35">
      <c r="A43" s="45" t="s">
        <v>3588</v>
      </c>
      <c r="B43" s="46"/>
      <c r="C43" s="36">
        <v>45881</v>
      </c>
      <c r="D43" s="36" t="s">
        <v>2677</v>
      </c>
      <c r="E43" s="37">
        <v>38256</v>
      </c>
      <c r="F43" s="37" t="s">
        <v>4026</v>
      </c>
      <c r="G43" s="38">
        <v>4568.0200000000004</v>
      </c>
      <c r="H43" s="38">
        <v>0</v>
      </c>
      <c r="I43" s="37"/>
      <c r="J43" s="37"/>
      <c r="K43" s="38">
        <f t="shared" si="0"/>
        <v>4568.0200000000004</v>
      </c>
      <c r="L43" s="38"/>
    </row>
    <row r="44" spans="1:12" ht="14.5" x14ac:dyDescent="0.35">
      <c r="A44" s="45" t="s">
        <v>3588</v>
      </c>
      <c r="B44" s="46"/>
      <c r="C44" s="36">
        <v>45881</v>
      </c>
      <c r="D44" s="36" t="s">
        <v>2677</v>
      </c>
      <c r="E44" s="37">
        <v>38257</v>
      </c>
      <c r="F44" s="37" t="s">
        <v>4026</v>
      </c>
      <c r="G44" s="38">
        <v>2555.48</v>
      </c>
      <c r="H44" s="38">
        <v>0</v>
      </c>
      <c r="I44" s="37"/>
      <c r="J44" s="37"/>
      <c r="K44" s="38">
        <f t="shared" si="0"/>
        <v>2555.48</v>
      </c>
      <c r="L44" s="38"/>
    </row>
    <row r="45" spans="1:12" ht="14.5" x14ac:dyDescent="0.35">
      <c r="A45" s="45" t="s">
        <v>3588</v>
      </c>
      <c r="B45" s="46"/>
      <c r="C45" s="36">
        <v>45881</v>
      </c>
      <c r="D45" s="36" t="s">
        <v>2677</v>
      </c>
      <c r="E45" s="37">
        <v>38268</v>
      </c>
      <c r="F45" s="37" t="s">
        <v>4026</v>
      </c>
      <c r="G45" s="38">
        <v>427.87</v>
      </c>
      <c r="H45" s="38">
        <v>0</v>
      </c>
      <c r="I45" s="37"/>
      <c r="J45" s="37"/>
      <c r="K45" s="38">
        <f t="shared" si="0"/>
        <v>427.87</v>
      </c>
      <c r="L45" s="38"/>
    </row>
    <row r="46" spans="1:12" ht="14.5" x14ac:dyDescent="0.35">
      <c r="A46" s="45" t="s">
        <v>3588</v>
      </c>
      <c r="B46" s="46"/>
      <c r="C46" s="36">
        <v>45881</v>
      </c>
      <c r="D46" s="36" t="s">
        <v>2629</v>
      </c>
      <c r="E46" s="37">
        <v>38331</v>
      </c>
      <c r="F46" s="37" t="s">
        <v>4026</v>
      </c>
      <c r="G46" s="38">
        <v>4247.3600000000006</v>
      </c>
      <c r="H46" s="38">
        <v>0</v>
      </c>
      <c r="I46" s="37"/>
      <c r="J46" s="37"/>
      <c r="K46" s="38">
        <f t="shared" si="0"/>
        <v>4247.3600000000006</v>
      </c>
      <c r="L46" s="38"/>
    </row>
    <row r="47" spans="1:12" ht="14.5" x14ac:dyDescent="0.35">
      <c r="A47" s="45" t="s">
        <v>3588</v>
      </c>
      <c r="B47" s="46"/>
      <c r="C47" s="36">
        <v>45881</v>
      </c>
      <c r="D47" s="36" t="s">
        <v>2677</v>
      </c>
      <c r="E47" s="37">
        <v>38375</v>
      </c>
      <c r="F47" s="37" t="s">
        <v>4026</v>
      </c>
      <c r="G47" s="38">
        <v>682.08999999999992</v>
      </c>
      <c r="H47" s="38">
        <v>0</v>
      </c>
      <c r="I47" s="37"/>
      <c r="J47" s="37"/>
      <c r="K47" s="38">
        <f t="shared" si="0"/>
        <v>682.08999999999992</v>
      </c>
      <c r="L47" s="38"/>
    </row>
    <row r="48" spans="1:12" ht="14.5" x14ac:dyDescent="0.35">
      <c r="A48" s="45" t="s">
        <v>3588</v>
      </c>
      <c r="B48" s="46"/>
      <c r="C48" s="36">
        <v>45882</v>
      </c>
      <c r="D48" s="36" t="s">
        <v>2020</v>
      </c>
      <c r="E48" s="37" t="s">
        <v>2669</v>
      </c>
      <c r="F48" s="37" t="s">
        <v>4026</v>
      </c>
      <c r="G48" s="38">
        <v>30.74</v>
      </c>
      <c r="H48" s="38">
        <v>0</v>
      </c>
      <c r="I48" s="37"/>
      <c r="J48" s="37"/>
      <c r="K48" s="38">
        <f t="shared" si="0"/>
        <v>30.74</v>
      </c>
      <c r="L48" s="38"/>
    </row>
    <row r="49" spans="1:12" ht="14.5" x14ac:dyDescent="0.35">
      <c r="A49" s="45" t="s">
        <v>3588</v>
      </c>
      <c r="B49" s="46"/>
      <c r="C49" s="36">
        <v>45882</v>
      </c>
      <c r="D49" s="36" t="s">
        <v>2020</v>
      </c>
      <c r="E49" s="37" t="s">
        <v>2670</v>
      </c>
      <c r="F49" s="37" t="s">
        <v>4026</v>
      </c>
      <c r="G49" s="38">
        <v>240.54</v>
      </c>
      <c r="H49" s="38">
        <v>0</v>
      </c>
      <c r="I49" s="37"/>
      <c r="J49" s="37"/>
      <c r="K49" s="38">
        <f t="shared" si="0"/>
        <v>240.54</v>
      </c>
      <c r="L49" s="38"/>
    </row>
    <row r="50" spans="1:12" ht="14.5" x14ac:dyDescent="0.35">
      <c r="A50" s="45" t="s">
        <v>3588</v>
      </c>
      <c r="B50" s="46"/>
      <c r="C50" s="36">
        <v>45882</v>
      </c>
      <c r="D50" s="36" t="s">
        <v>1263</v>
      </c>
      <c r="E50" s="37" t="s">
        <v>2671</v>
      </c>
      <c r="F50" s="37" t="s">
        <v>4026</v>
      </c>
      <c r="G50" s="38">
        <v>716.95</v>
      </c>
      <c r="H50" s="38">
        <v>0</v>
      </c>
      <c r="I50" s="37"/>
      <c r="J50" s="37"/>
      <c r="K50" s="38">
        <f t="shared" si="0"/>
        <v>716.95</v>
      </c>
      <c r="L50" s="38"/>
    </row>
    <row r="51" spans="1:12" ht="14.5" x14ac:dyDescent="0.35">
      <c r="A51" s="45" t="s">
        <v>3588</v>
      </c>
      <c r="B51" s="46"/>
      <c r="C51" s="36">
        <v>45882</v>
      </c>
      <c r="D51" s="36" t="s">
        <v>2626</v>
      </c>
      <c r="E51" s="37" t="s">
        <v>2672</v>
      </c>
      <c r="F51" s="37" t="s">
        <v>4026</v>
      </c>
      <c r="G51" s="38">
        <v>4807.8500000000004</v>
      </c>
      <c r="H51" s="38">
        <v>0</v>
      </c>
      <c r="I51" s="37"/>
      <c r="J51" s="37"/>
      <c r="K51" s="38">
        <f t="shared" si="0"/>
        <v>4807.8500000000004</v>
      </c>
      <c r="L51" s="38"/>
    </row>
    <row r="52" spans="1:12" ht="14.5" x14ac:dyDescent="0.35">
      <c r="A52" s="45" t="s">
        <v>3588</v>
      </c>
      <c r="B52" s="46"/>
      <c r="C52" s="36">
        <v>45887</v>
      </c>
      <c r="D52" s="36" t="s">
        <v>2769</v>
      </c>
      <c r="E52" s="37">
        <v>38857</v>
      </c>
      <c r="F52" s="37" t="s">
        <v>4026</v>
      </c>
      <c r="G52" s="38">
        <v>8947.15</v>
      </c>
      <c r="H52" s="38">
        <v>0</v>
      </c>
      <c r="I52" s="37"/>
      <c r="J52" s="37"/>
      <c r="K52" s="38">
        <f t="shared" si="0"/>
        <v>8947.15</v>
      </c>
      <c r="L52" s="38"/>
    </row>
    <row r="53" spans="1:12" ht="14.5" x14ac:dyDescent="0.35">
      <c r="A53" s="45" t="s">
        <v>3588</v>
      </c>
      <c r="B53" s="46"/>
      <c r="C53" s="36">
        <v>45890</v>
      </c>
      <c r="D53" s="36" t="s">
        <v>1475</v>
      </c>
      <c r="E53" s="37" t="s">
        <v>2673</v>
      </c>
      <c r="F53" s="37" t="s">
        <v>4026</v>
      </c>
      <c r="G53" s="38">
        <v>33567.360000000001</v>
      </c>
      <c r="H53" s="38">
        <v>0</v>
      </c>
      <c r="I53" s="37"/>
      <c r="J53" s="37"/>
      <c r="K53" s="38">
        <f t="shared" si="0"/>
        <v>33567.360000000001</v>
      </c>
      <c r="L53" s="38"/>
    </row>
    <row r="54" spans="1:12" ht="14.5" x14ac:dyDescent="0.35">
      <c r="A54" s="45" t="s">
        <v>3588</v>
      </c>
      <c r="B54" s="46"/>
      <c r="C54" s="36">
        <v>45892</v>
      </c>
      <c r="D54" s="36" t="s">
        <v>1269</v>
      </c>
      <c r="E54" s="37" t="s">
        <v>2674</v>
      </c>
      <c r="F54" s="37" t="s">
        <v>4026</v>
      </c>
      <c r="G54" s="38">
        <v>34804.400000000001</v>
      </c>
      <c r="H54" s="38">
        <v>0</v>
      </c>
      <c r="I54" s="37"/>
      <c r="J54" s="37"/>
      <c r="K54" s="38">
        <f t="shared" si="0"/>
        <v>34804.400000000001</v>
      </c>
      <c r="L54" s="38"/>
    </row>
    <row r="55" spans="1:12" ht="14.5" x14ac:dyDescent="0.35">
      <c r="A55" s="45" t="s">
        <v>3588</v>
      </c>
      <c r="B55" s="46"/>
      <c r="C55" s="36">
        <v>45894</v>
      </c>
      <c r="D55" s="36" t="s">
        <v>2020</v>
      </c>
      <c r="E55" s="37" t="s">
        <v>2675</v>
      </c>
      <c r="F55" s="37" t="s">
        <v>4026</v>
      </c>
      <c r="G55" s="38">
        <v>5718.97</v>
      </c>
      <c r="H55" s="38">
        <v>0</v>
      </c>
      <c r="I55" s="37"/>
      <c r="J55" s="37"/>
      <c r="K55" s="38">
        <f t="shared" si="0"/>
        <v>5718.97</v>
      </c>
      <c r="L55" s="38"/>
    </row>
    <row r="56" spans="1:12" ht="14.5" x14ac:dyDescent="0.35">
      <c r="A56" s="45" t="s">
        <v>3588</v>
      </c>
      <c r="B56" s="46"/>
      <c r="C56" s="36">
        <v>45894</v>
      </c>
      <c r="D56" s="36" t="s">
        <v>2020</v>
      </c>
      <c r="E56" s="37" t="s">
        <v>2676</v>
      </c>
      <c r="F56" s="37" t="s">
        <v>4026</v>
      </c>
      <c r="G56" s="38">
        <v>4424.8500000000004</v>
      </c>
      <c r="H56" s="38">
        <v>0</v>
      </c>
      <c r="I56" s="37"/>
      <c r="J56" s="37"/>
      <c r="K56" s="38">
        <f t="shared" si="0"/>
        <v>4424.8500000000004</v>
      </c>
      <c r="L56" s="38"/>
    </row>
    <row r="57" spans="1:12" ht="14.5" x14ac:dyDescent="0.35">
      <c r="A57" s="45" t="s">
        <v>3588</v>
      </c>
      <c r="B57" s="46"/>
      <c r="C57" s="36">
        <v>45894</v>
      </c>
      <c r="D57" s="36" t="s">
        <v>2020</v>
      </c>
      <c r="E57" s="37" t="s">
        <v>2678</v>
      </c>
      <c r="F57" s="37" t="s">
        <v>4026</v>
      </c>
      <c r="G57" s="38">
        <v>200.4</v>
      </c>
      <c r="H57" s="38">
        <v>0</v>
      </c>
      <c r="I57" s="37"/>
      <c r="J57" s="37"/>
      <c r="K57" s="38">
        <f t="shared" si="0"/>
        <v>200.4</v>
      </c>
      <c r="L57" s="38"/>
    </row>
    <row r="58" spans="1:12" ht="14.5" x14ac:dyDescent="0.35">
      <c r="A58" s="45" t="s">
        <v>3588</v>
      </c>
      <c r="B58" s="46"/>
      <c r="C58" s="36">
        <v>45894</v>
      </c>
      <c r="D58" s="36" t="s">
        <v>2020</v>
      </c>
      <c r="E58" s="37" t="s">
        <v>2679</v>
      </c>
      <c r="F58" s="37" t="s">
        <v>4026</v>
      </c>
      <c r="G58" s="38">
        <v>442.6</v>
      </c>
      <c r="H58" s="38">
        <v>0</v>
      </c>
      <c r="I58" s="37"/>
      <c r="J58" s="37"/>
      <c r="K58" s="38">
        <f t="shared" si="0"/>
        <v>442.6</v>
      </c>
      <c r="L58" s="38"/>
    </row>
    <row r="59" spans="1:12" ht="14.5" x14ac:dyDescent="0.35">
      <c r="A59" s="45" t="s">
        <v>3588</v>
      </c>
      <c r="B59" s="46"/>
      <c r="C59" s="36">
        <v>45894</v>
      </c>
      <c r="D59" s="36" t="s">
        <v>2020</v>
      </c>
      <c r="E59" s="37" t="s">
        <v>2680</v>
      </c>
      <c r="F59" s="37" t="s">
        <v>4026</v>
      </c>
      <c r="G59" s="38">
        <v>21347.89</v>
      </c>
      <c r="H59" s="38">
        <v>0</v>
      </c>
      <c r="I59" s="37"/>
      <c r="J59" s="37"/>
      <c r="K59" s="38">
        <f t="shared" si="0"/>
        <v>21347.89</v>
      </c>
      <c r="L59" s="38"/>
    </row>
    <row r="60" spans="1:12" ht="14.5" x14ac:dyDescent="0.35">
      <c r="A60" s="45" t="s">
        <v>3588</v>
      </c>
      <c r="B60" s="46"/>
      <c r="C60" s="36">
        <v>45894</v>
      </c>
      <c r="D60" s="36" t="s">
        <v>2020</v>
      </c>
      <c r="E60" s="37" t="s">
        <v>2681</v>
      </c>
      <c r="F60" s="37" t="s">
        <v>4026</v>
      </c>
      <c r="G60" s="38">
        <v>35534.570000000007</v>
      </c>
      <c r="H60" s="38">
        <v>0</v>
      </c>
      <c r="I60" s="37"/>
      <c r="J60" s="37"/>
      <c r="K60" s="38">
        <f t="shared" si="0"/>
        <v>35534.570000000007</v>
      </c>
      <c r="L60" s="38"/>
    </row>
    <row r="61" spans="1:12" ht="14.5" x14ac:dyDescent="0.35">
      <c r="A61" s="45" t="s">
        <v>3588</v>
      </c>
      <c r="B61" s="46"/>
      <c r="C61" s="36">
        <v>45894</v>
      </c>
      <c r="D61" s="36" t="s">
        <v>2020</v>
      </c>
      <c r="E61" s="37">
        <v>33571</v>
      </c>
      <c r="F61" s="37" t="s">
        <v>4026</v>
      </c>
      <c r="G61" s="38">
        <v>1368.69</v>
      </c>
      <c r="H61" s="38">
        <v>0</v>
      </c>
      <c r="I61" s="37"/>
      <c r="J61" s="37"/>
      <c r="K61" s="38">
        <f t="shared" si="0"/>
        <v>1368.69</v>
      </c>
      <c r="L61" s="38"/>
    </row>
    <row r="62" spans="1:12" ht="14.5" x14ac:dyDescent="0.35">
      <c r="A62" s="45" t="s">
        <v>3588</v>
      </c>
      <c r="B62" s="46"/>
      <c r="C62" s="36">
        <v>45894</v>
      </c>
      <c r="D62" s="36" t="s">
        <v>2020</v>
      </c>
      <c r="E62" s="37" t="s">
        <v>2682</v>
      </c>
      <c r="F62" s="37" t="s">
        <v>4026</v>
      </c>
      <c r="G62" s="38">
        <v>46390.27</v>
      </c>
      <c r="H62" s="38">
        <v>0</v>
      </c>
      <c r="I62" s="37"/>
      <c r="J62" s="37"/>
      <c r="K62" s="38">
        <f t="shared" si="0"/>
        <v>46390.27</v>
      </c>
      <c r="L62" s="38"/>
    </row>
    <row r="63" spans="1:12" ht="14.5" x14ac:dyDescent="0.35">
      <c r="A63" s="45" t="s">
        <v>3588</v>
      </c>
      <c r="B63" s="46"/>
      <c r="C63" s="36">
        <v>45894</v>
      </c>
      <c r="D63" s="36" t="s">
        <v>2020</v>
      </c>
      <c r="E63" s="37" t="s">
        <v>2683</v>
      </c>
      <c r="F63" s="37" t="s">
        <v>4026</v>
      </c>
      <c r="G63" s="38">
        <v>736.03</v>
      </c>
      <c r="H63" s="38">
        <v>0</v>
      </c>
      <c r="I63" s="37"/>
      <c r="J63" s="37"/>
      <c r="K63" s="38">
        <f t="shared" si="0"/>
        <v>736.03</v>
      </c>
      <c r="L63" s="38"/>
    </row>
    <row r="64" spans="1:12" ht="14.5" x14ac:dyDescent="0.35">
      <c r="A64" s="45" t="s">
        <v>3588</v>
      </c>
      <c r="B64" s="46"/>
      <c r="C64" s="36">
        <v>45894</v>
      </c>
      <c r="D64" s="36" t="s">
        <v>2020</v>
      </c>
      <c r="E64" s="37" t="s">
        <v>2684</v>
      </c>
      <c r="F64" s="37" t="s">
        <v>4026</v>
      </c>
      <c r="G64" s="38">
        <v>15799.1</v>
      </c>
      <c r="H64" s="38">
        <v>0</v>
      </c>
      <c r="I64" s="37"/>
      <c r="J64" s="37"/>
      <c r="K64" s="38">
        <f t="shared" si="0"/>
        <v>15799.1</v>
      </c>
      <c r="L64" s="38"/>
    </row>
    <row r="65" spans="1:12" ht="14.5" x14ac:dyDescent="0.35">
      <c r="A65" s="45" t="s">
        <v>3588</v>
      </c>
      <c r="B65" s="46"/>
      <c r="C65" s="36">
        <v>45894</v>
      </c>
      <c r="D65" s="36" t="s">
        <v>2020</v>
      </c>
      <c r="E65" s="37" t="s">
        <v>2685</v>
      </c>
      <c r="F65" s="37" t="s">
        <v>4026</v>
      </c>
      <c r="G65" s="38">
        <v>3652.1400000000003</v>
      </c>
      <c r="H65" s="38">
        <v>0</v>
      </c>
      <c r="I65" s="37"/>
      <c r="J65" s="37"/>
      <c r="K65" s="38">
        <f t="shared" si="0"/>
        <v>3652.1400000000003</v>
      </c>
      <c r="L65" s="38"/>
    </row>
    <row r="66" spans="1:12" ht="14.5" x14ac:dyDescent="0.35">
      <c r="A66" s="45" t="s">
        <v>3588</v>
      </c>
      <c r="B66" s="46"/>
      <c r="C66" s="36">
        <v>45894</v>
      </c>
      <c r="D66" s="36" t="s">
        <v>2020</v>
      </c>
      <c r="E66" s="37">
        <v>33950</v>
      </c>
      <c r="F66" s="37" t="s">
        <v>4026</v>
      </c>
      <c r="G66" s="38">
        <v>492.94</v>
      </c>
      <c r="H66" s="38">
        <v>0</v>
      </c>
      <c r="I66" s="37"/>
      <c r="J66" s="37"/>
      <c r="K66" s="38">
        <f t="shared" si="0"/>
        <v>492.94</v>
      </c>
      <c r="L66" s="38"/>
    </row>
    <row r="67" spans="1:12" ht="14.5" x14ac:dyDescent="0.35">
      <c r="A67" s="45" t="s">
        <v>3588</v>
      </c>
      <c r="B67" s="46"/>
      <c r="C67" s="36">
        <v>45894</v>
      </c>
      <c r="D67" s="36" t="s">
        <v>2020</v>
      </c>
      <c r="E67" s="37" t="s">
        <v>2686</v>
      </c>
      <c r="F67" s="37" t="s">
        <v>4026</v>
      </c>
      <c r="G67" s="38">
        <v>93.02</v>
      </c>
      <c r="H67" s="38">
        <v>0</v>
      </c>
      <c r="I67" s="37"/>
      <c r="J67" s="37"/>
      <c r="K67" s="38">
        <f t="shared" si="0"/>
        <v>93.02</v>
      </c>
      <c r="L67" s="38"/>
    </row>
    <row r="68" spans="1:12" ht="14.5" x14ac:dyDescent="0.35">
      <c r="A68" s="45" t="s">
        <v>3588</v>
      </c>
      <c r="B68" s="46"/>
      <c r="C68" s="36">
        <v>45894</v>
      </c>
      <c r="D68" s="36" t="s">
        <v>2020</v>
      </c>
      <c r="E68" s="37" t="s">
        <v>2687</v>
      </c>
      <c r="F68" s="37" t="s">
        <v>4026</v>
      </c>
      <c r="G68" s="38">
        <v>455.18</v>
      </c>
      <c r="H68" s="38">
        <v>0</v>
      </c>
      <c r="I68" s="37"/>
      <c r="J68" s="37"/>
      <c r="K68" s="38">
        <f t="shared" si="0"/>
        <v>455.18</v>
      </c>
      <c r="L68" s="38"/>
    </row>
    <row r="69" spans="1:12" ht="14.5" x14ac:dyDescent="0.35">
      <c r="A69" s="45" t="s">
        <v>3588</v>
      </c>
      <c r="B69" s="46"/>
      <c r="C69" s="36">
        <v>45894</v>
      </c>
      <c r="D69" s="36" t="s">
        <v>2020</v>
      </c>
      <c r="E69" s="37" t="s">
        <v>2688</v>
      </c>
      <c r="F69" s="37" t="s">
        <v>4026</v>
      </c>
      <c r="G69" s="38">
        <v>1122.45</v>
      </c>
      <c r="H69" s="38">
        <v>0</v>
      </c>
      <c r="I69" s="37"/>
      <c r="J69" s="37"/>
      <c r="K69" s="38">
        <f t="shared" ref="K69:K132" si="1">G69-H69</f>
        <v>1122.45</v>
      </c>
      <c r="L69" s="38"/>
    </row>
    <row r="70" spans="1:12" ht="14.5" x14ac:dyDescent="0.35">
      <c r="A70" s="45" t="s">
        <v>3588</v>
      </c>
      <c r="B70" s="46"/>
      <c r="C70" s="36">
        <v>45894</v>
      </c>
      <c r="D70" s="36" t="s">
        <v>2020</v>
      </c>
      <c r="E70" s="37" t="s">
        <v>2689</v>
      </c>
      <c r="F70" s="37" t="s">
        <v>4026</v>
      </c>
      <c r="G70" s="38">
        <v>7346.5899999999992</v>
      </c>
      <c r="H70" s="38">
        <v>0</v>
      </c>
      <c r="I70" s="37"/>
      <c r="J70" s="37"/>
      <c r="K70" s="38">
        <f t="shared" si="1"/>
        <v>7346.5899999999992</v>
      </c>
      <c r="L70" s="38"/>
    </row>
    <row r="71" spans="1:12" ht="14.5" x14ac:dyDescent="0.35">
      <c r="A71" s="45" t="s">
        <v>3588</v>
      </c>
      <c r="B71" s="46"/>
      <c r="C71" s="36">
        <v>45894</v>
      </c>
      <c r="D71" s="36" t="s">
        <v>2020</v>
      </c>
      <c r="E71" s="37" t="s">
        <v>2690</v>
      </c>
      <c r="F71" s="37" t="s">
        <v>4026</v>
      </c>
      <c r="G71" s="38">
        <v>11782.909999999998</v>
      </c>
      <c r="H71" s="38">
        <v>0</v>
      </c>
      <c r="I71" s="37"/>
      <c r="J71" s="37"/>
      <c r="K71" s="38">
        <f t="shared" si="1"/>
        <v>11782.909999999998</v>
      </c>
      <c r="L71" s="38"/>
    </row>
    <row r="72" spans="1:12" ht="14.5" x14ac:dyDescent="0.35">
      <c r="A72" s="45" t="s">
        <v>3588</v>
      </c>
      <c r="B72" s="46"/>
      <c r="C72" s="36">
        <v>45894</v>
      </c>
      <c r="D72" s="36" t="s">
        <v>2831</v>
      </c>
      <c r="E72" s="37" t="s">
        <v>2691</v>
      </c>
      <c r="F72" s="37" t="s">
        <v>4026</v>
      </c>
      <c r="G72" s="38">
        <v>3338</v>
      </c>
      <c r="H72" s="38">
        <v>0</v>
      </c>
      <c r="I72" s="37"/>
      <c r="J72" s="37"/>
      <c r="K72" s="38">
        <f t="shared" si="1"/>
        <v>3338</v>
      </c>
      <c r="L72" s="38"/>
    </row>
    <row r="73" spans="1:12" ht="14.5" x14ac:dyDescent="0.35">
      <c r="A73" s="45" t="s">
        <v>3588</v>
      </c>
      <c r="B73" s="46"/>
      <c r="C73" s="36">
        <v>45894</v>
      </c>
      <c r="D73" s="36" t="s">
        <v>1272</v>
      </c>
      <c r="E73" s="37">
        <v>36943</v>
      </c>
      <c r="F73" s="37" t="s">
        <v>4026</v>
      </c>
      <c r="G73" s="38">
        <v>3983</v>
      </c>
      <c r="H73" s="38">
        <v>0</v>
      </c>
      <c r="I73" s="37"/>
      <c r="J73" s="37"/>
      <c r="K73" s="38">
        <f t="shared" si="1"/>
        <v>3983</v>
      </c>
      <c r="L73" s="38"/>
    </row>
    <row r="74" spans="1:12" ht="14.5" x14ac:dyDescent="0.35">
      <c r="A74" s="45" t="s">
        <v>3588</v>
      </c>
      <c r="B74" s="46"/>
      <c r="C74" s="36">
        <v>45894</v>
      </c>
      <c r="D74" s="36" t="s">
        <v>1269</v>
      </c>
      <c r="E74" s="37" t="s">
        <v>2692</v>
      </c>
      <c r="F74" s="37" t="s">
        <v>4026</v>
      </c>
      <c r="G74" s="38">
        <v>6832.57</v>
      </c>
      <c r="H74" s="38">
        <v>0</v>
      </c>
      <c r="I74" s="37"/>
      <c r="J74" s="37"/>
      <c r="K74" s="38">
        <f t="shared" si="1"/>
        <v>6832.57</v>
      </c>
      <c r="L74" s="38"/>
    </row>
    <row r="75" spans="1:12" ht="14.5" x14ac:dyDescent="0.35">
      <c r="A75" s="45" t="s">
        <v>3588</v>
      </c>
      <c r="B75" s="46"/>
      <c r="C75" s="36">
        <v>45895</v>
      </c>
      <c r="D75" s="36" t="s">
        <v>2020</v>
      </c>
      <c r="E75" s="37" t="s">
        <v>2693</v>
      </c>
      <c r="F75" s="37" t="s">
        <v>4026</v>
      </c>
      <c r="G75" s="38">
        <v>0</v>
      </c>
      <c r="H75" s="38">
        <v>492.94</v>
      </c>
      <c r="I75" s="37"/>
      <c r="J75" s="37"/>
      <c r="K75" s="38">
        <f t="shared" si="1"/>
        <v>-492.94</v>
      </c>
      <c r="L75" s="38"/>
    </row>
    <row r="76" spans="1:12" ht="14.5" x14ac:dyDescent="0.35">
      <c r="A76" s="45" t="s">
        <v>3588</v>
      </c>
      <c r="B76" s="46"/>
      <c r="C76" s="36">
        <v>45895</v>
      </c>
      <c r="D76" s="36" t="s">
        <v>2846</v>
      </c>
      <c r="E76" s="37" t="s">
        <v>2694</v>
      </c>
      <c r="F76" s="37" t="s">
        <v>4026</v>
      </c>
      <c r="G76" s="38">
        <v>1716.1300000000003</v>
      </c>
      <c r="H76" s="38">
        <v>0</v>
      </c>
      <c r="I76" s="37"/>
      <c r="J76" s="37"/>
      <c r="K76" s="38">
        <f t="shared" si="1"/>
        <v>1716.1300000000003</v>
      </c>
      <c r="L76" s="38"/>
    </row>
    <row r="77" spans="1:12" ht="14.5" x14ac:dyDescent="0.35">
      <c r="A77" s="45" t="s">
        <v>3588</v>
      </c>
      <c r="B77" s="46"/>
      <c r="C77" s="36">
        <v>45896</v>
      </c>
      <c r="D77" s="36" t="s">
        <v>1035</v>
      </c>
      <c r="E77" s="37" t="s">
        <v>2695</v>
      </c>
      <c r="F77" s="37" t="s">
        <v>4026</v>
      </c>
      <c r="G77" s="38">
        <v>350.73</v>
      </c>
      <c r="H77" s="38">
        <v>0</v>
      </c>
      <c r="I77" s="37"/>
      <c r="J77" s="37"/>
      <c r="K77" s="38">
        <f t="shared" si="1"/>
        <v>350.73</v>
      </c>
      <c r="L77" s="38"/>
    </row>
    <row r="78" spans="1:12" ht="14.5" x14ac:dyDescent="0.35">
      <c r="A78" s="45" t="s">
        <v>3588</v>
      </c>
      <c r="B78" s="46"/>
      <c r="C78" s="36">
        <v>45897</v>
      </c>
      <c r="D78" s="36" t="s">
        <v>2854</v>
      </c>
      <c r="E78" s="37" t="s">
        <v>2696</v>
      </c>
      <c r="F78" s="37" t="s">
        <v>4026</v>
      </c>
      <c r="G78" s="38">
        <v>5458.24</v>
      </c>
      <c r="H78" s="38">
        <v>0</v>
      </c>
      <c r="I78" s="37"/>
      <c r="J78" s="37"/>
      <c r="K78" s="38">
        <f t="shared" si="1"/>
        <v>5458.24</v>
      </c>
      <c r="L78" s="38"/>
    </row>
    <row r="79" spans="1:12" ht="14.5" x14ac:dyDescent="0.35">
      <c r="A79" s="45" t="s">
        <v>3588</v>
      </c>
      <c r="B79" s="46"/>
      <c r="C79" s="36">
        <v>45898</v>
      </c>
      <c r="D79" s="36" t="s">
        <v>2020</v>
      </c>
      <c r="E79" s="37" t="s">
        <v>2697</v>
      </c>
      <c r="F79" s="37" t="s">
        <v>4026</v>
      </c>
      <c r="G79" s="38">
        <v>142.41999999999999</v>
      </c>
      <c r="H79" s="38">
        <v>0</v>
      </c>
      <c r="I79" s="37"/>
      <c r="J79" s="37"/>
      <c r="K79" s="38">
        <f t="shared" si="1"/>
        <v>142.41999999999999</v>
      </c>
      <c r="L79" s="38"/>
    </row>
    <row r="80" spans="1:12" ht="14.5" x14ac:dyDescent="0.35">
      <c r="A80" s="45" t="s">
        <v>3588</v>
      </c>
      <c r="B80" s="46"/>
      <c r="C80" s="36">
        <v>45898</v>
      </c>
      <c r="D80" s="36" t="s">
        <v>2846</v>
      </c>
      <c r="E80" s="37" t="s">
        <v>2698</v>
      </c>
      <c r="F80" s="37" t="s">
        <v>4026</v>
      </c>
      <c r="G80" s="38">
        <v>643.68000000000006</v>
      </c>
      <c r="H80" s="38">
        <v>0</v>
      </c>
      <c r="I80" s="37"/>
      <c r="J80" s="37"/>
      <c r="K80" s="38">
        <f t="shared" si="1"/>
        <v>643.68000000000006</v>
      </c>
      <c r="L80" s="38"/>
    </row>
    <row r="81" spans="1:12" ht="14.5" x14ac:dyDescent="0.35">
      <c r="A81" s="45" t="s">
        <v>3588</v>
      </c>
      <c r="B81" s="46"/>
      <c r="C81" s="36">
        <v>45898</v>
      </c>
      <c r="D81" s="36" t="s">
        <v>1223</v>
      </c>
      <c r="E81" s="37" t="s">
        <v>2699</v>
      </c>
      <c r="F81" s="37" t="s">
        <v>4026</v>
      </c>
      <c r="G81" s="38">
        <v>1619.4799999999998</v>
      </c>
      <c r="H81" s="38">
        <v>0</v>
      </c>
      <c r="I81" s="37"/>
      <c r="J81" s="37"/>
      <c r="K81" s="38">
        <f t="shared" si="1"/>
        <v>1619.4799999999998</v>
      </c>
      <c r="L81" s="38"/>
    </row>
    <row r="82" spans="1:12" ht="14.5" x14ac:dyDescent="0.35">
      <c r="A82" s="45" t="s">
        <v>3588</v>
      </c>
      <c r="B82" s="46"/>
      <c r="C82" s="36">
        <v>45898</v>
      </c>
      <c r="D82" s="36" t="s">
        <v>1684</v>
      </c>
      <c r="E82" s="37" t="s">
        <v>2700</v>
      </c>
      <c r="F82" s="37" t="s">
        <v>4026</v>
      </c>
      <c r="G82" s="38">
        <v>2580.7000000000003</v>
      </c>
      <c r="H82" s="38">
        <v>0</v>
      </c>
      <c r="I82" s="37"/>
      <c r="J82" s="37"/>
      <c r="K82" s="38">
        <f t="shared" si="1"/>
        <v>2580.7000000000003</v>
      </c>
      <c r="L82" s="38"/>
    </row>
    <row r="83" spans="1:12" ht="14.5" x14ac:dyDescent="0.35">
      <c r="A83" s="45" t="s">
        <v>3588</v>
      </c>
      <c r="B83" s="46"/>
      <c r="C83" s="36">
        <v>45898</v>
      </c>
      <c r="D83" s="36" t="s">
        <v>1085</v>
      </c>
      <c r="E83" s="37" t="s">
        <v>2701</v>
      </c>
      <c r="F83" s="37" t="s">
        <v>4026</v>
      </c>
      <c r="G83" s="38">
        <v>109.08</v>
      </c>
      <c r="H83" s="38">
        <v>0</v>
      </c>
      <c r="I83" s="37"/>
      <c r="J83" s="37"/>
      <c r="K83" s="38">
        <f t="shared" si="1"/>
        <v>109.08</v>
      </c>
      <c r="L83" s="38"/>
    </row>
    <row r="84" spans="1:12" ht="14.5" x14ac:dyDescent="0.35">
      <c r="A84" s="45" t="s">
        <v>3588</v>
      </c>
      <c r="B84" s="46"/>
      <c r="C84" s="36">
        <v>45898</v>
      </c>
      <c r="D84" s="36" t="s">
        <v>2626</v>
      </c>
      <c r="E84" s="37">
        <v>38185</v>
      </c>
      <c r="F84" s="37" t="s">
        <v>4026</v>
      </c>
      <c r="G84" s="38">
        <v>45494.929999999993</v>
      </c>
      <c r="H84" s="38">
        <v>0</v>
      </c>
      <c r="I84" s="37"/>
      <c r="J84" s="37"/>
      <c r="K84" s="38">
        <f t="shared" si="1"/>
        <v>45494.929999999993</v>
      </c>
      <c r="L84" s="38"/>
    </row>
    <row r="85" spans="1:12" ht="14.5" x14ac:dyDescent="0.35">
      <c r="A85" s="45" t="s">
        <v>3588</v>
      </c>
      <c r="B85" s="46"/>
      <c r="C85" s="36">
        <v>45898</v>
      </c>
      <c r="D85" s="36" t="s">
        <v>2626</v>
      </c>
      <c r="E85" s="37">
        <v>38199</v>
      </c>
      <c r="F85" s="37" t="s">
        <v>4026</v>
      </c>
      <c r="G85" s="38">
        <v>44628.06</v>
      </c>
      <c r="H85" s="38">
        <v>0</v>
      </c>
      <c r="I85" s="37"/>
      <c r="J85" s="37"/>
      <c r="K85" s="38">
        <f t="shared" si="1"/>
        <v>44628.06</v>
      </c>
      <c r="L85" s="38"/>
    </row>
    <row r="86" spans="1:12" ht="14.5" x14ac:dyDescent="0.35">
      <c r="A86" s="45" t="s">
        <v>3588</v>
      </c>
      <c r="B86" s="46"/>
      <c r="C86" s="36">
        <v>45898</v>
      </c>
      <c r="D86" s="36" t="s">
        <v>2626</v>
      </c>
      <c r="E86" s="37" t="s">
        <v>2702</v>
      </c>
      <c r="F86" s="37" t="s">
        <v>4026</v>
      </c>
      <c r="G86" s="38">
        <v>26511.03</v>
      </c>
      <c r="H86" s="38">
        <v>0</v>
      </c>
      <c r="I86" s="37"/>
      <c r="J86" s="37"/>
      <c r="K86" s="38">
        <f t="shared" si="1"/>
        <v>26511.03</v>
      </c>
      <c r="L86" s="38"/>
    </row>
    <row r="87" spans="1:12" ht="14.5" x14ac:dyDescent="0.35">
      <c r="A87" s="45" t="s">
        <v>3588</v>
      </c>
      <c r="B87" s="46"/>
      <c r="C87" s="36">
        <v>45898</v>
      </c>
      <c r="D87" s="36" t="s">
        <v>2631</v>
      </c>
      <c r="E87" s="37" t="s">
        <v>2703</v>
      </c>
      <c r="F87" s="37" t="s">
        <v>4026</v>
      </c>
      <c r="G87" s="38">
        <v>284.68</v>
      </c>
      <c r="H87" s="38">
        <v>0</v>
      </c>
      <c r="I87" s="37"/>
      <c r="J87" s="37"/>
      <c r="K87" s="38">
        <f t="shared" si="1"/>
        <v>284.68</v>
      </c>
      <c r="L87" s="38"/>
    </row>
    <row r="88" spans="1:12" ht="14.5" x14ac:dyDescent="0.35">
      <c r="A88" s="45" t="s">
        <v>3588</v>
      </c>
      <c r="B88" s="46"/>
      <c r="C88" s="36">
        <v>45898</v>
      </c>
      <c r="D88" s="36" t="s">
        <v>2662</v>
      </c>
      <c r="E88" s="37">
        <v>38832</v>
      </c>
      <c r="F88" s="37" t="s">
        <v>4026</v>
      </c>
      <c r="G88" s="38">
        <v>1305.43</v>
      </c>
      <c r="H88" s="38">
        <v>0</v>
      </c>
      <c r="I88" s="37"/>
      <c r="J88" s="37"/>
      <c r="K88" s="38">
        <f t="shared" si="1"/>
        <v>1305.43</v>
      </c>
      <c r="L88" s="38"/>
    </row>
    <row r="89" spans="1:12" ht="14.5" x14ac:dyDescent="0.35">
      <c r="A89" s="45" t="s">
        <v>3588</v>
      </c>
      <c r="B89" s="46"/>
      <c r="C89" s="36">
        <v>45898</v>
      </c>
      <c r="D89" s="36" t="s">
        <v>2892</v>
      </c>
      <c r="E89" s="37">
        <v>38851</v>
      </c>
      <c r="F89" s="37" t="s">
        <v>4026</v>
      </c>
      <c r="G89" s="38">
        <v>1780.67</v>
      </c>
      <c r="H89" s="38">
        <v>0</v>
      </c>
      <c r="I89" s="37"/>
      <c r="J89" s="37"/>
      <c r="K89" s="38">
        <f t="shared" si="1"/>
        <v>1780.67</v>
      </c>
      <c r="L89" s="38"/>
    </row>
    <row r="90" spans="1:12" ht="14.5" x14ac:dyDescent="0.35">
      <c r="A90" s="45" t="s">
        <v>3588</v>
      </c>
      <c r="B90" s="46"/>
      <c r="C90" s="36">
        <v>45898</v>
      </c>
      <c r="D90" s="36" t="s">
        <v>2894</v>
      </c>
      <c r="E90" s="37">
        <v>38881</v>
      </c>
      <c r="F90" s="37" t="s">
        <v>4026</v>
      </c>
      <c r="G90" s="38">
        <v>440</v>
      </c>
      <c r="H90" s="38">
        <v>0</v>
      </c>
      <c r="I90" s="37"/>
      <c r="J90" s="37"/>
      <c r="K90" s="38">
        <f t="shared" si="1"/>
        <v>440</v>
      </c>
      <c r="L90" s="38"/>
    </row>
    <row r="91" spans="1:12" ht="14.5" x14ac:dyDescent="0.35">
      <c r="A91" s="45" t="s">
        <v>3588</v>
      </c>
      <c r="B91" s="46"/>
      <c r="C91" s="36">
        <v>45898</v>
      </c>
      <c r="D91" s="36" t="s">
        <v>2894</v>
      </c>
      <c r="E91" s="37">
        <v>38893</v>
      </c>
      <c r="F91" s="37" t="s">
        <v>4026</v>
      </c>
      <c r="G91" s="38">
        <v>413.33000000000004</v>
      </c>
      <c r="H91" s="38">
        <v>0</v>
      </c>
      <c r="I91" s="37"/>
      <c r="J91" s="37"/>
      <c r="K91" s="38">
        <f t="shared" si="1"/>
        <v>413.33000000000004</v>
      </c>
      <c r="L91" s="38"/>
    </row>
    <row r="92" spans="1:12" ht="14.5" x14ac:dyDescent="0.35">
      <c r="A92" s="45" t="s">
        <v>3588</v>
      </c>
      <c r="B92" s="46"/>
      <c r="C92" s="36">
        <v>45898</v>
      </c>
      <c r="D92" s="36" t="s">
        <v>874</v>
      </c>
      <c r="E92" s="37">
        <v>25013074</v>
      </c>
      <c r="F92" s="37" t="s">
        <v>4026</v>
      </c>
      <c r="G92" s="38">
        <v>3942.61</v>
      </c>
      <c r="H92" s="38">
        <v>3942.61</v>
      </c>
      <c r="I92" s="37"/>
      <c r="J92" s="37"/>
      <c r="K92" s="38">
        <f t="shared" si="1"/>
        <v>0</v>
      </c>
      <c r="L92" s="38"/>
    </row>
    <row r="93" spans="1:12" ht="14.5" x14ac:dyDescent="0.35">
      <c r="A93" s="45" t="s">
        <v>3588</v>
      </c>
      <c r="B93" s="46"/>
      <c r="C93" s="36">
        <v>45898</v>
      </c>
      <c r="D93" s="36" t="s">
        <v>874</v>
      </c>
      <c r="E93" s="37">
        <v>25013566</v>
      </c>
      <c r="F93" s="37" t="s">
        <v>4026</v>
      </c>
      <c r="G93" s="38">
        <v>438.07</v>
      </c>
      <c r="H93" s="38">
        <v>438.07</v>
      </c>
      <c r="I93" s="37"/>
      <c r="J93" s="37"/>
      <c r="K93" s="38">
        <f t="shared" si="1"/>
        <v>0</v>
      </c>
      <c r="L93" s="38"/>
    </row>
    <row r="94" spans="1:12" ht="14.5" x14ac:dyDescent="0.35">
      <c r="A94" s="45" t="s">
        <v>3588</v>
      </c>
      <c r="B94" s="46"/>
      <c r="C94" s="36">
        <v>45899</v>
      </c>
      <c r="D94" s="36" t="s">
        <v>2575</v>
      </c>
      <c r="E94" s="37" t="s">
        <v>2704</v>
      </c>
      <c r="F94" s="37" t="s">
        <v>4026</v>
      </c>
      <c r="G94" s="38">
        <v>300</v>
      </c>
      <c r="H94" s="38">
        <v>0</v>
      </c>
      <c r="I94" s="37"/>
      <c r="J94" s="37"/>
      <c r="K94" s="38">
        <f t="shared" si="1"/>
        <v>300</v>
      </c>
      <c r="L94" s="38"/>
    </row>
    <row r="95" spans="1:12" ht="14.5" x14ac:dyDescent="0.35">
      <c r="A95" s="45" t="s">
        <v>3588</v>
      </c>
      <c r="B95" s="46"/>
      <c r="C95" s="36">
        <v>45899</v>
      </c>
      <c r="D95" s="36" t="s">
        <v>2462</v>
      </c>
      <c r="E95" s="37" t="s">
        <v>2705</v>
      </c>
      <c r="F95" s="37" t="s">
        <v>4026</v>
      </c>
      <c r="G95" s="38">
        <v>17875.93</v>
      </c>
      <c r="H95" s="38">
        <v>0</v>
      </c>
      <c r="I95" s="37"/>
      <c r="J95" s="37"/>
      <c r="K95" s="38">
        <f t="shared" si="1"/>
        <v>17875.93</v>
      </c>
      <c r="L95" s="38"/>
    </row>
    <row r="96" spans="1:12" ht="14.5" x14ac:dyDescent="0.35">
      <c r="A96" s="45" t="s">
        <v>3588</v>
      </c>
      <c r="B96" s="46"/>
      <c r="C96" s="36">
        <v>45899</v>
      </c>
      <c r="D96" s="36" t="s">
        <v>2462</v>
      </c>
      <c r="E96" s="37" t="s">
        <v>2706</v>
      </c>
      <c r="F96" s="37" t="s">
        <v>4026</v>
      </c>
      <c r="G96" s="38">
        <v>72339.86</v>
      </c>
      <c r="H96" s="38">
        <v>0</v>
      </c>
      <c r="I96" s="37"/>
      <c r="J96" s="37"/>
      <c r="K96" s="38">
        <f t="shared" si="1"/>
        <v>72339.86</v>
      </c>
      <c r="L96" s="38"/>
    </row>
    <row r="97" spans="1:12" ht="14.5" x14ac:dyDescent="0.35">
      <c r="A97" s="45" t="s">
        <v>3588</v>
      </c>
      <c r="B97" s="46"/>
      <c r="C97" s="36">
        <v>45899</v>
      </c>
      <c r="D97" s="36" t="s">
        <v>2547</v>
      </c>
      <c r="E97" s="37" t="s">
        <v>2707</v>
      </c>
      <c r="F97" s="37" t="s">
        <v>4026</v>
      </c>
      <c r="G97" s="38">
        <v>0</v>
      </c>
      <c r="H97" s="38">
        <v>0</v>
      </c>
      <c r="I97" s="37"/>
      <c r="J97" s="37"/>
      <c r="K97" s="38">
        <f t="shared" si="1"/>
        <v>0</v>
      </c>
      <c r="L97" s="38"/>
    </row>
    <row r="98" spans="1:12" ht="14.5" x14ac:dyDescent="0.35">
      <c r="A98" s="45" t="s">
        <v>3588</v>
      </c>
      <c r="B98" s="46"/>
      <c r="C98" s="36">
        <v>45899</v>
      </c>
      <c r="D98" s="36" t="s">
        <v>2904</v>
      </c>
      <c r="E98" s="37" t="s">
        <v>2708</v>
      </c>
      <c r="F98" s="37" t="s">
        <v>4026</v>
      </c>
      <c r="G98" s="38">
        <v>306</v>
      </c>
      <c r="H98" s="38">
        <v>0</v>
      </c>
      <c r="I98" s="37"/>
      <c r="J98" s="37"/>
      <c r="K98" s="38">
        <f t="shared" si="1"/>
        <v>306</v>
      </c>
      <c r="L98" s="38"/>
    </row>
    <row r="99" spans="1:12" ht="14.5" x14ac:dyDescent="0.35">
      <c r="A99" s="45" t="s">
        <v>3588</v>
      </c>
      <c r="B99" s="46"/>
      <c r="C99" s="36">
        <v>45899</v>
      </c>
      <c r="D99" s="36" t="s">
        <v>2906</v>
      </c>
      <c r="E99" s="37" t="s">
        <v>2709</v>
      </c>
      <c r="F99" s="37" t="s">
        <v>4026</v>
      </c>
      <c r="G99" s="38">
        <v>259.33</v>
      </c>
      <c r="H99" s="38">
        <v>0</v>
      </c>
      <c r="I99" s="37"/>
      <c r="J99" s="37"/>
      <c r="K99" s="38">
        <f t="shared" si="1"/>
        <v>259.33</v>
      </c>
      <c r="L99" s="38"/>
    </row>
    <row r="100" spans="1:12" ht="14.5" x14ac:dyDescent="0.35">
      <c r="A100" s="45" t="s">
        <v>3588</v>
      </c>
      <c r="B100" s="46"/>
      <c r="C100" s="36">
        <v>45899</v>
      </c>
      <c r="D100" s="36" t="s">
        <v>301</v>
      </c>
      <c r="E100" s="37" t="s">
        <v>2710</v>
      </c>
      <c r="F100" s="37" t="s">
        <v>4026</v>
      </c>
      <c r="G100" s="38">
        <v>200.38</v>
      </c>
      <c r="H100" s="38">
        <v>0</v>
      </c>
      <c r="I100" s="37"/>
      <c r="J100" s="37"/>
      <c r="K100" s="38">
        <f t="shared" si="1"/>
        <v>200.38</v>
      </c>
      <c r="L100" s="38"/>
    </row>
    <row r="101" spans="1:12" ht="14.5" x14ac:dyDescent="0.35">
      <c r="A101" s="45" t="s">
        <v>3588</v>
      </c>
      <c r="B101" s="46"/>
      <c r="C101" s="36">
        <v>45899</v>
      </c>
      <c r="D101" s="36" t="s">
        <v>301</v>
      </c>
      <c r="E101" s="37" t="s">
        <v>2711</v>
      </c>
      <c r="F101" s="37" t="s">
        <v>4026</v>
      </c>
      <c r="G101" s="38">
        <v>1966</v>
      </c>
      <c r="H101" s="38">
        <v>0</v>
      </c>
      <c r="I101" s="37"/>
      <c r="J101" s="37"/>
      <c r="K101" s="38">
        <f t="shared" si="1"/>
        <v>1966</v>
      </c>
      <c r="L101" s="38"/>
    </row>
    <row r="102" spans="1:12" ht="14.5" x14ac:dyDescent="0.35">
      <c r="A102" s="45" t="s">
        <v>3588</v>
      </c>
      <c r="B102" s="46"/>
      <c r="C102" s="36">
        <v>45899</v>
      </c>
      <c r="D102" s="36" t="s">
        <v>301</v>
      </c>
      <c r="E102" s="37" t="s">
        <v>2712</v>
      </c>
      <c r="F102" s="37" t="s">
        <v>4026</v>
      </c>
      <c r="G102" s="38">
        <v>85</v>
      </c>
      <c r="H102" s="38">
        <v>0</v>
      </c>
      <c r="I102" s="37"/>
      <c r="J102" s="37"/>
      <c r="K102" s="38">
        <f t="shared" si="1"/>
        <v>85</v>
      </c>
      <c r="L102" s="38"/>
    </row>
    <row r="103" spans="1:12" ht="14.5" x14ac:dyDescent="0.35">
      <c r="A103" s="45" t="s">
        <v>3588</v>
      </c>
      <c r="B103" s="46"/>
      <c r="C103" s="36">
        <v>45899</v>
      </c>
      <c r="D103" s="36" t="s">
        <v>1484</v>
      </c>
      <c r="E103" s="37" t="s">
        <v>2713</v>
      </c>
      <c r="F103" s="37" t="s">
        <v>4026</v>
      </c>
      <c r="G103" s="38">
        <v>3427.91</v>
      </c>
      <c r="H103" s="38">
        <v>0</v>
      </c>
      <c r="I103" s="37"/>
      <c r="J103" s="37"/>
      <c r="K103" s="38">
        <f t="shared" si="1"/>
        <v>3427.91</v>
      </c>
      <c r="L103" s="38"/>
    </row>
    <row r="104" spans="1:12" ht="14.5" x14ac:dyDescent="0.35">
      <c r="A104" s="45" t="s">
        <v>3588</v>
      </c>
      <c r="B104" s="46"/>
      <c r="C104" s="36">
        <v>45899</v>
      </c>
      <c r="D104" s="36" t="s">
        <v>1251</v>
      </c>
      <c r="E104" s="37" t="s">
        <v>2714</v>
      </c>
      <c r="F104" s="37" t="s">
        <v>4026</v>
      </c>
      <c r="G104" s="38">
        <v>126.68</v>
      </c>
      <c r="H104" s="38">
        <v>0</v>
      </c>
      <c r="I104" s="37"/>
      <c r="J104" s="37"/>
      <c r="K104" s="38">
        <f t="shared" si="1"/>
        <v>126.68</v>
      </c>
      <c r="L104" s="38"/>
    </row>
    <row r="105" spans="1:12" ht="14.5" x14ac:dyDescent="0.35">
      <c r="A105" s="45" t="s">
        <v>3588</v>
      </c>
      <c r="B105" s="46"/>
      <c r="C105" s="36">
        <v>45899</v>
      </c>
      <c r="D105" s="36" t="s">
        <v>2921</v>
      </c>
      <c r="E105" s="37" t="s">
        <v>2715</v>
      </c>
      <c r="F105" s="37" t="s">
        <v>4026</v>
      </c>
      <c r="G105" s="38">
        <v>790.5</v>
      </c>
      <c r="H105" s="38">
        <v>0</v>
      </c>
      <c r="I105" s="37"/>
      <c r="J105" s="37"/>
      <c r="K105" s="38">
        <f t="shared" si="1"/>
        <v>790.5</v>
      </c>
      <c r="L105" s="38"/>
    </row>
    <row r="106" spans="1:12" ht="14.5" x14ac:dyDescent="0.35">
      <c r="A106" s="45" t="s">
        <v>3588</v>
      </c>
      <c r="B106" s="46"/>
      <c r="C106" s="36">
        <v>45899</v>
      </c>
      <c r="D106" s="36" t="s">
        <v>2923</v>
      </c>
      <c r="E106" s="37" t="s">
        <v>2716</v>
      </c>
      <c r="F106" s="37" t="s">
        <v>4026</v>
      </c>
      <c r="G106" s="38">
        <v>18.37</v>
      </c>
      <c r="H106" s="38">
        <v>0</v>
      </c>
      <c r="I106" s="37"/>
      <c r="J106" s="37"/>
      <c r="K106" s="38">
        <f t="shared" si="1"/>
        <v>18.37</v>
      </c>
      <c r="L106" s="38"/>
    </row>
    <row r="107" spans="1:12" ht="14.5" x14ac:dyDescent="0.35">
      <c r="A107" s="45" t="s">
        <v>3588</v>
      </c>
      <c r="B107" s="46"/>
      <c r="C107" s="36">
        <v>45899</v>
      </c>
      <c r="D107" s="36" t="s">
        <v>2067</v>
      </c>
      <c r="E107" s="37" t="s">
        <v>2717</v>
      </c>
      <c r="F107" s="37" t="s">
        <v>4026</v>
      </c>
      <c r="G107" s="38">
        <v>6207.380000000001</v>
      </c>
      <c r="H107" s="38">
        <v>0</v>
      </c>
      <c r="I107" s="37"/>
      <c r="J107" s="37"/>
      <c r="K107" s="38">
        <f t="shared" si="1"/>
        <v>6207.380000000001</v>
      </c>
      <c r="L107" s="38"/>
    </row>
    <row r="108" spans="1:12" ht="14.5" x14ac:dyDescent="0.35">
      <c r="A108" s="45" t="s">
        <v>3588</v>
      </c>
      <c r="B108" s="46"/>
      <c r="C108" s="36">
        <v>45899</v>
      </c>
      <c r="D108" s="36" t="s">
        <v>2926</v>
      </c>
      <c r="E108" s="37" t="s">
        <v>2718</v>
      </c>
      <c r="F108" s="37" t="s">
        <v>4026</v>
      </c>
      <c r="G108" s="38">
        <v>265.72000000000003</v>
      </c>
      <c r="H108" s="38">
        <v>0</v>
      </c>
      <c r="I108" s="37"/>
      <c r="J108" s="37"/>
      <c r="K108" s="38">
        <f t="shared" si="1"/>
        <v>265.72000000000003</v>
      </c>
      <c r="L108" s="38"/>
    </row>
    <row r="109" spans="1:12" ht="14.5" x14ac:dyDescent="0.35">
      <c r="A109" s="45" t="s">
        <v>3588</v>
      </c>
      <c r="B109" s="46"/>
      <c r="C109" s="36">
        <v>45899</v>
      </c>
      <c r="D109" s="36" t="s">
        <v>2926</v>
      </c>
      <c r="E109" s="37" t="s">
        <v>2719</v>
      </c>
      <c r="F109" s="37" t="s">
        <v>4026</v>
      </c>
      <c r="G109" s="38">
        <v>627.87</v>
      </c>
      <c r="H109" s="38">
        <v>0</v>
      </c>
      <c r="I109" s="37"/>
      <c r="J109" s="37"/>
      <c r="K109" s="38">
        <f t="shared" si="1"/>
        <v>627.87</v>
      </c>
      <c r="L109" s="38"/>
    </row>
    <row r="110" spans="1:12" ht="14.5" x14ac:dyDescent="0.35">
      <c r="A110" s="45" t="s">
        <v>3588</v>
      </c>
      <c r="B110" s="46"/>
      <c r="C110" s="36">
        <v>45899</v>
      </c>
      <c r="D110" s="36" t="s">
        <v>2462</v>
      </c>
      <c r="E110" s="37" t="s">
        <v>2720</v>
      </c>
      <c r="F110" s="37" t="s">
        <v>4026</v>
      </c>
      <c r="G110" s="38">
        <v>2352.48</v>
      </c>
      <c r="H110" s="38">
        <v>0</v>
      </c>
      <c r="I110" s="37"/>
      <c r="J110" s="37"/>
      <c r="K110" s="38">
        <f t="shared" si="1"/>
        <v>2352.48</v>
      </c>
      <c r="L110" s="38"/>
    </row>
    <row r="111" spans="1:12" ht="14.5" x14ac:dyDescent="0.35">
      <c r="A111" s="45" t="s">
        <v>3588</v>
      </c>
      <c r="B111" s="46"/>
      <c r="C111" s="36">
        <v>45899</v>
      </c>
      <c r="D111" s="36" t="s">
        <v>2931</v>
      </c>
      <c r="E111" s="37">
        <v>32888</v>
      </c>
      <c r="F111" s="37" t="s">
        <v>4026</v>
      </c>
      <c r="G111" s="38">
        <v>17594.259999999998</v>
      </c>
      <c r="H111" s="38">
        <v>0</v>
      </c>
      <c r="I111" s="37"/>
      <c r="J111" s="37"/>
      <c r="K111" s="38">
        <f t="shared" si="1"/>
        <v>17594.259999999998</v>
      </c>
      <c r="L111" s="38"/>
    </row>
    <row r="112" spans="1:12" ht="14.5" x14ac:dyDescent="0.35">
      <c r="A112" s="45" t="s">
        <v>3588</v>
      </c>
      <c r="B112" s="46"/>
      <c r="C112" s="36">
        <v>45899</v>
      </c>
      <c r="D112" s="36" t="s">
        <v>2931</v>
      </c>
      <c r="E112" s="37" t="s">
        <v>2721</v>
      </c>
      <c r="F112" s="37" t="s">
        <v>4026</v>
      </c>
      <c r="G112" s="38">
        <v>29.89</v>
      </c>
      <c r="H112" s="38">
        <v>0</v>
      </c>
      <c r="I112" s="37"/>
      <c r="J112" s="37"/>
      <c r="K112" s="38">
        <f t="shared" si="1"/>
        <v>29.89</v>
      </c>
      <c r="L112" s="38"/>
    </row>
    <row r="113" spans="1:12" ht="14.5" x14ac:dyDescent="0.35">
      <c r="A113" s="45" t="s">
        <v>3588</v>
      </c>
      <c r="C113" s="36">
        <v>45899</v>
      </c>
      <c r="D113" s="36" t="s">
        <v>2970</v>
      </c>
      <c r="E113" s="37" t="s">
        <v>2722</v>
      </c>
      <c r="F113" s="37" t="s">
        <v>4026</v>
      </c>
      <c r="G113" s="38">
        <v>1325.98</v>
      </c>
      <c r="H113" s="38">
        <v>0</v>
      </c>
      <c r="I113" s="37"/>
      <c r="J113" s="37"/>
      <c r="K113" s="38">
        <f t="shared" si="1"/>
        <v>1325.98</v>
      </c>
      <c r="L113" s="38"/>
    </row>
    <row r="114" spans="1:12" ht="14.5" x14ac:dyDescent="0.35">
      <c r="A114" s="45" t="s">
        <v>3588</v>
      </c>
      <c r="C114" s="36">
        <v>45899</v>
      </c>
      <c r="D114" s="36" t="s">
        <v>2970</v>
      </c>
      <c r="E114" s="37" t="s">
        <v>2723</v>
      </c>
      <c r="F114" s="37" t="s">
        <v>4026</v>
      </c>
      <c r="G114" s="38">
        <v>80.23</v>
      </c>
      <c r="H114" s="38">
        <v>0</v>
      </c>
      <c r="I114" s="37"/>
      <c r="J114" s="37"/>
      <c r="K114" s="38">
        <f t="shared" si="1"/>
        <v>80.23</v>
      </c>
      <c r="L114" s="38"/>
    </row>
    <row r="115" spans="1:12" ht="14.5" x14ac:dyDescent="0.35">
      <c r="A115" s="45" t="s">
        <v>3588</v>
      </c>
      <c r="C115" s="36">
        <v>45899</v>
      </c>
      <c r="D115" s="36" t="s">
        <v>2973</v>
      </c>
      <c r="E115" s="37" t="s">
        <v>2724</v>
      </c>
      <c r="F115" s="37" t="s">
        <v>4026</v>
      </c>
      <c r="G115" s="38">
        <v>942.76</v>
      </c>
      <c r="H115" s="38">
        <v>0</v>
      </c>
      <c r="I115" s="37"/>
      <c r="J115" s="37"/>
      <c r="K115" s="38">
        <f t="shared" si="1"/>
        <v>942.76</v>
      </c>
      <c r="L115" s="38"/>
    </row>
    <row r="116" spans="1:12" ht="14.5" x14ac:dyDescent="0.35">
      <c r="A116" s="45" t="s">
        <v>3588</v>
      </c>
      <c r="C116" s="36">
        <v>45899</v>
      </c>
      <c r="D116" s="36" t="s">
        <v>2973</v>
      </c>
      <c r="E116" s="37" t="s">
        <v>2725</v>
      </c>
      <c r="F116" s="37" t="s">
        <v>4026</v>
      </c>
      <c r="G116" s="38">
        <v>6697.87</v>
      </c>
      <c r="H116" s="38">
        <v>0</v>
      </c>
      <c r="I116" s="37"/>
      <c r="J116" s="37"/>
      <c r="K116" s="38">
        <f t="shared" si="1"/>
        <v>6697.87</v>
      </c>
      <c r="L116" s="38"/>
    </row>
    <row r="117" spans="1:12" ht="14.5" x14ac:dyDescent="0.35">
      <c r="A117" s="45" t="s">
        <v>3588</v>
      </c>
      <c r="C117" s="36">
        <v>45899</v>
      </c>
      <c r="D117" s="36" t="s">
        <v>2575</v>
      </c>
      <c r="E117" s="37" t="s">
        <v>2726</v>
      </c>
      <c r="F117" s="37" t="s">
        <v>4026</v>
      </c>
      <c r="G117" s="38">
        <v>218.71</v>
      </c>
      <c r="H117" s="38">
        <v>0</v>
      </c>
      <c r="I117" s="37"/>
      <c r="J117" s="37"/>
      <c r="K117" s="38">
        <f t="shared" si="1"/>
        <v>218.71</v>
      </c>
      <c r="L117" s="38"/>
    </row>
    <row r="118" spans="1:12" ht="14.5" x14ac:dyDescent="0.35">
      <c r="A118" s="45" t="s">
        <v>3588</v>
      </c>
      <c r="C118" s="36">
        <v>45899</v>
      </c>
      <c r="D118" s="36" t="s">
        <v>1283</v>
      </c>
      <c r="E118" s="37" t="s">
        <v>2727</v>
      </c>
      <c r="F118" s="37" t="s">
        <v>4026</v>
      </c>
      <c r="G118" s="38">
        <v>1374.3700000000001</v>
      </c>
      <c r="H118" s="38">
        <v>0</v>
      </c>
      <c r="I118" s="37"/>
      <c r="J118" s="37"/>
      <c r="K118" s="38">
        <f t="shared" si="1"/>
        <v>1374.3700000000001</v>
      </c>
      <c r="L118" s="38"/>
    </row>
    <row r="119" spans="1:12" ht="14.5" x14ac:dyDescent="0.35">
      <c r="A119" s="45" t="s">
        <v>3588</v>
      </c>
      <c r="C119" s="36">
        <v>45899</v>
      </c>
      <c r="D119" s="36" t="s">
        <v>1283</v>
      </c>
      <c r="E119" s="37" t="s">
        <v>2728</v>
      </c>
      <c r="F119" s="37" t="s">
        <v>4026</v>
      </c>
      <c r="G119" s="38">
        <v>843.92000000000007</v>
      </c>
      <c r="H119" s="38">
        <v>0</v>
      </c>
      <c r="I119" s="37"/>
      <c r="J119" s="37"/>
      <c r="K119" s="38">
        <f t="shared" si="1"/>
        <v>843.92000000000007</v>
      </c>
      <c r="L119" s="38"/>
    </row>
    <row r="120" spans="1:12" ht="14.5" x14ac:dyDescent="0.35">
      <c r="A120" s="45" t="s">
        <v>3588</v>
      </c>
      <c r="C120" s="36">
        <v>45899</v>
      </c>
      <c r="D120" s="36" t="s">
        <v>1283</v>
      </c>
      <c r="E120" s="37" t="s">
        <v>2729</v>
      </c>
      <c r="F120" s="37" t="s">
        <v>4026</v>
      </c>
      <c r="G120" s="38">
        <v>55.88</v>
      </c>
      <c r="H120" s="38">
        <v>0</v>
      </c>
      <c r="I120" s="37"/>
      <c r="J120" s="37"/>
      <c r="K120" s="38">
        <f t="shared" si="1"/>
        <v>55.88</v>
      </c>
      <c r="L120" s="38"/>
    </row>
    <row r="121" spans="1:12" ht="14.5" x14ac:dyDescent="0.35">
      <c r="A121" s="45" t="s">
        <v>3588</v>
      </c>
      <c r="C121" s="36">
        <v>45899</v>
      </c>
      <c r="D121" s="36" t="s">
        <v>1283</v>
      </c>
      <c r="E121" s="37" t="s">
        <v>2730</v>
      </c>
      <c r="F121" s="37" t="s">
        <v>4026</v>
      </c>
      <c r="G121" s="38">
        <v>181.61</v>
      </c>
      <c r="H121" s="38">
        <v>0</v>
      </c>
      <c r="I121" s="37"/>
      <c r="J121" s="37"/>
      <c r="K121" s="38">
        <f t="shared" si="1"/>
        <v>181.61</v>
      </c>
      <c r="L121" s="38"/>
    </row>
    <row r="122" spans="1:12" ht="14.5" x14ac:dyDescent="0.35">
      <c r="A122" s="45" t="s">
        <v>3588</v>
      </c>
      <c r="C122" s="36">
        <v>45899</v>
      </c>
      <c r="D122" s="36" t="s">
        <v>1283</v>
      </c>
      <c r="E122" s="37" t="s">
        <v>2731</v>
      </c>
      <c r="F122" s="37" t="s">
        <v>4026</v>
      </c>
      <c r="G122" s="38">
        <v>3933.1800000000003</v>
      </c>
      <c r="H122" s="38">
        <v>0</v>
      </c>
      <c r="I122" s="37"/>
      <c r="J122" s="37"/>
      <c r="K122" s="38">
        <f t="shared" si="1"/>
        <v>3933.1800000000003</v>
      </c>
      <c r="L122" s="38"/>
    </row>
    <row r="123" spans="1:12" ht="14.5" x14ac:dyDescent="0.35">
      <c r="A123" s="45" t="s">
        <v>3588</v>
      </c>
      <c r="C123" s="36">
        <v>45899</v>
      </c>
      <c r="D123" s="36" t="s">
        <v>2092</v>
      </c>
      <c r="E123" s="37" t="s">
        <v>2732</v>
      </c>
      <c r="F123" s="37" t="s">
        <v>4026</v>
      </c>
      <c r="G123" s="38">
        <v>26.73</v>
      </c>
      <c r="H123" s="38">
        <v>0</v>
      </c>
      <c r="I123" s="37"/>
      <c r="J123" s="37"/>
      <c r="K123" s="38">
        <f t="shared" si="1"/>
        <v>26.73</v>
      </c>
      <c r="L123" s="38"/>
    </row>
    <row r="124" spans="1:12" ht="14.5" x14ac:dyDescent="0.35">
      <c r="A124" s="45" t="s">
        <v>3588</v>
      </c>
      <c r="C124" s="36">
        <v>45899</v>
      </c>
      <c r="D124" s="36" t="s">
        <v>2144</v>
      </c>
      <c r="E124" s="37" t="s">
        <v>2733</v>
      </c>
      <c r="F124" s="37" t="s">
        <v>4026</v>
      </c>
      <c r="G124" s="38">
        <v>1759.9</v>
      </c>
      <c r="H124" s="38">
        <v>0</v>
      </c>
      <c r="I124" s="37"/>
      <c r="J124" s="37"/>
      <c r="K124" s="38">
        <f t="shared" si="1"/>
        <v>1759.9</v>
      </c>
      <c r="L124" s="38"/>
    </row>
    <row r="125" spans="1:12" ht="14.5" x14ac:dyDescent="0.35">
      <c r="A125" s="45" t="s">
        <v>3588</v>
      </c>
      <c r="C125" s="36">
        <v>45899</v>
      </c>
      <c r="D125" s="36" t="s">
        <v>2144</v>
      </c>
      <c r="E125" s="37" t="s">
        <v>2734</v>
      </c>
      <c r="F125" s="37" t="s">
        <v>4026</v>
      </c>
      <c r="G125" s="38">
        <v>933.4</v>
      </c>
      <c r="H125" s="38">
        <v>0</v>
      </c>
      <c r="I125" s="37"/>
      <c r="J125" s="37"/>
      <c r="K125" s="38">
        <f t="shared" si="1"/>
        <v>933.4</v>
      </c>
      <c r="L125" s="38"/>
    </row>
    <row r="126" spans="1:12" ht="14.5" x14ac:dyDescent="0.35">
      <c r="A126" s="45" t="s">
        <v>3588</v>
      </c>
      <c r="C126" s="36">
        <v>45899</v>
      </c>
      <c r="D126" s="36" t="s">
        <v>2189</v>
      </c>
      <c r="E126" s="37" t="s">
        <v>2735</v>
      </c>
      <c r="F126" s="37" t="s">
        <v>4026</v>
      </c>
      <c r="G126" s="38">
        <v>4.66</v>
      </c>
      <c r="H126" s="38">
        <v>0</v>
      </c>
      <c r="I126" s="37"/>
      <c r="J126" s="37"/>
      <c r="K126" s="38">
        <f t="shared" si="1"/>
        <v>4.66</v>
      </c>
      <c r="L126" s="38"/>
    </row>
    <row r="127" spans="1:12" ht="14.5" x14ac:dyDescent="0.35">
      <c r="A127" s="45" t="s">
        <v>3588</v>
      </c>
      <c r="C127" s="36">
        <v>45899</v>
      </c>
      <c r="D127" s="36" t="s">
        <v>2189</v>
      </c>
      <c r="E127" s="37" t="s">
        <v>2736</v>
      </c>
      <c r="F127" s="37" t="s">
        <v>4026</v>
      </c>
      <c r="G127" s="38">
        <v>239</v>
      </c>
      <c r="H127" s="38">
        <v>0</v>
      </c>
      <c r="I127" s="37"/>
      <c r="J127" s="37"/>
      <c r="K127" s="38">
        <f t="shared" si="1"/>
        <v>239</v>
      </c>
      <c r="L127" s="38"/>
    </row>
    <row r="128" spans="1:12" ht="14.5" x14ac:dyDescent="0.35">
      <c r="A128" s="45" t="s">
        <v>3588</v>
      </c>
      <c r="C128" s="36">
        <v>45899</v>
      </c>
      <c r="D128" s="36" t="s">
        <v>2987</v>
      </c>
      <c r="E128" s="37" t="s">
        <v>2737</v>
      </c>
      <c r="F128" s="37" t="s">
        <v>4026</v>
      </c>
      <c r="G128" s="38">
        <v>279.52999999999997</v>
      </c>
      <c r="H128" s="38">
        <v>0</v>
      </c>
      <c r="I128" s="37"/>
      <c r="J128" s="37"/>
      <c r="K128" s="38">
        <f t="shared" si="1"/>
        <v>279.52999999999997</v>
      </c>
      <c r="L128" s="38"/>
    </row>
    <row r="129" spans="1:12" ht="14.5" x14ac:dyDescent="0.35">
      <c r="A129" s="45" t="s">
        <v>3588</v>
      </c>
      <c r="C129" s="36">
        <v>45899</v>
      </c>
      <c r="D129" s="36" t="s">
        <v>2989</v>
      </c>
      <c r="E129" s="37" t="s">
        <v>2738</v>
      </c>
      <c r="F129" s="37" t="s">
        <v>4026</v>
      </c>
      <c r="G129" s="38">
        <v>23.89</v>
      </c>
      <c r="H129" s="38">
        <v>0</v>
      </c>
      <c r="I129" s="37"/>
      <c r="J129" s="37"/>
      <c r="K129" s="38">
        <f t="shared" si="1"/>
        <v>23.89</v>
      </c>
      <c r="L129" s="38"/>
    </row>
    <row r="130" spans="1:12" ht="14.5" x14ac:dyDescent="0.35">
      <c r="A130" s="45" t="s">
        <v>3588</v>
      </c>
      <c r="C130" s="36">
        <v>45899</v>
      </c>
      <c r="D130" s="36" t="s">
        <v>2989</v>
      </c>
      <c r="E130" s="37" t="s">
        <v>2739</v>
      </c>
      <c r="F130" s="37" t="s">
        <v>4026</v>
      </c>
      <c r="G130" s="38">
        <v>222.58</v>
      </c>
      <c r="H130" s="38">
        <v>0</v>
      </c>
      <c r="I130" s="37"/>
      <c r="J130" s="37"/>
      <c r="K130" s="38">
        <f t="shared" si="1"/>
        <v>222.58</v>
      </c>
      <c r="L130" s="38"/>
    </row>
    <row r="131" spans="1:12" ht="14.5" x14ac:dyDescent="0.35">
      <c r="A131" s="45" t="s">
        <v>3588</v>
      </c>
      <c r="C131" s="36">
        <v>45899</v>
      </c>
      <c r="D131" s="36" t="s">
        <v>2197</v>
      </c>
      <c r="E131" s="37" t="s">
        <v>2740</v>
      </c>
      <c r="F131" s="37" t="s">
        <v>4026</v>
      </c>
      <c r="G131" s="38">
        <v>25931.250000000007</v>
      </c>
      <c r="H131" s="38">
        <v>0</v>
      </c>
      <c r="I131" s="37"/>
      <c r="J131" s="37"/>
      <c r="K131" s="38">
        <f t="shared" si="1"/>
        <v>25931.250000000007</v>
      </c>
      <c r="L131" s="38"/>
    </row>
    <row r="132" spans="1:12" ht="14.5" x14ac:dyDescent="0.35">
      <c r="A132" s="45" t="s">
        <v>3588</v>
      </c>
      <c r="C132" s="36">
        <v>45899</v>
      </c>
      <c r="D132" s="36" t="s">
        <v>2555</v>
      </c>
      <c r="E132" s="37" t="s">
        <v>2741</v>
      </c>
      <c r="F132" s="37" t="s">
        <v>4026</v>
      </c>
      <c r="G132" s="38">
        <v>1716.66</v>
      </c>
      <c r="H132" s="38">
        <v>0</v>
      </c>
      <c r="I132" s="37"/>
      <c r="J132" s="37"/>
      <c r="K132" s="38">
        <f t="shared" si="1"/>
        <v>1716.66</v>
      </c>
      <c r="L132" s="38"/>
    </row>
    <row r="133" spans="1:12" ht="14.5" x14ac:dyDescent="0.35">
      <c r="A133" s="45" t="s">
        <v>3588</v>
      </c>
      <c r="C133" s="36">
        <v>45899</v>
      </c>
      <c r="D133" s="36" t="s">
        <v>2555</v>
      </c>
      <c r="E133" s="37" t="s">
        <v>2742</v>
      </c>
      <c r="F133" s="37" t="s">
        <v>4026</v>
      </c>
      <c r="G133" s="38">
        <v>588</v>
      </c>
      <c r="H133" s="38">
        <v>0</v>
      </c>
      <c r="I133" s="37"/>
      <c r="J133" s="37"/>
      <c r="K133" s="38">
        <f t="shared" ref="K133:K196" si="2">G133-H133</f>
        <v>588</v>
      </c>
      <c r="L133" s="38"/>
    </row>
    <row r="134" spans="1:12" ht="14.5" x14ac:dyDescent="0.35">
      <c r="A134" s="45" t="s">
        <v>3588</v>
      </c>
      <c r="C134" s="36">
        <v>45899</v>
      </c>
      <c r="D134" s="36" t="s">
        <v>2555</v>
      </c>
      <c r="E134" s="37" t="s">
        <v>2743</v>
      </c>
      <c r="F134" s="37" t="s">
        <v>4026</v>
      </c>
      <c r="G134" s="38">
        <v>80.75</v>
      </c>
      <c r="H134" s="38">
        <v>0</v>
      </c>
      <c r="I134" s="37"/>
      <c r="J134" s="37"/>
      <c r="K134" s="38">
        <f t="shared" si="2"/>
        <v>80.75</v>
      </c>
      <c r="L134" s="38"/>
    </row>
    <row r="135" spans="1:12" ht="14.5" x14ac:dyDescent="0.35">
      <c r="A135" s="45" t="s">
        <v>3588</v>
      </c>
      <c r="C135" s="36">
        <v>45899</v>
      </c>
      <c r="D135" s="36" t="s">
        <v>2555</v>
      </c>
      <c r="E135" s="37" t="s">
        <v>2744</v>
      </c>
      <c r="F135" s="37" t="s">
        <v>4026</v>
      </c>
      <c r="G135" s="38">
        <v>973.43</v>
      </c>
      <c r="H135" s="38">
        <v>0</v>
      </c>
      <c r="I135" s="37"/>
      <c r="J135" s="37"/>
      <c r="K135" s="38">
        <f t="shared" si="2"/>
        <v>973.43</v>
      </c>
      <c r="L135" s="38"/>
    </row>
    <row r="136" spans="1:12" ht="14.5" x14ac:dyDescent="0.35">
      <c r="A136" s="45" t="s">
        <v>3588</v>
      </c>
      <c r="C136" s="36">
        <v>45899</v>
      </c>
      <c r="D136" s="36" t="s">
        <v>2020</v>
      </c>
      <c r="E136" s="37" t="s">
        <v>2745</v>
      </c>
      <c r="F136" s="37" t="s">
        <v>4026</v>
      </c>
      <c r="G136" s="38">
        <v>1.71</v>
      </c>
      <c r="H136" s="38">
        <v>0</v>
      </c>
      <c r="I136" s="37"/>
      <c r="J136" s="37"/>
      <c r="K136" s="38">
        <f t="shared" si="2"/>
        <v>1.71</v>
      </c>
      <c r="L136" s="38"/>
    </row>
    <row r="137" spans="1:12" ht="14.5" x14ac:dyDescent="0.35">
      <c r="A137" s="45" t="s">
        <v>3588</v>
      </c>
      <c r="C137" s="36">
        <v>45899</v>
      </c>
      <c r="D137" s="36" t="s">
        <v>1283</v>
      </c>
      <c r="E137" s="37" t="s">
        <v>2746</v>
      </c>
      <c r="F137" s="37" t="s">
        <v>4026</v>
      </c>
      <c r="G137" s="38">
        <v>5439.72</v>
      </c>
      <c r="H137" s="38">
        <v>0</v>
      </c>
      <c r="I137" s="37"/>
      <c r="J137" s="37"/>
      <c r="K137" s="38">
        <f t="shared" si="2"/>
        <v>5439.72</v>
      </c>
      <c r="L137" s="38"/>
    </row>
    <row r="138" spans="1:12" ht="14.5" x14ac:dyDescent="0.35">
      <c r="A138" s="45" t="s">
        <v>3588</v>
      </c>
      <c r="C138" s="36">
        <v>45899</v>
      </c>
      <c r="D138" s="36" t="s">
        <v>2132</v>
      </c>
      <c r="E138" s="37" t="s">
        <v>2747</v>
      </c>
      <c r="F138" s="37" t="s">
        <v>4026</v>
      </c>
      <c r="G138" s="38">
        <v>462.6</v>
      </c>
      <c r="H138" s="38">
        <v>0</v>
      </c>
      <c r="I138" s="37"/>
      <c r="J138" s="37"/>
      <c r="K138" s="38">
        <f t="shared" si="2"/>
        <v>462.6</v>
      </c>
      <c r="L138" s="38"/>
    </row>
    <row r="139" spans="1:12" ht="14.5" x14ac:dyDescent="0.35">
      <c r="A139" s="45" t="s">
        <v>3588</v>
      </c>
      <c r="C139" s="36">
        <v>45899</v>
      </c>
      <c r="D139" s="36" t="s">
        <v>996</v>
      </c>
      <c r="E139" s="37" t="s">
        <v>2748</v>
      </c>
      <c r="F139" s="37" t="s">
        <v>4026</v>
      </c>
      <c r="G139" s="38">
        <v>2635.2900000000004</v>
      </c>
      <c r="H139" s="38">
        <v>0</v>
      </c>
      <c r="I139" s="37"/>
      <c r="J139" s="37"/>
      <c r="K139" s="38">
        <f t="shared" si="2"/>
        <v>2635.2900000000004</v>
      </c>
      <c r="L139" s="38"/>
    </row>
    <row r="140" spans="1:12" ht="14.5" x14ac:dyDescent="0.35">
      <c r="A140" s="45" t="s">
        <v>3588</v>
      </c>
      <c r="C140" s="36">
        <v>45899</v>
      </c>
      <c r="D140" s="36" t="s">
        <v>3025</v>
      </c>
      <c r="E140" s="37" t="s">
        <v>2749</v>
      </c>
      <c r="F140" s="37" t="s">
        <v>4026</v>
      </c>
      <c r="G140" s="38">
        <v>2157.7800000000002</v>
      </c>
      <c r="H140" s="38">
        <v>0</v>
      </c>
      <c r="I140" s="37"/>
      <c r="J140" s="37"/>
      <c r="K140" s="38">
        <f t="shared" si="2"/>
        <v>2157.7800000000002</v>
      </c>
      <c r="L140" s="38"/>
    </row>
    <row r="141" spans="1:12" ht="14.5" x14ac:dyDescent="0.35">
      <c r="A141" s="45" t="s">
        <v>3588</v>
      </c>
      <c r="C141" s="36">
        <v>45899</v>
      </c>
      <c r="D141" s="36" t="s">
        <v>2547</v>
      </c>
      <c r="E141" s="37" t="s">
        <v>2750</v>
      </c>
      <c r="F141" s="37" t="s">
        <v>4026</v>
      </c>
      <c r="G141" s="38">
        <v>333.92</v>
      </c>
      <c r="H141" s="38">
        <v>0</v>
      </c>
      <c r="I141" s="37"/>
      <c r="J141" s="37"/>
      <c r="K141" s="38">
        <f t="shared" si="2"/>
        <v>333.92</v>
      </c>
      <c r="L141" s="38"/>
    </row>
    <row r="142" spans="1:12" ht="14.5" x14ac:dyDescent="0.35">
      <c r="A142" s="45" t="s">
        <v>3588</v>
      </c>
      <c r="C142" s="36">
        <v>45899</v>
      </c>
      <c r="D142" s="36" t="s">
        <v>301</v>
      </c>
      <c r="E142" s="37" t="s">
        <v>2751</v>
      </c>
      <c r="F142" s="37" t="s">
        <v>4026</v>
      </c>
      <c r="G142" s="38">
        <v>147</v>
      </c>
      <c r="H142" s="38">
        <v>0</v>
      </c>
      <c r="I142" s="37"/>
      <c r="J142" s="37"/>
      <c r="K142" s="38">
        <f t="shared" si="2"/>
        <v>147</v>
      </c>
      <c r="L142" s="38"/>
    </row>
    <row r="143" spans="1:12" ht="14.5" x14ac:dyDescent="0.35">
      <c r="A143" s="45" t="s">
        <v>3588</v>
      </c>
      <c r="C143" s="36">
        <v>45899</v>
      </c>
      <c r="D143" s="36" t="s">
        <v>2020</v>
      </c>
      <c r="E143" s="37" t="s">
        <v>2752</v>
      </c>
      <c r="F143" s="37" t="s">
        <v>4026</v>
      </c>
      <c r="G143" s="38">
        <v>81.03</v>
      </c>
      <c r="H143" s="38">
        <v>0</v>
      </c>
      <c r="I143" s="37"/>
      <c r="J143" s="37"/>
      <c r="K143" s="38">
        <f t="shared" si="2"/>
        <v>81.03</v>
      </c>
      <c r="L143" s="38"/>
    </row>
    <row r="144" spans="1:12" ht="14.5" x14ac:dyDescent="0.35">
      <c r="A144" s="45" t="s">
        <v>3588</v>
      </c>
      <c r="C144" s="36">
        <v>45899</v>
      </c>
      <c r="D144" s="36" t="s">
        <v>2020</v>
      </c>
      <c r="E144" s="37" t="s">
        <v>2753</v>
      </c>
      <c r="F144" s="37" t="s">
        <v>4026</v>
      </c>
      <c r="G144" s="38">
        <v>641.17000000000007</v>
      </c>
      <c r="H144" s="38">
        <v>0</v>
      </c>
      <c r="I144" s="37"/>
      <c r="J144" s="37"/>
      <c r="K144" s="38">
        <f t="shared" si="2"/>
        <v>641.17000000000007</v>
      </c>
      <c r="L144" s="38"/>
    </row>
    <row r="145" spans="1:12" ht="14.5" x14ac:dyDescent="0.35">
      <c r="A145" s="45" t="s">
        <v>3588</v>
      </c>
      <c r="C145" s="36">
        <v>45899</v>
      </c>
      <c r="D145" s="36" t="s">
        <v>2020</v>
      </c>
      <c r="E145" s="37" t="s">
        <v>2754</v>
      </c>
      <c r="F145" s="37" t="s">
        <v>4026</v>
      </c>
      <c r="G145" s="38">
        <v>24.68</v>
      </c>
      <c r="H145" s="38">
        <v>0</v>
      </c>
      <c r="I145" s="37"/>
      <c r="J145" s="37"/>
      <c r="K145" s="38">
        <f t="shared" si="2"/>
        <v>24.68</v>
      </c>
      <c r="L145" s="38"/>
    </row>
    <row r="146" spans="1:12" ht="14.5" x14ac:dyDescent="0.35">
      <c r="A146" s="45" t="s">
        <v>3588</v>
      </c>
      <c r="C146" s="36">
        <v>45899</v>
      </c>
      <c r="D146" s="36" t="s">
        <v>2020</v>
      </c>
      <c r="E146" s="37" t="s">
        <v>2755</v>
      </c>
      <c r="F146" s="37" t="s">
        <v>4026</v>
      </c>
      <c r="G146" s="38">
        <v>64.540000000000006</v>
      </c>
      <c r="H146" s="38">
        <v>0</v>
      </c>
      <c r="I146" s="37"/>
      <c r="J146" s="37"/>
      <c r="K146" s="38">
        <f t="shared" si="2"/>
        <v>64.540000000000006</v>
      </c>
      <c r="L146" s="38"/>
    </row>
    <row r="147" spans="1:12" ht="14.5" x14ac:dyDescent="0.35">
      <c r="A147" s="45" t="s">
        <v>3588</v>
      </c>
      <c r="C147" s="36">
        <v>45899</v>
      </c>
      <c r="D147" s="36" t="s">
        <v>2020</v>
      </c>
      <c r="E147" s="37" t="s">
        <v>2756</v>
      </c>
      <c r="F147" s="37" t="s">
        <v>4026</v>
      </c>
      <c r="G147" s="38">
        <v>152.85</v>
      </c>
      <c r="H147" s="38">
        <v>0</v>
      </c>
      <c r="I147" s="37"/>
      <c r="J147" s="37"/>
      <c r="K147" s="38">
        <f t="shared" si="2"/>
        <v>152.85</v>
      </c>
      <c r="L147" s="38"/>
    </row>
    <row r="148" spans="1:12" ht="14.5" x14ac:dyDescent="0.35">
      <c r="A148" s="45" t="s">
        <v>3588</v>
      </c>
      <c r="C148" s="36">
        <v>45899</v>
      </c>
      <c r="D148" s="36" t="s">
        <v>2020</v>
      </c>
      <c r="E148" s="37" t="s">
        <v>2757</v>
      </c>
      <c r="F148" s="37" t="s">
        <v>4026</v>
      </c>
      <c r="G148" s="38">
        <v>1211.03</v>
      </c>
      <c r="H148" s="38">
        <v>0</v>
      </c>
      <c r="I148" s="37"/>
      <c r="J148" s="37"/>
      <c r="K148" s="38">
        <f t="shared" si="2"/>
        <v>1211.03</v>
      </c>
      <c r="L148" s="38"/>
    </row>
    <row r="149" spans="1:12" ht="14.5" x14ac:dyDescent="0.35">
      <c r="A149" s="45" t="s">
        <v>3588</v>
      </c>
      <c r="C149" s="36">
        <v>45899</v>
      </c>
      <c r="D149" s="36" t="s">
        <v>301</v>
      </c>
      <c r="E149" s="37" t="s">
        <v>2758</v>
      </c>
      <c r="F149" s="37" t="s">
        <v>4026</v>
      </c>
      <c r="G149" s="38">
        <v>270.76</v>
      </c>
      <c r="H149" s="38">
        <v>0</v>
      </c>
      <c r="I149" s="37"/>
      <c r="J149" s="37"/>
      <c r="K149" s="38">
        <f t="shared" si="2"/>
        <v>270.76</v>
      </c>
      <c r="L149" s="38"/>
    </row>
    <row r="150" spans="1:12" ht="14.5" x14ac:dyDescent="0.35">
      <c r="A150" s="45" t="s">
        <v>3588</v>
      </c>
      <c r="C150" s="36">
        <v>45899</v>
      </c>
      <c r="D150" s="36" t="s">
        <v>3037</v>
      </c>
      <c r="E150" s="37" t="s">
        <v>2759</v>
      </c>
      <c r="F150" s="37" t="s">
        <v>4026</v>
      </c>
      <c r="G150" s="38">
        <v>761.29</v>
      </c>
      <c r="H150" s="38">
        <v>0</v>
      </c>
      <c r="I150" s="37"/>
      <c r="J150" s="37"/>
      <c r="K150" s="38">
        <f t="shared" si="2"/>
        <v>761.29</v>
      </c>
      <c r="L150" s="38"/>
    </row>
    <row r="151" spans="1:12" ht="14.5" x14ac:dyDescent="0.35">
      <c r="A151" s="45" t="s">
        <v>3588</v>
      </c>
      <c r="C151" s="36">
        <v>45899</v>
      </c>
      <c r="D151" s="36" t="s">
        <v>2033</v>
      </c>
      <c r="E151" s="37" t="s">
        <v>2760</v>
      </c>
      <c r="F151" s="37" t="s">
        <v>4026</v>
      </c>
      <c r="G151" s="38">
        <v>708.77</v>
      </c>
      <c r="H151" s="38">
        <v>0</v>
      </c>
      <c r="I151" s="37"/>
      <c r="J151" s="37"/>
      <c r="K151" s="38">
        <f t="shared" si="2"/>
        <v>708.77</v>
      </c>
      <c r="L151" s="38"/>
    </row>
    <row r="152" spans="1:12" ht="14.5" x14ac:dyDescent="0.35">
      <c r="A152" s="45" t="s">
        <v>3588</v>
      </c>
      <c r="C152" s="36">
        <v>45899</v>
      </c>
      <c r="D152" s="36" t="s">
        <v>2033</v>
      </c>
      <c r="E152" s="37" t="s">
        <v>2761</v>
      </c>
      <c r="F152" s="37" t="s">
        <v>4026</v>
      </c>
      <c r="G152" s="38">
        <v>0</v>
      </c>
      <c r="H152" s="38">
        <v>0</v>
      </c>
      <c r="I152" s="37"/>
      <c r="J152" s="37"/>
      <c r="K152" s="38">
        <f t="shared" si="2"/>
        <v>0</v>
      </c>
      <c r="L152" s="38"/>
    </row>
    <row r="153" spans="1:12" ht="14.5" x14ac:dyDescent="0.35">
      <c r="A153" s="45" t="s">
        <v>3588</v>
      </c>
      <c r="C153" s="36">
        <v>45899</v>
      </c>
      <c r="D153" s="36" t="s">
        <v>2033</v>
      </c>
      <c r="E153" s="37" t="s">
        <v>2762</v>
      </c>
      <c r="F153" s="37" t="s">
        <v>4026</v>
      </c>
      <c r="G153" s="38">
        <v>498.78</v>
      </c>
      <c r="H153" s="38">
        <v>0</v>
      </c>
      <c r="I153" s="37"/>
      <c r="J153" s="37"/>
      <c r="K153" s="38">
        <f t="shared" si="2"/>
        <v>498.78</v>
      </c>
      <c r="L153" s="38"/>
    </row>
    <row r="154" spans="1:12" ht="14.5" x14ac:dyDescent="0.35">
      <c r="A154" s="45" t="s">
        <v>3588</v>
      </c>
      <c r="C154" s="36">
        <v>45899</v>
      </c>
      <c r="D154" s="36" t="s">
        <v>1608</v>
      </c>
      <c r="E154" s="37" t="s">
        <v>2763</v>
      </c>
      <c r="F154" s="37" t="s">
        <v>4026</v>
      </c>
      <c r="G154" s="38">
        <v>1287</v>
      </c>
      <c r="H154" s="38">
        <v>0</v>
      </c>
      <c r="I154" s="37"/>
      <c r="J154" s="37"/>
      <c r="K154" s="38">
        <f t="shared" si="2"/>
        <v>1287</v>
      </c>
      <c r="L154" s="38"/>
    </row>
    <row r="155" spans="1:12" ht="14.5" x14ac:dyDescent="0.35">
      <c r="A155" s="45" t="s">
        <v>3588</v>
      </c>
      <c r="C155" s="36">
        <v>45899</v>
      </c>
      <c r="D155" s="36" t="s">
        <v>2077</v>
      </c>
      <c r="E155" s="37" t="s">
        <v>2764</v>
      </c>
      <c r="F155" s="37" t="s">
        <v>4026</v>
      </c>
      <c r="G155" s="38">
        <v>726</v>
      </c>
      <c r="H155" s="38">
        <v>0</v>
      </c>
      <c r="I155" s="37"/>
      <c r="J155" s="37"/>
      <c r="K155" s="38">
        <f t="shared" si="2"/>
        <v>726</v>
      </c>
      <c r="L155" s="38"/>
    </row>
    <row r="156" spans="1:12" ht="14.5" x14ac:dyDescent="0.35">
      <c r="A156" s="45" t="s">
        <v>3588</v>
      </c>
      <c r="C156" s="36">
        <v>45899</v>
      </c>
      <c r="D156" s="36" t="s">
        <v>1251</v>
      </c>
      <c r="E156" s="37" t="s">
        <v>2765</v>
      </c>
      <c r="F156" s="37" t="s">
        <v>4026</v>
      </c>
      <c r="G156" s="38">
        <v>193.41</v>
      </c>
      <c r="H156" s="38">
        <v>0</v>
      </c>
      <c r="I156" s="37"/>
      <c r="J156" s="37"/>
      <c r="K156" s="38">
        <f t="shared" si="2"/>
        <v>193.41</v>
      </c>
      <c r="L156" s="38"/>
    </row>
    <row r="157" spans="1:12" ht="14.5" x14ac:dyDescent="0.35">
      <c r="A157" s="45" t="s">
        <v>3588</v>
      </c>
      <c r="C157" s="36">
        <v>45899</v>
      </c>
      <c r="D157" s="36" t="s">
        <v>2033</v>
      </c>
      <c r="E157" s="37" t="s">
        <v>2766</v>
      </c>
      <c r="F157" s="37" t="s">
        <v>4026</v>
      </c>
      <c r="G157" s="38">
        <v>5884</v>
      </c>
      <c r="H157" s="38">
        <v>0</v>
      </c>
      <c r="I157" s="37"/>
      <c r="J157" s="37"/>
      <c r="K157" s="38">
        <f t="shared" si="2"/>
        <v>5884</v>
      </c>
      <c r="L157" s="38"/>
    </row>
    <row r="158" spans="1:12" ht="14.5" x14ac:dyDescent="0.35">
      <c r="A158" s="45" t="s">
        <v>3588</v>
      </c>
      <c r="C158" s="36">
        <v>45899</v>
      </c>
      <c r="D158" s="36" t="s">
        <v>2144</v>
      </c>
      <c r="E158" s="37" t="s">
        <v>2767</v>
      </c>
      <c r="F158" s="37" t="s">
        <v>4026</v>
      </c>
      <c r="G158" s="38">
        <v>2723.44</v>
      </c>
      <c r="H158" s="38">
        <v>0</v>
      </c>
      <c r="I158" s="37"/>
      <c r="J158" s="37"/>
      <c r="K158" s="38">
        <f t="shared" si="2"/>
        <v>2723.44</v>
      </c>
      <c r="L158" s="38"/>
    </row>
    <row r="159" spans="1:12" ht="14.5" x14ac:dyDescent="0.35">
      <c r="A159" s="45" t="s">
        <v>3588</v>
      </c>
      <c r="C159" s="36">
        <v>45899</v>
      </c>
      <c r="D159" s="36" t="s">
        <v>2144</v>
      </c>
      <c r="E159" s="37" t="s">
        <v>2768</v>
      </c>
      <c r="F159" s="37" t="s">
        <v>4026</v>
      </c>
      <c r="G159" s="38">
        <v>4616.3999999999996</v>
      </c>
      <c r="H159" s="38">
        <v>0</v>
      </c>
      <c r="I159" s="37"/>
      <c r="J159" s="37"/>
      <c r="K159" s="38">
        <f t="shared" si="2"/>
        <v>4616.3999999999996</v>
      </c>
      <c r="L159" s="38"/>
    </row>
    <row r="160" spans="1:12" ht="14.5" x14ac:dyDescent="0.35">
      <c r="A160" s="45" t="s">
        <v>3588</v>
      </c>
      <c r="C160" s="36">
        <v>45899</v>
      </c>
      <c r="D160" s="36" t="s">
        <v>2144</v>
      </c>
      <c r="E160" s="37" t="s">
        <v>2770</v>
      </c>
      <c r="F160" s="37" t="s">
        <v>4026</v>
      </c>
      <c r="G160" s="38">
        <v>0</v>
      </c>
      <c r="H160" s="38">
        <v>0</v>
      </c>
      <c r="I160" s="37"/>
      <c r="J160" s="37"/>
      <c r="K160" s="38">
        <f t="shared" si="2"/>
        <v>0</v>
      </c>
      <c r="L160" s="38"/>
    </row>
    <row r="161" spans="1:12" ht="14.5" x14ac:dyDescent="0.35">
      <c r="A161" s="45" t="s">
        <v>3588</v>
      </c>
      <c r="C161" s="36">
        <v>45899</v>
      </c>
      <c r="D161" s="36" t="s">
        <v>2144</v>
      </c>
      <c r="E161" s="37" t="s">
        <v>2771</v>
      </c>
      <c r="F161" s="37" t="s">
        <v>4026</v>
      </c>
      <c r="G161" s="38">
        <v>2412.39</v>
      </c>
      <c r="H161" s="38">
        <v>0</v>
      </c>
      <c r="I161" s="37"/>
      <c r="J161" s="37"/>
      <c r="K161" s="38">
        <f t="shared" si="2"/>
        <v>2412.39</v>
      </c>
      <c r="L161" s="38"/>
    </row>
    <row r="162" spans="1:12" ht="14.5" x14ac:dyDescent="0.35">
      <c r="A162" s="45" t="s">
        <v>3588</v>
      </c>
      <c r="C162" s="36">
        <v>45899</v>
      </c>
      <c r="D162" s="36" t="s">
        <v>2144</v>
      </c>
      <c r="E162" s="37" t="s">
        <v>2772</v>
      </c>
      <c r="F162" s="37" t="s">
        <v>4026</v>
      </c>
      <c r="G162" s="38">
        <v>3421.46</v>
      </c>
      <c r="H162" s="38">
        <v>0</v>
      </c>
      <c r="I162" s="37"/>
      <c r="J162" s="37"/>
      <c r="K162" s="38">
        <f t="shared" si="2"/>
        <v>3421.46</v>
      </c>
      <c r="L162" s="38"/>
    </row>
    <row r="163" spans="1:12" ht="14.5" x14ac:dyDescent="0.35">
      <c r="A163" s="45" t="s">
        <v>3588</v>
      </c>
      <c r="C163" s="36">
        <v>45899</v>
      </c>
      <c r="D163" s="36" t="s">
        <v>2575</v>
      </c>
      <c r="E163" s="37" t="s">
        <v>2773</v>
      </c>
      <c r="F163" s="37" t="s">
        <v>4026</v>
      </c>
      <c r="G163" s="38">
        <v>11.2</v>
      </c>
      <c r="H163" s="38">
        <v>0</v>
      </c>
      <c r="I163" s="37"/>
      <c r="J163" s="37"/>
      <c r="K163" s="38">
        <f t="shared" si="2"/>
        <v>11.2</v>
      </c>
      <c r="L163" s="38"/>
    </row>
    <row r="164" spans="1:12" ht="14.5" x14ac:dyDescent="0.35">
      <c r="A164" s="45" t="s">
        <v>3588</v>
      </c>
      <c r="C164" s="36">
        <v>45899</v>
      </c>
      <c r="D164" s="36" t="s">
        <v>3061</v>
      </c>
      <c r="E164" s="37" t="s">
        <v>2774</v>
      </c>
      <c r="F164" s="37" t="s">
        <v>4026</v>
      </c>
      <c r="G164" s="38">
        <v>3718.3</v>
      </c>
      <c r="H164" s="38">
        <v>0</v>
      </c>
      <c r="I164" s="37"/>
      <c r="J164" s="37"/>
      <c r="K164" s="38">
        <f t="shared" si="2"/>
        <v>3718.3</v>
      </c>
      <c r="L164" s="38"/>
    </row>
    <row r="165" spans="1:12" ht="14.5" x14ac:dyDescent="0.35">
      <c r="A165" s="45" t="s">
        <v>3588</v>
      </c>
      <c r="C165" s="36">
        <v>45899</v>
      </c>
      <c r="D165" s="36" t="s">
        <v>3061</v>
      </c>
      <c r="E165" s="37" t="s">
        <v>2775</v>
      </c>
      <c r="F165" s="37" t="s">
        <v>4026</v>
      </c>
      <c r="G165" s="38">
        <v>10819.11</v>
      </c>
      <c r="H165" s="38">
        <v>0</v>
      </c>
      <c r="I165" s="37"/>
      <c r="J165" s="37"/>
      <c r="K165" s="38">
        <f t="shared" si="2"/>
        <v>10819.11</v>
      </c>
      <c r="L165" s="38"/>
    </row>
    <row r="166" spans="1:12" ht="14.5" x14ac:dyDescent="0.35">
      <c r="A166" s="45" t="s">
        <v>3588</v>
      </c>
      <c r="C166" s="36">
        <v>45899</v>
      </c>
      <c r="D166" s="36" t="s">
        <v>2846</v>
      </c>
      <c r="E166" s="37" t="s">
        <v>2776</v>
      </c>
      <c r="F166" s="37" t="s">
        <v>4026</v>
      </c>
      <c r="G166" s="38">
        <v>40.409999999999997</v>
      </c>
      <c r="H166" s="38">
        <v>0</v>
      </c>
      <c r="I166" s="37"/>
      <c r="J166" s="37"/>
      <c r="K166" s="38">
        <f t="shared" si="2"/>
        <v>40.409999999999997</v>
      </c>
      <c r="L166" s="38"/>
    </row>
    <row r="167" spans="1:12" ht="14.5" x14ac:dyDescent="0.35">
      <c r="A167" s="45" t="s">
        <v>3588</v>
      </c>
      <c r="C167" s="36">
        <v>45899</v>
      </c>
      <c r="D167" s="36" t="s">
        <v>2846</v>
      </c>
      <c r="E167" s="37" t="s">
        <v>2777</v>
      </c>
      <c r="F167" s="37" t="s">
        <v>4026</v>
      </c>
      <c r="G167" s="38">
        <v>167.28000000000003</v>
      </c>
      <c r="H167" s="38">
        <v>0</v>
      </c>
      <c r="I167" s="37"/>
      <c r="J167" s="37"/>
      <c r="K167" s="38">
        <f t="shared" si="2"/>
        <v>167.28000000000003</v>
      </c>
      <c r="L167" s="38"/>
    </row>
    <row r="168" spans="1:12" ht="14.5" x14ac:dyDescent="0.35">
      <c r="A168" s="45" t="s">
        <v>3588</v>
      </c>
      <c r="C168" s="36">
        <v>45899</v>
      </c>
      <c r="D168" s="36" t="s">
        <v>2396</v>
      </c>
      <c r="E168" s="37" t="s">
        <v>2778</v>
      </c>
      <c r="F168" s="37" t="s">
        <v>4026</v>
      </c>
      <c r="G168" s="38">
        <v>361.42</v>
      </c>
      <c r="H168" s="38">
        <v>0</v>
      </c>
      <c r="I168" s="37"/>
      <c r="J168" s="37"/>
      <c r="K168" s="38">
        <f t="shared" si="2"/>
        <v>361.42</v>
      </c>
      <c r="L168" s="38"/>
    </row>
    <row r="169" spans="1:12" ht="14.5" x14ac:dyDescent="0.35">
      <c r="A169" s="45" t="s">
        <v>3588</v>
      </c>
      <c r="C169" s="36">
        <v>45899</v>
      </c>
      <c r="D169" s="36" t="s">
        <v>2396</v>
      </c>
      <c r="E169" s="37" t="s">
        <v>2779</v>
      </c>
      <c r="F169" s="37" t="s">
        <v>4026</v>
      </c>
      <c r="G169" s="38">
        <v>591.04</v>
      </c>
      <c r="H169" s="38">
        <v>0</v>
      </c>
      <c r="I169" s="37"/>
      <c r="J169" s="37"/>
      <c r="K169" s="38">
        <f t="shared" si="2"/>
        <v>591.04</v>
      </c>
      <c r="L169" s="38"/>
    </row>
    <row r="170" spans="1:12" ht="14.5" x14ac:dyDescent="0.35">
      <c r="A170" s="45" t="s">
        <v>3588</v>
      </c>
      <c r="C170" s="36">
        <v>45899</v>
      </c>
      <c r="D170" s="36" t="s">
        <v>2396</v>
      </c>
      <c r="E170" s="37" t="s">
        <v>2780</v>
      </c>
      <c r="F170" s="37" t="s">
        <v>4026</v>
      </c>
      <c r="G170" s="38">
        <v>6010.7199999999993</v>
      </c>
      <c r="H170" s="38">
        <v>0</v>
      </c>
      <c r="I170" s="37"/>
      <c r="J170" s="37"/>
      <c r="K170" s="38">
        <f t="shared" si="2"/>
        <v>6010.7199999999993</v>
      </c>
      <c r="L170" s="38"/>
    </row>
    <row r="171" spans="1:12" ht="14.5" x14ac:dyDescent="0.35">
      <c r="A171" s="45" t="s">
        <v>3588</v>
      </c>
      <c r="C171" s="36">
        <v>45899</v>
      </c>
      <c r="D171" s="36" t="s">
        <v>2396</v>
      </c>
      <c r="E171" s="37" t="s">
        <v>2781</v>
      </c>
      <c r="F171" s="37" t="s">
        <v>4026</v>
      </c>
      <c r="G171" s="38">
        <v>1005.74</v>
      </c>
      <c r="H171" s="38">
        <v>0</v>
      </c>
      <c r="I171" s="37"/>
      <c r="J171" s="37"/>
      <c r="K171" s="38">
        <f t="shared" si="2"/>
        <v>1005.74</v>
      </c>
      <c r="L171" s="38"/>
    </row>
    <row r="172" spans="1:12" ht="14.5" x14ac:dyDescent="0.35">
      <c r="A172" s="45" t="s">
        <v>3588</v>
      </c>
      <c r="C172" s="36">
        <v>45899</v>
      </c>
      <c r="D172" s="36" t="s">
        <v>2396</v>
      </c>
      <c r="E172" s="37" t="s">
        <v>2782</v>
      </c>
      <c r="F172" s="37" t="s">
        <v>4026</v>
      </c>
      <c r="G172" s="38">
        <v>14376.23</v>
      </c>
      <c r="H172" s="38">
        <v>0</v>
      </c>
      <c r="I172" s="37"/>
      <c r="J172" s="37"/>
      <c r="K172" s="38">
        <f t="shared" si="2"/>
        <v>14376.23</v>
      </c>
      <c r="L172" s="38"/>
    </row>
    <row r="173" spans="1:12" ht="14.5" x14ac:dyDescent="0.35">
      <c r="A173" s="45" t="s">
        <v>3588</v>
      </c>
      <c r="C173" s="36">
        <v>45899</v>
      </c>
      <c r="D173" s="36" t="s">
        <v>1724</v>
      </c>
      <c r="E173" s="37" t="s">
        <v>2783</v>
      </c>
      <c r="F173" s="37" t="s">
        <v>4026</v>
      </c>
      <c r="G173" s="38">
        <v>26117.839999999997</v>
      </c>
      <c r="H173" s="38">
        <v>0</v>
      </c>
      <c r="I173" s="37"/>
      <c r="J173" s="37"/>
      <c r="K173" s="38">
        <f t="shared" si="2"/>
        <v>26117.839999999997</v>
      </c>
      <c r="L173" s="38"/>
    </row>
    <row r="174" spans="1:12" ht="14.5" x14ac:dyDescent="0.35">
      <c r="A174" s="45" t="s">
        <v>3588</v>
      </c>
      <c r="C174" s="36">
        <v>45899</v>
      </c>
      <c r="D174" s="36" t="s">
        <v>1724</v>
      </c>
      <c r="E174" s="37" t="s">
        <v>2784</v>
      </c>
      <c r="F174" s="37" t="s">
        <v>4026</v>
      </c>
      <c r="G174" s="38">
        <v>3776.83</v>
      </c>
      <c r="H174" s="38">
        <v>0</v>
      </c>
      <c r="I174" s="37"/>
      <c r="J174" s="37"/>
      <c r="K174" s="38">
        <f t="shared" si="2"/>
        <v>3776.83</v>
      </c>
      <c r="L174" s="38"/>
    </row>
    <row r="175" spans="1:12" ht="14.5" x14ac:dyDescent="0.35">
      <c r="A175" s="45" t="s">
        <v>3588</v>
      </c>
      <c r="C175" s="36">
        <v>45899</v>
      </c>
      <c r="D175" s="36" t="s">
        <v>2447</v>
      </c>
      <c r="E175" s="37" t="s">
        <v>2785</v>
      </c>
      <c r="F175" s="37" t="s">
        <v>4026</v>
      </c>
      <c r="G175" s="38">
        <v>52732.729999999996</v>
      </c>
      <c r="H175" s="38">
        <v>0</v>
      </c>
      <c r="I175" s="37"/>
      <c r="J175" s="37"/>
      <c r="K175" s="38">
        <f t="shared" si="2"/>
        <v>52732.729999999996</v>
      </c>
      <c r="L175" s="38"/>
    </row>
    <row r="176" spans="1:12" ht="14.5" x14ac:dyDescent="0.35">
      <c r="A176" s="45" t="s">
        <v>3588</v>
      </c>
      <c r="C176" s="36">
        <v>45899</v>
      </c>
      <c r="D176" s="36" t="s">
        <v>2447</v>
      </c>
      <c r="E176" s="37" t="s">
        <v>2786</v>
      </c>
      <c r="F176" s="37" t="s">
        <v>4026</v>
      </c>
      <c r="G176" s="38">
        <v>2330.04</v>
      </c>
      <c r="H176" s="38">
        <v>0</v>
      </c>
      <c r="I176" s="37"/>
      <c r="J176" s="37"/>
      <c r="K176" s="38">
        <f t="shared" si="2"/>
        <v>2330.04</v>
      </c>
      <c r="L176" s="38"/>
    </row>
    <row r="177" spans="1:12" ht="14.5" x14ac:dyDescent="0.35">
      <c r="A177" s="45" t="s">
        <v>3588</v>
      </c>
      <c r="C177" s="36">
        <v>45899</v>
      </c>
      <c r="D177" s="36" t="s">
        <v>1782</v>
      </c>
      <c r="E177" s="37" t="s">
        <v>2787</v>
      </c>
      <c r="F177" s="37" t="s">
        <v>4026</v>
      </c>
      <c r="G177" s="38">
        <v>3545.1899999999996</v>
      </c>
      <c r="H177" s="38">
        <v>0</v>
      </c>
      <c r="I177" s="37"/>
      <c r="J177" s="37"/>
      <c r="K177" s="38">
        <f t="shared" si="2"/>
        <v>3545.1899999999996</v>
      </c>
      <c r="L177" s="38"/>
    </row>
    <row r="178" spans="1:12" ht="14.5" x14ac:dyDescent="0.35">
      <c r="A178" s="45" t="s">
        <v>3588</v>
      </c>
      <c r="C178" s="36">
        <v>45899</v>
      </c>
      <c r="D178" s="36" t="s">
        <v>1782</v>
      </c>
      <c r="E178" s="37" t="s">
        <v>2788</v>
      </c>
      <c r="F178" s="37" t="s">
        <v>4026</v>
      </c>
      <c r="G178" s="38">
        <v>4550.32</v>
      </c>
      <c r="H178" s="38">
        <v>0</v>
      </c>
      <c r="I178" s="37"/>
      <c r="J178" s="37"/>
      <c r="K178" s="38">
        <f t="shared" si="2"/>
        <v>4550.32</v>
      </c>
      <c r="L178" s="38"/>
    </row>
    <row r="179" spans="1:12" ht="14.5" x14ac:dyDescent="0.35">
      <c r="A179" s="45" t="s">
        <v>3588</v>
      </c>
      <c r="C179" s="36">
        <v>45899</v>
      </c>
      <c r="D179" s="36" t="s">
        <v>1587</v>
      </c>
      <c r="E179" s="37" t="s">
        <v>2789</v>
      </c>
      <c r="F179" s="37" t="s">
        <v>4026</v>
      </c>
      <c r="G179" s="38">
        <v>56.51</v>
      </c>
      <c r="H179" s="38">
        <v>0</v>
      </c>
      <c r="I179" s="37"/>
      <c r="J179" s="37"/>
      <c r="K179" s="38">
        <f t="shared" si="2"/>
        <v>56.51</v>
      </c>
      <c r="L179" s="38"/>
    </row>
    <row r="180" spans="1:12" ht="14.5" x14ac:dyDescent="0.35">
      <c r="A180" s="45" t="s">
        <v>3588</v>
      </c>
      <c r="C180" s="36">
        <v>45899</v>
      </c>
      <c r="D180" s="36" t="s">
        <v>1587</v>
      </c>
      <c r="E180" s="37" t="s">
        <v>2790</v>
      </c>
      <c r="F180" s="37" t="s">
        <v>4026</v>
      </c>
      <c r="G180" s="38">
        <v>217.56</v>
      </c>
      <c r="H180" s="38">
        <v>0</v>
      </c>
      <c r="I180" s="37"/>
      <c r="J180" s="37"/>
      <c r="K180" s="38">
        <f t="shared" si="2"/>
        <v>217.56</v>
      </c>
      <c r="L180" s="38"/>
    </row>
    <row r="181" spans="1:12" ht="14.5" x14ac:dyDescent="0.35">
      <c r="A181" s="45" t="s">
        <v>3588</v>
      </c>
      <c r="C181" s="36">
        <v>45899</v>
      </c>
      <c r="D181" s="36" t="s">
        <v>1587</v>
      </c>
      <c r="E181" s="37" t="s">
        <v>2791</v>
      </c>
      <c r="F181" s="37" t="s">
        <v>4026</v>
      </c>
      <c r="G181" s="38">
        <v>1465.92</v>
      </c>
      <c r="H181" s="38">
        <v>0</v>
      </c>
      <c r="I181" s="37"/>
      <c r="J181" s="37"/>
      <c r="K181" s="38">
        <f t="shared" si="2"/>
        <v>1465.92</v>
      </c>
      <c r="L181" s="38"/>
    </row>
    <row r="182" spans="1:12" ht="14.5" x14ac:dyDescent="0.35">
      <c r="A182" s="45" t="s">
        <v>3588</v>
      </c>
      <c r="C182" s="36">
        <v>45899</v>
      </c>
      <c r="D182" s="36" t="s">
        <v>1587</v>
      </c>
      <c r="E182" s="37" t="s">
        <v>2792</v>
      </c>
      <c r="F182" s="37" t="s">
        <v>4026</v>
      </c>
      <c r="G182" s="38">
        <v>118.02000000000001</v>
      </c>
      <c r="H182" s="38">
        <v>0</v>
      </c>
      <c r="I182" s="37"/>
      <c r="J182" s="37"/>
      <c r="K182" s="38">
        <f t="shared" si="2"/>
        <v>118.02000000000001</v>
      </c>
      <c r="L182" s="38"/>
    </row>
    <row r="183" spans="1:12" ht="14.5" x14ac:dyDescent="0.35">
      <c r="A183" s="45" t="s">
        <v>3588</v>
      </c>
      <c r="C183" s="36">
        <v>45899</v>
      </c>
      <c r="D183" s="36" t="s">
        <v>1587</v>
      </c>
      <c r="E183" s="37" t="s">
        <v>2793</v>
      </c>
      <c r="F183" s="37" t="s">
        <v>4026</v>
      </c>
      <c r="G183" s="38">
        <v>306.81</v>
      </c>
      <c r="H183" s="38">
        <v>0</v>
      </c>
      <c r="I183" s="37"/>
      <c r="J183" s="37"/>
      <c r="K183" s="38">
        <f t="shared" si="2"/>
        <v>306.81</v>
      </c>
      <c r="L183" s="38"/>
    </row>
    <row r="184" spans="1:12" ht="14.5" x14ac:dyDescent="0.35">
      <c r="A184" s="45" t="s">
        <v>3588</v>
      </c>
      <c r="C184" s="36">
        <v>45899</v>
      </c>
      <c r="D184" s="36" t="s">
        <v>1334</v>
      </c>
      <c r="E184" s="37" t="s">
        <v>2794</v>
      </c>
      <c r="F184" s="37" t="s">
        <v>4026</v>
      </c>
      <c r="G184" s="38">
        <v>193.07</v>
      </c>
      <c r="H184" s="38">
        <v>0</v>
      </c>
      <c r="I184" s="37"/>
      <c r="J184" s="37"/>
      <c r="K184" s="38">
        <f t="shared" si="2"/>
        <v>193.07</v>
      </c>
      <c r="L184" s="38"/>
    </row>
    <row r="185" spans="1:12" ht="14.5" x14ac:dyDescent="0.35">
      <c r="A185" s="45" t="s">
        <v>3588</v>
      </c>
      <c r="C185" s="36">
        <v>45899</v>
      </c>
      <c r="D185" s="36" t="s">
        <v>1334</v>
      </c>
      <c r="E185" s="37" t="s">
        <v>2795</v>
      </c>
      <c r="F185" s="37" t="s">
        <v>4026</v>
      </c>
      <c r="G185" s="38">
        <v>21.76</v>
      </c>
      <c r="H185" s="38">
        <v>0</v>
      </c>
      <c r="I185" s="37"/>
      <c r="J185" s="37"/>
      <c r="K185" s="38">
        <f t="shared" si="2"/>
        <v>21.76</v>
      </c>
      <c r="L185" s="38"/>
    </row>
    <row r="186" spans="1:12" ht="14.5" x14ac:dyDescent="0.35">
      <c r="A186" s="45" t="s">
        <v>3588</v>
      </c>
      <c r="C186" s="36">
        <v>45899</v>
      </c>
      <c r="D186" s="36" t="s">
        <v>1334</v>
      </c>
      <c r="E186" s="37" t="s">
        <v>2796</v>
      </c>
      <c r="F186" s="37" t="s">
        <v>4026</v>
      </c>
      <c r="G186" s="38">
        <v>833.29</v>
      </c>
      <c r="H186" s="38">
        <v>0</v>
      </c>
      <c r="I186" s="37"/>
      <c r="J186" s="37"/>
      <c r="K186" s="38">
        <f t="shared" si="2"/>
        <v>833.29</v>
      </c>
      <c r="L186" s="38"/>
    </row>
    <row r="187" spans="1:12" ht="14.5" x14ac:dyDescent="0.35">
      <c r="A187" s="45" t="s">
        <v>3588</v>
      </c>
      <c r="C187" s="36">
        <v>45899</v>
      </c>
      <c r="D187" s="36" t="s">
        <v>3093</v>
      </c>
      <c r="E187" s="37" t="s">
        <v>2797</v>
      </c>
      <c r="F187" s="37" t="s">
        <v>4026</v>
      </c>
      <c r="G187" s="38">
        <v>3.9</v>
      </c>
      <c r="H187" s="38">
        <v>0</v>
      </c>
      <c r="I187" s="37"/>
      <c r="J187" s="37"/>
      <c r="K187" s="38">
        <f t="shared" si="2"/>
        <v>3.9</v>
      </c>
      <c r="L187" s="38"/>
    </row>
    <row r="188" spans="1:12" ht="14.5" x14ac:dyDescent="0.35">
      <c r="A188" s="45" t="s">
        <v>3588</v>
      </c>
      <c r="C188" s="36">
        <v>45899</v>
      </c>
      <c r="D188" s="36" t="s">
        <v>3095</v>
      </c>
      <c r="E188" s="37" t="s">
        <v>2798</v>
      </c>
      <c r="F188" s="37" t="s">
        <v>4026</v>
      </c>
      <c r="G188" s="38">
        <v>0.05</v>
      </c>
      <c r="H188" s="38">
        <v>0</v>
      </c>
      <c r="I188" s="37"/>
      <c r="J188" s="37"/>
      <c r="K188" s="38">
        <f t="shared" si="2"/>
        <v>0.05</v>
      </c>
      <c r="L188" s="38"/>
    </row>
    <row r="189" spans="1:12" ht="14.5" x14ac:dyDescent="0.35">
      <c r="A189" s="45" t="s">
        <v>3588</v>
      </c>
      <c r="C189" s="36">
        <v>45899</v>
      </c>
      <c r="D189" s="36" t="s">
        <v>2396</v>
      </c>
      <c r="E189" s="37" t="s">
        <v>2799</v>
      </c>
      <c r="F189" s="37" t="s">
        <v>4026</v>
      </c>
      <c r="G189" s="38">
        <v>2162</v>
      </c>
      <c r="H189" s="38">
        <v>0</v>
      </c>
      <c r="I189" s="37"/>
      <c r="J189" s="37"/>
      <c r="K189" s="38">
        <f t="shared" si="2"/>
        <v>2162</v>
      </c>
      <c r="L189" s="38"/>
    </row>
    <row r="190" spans="1:12" ht="14.5" x14ac:dyDescent="0.35">
      <c r="A190" s="45" t="s">
        <v>3588</v>
      </c>
      <c r="C190" s="36">
        <v>45899</v>
      </c>
      <c r="D190" s="36" t="s">
        <v>2396</v>
      </c>
      <c r="E190" s="37" t="s">
        <v>2800</v>
      </c>
      <c r="F190" s="37" t="s">
        <v>4026</v>
      </c>
      <c r="G190" s="38">
        <v>17661.96</v>
      </c>
      <c r="H190" s="38">
        <v>0</v>
      </c>
      <c r="I190" s="37"/>
      <c r="J190" s="37"/>
      <c r="K190" s="38">
        <f t="shared" si="2"/>
        <v>17661.96</v>
      </c>
      <c r="L190" s="38"/>
    </row>
    <row r="191" spans="1:12" ht="14.5" x14ac:dyDescent="0.35">
      <c r="A191" s="45" t="s">
        <v>3588</v>
      </c>
      <c r="C191" s="36">
        <v>45899</v>
      </c>
      <c r="D191" s="36" t="s">
        <v>2396</v>
      </c>
      <c r="E191" s="37" t="s">
        <v>2801</v>
      </c>
      <c r="F191" s="37" t="s">
        <v>4026</v>
      </c>
      <c r="G191" s="38">
        <v>546.29999999999995</v>
      </c>
      <c r="H191" s="38">
        <v>0</v>
      </c>
      <c r="I191" s="37"/>
      <c r="J191" s="37"/>
      <c r="K191" s="38">
        <f t="shared" si="2"/>
        <v>546.29999999999995</v>
      </c>
      <c r="L191" s="38"/>
    </row>
    <row r="192" spans="1:12" ht="14.5" x14ac:dyDescent="0.35">
      <c r="A192" s="45" t="s">
        <v>3588</v>
      </c>
      <c r="C192" s="36">
        <v>45899</v>
      </c>
      <c r="D192" s="36" t="s">
        <v>2396</v>
      </c>
      <c r="E192" s="37" t="s">
        <v>2802</v>
      </c>
      <c r="F192" s="37" t="s">
        <v>4026</v>
      </c>
      <c r="G192" s="38">
        <v>401.45</v>
      </c>
      <c r="H192" s="38">
        <v>0</v>
      </c>
      <c r="I192" s="37"/>
      <c r="J192" s="37"/>
      <c r="K192" s="38">
        <f t="shared" si="2"/>
        <v>401.45</v>
      </c>
      <c r="L192" s="38"/>
    </row>
    <row r="193" spans="1:12" ht="14.5" x14ac:dyDescent="0.35">
      <c r="A193" s="45" t="s">
        <v>3588</v>
      </c>
      <c r="C193" s="36">
        <v>45899</v>
      </c>
      <c r="D193" s="36" t="s">
        <v>2396</v>
      </c>
      <c r="E193" s="37" t="s">
        <v>2803</v>
      </c>
      <c r="F193" s="37" t="s">
        <v>4026</v>
      </c>
      <c r="G193" s="38">
        <v>1312.14</v>
      </c>
      <c r="H193" s="38">
        <v>0</v>
      </c>
      <c r="I193" s="37"/>
      <c r="J193" s="37"/>
      <c r="K193" s="38">
        <f t="shared" si="2"/>
        <v>1312.14</v>
      </c>
      <c r="L193" s="38"/>
    </row>
    <row r="194" spans="1:12" ht="14.5" x14ac:dyDescent="0.35">
      <c r="A194" s="45" t="s">
        <v>3588</v>
      </c>
      <c r="C194" s="36">
        <v>45899</v>
      </c>
      <c r="D194" s="36" t="s">
        <v>2396</v>
      </c>
      <c r="E194" s="37" t="s">
        <v>2804</v>
      </c>
      <c r="F194" s="37" t="s">
        <v>4026</v>
      </c>
      <c r="G194" s="38">
        <v>211.33</v>
      </c>
      <c r="H194" s="38">
        <v>0</v>
      </c>
      <c r="I194" s="37"/>
      <c r="J194" s="37"/>
      <c r="K194" s="38">
        <f t="shared" si="2"/>
        <v>211.33</v>
      </c>
      <c r="L194" s="38"/>
    </row>
    <row r="195" spans="1:12" ht="14.5" x14ac:dyDescent="0.35">
      <c r="A195" s="45" t="s">
        <v>3588</v>
      </c>
      <c r="C195" s="36">
        <v>45899</v>
      </c>
      <c r="D195" s="36" t="s">
        <v>1277</v>
      </c>
      <c r="E195" s="37">
        <v>34675</v>
      </c>
      <c r="F195" s="37" t="s">
        <v>4026</v>
      </c>
      <c r="G195" s="38">
        <v>1685.53</v>
      </c>
      <c r="H195" s="38">
        <v>0</v>
      </c>
      <c r="I195" s="37"/>
      <c r="J195" s="37"/>
      <c r="K195" s="38">
        <f t="shared" si="2"/>
        <v>1685.53</v>
      </c>
      <c r="L195" s="38"/>
    </row>
    <row r="196" spans="1:12" ht="14.5" x14ac:dyDescent="0.35">
      <c r="A196" s="45" t="s">
        <v>3588</v>
      </c>
      <c r="C196" s="36">
        <v>45899</v>
      </c>
      <c r="D196" s="36" t="s">
        <v>1179</v>
      </c>
      <c r="E196" s="37" t="s">
        <v>2805</v>
      </c>
      <c r="F196" s="37" t="s">
        <v>4026</v>
      </c>
      <c r="G196" s="38">
        <v>85.27</v>
      </c>
      <c r="H196" s="38">
        <v>0</v>
      </c>
      <c r="I196" s="37"/>
      <c r="J196" s="37"/>
      <c r="K196" s="38">
        <f t="shared" si="2"/>
        <v>85.27</v>
      </c>
      <c r="L196" s="38"/>
    </row>
    <row r="197" spans="1:12" ht="14.5" x14ac:dyDescent="0.35">
      <c r="A197" s="45" t="s">
        <v>3588</v>
      </c>
      <c r="C197" s="36">
        <v>45899</v>
      </c>
      <c r="D197" s="36" t="s">
        <v>1179</v>
      </c>
      <c r="E197" s="37" t="s">
        <v>2806</v>
      </c>
      <c r="F197" s="37" t="s">
        <v>4026</v>
      </c>
      <c r="G197" s="38">
        <v>405.91</v>
      </c>
      <c r="H197" s="38">
        <v>0</v>
      </c>
      <c r="I197" s="37"/>
      <c r="J197" s="37"/>
      <c r="K197" s="38">
        <f t="shared" ref="K197:K260" si="3">G197-H197</f>
        <v>405.91</v>
      </c>
      <c r="L197" s="38"/>
    </row>
    <row r="198" spans="1:12" ht="14.5" x14ac:dyDescent="0.35">
      <c r="A198" s="45" t="s">
        <v>3588</v>
      </c>
      <c r="C198" s="36">
        <v>45899</v>
      </c>
      <c r="D198" s="36" t="s">
        <v>1179</v>
      </c>
      <c r="E198" s="37" t="s">
        <v>2807</v>
      </c>
      <c r="F198" s="37" t="s">
        <v>4026</v>
      </c>
      <c r="G198" s="38">
        <v>64.16</v>
      </c>
      <c r="H198" s="38">
        <v>0</v>
      </c>
      <c r="I198" s="37"/>
      <c r="J198" s="37"/>
      <c r="K198" s="38">
        <f t="shared" si="3"/>
        <v>64.16</v>
      </c>
      <c r="L198" s="38"/>
    </row>
    <row r="199" spans="1:12" ht="14.5" x14ac:dyDescent="0.35">
      <c r="A199" s="45" t="s">
        <v>3588</v>
      </c>
      <c r="C199" s="36">
        <v>45899</v>
      </c>
      <c r="D199" s="36" t="s">
        <v>1179</v>
      </c>
      <c r="E199" s="37" t="s">
        <v>2808</v>
      </c>
      <c r="F199" s="37" t="s">
        <v>4026</v>
      </c>
      <c r="G199" s="38">
        <v>265</v>
      </c>
      <c r="H199" s="38">
        <v>0</v>
      </c>
      <c r="I199" s="37"/>
      <c r="J199" s="37"/>
      <c r="K199" s="38">
        <f t="shared" si="3"/>
        <v>265</v>
      </c>
      <c r="L199" s="38"/>
    </row>
    <row r="200" spans="1:12" ht="14.5" x14ac:dyDescent="0.35">
      <c r="A200" s="45" t="s">
        <v>3588</v>
      </c>
      <c r="C200" s="36">
        <v>45899</v>
      </c>
      <c r="D200" s="36" t="s">
        <v>1179</v>
      </c>
      <c r="E200" s="37" t="s">
        <v>2809</v>
      </c>
      <c r="F200" s="37" t="s">
        <v>4026</v>
      </c>
      <c r="G200" s="38">
        <v>11</v>
      </c>
      <c r="H200" s="38">
        <v>0</v>
      </c>
      <c r="I200" s="37"/>
      <c r="J200" s="37"/>
      <c r="K200" s="38">
        <f t="shared" si="3"/>
        <v>11</v>
      </c>
      <c r="L200" s="38"/>
    </row>
    <row r="201" spans="1:12" ht="14.5" x14ac:dyDescent="0.35">
      <c r="A201" s="45" t="s">
        <v>3588</v>
      </c>
      <c r="C201" s="36">
        <v>45899</v>
      </c>
      <c r="D201" s="36" t="s">
        <v>1179</v>
      </c>
      <c r="E201" s="37" t="s">
        <v>2810</v>
      </c>
      <c r="F201" s="37" t="s">
        <v>4026</v>
      </c>
      <c r="G201" s="38">
        <v>10.02</v>
      </c>
      <c r="H201" s="38">
        <v>0</v>
      </c>
      <c r="I201" s="37"/>
      <c r="J201" s="37"/>
      <c r="K201" s="38">
        <f t="shared" si="3"/>
        <v>10.02</v>
      </c>
      <c r="L201" s="38"/>
    </row>
    <row r="202" spans="1:12" ht="14.5" x14ac:dyDescent="0.35">
      <c r="A202" s="45" t="s">
        <v>3588</v>
      </c>
      <c r="C202" s="36">
        <v>45899</v>
      </c>
      <c r="D202" s="36" t="s">
        <v>1179</v>
      </c>
      <c r="E202" s="37" t="s">
        <v>2811</v>
      </c>
      <c r="F202" s="37" t="s">
        <v>4026</v>
      </c>
      <c r="G202" s="38">
        <v>335.77</v>
      </c>
      <c r="H202" s="38">
        <v>0</v>
      </c>
      <c r="I202" s="37"/>
      <c r="J202" s="37"/>
      <c r="K202" s="38">
        <f t="shared" si="3"/>
        <v>335.77</v>
      </c>
      <c r="L202" s="38"/>
    </row>
    <row r="203" spans="1:12" ht="14.5" x14ac:dyDescent="0.35">
      <c r="A203" s="45" t="s">
        <v>3588</v>
      </c>
      <c r="C203" s="36">
        <v>45899</v>
      </c>
      <c r="D203" s="36" t="s">
        <v>1179</v>
      </c>
      <c r="E203" s="37" t="s">
        <v>2812</v>
      </c>
      <c r="F203" s="37" t="s">
        <v>4026</v>
      </c>
      <c r="G203" s="38">
        <v>799.03</v>
      </c>
      <c r="H203" s="38">
        <v>0</v>
      </c>
      <c r="I203" s="37"/>
      <c r="J203" s="37"/>
      <c r="K203" s="38">
        <f t="shared" si="3"/>
        <v>799.03</v>
      </c>
      <c r="L203" s="38"/>
    </row>
    <row r="204" spans="1:12" ht="14.5" x14ac:dyDescent="0.35">
      <c r="A204" s="45" t="s">
        <v>3588</v>
      </c>
      <c r="C204" s="36">
        <v>45899</v>
      </c>
      <c r="D204" s="36" t="s">
        <v>1179</v>
      </c>
      <c r="E204" s="37" t="s">
        <v>2813</v>
      </c>
      <c r="F204" s="37" t="s">
        <v>4026</v>
      </c>
      <c r="G204" s="38">
        <v>129.88999999999999</v>
      </c>
      <c r="H204" s="38">
        <v>0</v>
      </c>
      <c r="I204" s="37"/>
      <c r="J204" s="37"/>
      <c r="K204" s="38">
        <f t="shared" si="3"/>
        <v>129.88999999999999</v>
      </c>
      <c r="L204" s="38"/>
    </row>
    <row r="205" spans="1:12" ht="14.5" x14ac:dyDescent="0.35">
      <c r="A205" s="45" t="s">
        <v>3588</v>
      </c>
      <c r="C205" s="36">
        <v>45899</v>
      </c>
      <c r="D205" s="36" t="s">
        <v>3115</v>
      </c>
      <c r="E205" s="37" t="s">
        <v>2814</v>
      </c>
      <c r="F205" s="37" t="s">
        <v>4026</v>
      </c>
      <c r="G205" s="38">
        <v>1541.94</v>
      </c>
      <c r="H205" s="38">
        <v>0</v>
      </c>
      <c r="I205" s="37"/>
      <c r="J205" s="37"/>
      <c r="K205" s="38">
        <f t="shared" si="3"/>
        <v>1541.94</v>
      </c>
      <c r="L205" s="38"/>
    </row>
    <row r="206" spans="1:12" ht="14.5" x14ac:dyDescent="0.35">
      <c r="A206" s="45" t="s">
        <v>3588</v>
      </c>
      <c r="C206" s="36">
        <v>45899</v>
      </c>
      <c r="D206" s="36" t="s">
        <v>2530</v>
      </c>
      <c r="E206" s="37" t="s">
        <v>2815</v>
      </c>
      <c r="F206" s="37" t="s">
        <v>4026</v>
      </c>
      <c r="G206" s="38">
        <v>884.36</v>
      </c>
      <c r="H206" s="38">
        <v>0</v>
      </c>
      <c r="I206" s="37"/>
      <c r="J206" s="37"/>
      <c r="K206" s="38">
        <f t="shared" si="3"/>
        <v>884.36</v>
      </c>
      <c r="L206" s="38"/>
    </row>
    <row r="207" spans="1:12" ht="14.5" x14ac:dyDescent="0.35">
      <c r="A207" s="45" t="s">
        <v>3588</v>
      </c>
      <c r="C207" s="36">
        <v>45899</v>
      </c>
      <c r="D207" s="36" t="s">
        <v>301</v>
      </c>
      <c r="E207" s="37" t="s">
        <v>2816</v>
      </c>
      <c r="F207" s="37" t="s">
        <v>4026</v>
      </c>
      <c r="G207" s="38">
        <v>566.08000000000004</v>
      </c>
      <c r="H207" s="38">
        <v>0</v>
      </c>
      <c r="I207" s="37"/>
      <c r="J207" s="37"/>
      <c r="K207" s="38">
        <f t="shared" si="3"/>
        <v>566.08000000000004</v>
      </c>
      <c r="L207" s="38"/>
    </row>
    <row r="208" spans="1:12" ht="14.5" x14ac:dyDescent="0.35">
      <c r="A208" s="45" t="s">
        <v>3588</v>
      </c>
      <c r="C208" s="36">
        <v>45899</v>
      </c>
      <c r="D208" s="36" t="s">
        <v>301</v>
      </c>
      <c r="E208" s="37" t="s">
        <v>2817</v>
      </c>
      <c r="F208" s="37" t="s">
        <v>4026</v>
      </c>
      <c r="G208" s="38">
        <v>410.37</v>
      </c>
      <c r="H208" s="38">
        <v>0</v>
      </c>
      <c r="I208" s="37"/>
      <c r="J208" s="37"/>
      <c r="K208" s="38">
        <f t="shared" si="3"/>
        <v>410.37</v>
      </c>
      <c r="L208" s="38"/>
    </row>
    <row r="209" spans="1:12" ht="14.5" x14ac:dyDescent="0.35">
      <c r="A209" s="45" t="s">
        <v>3588</v>
      </c>
      <c r="C209" s="36">
        <v>45899</v>
      </c>
      <c r="D209" s="36" t="s">
        <v>1932</v>
      </c>
      <c r="E209" s="37" t="s">
        <v>2818</v>
      </c>
      <c r="F209" s="37" t="s">
        <v>4026</v>
      </c>
      <c r="G209" s="38">
        <v>26.6</v>
      </c>
      <c r="H209" s="38">
        <v>0</v>
      </c>
      <c r="I209" s="37"/>
      <c r="J209" s="37"/>
      <c r="K209" s="38">
        <f t="shared" si="3"/>
        <v>26.6</v>
      </c>
      <c r="L209" s="38"/>
    </row>
    <row r="210" spans="1:12" ht="14.5" x14ac:dyDescent="0.35">
      <c r="A210" s="45" t="s">
        <v>3588</v>
      </c>
      <c r="C210" s="36">
        <v>45899</v>
      </c>
      <c r="D210" s="36" t="s">
        <v>1932</v>
      </c>
      <c r="E210" s="37" t="s">
        <v>2819</v>
      </c>
      <c r="F210" s="37" t="s">
        <v>4026</v>
      </c>
      <c r="G210" s="38">
        <v>382.5</v>
      </c>
      <c r="H210" s="38">
        <v>0</v>
      </c>
      <c r="I210" s="37"/>
      <c r="J210" s="37"/>
      <c r="K210" s="38">
        <f t="shared" si="3"/>
        <v>382.5</v>
      </c>
      <c r="L210" s="38"/>
    </row>
    <row r="211" spans="1:12" ht="14.5" x14ac:dyDescent="0.35">
      <c r="A211" s="45" t="s">
        <v>3588</v>
      </c>
      <c r="C211" s="36">
        <v>45899</v>
      </c>
      <c r="D211" s="36" t="s">
        <v>1932</v>
      </c>
      <c r="E211" s="37" t="s">
        <v>2820</v>
      </c>
      <c r="F211" s="37" t="s">
        <v>4026</v>
      </c>
      <c r="G211" s="38">
        <v>116.48</v>
      </c>
      <c r="H211" s="38">
        <v>0</v>
      </c>
      <c r="I211" s="37"/>
      <c r="J211" s="37"/>
      <c r="K211" s="38">
        <f t="shared" si="3"/>
        <v>116.48</v>
      </c>
      <c r="L211" s="38"/>
    </row>
    <row r="212" spans="1:12" ht="14.5" x14ac:dyDescent="0.35">
      <c r="A212" s="45" t="s">
        <v>3588</v>
      </c>
      <c r="C212" s="36">
        <v>45899</v>
      </c>
      <c r="D212" s="36" t="s">
        <v>2424</v>
      </c>
      <c r="E212" s="37" t="s">
        <v>2821</v>
      </c>
      <c r="F212" s="37" t="s">
        <v>4026</v>
      </c>
      <c r="G212" s="38">
        <v>53.2</v>
      </c>
      <c r="H212" s="38">
        <v>0</v>
      </c>
      <c r="I212" s="37"/>
      <c r="J212" s="37"/>
      <c r="K212" s="38">
        <f t="shared" si="3"/>
        <v>53.2</v>
      </c>
      <c r="L212" s="38"/>
    </row>
    <row r="213" spans="1:12" ht="14.5" x14ac:dyDescent="0.35">
      <c r="A213" s="45" t="s">
        <v>3588</v>
      </c>
      <c r="C213" s="36">
        <v>45899</v>
      </c>
      <c r="D213" s="36" t="s">
        <v>1782</v>
      </c>
      <c r="E213" s="37" t="s">
        <v>2822</v>
      </c>
      <c r="F213" s="37" t="s">
        <v>4026</v>
      </c>
      <c r="G213" s="38">
        <v>105.54</v>
      </c>
      <c r="H213" s="38">
        <v>0</v>
      </c>
      <c r="I213" s="37"/>
      <c r="J213" s="37"/>
      <c r="K213" s="38">
        <f t="shared" si="3"/>
        <v>105.54</v>
      </c>
      <c r="L213" s="38"/>
    </row>
    <row r="214" spans="1:12" ht="14.5" x14ac:dyDescent="0.35">
      <c r="A214" s="45" t="s">
        <v>3588</v>
      </c>
      <c r="C214" s="36">
        <v>45899</v>
      </c>
      <c r="D214" s="36" t="s">
        <v>1782</v>
      </c>
      <c r="E214" s="37" t="s">
        <v>2823</v>
      </c>
      <c r="F214" s="37" t="s">
        <v>4026</v>
      </c>
      <c r="G214" s="38">
        <v>1639.76</v>
      </c>
      <c r="H214" s="38">
        <v>0</v>
      </c>
      <c r="I214" s="37"/>
      <c r="J214" s="37"/>
      <c r="K214" s="38">
        <f t="shared" si="3"/>
        <v>1639.76</v>
      </c>
      <c r="L214" s="38"/>
    </row>
    <row r="215" spans="1:12" ht="14.5" x14ac:dyDescent="0.35">
      <c r="A215" s="45" t="s">
        <v>3588</v>
      </c>
      <c r="C215" s="36">
        <v>45899</v>
      </c>
      <c r="D215" s="36" t="s">
        <v>2520</v>
      </c>
      <c r="E215" s="37" t="s">
        <v>2824</v>
      </c>
      <c r="F215" s="37" t="s">
        <v>4026</v>
      </c>
      <c r="G215" s="38">
        <v>711.17</v>
      </c>
      <c r="H215" s="38">
        <v>0</v>
      </c>
      <c r="I215" s="37"/>
      <c r="J215" s="37"/>
      <c r="K215" s="38">
        <f t="shared" si="3"/>
        <v>711.17</v>
      </c>
      <c r="L215" s="38"/>
    </row>
    <row r="216" spans="1:12" ht="14.5" x14ac:dyDescent="0.35">
      <c r="A216" s="45" t="s">
        <v>3588</v>
      </c>
      <c r="C216" s="36">
        <v>45899</v>
      </c>
      <c r="D216" s="36" t="s">
        <v>2520</v>
      </c>
      <c r="E216" s="37" t="s">
        <v>2825</v>
      </c>
      <c r="F216" s="37" t="s">
        <v>4026</v>
      </c>
      <c r="G216" s="38">
        <v>2051.9</v>
      </c>
      <c r="H216" s="38">
        <v>0</v>
      </c>
      <c r="I216" s="37"/>
      <c r="J216" s="37"/>
      <c r="K216" s="38">
        <f t="shared" si="3"/>
        <v>2051.9</v>
      </c>
      <c r="L216" s="38"/>
    </row>
    <row r="217" spans="1:12" ht="14.5" x14ac:dyDescent="0.35">
      <c r="A217" s="45" t="s">
        <v>3588</v>
      </c>
      <c r="C217" s="36">
        <v>45899</v>
      </c>
      <c r="D217" s="36" t="s">
        <v>1283</v>
      </c>
      <c r="E217" s="37">
        <v>34959</v>
      </c>
      <c r="F217" s="37" t="s">
        <v>4026</v>
      </c>
      <c r="G217" s="38">
        <v>206.57</v>
      </c>
      <c r="H217" s="38">
        <v>0</v>
      </c>
      <c r="I217" s="37"/>
      <c r="J217" s="37"/>
      <c r="K217" s="38">
        <f t="shared" si="3"/>
        <v>206.57</v>
      </c>
      <c r="L217" s="38"/>
    </row>
    <row r="218" spans="1:12" ht="14.5" x14ac:dyDescent="0.35">
      <c r="A218" s="45" t="s">
        <v>3588</v>
      </c>
      <c r="C218" s="36">
        <v>45899</v>
      </c>
      <c r="D218" s="36" t="s">
        <v>2079</v>
      </c>
      <c r="E218" s="37" t="s">
        <v>2826</v>
      </c>
      <c r="F218" s="37" t="s">
        <v>4026</v>
      </c>
      <c r="G218" s="38">
        <v>28.55</v>
      </c>
      <c r="H218" s="38">
        <v>0</v>
      </c>
      <c r="I218" s="37"/>
      <c r="J218" s="37"/>
      <c r="K218" s="38">
        <f t="shared" si="3"/>
        <v>28.55</v>
      </c>
      <c r="L218" s="38"/>
    </row>
    <row r="219" spans="1:12" ht="14.5" x14ac:dyDescent="0.35">
      <c r="A219" s="45" t="s">
        <v>3588</v>
      </c>
      <c r="C219" s="36">
        <v>45899</v>
      </c>
      <c r="D219" s="36" t="s">
        <v>1724</v>
      </c>
      <c r="E219" s="37" t="s">
        <v>2827</v>
      </c>
      <c r="F219" s="37" t="s">
        <v>4026</v>
      </c>
      <c r="G219" s="38">
        <v>102.87</v>
      </c>
      <c r="H219" s="38">
        <v>0</v>
      </c>
      <c r="I219" s="37"/>
      <c r="J219" s="37"/>
      <c r="K219" s="38">
        <f t="shared" si="3"/>
        <v>102.87</v>
      </c>
      <c r="L219" s="38"/>
    </row>
    <row r="220" spans="1:12" ht="14.5" x14ac:dyDescent="0.35">
      <c r="A220" s="45" t="s">
        <v>3588</v>
      </c>
      <c r="C220" s="36">
        <v>45899</v>
      </c>
      <c r="D220" s="36" t="s">
        <v>3132</v>
      </c>
      <c r="E220" s="37" t="s">
        <v>2828</v>
      </c>
      <c r="F220" s="37" t="s">
        <v>4026</v>
      </c>
      <c r="G220" s="38">
        <v>39.15</v>
      </c>
      <c r="H220" s="38">
        <v>0</v>
      </c>
      <c r="I220" s="37"/>
      <c r="J220" s="37"/>
      <c r="K220" s="38">
        <f t="shared" si="3"/>
        <v>39.15</v>
      </c>
      <c r="L220" s="38"/>
    </row>
    <row r="221" spans="1:12" ht="14.5" x14ac:dyDescent="0.35">
      <c r="A221" s="45" t="s">
        <v>3588</v>
      </c>
      <c r="C221" s="36">
        <v>45899</v>
      </c>
      <c r="D221" s="36" t="s">
        <v>1724</v>
      </c>
      <c r="E221" s="37" t="s">
        <v>2829</v>
      </c>
      <c r="F221" s="37" t="s">
        <v>4026</v>
      </c>
      <c r="G221" s="38">
        <v>1165.3400000000001</v>
      </c>
      <c r="H221" s="38">
        <v>0</v>
      </c>
      <c r="I221" s="37"/>
      <c r="J221" s="37"/>
      <c r="K221" s="38">
        <f t="shared" si="3"/>
        <v>1165.3400000000001</v>
      </c>
      <c r="L221" s="38"/>
    </row>
    <row r="222" spans="1:12" ht="14.5" x14ac:dyDescent="0.35">
      <c r="A222" s="45" t="s">
        <v>3588</v>
      </c>
      <c r="C222" s="36">
        <v>45899</v>
      </c>
      <c r="D222" s="36" t="s">
        <v>1724</v>
      </c>
      <c r="E222" s="37" t="s">
        <v>2830</v>
      </c>
      <c r="F222" s="37" t="s">
        <v>4026</v>
      </c>
      <c r="G222" s="38">
        <v>2395.5</v>
      </c>
      <c r="H222" s="38">
        <v>0</v>
      </c>
      <c r="I222" s="37"/>
      <c r="J222" s="37"/>
      <c r="K222" s="38">
        <f t="shared" si="3"/>
        <v>2395.5</v>
      </c>
      <c r="L222" s="38"/>
    </row>
    <row r="223" spans="1:12" ht="14.5" x14ac:dyDescent="0.35">
      <c r="A223" s="45" t="s">
        <v>3588</v>
      </c>
      <c r="C223" s="36">
        <v>45899</v>
      </c>
      <c r="D223" s="36" t="s">
        <v>1608</v>
      </c>
      <c r="E223" s="37" t="s">
        <v>2832</v>
      </c>
      <c r="F223" s="37" t="s">
        <v>4026</v>
      </c>
      <c r="G223" s="38">
        <v>293.52999999999997</v>
      </c>
      <c r="H223" s="38">
        <v>0</v>
      </c>
      <c r="I223" s="37"/>
      <c r="J223" s="37"/>
      <c r="K223" s="38">
        <f t="shared" si="3"/>
        <v>293.52999999999997</v>
      </c>
      <c r="L223" s="38"/>
    </row>
    <row r="224" spans="1:12" ht="14.5" x14ac:dyDescent="0.35">
      <c r="A224" s="45" t="s">
        <v>3588</v>
      </c>
      <c r="C224" s="36">
        <v>45899</v>
      </c>
      <c r="D224" s="36" t="s">
        <v>3139</v>
      </c>
      <c r="E224" s="37" t="s">
        <v>2833</v>
      </c>
      <c r="F224" s="37" t="s">
        <v>4026</v>
      </c>
      <c r="G224" s="38">
        <v>7045.86</v>
      </c>
      <c r="H224" s="38">
        <v>0</v>
      </c>
      <c r="I224" s="37"/>
      <c r="J224" s="37"/>
      <c r="K224" s="38">
        <f t="shared" si="3"/>
        <v>7045.86</v>
      </c>
      <c r="L224" s="38"/>
    </row>
    <row r="225" spans="1:12" ht="14.5" x14ac:dyDescent="0.35">
      <c r="A225" s="45" t="s">
        <v>3588</v>
      </c>
      <c r="C225" s="36">
        <v>45899</v>
      </c>
      <c r="D225" s="36" t="s">
        <v>3139</v>
      </c>
      <c r="E225" s="37" t="s">
        <v>2834</v>
      </c>
      <c r="F225" s="37" t="s">
        <v>4026</v>
      </c>
      <c r="G225" s="38">
        <v>48239.519999999997</v>
      </c>
      <c r="H225" s="38">
        <v>0</v>
      </c>
      <c r="I225" s="37"/>
      <c r="J225" s="37"/>
      <c r="K225" s="38">
        <f t="shared" si="3"/>
        <v>48239.519999999997</v>
      </c>
      <c r="L225" s="38"/>
    </row>
    <row r="226" spans="1:12" ht="14.5" x14ac:dyDescent="0.35">
      <c r="A226" s="45" t="s">
        <v>3588</v>
      </c>
      <c r="C226" s="36">
        <v>45899</v>
      </c>
      <c r="D226" s="36" t="s">
        <v>3144</v>
      </c>
      <c r="E226" s="37" t="s">
        <v>2835</v>
      </c>
      <c r="F226" s="37" t="s">
        <v>4026</v>
      </c>
      <c r="G226" s="38">
        <v>156</v>
      </c>
      <c r="H226" s="38">
        <v>0</v>
      </c>
      <c r="I226" s="37"/>
      <c r="J226" s="37"/>
      <c r="K226" s="38">
        <f t="shared" si="3"/>
        <v>156</v>
      </c>
      <c r="L226" s="38"/>
    </row>
    <row r="227" spans="1:12" ht="14.5" x14ac:dyDescent="0.35">
      <c r="A227" s="45" t="s">
        <v>3588</v>
      </c>
      <c r="C227" s="36">
        <v>45899</v>
      </c>
      <c r="D227" s="36" t="s">
        <v>3146</v>
      </c>
      <c r="E227" s="37" t="s">
        <v>2836</v>
      </c>
      <c r="F227" s="37" t="s">
        <v>4026</v>
      </c>
      <c r="G227" s="38">
        <v>189.2</v>
      </c>
      <c r="H227" s="38">
        <v>0</v>
      </c>
      <c r="I227" s="37"/>
      <c r="J227" s="37"/>
      <c r="K227" s="38">
        <f t="shared" si="3"/>
        <v>189.2</v>
      </c>
      <c r="L227" s="38"/>
    </row>
    <row r="228" spans="1:12" ht="14.5" x14ac:dyDescent="0.35">
      <c r="A228" s="45" t="s">
        <v>3588</v>
      </c>
      <c r="C228" s="36">
        <v>45899</v>
      </c>
      <c r="D228" s="36" t="s">
        <v>3148</v>
      </c>
      <c r="E228" s="37" t="s">
        <v>2837</v>
      </c>
      <c r="F228" s="37" t="s">
        <v>4026</v>
      </c>
      <c r="G228" s="38">
        <v>8.14</v>
      </c>
      <c r="H228" s="38">
        <v>0</v>
      </c>
      <c r="I228" s="37"/>
      <c r="J228" s="37"/>
      <c r="K228" s="38">
        <f t="shared" si="3"/>
        <v>8.14</v>
      </c>
      <c r="L228" s="38"/>
    </row>
    <row r="229" spans="1:12" ht="14.5" x14ac:dyDescent="0.35">
      <c r="A229" s="45" t="s">
        <v>3588</v>
      </c>
      <c r="C229" s="36">
        <v>45899</v>
      </c>
      <c r="D229" s="36" t="s">
        <v>3150</v>
      </c>
      <c r="E229" s="37" t="s">
        <v>2838</v>
      </c>
      <c r="F229" s="37" t="s">
        <v>4026</v>
      </c>
      <c r="G229" s="38">
        <v>16.55</v>
      </c>
      <c r="H229" s="38">
        <v>0</v>
      </c>
      <c r="I229" s="37"/>
      <c r="J229" s="37"/>
      <c r="K229" s="38">
        <f t="shared" si="3"/>
        <v>16.55</v>
      </c>
      <c r="L229" s="38"/>
    </row>
    <row r="230" spans="1:12" ht="14.5" x14ac:dyDescent="0.35">
      <c r="A230" s="45" t="s">
        <v>3588</v>
      </c>
      <c r="C230" s="36">
        <v>45899</v>
      </c>
      <c r="D230" s="36" t="s">
        <v>3153</v>
      </c>
      <c r="E230" s="37" t="s">
        <v>2839</v>
      </c>
      <c r="F230" s="37" t="s">
        <v>4026</v>
      </c>
      <c r="G230" s="38">
        <v>70.75</v>
      </c>
      <c r="H230" s="38">
        <v>0</v>
      </c>
      <c r="I230" s="37"/>
      <c r="J230" s="37"/>
      <c r="K230" s="38">
        <f t="shared" si="3"/>
        <v>70.75</v>
      </c>
      <c r="L230" s="38"/>
    </row>
    <row r="231" spans="1:12" ht="14.5" x14ac:dyDescent="0.35">
      <c r="A231" s="45" t="s">
        <v>3588</v>
      </c>
      <c r="C231" s="36">
        <v>45899</v>
      </c>
      <c r="D231" s="36" t="s">
        <v>3154</v>
      </c>
      <c r="E231" s="37" t="s">
        <v>2840</v>
      </c>
      <c r="F231" s="37" t="s">
        <v>4026</v>
      </c>
      <c r="G231" s="38">
        <v>12743.609999999999</v>
      </c>
      <c r="H231" s="38">
        <v>0</v>
      </c>
      <c r="I231" s="37"/>
      <c r="J231" s="37"/>
      <c r="K231" s="38">
        <f t="shared" si="3"/>
        <v>12743.609999999999</v>
      </c>
      <c r="L231" s="38"/>
    </row>
    <row r="232" spans="1:12" ht="14.5" x14ac:dyDescent="0.35">
      <c r="A232" s="45" t="s">
        <v>3588</v>
      </c>
      <c r="C232" s="36">
        <v>45899</v>
      </c>
      <c r="D232" s="36" t="s">
        <v>1920</v>
      </c>
      <c r="E232" s="37" t="s">
        <v>2841</v>
      </c>
      <c r="F232" s="37" t="s">
        <v>4026</v>
      </c>
      <c r="G232" s="38">
        <v>695.48</v>
      </c>
      <c r="H232" s="38">
        <v>0</v>
      </c>
      <c r="I232" s="37"/>
      <c r="J232" s="37"/>
      <c r="K232" s="38">
        <f t="shared" si="3"/>
        <v>695.48</v>
      </c>
      <c r="L232" s="38"/>
    </row>
    <row r="233" spans="1:12" ht="14.5" x14ac:dyDescent="0.35">
      <c r="A233" s="45" t="s">
        <v>3588</v>
      </c>
      <c r="C233" s="36">
        <v>45899</v>
      </c>
      <c r="D233" s="36" t="s">
        <v>1920</v>
      </c>
      <c r="E233" s="37" t="s">
        <v>2842</v>
      </c>
      <c r="F233" s="37" t="s">
        <v>4026</v>
      </c>
      <c r="G233" s="38">
        <v>1187.8799999999999</v>
      </c>
      <c r="H233" s="38">
        <v>0</v>
      </c>
      <c r="I233" s="37"/>
      <c r="J233" s="37"/>
      <c r="K233" s="38">
        <f t="shared" si="3"/>
        <v>1187.8799999999999</v>
      </c>
      <c r="L233" s="38"/>
    </row>
    <row r="234" spans="1:12" ht="14.5" x14ac:dyDescent="0.35">
      <c r="A234" s="45" t="s">
        <v>3588</v>
      </c>
      <c r="C234" s="36">
        <v>45899</v>
      </c>
      <c r="D234" s="36" t="s">
        <v>1920</v>
      </c>
      <c r="E234" s="37" t="s">
        <v>2843</v>
      </c>
      <c r="F234" s="37" t="s">
        <v>4026</v>
      </c>
      <c r="G234" s="38">
        <v>5.24</v>
      </c>
      <c r="H234" s="38">
        <v>0</v>
      </c>
      <c r="I234" s="37"/>
      <c r="J234" s="37"/>
      <c r="K234" s="38">
        <f t="shared" si="3"/>
        <v>5.24</v>
      </c>
      <c r="L234" s="38"/>
    </row>
    <row r="235" spans="1:12" ht="14.5" x14ac:dyDescent="0.35">
      <c r="A235" s="45" t="s">
        <v>3588</v>
      </c>
      <c r="C235" s="36">
        <v>45899</v>
      </c>
      <c r="D235" s="36" t="s">
        <v>1920</v>
      </c>
      <c r="E235" s="37" t="s">
        <v>2847</v>
      </c>
      <c r="F235" s="37" t="s">
        <v>4026</v>
      </c>
      <c r="G235" s="38">
        <v>80.02</v>
      </c>
      <c r="H235" s="38">
        <v>0</v>
      </c>
      <c r="I235" s="37"/>
      <c r="J235" s="37"/>
      <c r="K235" s="38">
        <f t="shared" si="3"/>
        <v>80.02</v>
      </c>
      <c r="L235" s="38"/>
    </row>
    <row r="236" spans="1:12" ht="14.5" x14ac:dyDescent="0.35">
      <c r="A236" s="45" t="s">
        <v>3588</v>
      </c>
      <c r="C236" s="36">
        <v>45899</v>
      </c>
      <c r="D236" s="36" t="s">
        <v>301</v>
      </c>
      <c r="E236" s="37" t="s">
        <v>2848</v>
      </c>
      <c r="F236" s="37" t="s">
        <v>4026</v>
      </c>
      <c r="G236" s="38">
        <v>324.33</v>
      </c>
      <c r="H236" s="38">
        <v>0</v>
      </c>
      <c r="I236" s="37"/>
      <c r="J236" s="37"/>
      <c r="K236" s="38">
        <f t="shared" si="3"/>
        <v>324.33</v>
      </c>
      <c r="L236" s="38"/>
    </row>
    <row r="237" spans="1:12" ht="14.5" x14ac:dyDescent="0.35">
      <c r="A237" s="45" t="s">
        <v>3588</v>
      </c>
      <c r="C237" s="36">
        <v>45899</v>
      </c>
      <c r="D237" s="36" t="s">
        <v>301</v>
      </c>
      <c r="E237" s="37" t="s">
        <v>2849</v>
      </c>
      <c r="F237" s="37" t="s">
        <v>4026</v>
      </c>
      <c r="G237" s="38">
        <v>139.4</v>
      </c>
      <c r="H237" s="38">
        <v>0</v>
      </c>
      <c r="I237" s="37"/>
      <c r="J237" s="37"/>
      <c r="K237" s="38">
        <f t="shared" si="3"/>
        <v>139.4</v>
      </c>
      <c r="L237" s="38"/>
    </row>
    <row r="238" spans="1:12" ht="14.5" x14ac:dyDescent="0.35">
      <c r="A238" s="45" t="s">
        <v>3588</v>
      </c>
      <c r="C238" s="36">
        <v>45899</v>
      </c>
      <c r="D238" s="36" t="s">
        <v>1782</v>
      </c>
      <c r="E238" s="37" t="s">
        <v>2850</v>
      </c>
      <c r="F238" s="37" t="s">
        <v>4026</v>
      </c>
      <c r="G238" s="38">
        <v>2960.2999999999997</v>
      </c>
      <c r="H238" s="38">
        <v>0</v>
      </c>
      <c r="I238" s="37"/>
      <c r="J238" s="37"/>
      <c r="K238" s="38">
        <f t="shared" si="3"/>
        <v>2960.2999999999997</v>
      </c>
      <c r="L238" s="38"/>
    </row>
    <row r="239" spans="1:12" ht="14.5" x14ac:dyDescent="0.35">
      <c r="A239" s="45" t="s">
        <v>3588</v>
      </c>
      <c r="C239" s="36">
        <v>45899</v>
      </c>
      <c r="D239" s="36" t="s">
        <v>1223</v>
      </c>
      <c r="E239" s="37" t="s">
        <v>2851</v>
      </c>
      <c r="F239" s="37" t="s">
        <v>4026</v>
      </c>
      <c r="G239" s="38">
        <v>277.94</v>
      </c>
      <c r="H239" s="38">
        <v>0</v>
      </c>
      <c r="I239" s="37"/>
      <c r="J239" s="37"/>
      <c r="K239" s="38">
        <f t="shared" si="3"/>
        <v>277.94</v>
      </c>
      <c r="L239" s="38"/>
    </row>
    <row r="240" spans="1:12" ht="14.5" x14ac:dyDescent="0.35">
      <c r="A240" s="45" t="s">
        <v>3588</v>
      </c>
      <c r="C240" s="36">
        <v>45899</v>
      </c>
      <c r="D240" s="36" t="s">
        <v>1035</v>
      </c>
      <c r="E240" s="37" t="s">
        <v>2852</v>
      </c>
      <c r="F240" s="37" t="s">
        <v>4026</v>
      </c>
      <c r="G240" s="38">
        <v>119.31</v>
      </c>
      <c r="H240" s="38">
        <v>0</v>
      </c>
      <c r="I240" s="37"/>
      <c r="J240" s="37"/>
      <c r="K240" s="38">
        <f t="shared" si="3"/>
        <v>119.31</v>
      </c>
      <c r="L240" s="38"/>
    </row>
    <row r="241" spans="1:12" ht="14.5" x14ac:dyDescent="0.35">
      <c r="A241" s="45" t="s">
        <v>3588</v>
      </c>
      <c r="C241" s="36">
        <v>45899</v>
      </c>
      <c r="D241" s="36" t="s">
        <v>1035</v>
      </c>
      <c r="E241" s="37" t="s">
        <v>2853</v>
      </c>
      <c r="F241" s="37" t="s">
        <v>4026</v>
      </c>
      <c r="G241" s="38">
        <v>362.45000000000005</v>
      </c>
      <c r="H241" s="38">
        <v>0</v>
      </c>
      <c r="I241" s="37"/>
      <c r="J241" s="37"/>
      <c r="K241" s="38">
        <f t="shared" si="3"/>
        <v>362.45000000000005</v>
      </c>
      <c r="L241" s="38"/>
    </row>
    <row r="242" spans="1:12" ht="14.5" x14ac:dyDescent="0.35">
      <c r="A242" s="45" t="s">
        <v>3588</v>
      </c>
      <c r="C242" s="36">
        <v>45899</v>
      </c>
      <c r="D242" s="36" t="s">
        <v>1343</v>
      </c>
      <c r="E242" s="37" t="s">
        <v>2855</v>
      </c>
      <c r="F242" s="37" t="s">
        <v>4026</v>
      </c>
      <c r="G242" s="38">
        <v>2904.92</v>
      </c>
      <c r="H242" s="38">
        <v>0</v>
      </c>
      <c r="I242" s="37"/>
      <c r="J242" s="37"/>
      <c r="K242" s="38">
        <f t="shared" si="3"/>
        <v>2904.92</v>
      </c>
      <c r="L242" s="38"/>
    </row>
    <row r="243" spans="1:12" ht="14.5" x14ac:dyDescent="0.35">
      <c r="A243" s="45" t="s">
        <v>3588</v>
      </c>
      <c r="C243" s="36">
        <v>45899</v>
      </c>
      <c r="D243" s="36" t="s">
        <v>1343</v>
      </c>
      <c r="E243" s="37" t="s">
        <v>2856</v>
      </c>
      <c r="F243" s="37" t="s">
        <v>4026</v>
      </c>
      <c r="G243" s="38">
        <v>558.23</v>
      </c>
      <c r="H243" s="38">
        <v>0</v>
      </c>
      <c r="I243" s="37"/>
      <c r="J243" s="37"/>
      <c r="K243" s="38">
        <f t="shared" si="3"/>
        <v>558.23</v>
      </c>
      <c r="L243" s="38"/>
    </row>
    <row r="244" spans="1:12" ht="14.5" x14ac:dyDescent="0.35">
      <c r="A244" s="45" t="s">
        <v>3588</v>
      </c>
      <c r="C244" s="36">
        <v>45899</v>
      </c>
      <c r="D244" s="36" t="s">
        <v>1343</v>
      </c>
      <c r="E244" s="37" t="s">
        <v>2857</v>
      </c>
      <c r="F244" s="37" t="s">
        <v>4026</v>
      </c>
      <c r="G244" s="38">
        <v>110</v>
      </c>
      <c r="H244" s="38">
        <v>0</v>
      </c>
      <c r="I244" s="37"/>
      <c r="J244" s="37"/>
      <c r="K244" s="38">
        <f t="shared" si="3"/>
        <v>110</v>
      </c>
      <c r="L244" s="38"/>
    </row>
    <row r="245" spans="1:12" ht="14.5" x14ac:dyDescent="0.35">
      <c r="A245" s="45" t="s">
        <v>3588</v>
      </c>
      <c r="C245" s="36">
        <v>45899</v>
      </c>
      <c r="D245" s="36" t="s">
        <v>1223</v>
      </c>
      <c r="E245" s="37" t="s">
        <v>2858</v>
      </c>
      <c r="F245" s="37" t="s">
        <v>4026</v>
      </c>
      <c r="G245" s="38">
        <v>8451.82</v>
      </c>
      <c r="H245" s="38">
        <v>0</v>
      </c>
      <c r="I245" s="37"/>
      <c r="J245" s="37"/>
      <c r="K245" s="38">
        <f t="shared" si="3"/>
        <v>8451.82</v>
      </c>
      <c r="L245" s="38"/>
    </row>
    <row r="246" spans="1:12" ht="14.5" x14ac:dyDescent="0.35">
      <c r="A246" s="45" t="s">
        <v>3588</v>
      </c>
      <c r="C246" s="36">
        <v>45899</v>
      </c>
      <c r="D246" s="36" t="s">
        <v>1223</v>
      </c>
      <c r="E246" s="37" t="s">
        <v>2859</v>
      </c>
      <c r="F246" s="37" t="s">
        <v>4026</v>
      </c>
      <c r="G246" s="38">
        <v>805.98</v>
      </c>
      <c r="H246" s="38">
        <v>0</v>
      </c>
      <c r="I246" s="37"/>
      <c r="J246" s="37"/>
      <c r="K246" s="38">
        <f t="shared" si="3"/>
        <v>805.98</v>
      </c>
      <c r="L246" s="38"/>
    </row>
    <row r="247" spans="1:12" ht="14.5" x14ac:dyDescent="0.35">
      <c r="A247" s="45" t="s">
        <v>3588</v>
      </c>
      <c r="C247" s="36">
        <v>45899</v>
      </c>
      <c r="D247" s="36" t="s">
        <v>1663</v>
      </c>
      <c r="E247" s="37" t="s">
        <v>2860</v>
      </c>
      <c r="F247" s="37" t="s">
        <v>4026</v>
      </c>
      <c r="G247" s="38">
        <v>20.96</v>
      </c>
      <c r="H247" s="38">
        <v>0</v>
      </c>
      <c r="I247" s="37"/>
      <c r="J247" s="37"/>
      <c r="K247" s="38">
        <f t="shared" si="3"/>
        <v>20.96</v>
      </c>
      <c r="L247" s="38"/>
    </row>
    <row r="248" spans="1:12" ht="14.5" x14ac:dyDescent="0.35">
      <c r="A248" s="45" t="s">
        <v>3588</v>
      </c>
      <c r="C248" s="36">
        <v>45899</v>
      </c>
      <c r="D248" s="36" t="s">
        <v>1663</v>
      </c>
      <c r="E248" s="37" t="s">
        <v>2861</v>
      </c>
      <c r="F248" s="37" t="s">
        <v>4026</v>
      </c>
      <c r="G248" s="38">
        <v>4040.3199999999997</v>
      </c>
      <c r="H248" s="38">
        <v>0</v>
      </c>
      <c r="I248" s="37"/>
      <c r="J248" s="37"/>
      <c r="K248" s="38">
        <f t="shared" si="3"/>
        <v>4040.3199999999997</v>
      </c>
      <c r="L248" s="38"/>
    </row>
    <row r="249" spans="1:12" ht="14.5" x14ac:dyDescent="0.35">
      <c r="A249" s="45" t="s">
        <v>3588</v>
      </c>
      <c r="C249" s="36">
        <v>45899</v>
      </c>
      <c r="D249" s="36" t="s">
        <v>1757</v>
      </c>
      <c r="E249" s="37" t="s">
        <v>2862</v>
      </c>
      <c r="F249" s="37" t="s">
        <v>4026</v>
      </c>
      <c r="G249" s="38">
        <v>368.56</v>
      </c>
      <c r="H249" s="38">
        <v>0</v>
      </c>
      <c r="I249" s="37"/>
      <c r="J249" s="37"/>
      <c r="K249" s="38">
        <f t="shared" si="3"/>
        <v>368.56</v>
      </c>
      <c r="L249" s="38"/>
    </row>
    <row r="250" spans="1:12" ht="14.5" x14ac:dyDescent="0.35">
      <c r="A250" s="45" t="s">
        <v>3588</v>
      </c>
      <c r="C250" s="36">
        <v>45899</v>
      </c>
      <c r="D250" s="36" t="s">
        <v>1757</v>
      </c>
      <c r="E250" s="37" t="s">
        <v>2863</v>
      </c>
      <c r="F250" s="37" t="s">
        <v>4026</v>
      </c>
      <c r="G250" s="38">
        <v>2280.8000000000002</v>
      </c>
      <c r="H250" s="38">
        <v>0</v>
      </c>
      <c r="I250" s="37"/>
      <c r="J250" s="37"/>
      <c r="K250" s="38">
        <f t="shared" si="3"/>
        <v>2280.8000000000002</v>
      </c>
      <c r="L250" s="38"/>
    </row>
    <row r="251" spans="1:12" ht="14.5" x14ac:dyDescent="0.35">
      <c r="A251" s="45" t="s">
        <v>3588</v>
      </c>
      <c r="C251" s="36">
        <v>45899</v>
      </c>
      <c r="D251" s="36" t="s">
        <v>1757</v>
      </c>
      <c r="E251" s="37" t="s">
        <v>2864</v>
      </c>
      <c r="F251" s="37" t="s">
        <v>4026</v>
      </c>
      <c r="G251" s="38">
        <v>1367.21</v>
      </c>
      <c r="H251" s="38">
        <v>0</v>
      </c>
      <c r="I251" s="37"/>
      <c r="J251" s="37"/>
      <c r="K251" s="38">
        <f t="shared" si="3"/>
        <v>1367.21</v>
      </c>
      <c r="L251" s="38"/>
    </row>
    <row r="252" spans="1:12" ht="14.5" x14ac:dyDescent="0.35">
      <c r="A252" s="45" t="s">
        <v>3588</v>
      </c>
      <c r="C252" s="36">
        <v>45899</v>
      </c>
      <c r="D252" s="36" t="s">
        <v>1757</v>
      </c>
      <c r="E252" s="37" t="s">
        <v>2865</v>
      </c>
      <c r="F252" s="37" t="s">
        <v>4026</v>
      </c>
      <c r="G252" s="38">
        <v>2133.9500000000003</v>
      </c>
      <c r="H252" s="38">
        <v>0</v>
      </c>
      <c r="I252" s="37"/>
      <c r="J252" s="37"/>
      <c r="K252" s="38">
        <f t="shared" si="3"/>
        <v>2133.9500000000003</v>
      </c>
      <c r="L252" s="38"/>
    </row>
    <row r="253" spans="1:12" ht="14.5" x14ac:dyDescent="0.35">
      <c r="A253" s="45" t="s">
        <v>3588</v>
      </c>
      <c r="C253" s="36">
        <v>45899</v>
      </c>
      <c r="D253" s="36" t="s">
        <v>1757</v>
      </c>
      <c r="E253" s="37" t="s">
        <v>2866</v>
      </c>
      <c r="F253" s="37" t="s">
        <v>4026</v>
      </c>
      <c r="G253" s="38">
        <v>3159.84</v>
      </c>
      <c r="H253" s="38">
        <v>0</v>
      </c>
      <c r="I253" s="37"/>
      <c r="J253" s="37"/>
      <c r="K253" s="38">
        <f t="shared" si="3"/>
        <v>3159.84</v>
      </c>
      <c r="L253" s="38"/>
    </row>
    <row r="254" spans="1:12" ht="14.5" x14ac:dyDescent="0.35">
      <c r="A254" s="45" t="s">
        <v>3588</v>
      </c>
      <c r="C254" s="36">
        <v>45899</v>
      </c>
      <c r="D254" s="36" t="s">
        <v>1757</v>
      </c>
      <c r="E254" s="37" t="s">
        <v>2867</v>
      </c>
      <c r="F254" s="37" t="s">
        <v>4026</v>
      </c>
      <c r="G254" s="38">
        <v>126.34</v>
      </c>
      <c r="H254" s="38">
        <v>0</v>
      </c>
      <c r="I254" s="37"/>
      <c r="J254" s="37"/>
      <c r="K254" s="38">
        <f t="shared" si="3"/>
        <v>126.34</v>
      </c>
      <c r="L254" s="38"/>
    </row>
    <row r="255" spans="1:12" ht="14.5" x14ac:dyDescent="0.35">
      <c r="A255" s="45" t="s">
        <v>3588</v>
      </c>
      <c r="C255" s="36">
        <v>45899</v>
      </c>
      <c r="D255" s="36" t="s">
        <v>3212</v>
      </c>
      <c r="E255" s="37" t="s">
        <v>2868</v>
      </c>
      <c r="F255" s="37" t="s">
        <v>4026</v>
      </c>
      <c r="G255" s="38">
        <v>122.01</v>
      </c>
      <c r="H255" s="38">
        <v>0</v>
      </c>
      <c r="I255" s="37"/>
      <c r="J255" s="37"/>
      <c r="K255" s="38">
        <f t="shared" si="3"/>
        <v>122.01</v>
      </c>
      <c r="L255" s="38"/>
    </row>
    <row r="256" spans="1:12" ht="14.5" x14ac:dyDescent="0.35">
      <c r="A256" s="45" t="s">
        <v>3588</v>
      </c>
      <c r="C256" s="36">
        <v>45899</v>
      </c>
      <c r="D256" s="36" t="s">
        <v>3218</v>
      </c>
      <c r="E256" s="37" t="s">
        <v>2869</v>
      </c>
      <c r="F256" s="37" t="s">
        <v>4026</v>
      </c>
      <c r="G256" s="38">
        <v>24</v>
      </c>
      <c r="H256" s="38">
        <v>0</v>
      </c>
      <c r="I256" s="37"/>
      <c r="J256" s="37"/>
      <c r="K256" s="38">
        <f t="shared" si="3"/>
        <v>24</v>
      </c>
      <c r="L256" s="38"/>
    </row>
    <row r="257" spans="1:12" ht="14.5" x14ac:dyDescent="0.35">
      <c r="A257" s="45" t="s">
        <v>3588</v>
      </c>
      <c r="C257" s="36">
        <v>45899</v>
      </c>
      <c r="D257" s="36" t="s">
        <v>3218</v>
      </c>
      <c r="E257" s="37" t="s">
        <v>2870</v>
      </c>
      <c r="F257" s="37" t="s">
        <v>4026</v>
      </c>
      <c r="G257" s="38">
        <v>71.790000000000006</v>
      </c>
      <c r="H257" s="38">
        <v>0</v>
      </c>
      <c r="I257" s="37"/>
      <c r="J257" s="37"/>
      <c r="K257" s="38">
        <f t="shared" si="3"/>
        <v>71.790000000000006</v>
      </c>
      <c r="L257" s="38"/>
    </row>
    <row r="258" spans="1:12" ht="14.5" x14ac:dyDescent="0.35">
      <c r="A258" s="45" t="s">
        <v>3588</v>
      </c>
      <c r="C258" s="36">
        <v>45899</v>
      </c>
      <c r="D258" s="36" t="s">
        <v>2926</v>
      </c>
      <c r="E258" s="37" t="s">
        <v>2871</v>
      </c>
      <c r="F258" s="37" t="s">
        <v>4026</v>
      </c>
      <c r="G258" s="38">
        <v>1631.5</v>
      </c>
      <c r="H258" s="38">
        <v>0</v>
      </c>
      <c r="I258" s="37"/>
      <c r="J258" s="37"/>
      <c r="K258" s="38">
        <f t="shared" si="3"/>
        <v>1631.5</v>
      </c>
      <c r="L258" s="38"/>
    </row>
    <row r="259" spans="1:12" ht="14.5" x14ac:dyDescent="0.35">
      <c r="A259" s="45" t="s">
        <v>3588</v>
      </c>
      <c r="C259" s="36">
        <v>45899</v>
      </c>
      <c r="D259" s="36" t="s">
        <v>2514</v>
      </c>
      <c r="E259" s="37" t="s">
        <v>2872</v>
      </c>
      <c r="F259" s="37" t="s">
        <v>4026</v>
      </c>
      <c r="G259" s="38">
        <v>330.3</v>
      </c>
      <c r="H259" s="38">
        <v>0</v>
      </c>
      <c r="I259" s="37"/>
      <c r="J259" s="37"/>
      <c r="K259" s="38">
        <f t="shared" si="3"/>
        <v>330.3</v>
      </c>
      <c r="L259" s="38"/>
    </row>
    <row r="260" spans="1:12" ht="14.5" x14ac:dyDescent="0.35">
      <c r="A260" s="45" t="s">
        <v>3588</v>
      </c>
      <c r="C260" s="36">
        <v>45899</v>
      </c>
      <c r="D260" s="36" t="s">
        <v>1035</v>
      </c>
      <c r="E260" s="37" t="s">
        <v>2873</v>
      </c>
      <c r="F260" s="37" t="s">
        <v>4026</v>
      </c>
      <c r="G260" s="38">
        <v>2.9</v>
      </c>
      <c r="H260" s="38">
        <v>0</v>
      </c>
      <c r="I260" s="37"/>
      <c r="J260" s="37"/>
      <c r="K260" s="38">
        <f t="shared" si="3"/>
        <v>2.9</v>
      </c>
      <c r="L260" s="38"/>
    </row>
    <row r="261" spans="1:12" ht="14.5" x14ac:dyDescent="0.35">
      <c r="A261" s="45" t="s">
        <v>3588</v>
      </c>
      <c r="C261" s="36">
        <v>45899</v>
      </c>
      <c r="D261" s="36" t="s">
        <v>1035</v>
      </c>
      <c r="E261" s="37" t="s">
        <v>2874</v>
      </c>
      <c r="F261" s="37" t="s">
        <v>4026</v>
      </c>
      <c r="G261" s="38">
        <v>729.03</v>
      </c>
      <c r="H261" s="38">
        <v>0</v>
      </c>
      <c r="I261" s="37"/>
      <c r="J261" s="37"/>
      <c r="K261" s="38">
        <f t="shared" ref="K261:K324" si="4">G261-H261</f>
        <v>729.03</v>
      </c>
      <c r="L261" s="38"/>
    </row>
    <row r="262" spans="1:12" ht="14.5" x14ac:dyDescent="0.35">
      <c r="A262" s="45" t="s">
        <v>3588</v>
      </c>
      <c r="C262" s="36">
        <v>45899</v>
      </c>
      <c r="D262" s="36" t="s">
        <v>1035</v>
      </c>
      <c r="E262" s="37" t="s">
        <v>2875</v>
      </c>
      <c r="F262" s="37" t="s">
        <v>4026</v>
      </c>
      <c r="G262" s="38">
        <v>48.72</v>
      </c>
      <c r="H262" s="38">
        <v>0</v>
      </c>
      <c r="I262" s="37"/>
      <c r="J262" s="37"/>
      <c r="K262" s="38">
        <f t="shared" si="4"/>
        <v>48.72</v>
      </c>
      <c r="L262" s="38"/>
    </row>
    <row r="263" spans="1:12" ht="14.5" x14ac:dyDescent="0.35">
      <c r="A263" s="45" t="s">
        <v>3588</v>
      </c>
      <c r="C263" s="36">
        <v>45899</v>
      </c>
      <c r="D263" s="36" t="s">
        <v>1035</v>
      </c>
      <c r="E263" s="37" t="s">
        <v>2876</v>
      </c>
      <c r="F263" s="37" t="s">
        <v>4026</v>
      </c>
      <c r="G263" s="38">
        <v>0</v>
      </c>
      <c r="H263" s="38">
        <v>0</v>
      </c>
      <c r="I263" s="37"/>
      <c r="J263" s="37"/>
      <c r="K263" s="38">
        <f t="shared" si="4"/>
        <v>0</v>
      </c>
      <c r="L263" s="38"/>
    </row>
    <row r="264" spans="1:12" ht="14.5" x14ac:dyDescent="0.35">
      <c r="A264" s="45" t="s">
        <v>3588</v>
      </c>
      <c r="C264" s="36">
        <v>45899</v>
      </c>
      <c r="D264" s="36" t="s">
        <v>1035</v>
      </c>
      <c r="E264" s="37" t="s">
        <v>2877</v>
      </c>
      <c r="F264" s="37" t="s">
        <v>4026</v>
      </c>
      <c r="G264" s="38">
        <v>806.86</v>
      </c>
      <c r="H264" s="38">
        <v>0</v>
      </c>
      <c r="I264" s="37"/>
      <c r="J264" s="37"/>
      <c r="K264" s="38">
        <f t="shared" si="4"/>
        <v>806.86</v>
      </c>
      <c r="L264" s="38"/>
    </row>
    <row r="265" spans="1:12" ht="14.5" x14ac:dyDescent="0.35">
      <c r="A265" s="45" t="s">
        <v>3588</v>
      </c>
      <c r="C265" s="36">
        <v>45899</v>
      </c>
      <c r="D265" s="36" t="s">
        <v>1035</v>
      </c>
      <c r="E265" s="37" t="s">
        <v>2878</v>
      </c>
      <c r="F265" s="37" t="s">
        <v>4026</v>
      </c>
      <c r="G265" s="38">
        <v>1220.3399999999999</v>
      </c>
      <c r="H265" s="38">
        <v>0</v>
      </c>
      <c r="I265" s="37"/>
      <c r="J265" s="37"/>
      <c r="K265" s="38">
        <f t="shared" si="4"/>
        <v>1220.3399999999999</v>
      </c>
      <c r="L265" s="38"/>
    </row>
    <row r="266" spans="1:12" ht="14.5" x14ac:dyDescent="0.35">
      <c r="A266" s="45" t="s">
        <v>3588</v>
      </c>
      <c r="C266" s="36">
        <v>45899</v>
      </c>
      <c r="D266" s="36" t="s">
        <v>1035</v>
      </c>
      <c r="E266" s="37" t="s">
        <v>2879</v>
      </c>
      <c r="F266" s="37" t="s">
        <v>4026</v>
      </c>
      <c r="G266" s="38">
        <v>16.5</v>
      </c>
      <c r="H266" s="38">
        <v>0</v>
      </c>
      <c r="I266" s="37"/>
      <c r="J266" s="37"/>
      <c r="K266" s="38">
        <f t="shared" si="4"/>
        <v>16.5</v>
      </c>
      <c r="L266" s="38"/>
    </row>
    <row r="267" spans="1:12" ht="14.5" x14ac:dyDescent="0.35">
      <c r="A267" s="45" t="s">
        <v>3588</v>
      </c>
      <c r="C267" s="36">
        <v>45899</v>
      </c>
      <c r="D267" s="36" t="s">
        <v>1035</v>
      </c>
      <c r="E267" s="37" t="s">
        <v>2880</v>
      </c>
      <c r="F267" s="37" t="s">
        <v>4026</v>
      </c>
      <c r="G267" s="38">
        <v>417.88</v>
      </c>
      <c r="H267" s="38">
        <v>0</v>
      </c>
      <c r="I267" s="37"/>
      <c r="J267" s="37"/>
      <c r="K267" s="38">
        <f t="shared" si="4"/>
        <v>417.88</v>
      </c>
      <c r="L267" s="38"/>
    </row>
    <row r="268" spans="1:12" ht="14.5" x14ac:dyDescent="0.35">
      <c r="A268" s="45" t="s">
        <v>3588</v>
      </c>
      <c r="C268" s="36">
        <v>45899</v>
      </c>
      <c r="D268" s="36" t="s">
        <v>1035</v>
      </c>
      <c r="E268" s="37" t="s">
        <v>2881</v>
      </c>
      <c r="F268" s="37" t="s">
        <v>4026</v>
      </c>
      <c r="G268" s="38">
        <v>228.91</v>
      </c>
      <c r="H268" s="38">
        <v>0</v>
      </c>
      <c r="I268" s="37"/>
      <c r="J268" s="37"/>
      <c r="K268" s="38">
        <f t="shared" si="4"/>
        <v>228.91</v>
      </c>
      <c r="L268" s="38"/>
    </row>
    <row r="269" spans="1:12" ht="14.5" x14ac:dyDescent="0.35">
      <c r="A269" s="45" t="s">
        <v>3588</v>
      </c>
      <c r="C269" s="36">
        <v>45899</v>
      </c>
      <c r="D269" s="36" t="s">
        <v>3230</v>
      </c>
      <c r="E269" s="37" t="s">
        <v>2882</v>
      </c>
      <c r="F269" s="37" t="s">
        <v>4026</v>
      </c>
      <c r="G269" s="38">
        <v>6338.43</v>
      </c>
      <c r="H269" s="38">
        <v>0</v>
      </c>
      <c r="I269" s="37"/>
      <c r="J269" s="37"/>
      <c r="K269" s="38">
        <f t="shared" si="4"/>
        <v>6338.43</v>
      </c>
      <c r="L269" s="38"/>
    </row>
    <row r="270" spans="1:12" ht="14.5" x14ac:dyDescent="0.35">
      <c r="A270" s="45" t="s">
        <v>3588</v>
      </c>
      <c r="C270" s="36">
        <v>45899</v>
      </c>
      <c r="D270" s="36" t="s">
        <v>2144</v>
      </c>
      <c r="E270" s="37" t="s">
        <v>2883</v>
      </c>
      <c r="F270" s="37" t="s">
        <v>4026</v>
      </c>
      <c r="G270" s="38">
        <v>45615.44</v>
      </c>
      <c r="H270" s="38">
        <v>0</v>
      </c>
      <c r="I270" s="37"/>
      <c r="J270" s="37"/>
      <c r="K270" s="38">
        <f t="shared" si="4"/>
        <v>45615.44</v>
      </c>
      <c r="L270" s="38"/>
    </row>
    <row r="271" spans="1:12" ht="14.5" x14ac:dyDescent="0.35">
      <c r="A271" s="45" t="s">
        <v>3588</v>
      </c>
      <c r="C271" s="36">
        <v>45899</v>
      </c>
      <c r="D271" s="36" t="s">
        <v>2144</v>
      </c>
      <c r="E271" s="37" t="s">
        <v>2884</v>
      </c>
      <c r="F271" s="37" t="s">
        <v>4026</v>
      </c>
      <c r="G271" s="38">
        <v>383774.34000000026</v>
      </c>
      <c r="H271" s="38">
        <v>0</v>
      </c>
      <c r="I271" s="37"/>
      <c r="J271" s="37"/>
      <c r="K271" s="38">
        <f t="shared" si="4"/>
        <v>383774.34000000026</v>
      </c>
      <c r="L271" s="38"/>
    </row>
    <row r="272" spans="1:12" ht="14.5" x14ac:dyDescent="0.35">
      <c r="A272" s="45" t="s">
        <v>3588</v>
      </c>
      <c r="C272" s="36">
        <v>45899</v>
      </c>
      <c r="D272" s="36" t="s">
        <v>2144</v>
      </c>
      <c r="E272" s="37" t="s">
        <v>2885</v>
      </c>
      <c r="F272" s="37" t="s">
        <v>4026</v>
      </c>
      <c r="G272" s="38">
        <v>33736.89</v>
      </c>
      <c r="H272" s="38">
        <v>0</v>
      </c>
      <c r="I272" s="37"/>
      <c r="J272" s="37"/>
      <c r="K272" s="38">
        <f t="shared" si="4"/>
        <v>33736.89</v>
      </c>
      <c r="L272" s="38"/>
    </row>
    <row r="273" spans="1:12" ht="14.5" x14ac:dyDescent="0.35">
      <c r="A273" s="45" t="s">
        <v>3588</v>
      </c>
      <c r="C273" s="36">
        <v>45899</v>
      </c>
      <c r="D273" s="36" t="s">
        <v>2144</v>
      </c>
      <c r="E273" s="37" t="s">
        <v>2886</v>
      </c>
      <c r="F273" s="37" t="s">
        <v>4026</v>
      </c>
      <c r="G273" s="38">
        <v>25299.780000000002</v>
      </c>
      <c r="H273" s="38">
        <v>0</v>
      </c>
      <c r="I273" s="37"/>
      <c r="J273" s="37"/>
      <c r="K273" s="38">
        <f t="shared" si="4"/>
        <v>25299.780000000002</v>
      </c>
      <c r="L273" s="38"/>
    </row>
    <row r="274" spans="1:12" ht="14.5" x14ac:dyDescent="0.35">
      <c r="A274" s="45" t="s">
        <v>3588</v>
      </c>
      <c r="C274" s="36">
        <v>45899</v>
      </c>
      <c r="D274" s="36" t="s">
        <v>2144</v>
      </c>
      <c r="E274" s="37" t="s">
        <v>2887</v>
      </c>
      <c r="F274" s="37" t="s">
        <v>4026</v>
      </c>
      <c r="G274" s="38">
        <v>30410.11</v>
      </c>
      <c r="H274" s="38">
        <v>0</v>
      </c>
      <c r="I274" s="37"/>
      <c r="J274" s="37"/>
      <c r="K274" s="38">
        <f t="shared" si="4"/>
        <v>30410.11</v>
      </c>
      <c r="L274" s="38"/>
    </row>
    <row r="275" spans="1:12" ht="14.5" x14ac:dyDescent="0.35">
      <c r="A275" s="45" t="s">
        <v>3588</v>
      </c>
      <c r="C275" s="36">
        <v>45899</v>
      </c>
      <c r="D275" s="36" t="s">
        <v>2539</v>
      </c>
      <c r="E275" s="37" t="s">
        <v>2888</v>
      </c>
      <c r="F275" s="37" t="s">
        <v>4026</v>
      </c>
      <c r="G275" s="38">
        <v>2091.7599999999998</v>
      </c>
      <c r="H275" s="38">
        <v>0</v>
      </c>
      <c r="I275" s="37"/>
      <c r="J275" s="37"/>
      <c r="K275" s="38">
        <f t="shared" si="4"/>
        <v>2091.7599999999998</v>
      </c>
      <c r="L275" s="38"/>
    </row>
    <row r="276" spans="1:12" ht="14.5" x14ac:dyDescent="0.35">
      <c r="A276" s="45" t="s">
        <v>3588</v>
      </c>
      <c r="C276" s="36">
        <v>45899</v>
      </c>
      <c r="D276" s="36" t="s">
        <v>2539</v>
      </c>
      <c r="E276" s="37" t="s">
        <v>2889</v>
      </c>
      <c r="F276" s="37" t="s">
        <v>4026</v>
      </c>
      <c r="G276" s="38">
        <v>342.8</v>
      </c>
      <c r="H276" s="38">
        <v>0</v>
      </c>
      <c r="I276" s="37"/>
      <c r="J276" s="37"/>
      <c r="K276" s="38">
        <f t="shared" si="4"/>
        <v>342.8</v>
      </c>
      <c r="L276" s="38"/>
    </row>
    <row r="277" spans="1:12" ht="14.5" x14ac:dyDescent="0.35">
      <c r="A277" s="45" t="s">
        <v>3588</v>
      </c>
      <c r="C277" s="36">
        <v>45899</v>
      </c>
      <c r="D277" s="36" t="s">
        <v>2539</v>
      </c>
      <c r="E277" s="37" t="s">
        <v>2890</v>
      </c>
      <c r="F277" s="37" t="s">
        <v>4026</v>
      </c>
      <c r="G277" s="38">
        <v>34.32</v>
      </c>
      <c r="H277" s="38">
        <v>0</v>
      </c>
      <c r="I277" s="37"/>
      <c r="J277" s="37"/>
      <c r="K277" s="38">
        <f t="shared" si="4"/>
        <v>34.32</v>
      </c>
      <c r="L277" s="38"/>
    </row>
    <row r="278" spans="1:12" ht="14.5" x14ac:dyDescent="0.35">
      <c r="A278" s="45" t="s">
        <v>3588</v>
      </c>
      <c r="C278" s="36">
        <v>45899</v>
      </c>
      <c r="D278" s="36" t="s">
        <v>1071</v>
      </c>
      <c r="E278" s="37" t="s">
        <v>2891</v>
      </c>
      <c r="F278" s="37" t="s">
        <v>4026</v>
      </c>
      <c r="G278" s="38">
        <v>28.8</v>
      </c>
      <c r="H278" s="38">
        <v>0</v>
      </c>
      <c r="I278" s="37"/>
      <c r="J278" s="37"/>
      <c r="K278" s="38">
        <f t="shared" si="4"/>
        <v>28.8</v>
      </c>
      <c r="L278" s="38"/>
    </row>
    <row r="279" spans="1:12" ht="14.5" x14ac:dyDescent="0.35">
      <c r="A279" s="45" t="s">
        <v>3588</v>
      </c>
      <c r="C279" s="36">
        <v>45899</v>
      </c>
      <c r="D279" s="36" t="s">
        <v>1060</v>
      </c>
      <c r="E279" s="37" t="s">
        <v>2893</v>
      </c>
      <c r="F279" s="37" t="s">
        <v>4026</v>
      </c>
      <c r="G279" s="38">
        <v>440</v>
      </c>
      <c r="H279" s="38">
        <v>0</v>
      </c>
      <c r="I279" s="37"/>
      <c r="J279" s="37"/>
      <c r="K279" s="38">
        <f t="shared" si="4"/>
        <v>440</v>
      </c>
      <c r="L279" s="38"/>
    </row>
    <row r="280" spans="1:12" ht="14.5" x14ac:dyDescent="0.35">
      <c r="A280" s="45" t="s">
        <v>3588</v>
      </c>
      <c r="C280" s="36">
        <v>45899</v>
      </c>
      <c r="D280" s="36" t="s">
        <v>2144</v>
      </c>
      <c r="E280" s="37" t="s">
        <v>2895</v>
      </c>
      <c r="F280" s="37" t="s">
        <v>4026</v>
      </c>
      <c r="G280" s="38">
        <v>103.8</v>
      </c>
      <c r="H280" s="38">
        <v>0</v>
      </c>
      <c r="I280" s="37"/>
      <c r="J280" s="37"/>
      <c r="K280" s="38">
        <f t="shared" si="4"/>
        <v>103.8</v>
      </c>
      <c r="L280" s="38"/>
    </row>
    <row r="281" spans="1:12" ht="14.5" x14ac:dyDescent="0.35">
      <c r="A281" s="45" t="s">
        <v>3588</v>
      </c>
      <c r="C281" s="36">
        <v>45899</v>
      </c>
      <c r="D281" s="36" t="s">
        <v>1060</v>
      </c>
      <c r="E281" s="37" t="s">
        <v>2896</v>
      </c>
      <c r="F281" s="37" t="s">
        <v>4026</v>
      </c>
      <c r="G281" s="38">
        <v>430.56</v>
      </c>
      <c r="H281" s="38">
        <v>0</v>
      </c>
      <c r="I281" s="37"/>
      <c r="J281" s="37"/>
      <c r="K281" s="38">
        <f t="shared" si="4"/>
        <v>430.56</v>
      </c>
      <c r="L281" s="38"/>
    </row>
    <row r="282" spans="1:12" ht="14.5" x14ac:dyDescent="0.35">
      <c r="A282" s="45" t="s">
        <v>3588</v>
      </c>
      <c r="C282" s="36">
        <v>45899</v>
      </c>
      <c r="D282" s="36" t="s">
        <v>1999</v>
      </c>
      <c r="E282" s="37" t="s">
        <v>2897</v>
      </c>
      <c r="F282" s="37" t="s">
        <v>4026</v>
      </c>
      <c r="G282" s="38">
        <v>22788.969999999998</v>
      </c>
      <c r="H282" s="38">
        <v>0</v>
      </c>
      <c r="I282" s="37"/>
      <c r="J282" s="37"/>
      <c r="K282" s="38">
        <f t="shared" si="4"/>
        <v>22788.969999999998</v>
      </c>
      <c r="L282" s="38"/>
    </row>
    <row r="283" spans="1:12" ht="14.5" x14ac:dyDescent="0.35">
      <c r="A283" s="45" t="s">
        <v>3588</v>
      </c>
      <c r="C283" s="36">
        <v>45899</v>
      </c>
      <c r="D283" s="36" t="s">
        <v>1999</v>
      </c>
      <c r="E283" s="37" t="s">
        <v>2898</v>
      </c>
      <c r="F283" s="37" t="s">
        <v>4026</v>
      </c>
      <c r="G283" s="38">
        <v>650.68000000000006</v>
      </c>
      <c r="H283" s="38">
        <v>0</v>
      </c>
      <c r="I283" s="37"/>
      <c r="J283" s="37"/>
      <c r="K283" s="38">
        <f t="shared" si="4"/>
        <v>650.68000000000006</v>
      </c>
      <c r="L283" s="38"/>
    </row>
    <row r="284" spans="1:12" ht="14.5" x14ac:dyDescent="0.35">
      <c r="A284" s="45" t="s">
        <v>3588</v>
      </c>
      <c r="C284" s="36">
        <v>45899</v>
      </c>
      <c r="D284" s="36" t="s">
        <v>1999</v>
      </c>
      <c r="E284" s="37" t="s">
        <v>2899</v>
      </c>
      <c r="F284" s="37" t="s">
        <v>4026</v>
      </c>
      <c r="G284" s="38">
        <v>4202.9399999999996</v>
      </c>
      <c r="H284" s="38">
        <v>0</v>
      </c>
      <c r="I284" s="37"/>
      <c r="J284" s="37"/>
      <c r="K284" s="38">
        <f t="shared" si="4"/>
        <v>4202.9399999999996</v>
      </c>
      <c r="L284" s="38"/>
    </row>
    <row r="285" spans="1:12" ht="14.5" x14ac:dyDescent="0.35">
      <c r="A285" s="45" t="s">
        <v>3588</v>
      </c>
      <c r="C285" s="36">
        <v>45899</v>
      </c>
      <c r="D285" s="36" t="s">
        <v>2396</v>
      </c>
      <c r="E285" s="37" t="s">
        <v>2900</v>
      </c>
      <c r="F285" s="37" t="s">
        <v>4026</v>
      </c>
      <c r="G285" s="38">
        <v>53761.64</v>
      </c>
      <c r="H285" s="38">
        <v>0</v>
      </c>
      <c r="I285" s="37"/>
      <c r="J285" s="37"/>
      <c r="K285" s="38">
        <f t="shared" si="4"/>
        <v>53761.64</v>
      </c>
      <c r="L285" s="38"/>
    </row>
    <row r="286" spans="1:12" ht="14.5" x14ac:dyDescent="0.35">
      <c r="A286" s="45" t="s">
        <v>3588</v>
      </c>
      <c r="C286" s="36">
        <v>45899</v>
      </c>
      <c r="D286" s="36" t="s">
        <v>2348</v>
      </c>
      <c r="E286" s="37" t="s">
        <v>2901</v>
      </c>
      <c r="F286" s="37" t="s">
        <v>4026</v>
      </c>
      <c r="G286" s="38">
        <v>263.62</v>
      </c>
      <c r="H286" s="38">
        <v>0</v>
      </c>
      <c r="I286" s="37"/>
      <c r="J286" s="37"/>
      <c r="K286" s="38">
        <f t="shared" si="4"/>
        <v>263.62</v>
      </c>
      <c r="L286" s="38"/>
    </row>
    <row r="287" spans="1:12" ht="14.5" x14ac:dyDescent="0.35">
      <c r="A287" s="45" t="s">
        <v>3588</v>
      </c>
      <c r="C287" s="36">
        <v>45899</v>
      </c>
      <c r="D287" s="36" t="s">
        <v>1475</v>
      </c>
      <c r="E287" s="37" t="s">
        <v>2902</v>
      </c>
      <c r="F287" s="37" t="s">
        <v>4026</v>
      </c>
      <c r="G287" s="38">
        <v>3353.54</v>
      </c>
      <c r="H287" s="38">
        <v>0</v>
      </c>
      <c r="I287" s="37"/>
      <c r="J287" s="37"/>
      <c r="K287" s="38">
        <f t="shared" si="4"/>
        <v>3353.54</v>
      </c>
      <c r="L287" s="38"/>
    </row>
    <row r="288" spans="1:12" ht="14.5" x14ac:dyDescent="0.35">
      <c r="A288" s="45" t="s">
        <v>3588</v>
      </c>
      <c r="C288" s="36">
        <v>45899</v>
      </c>
      <c r="D288" s="36" t="s">
        <v>1475</v>
      </c>
      <c r="E288" s="37" t="s">
        <v>2903</v>
      </c>
      <c r="F288" s="37" t="s">
        <v>4026</v>
      </c>
      <c r="G288" s="38">
        <v>397.96</v>
      </c>
      <c r="H288" s="38">
        <v>0</v>
      </c>
      <c r="I288" s="37"/>
      <c r="J288" s="37"/>
      <c r="K288" s="38">
        <f t="shared" si="4"/>
        <v>397.96</v>
      </c>
      <c r="L288" s="38"/>
    </row>
    <row r="289" spans="1:12" ht="14.5" x14ac:dyDescent="0.35">
      <c r="A289" s="45" t="s">
        <v>3588</v>
      </c>
      <c r="C289" s="36">
        <v>45899</v>
      </c>
      <c r="D289" s="36" t="s">
        <v>1475</v>
      </c>
      <c r="E289" s="37" t="s">
        <v>2905</v>
      </c>
      <c r="F289" s="37" t="s">
        <v>4026</v>
      </c>
      <c r="G289" s="38">
        <v>2697.03</v>
      </c>
      <c r="H289" s="38">
        <v>0</v>
      </c>
      <c r="I289" s="37"/>
      <c r="J289" s="37"/>
      <c r="K289" s="38">
        <f t="shared" si="4"/>
        <v>2697.03</v>
      </c>
      <c r="L289" s="38"/>
    </row>
    <row r="290" spans="1:12" ht="14.5" x14ac:dyDescent="0.35">
      <c r="A290" s="45" t="s">
        <v>3588</v>
      </c>
      <c r="C290" s="36">
        <v>45899</v>
      </c>
      <c r="D290" s="36" t="s">
        <v>1475</v>
      </c>
      <c r="E290" s="37" t="s">
        <v>2907</v>
      </c>
      <c r="F290" s="37" t="s">
        <v>4026</v>
      </c>
      <c r="G290" s="38">
        <v>5880</v>
      </c>
      <c r="H290" s="38">
        <v>0</v>
      </c>
      <c r="I290" s="37"/>
      <c r="J290" s="37"/>
      <c r="K290" s="38">
        <f t="shared" si="4"/>
        <v>5880</v>
      </c>
      <c r="L290" s="38"/>
    </row>
    <row r="291" spans="1:12" ht="14.5" x14ac:dyDescent="0.35">
      <c r="A291" s="45" t="s">
        <v>3588</v>
      </c>
      <c r="C291" s="36">
        <v>45899</v>
      </c>
      <c r="D291" s="36" t="s">
        <v>1475</v>
      </c>
      <c r="E291" s="37" t="s">
        <v>2908</v>
      </c>
      <c r="F291" s="37" t="s">
        <v>4026</v>
      </c>
      <c r="G291" s="38">
        <v>3137.74</v>
      </c>
      <c r="H291" s="38">
        <v>0</v>
      </c>
      <c r="I291" s="37"/>
      <c r="J291" s="37"/>
      <c r="K291" s="38">
        <f t="shared" si="4"/>
        <v>3137.74</v>
      </c>
      <c r="L291" s="38"/>
    </row>
    <row r="292" spans="1:12" ht="14.5" x14ac:dyDescent="0.35">
      <c r="A292" s="45" t="s">
        <v>3588</v>
      </c>
      <c r="C292" s="36">
        <v>45899</v>
      </c>
      <c r="D292" s="36" t="s">
        <v>1475</v>
      </c>
      <c r="E292" s="37" t="s">
        <v>2909</v>
      </c>
      <c r="F292" s="37" t="s">
        <v>4026</v>
      </c>
      <c r="G292" s="38">
        <v>4757.88</v>
      </c>
      <c r="H292" s="38">
        <v>0</v>
      </c>
      <c r="I292" s="37"/>
      <c r="J292" s="37"/>
      <c r="K292" s="38">
        <f t="shared" si="4"/>
        <v>4757.88</v>
      </c>
      <c r="L292" s="38"/>
    </row>
    <row r="293" spans="1:12" ht="14.5" x14ac:dyDescent="0.35">
      <c r="A293" s="45" t="s">
        <v>3588</v>
      </c>
      <c r="C293" s="36">
        <v>45899</v>
      </c>
      <c r="D293" s="36" t="s">
        <v>1475</v>
      </c>
      <c r="E293" s="37" t="s">
        <v>2910</v>
      </c>
      <c r="F293" s="37" t="s">
        <v>4026</v>
      </c>
      <c r="G293" s="38">
        <v>6503.2</v>
      </c>
      <c r="H293" s="38">
        <v>0</v>
      </c>
      <c r="I293" s="37"/>
      <c r="J293" s="37"/>
      <c r="K293" s="38">
        <f t="shared" si="4"/>
        <v>6503.2</v>
      </c>
      <c r="L293" s="38"/>
    </row>
    <row r="294" spans="1:12" ht="14.5" x14ac:dyDescent="0.35">
      <c r="A294" s="45" t="s">
        <v>3588</v>
      </c>
      <c r="C294" s="36">
        <v>45899</v>
      </c>
      <c r="D294" s="36" t="s">
        <v>1475</v>
      </c>
      <c r="E294" s="37" t="s">
        <v>2911</v>
      </c>
      <c r="F294" s="37" t="s">
        <v>4026</v>
      </c>
      <c r="G294" s="38">
        <v>13181.989999999998</v>
      </c>
      <c r="H294" s="38">
        <v>0</v>
      </c>
      <c r="I294" s="37"/>
      <c r="J294" s="37"/>
      <c r="K294" s="38">
        <f t="shared" si="4"/>
        <v>13181.989999999998</v>
      </c>
      <c r="L294" s="38"/>
    </row>
    <row r="295" spans="1:12" ht="14.5" x14ac:dyDescent="0.35">
      <c r="A295" s="45" t="s">
        <v>3588</v>
      </c>
      <c r="C295" s="36">
        <v>45899</v>
      </c>
      <c r="D295" s="36" t="s">
        <v>1475</v>
      </c>
      <c r="E295" s="37" t="s">
        <v>2912</v>
      </c>
      <c r="F295" s="37" t="s">
        <v>4026</v>
      </c>
      <c r="G295" s="38">
        <v>111.87</v>
      </c>
      <c r="H295" s="38">
        <v>0</v>
      </c>
      <c r="I295" s="37"/>
      <c r="J295" s="37"/>
      <c r="K295" s="38">
        <f t="shared" si="4"/>
        <v>111.87</v>
      </c>
      <c r="L295" s="38"/>
    </row>
    <row r="296" spans="1:12" ht="14.5" x14ac:dyDescent="0.35">
      <c r="A296" s="45" t="s">
        <v>3588</v>
      </c>
      <c r="C296" s="36">
        <v>45899</v>
      </c>
      <c r="D296" s="36" t="s">
        <v>1475</v>
      </c>
      <c r="E296" s="37" t="s">
        <v>2913</v>
      </c>
      <c r="F296" s="37" t="s">
        <v>4026</v>
      </c>
      <c r="G296" s="38">
        <v>1572</v>
      </c>
      <c r="H296" s="38">
        <v>0</v>
      </c>
      <c r="I296" s="37"/>
      <c r="J296" s="37"/>
      <c r="K296" s="38">
        <f t="shared" si="4"/>
        <v>1572</v>
      </c>
      <c r="L296" s="38"/>
    </row>
    <row r="297" spans="1:12" ht="14.5" x14ac:dyDescent="0.35">
      <c r="A297" s="45" t="s">
        <v>3588</v>
      </c>
      <c r="C297" s="36">
        <v>45899</v>
      </c>
      <c r="D297" s="36" t="s">
        <v>1475</v>
      </c>
      <c r="E297" s="37" t="s">
        <v>2914</v>
      </c>
      <c r="F297" s="37" t="s">
        <v>4026</v>
      </c>
      <c r="G297" s="38">
        <v>195.2</v>
      </c>
      <c r="H297" s="38">
        <v>0</v>
      </c>
      <c r="I297" s="37"/>
      <c r="J297" s="37"/>
      <c r="K297" s="38">
        <f t="shared" si="4"/>
        <v>195.2</v>
      </c>
      <c r="L297" s="38"/>
    </row>
    <row r="298" spans="1:12" ht="14.5" x14ac:dyDescent="0.35">
      <c r="A298" s="45" t="s">
        <v>3588</v>
      </c>
      <c r="C298" s="36">
        <v>45899</v>
      </c>
      <c r="D298" s="36" t="s">
        <v>1475</v>
      </c>
      <c r="E298" s="37" t="s">
        <v>2915</v>
      </c>
      <c r="F298" s="37" t="s">
        <v>4026</v>
      </c>
      <c r="G298" s="38">
        <v>536.79999999999995</v>
      </c>
      <c r="H298" s="38">
        <v>0</v>
      </c>
      <c r="I298" s="37"/>
      <c r="J298" s="37"/>
      <c r="K298" s="38">
        <f t="shared" si="4"/>
        <v>536.79999999999995</v>
      </c>
      <c r="L298" s="38"/>
    </row>
    <row r="299" spans="1:12" ht="14.5" x14ac:dyDescent="0.35">
      <c r="A299" s="45" t="s">
        <v>3588</v>
      </c>
      <c r="C299" s="36">
        <v>45899</v>
      </c>
      <c r="D299" s="36" t="s">
        <v>1475</v>
      </c>
      <c r="E299" s="37" t="s">
        <v>2916</v>
      </c>
      <c r="F299" s="37" t="s">
        <v>4026</v>
      </c>
      <c r="G299" s="38">
        <v>538.29999999999995</v>
      </c>
      <c r="H299" s="38">
        <v>0</v>
      </c>
      <c r="I299" s="37"/>
      <c r="J299" s="37"/>
      <c r="K299" s="38">
        <f t="shared" si="4"/>
        <v>538.29999999999995</v>
      </c>
      <c r="L299" s="38"/>
    </row>
    <row r="300" spans="1:12" ht="14.5" x14ac:dyDescent="0.35">
      <c r="A300" s="45" t="s">
        <v>3588</v>
      </c>
      <c r="C300" s="36">
        <v>45899</v>
      </c>
      <c r="D300" s="36" t="s">
        <v>1475</v>
      </c>
      <c r="E300" s="37" t="s">
        <v>2917</v>
      </c>
      <c r="F300" s="37" t="s">
        <v>4026</v>
      </c>
      <c r="G300" s="38">
        <v>230</v>
      </c>
      <c r="H300" s="38">
        <v>0</v>
      </c>
      <c r="I300" s="37"/>
      <c r="J300" s="37"/>
      <c r="K300" s="38">
        <f t="shared" si="4"/>
        <v>230</v>
      </c>
      <c r="L300" s="38"/>
    </row>
    <row r="301" spans="1:12" ht="14.5" x14ac:dyDescent="0.35">
      <c r="A301" s="45" t="s">
        <v>3588</v>
      </c>
      <c r="C301" s="36">
        <v>45899</v>
      </c>
      <c r="D301" s="36" t="s">
        <v>1475</v>
      </c>
      <c r="E301" s="37" t="s">
        <v>2918</v>
      </c>
      <c r="F301" s="37" t="s">
        <v>4026</v>
      </c>
      <c r="G301" s="38">
        <v>7800.04</v>
      </c>
      <c r="H301" s="38">
        <v>0</v>
      </c>
      <c r="I301" s="37"/>
      <c r="J301" s="37"/>
      <c r="K301" s="38">
        <f t="shared" si="4"/>
        <v>7800.04</v>
      </c>
      <c r="L301" s="38"/>
    </row>
    <row r="302" spans="1:12" ht="14.5" x14ac:dyDescent="0.35">
      <c r="A302" s="45" t="s">
        <v>3588</v>
      </c>
      <c r="C302" s="36">
        <v>45899</v>
      </c>
      <c r="D302" s="36" t="s">
        <v>1475</v>
      </c>
      <c r="E302" s="37" t="s">
        <v>2919</v>
      </c>
      <c r="F302" s="37" t="s">
        <v>4026</v>
      </c>
      <c r="G302" s="38">
        <v>37.49</v>
      </c>
      <c r="H302" s="38">
        <v>0</v>
      </c>
      <c r="I302" s="37"/>
      <c r="J302" s="37"/>
      <c r="K302" s="38">
        <f t="shared" si="4"/>
        <v>37.49</v>
      </c>
      <c r="L302" s="38"/>
    </row>
    <row r="303" spans="1:12" ht="14.5" x14ac:dyDescent="0.35">
      <c r="A303" s="45" t="s">
        <v>3588</v>
      </c>
      <c r="C303" s="36">
        <v>45899</v>
      </c>
      <c r="D303" s="36" t="s">
        <v>1475</v>
      </c>
      <c r="E303" s="37" t="s">
        <v>2920</v>
      </c>
      <c r="F303" s="37" t="s">
        <v>4026</v>
      </c>
      <c r="G303" s="38">
        <v>1129.8900000000001</v>
      </c>
      <c r="H303" s="38">
        <v>0</v>
      </c>
      <c r="I303" s="37"/>
      <c r="J303" s="37"/>
      <c r="K303" s="38">
        <f t="shared" si="4"/>
        <v>1129.8900000000001</v>
      </c>
      <c r="L303" s="38"/>
    </row>
    <row r="304" spans="1:12" ht="14.5" x14ac:dyDescent="0.35">
      <c r="A304" s="45" t="s">
        <v>3588</v>
      </c>
      <c r="C304" s="36">
        <v>45899</v>
      </c>
      <c r="D304" s="36" t="s">
        <v>1475</v>
      </c>
      <c r="E304" s="37" t="s">
        <v>2922</v>
      </c>
      <c r="F304" s="37" t="s">
        <v>4026</v>
      </c>
      <c r="G304" s="38">
        <v>611.6</v>
      </c>
      <c r="H304" s="38">
        <v>0</v>
      </c>
      <c r="I304" s="37"/>
      <c r="J304" s="37"/>
      <c r="K304" s="38">
        <f t="shared" si="4"/>
        <v>611.6</v>
      </c>
      <c r="L304" s="38"/>
    </row>
    <row r="305" spans="1:12" ht="14.5" x14ac:dyDescent="0.35">
      <c r="A305" s="45" t="s">
        <v>3588</v>
      </c>
      <c r="C305" s="36">
        <v>45899</v>
      </c>
      <c r="D305" s="36" t="s">
        <v>1475</v>
      </c>
      <c r="E305" s="37" t="s">
        <v>2924</v>
      </c>
      <c r="F305" s="37" t="s">
        <v>4026</v>
      </c>
      <c r="G305" s="38">
        <v>15.600000000000001</v>
      </c>
      <c r="H305" s="38">
        <v>0</v>
      </c>
      <c r="I305" s="37"/>
      <c r="J305" s="37"/>
      <c r="K305" s="38">
        <f t="shared" si="4"/>
        <v>15.600000000000001</v>
      </c>
      <c r="L305" s="38"/>
    </row>
    <row r="306" spans="1:12" ht="14.5" x14ac:dyDescent="0.35">
      <c r="A306" s="45" t="s">
        <v>3588</v>
      </c>
      <c r="C306" s="36">
        <v>45899</v>
      </c>
      <c r="D306" s="36" t="s">
        <v>1475</v>
      </c>
      <c r="E306" s="37" t="s">
        <v>2925</v>
      </c>
      <c r="F306" s="37" t="s">
        <v>4026</v>
      </c>
      <c r="G306" s="38">
        <v>326.93</v>
      </c>
      <c r="H306" s="38">
        <v>0</v>
      </c>
      <c r="I306" s="37"/>
      <c r="J306" s="37"/>
      <c r="K306" s="38">
        <f t="shared" si="4"/>
        <v>326.93</v>
      </c>
      <c r="L306" s="38"/>
    </row>
    <row r="307" spans="1:12" ht="14.5" x14ac:dyDescent="0.35">
      <c r="A307" s="45" t="s">
        <v>3588</v>
      </c>
      <c r="C307" s="36">
        <v>45899</v>
      </c>
      <c r="D307" s="36" t="s">
        <v>1277</v>
      </c>
      <c r="E307" s="37">
        <v>35818</v>
      </c>
      <c r="F307" s="37" t="s">
        <v>4026</v>
      </c>
      <c r="G307" s="38">
        <v>5048.58</v>
      </c>
      <c r="H307" s="38">
        <v>0</v>
      </c>
      <c r="I307" s="37"/>
      <c r="J307" s="37"/>
      <c r="K307" s="38">
        <f t="shared" si="4"/>
        <v>5048.58</v>
      </c>
      <c r="L307" s="38"/>
    </row>
    <row r="308" spans="1:12" ht="14.5" x14ac:dyDescent="0.35">
      <c r="A308" s="45" t="s">
        <v>3588</v>
      </c>
      <c r="C308" s="36">
        <v>45899</v>
      </c>
      <c r="D308" s="36" t="s">
        <v>1277</v>
      </c>
      <c r="E308" s="37" t="s">
        <v>2927</v>
      </c>
      <c r="F308" s="37" t="s">
        <v>4026</v>
      </c>
      <c r="G308" s="38">
        <v>12446.470000000001</v>
      </c>
      <c r="H308" s="38">
        <v>0</v>
      </c>
      <c r="I308" s="37"/>
      <c r="J308" s="37"/>
      <c r="K308" s="38">
        <f t="shared" si="4"/>
        <v>12446.470000000001</v>
      </c>
      <c r="L308" s="38"/>
    </row>
    <row r="309" spans="1:12" ht="14.5" x14ac:dyDescent="0.35">
      <c r="A309" s="45" t="s">
        <v>3588</v>
      </c>
      <c r="C309" s="36">
        <v>45899</v>
      </c>
      <c r="D309" s="36" t="s">
        <v>1947</v>
      </c>
      <c r="E309" s="37" t="s">
        <v>2928</v>
      </c>
      <c r="F309" s="37" t="s">
        <v>4026</v>
      </c>
      <c r="G309" s="38">
        <v>243.83</v>
      </c>
      <c r="H309" s="38">
        <v>0</v>
      </c>
      <c r="I309" s="37"/>
      <c r="J309" s="37"/>
      <c r="K309" s="38">
        <f t="shared" si="4"/>
        <v>243.83</v>
      </c>
      <c r="L309" s="38"/>
    </row>
    <row r="310" spans="1:12" ht="14.5" x14ac:dyDescent="0.35">
      <c r="A310" s="45" t="s">
        <v>3588</v>
      </c>
      <c r="C310" s="36">
        <v>45899</v>
      </c>
      <c r="D310" s="36" t="s">
        <v>1947</v>
      </c>
      <c r="E310" s="37" t="s">
        <v>2929</v>
      </c>
      <c r="F310" s="37" t="s">
        <v>4026</v>
      </c>
      <c r="G310" s="38">
        <v>400</v>
      </c>
      <c r="H310" s="38">
        <v>0</v>
      </c>
      <c r="I310" s="37"/>
      <c r="J310" s="37"/>
      <c r="K310" s="38">
        <f t="shared" si="4"/>
        <v>400</v>
      </c>
      <c r="L310" s="38"/>
    </row>
    <row r="311" spans="1:12" ht="14.5" x14ac:dyDescent="0.35">
      <c r="A311" s="45" t="s">
        <v>3588</v>
      </c>
      <c r="C311" s="36">
        <v>45899</v>
      </c>
      <c r="D311" s="36" t="s">
        <v>1947</v>
      </c>
      <c r="E311" s="37" t="s">
        <v>2930</v>
      </c>
      <c r="F311" s="37" t="s">
        <v>4026</v>
      </c>
      <c r="G311" s="38">
        <v>818.46</v>
      </c>
      <c r="H311" s="38">
        <v>0</v>
      </c>
      <c r="I311" s="37"/>
      <c r="J311" s="37"/>
      <c r="K311" s="38">
        <f t="shared" si="4"/>
        <v>818.46</v>
      </c>
      <c r="L311" s="38"/>
    </row>
    <row r="312" spans="1:12" ht="14.5" x14ac:dyDescent="0.35">
      <c r="A312" s="45" t="s">
        <v>3588</v>
      </c>
      <c r="C312" s="36">
        <v>45899</v>
      </c>
      <c r="D312" s="36" t="s">
        <v>1947</v>
      </c>
      <c r="E312" s="37" t="s">
        <v>2932</v>
      </c>
      <c r="F312" s="37" t="s">
        <v>4026</v>
      </c>
      <c r="G312" s="38">
        <v>257.77</v>
      </c>
      <c r="H312" s="38">
        <v>0</v>
      </c>
      <c r="I312" s="37"/>
      <c r="J312" s="37"/>
      <c r="K312" s="38">
        <f t="shared" si="4"/>
        <v>257.77</v>
      </c>
      <c r="L312" s="38"/>
    </row>
    <row r="313" spans="1:12" ht="14.5" x14ac:dyDescent="0.35">
      <c r="A313" s="45" t="s">
        <v>3588</v>
      </c>
      <c r="C313" s="36">
        <v>45899</v>
      </c>
      <c r="D313" s="36" t="s">
        <v>1947</v>
      </c>
      <c r="E313" s="37" t="s">
        <v>2933</v>
      </c>
      <c r="F313" s="37" t="s">
        <v>4026</v>
      </c>
      <c r="G313" s="38">
        <v>30.95</v>
      </c>
      <c r="H313" s="38">
        <v>0</v>
      </c>
      <c r="I313" s="37"/>
      <c r="J313" s="37"/>
      <c r="K313" s="38">
        <f t="shared" si="4"/>
        <v>30.95</v>
      </c>
      <c r="L313" s="38"/>
    </row>
    <row r="314" spans="1:12" ht="14.5" x14ac:dyDescent="0.35">
      <c r="A314" s="45" t="s">
        <v>3588</v>
      </c>
      <c r="C314" s="36">
        <v>45899</v>
      </c>
      <c r="D314" s="36" t="s">
        <v>1947</v>
      </c>
      <c r="E314" s="37" t="s">
        <v>2934</v>
      </c>
      <c r="F314" s="37" t="s">
        <v>4026</v>
      </c>
      <c r="G314" s="38">
        <v>4960.3</v>
      </c>
      <c r="H314" s="38">
        <v>0</v>
      </c>
      <c r="I314" s="37"/>
      <c r="J314" s="37"/>
      <c r="K314" s="38">
        <f t="shared" si="4"/>
        <v>4960.3</v>
      </c>
      <c r="L314" s="38"/>
    </row>
    <row r="315" spans="1:12" ht="14.5" x14ac:dyDescent="0.35">
      <c r="A315" s="45" t="s">
        <v>3588</v>
      </c>
      <c r="C315" s="36">
        <v>45899</v>
      </c>
      <c r="D315" s="36" t="s">
        <v>2086</v>
      </c>
      <c r="E315" s="37" t="s">
        <v>2935</v>
      </c>
      <c r="F315" s="37" t="s">
        <v>4026</v>
      </c>
      <c r="G315" s="38">
        <v>130.69999999999999</v>
      </c>
      <c r="H315" s="38">
        <v>0</v>
      </c>
      <c r="I315" s="37"/>
      <c r="J315" s="37"/>
      <c r="K315" s="38">
        <f t="shared" si="4"/>
        <v>130.69999999999999</v>
      </c>
      <c r="L315" s="38"/>
    </row>
    <row r="316" spans="1:12" ht="14.5" x14ac:dyDescent="0.35">
      <c r="A316" s="45" t="s">
        <v>3588</v>
      </c>
      <c r="C316" s="36">
        <v>45899</v>
      </c>
      <c r="D316" s="36" t="s">
        <v>2086</v>
      </c>
      <c r="E316" s="37" t="s">
        <v>2936</v>
      </c>
      <c r="F316" s="37" t="s">
        <v>4026</v>
      </c>
      <c r="G316" s="38">
        <v>134.66</v>
      </c>
      <c r="H316" s="38">
        <v>0</v>
      </c>
      <c r="I316" s="37"/>
      <c r="J316" s="37"/>
      <c r="K316" s="38">
        <f t="shared" si="4"/>
        <v>134.66</v>
      </c>
      <c r="L316" s="38"/>
    </row>
    <row r="317" spans="1:12" ht="14.5" x14ac:dyDescent="0.35">
      <c r="A317" s="45" t="s">
        <v>3588</v>
      </c>
      <c r="C317" s="36">
        <v>45899</v>
      </c>
      <c r="D317" s="36" t="s">
        <v>2424</v>
      </c>
      <c r="E317" s="37" t="s">
        <v>2937</v>
      </c>
      <c r="F317" s="37" t="s">
        <v>4026</v>
      </c>
      <c r="G317" s="38">
        <v>726.72</v>
      </c>
      <c r="H317" s="38">
        <v>0</v>
      </c>
      <c r="I317" s="37"/>
      <c r="J317" s="37"/>
      <c r="K317" s="38">
        <f t="shared" si="4"/>
        <v>726.72</v>
      </c>
      <c r="L317" s="38"/>
    </row>
    <row r="318" spans="1:12" ht="14.5" x14ac:dyDescent="0.35">
      <c r="A318" s="45" t="s">
        <v>3588</v>
      </c>
      <c r="C318" s="36">
        <v>45899</v>
      </c>
      <c r="D318" s="36" t="s">
        <v>2424</v>
      </c>
      <c r="E318" s="37" t="s">
        <v>2938</v>
      </c>
      <c r="F318" s="37" t="s">
        <v>4026</v>
      </c>
      <c r="G318" s="38">
        <v>1920.77</v>
      </c>
      <c r="H318" s="38">
        <v>0</v>
      </c>
      <c r="I318" s="37"/>
      <c r="J318" s="37"/>
      <c r="K318" s="38">
        <f t="shared" si="4"/>
        <v>1920.77</v>
      </c>
      <c r="L318" s="38"/>
    </row>
    <row r="319" spans="1:12" ht="14.5" x14ac:dyDescent="0.35">
      <c r="A319" s="45" t="s">
        <v>3588</v>
      </c>
      <c r="C319" s="36">
        <v>45899</v>
      </c>
      <c r="D319" s="36" t="s">
        <v>2424</v>
      </c>
      <c r="E319" s="37" t="s">
        <v>2940</v>
      </c>
      <c r="F319" s="37" t="s">
        <v>4026</v>
      </c>
      <c r="G319" s="38">
        <v>899.78</v>
      </c>
      <c r="H319" s="38">
        <v>0</v>
      </c>
      <c r="I319" s="37"/>
      <c r="J319" s="37"/>
      <c r="K319" s="38">
        <f t="shared" si="4"/>
        <v>899.78</v>
      </c>
      <c r="L319" s="38"/>
    </row>
    <row r="320" spans="1:12" ht="14.5" x14ac:dyDescent="0.35">
      <c r="A320" s="45" t="s">
        <v>3588</v>
      </c>
      <c r="C320" s="36">
        <v>45899</v>
      </c>
      <c r="D320" s="36" t="s">
        <v>2424</v>
      </c>
      <c r="E320" s="37" t="s">
        <v>2941</v>
      </c>
      <c r="F320" s="37" t="s">
        <v>4026</v>
      </c>
      <c r="G320" s="38">
        <v>152.97</v>
      </c>
      <c r="H320" s="38">
        <v>0</v>
      </c>
      <c r="I320" s="37"/>
      <c r="J320" s="37"/>
      <c r="K320" s="38">
        <f t="shared" si="4"/>
        <v>152.97</v>
      </c>
      <c r="L320" s="38"/>
    </row>
    <row r="321" spans="1:12" ht="14.5" x14ac:dyDescent="0.35">
      <c r="A321" s="45" t="s">
        <v>3588</v>
      </c>
      <c r="C321" s="36">
        <v>45899</v>
      </c>
      <c r="D321" s="36" t="s">
        <v>2424</v>
      </c>
      <c r="E321" s="37" t="s">
        <v>2942</v>
      </c>
      <c r="F321" s="37" t="s">
        <v>4026</v>
      </c>
      <c r="G321" s="38">
        <v>166.37</v>
      </c>
      <c r="H321" s="38">
        <v>0</v>
      </c>
      <c r="I321" s="37"/>
      <c r="J321" s="37"/>
      <c r="K321" s="38">
        <f t="shared" si="4"/>
        <v>166.37</v>
      </c>
      <c r="L321" s="38"/>
    </row>
    <row r="322" spans="1:12" ht="14.5" x14ac:dyDescent="0.35">
      <c r="A322" s="45" t="s">
        <v>3588</v>
      </c>
      <c r="C322" s="36">
        <v>45899</v>
      </c>
      <c r="D322" s="36" t="s">
        <v>3356</v>
      </c>
      <c r="E322" s="37" t="s">
        <v>2944</v>
      </c>
      <c r="F322" s="37" t="s">
        <v>4026</v>
      </c>
      <c r="G322" s="38">
        <v>129.94</v>
      </c>
      <c r="H322" s="38">
        <v>0</v>
      </c>
      <c r="I322" s="37"/>
      <c r="J322" s="37"/>
      <c r="K322" s="38">
        <f t="shared" si="4"/>
        <v>129.94</v>
      </c>
      <c r="L322" s="38"/>
    </row>
    <row r="323" spans="1:12" ht="14.5" x14ac:dyDescent="0.35">
      <c r="A323" s="45" t="s">
        <v>3588</v>
      </c>
      <c r="C323" s="36">
        <v>45899</v>
      </c>
      <c r="D323" s="36" t="s">
        <v>2462</v>
      </c>
      <c r="E323" s="37" t="s">
        <v>2945</v>
      </c>
      <c r="F323" s="37" t="s">
        <v>4026</v>
      </c>
      <c r="G323" s="38">
        <v>1558.54</v>
      </c>
      <c r="H323" s="38">
        <v>0</v>
      </c>
      <c r="I323" s="37"/>
      <c r="J323" s="37"/>
      <c r="K323" s="38">
        <f t="shared" si="4"/>
        <v>1558.54</v>
      </c>
      <c r="L323" s="38"/>
    </row>
    <row r="324" spans="1:12" ht="14.5" x14ac:dyDescent="0.35">
      <c r="A324" s="45" t="s">
        <v>3588</v>
      </c>
      <c r="C324" s="36">
        <v>45899</v>
      </c>
      <c r="D324" s="36" t="s">
        <v>2462</v>
      </c>
      <c r="E324" s="37" t="s">
        <v>2946</v>
      </c>
      <c r="F324" s="37" t="s">
        <v>4026</v>
      </c>
      <c r="G324" s="38">
        <v>1074.75</v>
      </c>
      <c r="H324" s="38">
        <v>0</v>
      </c>
      <c r="I324" s="37"/>
      <c r="J324" s="37"/>
      <c r="K324" s="38">
        <f t="shared" si="4"/>
        <v>1074.75</v>
      </c>
      <c r="L324" s="38"/>
    </row>
    <row r="325" spans="1:12" ht="14.5" x14ac:dyDescent="0.35">
      <c r="A325" s="45" t="s">
        <v>3588</v>
      </c>
      <c r="C325" s="36">
        <v>45899</v>
      </c>
      <c r="D325" s="36" t="s">
        <v>2541</v>
      </c>
      <c r="E325" s="37" t="s">
        <v>2947</v>
      </c>
      <c r="F325" s="37" t="s">
        <v>4026</v>
      </c>
      <c r="G325" s="38">
        <v>414.2</v>
      </c>
      <c r="H325" s="38">
        <v>0</v>
      </c>
      <c r="I325" s="37"/>
      <c r="J325" s="37"/>
      <c r="K325" s="38">
        <f t="shared" ref="K325:K388" si="5">G325-H325</f>
        <v>414.2</v>
      </c>
      <c r="L325" s="38"/>
    </row>
    <row r="326" spans="1:12" ht="14.5" x14ac:dyDescent="0.35">
      <c r="A326" s="45" t="s">
        <v>3588</v>
      </c>
      <c r="C326" s="36">
        <v>45899</v>
      </c>
      <c r="D326" s="36" t="s">
        <v>2541</v>
      </c>
      <c r="E326" s="37" t="s">
        <v>2948</v>
      </c>
      <c r="F326" s="37" t="s">
        <v>4026</v>
      </c>
      <c r="G326" s="38">
        <v>3.8</v>
      </c>
      <c r="H326" s="38">
        <v>0</v>
      </c>
      <c r="I326" s="37"/>
      <c r="J326" s="37"/>
      <c r="K326" s="38">
        <f t="shared" si="5"/>
        <v>3.8</v>
      </c>
      <c r="L326" s="38"/>
    </row>
    <row r="327" spans="1:12" ht="14.5" x14ac:dyDescent="0.35">
      <c r="A327" s="45" t="s">
        <v>3588</v>
      </c>
      <c r="C327" s="36">
        <v>45899</v>
      </c>
      <c r="D327" s="36" t="s">
        <v>2541</v>
      </c>
      <c r="E327" s="37" t="s">
        <v>2949</v>
      </c>
      <c r="F327" s="37" t="s">
        <v>4026</v>
      </c>
      <c r="G327" s="38">
        <v>56.75</v>
      </c>
      <c r="H327" s="38">
        <v>0</v>
      </c>
      <c r="I327" s="37"/>
      <c r="J327" s="37"/>
      <c r="K327" s="38">
        <f t="shared" si="5"/>
        <v>56.75</v>
      </c>
      <c r="L327" s="38"/>
    </row>
    <row r="328" spans="1:12" ht="14.5" x14ac:dyDescent="0.35">
      <c r="A328" s="45" t="s">
        <v>3588</v>
      </c>
      <c r="C328" s="36">
        <v>45899</v>
      </c>
      <c r="D328" s="36" t="s">
        <v>3148</v>
      </c>
      <c r="E328" s="37" t="s">
        <v>2950</v>
      </c>
      <c r="F328" s="37" t="s">
        <v>4026</v>
      </c>
      <c r="G328" s="38">
        <v>1379.68</v>
      </c>
      <c r="H328" s="38">
        <v>0</v>
      </c>
      <c r="I328" s="37"/>
      <c r="J328" s="37"/>
      <c r="K328" s="38">
        <f t="shared" si="5"/>
        <v>1379.68</v>
      </c>
      <c r="L328" s="38"/>
    </row>
    <row r="329" spans="1:12" ht="14.5" x14ac:dyDescent="0.35">
      <c r="A329" s="45" t="s">
        <v>3588</v>
      </c>
      <c r="C329" s="36">
        <v>45899</v>
      </c>
      <c r="D329" s="36" t="s">
        <v>3148</v>
      </c>
      <c r="E329" s="37" t="s">
        <v>2951</v>
      </c>
      <c r="F329" s="37" t="s">
        <v>4026</v>
      </c>
      <c r="G329" s="38">
        <v>56.94</v>
      </c>
      <c r="H329" s="38">
        <v>0</v>
      </c>
      <c r="I329" s="37"/>
      <c r="J329" s="37"/>
      <c r="K329" s="38">
        <f t="shared" si="5"/>
        <v>56.94</v>
      </c>
      <c r="L329" s="38"/>
    </row>
    <row r="330" spans="1:12" ht="14.5" x14ac:dyDescent="0.35">
      <c r="A330" s="45" t="s">
        <v>3588</v>
      </c>
      <c r="C330" s="36">
        <v>45899</v>
      </c>
      <c r="D330" s="36" t="s">
        <v>2462</v>
      </c>
      <c r="E330" s="37" t="s">
        <v>2952</v>
      </c>
      <c r="F330" s="37" t="s">
        <v>4026</v>
      </c>
      <c r="G330" s="38">
        <v>44.82</v>
      </c>
      <c r="H330" s="38">
        <v>0</v>
      </c>
      <c r="I330" s="37"/>
      <c r="J330" s="37"/>
      <c r="K330" s="38">
        <f t="shared" si="5"/>
        <v>44.82</v>
      </c>
      <c r="L330" s="38"/>
    </row>
    <row r="331" spans="1:12" ht="14.5" x14ac:dyDescent="0.35">
      <c r="A331" s="45" t="s">
        <v>3588</v>
      </c>
      <c r="C331" s="36">
        <v>45899</v>
      </c>
      <c r="D331" s="36" t="s">
        <v>3359</v>
      </c>
      <c r="E331" s="37" t="s">
        <v>2953</v>
      </c>
      <c r="F331" s="37" t="s">
        <v>4026</v>
      </c>
      <c r="G331" s="38">
        <v>4734.3999999999996</v>
      </c>
      <c r="H331" s="38">
        <v>0</v>
      </c>
      <c r="I331" s="37"/>
      <c r="J331" s="37"/>
      <c r="K331" s="38">
        <f t="shared" si="5"/>
        <v>4734.3999999999996</v>
      </c>
      <c r="L331" s="38"/>
    </row>
    <row r="332" spans="1:12" ht="14.5" x14ac:dyDescent="0.35">
      <c r="A332" s="45" t="s">
        <v>3588</v>
      </c>
      <c r="C332" s="36">
        <v>45899</v>
      </c>
      <c r="D332" s="36" t="s">
        <v>3359</v>
      </c>
      <c r="E332" s="37" t="s">
        <v>2954</v>
      </c>
      <c r="F332" s="37" t="s">
        <v>4026</v>
      </c>
      <c r="G332" s="38">
        <v>1273.8</v>
      </c>
      <c r="H332" s="38">
        <v>0</v>
      </c>
      <c r="I332" s="37"/>
      <c r="J332" s="37"/>
      <c r="K332" s="38">
        <f t="shared" si="5"/>
        <v>1273.8</v>
      </c>
      <c r="L332" s="38"/>
    </row>
    <row r="333" spans="1:12" ht="14.5" x14ac:dyDescent="0.35">
      <c r="A333" s="45" t="s">
        <v>3588</v>
      </c>
      <c r="C333" s="36">
        <v>45899</v>
      </c>
      <c r="D333" s="36" t="s">
        <v>3359</v>
      </c>
      <c r="E333" s="37" t="s">
        <v>2955</v>
      </c>
      <c r="F333" s="37" t="s">
        <v>4026</v>
      </c>
      <c r="G333" s="38">
        <v>764.38</v>
      </c>
      <c r="H333" s="38">
        <v>0</v>
      </c>
      <c r="I333" s="37"/>
      <c r="J333" s="37"/>
      <c r="K333" s="38">
        <f t="shared" si="5"/>
        <v>764.38</v>
      </c>
      <c r="L333" s="38"/>
    </row>
    <row r="334" spans="1:12" ht="14.5" x14ac:dyDescent="0.35">
      <c r="A334" s="45" t="s">
        <v>3588</v>
      </c>
      <c r="C334" s="36">
        <v>45899</v>
      </c>
      <c r="D334" s="36" t="s">
        <v>3359</v>
      </c>
      <c r="E334" s="37" t="s">
        <v>2956</v>
      </c>
      <c r="F334" s="37" t="s">
        <v>4026</v>
      </c>
      <c r="G334" s="38">
        <v>1574.8799999999999</v>
      </c>
      <c r="H334" s="38">
        <v>0</v>
      </c>
      <c r="I334" s="37"/>
      <c r="J334" s="37"/>
      <c r="K334" s="38">
        <f t="shared" si="5"/>
        <v>1574.8799999999999</v>
      </c>
      <c r="L334" s="38"/>
    </row>
    <row r="335" spans="1:12" ht="14.5" x14ac:dyDescent="0.35">
      <c r="A335" s="45" t="s">
        <v>3588</v>
      </c>
      <c r="C335" s="36">
        <v>45899</v>
      </c>
      <c r="D335" s="36" t="s">
        <v>2487</v>
      </c>
      <c r="E335" s="37" t="s">
        <v>2957</v>
      </c>
      <c r="F335" s="37" t="s">
        <v>4026</v>
      </c>
      <c r="G335" s="38">
        <v>2816</v>
      </c>
      <c r="H335" s="38">
        <v>0</v>
      </c>
      <c r="I335" s="37"/>
      <c r="J335" s="37"/>
      <c r="K335" s="38">
        <f t="shared" si="5"/>
        <v>2816</v>
      </c>
      <c r="L335" s="38"/>
    </row>
    <row r="336" spans="1:12" ht="14.5" x14ac:dyDescent="0.35">
      <c r="A336" s="45" t="s">
        <v>3588</v>
      </c>
      <c r="C336" s="36">
        <v>45899</v>
      </c>
      <c r="D336" s="36" t="s">
        <v>301</v>
      </c>
      <c r="E336" s="37" t="s">
        <v>2958</v>
      </c>
      <c r="F336" s="37" t="s">
        <v>4026</v>
      </c>
      <c r="G336" s="38">
        <v>0</v>
      </c>
      <c r="H336" s="38">
        <v>0</v>
      </c>
      <c r="I336" s="37"/>
      <c r="J336" s="37"/>
      <c r="K336" s="38">
        <f t="shared" si="5"/>
        <v>0</v>
      </c>
      <c r="L336" s="38"/>
    </row>
    <row r="337" spans="1:12" ht="14.5" x14ac:dyDescent="0.35">
      <c r="A337" s="45" t="s">
        <v>3588</v>
      </c>
      <c r="C337" s="36">
        <v>45899</v>
      </c>
      <c r="D337" s="36" t="s">
        <v>301</v>
      </c>
      <c r="E337" s="37" t="s">
        <v>2959</v>
      </c>
      <c r="F337" s="37" t="s">
        <v>4026</v>
      </c>
      <c r="G337" s="38">
        <v>0</v>
      </c>
      <c r="H337" s="38">
        <v>0</v>
      </c>
      <c r="I337" s="37"/>
      <c r="J337" s="37"/>
      <c r="K337" s="38">
        <f t="shared" si="5"/>
        <v>0</v>
      </c>
      <c r="L337" s="38"/>
    </row>
    <row r="338" spans="1:12" ht="14.5" x14ac:dyDescent="0.35">
      <c r="A338" s="45" t="s">
        <v>3588</v>
      </c>
      <c r="C338" s="36">
        <v>45899</v>
      </c>
      <c r="D338" s="36" t="s">
        <v>301</v>
      </c>
      <c r="E338" s="37" t="s">
        <v>2960</v>
      </c>
      <c r="F338" s="37" t="s">
        <v>4026</v>
      </c>
      <c r="G338" s="38">
        <v>25.32</v>
      </c>
      <c r="H338" s="38">
        <v>0</v>
      </c>
      <c r="I338" s="37"/>
      <c r="J338" s="37"/>
      <c r="K338" s="38">
        <f t="shared" si="5"/>
        <v>25.32</v>
      </c>
      <c r="L338" s="38"/>
    </row>
    <row r="339" spans="1:12" ht="14.5" x14ac:dyDescent="0.35">
      <c r="A339" s="45" t="s">
        <v>3588</v>
      </c>
      <c r="C339" s="36">
        <v>45899</v>
      </c>
      <c r="D339" s="36" t="s">
        <v>301</v>
      </c>
      <c r="E339" s="37" t="s">
        <v>2961</v>
      </c>
      <c r="F339" s="37" t="s">
        <v>4026</v>
      </c>
      <c r="G339" s="38">
        <v>1470.86</v>
      </c>
      <c r="H339" s="38">
        <v>0</v>
      </c>
      <c r="I339" s="37"/>
      <c r="J339" s="37"/>
      <c r="K339" s="38">
        <f t="shared" si="5"/>
        <v>1470.86</v>
      </c>
      <c r="L339" s="38"/>
    </row>
    <row r="340" spans="1:12" ht="14.5" x14ac:dyDescent="0.35">
      <c r="A340" s="45" t="s">
        <v>3588</v>
      </c>
      <c r="C340" s="36">
        <v>45899</v>
      </c>
      <c r="D340" s="36" t="s">
        <v>3369</v>
      </c>
      <c r="E340" s="37" t="s">
        <v>2962</v>
      </c>
      <c r="F340" s="37" t="s">
        <v>4026</v>
      </c>
      <c r="G340" s="38">
        <v>80.66</v>
      </c>
      <c r="H340" s="38">
        <v>0</v>
      </c>
      <c r="I340" s="37"/>
      <c r="J340" s="37"/>
      <c r="K340" s="38">
        <f t="shared" si="5"/>
        <v>80.66</v>
      </c>
      <c r="L340" s="38"/>
    </row>
    <row r="341" spans="1:12" ht="14.5" x14ac:dyDescent="0.35">
      <c r="A341" s="45" t="s">
        <v>3588</v>
      </c>
      <c r="C341" s="36">
        <v>45899</v>
      </c>
      <c r="D341" s="36" t="s">
        <v>3371</v>
      </c>
      <c r="E341" s="37" t="s">
        <v>2963</v>
      </c>
      <c r="F341" s="37" t="s">
        <v>4026</v>
      </c>
      <c r="G341" s="38">
        <v>320.12</v>
      </c>
      <c r="H341" s="38">
        <v>0</v>
      </c>
      <c r="I341" s="37"/>
      <c r="J341" s="37"/>
      <c r="K341" s="38">
        <f t="shared" si="5"/>
        <v>320.12</v>
      </c>
      <c r="L341" s="38"/>
    </row>
    <row r="342" spans="1:12" ht="14.5" x14ac:dyDescent="0.35">
      <c r="A342" s="45" t="s">
        <v>3588</v>
      </c>
      <c r="C342" s="36">
        <v>45899</v>
      </c>
      <c r="D342" s="36" t="s">
        <v>1757</v>
      </c>
      <c r="E342" s="37" t="s">
        <v>2964</v>
      </c>
      <c r="F342" s="37" t="s">
        <v>4026</v>
      </c>
      <c r="G342" s="38">
        <v>103.93</v>
      </c>
      <c r="H342" s="38">
        <v>0</v>
      </c>
      <c r="I342" s="37"/>
      <c r="J342" s="37"/>
      <c r="K342" s="38">
        <f t="shared" si="5"/>
        <v>103.93</v>
      </c>
      <c r="L342" s="38"/>
    </row>
    <row r="343" spans="1:12" ht="14.5" x14ac:dyDescent="0.35">
      <c r="A343" s="45" t="s">
        <v>3588</v>
      </c>
      <c r="C343" s="36">
        <v>45899</v>
      </c>
      <c r="D343" s="36" t="s">
        <v>1757</v>
      </c>
      <c r="E343" s="37" t="s">
        <v>2965</v>
      </c>
      <c r="F343" s="37" t="s">
        <v>4026</v>
      </c>
      <c r="G343" s="38">
        <v>89.91</v>
      </c>
      <c r="H343" s="38">
        <v>0</v>
      </c>
      <c r="I343" s="37"/>
      <c r="J343" s="37"/>
      <c r="K343" s="38">
        <f t="shared" si="5"/>
        <v>89.91</v>
      </c>
      <c r="L343" s="38"/>
    </row>
    <row r="344" spans="1:12" ht="14.5" x14ac:dyDescent="0.35">
      <c r="A344" s="45" t="s">
        <v>3588</v>
      </c>
      <c r="C344" s="36">
        <v>45899</v>
      </c>
      <c r="D344" s="36" t="s">
        <v>1839</v>
      </c>
      <c r="E344" s="37" t="s">
        <v>2966</v>
      </c>
      <c r="F344" s="37" t="s">
        <v>4026</v>
      </c>
      <c r="G344" s="38">
        <v>0</v>
      </c>
      <c r="H344" s="38">
        <v>0</v>
      </c>
      <c r="I344" s="37"/>
      <c r="J344" s="37"/>
      <c r="K344" s="38">
        <f t="shared" si="5"/>
        <v>0</v>
      </c>
      <c r="L344" s="38"/>
    </row>
    <row r="345" spans="1:12" ht="14.5" x14ac:dyDescent="0.35">
      <c r="A345" s="45" t="s">
        <v>3588</v>
      </c>
      <c r="C345" s="36">
        <v>45899</v>
      </c>
      <c r="D345" s="36" t="s">
        <v>1839</v>
      </c>
      <c r="E345" s="37" t="s">
        <v>2967</v>
      </c>
      <c r="F345" s="37" t="s">
        <v>4026</v>
      </c>
      <c r="G345" s="38">
        <v>0</v>
      </c>
      <c r="H345" s="38">
        <v>0</v>
      </c>
      <c r="I345" s="37"/>
      <c r="J345" s="37"/>
      <c r="K345" s="38">
        <f t="shared" si="5"/>
        <v>0</v>
      </c>
      <c r="L345" s="38"/>
    </row>
    <row r="346" spans="1:12" ht="14.5" x14ac:dyDescent="0.35">
      <c r="A346" s="45" t="s">
        <v>3588</v>
      </c>
      <c r="C346" s="36">
        <v>45899</v>
      </c>
      <c r="D346" s="36" t="s">
        <v>1839</v>
      </c>
      <c r="E346" s="37" t="s">
        <v>2968</v>
      </c>
      <c r="F346" s="37" t="s">
        <v>4026</v>
      </c>
      <c r="G346" s="38">
        <v>0</v>
      </c>
      <c r="H346" s="38">
        <v>0</v>
      </c>
      <c r="I346" s="37"/>
      <c r="J346" s="37"/>
      <c r="K346" s="38">
        <f t="shared" si="5"/>
        <v>0</v>
      </c>
      <c r="L346" s="38"/>
    </row>
    <row r="347" spans="1:12" ht="14.5" x14ac:dyDescent="0.35">
      <c r="A347" s="45" t="s">
        <v>3588</v>
      </c>
      <c r="C347" s="36">
        <v>45899</v>
      </c>
      <c r="D347" s="36" t="s">
        <v>1839</v>
      </c>
      <c r="E347" s="37" t="s">
        <v>2969</v>
      </c>
      <c r="F347" s="37" t="s">
        <v>4026</v>
      </c>
      <c r="G347" s="38">
        <v>370.73</v>
      </c>
      <c r="H347" s="38">
        <v>0</v>
      </c>
      <c r="I347" s="37"/>
      <c r="J347" s="37"/>
      <c r="K347" s="38">
        <f t="shared" si="5"/>
        <v>370.73</v>
      </c>
      <c r="L347" s="38"/>
    </row>
    <row r="348" spans="1:12" ht="14.5" x14ac:dyDescent="0.35">
      <c r="A348" s="45" t="s">
        <v>3588</v>
      </c>
      <c r="C348" s="36">
        <v>45899</v>
      </c>
      <c r="D348" s="36" t="s">
        <v>1839</v>
      </c>
      <c r="E348" s="37" t="s">
        <v>2971</v>
      </c>
      <c r="F348" s="37" t="s">
        <v>4026</v>
      </c>
      <c r="G348" s="38">
        <v>30.35</v>
      </c>
      <c r="H348" s="38">
        <v>0</v>
      </c>
      <c r="I348" s="37"/>
      <c r="J348" s="37"/>
      <c r="K348" s="38">
        <f t="shared" si="5"/>
        <v>30.35</v>
      </c>
      <c r="L348" s="38"/>
    </row>
    <row r="349" spans="1:12" ht="14.5" x14ac:dyDescent="0.35">
      <c r="A349" s="45" t="s">
        <v>3588</v>
      </c>
      <c r="C349" s="36">
        <v>45899</v>
      </c>
      <c r="D349" s="36" t="s">
        <v>1839</v>
      </c>
      <c r="E349" s="37" t="s">
        <v>2972</v>
      </c>
      <c r="F349" s="37" t="s">
        <v>4026</v>
      </c>
      <c r="G349" s="38">
        <v>98.52</v>
      </c>
      <c r="H349" s="38">
        <v>0</v>
      </c>
      <c r="I349" s="37"/>
      <c r="J349" s="37"/>
      <c r="K349" s="38">
        <f t="shared" si="5"/>
        <v>98.52</v>
      </c>
      <c r="L349" s="38"/>
    </row>
    <row r="350" spans="1:12" ht="14.5" x14ac:dyDescent="0.35">
      <c r="A350" s="45" t="s">
        <v>3588</v>
      </c>
      <c r="C350" s="36">
        <v>45899</v>
      </c>
      <c r="D350" s="36" t="s">
        <v>2027</v>
      </c>
      <c r="E350" s="37" t="s">
        <v>2974</v>
      </c>
      <c r="F350" s="37" t="s">
        <v>4026</v>
      </c>
      <c r="G350" s="38">
        <v>2144.6799999999998</v>
      </c>
      <c r="H350" s="38">
        <v>0</v>
      </c>
      <c r="I350" s="37"/>
      <c r="J350" s="37"/>
      <c r="K350" s="38">
        <f t="shared" si="5"/>
        <v>2144.6799999999998</v>
      </c>
      <c r="L350" s="38"/>
    </row>
    <row r="351" spans="1:12" ht="14.5" x14ac:dyDescent="0.35">
      <c r="A351" s="45" t="s">
        <v>3588</v>
      </c>
      <c r="C351" s="36">
        <v>45899</v>
      </c>
      <c r="D351" s="36" t="s">
        <v>2027</v>
      </c>
      <c r="E351" s="37" t="s">
        <v>2975</v>
      </c>
      <c r="F351" s="37" t="s">
        <v>4026</v>
      </c>
      <c r="G351" s="38">
        <v>369.57</v>
      </c>
      <c r="H351" s="38">
        <v>0</v>
      </c>
      <c r="I351" s="37"/>
      <c r="J351" s="37"/>
      <c r="K351" s="38">
        <f t="shared" si="5"/>
        <v>369.57</v>
      </c>
      <c r="L351" s="38"/>
    </row>
    <row r="352" spans="1:12" ht="14.5" x14ac:dyDescent="0.35">
      <c r="A352" s="45" t="s">
        <v>3588</v>
      </c>
      <c r="C352" s="36">
        <v>45899</v>
      </c>
      <c r="D352" s="36" t="s">
        <v>2027</v>
      </c>
      <c r="E352" s="37" t="s">
        <v>2976</v>
      </c>
      <c r="F352" s="37" t="s">
        <v>4026</v>
      </c>
      <c r="G352" s="38">
        <v>165.23</v>
      </c>
      <c r="H352" s="38">
        <v>0</v>
      </c>
      <c r="I352" s="37"/>
      <c r="J352" s="37"/>
      <c r="K352" s="38">
        <f t="shared" si="5"/>
        <v>165.23</v>
      </c>
      <c r="L352" s="38"/>
    </row>
    <row r="353" spans="1:12" ht="14.5" x14ac:dyDescent="0.35">
      <c r="A353" s="45" t="s">
        <v>3588</v>
      </c>
      <c r="C353" s="36">
        <v>45899</v>
      </c>
      <c r="D353" s="36" t="s">
        <v>2027</v>
      </c>
      <c r="E353" s="37" t="s">
        <v>2977</v>
      </c>
      <c r="F353" s="37" t="s">
        <v>4026</v>
      </c>
      <c r="G353" s="38">
        <v>2023.82</v>
      </c>
      <c r="H353" s="38">
        <v>0</v>
      </c>
      <c r="I353" s="37"/>
      <c r="J353" s="37"/>
      <c r="K353" s="38">
        <f t="shared" si="5"/>
        <v>2023.82</v>
      </c>
      <c r="L353" s="38"/>
    </row>
    <row r="354" spans="1:12" ht="14.5" x14ac:dyDescent="0.35">
      <c r="A354" s="45" t="s">
        <v>3588</v>
      </c>
      <c r="C354" s="36">
        <v>45899</v>
      </c>
      <c r="D354" s="36" t="s">
        <v>2027</v>
      </c>
      <c r="E354" s="37" t="s">
        <v>2978</v>
      </c>
      <c r="F354" s="37" t="s">
        <v>4026</v>
      </c>
      <c r="G354" s="38">
        <v>15.04</v>
      </c>
      <c r="H354" s="38">
        <v>0</v>
      </c>
      <c r="I354" s="37"/>
      <c r="J354" s="37"/>
      <c r="K354" s="38">
        <f t="shared" si="5"/>
        <v>15.04</v>
      </c>
      <c r="L354" s="38"/>
    </row>
    <row r="355" spans="1:12" ht="14.5" x14ac:dyDescent="0.35">
      <c r="A355" s="45" t="s">
        <v>3588</v>
      </c>
      <c r="C355" s="36">
        <v>45899</v>
      </c>
      <c r="D355" s="36" t="s">
        <v>2027</v>
      </c>
      <c r="E355" s="37" t="s">
        <v>2979</v>
      </c>
      <c r="F355" s="37" t="s">
        <v>4026</v>
      </c>
      <c r="G355" s="38">
        <v>742.59</v>
      </c>
      <c r="H355" s="38">
        <v>0</v>
      </c>
      <c r="I355" s="37"/>
      <c r="J355" s="37"/>
      <c r="K355" s="38">
        <f t="shared" si="5"/>
        <v>742.59</v>
      </c>
      <c r="L355" s="38"/>
    </row>
    <row r="356" spans="1:12" ht="14.5" x14ac:dyDescent="0.35">
      <c r="A356" s="45" t="s">
        <v>3588</v>
      </c>
      <c r="C356" s="36">
        <v>45899</v>
      </c>
      <c r="D356" s="36" t="s">
        <v>1568</v>
      </c>
      <c r="E356" s="37" t="s">
        <v>2980</v>
      </c>
      <c r="F356" s="37" t="s">
        <v>4026</v>
      </c>
      <c r="G356" s="38">
        <v>4272</v>
      </c>
      <c r="H356" s="38">
        <v>0</v>
      </c>
      <c r="I356" s="37"/>
      <c r="J356" s="37"/>
      <c r="K356" s="38">
        <f t="shared" si="5"/>
        <v>4272</v>
      </c>
      <c r="L356" s="38"/>
    </row>
    <row r="357" spans="1:12" ht="14.5" x14ac:dyDescent="0.35">
      <c r="A357" s="45" t="s">
        <v>3588</v>
      </c>
      <c r="C357" s="36">
        <v>45899</v>
      </c>
      <c r="D357" s="36" t="s">
        <v>1568</v>
      </c>
      <c r="E357" s="37" t="s">
        <v>2981</v>
      </c>
      <c r="F357" s="37" t="s">
        <v>4026</v>
      </c>
      <c r="G357" s="38">
        <v>618.39</v>
      </c>
      <c r="H357" s="38">
        <v>0</v>
      </c>
      <c r="I357" s="37"/>
      <c r="J357" s="37"/>
      <c r="K357" s="38">
        <f t="shared" si="5"/>
        <v>618.39</v>
      </c>
      <c r="L357" s="38"/>
    </row>
    <row r="358" spans="1:12" ht="14.5" x14ac:dyDescent="0.35">
      <c r="A358" s="45" t="s">
        <v>3588</v>
      </c>
      <c r="C358" s="36">
        <v>45899</v>
      </c>
      <c r="D358" s="36" t="s">
        <v>1568</v>
      </c>
      <c r="E358" s="37" t="s">
        <v>2982</v>
      </c>
      <c r="F358" s="37" t="s">
        <v>4026</v>
      </c>
      <c r="G358" s="38">
        <v>1874.22</v>
      </c>
      <c r="H358" s="38">
        <v>0</v>
      </c>
      <c r="I358" s="37"/>
      <c r="J358" s="37"/>
      <c r="K358" s="38">
        <f t="shared" si="5"/>
        <v>1874.22</v>
      </c>
      <c r="L358" s="38"/>
    </row>
    <row r="359" spans="1:12" ht="14.5" x14ac:dyDescent="0.35">
      <c r="A359" s="45" t="s">
        <v>3588</v>
      </c>
      <c r="C359" s="36">
        <v>45899</v>
      </c>
      <c r="D359" s="36" t="s">
        <v>1371</v>
      </c>
      <c r="E359" s="37" t="s">
        <v>2983</v>
      </c>
      <c r="F359" s="37" t="s">
        <v>4026</v>
      </c>
      <c r="G359" s="38">
        <v>1325.37</v>
      </c>
      <c r="H359" s="38">
        <v>0</v>
      </c>
      <c r="I359" s="37"/>
      <c r="J359" s="37"/>
      <c r="K359" s="38">
        <f t="shared" si="5"/>
        <v>1325.37</v>
      </c>
      <c r="L359" s="38"/>
    </row>
    <row r="360" spans="1:12" ht="14.5" x14ac:dyDescent="0.35">
      <c r="A360" s="45" t="s">
        <v>3588</v>
      </c>
      <c r="C360" s="36">
        <v>45899</v>
      </c>
      <c r="D360" s="36" t="s">
        <v>1371</v>
      </c>
      <c r="E360" s="37" t="s">
        <v>2984</v>
      </c>
      <c r="F360" s="37" t="s">
        <v>4026</v>
      </c>
      <c r="G360" s="38">
        <v>30.06</v>
      </c>
      <c r="H360" s="38">
        <v>0</v>
      </c>
      <c r="I360" s="37"/>
      <c r="J360" s="37"/>
      <c r="K360" s="38">
        <f t="shared" si="5"/>
        <v>30.06</v>
      </c>
      <c r="L360" s="38"/>
    </row>
    <row r="361" spans="1:12" ht="14.5" x14ac:dyDescent="0.35">
      <c r="A361" s="45" t="s">
        <v>3588</v>
      </c>
      <c r="C361" s="36">
        <v>45899</v>
      </c>
      <c r="D361" s="36" t="s">
        <v>2831</v>
      </c>
      <c r="E361" s="37" t="s">
        <v>2985</v>
      </c>
      <c r="F361" s="37" t="s">
        <v>4026</v>
      </c>
      <c r="G361" s="38">
        <v>510.14</v>
      </c>
      <c r="H361" s="38">
        <v>0</v>
      </c>
      <c r="I361" s="37"/>
      <c r="J361" s="37"/>
      <c r="K361" s="38">
        <f t="shared" si="5"/>
        <v>510.14</v>
      </c>
      <c r="L361" s="38"/>
    </row>
    <row r="362" spans="1:12" ht="14.5" x14ac:dyDescent="0.35">
      <c r="A362" s="45" t="s">
        <v>3588</v>
      </c>
      <c r="C362" s="36">
        <v>45899</v>
      </c>
      <c r="D362" s="36" t="s">
        <v>3393</v>
      </c>
      <c r="E362" s="37" t="s">
        <v>2986</v>
      </c>
      <c r="F362" s="37" t="s">
        <v>4026</v>
      </c>
      <c r="G362" s="38">
        <v>1624.32</v>
      </c>
      <c r="H362" s="38">
        <v>0</v>
      </c>
      <c r="I362" s="37"/>
      <c r="J362" s="37"/>
      <c r="K362" s="38">
        <f t="shared" si="5"/>
        <v>1624.32</v>
      </c>
      <c r="L362" s="38"/>
    </row>
    <row r="363" spans="1:12" ht="14.5" x14ac:dyDescent="0.35">
      <c r="A363" s="45" t="s">
        <v>3588</v>
      </c>
      <c r="C363" s="36">
        <v>45899</v>
      </c>
      <c r="D363" s="36" t="s">
        <v>3393</v>
      </c>
      <c r="E363" s="37" t="s">
        <v>2988</v>
      </c>
      <c r="F363" s="37" t="s">
        <v>4026</v>
      </c>
      <c r="G363" s="38">
        <v>28.45</v>
      </c>
      <c r="H363" s="38">
        <v>0</v>
      </c>
      <c r="I363" s="37"/>
      <c r="J363" s="37"/>
      <c r="K363" s="38">
        <f t="shared" si="5"/>
        <v>28.45</v>
      </c>
      <c r="L363" s="38"/>
    </row>
    <row r="364" spans="1:12" ht="14.5" x14ac:dyDescent="0.35">
      <c r="A364" s="45" t="s">
        <v>3588</v>
      </c>
      <c r="C364" s="36">
        <v>45899</v>
      </c>
      <c r="D364" s="36" t="s">
        <v>3393</v>
      </c>
      <c r="E364" s="37" t="s">
        <v>2990</v>
      </c>
      <c r="F364" s="37" t="s">
        <v>4026</v>
      </c>
      <c r="G364" s="38">
        <v>1344.51</v>
      </c>
      <c r="H364" s="38">
        <v>0</v>
      </c>
      <c r="I364" s="37"/>
      <c r="J364" s="37"/>
      <c r="K364" s="38">
        <f t="shared" si="5"/>
        <v>1344.51</v>
      </c>
      <c r="L364" s="38"/>
    </row>
    <row r="365" spans="1:12" ht="14.5" x14ac:dyDescent="0.35">
      <c r="A365" s="45" t="s">
        <v>3588</v>
      </c>
      <c r="C365" s="36">
        <v>45899</v>
      </c>
      <c r="D365" s="36" t="s">
        <v>2079</v>
      </c>
      <c r="E365" s="37" t="s">
        <v>2991</v>
      </c>
      <c r="F365" s="37" t="s">
        <v>4026</v>
      </c>
      <c r="G365" s="38">
        <v>1517.28</v>
      </c>
      <c r="H365" s="38">
        <v>0</v>
      </c>
      <c r="I365" s="37"/>
      <c r="J365" s="37"/>
      <c r="K365" s="38">
        <f t="shared" si="5"/>
        <v>1517.28</v>
      </c>
      <c r="L365" s="38"/>
    </row>
    <row r="366" spans="1:12" ht="14.5" x14ac:dyDescent="0.35">
      <c r="A366" s="45" t="s">
        <v>3588</v>
      </c>
      <c r="C366" s="36">
        <v>45899</v>
      </c>
      <c r="D366" s="36" t="s">
        <v>2079</v>
      </c>
      <c r="E366" s="37" t="s">
        <v>2992</v>
      </c>
      <c r="F366" s="37" t="s">
        <v>4026</v>
      </c>
      <c r="G366" s="38">
        <v>12.09</v>
      </c>
      <c r="H366" s="38">
        <v>0</v>
      </c>
      <c r="I366" s="37"/>
      <c r="J366" s="37"/>
      <c r="K366" s="38">
        <f t="shared" si="5"/>
        <v>12.09</v>
      </c>
      <c r="L366" s="38"/>
    </row>
    <row r="367" spans="1:12" ht="14.5" x14ac:dyDescent="0.35">
      <c r="A367" s="45" t="s">
        <v>3588</v>
      </c>
      <c r="C367" s="36">
        <v>45899</v>
      </c>
      <c r="D367" s="36" t="s">
        <v>2027</v>
      </c>
      <c r="E367" s="37" t="s">
        <v>2993</v>
      </c>
      <c r="F367" s="37" t="s">
        <v>4026</v>
      </c>
      <c r="G367" s="38">
        <v>3363.9300000000003</v>
      </c>
      <c r="H367" s="38">
        <v>0</v>
      </c>
      <c r="I367" s="37"/>
      <c r="J367" s="37"/>
      <c r="K367" s="38">
        <f t="shared" si="5"/>
        <v>3363.9300000000003</v>
      </c>
      <c r="L367" s="38"/>
    </row>
    <row r="368" spans="1:12" ht="14.5" x14ac:dyDescent="0.35">
      <c r="A368" s="45" t="s">
        <v>3588</v>
      </c>
      <c r="C368" s="36">
        <v>45899</v>
      </c>
      <c r="D368" s="36" t="s">
        <v>1639</v>
      </c>
      <c r="E368" s="37" t="s">
        <v>2994</v>
      </c>
      <c r="F368" s="37" t="s">
        <v>4026</v>
      </c>
      <c r="G368" s="38">
        <v>793.71999999999991</v>
      </c>
      <c r="H368" s="38">
        <v>0</v>
      </c>
      <c r="I368" s="37"/>
      <c r="J368" s="37"/>
      <c r="K368" s="38">
        <f t="shared" si="5"/>
        <v>793.71999999999991</v>
      </c>
      <c r="L368" s="38"/>
    </row>
    <row r="369" spans="1:12" ht="14.5" x14ac:dyDescent="0.35">
      <c r="A369" s="45" t="s">
        <v>3588</v>
      </c>
      <c r="C369" s="36">
        <v>45899</v>
      </c>
      <c r="D369" s="36" t="s">
        <v>1639</v>
      </c>
      <c r="E369" s="37" t="s">
        <v>2995</v>
      </c>
      <c r="F369" s="37" t="s">
        <v>4026</v>
      </c>
      <c r="G369" s="38">
        <v>5276.2</v>
      </c>
      <c r="H369" s="38">
        <v>0</v>
      </c>
      <c r="I369" s="37"/>
      <c r="J369" s="37"/>
      <c r="K369" s="38">
        <f t="shared" si="5"/>
        <v>5276.2</v>
      </c>
      <c r="L369" s="38"/>
    </row>
    <row r="370" spans="1:12" ht="14.5" x14ac:dyDescent="0.35">
      <c r="A370" s="45" t="s">
        <v>3588</v>
      </c>
      <c r="C370" s="36">
        <v>45899</v>
      </c>
      <c r="D370" s="36" t="s">
        <v>1639</v>
      </c>
      <c r="E370" s="37" t="s">
        <v>2996</v>
      </c>
      <c r="F370" s="37" t="s">
        <v>4026</v>
      </c>
      <c r="G370" s="38">
        <v>2089.1899999999996</v>
      </c>
      <c r="H370" s="38">
        <v>0</v>
      </c>
      <c r="I370" s="37"/>
      <c r="J370" s="37"/>
      <c r="K370" s="38">
        <f t="shared" si="5"/>
        <v>2089.1899999999996</v>
      </c>
      <c r="L370" s="38"/>
    </row>
    <row r="371" spans="1:12" ht="14.5" x14ac:dyDescent="0.35">
      <c r="A371" s="45" t="s">
        <v>3588</v>
      </c>
      <c r="C371" s="36">
        <v>45899</v>
      </c>
      <c r="D371" s="36" t="s">
        <v>1639</v>
      </c>
      <c r="E371" s="37" t="s">
        <v>2997</v>
      </c>
      <c r="F371" s="37" t="s">
        <v>4026</v>
      </c>
      <c r="G371" s="38">
        <v>736.61</v>
      </c>
      <c r="H371" s="38">
        <v>0</v>
      </c>
      <c r="I371" s="37"/>
      <c r="J371" s="37"/>
      <c r="K371" s="38">
        <f t="shared" si="5"/>
        <v>736.61</v>
      </c>
      <c r="L371" s="38"/>
    </row>
    <row r="372" spans="1:12" ht="14.5" x14ac:dyDescent="0.35">
      <c r="A372" s="45" t="s">
        <v>3588</v>
      </c>
      <c r="C372" s="36">
        <v>45899</v>
      </c>
      <c r="D372" s="36" t="s">
        <v>1639</v>
      </c>
      <c r="E372" s="37" t="s">
        <v>2998</v>
      </c>
      <c r="F372" s="37" t="s">
        <v>4026</v>
      </c>
      <c r="G372" s="38">
        <v>27.01</v>
      </c>
      <c r="H372" s="38">
        <v>0</v>
      </c>
      <c r="I372" s="37"/>
      <c r="J372" s="37"/>
      <c r="K372" s="38">
        <f t="shared" si="5"/>
        <v>27.01</v>
      </c>
      <c r="L372" s="38"/>
    </row>
    <row r="373" spans="1:12" ht="14.5" x14ac:dyDescent="0.35">
      <c r="A373" s="45" t="s">
        <v>3588</v>
      </c>
      <c r="C373" s="36">
        <v>45899</v>
      </c>
      <c r="D373" s="36" t="s">
        <v>2231</v>
      </c>
      <c r="E373" s="37">
        <v>36512</v>
      </c>
      <c r="F373" s="37" t="s">
        <v>4026</v>
      </c>
      <c r="G373" s="38">
        <v>8303.93</v>
      </c>
      <c r="H373" s="38">
        <v>0</v>
      </c>
      <c r="I373" s="37"/>
      <c r="J373" s="37"/>
      <c r="K373" s="38">
        <f t="shared" si="5"/>
        <v>8303.93</v>
      </c>
      <c r="L373" s="38"/>
    </row>
    <row r="374" spans="1:12" ht="14.5" x14ac:dyDescent="0.35">
      <c r="A374" s="45" t="s">
        <v>3588</v>
      </c>
      <c r="C374" s="36">
        <v>45899</v>
      </c>
      <c r="D374" s="36" t="s">
        <v>2487</v>
      </c>
      <c r="E374" s="37" t="s">
        <v>2999</v>
      </c>
      <c r="F374" s="37" t="s">
        <v>4026</v>
      </c>
      <c r="G374" s="38">
        <v>65.73</v>
      </c>
      <c r="H374" s="38">
        <v>0</v>
      </c>
      <c r="I374" s="37"/>
      <c r="J374" s="37"/>
      <c r="K374" s="38">
        <f t="shared" si="5"/>
        <v>65.73</v>
      </c>
      <c r="L374" s="38"/>
    </row>
    <row r="375" spans="1:12" ht="14.5" x14ac:dyDescent="0.35">
      <c r="A375" s="45" t="s">
        <v>3588</v>
      </c>
      <c r="C375" s="36">
        <v>45899</v>
      </c>
      <c r="D375" s="36" t="s">
        <v>2291</v>
      </c>
      <c r="E375" s="37" t="s">
        <v>3000</v>
      </c>
      <c r="F375" s="37" t="s">
        <v>4026</v>
      </c>
      <c r="G375" s="38">
        <v>1140</v>
      </c>
      <c r="H375" s="38">
        <v>0</v>
      </c>
      <c r="I375" s="37"/>
      <c r="J375" s="37"/>
      <c r="K375" s="38">
        <f t="shared" si="5"/>
        <v>1140</v>
      </c>
      <c r="L375" s="38"/>
    </row>
    <row r="376" spans="1:12" ht="14.5" x14ac:dyDescent="0.35">
      <c r="A376" s="45" t="s">
        <v>3588</v>
      </c>
      <c r="C376" s="36">
        <v>45899</v>
      </c>
      <c r="D376" s="36" t="s">
        <v>2291</v>
      </c>
      <c r="E376" s="37" t="s">
        <v>3001</v>
      </c>
      <c r="F376" s="37" t="s">
        <v>4026</v>
      </c>
      <c r="G376" s="38">
        <v>6.21</v>
      </c>
      <c r="H376" s="38">
        <v>0</v>
      </c>
      <c r="I376" s="37"/>
      <c r="J376" s="37"/>
      <c r="K376" s="38">
        <f t="shared" si="5"/>
        <v>6.21</v>
      </c>
      <c r="L376" s="38"/>
    </row>
    <row r="377" spans="1:12" ht="14.5" x14ac:dyDescent="0.35">
      <c r="A377" s="45" t="s">
        <v>3588</v>
      </c>
      <c r="C377" s="36">
        <v>45899</v>
      </c>
      <c r="D377" s="36" t="s">
        <v>2291</v>
      </c>
      <c r="E377" s="37" t="s">
        <v>3002</v>
      </c>
      <c r="F377" s="37" t="s">
        <v>4026</v>
      </c>
      <c r="G377" s="38">
        <v>5053</v>
      </c>
      <c r="H377" s="38">
        <v>0</v>
      </c>
      <c r="I377" s="37"/>
      <c r="J377" s="37"/>
      <c r="K377" s="38">
        <f t="shared" si="5"/>
        <v>5053</v>
      </c>
      <c r="L377" s="38"/>
    </row>
    <row r="378" spans="1:12" ht="14.5" x14ac:dyDescent="0.35">
      <c r="A378" s="45" t="s">
        <v>3588</v>
      </c>
      <c r="C378" s="36">
        <v>45899</v>
      </c>
      <c r="D378" s="36" t="s">
        <v>2291</v>
      </c>
      <c r="E378" s="37" t="s">
        <v>3003</v>
      </c>
      <c r="F378" s="37" t="s">
        <v>4026</v>
      </c>
      <c r="G378" s="38">
        <v>2065.04</v>
      </c>
      <c r="H378" s="38">
        <v>0</v>
      </c>
      <c r="I378" s="37"/>
      <c r="J378" s="37"/>
      <c r="K378" s="38">
        <f t="shared" si="5"/>
        <v>2065.04</v>
      </c>
      <c r="L378" s="38"/>
    </row>
    <row r="379" spans="1:12" ht="14.5" x14ac:dyDescent="0.35">
      <c r="A379" s="45" t="s">
        <v>3588</v>
      </c>
      <c r="C379" s="36">
        <v>45899</v>
      </c>
      <c r="D379" s="36" t="s">
        <v>2291</v>
      </c>
      <c r="E379" s="37" t="s">
        <v>3004</v>
      </c>
      <c r="F379" s="37" t="s">
        <v>4026</v>
      </c>
      <c r="G379" s="38">
        <v>105.95</v>
      </c>
      <c r="H379" s="38">
        <v>0</v>
      </c>
      <c r="I379" s="37"/>
      <c r="J379" s="37"/>
      <c r="K379" s="38">
        <f t="shared" si="5"/>
        <v>105.95</v>
      </c>
      <c r="L379" s="38"/>
    </row>
    <row r="380" spans="1:12" ht="14.5" x14ac:dyDescent="0.35">
      <c r="A380" s="45" t="s">
        <v>3588</v>
      </c>
      <c r="C380" s="36">
        <v>45899</v>
      </c>
      <c r="D380" s="36" t="s">
        <v>2291</v>
      </c>
      <c r="E380" s="37" t="s">
        <v>3005</v>
      </c>
      <c r="F380" s="37" t="s">
        <v>4026</v>
      </c>
      <c r="G380" s="38">
        <v>46.36</v>
      </c>
      <c r="H380" s="38">
        <v>0</v>
      </c>
      <c r="I380" s="37"/>
      <c r="J380" s="37"/>
      <c r="K380" s="38">
        <f t="shared" si="5"/>
        <v>46.36</v>
      </c>
      <c r="L380" s="38"/>
    </row>
    <row r="381" spans="1:12" ht="14.5" x14ac:dyDescent="0.35">
      <c r="A381" s="45" t="s">
        <v>3588</v>
      </c>
      <c r="C381" s="36">
        <v>45899</v>
      </c>
      <c r="D381" s="36" t="s">
        <v>2291</v>
      </c>
      <c r="E381" s="37" t="s">
        <v>3006</v>
      </c>
      <c r="F381" s="37" t="s">
        <v>4026</v>
      </c>
      <c r="G381" s="38">
        <v>51.34</v>
      </c>
      <c r="H381" s="38">
        <v>0</v>
      </c>
      <c r="I381" s="37"/>
      <c r="J381" s="37"/>
      <c r="K381" s="38">
        <f t="shared" si="5"/>
        <v>51.34</v>
      </c>
      <c r="L381" s="38"/>
    </row>
    <row r="382" spans="1:12" ht="14.5" x14ac:dyDescent="0.35">
      <c r="A382" s="45" t="s">
        <v>3588</v>
      </c>
      <c r="C382" s="36">
        <v>45899</v>
      </c>
      <c r="D382" s="36" t="s">
        <v>2291</v>
      </c>
      <c r="E382" s="37" t="s">
        <v>3007</v>
      </c>
      <c r="F382" s="37" t="s">
        <v>4026</v>
      </c>
      <c r="G382" s="38">
        <v>22.57</v>
      </c>
      <c r="H382" s="38">
        <v>0</v>
      </c>
      <c r="I382" s="37"/>
      <c r="J382" s="37"/>
      <c r="K382" s="38">
        <f t="shared" si="5"/>
        <v>22.57</v>
      </c>
      <c r="L382" s="38"/>
    </row>
    <row r="383" spans="1:12" ht="14.5" x14ac:dyDescent="0.35">
      <c r="A383" s="45" t="s">
        <v>3588</v>
      </c>
      <c r="C383" s="36">
        <v>45899</v>
      </c>
      <c r="D383" s="36" t="s">
        <v>2429</v>
      </c>
      <c r="E383" s="37" t="s">
        <v>3008</v>
      </c>
      <c r="F383" s="37" t="s">
        <v>4026</v>
      </c>
      <c r="G383" s="38">
        <v>2486.4</v>
      </c>
      <c r="H383" s="38">
        <v>0</v>
      </c>
      <c r="I383" s="37"/>
      <c r="J383" s="37"/>
      <c r="K383" s="38">
        <f t="shared" si="5"/>
        <v>2486.4</v>
      </c>
      <c r="L383" s="38"/>
    </row>
    <row r="384" spans="1:12" ht="14.5" x14ac:dyDescent="0.35">
      <c r="A384" s="45" t="s">
        <v>3588</v>
      </c>
      <c r="C384" s="36">
        <v>45899</v>
      </c>
      <c r="D384" s="36" t="s">
        <v>2429</v>
      </c>
      <c r="E384" s="37" t="s">
        <v>3009</v>
      </c>
      <c r="F384" s="37" t="s">
        <v>4026</v>
      </c>
      <c r="G384" s="38">
        <v>4608.1499999999987</v>
      </c>
      <c r="H384" s="38">
        <v>0</v>
      </c>
      <c r="I384" s="37"/>
      <c r="J384" s="37"/>
      <c r="K384" s="38">
        <f t="shared" si="5"/>
        <v>4608.1499999999987</v>
      </c>
      <c r="L384" s="38"/>
    </row>
    <row r="385" spans="1:12" ht="14.5" x14ac:dyDescent="0.35">
      <c r="A385" s="45" t="s">
        <v>3588</v>
      </c>
      <c r="C385" s="36">
        <v>45899</v>
      </c>
      <c r="D385" s="36" t="s">
        <v>2429</v>
      </c>
      <c r="E385" s="37" t="s">
        <v>3010</v>
      </c>
      <c r="F385" s="37" t="s">
        <v>4026</v>
      </c>
      <c r="G385" s="38">
        <v>12.11</v>
      </c>
      <c r="H385" s="38">
        <v>0</v>
      </c>
      <c r="I385" s="37"/>
      <c r="J385" s="37"/>
      <c r="K385" s="38">
        <f t="shared" si="5"/>
        <v>12.11</v>
      </c>
      <c r="L385" s="38"/>
    </row>
    <row r="386" spans="1:12" ht="14.5" x14ac:dyDescent="0.35">
      <c r="A386" s="45" t="s">
        <v>3588</v>
      </c>
      <c r="C386" s="36">
        <v>45899</v>
      </c>
      <c r="D386" s="36" t="s">
        <v>1179</v>
      </c>
      <c r="E386" s="37" t="s">
        <v>3011</v>
      </c>
      <c r="F386" s="37" t="s">
        <v>4026</v>
      </c>
      <c r="G386" s="38">
        <v>2730.26</v>
      </c>
      <c r="H386" s="38">
        <v>0</v>
      </c>
      <c r="I386" s="37"/>
      <c r="J386" s="37"/>
      <c r="K386" s="38">
        <f t="shared" si="5"/>
        <v>2730.26</v>
      </c>
      <c r="L386" s="38"/>
    </row>
    <row r="387" spans="1:12" ht="14.5" x14ac:dyDescent="0.35">
      <c r="A387" s="45" t="s">
        <v>3588</v>
      </c>
      <c r="C387" s="36">
        <v>45899</v>
      </c>
      <c r="D387" s="36" t="s">
        <v>1179</v>
      </c>
      <c r="E387" s="37" t="s">
        <v>3012</v>
      </c>
      <c r="F387" s="37" t="s">
        <v>4026</v>
      </c>
      <c r="G387" s="38">
        <v>6236.43</v>
      </c>
      <c r="H387" s="38">
        <v>0</v>
      </c>
      <c r="I387" s="37"/>
      <c r="J387" s="37"/>
      <c r="K387" s="38">
        <f t="shared" si="5"/>
        <v>6236.43</v>
      </c>
      <c r="L387" s="38"/>
    </row>
    <row r="388" spans="1:12" ht="14.5" x14ac:dyDescent="0.35">
      <c r="A388" s="45" t="s">
        <v>3588</v>
      </c>
      <c r="C388" s="36">
        <v>45899</v>
      </c>
      <c r="D388" s="36" t="s">
        <v>1179</v>
      </c>
      <c r="E388" s="37" t="s">
        <v>3013</v>
      </c>
      <c r="F388" s="37" t="s">
        <v>4026</v>
      </c>
      <c r="G388" s="38">
        <v>85.63</v>
      </c>
      <c r="H388" s="38">
        <v>0</v>
      </c>
      <c r="I388" s="37"/>
      <c r="J388" s="37"/>
      <c r="K388" s="38">
        <f t="shared" si="5"/>
        <v>85.63</v>
      </c>
      <c r="L388" s="38"/>
    </row>
    <row r="389" spans="1:12" ht="14.5" x14ac:dyDescent="0.35">
      <c r="A389" s="45" t="s">
        <v>3588</v>
      </c>
      <c r="C389" s="36">
        <v>45899</v>
      </c>
      <c r="D389" s="36" t="s">
        <v>1179</v>
      </c>
      <c r="E389" s="37" t="s">
        <v>3014</v>
      </c>
      <c r="F389" s="37" t="s">
        <v>4026</v>
      </c>
      <c r="G389" s="38">
        <v>0.53</v>
      </c>
      <c r="H389" s="38">
        <v>0</v>
      </c>
      <c r="I389" s="37"/>
      <c r="J389" s="37"/>
      <c r="K389" s="38">
        <f t="shared" ref="K389:K452" si="6">G389-H389</f>
        <v>0.53</v>
      </c>
      <c r="L389" s="38"/>
    </row>
    <row r="390" spans="1:12" ht="14.5" x14ac:dyDescent="0.35">
      <c r="A390" s="45" t="s">
        <v>3588</v>
      </c>
      <c r="C390" s="36">
        <v>45899</v>
      </c>
      <c r="D390" s="36" t="s">
        <v>1363</v>
      </c>
      <c r="E390" s="37" t="s">
        <v>3015</v>
      </c>
      <c r="F390" s="37" t="s">
        <v>4026</v>
      </c>
      <c r="G390" s="38">
        <v>623.19000000000005</v>
      </c>
      <c r="H390" s="38">
        <v>0</v>
      </c>
      <c r="I390" s="37"/>
      <c r="J390" s="37"/>
      <c r="K390" s="38">
        <f t="shared" si="6"/>
        <v>623.19000000000005</v>
      </c>
      <c r="L390" s="38"/>
    </row>
    <row r="391" spans="1:12" ht="14.5" x14ac:dyDescent="0.35">
      <c r="A391" s="45" t="s">
        <v>3588</v>
      </c>
      <c r="C391" s="36">
        <v>45899</v>
      </c>
      <c r="D391" s="36" t="s">
        <v>1363</v>
      </c>
      <c r="E391" s="37" t="s">
        <v>3016</v>
      </c>
      <c r="F391" s="37" t="s">
        <v>4026</v>
      </c>
      <c r="G391" s="38">
        <v>1364.3700000000001</v>
      </c>
      <c r="H391" s="38">
        <v>0</v>
      </c>
      <c r="I391" s="37"/>
      <c r="J391" s="37"/>
      <c r="K391" s="38">
        <f t="shared" si="6"/>
        <v>1364.3700000000001</v>
      </c>
      <c r="L391" s="38"/>
    </row>
    <row r="392" spans="1:12" ht="14.5" x14ac:dyDescent="0.35">
      <c r="A392" s="45" t="s">
        <v>3588</v>
      </c>
      <c r="C392" s="36">
        <v>45899</v>
      </c>
      <c r="D392" s="36" t="s">
        <v>1426</v>
      </c>
      <c r="E392" s="37" t="s">
        <v>3017</v>
      </c>
      <c r="F392" s="37" t="s">
        <v>4026</v>
      </c>
      <c r="G392" s="38">
        <v>22936.530000000002</v>
      </c>
      <c r="H392" s="38">
        <v>0</v>
      </c>
      <c r="I392" s="37"/>
      <c r="J392" s="37"/>
      <c r="K392" s="38">
        <f t="shared" si="6"/>
        <v>22936.530000000002</v>
      </c>
      <c r="L392" s="38"/>
    </row>
    <row r="393" spans="1:12" ht="14.5" x14ac:dyDescent="0.35">
      <c r="A393" s="45" t="s">
        <v>3588</v>
      </c>
      <c r="C393" s="36">
        <v>45899</v>
      </c>
      <c r="D393" s="36" t="s">
        <v>1426</v>
      </c>
      <c r="E393" s="37" t="s">
        <v>3018</v>
      </c>
      <c r="F393" s="37" t="s">
        <v>4026</v>
      </c>
      <c r="G393" s="38">
        <v>1125.1100000000001</v>
      </c>
      <c r="H393" s="38">
        <v>0</v>
      </c>
      <c r="I393" s="37"/>
      <c r="J393" s="37"/>
      <c r="K393" s="38">
        <f t="shared" si="6"/>
        <v>1125.1100000000001</v>
      </c>
      <c r="L393" s="38"/>
    </row>
    <row r="394" spans="1:12" ht="14.5" x14ac:dyDescent="0.35">
      <c r="A394" s="45" t="s">
        <v>3588</v>
      </c>
      <c r="C394" s="36">
        <v>45899</v>
      </c>
      <c r="D394" s="36" t="s">
        <v>1426</v>
      </c>
      <c r="E394" s="37" t="s">
        <v>3019</v>
      </c>
      <c r="F394" s="37" t="s">
        <v>4026</v>
      </c>
      <c r="G394" s="38">
        <v>400.53</v>
      </c>
      <c r="H394" s="38">
        <v>0</v>
      </c>
      <c r="I394" s="37"/>
      <c r="J394" s="37"/>
      <c r="K394" s="38">
        <f t="shared" si="6"/>
        <v>400.53</v>
      </c>
      <c r="L394" s="38"/>
    </row>
    <row r="395" spans="1:12" ht="14.5" x14ac:dyDescent="0.35">
      <c r="A395" s="45" t="s">
        <v>3588</v>
      </c>
      <c r="C395" s="36">
        <v>45899</v>
      </c>
      <c r="D395" s="36" t="s">
        <v>1426</v>
      </c>
      <c r="E395" s="37" t="s">
        <v>3020</v>
      </c>
      <c r="F395" s="37" t="s">
        <v>4026</v>
      </c>
      <c r="G395" s="38">
        <v>33.26</v>
      </c>
      <c r="H395" s="38">
        <v>0</v>
      </c>
      <c r="I395" s="37"/>
      <c r="J395" s="37"/>
      <c r="K395" s="38">
        <f t="shared" si="6"/>
        <v>33.26</v>
      </c>
      <c r="L395" s="38"/>
    </row>
    <row r="396" spans="1:12" ht="14.5" x14ac:dyDescent="0.35">
      <c r="A396" s="45" t="s">
        <v>3588</v>
      </c>
      <c r="C396" s="36">
        <v>45899</v>
      </c>
      <c r="D396" s="36" t="s">
        <v>1426</v>
      </c>
      <c r="E396" s="37" t="s">
        <v>3021</v>
      </c>
      <c r="F396" s="37" t="s">
        <v>4026</v>
      </c>
      <c r="G396" s="38">
        <v>1023.83</v>
      </c>
      <c r="H396" s="38">
        <v>0</v>
      </c>
      <c r="I396" s="37"/>
      <c r="J396" s="37"/>
      <c r="K396" s="38">
        <f t="shared" si="6"/>
        <v>1023.83</v>
      </c>
      <c r="L396" s="38"/>
    </row>
    <row r="397" spans="1:12" ht="14.5" x14ac:dyDescent="0.35">
      <c r="A397" s="45" t="s">
        <v>3588</v>
      </c>
      <c r="C397" s="36">
        <v>45899</v>
      </c>
      <c r="D397" s="36" t="s">
        <v>1426</v>
      </c>
      <c r="E397" s="37" t="s">
        <v>3022</v>
      </c>
      <c r="F397" s="37" t="s">
        <v>4026</v>
      </c>
      <c r="G397" s="38">
        <v>1056.4599999999998</v>
      </c>
      <c r="H397" s="38">
        <v>0</v>
      </c>
      <c r="I397" s="37"/>
      <c r="J397" s="37"/>
      <c r="K397" s="38">
        <f t="shared" si="6"/>
        <v>1056.4599999999998</v>
      </c>
      <c r="L397" s="38"/>
    </row>
    <row r="398" spans="1:12" ht="14.5" x14ac:dyDescent="0.35">
      <c r="A398" s="45" t="s">
        <v>3588</v>
      </c>
      <c r="C398" s="36">
        <v>45899</v>
      </c>
      <c r="D398" s="36" t="s">
        <v>1426</v>
      </c>
      <c r="E398" s="37" t="s">
        <v>3023</v>
      </c>
      <c r="F398" s="37" t="s">
        <v>4026</v>
      </c>
      <c r="G398" s="38">
        <v>4.82</v>
      </c>
      <c r="H398" s="38">
        <v>0</v>
      </c>
      <c r="I398" s="37"/>
      <c r="J398" s="37"/>
      <c r="K398" s="38">
        <f t="shared" si="6"/>
        <v>4.82</v>
      </c>
      <c r="L398" s="38"/>
    </row>
    <row r="399" spans="1:12" ht="14.5" x14ac:dyDescent="0.35">
      <c r="A399" s="45" t="s">
        <v>3588</v>
      </c>
      <c r="C399" s="36">
        <v>45899</v>
      </c>
      <c r="D399" s="36" t="s">
        <v>1426</v>
      </c>
      <c r="E399" s="37" t="s">
        <v>3024</v>
      </c>
      <c r="F399" s="37" t="s">
        <v>4026</v>
      </c>
      <c r="G399" s="38">
        <v>5567.82</v>
      </c>
      <c r="H399" s="38">
        <v>0</v>
      </c>
      <c r="I399" s="37"/>
      <c r="J399" s="37"/>
      <c r="K399" s="38">
        <f t="shared" si="6"/>
        <v>5567.82</v>
      </c>
      <c r="L399" s="38"/>
    </row>
    <row r="400" spans="1:12" ht="14.5" x14ac:dyDescent="0.35">
      <c r="A400" s="45" t="s">
        <v>3588</v>
      </c>
      <c r="C400" s="36">
        <v>45899</v>
      </c>
      <c r="D400" s="36" t="s">
        <v>1426</v>
      </c>
      <c r="E400" s="37" t="s">
        <v>3026</v>
      </c>
      <c r="F400" s="37" t="s">
        <v>4026</v>
      </c>
      <c r="G400" s="38">
        <v>682.07</v>
      </c>
      <c r="H400" s="38">
        <v>0</v>
      </c>
      <c r="I400" s="37"/>
      <c r="J400" s="37"/>
      <c r="K400" s="38">
        <f t="shared" si="6"/>
        <v>682.07</v>
      </c>
      <c r="L400" s="38"/>
    </row>
    <row r="401" spans="1:12" ht="14.5" x14ac:dyDescent="0.35">
      <c r="A401" s="45" t="s">
        <v>3588</v>
      </c>
      <c r="C401" s="36">
        <v>45899</v>
      </c>
      <c r="D401" s="36" t="s">
        <v>1426</v>
      </c>
      <c r="E401" s="37" t="s">
        <v>3027</v>
      </c>
      <c r="F401" s="37" t="s">
        <v>4026</v>
      </c>
      <c r="G401" s="38">
        <v>5592.1</v>
      </c>
      <c r="H401" s="38">
        <v>0</v>
      </c>
      <c r="I401" s="37"/>
      <c r="J401" s="37"/>
      <c r="K401" s="38">
        <f t="shared" si="6"/>
        <v>5592.1</v>
      </c>
      <c r="L401" s="38"/>
    </row>
    <row r="402" spans="1:12" ht="14.5" x14ac:dyDescent="0.35">
      <c r="A402" s="45" t="s">
        <v>3588</v>
      </c>
      <c r="C402" s="36">
        <v>45899</v>
      </c>
      <c r="D402" s="36" t="s">
        <v>1426</v>
      </c>
      <c r="E402" s="37" t="s">
        <v>3028</v>
      </c>
      <c r="F402" s="37" t="s">
        <v>4026</v>
      </c>
      <c r="G402" s="38">
        <v>270.95000000000005</v>
      </c>
      <c r="H402" s="38">
        <v>0</v>
      </c>
      <c r="I402" s="37"/>
      <c r="J402" s="37"/>
      <c r="K402" s="38">
        <f t="shared" si="6"/>
        <v>270.95000000000005</v>
      </c>
      <c r="L402" s="38"/>
    </row>
    <row r="403" spans="1:12" ht="14.5" x14ac:dyDescent="0.35">
      <c r="A403" s="45" t="s">
        <v>3588</v>
      </c>
      <c r="C403" s="36">
        <v>45899</v>
      </c>
      <c r="D403" s="36" t="s">
        <v>1426</v>
      </c>
      <c r="E403" s="37" t="s">
        <v>3029</v>
      </c>
      <c r="F403" s="37" t="s">
        <v>4026</v>
      </c>
      <c r="G403" s="38">
        <v>0.4</v>
      </c>
      <c r="H403" s="38">
        <v>0</v>
      </c>
      <c r="I403" s="37"/>
      <c r="J403" s="37"/>
      <c r="K403" s="38">
        <f t="shared" si="6"/>
        <v>0.4</v>
      </c>
      <c r="L403" s="38"/>
    </row>
    <row r="404" spans="1:12" ht="14.5" x14ac:dyDescent="0.35">
      <c r="A404" s="45" t="s">
        <v>3588</v>
      </c>
      <c r="C404" s="36">
        <v>45899</v>
      </c>
      <c r="D404" s="36" t="s">
        <v>1426</v>
      </c>
      <c r="E404" s="37" t="s">
        <v>3030</v>
      </c>
      <c r="F404" s="37" t="s">
        <v>4026</v>
      </c>
      <c r="G404" s="38">
        <v>225.61</v>
      </c>
      <c r="H404" s="38">
        <v>0</v>
      </c>
      <c r="I404" s="37"/>
      <c r="J404" s="37"/>
      <c r="K404" s="38">
        <f t="shared" si="6"/>
        <v>225.61</v>
      </c>
      <c r="L404" s="38"/>
    </row>
    <row r="405" spans="1:12" ht="14.5" x14ac:dyDescent="0.35">
      <c r="A405" s="45" t="s">
        <v>3588</v>
      </c>
      <c r="C405" s="36">
        <v>45899</v>
      </c>
      <c r="D405" s="36" t="s">
        <v>1924</v>
      </c>
      <c r="E405" s="37" t="s">
        <v>3031</v>
      </c>
      <c r="F405" s="37" t="s">
        <v>4026</v>
      </c>
      <c r="G405" s="38">
        <v>51.34</v>
      </c>
      <c r="H405" s="38">
        <v>0</v>
      </c>
      <c r="I405" s="37"/>
      <c r="J405" s="37"/>
      <c r="K405" s="38">
        <f t="shared" si="6"/>
        <v>51.34</v>
      </c>
      <c r="L405" s="38"/>
    </row>
    <row r="406" spans="1:12" ht="14.5" x14ac:dyDescent="0.35">
      <c r="A406" s="45" t="s">
        <v>3588</v>
      </c>
      <c r="C406" s="36">
        <v>45899</v>
      </c>
      <c r="D406" s="36" t="s">
        <v>1924</v>
      </c>
      <c r="E406" s="37" t="s">
        <v>3032</v>
      </c>
      <c r="F406" s="37" t="s">
        <v>4026</v>
      </c>
      <c r="G406" s="38">
        <v>183.65</v>
      </c>
      <c r="H406" s="38">
        <v>0</v>
      </c>
      <c r="I406" s="37"/>
      <c r="J406" s="37"/>
      <c r="K406" s="38">
        <f t="shared" si="6"/>
        <v>183.65</v>
      </c>
      <c r="L406" s="38"/>
    </row>
    <row r="407" spans="1:12" ht="14.5" x14ac:dyDescent="0.35">
      <c r="A407" s="45" t="s">
        <v>3588</v>
      </c>
      <c r="C407" s="36">
        <v>45899</v>
      </c>
      <c r="D407" s="36" t="s">
        <v>1924</v>
      </c>
      <c r="E407" s="37" t="s">
        <v>3033</v>
      </c>
      <c r="F407" s="37" t="s">
        <v>4026</v>
      </c>
      <c r="G407" s="38">
        <v>155.03</v>
      </c>
      <c r="H407" s="38">
        <v>0</v>
      </c>
      <c r="I407" s="37"/>
      <c r="J407" s="37"/>
      <c r="K407" s="38">
        <f t="shared" si="6"/>
        <v>155.03</v>
      </c>
      <c r="L407" s="38"/>
    </row>
    <row r="408" spans="1:12" ht="14.5" x14ac:dyDescent="0.35">
      <c r="A408" s="45" t="s">
        <v>3588</v>
      </c>
      <c r="C408" s="36">
        <v>45899</v>
      </c>
      <c r="D408" s="36" t="s">
        <v>1924</v>
      </c>
      <c r="E408" s="37" t="s">
        <v>3034</v>
      </c>
      <c r="F408" s="37" t="s">
        <v>4026</v>
      </c>
      <c r="G408" s="38">
        <v>333.59</v>
      </c>
      <c r="H408" s="38">
        <v>0</v>
      </c>
      <c r="I408" s="37"/>
      <c r="J408" s="37"/>
      <c r="K408" s="38">
        <f t="shared" si="6"/>
        <v>333.59</v>
      </c>
      <c r="L408" s="38"/>
    </row>
    <row r="409" spans="1:12" ht="14.5" x14ac:dyDescent="0.35">
      <c r="A409" s="45" t="s">
        <v>3588</v>
      </c>
      <c r="C409" s="36">
        <v>45899</v>
      </c>
      <c r="D409" s="36" t="s">
        <v>1924</v>
      </c>
      <c r="E409" s="37" t="s">
        <v>3035</v>
      </c>
      <c r="F409" s="37" t="s">
        <v>4026</v>
      </c>
      <c r="G409" s="38">
        <v>4910.16</v>
      </c>
      <c r="H409" s="38">
        <v>0</v>
      </c>
      <c r="I409" s="37"/>
      <c r="J409" s="37"/>
      <c r="K409" s="38">
        <f t="shared" si="6"/>
        <v>4910.16</v>
      </c>
      <c r="L409" s="38"/>
    </row>
    <row r="410" spans="1:12" ht="14.5" x14ac:dyDescent="0.35">
      <c r="A410" s="45" t="s">
        <v>3588</v>
      </c>
      <c r="C410" s="36">
        <v>45899</v>
      </c>
      <c r="D410" s="36" t="s">
        <v>3452</v>
      </c>
      <c r="E410" s="37" t="s">
        <v>3036</v>
      </c>
      <c r="F410" s="37" t="s">
        <v>4026</v>
      </c>
      <c r="G410" s="38">
        <v>45.53</v>
      </c>
      <c r="H410" s="38">
        <v>0</v>
      </c>
      <c r="I410" s="37"/>
      <c r="J410" s="37"/>
      <c r="K410" s="38">
        <f t="shared" si="6"/>
        <v>45.53</v>
      </c>
      <c r="L410" s="38"/>
    </row>
    <row r="411" spans="1:12" ht="14.5" x14ac:dyDescent="0.35">
      <c r="A411" s="45" t="s">
        <v>3588</v>
      </c>
      <c r="C411" s="36">
        <v>45899</v>
      </c>
      <c r="D411" s="36" t="s">
        <v>3452</v>
      </c>
      <c r="E411" s="37" t="s">
        <v>3038</v>
      </c>
      <c r="F411" s="37" t="s">
        <v>4026</v>
      </c>
      <c r="G411" s="38">
        <v>3.83</v>
      </c>
      <c r="H411" s="38">
        <v>0</v>
      </c>
      <c r="I411" s="37"/>
      <c r="J411" s="37"/>
      <c r="K411" s="38">
        <f t="shared" si="6"/>
        <v>3.83</v>
      </c>
      <c r="L411" s="38"/>
    </row>
    <row r="412" spans="1:12" ht="14.5" x14ac:dyDescent="0.35">
      <c r="A412" s="45" t="s">
        <v>3588</v>
      </c>
      <c r="C412" s="36">
        <v>45899</v>
      </c>
      <c r="D412" s="36" t="s">
        <v>1004</v>
      </c>
      <c r="E412" s="37" t="s">
        <v>3039</v>
      </c>
      <c r="F412" s="37" t="s">
        <v>4026</v>
      </c>
      <c r="G412" s="38">
        <v>45.6</v>
      </c>
      <c r="H412" s="38">
        <v>0</v>
      </c>
      <c r="I412" s="37"/>
      <c r="J412" s="37"/>
      <c r="K412" s="38">
        <f t="shared" si="6"/>
        <v>45.6</v>
      </c>
      <c r="L412" s="38"/>
    </row>
    <row r="413" spans="1:12" ht="14.5" x14ac:dyDescent="0.35">
      <c r="A413" s="45" t="s">
        <v>3588</v>
      </c>
      <c r="C413" s="36">
        <v>45899</v>
      </c>
      <c r="D413" s="36" t="s">
        <v>1004</v>
      </c>
      <c r="E413" s="37" t="s">
        <v>3040</v>
      </c>
      <c r="F413" s="37" t="s">
        <v>4026</v>
      </c>
      <c r="G413" s="38">
        <v>1075.21</v>
      </c>
      <c r="H413" s="38">
        <v>0</v>
      </c>
      <c r="I413" s="37"/>
      <c r="J413" s="37"/>
      <c r="K413" s="38">
        <f t="shared" si="6"/>
        <v>1075.21</v>
      </c>
      <c r="L413" s="38"/>
    </row>
    <row r="414" spans="1:12" ht="14.5" x14ac:dyDescent="0.35">
      <c r="A414" s="45" t="s">
        <v>3588</v>
      </c>
      <c r="C414" s="36">
        <v>45899</v>
      </c>
      <c r="D414" s="36" t="s">
        <v>1004</v>
      </c>
      <c r="E414" s="37" t="s">
        <v>3041</v>
      </c>
      <c r="F414" s="37" t="s">
        <v>4026</v>
      </c>
      <c r="G414" s="38">
        <v>5.58</v>
      </c>
      <c r="H414" s="38">
        <v>0</v>
      </c>
      <c r="I414" s="37"/>
      <c r="J414" s="37"/>
      <c r="K414" s="38">
        <f t="shared" si="6"/>
        <v>5.58</v>
      </c>
      <c r="L414" s="38"/>
    </row>
    <row r="415" spans="1:12" ht="14.5" x14ac:dyDescent="0.35">
      <c r="A415" s="45" t="s">
        <v>3588</v>
      </c>
      <c r="C415" s="36">
        <v>45899</v>
      </c>
      <c r="D415" s="36" t="s">
        <v>1684</v>
      </c>
      <c r="E415" s="37" t="s">
        <v>3042</v>
      </c>
      <c r="F415" s="37" t="s">
        <v>4026</v>
      </c>
      <c r="G415" s="38">
        <v>640.16999999999996</v>
      </c>
      <c r="H415" s="38">
        <v>0</v>
      </c>
      <c r="I415" s="37"/>
      <c r="J415" s="37"/>
      <c r="K415" s="38">
        <f t="shared" si="6"/>
        <v>640.16999999999996</v>
      </c>
      <c r="L415" s="38"/>
    </row>
    <row r="416" spans="1:12" ht="14.5" x14ac:dyDescent="0.35">
      <c r="A416" s="45" t="s">
        <v>3588</v>
      </c>
      <c r="C416" s="36">
        <v>45899</v>
      </c>
      <c r="D416" s="36" t="s">
        <v>1684</v>
      </c>
      <c r="E416" s="37" t="s">
        <v>3043</v>
      </c>
      <c r="F416" s="37" t="s">
        <v>4026</v>
      </c>
      <c r="G416" s="38">
        <v>2343.17</v>
      </c>
      <c r="H416" s="38">
        <v>0</v>
      </c>
      <c r="I416" s="37"/>
      <c r="J416" s="37"/>
      <c r="K416" s="38">
        <f t="shared" si="6"/>
        <v>2343.17</v>
      </c>
      <c r="L416" s="38"/>
    </row>
    <row r="417" spans="1:12" ht="14.5" x14ac:dyDescent="0.35">
      <c r="A417" s="45" t="s">
        <v>3588</v>
      </c>
      <c r="C417" s="36">
        <v>45899</v>
      </c>
      <c r="D417" s="36" t="s">
        <v>1684</v>
      </c>
      <c r="E417" s="37" t="s">
        <v>3044</v>
      </c>
      <c r="F417" s="37" t="s">
        <v>4026</v>
      </c>
      <c r="G417" s="38">
        <v>3615.25</v>
      </c>
      <c r="H417" s="38">
        <v>0</v>
      </c>
      <c r="I417" s="37"/>
      <c r="J417" s="37"/>
      <c r="K417" s="38">
        <f t="shared" si="6"/>
        <v>3615.25</v>
      </c>
      <c r="L417" s="38"/>
    </row>
    <row r="418" spans="1:12" ht="14.5" x14ac:dyDescent="0.35">
      <c r="A418" s="45" t="s">
        <v>3588</v>
      </c>
      <c r="C418" s="36">
        <v>45899</v>
      </c>
      <c r="D418" s="36" t="s">
        <v>1358</v>
      </c>
      <c r="E418" s="37" t="s">
        <v>3045</v>
      </c>
      <c r="F418" s="37" t="s">
        <v>4026</v>
      </c>
      <c r="G418" s="38">
        <v>1486.6799999999998</v>
      </c>
      <c r="H418" s="38">
        <v>0</v>
      </c>
      <c r="I418" s="37"/>
      <c r="J418" s="37"/>
      <c r="K418" s="38">
        <f t="shared" si="6"/>
        <v>1486.6799999999998</v>
      </c>
      <c r="L418" s="38"/>
    </row>
    <row r="419" spans="1:12" ht="14.5" x14ac:dyDescent="0.35">
      <c r="A419" s="45" t="s">
        <v>3588</v>
      </c>
      <c r="C419" s="36">
        <v>45899</v>
      </c>
      <c r="D419" s="36" t="s">
        <v>1358</v>
      </c>
      <c r="E419" s="37" t="s">
        <v>3046</v>
      </c>
      <c r="F419" s="37" t="s">
        <v>4026</v>
      </c>
      <c r="G419" s="38">
        <v>92.31</v>
      </c>
      <c r="H419" s="38">
        <v>0</v>
      </c>
      <c r="I419" s="37"/>
      <c r="J419" s="37"/>
      <c r="K419" s="38">
        <f t="shared" si="6"/>
        <v>92.31</v>
      </c>
      <c r="L419" s="38"/>
    </row>
    <row r="420" spans="1:12" ht="14.5" x14ac:dyDescent="0.35">
      <c r="A420" s="45" t="s">
        <v>3588</v>
      </c>
      <c r="C420" s="36">
        <v>45899</v>
      </c>
      <c r="D420" s="36" t="s">
        <v>1358</v>
      </c>
      <c r="E420" s="37" t="s">
        <v>3047</v>
      </c>
      <c r="F420" s="37" t="s">
        <v>4026</v>
      </c>
      <c r="G420" s="38">
        <v>1587.7099999999998</v>
      </c>
      <c r="H420" s="38">
        <v>0</v>
      </c>
      <c r="I420" s="37"/>
      <c r="J420" s="37"/>
      <c r="K420" s="38">
        <f t="shared" si="6"/>
        <v>1587.7099999999998</v>
      </c>
      <c r="L420" s="38"/>
    </row>
    <row r="421" spans="1:12" ht="14.5" x14ac:dyDescent="0.35">
      <c r="A421" s="45" t="s">
        <v>3588</v>
      </c>
      <c r="C421" s="36">
        <v>45899</v>
      </c>
      <c r="D421" s="36" t="s">
        <v>1358</v>
      </c>
      <c r="E421" s="37" t="s">
        <v>3048</v>
      </c>
      <c r="F421" s="37" t="s">
        <v>4026</v>
      </c>
      <c r="G421" s="38">
        <v>613.32000000000005</v>
      </c>
      <c r="H421" s="38">
        <v>0</v>
      </c>
      <c r="I421" s="37"/>
      <c r="J421" s="37"/>
      <c r="K421" s="38">
        <f t="shared" si="6"/>
        <v>613.32000000000005</v>
      </c>
      <c r="L421" s="38"/>
    </row>
    <row r="422" spans="1:12" ht="14.5" x14ac:dyDescent="0.35">
      <c r="A422" s="45" t="s">
        <v>3588</v>
      </c>
      <c r="C422" s="36">
        <v>45899</v>
      </c>
      <c r="D422" s="36" t="s">
        <v>1085</v>
      </c>
      <c r="E422" s="37" t="s">
        <v>3049</v>
      </c>
      <c r="F422" s="37" t="s">
        <v>4026</v>
      </c>
      <c r="G422" s="38">
        <v>400</v>
      </c>
      <c r="H422" s="38">
        <v>0</v>
      </c>
      <c r="I422" s="37"/>
      <c r="J422" s="37"/>
      <c r="K422" s="38">
        <f t="shared" si="6"/>
        <v>400</v>
      </c>
      <c r="L422" s="38"/>
    </row>
    <row r="423" spans="1:12" ht="14.5" x14ac:dyDescent="0.35">
      <c r="A423" s="45" t="s">
        <v>3588</v>
      </c>
      <c r="C423" s="36">
        <v>45899</v>
      </c>
      <c r="D423" s="36" t="s">
        <v>1085</v>
      </c>
      <c r="E423" s="37" t="s">
        <v>3050</v>
      </c>
      <c r="F423" s="37" t="s">
        <v>4026</v>
      </c>
      <c r="G423" s="38">
        <v>40.869999999999997</v>
      </c>
      <c r="H423" s="38">
        <v>0</v>
      </c>
      <c r="I423" s="37"/>
      <c r="J423" s="37"/>
      <c r="K423" s="38">
        <f t="shared" si="6"/>
        <v>40.869999999999997</v>
      </c>
      <c r="L423" s="38"/>
    </row>
    <row r="424" spans="1:12" ht="14.5" x14ac:dyDescent="0.35">
      <c r="A424" s="45" t="s">
        <v>3588</v>
      </c>
      <c r="C424" s="36">
        <v>45899</v>
      </c>
      <c r="D424" s="36" t="s">
        <v>1085</v>
      </c>
      <c r="E424" s="37" t="s">
        <v>3051</v>
      </c>
      <c r="F424" s="37" t="s">
        <v>4026</v>
      </c>
      <c r="G424" s="38">
        <v>2922.76</v>
      </c>
      <c r="H424" s="38">
        <v>0</v>
      </c>
      <c r="I424" s="37"/>
      <c r="J424" s="37"/>
      <c r="K424" s="38">
        <f t="shared" si="6"/>
        <v>2922.76</v>
      </c>
      <c r="L424" s="38"/>
    </row>
    <row r="425" spans="1:12" ht="14.5" x14ac:dyDescent="0.35">
      <c r="A425" s="45" t="s">
        <v>3588</v>
      </c>
      <c r="C425" s="36">
        <v>45899</v>
      </c>
      <c r="D425" s="36" t="s">
        <v>1085</v>
      </c>
      <c r="E425" s="37" t="s">
        <v>3052</v>
      </c>
      <c r="F425" s="37" t="s">
        <v>4026</v>
      </c>
      <c r="G425" s="38">
        <v>492.71999999999997</v>
      </c>
      <c r="H425" s="38">
        <v>0</v>
      </c>
      <c r="I425" s="37"/>
      <c r="J425" s="37"/>
      <c r="K425" s="38">
        <f t="shared" si="6"/>
        <v>492.71999999999997</v>
      </c>
      <c r="L425" s="38"/>
    </row>
    <row r="426" spans="1:12" ht="14.5" x14ac:dyDescent="0.35">
      <c r="A426" s="45" t="s">
        <v>3588</v>
      </c>
      <c r="C426" s="36">
        <v>45899</v>
      </c>
      <c r="D426" s="36" t="s">
        <v>1085</v>
      </c>
      <c r="E426" s="37" t="s">
        <v>3053</v>
      </c>
      <c r="F426" s="37" t="s">
        <v>4026</v>
      </c>
      <c r="G426" s="38">
        <v>3053.22</v>
      </c>
      <c r="H426" s="38">
        <v>0</v>
      </c>
      <c r="I426" s="37"/>
      <c r="J426" s="37"/>
      <c r="K426" s="38">
        <f t="shared" si="6"/>
        <v>3053.22</v>
      </c>
      <c r="L426" s="38"/>
    </row>
    <row r="427" spans="1:12" ht="14.5" x14ac:dyDescent="0.35">
      <c r="A427" s="45" t="s">
        <v>3588</v>
      </c>
      <c r="C427" s="36">
        <v>45899</v>
      </c>
      <c r="D427" s="36" t="s">
        <v>1085</v>
      </c>
      <c r="E427" s="37" t="s">
        <v>3054</v>
      </c>
      <c r="F427" s="37" t="s">
        <v>4026</v>
      </c>
      <c r="G427" s="38">
        <v>470.62</v>
      </c>
      <c r="H427" s="38">
        <v>0</v>
      </c>
      <c r="I427" s="37"/>
      <c r="J427" s="37"/>
      <c r="K427" s="38">
        <f t="shared" si="6"/>
        <v>470.62</v>
      </c>
      <c r="L427" s="38"/>
    </row>
    <row r="428" spans="1:12" ht="14.5" x14ac:dyDescent="0.35">
      <c r="A428" s="45" t="s">
        <v>3588</v>
      </c>
      <c r="C428" s="36">
        <v>45899</v>
      </c>
      <c r="D428" s="36" t="s">
        <v>1085</v>
      </c>
      <c r="E428" s="37" t="s">
        <v>3055</v>
      </c>
      <c r="F428" s="37" t="s">
        <v>4026</v>
      </c>
      <c r="G428" s="38">
        <v>108.74</v>
      </c>
      <c r="H428" s="38">
        <v>0</v>
      </c>
      <c r="I428" s="37"/>
      <c r="J428" s="37"/>
      <c r="K428" s="38">
        <f t="shared" si="6"/>
        <v>108.74</v>
      </c>
      <c r="L428" s="38"/>
    </row>
    <row r="429" spans="1:12" ht="14.5" x14ac:dyDescent="0.35">
      <c r="A429" s="45" t="s">
        <v>3588</v>
      </c>
      <c r="C429" s="36">
        <v>45899</v>
      </c>
      <c r="D429" s="36" t="s">
        <v>1085</v>
      </c>
      <c r="E429" s="37" t="s">
        <v>3056</v>
      </c>
      <c r="F429" s="37" t="s">
        <v>4026</v>
      </c>
      <c r="G429" s="38">
        <v>13.66</v>
      </c>
      <c r="H429" s="38">
        <v>0</v>
      </c>
      <c r="I429" s="37"/>
      <c r="J429" s="37"/>
      <c r="K429" s="38">
        <f t="shared" si="6"/>
        <v>13.66</v>
      </c>
      <c r="L429" s="38"/>
    </row>
    <row r="430" spans="1:12" ht="14.5" x14ac:dyDescent="0.35">
      <c r="A430" s="45" t="s">
        <v>3588</v>
      </c>
      <c r="C430" s="36">
        <v>45899</v>
      </c>
      <c r="D430" s="36" t="s">
        <v>1085</v>
      </c>
      <c r="E430" s="37" t="s">
        <v>3057</v>
      </c>
      <c r="F430" s="37" t="s">
        <v>4026</v>
      </c>
      <c r="G430" s="38">
        <v>25.01</v>
      </c>
      <c r="H430" s="38">
        <v>0</v>
      </c>
      <c r="I430" s="37"/>
      <c r="J430" s="37"/>
      <c r="K430" s="38">
        <f t="shared" si="6"/>
        <v>25.01</v>
      </c>
      <c r="L430" s="38"/>
    </row>
    <row r="431" spans="1:12" ht="14.5" x14ac:dyDescent="0.35">
      <c r="A431" s="45" t="s">
        <v>3588</v>
      </c>
      <c r="C431" s="36">
        <v>45899</v>
      </c>
      <c r="D431" s="36" t="s">
        <v>1085</v>
      </c>
      <c r="E431" s="37" t="s">
        <v>3058</v>
      </c>
      <c r="F431" s="37" t="s">
        <v>4026</v>
      </c>
      <c r="G431" s="38">
        <v>73.319999999999993</v>
      </c>
      <c r="H431" s="38">
        <v>0</v>
      </c>
      <c r="I431" s="37"/>
      <c r="J431" s="37"/>
      <c r="K431" s="38">
        <f t="shared" si="6"/>
        <v>73.319999999999993</v>
      </c>
      <c r="L431" s="38"/>
    </row>
    <row r="432" spans="1:12" ht="14.5" x14ac:dyDescent="0.35">
      <c r="A432" s="45" t="s">
        <v>3588</v>
      </c>
      <c r="C432" s="36">
        <v>45899</v>
      </c>
      <c r="D432" s="36" t="s">
        <v>1272</v>
      </c>
      <c r="E432" s="37" t="s">
        <v>3059</v>
      </c>
      <c r="F432" s="37" t="s">
        <v>4026</v>
      </c>
      <c r="G432" s="38">
        <v>8354.27</v>
      </c>
      <c r="H432" s="38">
        <v>0</v>
      </c>
      <c r="I432" s="37"/>
      <c r="J432" s="37"/>
      <c r="K432" s="38">
        <f t="shared" si="6"/>
        <v>8354.27</v>
      </c>
      <c r="L432" s="38"/>
    </row>
    <row r="433" spans="1:12" ht="14.5" x14ac:dyDescent="0.35">
      <c r="A433" s="45" t="s">
        <v>3588</v>
      </c>
      <c r="C433" s="36">
        <v>45899</v>
      </c>
      <c r="D433" s="36" t="s">
        <v>2247</v>
      </c>
      <c r="E433" s="37" t="s">
        <v>3060</v>
      </c>
      <c r="F433" s="37" t="s">
        <v>4026</v>
      </c>
      <c r="G433" s="38">
        <v>3490.21</v>
      </c>
      <c r="H433" s="38">
        <v>0</v>
      </c>
      <c r="I433" s="37"/>
      <c r="J433" s="37"/>
      <c r="K433" s="38">
        <f t="shared" si="6"/>
        <v>3490.21</v>
      </c>
      <c r="L433" s="38"/>
    </row>
    <row r="434" spans="1:12" ht="14.5" x14ac:dyDescent="0.35">
      <c r="A434" s="45" t="s">
        <v>3588</v>
      </c>
      <c r="C434" s="36">
        <v>45899</v>
      </c>
      <c r="D434" s="36" t="s">
        <v>1426</v>
      </c>
      <c r="E434" s="37" t="s">
        <v>3062</v>
      </c>
      <c r="F434" s="37" t="s">
        <v>4026</v>
      </c>
      <c r="G434" s="38">
        <v>250.1</v>
      </c>
      <c r="H434" s="38">
        <v>0</v>
      </c>
      <c r="I434" s="37"/>
      <c r="J434" s="37"/>
      <c r="K434" s="38">
        <f t="shared" si="6"/>
        <v>250.1</v>
      </c>
      <c r="L434" s="38"/>
    </row>
    <row r="435" spans="1:12" ht="14.5" x14ac:dyDescent="0.35">
      <c r="A435" s="45" t="s">
        <v>3588</v>
      </c>
      <c r="C435" s="36">
        <v>45899</v>
      </c>
      <c r="D435" s="36" t="s">
        <v>1272</v>
      </c>
      <c r="E435" s="37" t="s">
        <v>3063</v>
      </c>
      <c r="F435" s="37" t="s">
        <v>4026</v>
      </c>
      <c r="G435" s="38">
        <v>4246.87</v>
      </c>
      <c r="H435" s="38">
        <v>0</v>
      </c>
      <c r="I435" s="37"/>
      <c r="J435" s="37"/>
      <c r="K435" s="38">
        <f t="shared" si="6"/>
        <v>4246.87</v>
      </c>
      <c r="L435" s="38"/>
    </row>
    <row r="436" spans="1:12" ht="14.5" x14ac:dyDescent="0.35">
      <c r="A436" s="45" t="s">
        <v>3588</v>
      </c>
      <c r="C436" s="36">
        <v>45899</v>
      </c>
      <c r="D436" s="36" t="s">
        <v>2480</v>
      </c>
      <c r="E436" s="37" t="s">
        <v>3064</v>
      </c>
      <c r="F436" s="37" t="s">
        <v>4026</v>
      </c>
      <c r="G436" s="38">
        <v>617.79</v>
      </c>
      <c r="H436" s="38">
        <v>0</v>
      </c>
      <c r="I436" s="37"/>
      <c r="J436" s="37"/>
      <c r="K436" s="38">
        <f t="shared" si="6"/>
        <v>617.79</v>
      </c>
      <c r="L436" s="38"/>
    </row>
    <row r="437" spans="1:12" ht="14.5" x14ac:dyDescent="0.35">
      <c r="A437" s="45" t="s">
        <v>3588</v>
      </c>
      <c r="C437" s="36">
        <v>45899</v>
      </c>
      <c r="D437" s="36" t="s">
        <v>3230</v>
      </c>
      <c r="E437" s="37" t="s">
        <v>3065</v>
      </c>
      <c r="F437" s="37" t="s">
        <v>4026</v>
      </c>
      <c r="G437" s="38">
        <v>603.71</v>
      </c>
      <c r="H437" s="38">
        <v>0</v>
      </c>
      <c r="I437" s="37"/>
      <c r="J437" s="37"/>
      <c r="K437" s="38">
        <f t="shared" si="6"/>
        <v>603.71</v>
      </c>
      <c r="L437" s="38"/>
    </row>
    <row r="438" spans="1:12" ht="14.5" x14ac:dyDescent="0.35">
      <c r="A438" s="45" t="s">
        <v>3588</v>
      </c>
      <c r="C438" s="36">
        <v>45899</v>
      </c>
      <c r="D438" s="36" t="s">
        <v>2631</v>
      </c>
      <c r="E438" s="37" t="s">
        <v>3066</v>
      </c>
      <c r="F438" s="37" t="s">
        <v>4026</v>
      </c>
      <c r="G438" s="38">
        <v>3152.59</v>
      </c>
      <c r="H438" s="38">
        <v>0</v>
      </c>
      <c r="I438" s="37"/>
      <c r="J438" s="37"/>
      <c r="K438" s="38">
        <f t="shared" si="6"/>
        <v>3152.59</v>
      </c>
      <c r="L438" s="38"/>
    </row>
    <row r="439" spans="1:12" ht="14.5" x14ac:dyDescent="0.35">
      <c r="A439" s="45" t="s">
        <v>3588</v>
      </c>
      <c r="C439" s="36">
        <v>45899</v>
      </c>
      <c r="D439" s="36" t="s">
        <v>2631</v>
      </c>
      <c r="E439" s="37" t="s">
        <v>3067</v>
      </c>
      <c r="F439" s="37" t="s">
        <v>4026</v>
      </c>
      <c r="G439" s="38">
        <v>88.64</v>
      </c>
      <c r="H439" s="38">
        <v>0</v>
      </c>
      <c r="I439" s="37"/>
      <c r="J439" s="37"/>
      <c r="K439" s="38">
        <f t="shared" si="6"/>
        <v>88.64</v>
      </c>
      <c r="L439" s="38"/>
    </row>
    <row r="440" spans="1:12" ht="14.5" x14ac:dyDescent="0.35">
      <c r="A440" s="45" t="s">
        <v>3588</v>
      </c>
      <c r="C440" s="36">
        <v>45899</v>
      </c>
      <c r="D440" s="36" t="s">
        <v>2631</v>
      </c>
      <c r="E440" s="37" t="s">
        <v>3068</v>
      </c>
      <c r="F440" s="37" t="s">
        <v>4026</v>
      </c>
      <c r="G440" s="38">
        <v>103.92</v>
      </c>
      <c r="H440" s="38">
        <v>0</v>
      </c>
      <c r="I440" s="37"/>
      <c r="J440" s="37"/>
      <c r="K440" s="38">
        <f t="shared" si="6"/>
        <v>103.92</v>
      </c>
      <c r="L440" s="38"/>
    </row>
    <row r="441" spans="1:12" ht="14.5" x14ac:dyDescent="0.35">
      <c r="A441" s="45" t="s">
        <v>3588</v>
      </c>
      <c r="C441" s="36">
        <v>45899</v>
      </c>
      <c r="D441" s="36" t="s">
        <v>2631</v>
      </c>
      <c r="E441" s="37" t="s">
        <v>3069</v>
      </c>
      <c r="F441" s="37" t="s">
        <v>4026</v>
      </c>
      <c r="G441" s="38">
        <v>126.68</v>
      </c>
      <c r="H441" s="38">
        <v>0</v>
      </c>
      <c r="I441" s="37"/>
      <c r="J441" s="37"/>
      <c r="K441" s="38">
        <f t="shared" si="6"/>
        <v>126.68</v>
      </c>
      <c r="L441" s="38"/>
    </row>
    <row r="442" spans="1:12" ht="14.5" x14ac:dyDescent="0.35">
      <c r="A442" s="45" t="s">
        <v>3588</v>
      </c>
      <c r="C442" s="36">
        <v>45899</v>
      </c>
      <c r="D442" s="36" t="s">
        <v>2631</v>
      </c>
      <c r="E442" s="37" t="s">
        <v>3070</v>
      </c>
      <c r="F442" s="37" t="s">
        <v>4026</v>
      </c>
      <c r="G442" s="38">
        <v>339.36</v>
      </c>
      <c r="H442" s="38">
        <v>0</v>
      </c>
      <c r="I442" s="37"/>
      <c r="J442" s="37"/>
      <c r="K442" s="38">
        <f t="shared" si="6"/>
        <v>339.36</v>
      </c>
      <c r="L442" s="38"/>
    </row>
    <row r="443" spans="1:12" ht="14.5" x14ac:dyDescent="0.35">
      <c r="A443" s="45" t="s">
        <v>3588</v>
      </c>
      <c r="C443" s="36">
        <v>45899</v>
      </c>
      <c r="D443" s="36" t="s">
        <v>2631</v>
      </c>
      <c r="E443" s="37" t="s">
        <v>3071</v>
      </c>
      <c r="F443" s="37" t="s">
        <v>4026</v>
      </c>
      <c r="G443" s="38">
        <v>38.5</v>
      </c>
      <c r="H443" s="38">
        <v>0</v>
      </c>
      <c r="I443" s="37"/>
      <c r="J443" s="37"/>
      <c r="K443" s="38">
        <f t="shared" si="6"/>
        <v>38.5</v>
      </c>
      <c r="L443" s="38"/>
    </row>
    <row r="444" spans="1:12" ht="14.5" x14ac:dyDescent="0.35">
      <c r="A444" s="45" t="s">
        <v>3588</v>
      </c>
      <c r="C444" s="36">
        <v>45899</v>
      </c>
      <c r="D444" s="36" t="s">
        <v>1379</v>
      </c>
      <c r="E444" s="37" t="s">
        <v>3072</v>
      </c>
      <c r="F444" s="37" t="s">
        <v>4026</v>
      </c>
      <c r="G444" s="38">
        <v>91.19</v>
      </c>
      <c r="H444" s="38">
        <v>0</v>
      </c>
      <c r="I444" s="37"/>
      <c r="J444" s="37"/>
      <c r="K444" s="38">
        <f t="shared" si="6"/>
        <v>91.19</v>
      </c>
      <c r="L444" s="38"/>
    </row>
    <row r="445" spans="1:12" ht="14.5" x14ac:dyDescent="0.35">
      <c r="A445" s="45" t="s">
        <v>3588</v>
      </c>
      <c r="C445" s="36">
        <v>45899</v>
      </c>
      <c r="D445" s="36" t="s">
        <v>1379</v>
      </c>
      <c r="E445" s="37" t="s">
        <v>3073</v>
      </c>
      <c r="F445" s="37" t="s">
        <v>4026</v>
      </c>
      <c r="G445" s="38">
        <v>1920.14</v>
      </c>
      <c r="H445" s="38">
        <v>0</v>
      </c>
      <c r="I445" s="37"/>
      <c r="J445" s="37"/>
      <c r="K445" s="38">
        <f t="shared" si="6"/>
        <v>1920.14</v>
      </c>
      <c r="L445" s="38"/>
    </row>
    <row r="446" spans="1:12" ht="14.5" x14ac:dyDescent="0.35">
      <c r="A446" s="45" t="s">
        <v>3588</v>
      </c>
      <c r="C446" s="36">
        <v>45899</v>
      </c>
      <c r="D446" s="36" t="s">
        <v>1379</v>
      </c>
      <c r="E446" s="37" t="s">
        <v>3074</v>
      </c>
      <c r="F446" s="37" t="s">
        <v>4026</v>
      </c>
      <c r="G446" s="38">
        <v>174.56</v>
      </c>
      <c r="H446" s="38">
        <v>0</v>
      </c>
      <c r="I446" s="37"/>
      <c r="J446" s="37"/>
      <c r="K446" s="38">
        <f t="shared" si="6"/>
        <v>174.56</v>
      </c>
      <c r="L446" s="38"/>
    </row>
    <row r="447" spans="1:12" ht="14.5" x14ac:dyDescent="0.35">
      <c r="A447" s="45" t="s">
        <v>3588</v>
      </c>
      <c r="C447" s="36">
        <v>45899</v>
      </c>
      <c r="D447" s="36" t="s">
        <v>1379</v>
      </c>
      <c r="E447" s="37" t="s">
        <v>3075</v>
      </c>
      <c r="F447" s="37" t="s">
        <v>4026</v>
      </c>
      <c r="G447" s="38">
        <v>2.67</v>
      </c>
      <c r="H447" s="38">
        <v>0</v>
      </c>
      <c r="I447" s="37"/>
      <c r="J447" s="37"/>
      <c r="K447" s="38">
        <f t="shared" si="6"/>
        <v>2.67</v>
      </c>
      <c r="L447" s="38"/>
    </row>
    <row r="448" spans="1:12" ht="14.5" x14ac:dyDescent="0.35">
      <c r="A448" s="45" t="s">
        <v>3588</v>
      </c>
      <c r="C448" s="36">
        <v>45899</v>
      </c>
      <c r="D448" s="36" t="s">
        <v>1379</v>
      </c>
      <c r="E448" s="37" t="s">
        <v>3076</v>
      </c>
      <c r="F448" s="37" t="s">
        <v>4026</v>
      </c>
      <c r="G448" s="38">
        <v>1168.29</v>
      </c>
      <c r="H448" s="38">
        <v>0</v>
      </c>
      <c r="I448" s="37"/>
      <c r="J448" s="37"/>
      <c r="K448" s="38">
        <f t="shared" si="6"/>
        <v>1168.29</v>
      </c>
      <c r="L448" s="38"/>
    </row>
    <row r="449" spans="1:12" ht="14.5" x14ac:dyDescent="0.35">
      <c r="A449" s="45" t="s">
        <v>3588</v>
      </c>
      <c r="C449" s="36">
        <v>45899</v>
      </c>
      <c r="D449" s="36" t="s">
        <v>1379</v>
      </c>
      <c r="E449" s="37" t="s">
        <v>3077</v>
      </c>
      <c r="F449" s="37" t="s">
        <v>4026</v>
      </c>
      <c r="G449" s="38">
        <v>700.97</v>
      </c>
      <c r="H449" s="38">
        <v>0</v>
      </c>
      <c r="I449" s="37"/>
      <c r="J449" s="37"/>
      <c r="K449" s="38">
        <f t="shared" si="6"/>
        <v>700.97</v>
      </c>
      <c r="L449" s="38"/>
    </row>
    <row r="450" spans="1:12" ht="14.5" x14ac:dyDescent="0.35">
      <c r="A450" s="45" t="s">
        <v>3588</v>
      </c>
      <c r="C450" s="36">
        <v>45899</v>
      </c>
      <c r="D450" s="36" t="s">
        <v>2212</v>
      </c>
      <c r="E450" s="37" t="s">
        <v>3078</v>
      </c>
      <c r="F450" s="37" t="s">
        <v>4026</v>
      </c>
      <c r="G450" s="38">
        <v>96589.209999999992</v>
      </c>
      <c r="H450" s="38">
        <v>0</v>
      </c>
      <c r="I450" s="37"/>
      <c r="J450" s="37"/>
      <c r="K450" s="38">
        <f t="shared" si="6"/>
        <v>96589.209999999992</v>
      </c>
      <c r="L450" s="38"/>
    </row>
    <row r="451" spans="1:12" ht="14.5" x14ac:dyDescent="0.35">
      <c r="A451" s="45" t="s">
        <v>3588</v>
      </c>
      <c r="C451" s="36">
        <v>45899</v>
      </c>
      <c r="D451" s="36" t="s">
        <v>3468</v>
      </c>
      <c r="E451" s="37" t="s">
        <v>3079</v>
      </c>
      <c r="F451" s="37" t="s">
        <v>4026</v>
      </c>
      <c r="G451" s="38">
        <v>2472.2200000000003</v>
      </c>
      <c r="H451" s="38">
        <v>0</v>
      </c>
      <c r="I451" s="37"/>
      <c r="J451" s="37"/>
      <c r="K451" s="38">
        <f t="shared" si="6"/>
        <v>2472.2200000000003</v>
      </c>
      <c r="L451" s="38"/>
    </row>
    <row r="452" spans="1:12" ht="14.5" x14ac:dyDescent="0.35">
      <c r="A452" s="45" t="s">
        <v>3588</v>
      </c>
      <c r="C452" s="36">
        <v>45899</v>
      </c>
      <c r="D452" s="36" t="s">
        <v>2541</v>
      </c>
      <c r="E452" s="37" t="s">
        <v>3080</v>
      </c>
      <c r="F452" s="37" t="s">
        <v>4026</v>
      </c>
      <c r="G452" s="38">
        <v>824.05</v>
      </c>
      <c r="H452" s="38">
        <v>0</v>
      </c>
      <c r="I452" s="37"/>
      <c r="J452" s="37"/>
      <c r="K452" s="38">
        <f t="shared" si="6"/>
        <v>824.05</v>
      </c>
      <c r="L452" s="38"/>
    </row>
    <row r="453" spans="1:12" ht="14.5" x14ac:dyDescent="0.35">
      <c r="A453" s="45" t="s">
        <v>3588</v>
      </c>
      <c r="C453" s="36">
        <v>45899</v>
      </c>
      <c r="D453" s="36" t="s">
        <v>2846</v>
      </c>
      <c r="E453" s="37" t="s">
        <v>3081</v>
      </c>
      <c r="F453" s="37" t="s">
        <v>4026</v>
      </c>
      <c r="G453" s="38">
        <v>696.63</v>
      </c>
      <c r="H453" s="38">
        <v>0</v>
      </c>
      <c r="I453" s="37"/>
      <c r="J453" s="37"/>
      <c r="K453" s="38">
        <f t="shared" ref="K453:K516" si="7">G453-H453</f>
        <v>696.63</v>
      </c>
      <c r="L453" s="38"/>
    </row>
    <row r="454" spans="1:12" ht="14.5" x14ac:dyDescent="0.35">
      <c r="A454" s="45" t="s">
        <v>3588</v>
      </c>
      <c r="C454" s="36">
        <v>45899</v>
      </c>
      <c r="D454" s="36" t="s">
        <v>1358</v>
      </c>
      <c r="E454" s="37" t="s">
        <v>3082</v>
      </c>
      <c r="F454" s="37" t="s">
        <v>4026</v>
      </c>
      <c r="G454" s="38">
        <v>134.5</v>
      </c>
      <c r="H454" s="38">
        <v>0</v>
      </c>
      <c r="I454" s="37"/>
      <c r="J454" s="37"/>
      <c r="K454" s="38">
        <f t="shared" si="7"/>
        <v>134.5</v>
      </c>
      <c r="L454" s="38"/>
    </row>
    <row r="455" spans="1:12" ht="14.5" x14ac:dyDescent="0.35">
      <c r="A455" s="45" t="s">
        <v>3588</v>
      </c>
      <c r="C455" s="36">
        <v>45899</v>
      </c>
      <c r="D455" s="36" t="s">
        <v>3469</v>
      </c>
      <c r="E455" s="37" t="s">
        <v>3083</v>
      </c>
      <c r="F455" s="37" t="s">
        <v>4026</v>
      </c>
      <c r="G455" s="38">
        <v>2069.4</v>
      </c>
      <c r="H455" s="38">
        <v>0</v>
      </c>
      <c r="I455" s="37"/>
      <c r="J455" s="37"/>
      <c r="K455" s="38">
        <f t="shared" si="7"/>
        <v>2069.4</v>
      </c>
      <c r="L455" s="38"/>
    </row>
    <row r="456" spans="1:12" ht="14.5" x14ac:dyDescent="0.35">
      <c r="A456" s="45" t="s">
        <v>3588</v>
      </c>
      <c r="C456" s="36">
        <v>45899</v>
      </c>
      <c r="D456" s="36" t="s">
        <v>3469</v>
      </c>
      <c r="E456" s="37" t="s">
        <v>3084</v>
      </c>
      <c r="F456" s="37" t="s">
        <v>4026</v>
      </c>
      <c r="G456" s="38">
        <v>3499.1299999999997</v>
      </c>
      <c r="H456" s="38">
        <v>0</v>
      </c>
      <c r="I456" s="37"/>
      <c r="J456" s="37"/>
      <c r="K456" s="38">
        <f t="shared" si="7"/>
        <v>3499.1299999999997</v>
      </c>
      <c r="L456" s="38"/>
    </row>
    <row r="457" spans="1:12" ht="14.5" x14ac:dyDescent="0.35">
      <c r="A457" s="45" t="s">
        <v>3588</v>
      </c>
      <c r="C457" s="36">
        <v>45899</v>
      </c>
      <c r="D457" s="36" t="s">
        <v>3469</v>
      </c>
      <c r="E457" s="37" t="s">
        <v>3085</v>
      </c>
      <c r="F457" s="37" t="s">
        <v>4026</v>
      </c>
      <c r="G457" s="38">
        <v>26.76</v>
      </c>
      <c r="H457" s="38">
        <v>0</v>
      </c>
      <c r="I457" s="37"/>
      <c r="J457" s="37"/>
      <c r="K457" s="38">
        <f t="shared" si="7"/>
        <v>26.76</v>
      </c>
      <c r="L457" s="38"/>
    </row>
    <row r="458" spans="1:12" ht="14.5" x14ac:dyDescent="0.35">
      <c r="A458" s="45" t="s">
        <v>3588</v>
      </c>
      <c r="C458" s="36">
        <v>45899</v>
      </c>
      <c r="D458" s="36" t="s">
        <v>2520</v>
      </c>
      <c r="E458" s="37" t="s">
        <v>3086</v>
      </c>
      <c r="F458" s="37" t="s">
        <v>4026</v>
      </c>
      <c r="G458" s="38">
        <v>2221.1800000000003</v>
      </c>
      <c r="H458" s="38">
        <v>0</v>
      </c>
      <c r="I458" s="37"/>
      <c r="J458" s="37"/>
      <c r="K458" s="38">
        <f t="shared" si="7"/>
        <v>2221.1800000000003</v>
      </c>
      <c r="L458" s="38"/>
    </row>
    <row r="459" spans="1:12" ht="14.5" x14ac:dyDescent="0.35">
      <c r="A459" s="45" t="s">
        <v>3588</v>
      </c>
      <c r="C459" s="36">
        <v>45899</v>
      </c>
      <c r="D459" s="36" t="s">
        <v>3470</v>
      </c>
      <c r="E459" s="37" t="s">
        <v>3087</v>
      </c>
      <c r="F459" s="37" t="s">
        <v>4026</v>
      </c>
      <c r="G459" s="38">
        <v>16327.390000000001</v>
      </c>
      <c r="H459" s="38">
        <v>0</v>
      </c>
      <c r="I459" s="37"/>
      <c r="J459" s="37"/>
      <c r="K459" s="38">
        <f t="shared" si="7"/>
        <v>16327.390000000001</v>
      </c>
      <c r="L459" s="38"/>
    </row>
    <row r="460" spans="1:12" ht="14.5" x14ac:dyDescent="0.35">
      <c r="A460" s="45" t="s">
        <v>3588</v>
      </c>
      <c r="C460" s="36">
        <v>45899</v>
      </c>
      <c r="D460" s="36" t="s">
        <v>1639</v>
      </c>
      <c r="E460" s="37" t="s">
        <v>3088</v>
      </c>
      <c r="F460" s="37" t="s">
        <v>4026</v>
      </c>
      <c r="G460" s="38">
        <v>201.17</v>
      </c>
      <c r="H460" s="38">
        <v>0</v>
      </c>
      <c r="I460" s="37"/>
      <c r="J460" s="37"/>
      <c r="K460" s="38">
        <f t="shared" si="7"/>
        <v>201.17</v>
      </c>
      <c r="L460" s="38"/>
    </row>
    <row r="461" spans="1:12" ht="14.5" x14ac:dyDescent="0.35">
      <c r="A461" s="45" t="s">
        <v>3588</v>
      </c>
      <c r="C461" s="36">
        <v>45899</v>
      </c>
      <c r="D461" s="36" t="s">
        <v>1639</v>
      </c>
      <c r="E461" s="37" t="s">
        <v>3089</v>
      </c>
      <c r="F461" s="37" t="s">
        <v>4026</v>
      </c>
      <c r="G461" s="38">
        <v>232.92</v>
      </c>
      <c r="H461" s="38">
        <v>0</v>
      </c>
      <c r="I461" s="37"/>
      <c r="J461" s="37"/>
      <c r="K461" s="38">
        <f t="shared" si="7"/>
        <v>232.92</v>
      </c>
      <c r="L461" s="38"/>
    </row>
    <row r="462" spans="1:12" ht="14.5" x14ac:dyDescent="0.35">
      <c r="A462" s="45" t="s">
        <v>3588</v>
      </c>
      <c r="C462" s="36">
        <v>45899</v>
      </c>
      <c r="D462" s="36" t="s">
        <v>1639</v>
      </c>
      <c r="E462" s="37" t="s">
        <v>3090</v>
      </c>
      <c r="F462" s="37" t="s">
        <v>4026</v>
      </c>
      <c r="G462" s="38">
        <v>59.92</v>
      </c>
      <c r="H462" s="38">
        <v>0</v>
      </c>
      <c r="I462" s="37"/>
      <c r="J462" s="37"/>
      <c r="K462" s="38">
        <f t="shared" si="7"/>
        <v>59.92</v>
      </c>
      <c r="L462" s="38"/>
    </row>
    <row r="463" spans="1:12" ht="14.5" x14ac:dyDescent="0.35">
      <c r="A463" s="45" t="s">
        <v>3588</v>
      </c>
      <c r="C463" s="36">
        <v>45899</v>
      </c>
      <c r="D463" s="36" t="s">
        <v>1475</v>
      </c>
      <c r="E463" s="37" t="s">
        <v>3091</v>
      </c>
      <c r="F463" s="37" t="s">
        <v>4026</v>
      </c>
      <c r="G463" s="38">
        <v>20.260000000000002</v>
      </c>
      <c r="H463" s="38">
        <v>0</v>
      </c>
      <c r="I463" s="37"/>
      <c r="J463" s="37"/>
      <c r="K463" s="38">
        <f t="shared" si="7"/>
        <v>20.260000000000002</v>
      </c>
      <c r="L463" s="38"/>
    </row>
    <row r="464" spans="1:12" ht="14.5" x14ac:dyDescent="0.35">
      <c r="A464" s="45" t="s">
        <v>3588</v>
      </c>
      <c r="C464" s="36">
        <v>45899</v>
      </c>
      <c r="D464" s="36" t="s">
        <v>1999</v>
      </c>
      <c r="E464" s="37" t="s">
        <v>3092</v>
      </c>
      <c r="F464" s="37" t="s">
        <v>4026</v>
      </c>
      <c r="G464" s="38">
        <v>442.38</v>
      </c>
      <c r="H464" s="38">
        <v>0</v>
      </c>
      <c r="I464" s="37"/>
      <c r="J464" s="37"/>
      <c r="K464" s="38">
        <f t="shared" si="7"/>
        <v>442.38</v>
      </c>
      <c r="L464" s="38"/>
    </row>
    <row r="465" spans="1:12" ht="14.5" x14ac:dyDescent="0.35">
      <c r="A465" s="45" t="s">
        <v>3588</v>
      </c>
      <c r="C465" s="36">
        <v>45899</v>
      </c>
      <c r="D465" s="36" t="s">
        <v>1999</v>
      </c>
      <c r="E465" s="37" t="s">
        <v>3094</v>
      </c>
      <c r="F465" s="37" t="s">
        <v>4026</v>
      </c>
      <c r="G465" s="38">
        <v>672.91000000000008</v>
      </c>
      <c r="H465" s="38">
        <v>0</v>
      </c>
      <c r="I465" s="37"/>
      <c r="J465" s="37"/>
      <c r="K465" s="38">
        <f t="shared" si="7"/>
        <v>672.91000000000008</v>
      </c>
      <c r="L465" s="38"/>
    </row>
    <row r="466" spans="1:12" ht="14.5" x14ac:dyDescent="0.35">
      <c r="A466" s="45" t="s">
        <v>3588</v>
      </c>
      <c r="C466" s="36">
        <v>45899</v>
      </c>
      <c r="D466" s="36" t="s">
        <v>1999</v>
      </c>
      <c r="E466" s="37" t="s">
        <v>3096</v>
      </c>
      <c r="F466" s="37" t="s">
        <v>4026</v>
      </c>
      <c r="G466" s="38">
        <v>159.91999999999999</v>
      </c>
      <c r="H466" s="38">
        <v>0</v>
      </c>
      <c r="I466" s="37"/>
      <c r="J466" s="37"/>
      <c r="K466" s="38">
        <f t="shared" si="7"/>
        <v>159.91999999999999</v>
      </c>
      <c r="L466" s="38"/>
    </row>
    <row r="467" spans="1:12" ht="14.5" x14ac:dyDescent="0.35">
      <c r="A467" s="45" t="s">
        <v>3588</v>
      </c>
      <c r="C467" s="36">
        <v>45899</v>
      </c>
      <c r="D467" s="36" t="s">
        <v>1999</v>
      </c>
      <c r="E467" s="37" t="s">
        <v>3097</v>
      </c>
      <c r="F467" s="37" t="s">
        <v>4026</v>
      </c>
      <c r="G467" s="38">
        <v>172.94</v>
      </c>
      <c r="H467" s="38">
        <v>0</v>
      </c>
      <c r="I467" s="37"/>
      <c r="J467" s="37"/>
      <c r="K467" s="38">
        <f t="shared" si="7"/>
        <v>172.94</v>
      </c>
      <c r="L467" s="38"/>
    </row>
    <row r="468" spans="1:12" ht="14.5" x14ac:dyDescent="0.35">
      <c r="A468" s="45" t="s">
        <v>3588</v>
      </c>
      <c r="C468" s="36">
        <v>45899</v>
      </c>
      <c r="D468" s="36" t="s">
        <v>1999</v>
      </c>
      <c r="E468" s="37" t="s">
        <v>3098</v>
      </c>
      <c r="F468" s="37" t="s">
        <v>4026</v>
      </c>
      <c r="G468" s="38">
        <v>117.14</v>
      </c>
      <c r="H468" s="38">
        <v>0</v>
      </c>
      <c r="I468" s="37"/>
      <c r="J468" s="37"/>
      <c r="K468" s="38">
        <f t="shared" si="7"/>
        <v>117.14</v>
      </c>
      <c r="L468" s="38"/>
    </row>
    <row r="469" spans="1:12" ht="14.5" x14ac:dyDescent="0.35">
      <c r="A469" s="45" t="s">
        <v>3588</v>
      </c>
      <c r="C469" s="36">
        <v>45899</v>
      </c>
      <c r="D469" s="36" t="s">
        <v>2266</v>
      </c>
      <c r="E469" s="37" t="s">
        <v>3099</v>
      </c>
      <c r="F469" s="37" t="s">
        <v>4026</v>
      </c>
      <c r="G469" s="38">
        <v>60.2</v>
      </c>
      <c r="H469" s="38">
        <v>0</v>
      </c>
      <c r="I469" s="37"/>
      <c r="J469" s="37"/>
      <c r="K469" s="38">
        <f t="shared" si="7"/>
        <v>60.2</v>
      </c>
      <c r="L469" s="38"/>
    </row>
    <row r="470" spans="1:12" ht="14.5" x14ac:dyDescent="0.35">
      <c r="A470" s="45" t="s">
        <v>3588</v>
      </c>
      <c r="C470" s="36">
        <v>45899</v>
      </c>
      <c r="D470" s="36" t="s">
        <v>2266</v>
      </c>
      <c r="E470" s="37" t="s">
        <v>3100</v>
      </c>
      <c r="F470" s="37" t="s">
        <v>4026</v>
      </c>
      <c r="G470" s="38">
        <v>53532.140000000007</v>
      </c>
      <c r="H470" s="38">
        <v>0</v>
      </c>
      <c r="I470" s="37"/>
      <c r="J470" s="37"/>
      <c r="K470" s="38">
        <f t="shared" si="7"/>
        <v>53532.140000000007</v>
      </c>
      <c r="L470" s="38"/>
    </row>
    <row r="471" spans="1:12" ht="14.5" x14ac:dyDescent="0.35">
      <c r="A471" s="45" t="s">
        <v>3588</v>
      </c>
      <c r="C471" s="36">
        <v>45899</v>
      </c>
      <c r="D471" s="36" t="s">
        <v>2266</v>
      </c>
      <c r="E471" s="37" t="s">
        <v>3101</v>
      </c>
      <c r="F471" s="37" t="s">
        <v>4026</v>
      </c>
      <c r="G471" s="38">
        <v>125.74</v>
      </c>
      <c r="H471" s="38">
        <v>0</v>
      </c>
      <c r="I471" s="37"/>
      <c r="J471" s="37"/>
      <c r="K471" s="38">
        <f t="shared" si="7"/>
        <v>125.74</v>
      </c>
      <c r="L471" s="38"/>
    </row>
    <row r="472" spans="1:12" ht="14.5" x14ac:dyDescent="0.35">
      <c r="A472" s="45" t="s">
        <v>3588</v>
      </c>
      <c r="C472" s="36">
        <v>45899</v>
      </c>
      <c r="D472" s="36" t="s">
        <v>2677</v>
      </c>
      <c r="E472" s="37" t="s">
        <v>3102</v>
      </c>
      <c r="F472" s="37" t="s">
        <v>4026</v>
      </c>
      <c r="G472" s="38">
        <v>631.21</v>
      </c>
      <c r="H472" s="38">
        <v>0</v>
      </c>
      <c r="I472" s="37"/>
      <c r="J472" s="37"/>
      <c r="K472" s="38">
        <f t="shared" si="7"/>
        <v>631.21</v>
      </c>
      <c r="L472" s="38"/>
    </row>
    <row r="473" spans="1:12" ht="14.5" x14ac:dyDescent="0.35">
      <c r="A473" s="45" t="s">
        <v>3588</v>
      </c>
      <c r="C473" s="36">
        <v>45899</v>
      </c>
      <c r="D473" s="36" t="s">
        <v>2266</v>
      </c>
      <c r="E473" s="37" t="s">
        <v>3103</v>
      </c>
      <c r="F473" s="37" t="s">
        <v>4026</v>
      </c>
      <c r="G473" s="38">
        <v>668.84</v>
      </c>
      <c r="H473" s="38">
        <v>0</v>
      </c>
      <c r="I473" s="37"/>
      <c r="J473" s="37"/>
      <c r="K473" s="38">
        <f t="shared" si="7"/>
        <v>668.84</v>
      </c>
      <c r="L473" s="38"/>
    </row>
    <row r="474" spans="1:12" ht="14.5" x14ac:dyDescent="0.35">
      <c r="A474" s="45" t="s">
        <v>3588</v>
      </c>
      <c r="C474" s="36">
        <v>45899</v>
      </c>
      <c r="D474" s="36" t="s">
        <v>2266</v>
      </c>
      <c r="E474" s="37" t="s">
        <v>3104</v>
      </c>
      <c r="F474" s="37" t="s">
        <v>4026</v>
      </c>
      <c r="G474" s="38">
        <v>81.37</v>
      </c>
      <c r="H474" s="38">
        <v>0</v>
      </c>
      <c r="I474" s="37"/>
      <c r="J474" s="37"/>
      <c r="K474" s="38">
        <f t="shared" si="7"/>
        <v>81.37</v>
      </c>
      <c r="L474" s="38"/>
    </row>
    <row r="475" spans="1:12" ht="14.5" x14ac:dyDescent="0.35">
      <c r="A475" s="45" t="s">
        <v>3588</v>
      </c>
      <c r="C475" s="36">
        <v>45899</v>
      </c>
      <c r="D475" s="36" t="s">
        <v>2266</v>
      </c>
      <c r="E475" s="37" t="s">
        <v>3105</v>
      </c>
      <c r="F475" s="37" t="s">
        <v>4026</v>
      </c>
      <c r="G475" s="38">
        <v>2316.2199999999998</v>
      </c>
      <c r="H475" s="38">
        <v>0</v>
      </c>
      <c r="I475" s="37"/>
      <c r="J475" s="37"/>
      <c r="K475" s="38">
        <f t="shared" si="7"/>
        <v>2316.2199999999998</v>
      </c>
      <c r="L475" s="38"/>
    </row>
    <row r="476" spans="1:12" ht="14.5" x14ac:dyDescent="0.35">
      <c r="A476" s="45" t="s">
        <v>3588</v>
      </c>
      <c r="C476" s="36">
        <v>45899</v>
      </c>
      <c r="D476" s="36" t="s">
        <v>1343</v>
      </c>
      <c r="E476" s="37" t="s">
        <v>3106</v>
      </c>
      <c r="F476" s="37" t="s">
        <v>4026</v>
      </c>
      <c r="G476" s="38">
        <v>2721.01</v>
      </c>
      <c r="H476" s="38">
        <v>0</v>
      </c>
      <c r="I476" s="37"/>
      <c r="J476" s="37"/>
      <c r="K476" s="38">
        <f t="shared" si="7"/>
        <v>2721.01</v>
      </c>
      <c r="L476" s="38"/>
    </row>
    <row r="477" spans="1:12" ht="14.5" x14ac:dyDescent="0.35">
      <c r="A477" s="45" t="s">
        <v>3588</v>
      </c>
      <c r="C477" s="36">
        <v>45899</v>
      </c>
      <c r="D477" s="36" t="s">
        <v>3472</v>
      </c>
      <c r="E477" s="37" t="s">
        <v>3107</v>
      </c>
      <c r="F477" s="37" t="s">
        <v>4026</v>
      </c>
      <c r="G477" s="38">
        <v>20.83</v>
      </c>
      <c r="H477" s="38">
        <v>0</v>
      </c>
      <c r="I477" s="37"/>
      <c r="J477" s="37"/>
      <c r="K477" s="38">
        <f t="shared" si="7"/>
        <v>20.83</v>
      </c>
      <c r="L477" s="38"/>
    </row>
    <row r="478" spans="1:12" ht="14.5" x14ac:dyDescent="0.35">
      <c r="A478" s="45" t="s">
        <v>3588</v>
      </c>
      <c r="C478" s="36">
        <v>45899</v>
      </c>
      <c r="D478" s="36" t="s">
        <v>3472</v>
      </c>
      <c r="E478" s="37" t="s">
        <v>3108</v>
      </c>
      <c r="F478" s="37" t="s">
        <v>4026</v>
      </c>
      <c r="G478" s="38">
        <v>178.24</v>
      </c>
      <c r="H478" s="38">
        <v>0</v>
      </c>
      <c r="I478" s="37"/>
      <c r="J478" s="37"/>
      <c r="K478" s="38">
        <f t="shared" si="7"/>
        <v>178.24</v>
      </c>
      <c r="L478" s="38"/>
    </row>
    <row r="479" spans="1:12" ht="14.5" x14ac:dyDescent="0.35">
      <c r="A479" s="45" t="s">
        <v>3588</v>
      </c>
      <c r="C479" s="36">
        <v>45899</v>
      </c>
      <c r="D479" s="36" t="s">
        <v>3472</v>
      </c>
      <c r="E479" s="37" t="s">
        <v>3109</v>
      </c>
      <c r="F479" s="37" t="s">
        <v>4026</v>
      </c>
      <c r="G479" s="38">
        <v>2127.8200000000002</v>
      </c>
      <c r="H479" s="38">
        <v>0</v>
      </c>
      <c r="I479" s="37"/>
      <c r="J479" s="37"/>
      <c r="K479" s="38">
        <f t="shared" si="7"/>
        <v>2127.8200000000002</v>
      </c>
      <c r="L479" s="38"/>
    </row>
    <row r="480" spans="1:12" ht="14.5" x14ac:dyDescent="0.35">
      <c r="A480" s="45" t="s">
        <v>3588</v>
      </c>
      <c r="C480" s="36">
        <v>45899</v>
      </c>
      <c r="D480" s="36" t="s">
        <v>1071</v>
      </c>
      <c r="E480" s="37" t="s">
        <v>3110</v>
      </c>
      <c r="F480" s="37" t="s">
        <v>4026</v>
      </c>
      <c r="G480" s="38">
        <v>206.32</v>
      </c>
      <c r="H480" s="38">
        <v>0</v>
      </c>
      <c r="I480" s="37"/>
      <c r="J480" s="37"/>
      <c r="K480" s="38">
        <f t="shared" si="7"/>
        <v>206.32</v>
      </c>
      <c r="L480" s="38"/>
    </row>
    <row r="481" spans="1:12" ht="14.5" x14ac:dyDescent="0.35">
      <c r="A481" s="45" t="s">
        <v>3588</v>
      </c>
      <c r="C481" s="36">
        <v>45899</v>
      </c>
      <c r="D481" s="36" t="s">
        <v>2396</v>
      </c>
      <c r="E481" s="37" t="s">
        <v>3111</v>
      </c>
      <c r="F481" s="37" t="s">
        <v>4026</v>
      </c>
      <c r="G481" s="38">
        <v>217.92</v>
      </c>
      <c r="H481" s="38">
        <v>0</v>
      </c>
      <c r="I481" s="37"/>
      <c r="J481" s="37"/>
      <c r="K481" s="38">
        <f t="shared" si="7"/>
        <v>217.92</v>
      </c>
      <c r="L481" s="38"/>
    </row>
    <row r="482" spans="1:12" ht="14.5" x14ac:dyDescent="0.35">
      <c r="A482" s="45" t="s">
        <v>3588</v>
      </c>
      <c r="C482" s="36">
        <v>45899</v>
      </c>
      <c r="D482" s="36" t="s">
        <v>989</v>
      </c>
      <c r="E482" s="37" t="s">
        <v>3112</v>
      </c>
      <c r="F482" s="37" t="s">
        <v>4026</v>
      </c>
      <c r="G482" s="38">
        <v>3360.2200000000003</v>
      </c>
      <c r="H482" s="38">
        <v>0</v>
      </c>
      <c r="I482" s="37"/>
      <c r="J482" s="37"/>
      <c r="K482" s="38">
        <f t="shared" si="7"/>
        <v>3360.2200000000003</v>
      </c>
      <c r="L482" s="38"/>
    </row>
    <row r="483" spans="1:12" ht="14.5" x14ac:dyDescent="0.35">
      <c r="A483" s="45" t="s">
        <v>3588</v>
      </c>
      <c r="C483" s="36">
        <v>45899</v>
      </c>
      <c r="D483" s="36" t="s">
        <v>2429</v>
      </c>
      <c r="E483" s="37" t="s">
        <v>3113</v>
      </c>
      <c r="F483" s="37" t="s">
        <v>4026</v>
      </c>
      <c r="G483" s="38">
        <v>147.96</v>
      </c>
      <c r="H483" s="38">
        <v>0</v>
      </c>
      <c r="I483" s="37"/>
      <c r="J483" s="37"/>
      <c r="K483" s="38">
        <f t="shared" si="7"/>
        <v>147.96</v>
      </c>
      <c r="L483" s="38"/>
    </row>
    <row r="484" spans="1:12" ht="14.5" x14ac:dyDescent="0.35">
      <c r="A484" s="45" t="s">
        <v>3588</v>
      </c>
      <c r="C484" s="36">
        <v>45899</v>
      </c>
      <c r="D484" s="36" t="s">
        <v>2429</v>
      </c>
      <c r="E484" s="37" t="s">
        <v>3114</v>
      </c>
      <c r="F484" s="37" t="s">
        <v>4026</v>
      </c>
      <c r="G484" s="38">
        <v>1047.8400000000001</v>
      </c>
      <c r="H484" s="38">
        <v>0</v>
      </c>
      <c r="I484" s="37"/>
      <c r="J484" s="37"/>
      <c r="K484" s="38">
        <f t="shared" si="7"/>
        <v>1047.8400000000001</v>
      </c>
      <c r="L484" s="38"/>
    </row>
    <row r="485" spans="1:12" ht="14.5" x14ac:dyDescent="0.35">
      <c r="A485" s="45" t="s">
        <v>3588</v>
      </c>
      <c r="C485" s="36">
        <v>45899</v>
      </c>
      <c r="D485" s="36" t="s">
        <v>2429</v>
      </c>
      <c r="E485" s="37" t="s">
        <v>3116</v>
      </c>
      <c r="F485" s="37" t="s">
        <v>4026</v>
      </c>
      <c r="G485" s="38">
        <v>34.76</v>
      </c>
      <c r="H485" s="38">
        <v>0</v>
      </c>
      <c r="I485" s="37"/>
      <c r="J485" s="37"/>
      <c r="K485" s="38">
        <f t="shared" si="7"/>
        <v>34.76</v>
      </c>
      <c r="L485" s="38"/>
    </row>
    <row r="486" spans="1:12" ht="14.5" x14ac:dyDescent="0.35">
      <c r="A486" s="45" t="s">
        <v>3588</v>
      </c>
      <c r="C486" s="36">
        <v>45899</v>
      </c>
      <c r="D486" s="36" t="s">
        <v>2429</v>
      </c>
      <c r="E486" s="37" t="s">
        <v>3117</v>
      </c>
      <c r="F486" s="37" t="s">
        <v>4026</v>
      </c>
      <c r="G486" s="38">
        <v>118.34</v>
      </c>
      <c r="H486" s="38">
        <v>0</v>
      </c>
      <c r="I486" s="37"/>
      <c r="J486" s="37"/>
      <c r="K486" s="38">
        <f t="shared" si="7"/>
        <v>118.34</v>
      </c>
      <c r="L486" s="38"/>
    </row>
    <row r="487" spans="1:12" ht="14.5" x14ac:dyDescent="0.35">
      <c r="A487" s="45" t="s">
        <v>3588</v>
      </c>
      <c r="C487" s="36">
        <v>45899</v>
      </c>
      <c r="D487" s="36" t="s">
        <v>3473</v>
      </c>
      <c r="E487" s="37" t="s">
        <v>3118</v>
      </c>
      <c r="F487" s="37" t="s">
        <v>4026</v>
      </c>
      <c r="G487" s="38">
        <v>675</v>
      </c>
      <c r="H487" s="38">
        <v>0</v>
      </c>
      <c r="I487" s="37"/>
      <c r="J487" s="37"/>
      <c r="K487" s="38">
        <f t="shared" si="7"/>
        <v>675</v>
      </c>
      <c r="L487" s="38"/>
    </row>
    <row r="488" spans="1:12" ht="14.5" x14ac:dyDescent="0.35">
      <c r="A488" s="45" t="s">
        <v>3588</v>
      </c>
      <c r="C488" s="36">
        <v>45899</v>
      </c>
      <c r="D488" s="36" t="s">
        <v>3474</v>
      </c>
      <c r="E488" s="37" t="s">
        <v>3119</v>
      </c>
      <c r="F488" s="37" t="s">
        <v>4026</v>
      </c>
      <c r="G488" s="38">
        <v>2674.63</v>
      </c>
      <c r="H488" s="38">
        <v>0</v>
      </c>
      <c r="I488" s="37"/>
      <c r="J488" s="37"/>
      <c r="K488" s="38">
        <f t="shared" si="7"/>
        <v>2674.63</v>
      </c>
      <c r="L488" s="38"/>
    </row>
    <row r="489" spans="1:12" ht="14.5" x14ac:dyDescent="0.35">
      <c r="A489" s="45" t="s">
        <v>3588</v>
      </c>
      <c r="C489" s="36">
        <v>45899</v>
      </c>
      <c r="D489" s="36" t="s">
        <v>3474</v>
      </c>
      <c r="E489" s="37" t="s">
        <v>3120</v>
      </c>
      <c r="F489" s="37" t="s">
        <v>4026</v>
      </c>
      <c r="G489" s="38">
        <v>257.2</v>
      </c>
      <c r="H489" s="38">
        <v>0</v>
      </c>
      <c r="I489" s="37"/>
      <c r="J489" s="37"/>
      <c r="K489" s="38">
        <f t="shared" si="7"/>
        <v>257.2</v>
      </c>
      <c r="L489" s="38"/>
    </row>
    <row r="490" spans="1:12" ht="14.5" x14ac:dyDescent="0.35">
      <c r="A490" s="45" t="s">
        <v>3588</v>
      </c>
      <c r="C490" s="36">
        <v>45899</v>
      </c>
      <c r="D490" s="36" t="s">
        <v>3474</v>
      </c>
      <c r="E490" s="37" t="s">
        <v>3121</v>
      </c>
      <c r="F490" s="37" t="s">
        <v>4026</v>
      </c>
      <c r="G490" s="38">
        <v>918.79</v>
      </c>
      <c r="H490" s="38">
        <v>0</v>
      </c>
      <c r="I490" s="37"/>
      <c r="J490" s="37"/>
      <c r="K490" s="38">
        <f t="shared" si="7"/>
        <v>918.79</v>
      </c>
      <c r="L490" s="38"/>
    </row>
    <row r="491" spans="1:12" ht="14.5" x14ac:dyDescent="0.35">
      <c r="A491" s="45" t="s">
        <v>3588</v>
      </c>
      <c r="C491" s="36">
        <v>45899</v>
      </c>
      <c r="D491" s="36" t="s">
        <v>3474</v>
      </c>
      <c r="E491" s="37" t="s">
        <v>3122</v>
      </c>
      <c r="F491" s="37" t="s">
        <v>4026</v>
      </c>
      <c r="G491" s="38">
        <v>2300.2300000000005</v>
      </c>
      <c r="H491" s="38">
        <v>0</v>
      </c>
      <c r="I491" s="37"/>
      <c r="J491" s="37"/>
      <c r="K491" s="38">
        <f t="shared" si="7"/>
        <v>2300.2300000000005</v>
      </c>
      <c r="L491" s="38"/>
    </row>
    <row r="492" spans="1:12" ht="14.5" x14ac:dyDescent="0.35">
      <c r="A492" s="45" t="s">
        <v>3588</v>
      </c>
      <c r="C492" s="36">
        <v>45899</v>
      </c>
      <c r="D492" s="36" t="s">
        <v>3472</v>
      </c>
      <c r="E492" s="37" t="s">
        <v>3123</v>
      </c>
      <c r="F492" s="37" t="s">
        <v>4026</v>
      </c>
      <c r="G492" s="38">
        <v>111.39</v>
      </c>
      <c r="H492" s="38">
        <v>0</v>
      </c>
      <c r="I492" s="37"/>
      <c r="J492" s="37"/>
      <c r="K492" s="38">
        <f t="shared" si="7"/>
        <v>111.39</v>
      </c>
      <c r="L492" s="38"/>
    </row>
    <row r="493" spans="1:12" ht="14.5" x14ac:dyDescent="0.35">
      <c r="A493" s="45" t="s">
        <v>3588</v>
      </c>
      <c r="C493" s="36">
        <v>45899</v>
      </c>
      <c r="D493" s="36" t="s">
        <v>3472</v>
      </c>
      <c r="E493" s="37" t="s">
        <v>3124</v>
      </c>
      <c r="F493" s="37" t="s">
        <v>4026</v>
      </c>
      <c r="G493" s="38">
        <v>34.56</v>
      </c>
      <c r="H493" s="38">
        <v>0</v>
      </c>
      <c r="I493" s="37"/>
      <c r="J493" s="37"/>
      <c r="K493" s="38">
        <f t="shared" si="7"/>
        <v>34.56</v>
      </c>
      <c r="L493" s="38"/>
    </row>
    <row r="494" spans="1:12" ht="14.5" x14ac:dyDescent="0.35">
      <c r="A494" s="45" t="s">
        <v>3588</v>
      </c>
      <c r="C494" s="36">
        <v>45899</v>
      </c>
      <c r="D494" s="36" t="s">
        <v>3475</v>
      </c>
      <c r="E494" s="37" t="s">
        <v>3125</v>
      </c>
      <c r="F494" s="37" t="s">
        <v>4026</v>
      </c>
      <c r="G494" s="38">
        <v>237.5</v>
      </c>
      <c r="H494" s="38">
        <v>0</v>
      </c>
      <c r="I494" s="37"/>
      <c r="J494" s="37"/>
      <c r="K494" s="38">
        <f t="shared" si="7"/>
        <v>237.5</v>
      </c>
      <c r="L494" s="38"/>
    </row>
    <row r="495" spans="1:12" ht="14.5" x14ac:dyDescent="0.35">
      <c r="A495" s="45" t="s">
        <v>3588</v>
      </c>
      <c r="C495" s="36">
        <v>45899</v>
      </c>
      <c r="D495" s="36" t="s">
        <v>3475</v>
      </c>
      <c r="E495" s="37" t="s">
        <v>3126</v>
      </c>
      <c r="F495" s="37" t="s">
        <v>4026</v>
      </c>
      <c r="G495" s="38">
        <v>83.72</v>
      </c>
      <c r="H495" s="38">
        <v>0</v>
      </c>
      <c r="I495" s="37"/>
      <c r="J495" s="37"/>
      <c r="K495" s="38">
        <f t="shared" si="7"/>
        <v>83.72</v>
      </c>
      <c r="L495" s="38"/>
    </row>
    <row r="496" spans="1:12" ht="14.5" x14ac:dyDescent="0.35">
      <c r="A496" s="45" t="s">
        <v>3588</v>
      </c>
      <c r="C496" s="36">
        <v>45899</v>
      </c>
      <c r="D496" s="36" t="s">
        <v>1280</v>
      </c>
      <c r="E496" s="37" t="s">
        <v>3127</v>
      </c>
      <c r="F496" s="37" t="s">
        <v>4026</v>
      </c>
      <c r="G496" s="38">
        <v>174</v>
      </c>
      <c r="H496" s="38">
        <v>0</v>
      </c>
      <c r="I496" s="37"/>
      <c r="J496" s="37"/>
      <c r="K496" s="38">
        <f t="shared" si="7"/>
        <v>174</v>
      </c>
      <c r="L496" s="38"/>
    </row>
    <row r="497" spans="1:12" ht="14.5" x14ac:dyDescent="0.35">
      <c r="A497" s="45" t="s">
        <v>3588</v>
      </c>
      <c r="C497" s="36">
        <v>45899</v>
      </c>
      <c r="D497" s="36" t="s">
        <v>3476</v>
      </c>
      <c r="E497" s="37" t="s">
        <v>3128</v>
      </c>
      <c r="F497" s="37" t="s">
        <v>4026</v>
      </c>
      <c r="G497" s="38">
        <v>400</v>
      </c>
      <c r="H497" s="38">
        <v>0</v>
      </c>
      <c r="I497" s="37"/>
      <c r="J497" s="37"/>
      <c r="K497" s="38">
        <f t="shared" si="7"/>
        <v>400</v>
      </c>
      <c r="L497" s="38"/>
    </row>
    <row r="498" spans="1:12" ht="14.5" x14ac:dyDescent="0.35">
      <c r="A498" s="45" t="s">
        <v>3588</v>
      </c>
      <c r="C498" s="36">
        <v>45899</v>
      </c>
      <c r="D498" s="36" t="s">
        <v>1263</v>
      </c>
      <c r="E498" s="37" t="s">
        <v>3129</v>
      </c>
      <c r="F498" s="37" t="s">
        <v>4026</v>
      </c>
      <c r="G498" s="38">
        <v>6602.57</v>
      </c>
      <c r="H498" s="38">
        <v>0</v>
      </c>
      <c r="I498" s="37"/>
      <c r="J498" s="37"/>
      <c r="K498" s="38">
        <f t="shared" si="7"/>
        <v>6602.57</v>
      </c>
      <c r="L498" s="38"/>
    </row>
    <row r="499" spans="1:12" ht="14.5" x14ac:dyDescent="0.35">
      <c r="A499" s="45" t="s">
        <v>3588</v>
      </c>
      <c r="C499" s="36">
        <v>45899</v>
      </c>
      <c r="D499" s="36" t="s">
        <v>1263</v>
      </c>
      <c r="E499" s="37" t="s">
        <v>3130</v>
      </c>
      <c r="F499" s="37" t="s">
        <v>4026</v>
      </c>
      <c r="G499" s="38">
        <v>16623.73</v>
      </c>
      <c r="H499" s="38">
        <v>0</v>
      </c>
      <c r="I499" s="37"/>
      <c r="J499" s="37"/>
      <c r="K499" s="38">
        <f t="shared" si="7"/>
        <v>16623.73</v>
      </c>
      <c r="L499" s="38"/>
    </row>
    <row r="500" spans="1:12" ht="14.5" x14ac:dyDescent="0.35">
      <c r="A500" s="45" t="s">
        <v>3588</v>
      </c>
      <c r="C500" s="36">
        <v>45899</v>
      </c>
      <c r="D500" s="36" t="s">
        <v>1263</v>
      </c>
      <c r="E500" s="37" t="s">
        <v>3131</v>
      </c>
      <c r="F500" s="37" t="s">
        <v>4026</v>
      </c>
      <c r="G500" s="38">
        <v>4.4800000000000004</v>
      </c>
      <c r="H500" s="38">
        <v>0</v>
      </c>
      <c r="I500" s="37"/>
      <c r="J500" s="37"/>
      <c r="K500" s="38">
        <f t="shared" si="7"/>
        <v>4.4800000000000004</v>
      </c>
      <c r="L500" s="38"/>
    </row>
    <row r="501" spans="1:12" ht="14.5" x14ac:dyDescent="0.35">
      <c r="A501" s="45" t="s">
        <v>3588</v>
      </c>
      <c r="C501" s="36">
        <v>45899</v>
      </c>
      <c r="D501" s="36" t="s">
        <v>1263</v>
      </c>
      <c r="E501" s="37" t="s">
        <v>3133</v>
      </c>
      <c r="F501" s="37" t="s">
        <v>4026</v>
      </c>
      <c r="G501" s="38">
        <v>33.950000000000003</v>
      </c>
      <c r="H501" s="38">
        <v>0</v>
      </c>
      <c r="I501" s="37"/>
      <c r="J501" s="37"/>
      <c r="K501" s="38">
        <f t="shared" si="7"/>
        <v>33.950000000000003</v>
      </c>
      <c r="L501" s="38"/>
    </row>
    <row r="502" spans="1:12" ht="14.5" x14ac:dyDescent="0.35">
      <c r="A502" s="45" t="s">
        <v>3588</v>
      </c>
      <c r="C502" s="36">
        <v>45899</v>
      </c>
      <c r="D502" s="36" t="s">
        <v>1263</v>
      </c>
      <c r="E502" s="37" t="s">
        <v>3134</v>
      </c>
      <c r="F502" s="37" t="s">
        <v>4026</v>
      </c>
      <c r="G502" s="38">
        <v>175.35</v>
      </c>
      <c r="H502" s="38">
        <v>0</v>
      </c>
      <c r="I502" s="37"/>
      <c r="J502" s="37"/>
      <c r="K502" s="38">
        <f t="shared" si="7"/>
        <v>175.35</v>
      </c>
      <c r="L502" s="38"/>
    </row>
    <row r="503" spans="1:12" ht="14.5" x14ac:dyDescent="0.35">
      <c r="A503" s="45" t="s">
        <v>3588</v>
      </c>
      <c r="C503" s="36">
        <v>45899</v>
      </c>
      <c r="D503" s="36" t="s">
        <v>1263</v>
      </c>
      <c r="E503" s="37" t="s">
        <v>3135</v>
      </c>
      <c r="F503" s="37" t="s">
        <v>4026</v>
      </c>
      <c r="G503" s="38">
        <v>458.64</v>
      </c>
      <c r="H503" s="38">
        <v>0</v>
      </c>
      <c r="I503" s="37"/>
      <c r="J503" s="37"/>
      <c r="K503" s="38">
        <f t="shared" si="7"/>
        <v>458.64</v>
      </c>
      <c r="L503" s="38"/>
    </row>
    <row r="504" spans="1:12" ht="14.5" x14ac:dyDescent="0.35">
      <c r="A504" s="45" t="s">
        <v>3588</v>
      </c>
      <c r="C504" s="36">
        <v>45899</v>
      </c>
      <c r="D504" s="36" t="s">
        <v>1263</v>
      </c>
      <c r="E504" s="37" t="s">
        <v>3136</v>
      </c>
      <c r="F504" s="37" t="s">
        <v>4026</v>
      </c>
      <c r="G504" s="38">
        <v>78.13000000000001</v>
      </c>
      <c r="H504" s="38">
        <v>0</v>
      </c>
      <c r="I504" s="37"/>
      <c r="J504" s="37"/>
      <c r="K504" s="38">
        <f t="shared" si="7"/>
        <v>78.13000000000001</v>
      </c>
      <c r="L504" s="38"/>
    </row>
    <row r="505" spans="1:12" ht="14.5" x14ac:dyDescent="0.35">
      <c r="A505" s="45" t="s">
        <v>3588</v>
      </c>
      <c r="C505" s="36">
        <v>45899</v>
      </c>
      <c r="D505" s="36" t="s">
        <v>1263</v>
      </c>
      <c r="E505" s="37" t="s">
        <v>3137</v>
      </c>
      <c r="F505" s="37" t="s">
        <v>4026</v>
      </c>
      <c r="G505" s="38">
        <v>3365</v>
      </c>
      <c r="H505" s="38">
        <v>0</v>
      </c>
      <c r="I505" s="37"/>
      <c r="J505" s="37"/>
      <c r="K505" s="38">
        <f t="shared" si="7"/>
        <v>3365</v>
      </c>
      <c r="L505" s="38"/>
    </row>
    <row r="506" spans="1:12" ht="14.5" x14ac:dyDescent="0.35">
      <c r="A506" s="45" t="s">
        <v>3588</v>
      </c>
      <c r="C506" s="36">
        <v>45899</v>
      </c>
      <c r="D506" s="36" t="s">
        <v>1629</v>
      </c>
      <c r="E506" s="37" t="s">
        <v>3138</v>
      </c>
      <c r="F506" s="37" t="s">
        <v>4026</v>
      </c>
      <c r="G506" s="38">
        <v>79.62</v>
      </c>
      <c r="H506" s="38">
        <v>0</v>
      </c>
      <c r="I506" s="37"/>
      <c r="J506" s="37"/>
      <c r="K506" s="38">
        <f t="shared" si="7"/>
        <v>79.62</v>
      </c>
      <c r="L506" s="38"/>
    </row>
    <row r="507" spans="1:12" ht="14.5" x14ac:dyDescent="0.35">
      <c r="A507" s="45" t="s">
        <v>3588</v>
      </c>
      <c r="C507" s="36">
        <v>45899</v>
      </c>
      <c r="D507" s="36" t="s">
        <v>3477</v>
      </c>
      <c r="E507" s="37" t="s">
        <v>3140</v>
      </c>
      <c r="F507" s="37" t="s">
        <v>4026</v>
      </c>
      <c r="G507" s="38">
        <v>116.43</v>
      </c>
      <c r="H507" s="38">
        <v>0</v>
      </c>
      <c r="I507" s="37"/>
      <c r="J507" s="37"/>
      <c r="K507" s="38">
        <f t="shared" si="7"/>
        <v>116.43</v>
      </c>
      <c r="L507" s="38"/>
    </row>
    <row r="508" spans="1:12" ht="14.5" x14ac:dyDescent="0.35">
      <c r="A508" s="45" t="s">
        <v>3588</v>
      </c>
      <c r="C508" s="36">
        <v>45899</v>
      </c>
      <c r="D508" s="36" t="s">
        <v>2313</v>
      </c>
      <c r="E508" s="37" t="s">
        <v>3141</v>
      </c>
      <c r="F508" s="37" t="s">
        <v>4026</v>
      </c>
      <c r="G508" s="38">
        <v>154.57</v>
      </c>
      <c r="H508" s="38">
        <v>0</v>
      </c>
      <c r="I508" s="37"/>
      <c r="J508" s="37"/>
      <c r="K508" s="38">
        <f t="shared" si="7"/>
        <v>154.57</v>
      </c>
      <c r="L508" s="38"/>
    </row>
    <row r="509" spans="1:12" ht="14.5" x14ac:dyDescent="0.35">
      <c r="A509" s="45" t="s">
        <v>3588</v>
      </c>
      <c r="C509" s="36">
        <v>45899</v>
      </c>
      <c r="D509" s="36" t="s">
        <v>2313</v>
      </c>
      <c r="E509" s="37" t="s">
        <v>3142</v>
      </c>
      <c r="F509" s="37" t="s">
        <v>4026</v>
      </c>
      <c r="G509" s="38">
        <v>11.9</v>
      </c>
      <c r="H509" s="38">
        <v>0</v>
      </c>
      <c r="I509" s="37"/>
      <c r="J509" s="37"/>
      <c r="K509" s="38">
        <f t="shared" si="7"/>
        <v>11.9</v>
      </c>
      <c r="L509" s="38"/>
    </row>
    <row r="510" spans="1:12" ht="14.5" x14ac:dyDescent="0.35">
      <c r="A510" s="45" t="s">
        <v>3588</v>
      </c>
      <c r="C510" s="36">
        <v>45899</v>
      </c>
      <c r="D510" s="36" t="s">
        <v>2313</v>
      </c>
      <c r="E510" s="37" t="s">
        <v>3143</v>
      </c>
      <c r="F510" s="37" t="s">
        <v>4026</v>
      </c>
      <c r="G510" s="38">
        <v>41.87</v>
      </c>
      <c r="H510" s="38">
        <v>0</v>
      </c>
      <c r="I510" s="37"/>
      <c r="J510" s="37"/>
      <c r="K510" s="38">
        <f t="shared" si="7"/>
        <v>41.87</v>
      </c>
      <c r="L510" s="38"/>
    </row>
    <row r="511" spans="1:12" ht="14.5" x14ac:dyDescent="0.35">
      <c r="A511" s="45" t="s">
        <v>3588</v>
      </c>
      <c r="C511" s="36">
        <v>45899</v>
      </c>
      <c r="D511" s="36" t="s">
        <v>2313</v>
      </c>
      <c r="E511" s="37" t="s">
        <v>3145</v>
      </c>
      <c r="F511" s="37" t="s">
        <v>4026</v>
      </c>
      <c r="G511" s="38">
        <v>12659.75</v>
      </c>
      <c r="H511" s="38">
        <v>0</v>
      </c>
      <c r="I511" s="37"/>
      <c r="J511" s="37"/>
      <c r="K511" s="38">
        <f t="shared" si="7"/>
        <v>12659.75</v>
      </c>
      <c r="L511" s="38"/>
    </row>
    <row r="512" spans="1:12" ht="14.5" x14ac:dyDescent="0.35">
      <c r="A512" s="45" t="s">
        <v>3588</v>
      </c>
      <c r="C512" s="36">
        <v>45899</v>
      </c>
      <c r="D512" s="36" t="s">
        <v>2313</v>
      </c>
      <c r="E512" s="37" t="s">
        <v>3147</v>
      </c>
      <c r="F512" s="37" t="s">
        <v>4026</v>
      </c>
      <c r="G512" s="38">
        <v>8.81</v>
      </c>
      <c r="H512" s="38">
        <v>0</v>
      </c>
      <c r="I512" s="37"/>
      <c r="J512" s="37"/>
      <c r="K512" s="38">
        <f t="shared" si="7"/>
        <v>8.81</v>
      </c>
      <c r="L512" s="38"/>
    </row>
    <row r="513" spans="1:12" ht="14.5" x14ac:dyDescent="0.35">
      <c r="A513" s="45" t="s">
        <v>3588</v>
      </c>
      <c r="C513" s="36">
        <v>45899</v>
      </c>
      <c r="D513" s="36" t="s">
        <v>2313</v>
      </c>
      <c r="E513" s="37" t="s">
        <v>3149</v>
      </c>
      <c r="F513" s="37" t="s">
        <v>4026</v>
      </c>
      <c r="G513" s="38">
        <v>6042.51</v>
      </c>
      <c r="H513" s="38">
        <v>0</v>
      </c>
      <c r="I513" s="37"/>
      <c r="J513" s="37"/>
      <c r="K513" s="38">
        <f t="shared" si="7"/>
        <v>6042.51</v>
      </c>
      <c r="L513" s="38"/>
    </row>
    <row r="514" spans="1:12" ht="14.5" x14ac:dyDescent="0.35">
      <c r="A514" s="45" t="s">
        <v>3588</v>
      </c>
      <c r="C514" s="36">
        <v>45899</v>
      </c>
      <c r="D514" s="36" t="s">
        <v>2313</v>
      </c>
      <c r="E514" s="37" t="s">
        <v>3151</v>
      </c>
      <c r="F514" s="37" t="s">
        <v>4026</v>
      </c>
      <c r="G514" s="38">
        <v>2428.5500000000002</v>
      </c>
      <c r="H514" s="38">
        <v>0</v>
      </c>
      <c r="I514" s="37"/>
      <c r="J514" s="37"/>
      <c r="K514" s="38">
        <f t="shared" si="7"/>
        <v>2428.5500000000002</v>
      </c>
      <c r="L514" s="38"/>
    </row>
    <row r="515" spans="1:12" ht="14.5" x14ac:dyDescent="0.35">
      <c r="A515" s="45" t="s">
        <v>3588</v>
      </c>
      <c r="C515" s="36">
        <v>45899</v>
      </c>
      <c r="D515" s="36" t="s">
        <v>2313</v>
      </c>
      <c r="E515" s="37" t="s">
        <v>3152</v>
      </c>
      <c r="F515" s="37" t="s">
        <v>4026</v>
      </c>
      <c r="G515" s="38">
        <v>30.22</v>
      </c>
      <c r="H515" s="38">
        <v>0</v>
      </c>
      <c r="I515" s="37"/>
      <c r="J515" s="37"/>
      <c r="K515" s="38">
        <f t="shared" si="7"/>
        <v>30.22</v>
      </c>
      <c r="L515" s="38"/>
    </row>
    <row r="516" spans="1:12" ht="14.5" x14ac:dyDescent="0.35">
      <c r="A516" s="45" t="s">
        <v>3588</v>
      </c>
      <c r="C516" s="36">
        <v>45899</v>
      </c>
      <c r="D516" s="36" t="s">
        <v>301</v>
      </c>
      <c r="E516" s="37">
        <v>37789</v>
      </c>
      <c r="F516" s="37" t="s">
        <v>4026</v>
      </c>
      <c r="G516" s="38">
        <v>64.700000000000017</v>
      </c>
      <c r="H516" s="38">
        <v>0</v>
      </c>
      <c r="I516" s="37"/>
      <c r="J516" s="37"/>
      <c r="K516" s="38">
        <f t="shared" si="7"/>
        <v>64.700000000000017</v>
      </c>
      <c r="L516" s="38"/>
    </row>
    <row r="517" spans="1:12" ht="14.5" x14ac:dyDescent="0.35">
      <c r="A517" s="45" t="s">
        <v>3588</v>
      </c>
      <c r="C517" s="36">
        <v>45899</v>
      </c>
      <c r="D517" s="36" t="s">
        <v>3470</v>
      </c>
      <c r="E517" s="37" t="s">
        <v>3155</v>
      </c>
      <c r="F517" s="37" t="s">
        <v>4026</v>
      </c>
      <c r="G517" s="38">
        <v>1571.7</v>
      </c>
      <c r="H517" s="38">
        <v>0</v>
      </c>
      <c r="I517" s="37"/>
      <c r="J517" s="37"/>
      <c r="K517" s="38">
        <f t="shared" ref="K517:K580" si="8">G517-H517</f>
        <v>1571.7</v>
      </c>
      <c r="L517" s="38"/>
    </row>
    <row r="518" spans="1:12" ht="14.5" x14ac:dyDescent="0.35">
      <c r="A518" s="45" t="s">
        <v>3588</v>
      </c>
      <c r="C518" s="36">
        <v>45899</v>
      </c>
      <c r="D518" s="36" t="s">
        <v>999</v>
      </c>
      <c r="E518" s="37" t="s">
        <v>3156</v>
      </c>
      <c r="F518" s="37" t="s">
        <v>4026</v>
      </c>
      <c r="G518" s="38">
        <v>5071.5899999999992</v>
      </c>
      <c r="H518" s="38">
        <v>0</v>
      </c>
      <c r="I518" s="37"/>
      <c r="J518" s="37"/>
      <c r="K518" s="38">
        <f t="shared" si="8"/>
        <v>5071.5899999999992</v>
      </c>
      <c r="L518" s="38"/>
    </row>
    <row r="519" spans="1:12" ht="14.5" x14ac:dyDescent="0.35">
      <c r="A519" s="45" t="s">
        <v>3588</v>
      </c>
      <c r="C519" s="36">
        <v>45899</v>
      </c>
      <c r="D519" s="36" t="s">
        <v>999</v>
      </c>
      <c r="E519" s="37" t="s">
        <v>3157</v>
      </c>
      <c r="F519" s="37" t="s">
        <v>4026</v>
      </c>
      <c r="G519" s="38">
        <v>8.42</v>
      </c>
      <c r="H519" s="38">
        <v>0</v>
      </c>
      <c r="I519" s="37"/>
      <c r="J519" s="37"/>
      <c r="K519" s="38">
        <f t="shared" si="8"/>
        <v>8.42</v>
      </c>
      <c r="L519" s="38"/>
    </row>
    <row r="520" spans="1:12" ht="14.5" x14ac:dyDescent="0.35">
      <c r="A520" s="45" t="s">
        <v>3588</v>
      </c>
      <c r="C520" s="36">
        <v>45899</v>
      </c>
      <c r="D520" s="36" t="s">
        <v>2449</v>
      </c>
      <c r="E520" s="37" t="s">
        <v>3158</v>
      </c>
      <c r="F520" s="37" t="s">
        <v>4026</v>
      </c>
      <c r="G520" s="38">
        <v>997.51</v>
      </c>
      <c r="H520" s="38">
        <v>0</v>
      </c>
      <c r="I520" s="37"/>
      <c r="J520" s="37"/>
      <c r="K520" s="38">
        <f t="shared" si="8"/>
        <v>997.51</v>
      </c>
      <c r="L520" s="38"/>
    </row>
    <row r="521" spans="1:12" ht="14.5" x14ac:dyDescent="0.35">
      <c r="A521" s="45" t="s">
        <v>3588</v>
      </c>
      <c r="C521" s="36">
        <v>45899</v>
      </c>
      <c r="D521" s="36" t="s">
        <v>2449</v>
      </c>
      <c r="E521" s="37" t="s">
        <v>3159</v>
      </c>
      <c r="F521" s="37" t="s">
        <v>4026</v>
      </c>
      <c r="G521" s="38">
        <v>610.20999999999992</v>
      </c>
      <c r="H521" s="38">
        <v>0</v>
      </c>
      <c r="I521" s="37"/>
      <c r="J521" s="37"/>
      <c r="K521" s="38">
        <f t="shared" si="8"/>
        <v>610.20999999999992</v>
      </c>
      <c r="L521" s="38"/>
    </row>
    <row r="522" spans="1:12" ht="14.5" x14ac:dyDescent="0.35">
      <c r="A522" s="45" t="s">
        <v>3588</v>
      </c>
      <c r="C522" s="36">
        <v>45899</v>
      </c>
      <c r="D522" s="36" t="s">
        <v>3478</v>
      </c>
      <c r="E522" s="37" t="s">
        <v>3160</v>
      </c>
      <c r="F522" s="37" t="s">
        <v>4026</v>
      </c>
      <c r="G522" s="38">
        <v>51.5</v>
      </c>
      <c r="H522" s="38">
        <v>0</v>
      </c>
      <c r="I522" s="37"/>
      <c r="J522" s="37"/>
      <c r="K522" s="38">
        <f t="shared" si="8"/>
        <v>51.5</v>
      </c>
      <c r="L522" s="38"/>
    </row>
    <row r="523" spans="1:12" ht="14.5" x14ac:dyDescent="0.35">
      <c r="A523" s="45" t="s">
        <v>3588</v>
      </c>
      <c r="C523" s="36">
        <v>45899</v>
      </c>
      <c r="D523" s="36" t="s">
        <v>3478</v>
      </c>
      <c r="E523" s="37" t="s">
        <v>3161</v>
      </c>
      <c r="F523" s="37" t="s">
        <v>4026</v>
      </c>
      <c r="G523" s="38">
        <v>2060.11</v>
      </c>
      <c r="H523" s="38">
        <v>0</v>
      </c>
      <c r="I523" s="37"/>
      <c r="J523" s="37"/>
      <c r="K523" s="38">
        <f t="shared" si="8"/>
        <v>2060.11</v>
      </c>
      <c r="L523" s="38"/>
    </row>
    <row r="524" spans="1:12" ht="14.5" x14ac:dyDescent="0.35">
      <c r="A524" s="45" t="s">
        <v>3588</v>
      </c>
      <c r="C524" s="36">
        <v>45899</v>
      </c>
      <c r="D524" s="36" t="s">
        <v>3478</v>
      </c>
      <c r="E524" s="37" t="s">
        <v>3162</v>
      </c>
      <c r="F524" s="37" t="s">
        <v>4026</v>
      </c>
      <c r="G524" s="38">
        <v>433.61</v>
      </c>
      <c r="H524" s="38">
        <v>0</v>
      </c>
      <c r="I524" s="37"/>
      <c r="J524" s="37"/>
      <c r="K524" s="38">
        <f t="shared" si="8"/>
        <v>433.61</v>
      </c>
      <c r="L524" s="38"/>
    </row>
    <row r="525" spans="1:12" ht="14.5" x14ac:dyDescent="0.35">
      <c r="A525" s="45" t="s">
        <v>3588</v>
      </c>
      <c r="C525" s="36">
        <v>45899</v>
      </c>
      <c r="D525" s="36" t="s">
        <v>3478</v>
      </c>
      <c r="E525" s="37" t="s">
        <v>3163</v>
      </c>
      <c r="F525" s="37" t="s">
        <v>4026</v>
      </c>
      <c r="G525" s="38">
        <v>11.63</v>
      </c>
      <c r="H525" s="38">
        <v>0</v>
      </c>
      <c r="I525" s="37"/>
      <c r="J525" s="37"/>
      <c r="K525" s="38">
        <f t="shared" si="8"/>
        <v>11.63</v>
      </c>
      <c r="L525" s="38"/>
    </row>
    <row r="526" spans="1:12" ht="14.5" x14ac:dyDescent="0.35">
      <c r="A526" s="45" t="s">
        <v>3588</v>
      </c>
      <c r="C526" s="36">
        <v>45899</v>
      </c>
      <c r="D526" s="36" t="s">
        <v>3478</v>
      </c>
      <c r="E526" s="37" t="s">
        <v>3164</v>
      </c>
      <c r="F526" s="37" t="s">
        <v>4026</v>
      </c>
      <c r="G526" s="38">
        <v>129.15</v>
      </c>
      <c r="H526" s="38">
        <v>0</v>
      </c>
      <c r="I526" s="37"/>
      <c r="J526" s="37"/>
      <c r="K526" s="38">
        <f t="shared" si="8"/>
        <v>129.15</v>
      </c>
      <c r="L526" s="38"/>
    </row>
    <row r="527" spans="1:12" ht="14.5" x14ac:dyDescent="0.35">
      <c r="A527" s="45" t="s">
        <v>3588</v>
      </c>
      <c r="C527" s="36">
        <v>45899</v>
      </c>
      <c r="D527" s="36" t="s">
        <v>2144</v>
      </c>
      <c r="E527" s="37" t="s">
        <v>3165</v>
      </c>
      <c r="F527" s="37" t="s">
        <v>4026</v>
      </c>
      <c r="G527" s="38">
        <v>3202.08</v>
      </c>
      <c r="H527" s="38">
        <v>0</v>
      </c>
      <c r="I527" s="37"/>
      <c r="J527" s="37"/>
      <c r="K527" s="38">
        <f t="shared" si="8"/>
        <v>3202.08</v>
      </c>
      <c r="L527" s="38"/>
    </row>
    <row r="528" spans="1:12" ht="14.5" x14ac:dyDescent="0.35">
      <c r="A528" s="45" t="s">
        <v>3588</v>
      </c>
      <c r="C528" s="36">
        <v>45899</v>
      </c>
      <c r="D528" s="36" t="s">
        <v>2205</v>
      </c>
      <c r="E528" s="37" t="s">
        <v>3167</v>
      </c>
      <c r="F528" s="37" t="s">
        <v>4026</v>
      </c>
      <c r="G528" s="38">
        <v>32.090000000000003</v>
      </c>
      <c r="H528" s="38">
        <v>0</v>
      </c>
      <c r="I528" s="37"/>
      <c r="J528" s="37"/>
      <c r="K528" s="38">
        <f t="shared" si="8"/>
        <v>32.090000000000003</v>
      </c>
      <c r="L528" s="38"/>
    </row>
    <row r="529" spans="1:12" ht="14.5" x14ac:dyDescent="0.35">
      <c r="A529" s="45" t="s">
        <v>3588</v>
      </c>
      <c r="C529" s="36">
        <v>45899</v>
      </c>
      <c r="D529" s="36" t="s">
        <v>2205</v>
      </c>
      <c r="E529" s="37" t="s">
        <v>3168</v>
      </c>
      <c r="F529" s="37" t="s">
        <v>4026</v>
      </c>
      <c r="G529" s="38">
        <v>132.38</v>
      </c>
      <c r="H529" s="38">
        <v>0</v>
      </c>
      <c r="I529" s="37"/>
      <c r="J529" s="37"/>
      <c r="K529" s="38">
        <f t="shared" si="8"/>
        <v>132.38</v>
      </c>
      <c r="L529" s="38"/>
    </row>
    <row r="530" spans="1:12" ht="14.5" x14ac:dyDescent="0.35">
      <c r="A530" s="45" t="s">
        <v>3588</v>
      </c>
      <c r="C530" s="36">
        <v>45899</v>
      </c>
      <c r="D530" s="36" t="s">
        <v>2392</v>
      </c>
      <c r="E530" s="37" t="s">
        <v>3169</v>
      </c>
      <c r="F530" s="37" t="s">
        <v>4026</v>
      </c>
      <c r="G530" s="38">
        <v>259.06</v>
      </c>
      <c r="H530" s="38">
        <v>0</v>
      </c>
      <c r="I530" s="37"/>
      <c r="J530" s="37"/>
      <c r="K530" s="38">
        <f t="shared" si="8"/>
        <v>259.06</v>
      </c>
      <c r="L530" s="38"/>
    </row>
    <row r="531" spans="1:12" ht="14.5" x14ac:dyDescent="0.35">
      <c r="A531" s="45" t="s">
        <v>3588</v>
      </c>
      <c r="C531" s="36">
        <v>45899</v>
      </c>
      <c r="D531" s="36" t="s">
        <v>2392</v>
      </c>
      <c r="E531" s="37" t="s">
        <v>3170</v>
      </c>
      <c r="F531" s="37" t="s">
        <v>4026</v>
      </c>
      <c r="G531" s="38">
        <v>17.98</v>
      </c>
      <c r="H531" s="38">
        <v>0</v>
      </c>
      <c r="I531" s="37"/>
      <c r="J531" s="37"/>
      <c r="K531" s="38">
        <f t="shared" si="8"/>
        <v>17.98</v>
      </c>
      <c r="L531" s="38"/>
    </row>
    <row r="532" spans="1:12" ht="14.5" x14ac:dyDescent="0.35">
      <c r="A532" s="45" t="s">
        <v>3588</v>
      </c>
      <c r="C532" s="36">
        <v>45899</v>
      </c>
      <c r="D532" s="36" t="s">
        <v>2392</v>
      </c>
      <c r="E532" s="37" t="s">
        <v>3171</v>
      </c>
      <c r="F532" s="37" t="s">
        <v>4026</v>
      </c>
      <c r="G532" s="38">
        <v>20500.099999999999</v>
      </c>
      <c r="H532" s="38">
        <v>0</v>
      </c>
      <c r="I532" s="37"/>
      <c r="J532" s="37"/>
      <c r="K532" s="38">
        <f t="shared" si="8"/>
        <v>20500.099999999999</v>
      </c>
      <c r="L532" s="38"/>
    </row>
    <row r="533" spans="1:12" ht="14.5" x14ac:dyDescent="0.35">
      <c r="A533" s="45" t="s">
        <v>3588</v>
      </c>
      <c r="C533" s="36">
        <v>45899</v>
      </c>
      <c r="D533" s="36" t="s">
        <v>2392</v>
      </c>
      <c r="E533" s="37" t="s">
        <v>3172</v>
      </c>
      <c r="F533" s="37" t="s">
        <v>4026</v>
      </c>
      <c r="G533" s="38">
        <v>5582.97</v>
      </c>
      <c r="H533" s="38">
        <v>0</v>
      </c>
      <c r="I533" s="37"/>
      <c r="J533" s="37"/>
      <c r="K533" s="38">
        <f t="shared" si="8"/>
        <v>5582.97</v>
      </c>
      <c r="L533" s="38"/>
    </row>
    <row r="534" spans="1:12" ht="14.5" x14ac:dyDescent="0.35">
      <c r="A534" s="45" t="s">
        <v>3588</v>
      </c>
      <c r="C534" s="36">
        <v>45899</v>
      </c>
      <c r="D534" s="36" t="s">
        <v>2392</v>
      </c>
      <c r="E534" s="37" t="s">
        <v>3173</v>
      </c>
      <c r="F534" s="37" t="s">
        <v>4026</v>
      </c>
      <c r="G534" s="38">
        <v>78.87</v>
      </c>
      <c r="H534" s="38">
        <v>0</v>
      </c>
      <c r="I534" s="37"/>
      <c r="J534" s="37"/>
      <c r="K534" s="38">
        <f t="shared" si="8"/>
        <v>78.87</v>
      </c>
      <c r="L534" s="38"/>
    </row>
    <row r="535" spans="1:12" ht="14.5" x14ac:dyDescent="0.35">
      <c r="A535" s="45" t="s">
        <v>3588</v>
      </c>
      <c r="C535" s="36">
        <v>45899</v>
      </c>
      <c r="D535" s="36" t="s">
        <v>2392</v>
      </c>
      <c r="E535" s="37" t="s">
        <v>3174</v>
      </c>
      <c r="F535" s="37" t="s">
        <v>4026</v>
      </c>
      <c r="G535" s="38">
        <v>82.68</v>
      </c>
      <c r="H535" s="38">
        <v>0</v>
      </c>
      <c r="I535" s="37"/>
      <c r="J535" s="37"/>
      <c r="K535" s="38">
        <f t="shared" si="8"/>
        <v>82.68</v>
      </c>
      <c r="L535" s="38"/>
    </row>
    <row r="536" spans="1:12" ht="14.5" x14ac:dyDescent="0.35">
      <c r="A536" s="45" t="s">
        <v>3588</v>
      </c>
      <c r="C536" s="36">
        <v>45899</v>
      </c>
      <c r="D536" s="36" t="s">
        <v>2392</v>
      </c>
      <c r="E536" s="37" t="s">
        <v>3175</v>
      </c>
      <c r="F536" s="37" t="s">
        <v>4026</v>
      </c>
      <c r="G536" s="38">
        <v>2858.69</v>
      </c>
      <c r="H536" s="38">
        <v>0</v>
      </c>
      <c r="I536" s="37"/>
      <c r="J536" s="37"/>
      <c r="K536" s="38">
        <f t="shared" si="8"/>
        <v>2858.69</v>
      </c>
      <c r="L536" s="38"/>
    </row>
    <row r="537" spans="1:12" ht="14.5" x14ac:dyDescent="0.35">
      <c r="A537" s="45" t="s">
        <v>3588</v>
      </c>
      <c r="C537" s="36">
        <v>45899</v>
      </c>
      <c r="D537" s="36" t="s">
        <v>2437</v>
      </c>
      <c r="E537" s="37" t="s">
        <v>3176</v>
      </c>
      <c r="F537" s="37" t="s">
        <v>4026</v>
      </c>
      <c r="G537" s="38">
        <v>31617.68</v>
      </c>
      <c r="H537" s="38">
        <v>0</v>
      </c>
      <c r="I537" s="37"/>
      <c r="J537" s="37"/>
      <c r="K537" s="38">
        <f t="shared" si="8"/>
        <v>31617.68</v>
      </c>
      <c r="L537" s="38"/>
    </row>
    <row r="538" spans="1:12" ht="14.5" x14ac:dyDescent="0.35">
      <c r="A538" s="45" t="s">
        <v>3588</v>
      </c>
      <c r="C538" s="36">
        <v>45899</v>
      </c>
      <c r="D538" s="36" t="s">
        <v>3479</v>
      </c>
      <c r="E538" s="37" t="s">
        <v>3177</v>
      </c>
      <c r="F538" s="37" t="s">
        <v>4026</v>
      </c>
      <c r="G538" s="38">
        <v>3125.09</v>
      </c>
      <c r="H538" s="38">
        <v>0</v>
      </c>
      <c r="I538" s="37"/>
      <c r="J538" s="37"/>
      <c r="K538" s="38">
        <f t="shared" si="8"/>
        <v>3125.09</v>
      </c>
      <c r="L538" s="38"/>
    </row>
    <row r="539" spans="1:12" ht="14.5" x14ac:dyDescent="0.35">
      <c r="A539" s="45" t="s">
        <v>3588</v>
      </c>
      <c r="C539" s="36">
        <v>45899</v>
      </c>
      <c r="D539" s="36" t="s">
        <v>3480</v>
      </c>
      <c r="E539" s="37" t="s">
        <v>3178</v>
      </c>
      <c r="F539" s="37" t="s">
        <v>4026</v>
      </c>
      <c r="G539" s="38">
        <v>21111.630000000008</v>
      </c>
      <c r="H539" s="38">
        <v>0</v>
      </c>
      <c r="I539" s="37"/>
      <c r="J539" s="37"/>
      <c r="K539" s="38">
        <f t="shared" si="8"/>
        <v>21111.630000000008</v>
      </c>
      <c r="L539" s="38"/>
    </row>
    <row r="540" spans="1:12" ht="14.5" x14ac:dyDescent="0.35">
      <c r="A540" s="45" t="s">
        <v>3588</v>
      </c>
      <c r="C540" s="36">
        <v>45899</v>
      </c>
      <c r="D540" s="36" t="s">
        <v>2437</v>
      </c>
      <c r="E540" s="37" t="s">
        <v>3179</v>
      </c>
      <c r="F540" s="37" t="s">
        <v>4026</v>
      </c>
      <c r="G540" s="38">
        <v>41736.950000000004</v>
      </c>
      <c r="H540" s="38">
        <v>0</v>
      </c>
      <c r="I540" s="37"/>
      <c r="J540" s="37"/>
      <c r="K540" s="38">
        <f t="shared" si="8"/>
        <v>41736.950000000004</v>
      </c>
      <c r="L540" s="38"/>
    </row>
    <row r="541" spans="1:12" ht="14.5" x14ac:dyDescent="0.35">
      <c r="A541" s="45" t="s">
        <v>3588</v>
      </c>
      <c r="C541" s="36">
        <v>45899</v>
      </c>
      <c r="D541" s="36" t="s">
        <v>2437</v>
      </c>
      <c r="E541" s="37" t="s">
        <v>3180</v>
      </c>
      <c r="F541" s="37" t="s">
        <v>4026</v>
      </c>
      <c r="G541" s="38">
        <v>13301.31</v>
      </c>
      <c r="H541" s="38">
        <v>0</v>
      </c>
      <c r="I541" s="37"/>
      <c r="J541" s="37"/>
      <c r="K541" s="38">
        <f t="shared" si="8"/>
        <v>13301.31</v>
      </c>
      <c r="L541" s="38"/>
    </row>
    <row r="542" spans="1:12" ht="14.5" x14ac:dyDescent="0.35">
      <c r="A542" s="45" t="s">
        <v>3588</v>
      </c>
      <c r="C542" s="36">
        <v>45899</v>
      </c>
      <c r="D542" s="36" t="s">
        <v>2437</v>
      </c>
      <c r="E542" s="37" t="s">
        <v>3181</v>
      </c>
      <c r="F542" s="37" t="s">
        <v>4026</v>
      </c>
      <c r="G542" s="38">
        <v>111.74</v>
      </c>
      <c r="H542" s="38">
        <v>0</v>
      </c>
      <c r="I542" s="37"/>
      <c r="J542" s="37"/>
      <c r="K542" s="38">
        <f t="shared" si="8"/>
        <v>111.74</v>
      </c>
      <c r="L542" s="38"/>
    </row>
    <row r="543" spans="1:12" ht="14.5" x14ac:dyDescent="0.35">
      <c r="A543" s="45" t="s">
        <v>3588</v>
      </c>
      <c r="C543" s="36">
        <v>45899</v>
      </c>
      <c r="D543" s="36" t="s">
        <v>1608</v>
      </c>
      <c r="E543" s="37" t="s">
        <v>3182</v>
      </c>
      <c r="F543" s="37" t="s">
        <v>4026</v>
      </c>
      <c r="G543" s="38">
        <v>130.12</v>
      </c>
      <c r="H543" s="38">
        <v>0</v>
      </c>
      <c r="I543" s="37"/>
      <c r="J543" s="37"/>
      <c r="K543" s="38">
        <f t="shared" si="8"/>
        <v>130.12</v>
      </c>
      <c r="L543" s="38"/>
    </row>
    <row r="544" spans="1:12" ht="14.5" x14ac:dyDescent="0.35">
      <c r="A544" s="45" t="s">
        <v>3588</v>
      </c>
      <c r="C544" s="36">
        <v>45899</v>
      </c>
      <c r="D544" s="36" t="s">
        <v>1608</v>
      </c>
      <c r="E544" s="37" t="s">
        <v>3183</v>
      </c>
      <c r="F544" s="37" t="s">
        <v>4026</v>
      </c>
      <c r="G544" s="38">
        <v>98.43</v>
      </c>
      <c r="H544" s="38">
        <v>0</v>
      </c>
      <c r="I544" s="37"/>
      <c r="J544" s="37"/>
      <c r="K544" s="38">
        <f t="shared" si="8"/>
        <v>98.43</v>
      </c>
      <c r="L544" s="38"/>
    </row>
    <row r="545" spans="1:12" ht="14.5" x14ac:dyDescent="0.35">
      <c r="A545" s="45" t="s">
        <v>3588</v>
      </c>
      <c r="C545" s="36">
        <v>45899</v>
      </c>
      <c r="D545" s="36" t="s">
        <v>1608</v>
      </c>
      <c r="E545" s="37" t="s">
        <v>3184</v>
      </c>
      <c r="F545" s="37" t="s">
        <v>4026</v>
      </c>
      <c r="G545" s="38">
        <v>295.72000000000003</v>
      </c>
      <c r="H545" s="38">
        <v>0</v>
      </c>
      <c r="I545" s="37"/>
      <c r="J545" s="37"/>
      <c r="K545" s="38">
        <f t="shared" si="8"/>
        <v>295.72000000000003</v>
      </c>
      <c r="L545" s="38"/>
    </row>
    <row r="546" spans="1:12" ht="14.5" x14ac:dyDescent="0.35">
      <c r="A546" s="45" t="s">
        <v>3588</v>
      </c>
      <c r="C546" s="36">
        <v>45899</v>
      </c>
      <c r="D546" s="36" t="s">
        <v>3481</v>
      </c>
      <c r="E546" s="37" t="s">
        <v>3185</v>
      </c>
      <c r="F546" s="37" t="s">
        <v>4026</v>
      </c>
      <c r="G546" s="38">
        <v>2.1800000000000002</v>
      </c>
      <c r="H546" s="38">
        <v>0</v>
      </c>
      <c r="I546" s="37"/>
      <c r="J546" s="37"/>
      <c r="K546" s="38">
        <f t="shared" si="8"/>
        <v>2.1800000000000002</v>
      </c>
      <c r="L546" s="38"/>
    </row>
    <row r="547" spans="1:12" ht="14.5" x14ac:dyDescent="0.35">
      <c r="A547" s="45" t="s">
        <v>3588</v>
      </c>
      <c r="C547" s="36">
        <v>45899</v>
      </c>
      <c r="D547" s="36" t="s">
        <v>3481</v>
      </c>
      <c r="E547" s="37" t="s">
        <v>3186</v>
      </c>
      <c r="F547" s="37" t="s">
        <v>4026</v>
      </c>
      <c r="G547" s="38">
        <v>5550.68</v>
      </c>
      <c r="H547" s="38">
        <v>0</v>
      </c>
      <c r="I547" s="37"/>
      <c r="J547" s="37"/>
      <c r="K547" s="38">
        <f t="shared" si="8"/>
        <v>5550.68</v>
      </c>
      <c r="L547" s="38"/>
    </row>
    <row r="548" spans="1:12" ht="14.5" x14ac:dyDescent="0.35">
      <c r="A548" s="45" t="s">
        <v>3588</v>
      </c>
      <c r="C548" s="36">
        <v>45899</v>
      </c>
      <c r="D548" s="36" t="s">
        <v>3481</v>
      </c>
      <c r="E548" s="37" t="s">
        <v>3187</v>
      </c>
      <c r="F548" s="37" t="s">
        <v>4026</v>
      </c>
      <c r="G548" s="38">
        <v>6386.09</v>
      </c>
      <c r="H548" s="38">
        <v>0</v>
      </c>
      <c r="I548" s="37"/>
      <c r="J548" s="37"/>
      <c r="K548" s="38">
        <f t="shared" si="8"/>
        <v>6386.09</v>
      </c>
      <c r="L548" s="38"/>
    </row>
    <row r="549" spans="1:12" ht="14.5" x14ac:dyDescent="0.35">
      <c r="A549" s="45" t="s">
        <v>3588</v>
      </c>
      <c r="C549" s="36">
        <v>45899</v>
      </c>
      <c r="D549" s="36" t="s">
        <v>3482</v>
      </c>
      <c r="E549" s="37" t="s">
        <v>3188</v>
      </c>
      <c r="F549" s="37" t="s">
        <v>4026</v>
      </c>
      <c r="G549" s="38">
        <v>200</v>
      </c>
      <c r="H549" s="38">
        <v>0</v>
      </c>
      <c r="I549" s="37"/>
      <c r="J549" s="37"/>
      <c r="K549" s="38">
        <f t="shared" si="8"/>
        <v>200</v>
      </c>
      <c r="L549" s="38"/>
    </row>
    <row r="550" spans="1:12" ht="14.5" x14ac:dyDescent="0.35">
      <c r="A550" s="45" t="s">
        <v>3588</v>
      </c>
      <c r="C550" s="36">
        <v>45899</v>
      </c>
      <c r="D550" s="36" t="s">
        <v>3483</v>
      </c>
      <c r="E550" s="37">
        <v>38034</v>
      </c>
      <c r="F550" s="37" t="s">
        <v>4026</v>
      </c>
      <c r="G550" s="38">
        <v>2454.73</v>
      </c>
      <c r="H550" s="38">
        <v>0</v>
      </c>
      <c r="I550" s="37"/>
      <c r="J550" s="37"/>
      <c r="K550" s="38">
        <f t="shared" si="8"/>
        <v>2454.73</v>
      </c>
      <c r="L550" s="38"/>
    </row>
    <row r="551" spans="1:12" ht="14.5" x14ac:dyDescent="0.35">
      <c r="A551" s="45" t="s">
        <v>3588</v>
      </c>
      <c r="C551" s="36">
        <v>45899</v>
      </c>
      <c r="D551" s="36" t="s">
        <v>3479</v>
      </c>
      <c r="E551" s="37" t="s">
        <v>3189</v>
      </c>
      <c r="F551" s="37" t="s">
        <v>4026</v>
      </c>
      <c r="G551" s="38">
        <v>8670.8700000000008</v>
      </c>
      <c r="H551" s="38">
        <v>0</v>
      </c>
      <c r="I551" s="37"/>
      <c r="J551" s="37"/>
      <c r="K551" s="38">
        <f t="shared" si="8"/>
        <v>8670.8700000000008</v>
      </c>
      <c r="L551" s="38"/>
    </row>
    <row r="552" spans="1:12" ht="14.5" x14ac:dyDescent="0.35">
      <c r="A552" s="45" t="s">
        <v>3588</v>
      </c>
      <c r="C552" s="36">
        <v>45899</v>
      </c>
      <c r="D552" s="36" t="s">
        <v>2629</v>
      </c>
      <c r="E552" s="37" t="s">
        <v>3190</v>
      </c>
      <c r="F552" s="37" t="s">
        <v>4026</v>
      </c>
      <c r="G552" s="38">
        <v>4601.51</v>
      </c>
      <c r="H552" s="38">
        <v>0</v>
      </c>
      <c r="I552" s="37"/>
      <c r="J552" s="37"/>
      <c r="K552" s="38">
        <f t="shared" si="8"/>
        <v>4601.51</v>
      </c>
      <c r="L552" s="38"/>
    </row>
    <row r="553" spans="1:12" ht="14.5" x14ac:dyDescent="0.35">
      <c r="A553" s="45" t="s">
        <v>3588</v>
      </c>
      <c r="C553" s="36">
        <v>45899</v>
      </c>
      <c r="D553" s="36" t="s">
        <v>2629</v>
      </c>
      <c r="E553" s="37" t="s">
        <v>3191</v>
      </c>
      <c r="F553" s="37" t="s">
        <v>4026</v>
      </c>
      <c r="G553" s="38">
        <v>30.75</v>
      </c>
      <c r="H553" s="38">
        <v>0</v>
      </c>
      <c r="I553" s="37"/>
      <c r="J553" s="37"/>
      <c r="K553" s="38">
        <f t="shared" si="8"/>
        <v>30.75</v>
      </c>
      <c r="L553" s="38"/>
    </row>
    <row r="554" spans="1:12" ht="14.5" x14ac:dyDescent="0.35">
      <c r="A554" s="45" t="s">
        <v>3588</v>
      </c>
      <c r="C554" s="36">
        <v>45899</v>
      </c>
      <c r="D554" s="36" t="s">
        <v>2429</v>
      </c>
      <c r="E554" s="37" t="s">
        <v>3192</v>
      </c>
      <c r="F554" s="37" t="s">
        <v>4026</v>
      </c>
      <c r="G554" s="38">
        <v>1465.8200000000002</v>
      </c>
      <c r="H554" s="38">
        <v>0</v>
      </c>
      <c r="I554" s="37"/>
      <c r="J554" s="37"/>
      <c r="K554" s="38">
        <f t="shared" si="8"/>
        <v>1465.8200000000002</v>
      </c>
      <c r="L554" s="38"/>
    </row>
    <row r="555" spans="1:12" ht="14.5" x14ac:dyDescent="0.35">
      <c r="A555" s="45" t="s">
        <v>3588</v>
      </c>
      <c r="C555" s="36">
        <v>45899</v>
      </c>
      <c r="D555" s="36" t="s">
        <v>2429</v>
      </c>
      <c r="E555" s="37" t="s">
        <v>3193</v>
      </c>
      <c r="F555" s="37" t="s">
        <v>4026</v>
      </c>
      <c r="G555" s="38">
        <v>6.2</v>
      </c>
      <c r="H555" s="38">
        <v>0</v>
      </c>
      <c r="I555" s="37"/>
      <c r="J555" s="37"/>
      <c r="K555" s="38">
        <f t="shared" si="8"/>
        <v>6.2</v>
      </c>
      <c r="L555" s="38"/>
    </row>
    <row r="556" spans="1:12" ht="14.5" x14ac:dyDescent="0.35">
      <c r="A556" s="45" t="s">
        <v>3588</v>
      </c>
      <c r="C556" s="36">
        <v>45899</v>
      </c>
      <c r="D556" s="36" t="s">
        <v>3470</v>
      </c>
      <c r="E556" s="37">
        <v>38051</v>
      </c>
      <c r="F556" s="37" t="s">
        <v>4026</v>
      </c>
      <c r="G556" s="38">
        <v>40200.090000000004</v>
      </c>
      <c r="H556" s="38">
        <v>0</v>
      </c>
      <c r="I556" s="37"/>
      <c r="J556" s="37"/>
      <c r="K556" s="38">
        <f t="shared" si="8"/>
        <v>40200.090000000004</v>
      </c>
      <c r="L556" s="38"/>
    </row>
    <row r="557" spans="1:12" ht="14.5" x14ac:dyDescent="0.35">
      <c r="A557" s="45" t="s">
        <v>3588</v>
      </c>
      <c r="C557" s="36">
        <v>45899</v>
      </c>
      <c r="D557" s="36" t="s">
        <v>1695</v>
      </c>
      <c r="E557" s="37" t="s">
        <v>3194</v>
      </c>
      <c r="F557" s="37" t="s">
        <v>4026</v>
      </c>
      <c r="G557" s="38">
        <v>2046.6000000000001</v>
      </c>
      <c r="H557" s="38">
        <v>0</v>
      </c>
      <c r="I557" s="37"/>
      <c r="J557" s="37"/>
      <c r="K557" s="38">
        <f t="shared" si="8"/>
        <v>2046.6000000000001</v>
      </c>
      <c r="L557" s="38"/>
    </row>
    <row r="558" spans="1:12" ht="14.5" x14ac:dyDescent="0.35">
      <c r="A558" s="45" t="s">
        <v>3588</v>
      </c>
      <c r="C558" s="36">
        <v>45899</v>
      </c>
      <c r="D558" s="36" t="s">
        <v>1695</v>
      </c>
      <c r="E558" s="37" t="s">
        <v>3195</v>
      </c>
      <c r="F558" s="37" t="s">
        <v>4026</v>
      </c>
      <c r="G558" s="38">
        <v>428.77</v>
      </c>
      <c r="H558" s="38">
        <v>0</v>
      </c>
      <c r="I558" s="37"/>
      <c r="J558" s="37"/>
      <c r="K558" s="38">
        <f t="shared" si="8"/>
        <v>428.77</v>
      </c>
      <c r="L558" s="38"/>
    </row>
    <row r="559" spans="1:12" ht="14.5" x14ac:dyDescent="0.35">
      <c r="A559" s="45" t="s">
        <v>3588</v>
      </c>
      <c r="C559" s="36">
        <v>45899</v>
      </c>
      <c r="D559" s="36" t="s">
        <v>1695</v>
      </c>
      <c r="E559" s="37" t="s">
        <v>3196</v>
      </c>
      <c r="F559" s="37" t="s">
        <v>4026</v>
      </c>
      <c r="G559" s="38">
        <v>190.34</v>
      </c>
      <c r="H559" s="38">
        <v>0</v>
      </c>
      <c r="I559" s="37"/>
      <c r="J559" s="37"/>
      <c r="K559" s="38">
        <f t="shared" si="8"/>
        <v>190.34</v>
      </c>
      <c r="L559" s="38"/>
    </row>
    <row r="560" spans="1:12" ht="14.5" x14ac:dyDescent="0.35">
      <c r="A560" s="45" t="s">
        <v>3588</v>
      </c>
      <c r="C560" s="36">
        <v>45899</v>
      </c>
      <c r="D560" s="36" t="s">
        <v>1695</v>
      </c>
      <c r="E560" s="37" t="s">
        <v>3197</v>
      </c>
      <c r="F560" s="37" t="s">
        <v>4026</v>
      </c>
      <c r="G560" s="38">
        <v>893</v>
      </c>
      <c r="H560" s="38">
        <v>0</v>
      </c>
      <c r="I560" s="37"/>
      <c r="J560" s="37"/>
      <c r="K560" s="38">
        <f t="shared" si="8"/>
        <v>893</v>
      </c>
      <c r="L560" s="38"/>
    </row>
    <row r="561" spans="1:12" ht="14.5" x14ac:dyDescent="0.35">
      <c r="A561" s="45" t="s">
        <v>3588</v>
      </c>
      <c r="C561" s="36">
        <v>45899</v>
      </c>
      <c r="D561" s="36" t="s">
        <v>3484</v>
      </c>
      <c r="E561" s="37" t="s">
        <v>3198</v>
      </c>
      <c r="F561" s="37" t="s">
        <v>4026</v>
      </c>
      <c r="G561" s="38">
        <v>0</v>
      </c>
      <c r="H561" s="38">
        <v>0</v>
      </c>
      <c r="I561" s="37"/>
      <c r="J561" s="37"/>
      <c r="K561" s="38">
        <f t="shared" si="8"/>
        <v>0</v>
      </c>
      <c r="L561" s="38"/>
    </row>
    <row r="562" spans="1:12" ht="14.5" x14ac:dyDescent="0.35">
      <c r="A562" s="45" t="s">
        <v>3588</v>
      </c>
      <c r="C562" s="36">
        <v>45899</v>
      </c>
      <c r="D562" s="36" t="s">
        <v>3484</v>
      </c>
      <c r="E562" s="37" t="s">
        <v>3199</v>
      </c>
      <c r="F562" s="37" t="s">
        <v>4026</v>
      </c>
      <c r="G562" s="38">
        <v>0</v>
      </c>
      <c r="H562" s="38">
        <v>0</v>
      </c>
      <c r="I562" s="37"/>
      <c r="J562" s="37"/>
      <c r="K562" s="38">
        <f t="shared" si="8"/>
        <v>0</v>
      </c>
      <c r="L562" s="38"/>
    </row>
    <row r="563" spans="1:12" ht="14.5" x14ac:dyDescent="0.35">
      <c r="A563" s="45" t="s">
        <v>3588</v>
      </c>
      <c r="C563" s="36">
        <v>45899</v>
      </c>
      <c r="D563" s="36" t="s">
        <v>3485</v>
      </c>
      <c r="E563" s="37" t="s">
        <v>3200</v>
      </c>
      <c r="F563" s="37" t="s">
        <v>4026</v>
      </c>
      <c r="G563" s="38">
        <v>0</v>
      </c>
      <c r="H563" s="38">
        <v>0</v>
      </c>
      <c r="I563" s="37"/>
      <c r="J563" s="37"/>
      <c r="K563" s="38">
        <f t="shared" si="8"/>
        <v>0</v>
      </c>
      <c r="L563" s="38"/>
    </row>
    <row r="564" spans="1:12" ht="14.5" x14ac:dyDescent="0.35">
      <c r="A564" s="45" t="s">
        <v>3588</v>
      </c>
      <c r="C564" s="36">
        <v>45899</v>
      </c>
      <c r="D564" s="36" t="s">
        <v>2212</v>
      </c>
      <c r="E564" s="37" t="s">
        <v>3201</v>
      </c>
      <c r="F564" s="37" t="s">
        <v>4026</v>
      </c>
      <c r="G564" s="38">
        <v>44172.3</v>
      </c>
      <c r="H564" s="38">
        <v>0</v>
      </c>
      <c r="I564" s="37"/>
      <c r="J564" s="37"/>
      <c r="K564" s="38">
        <f t="shared" si="8"/>
        <v>44172.3</v>
      </c>
      <c r="L564" s="38"/>
    </row>
    <row r="565" spans="1:12" ht="14.5" x14ac:dyDescent="0.35">
      <c r="A565" s="45" t="s">
        <v>3588</v>
      </c>
      <c r="C565" s="36">
        <v>45899</v>
      </c>
      <c r="D565" s="36" t="s">
        <v>3486</v>
      </c>
      <c r="E565" s="37" t="s">
        <v>3202</v>
      </c>
      <c r="F565" s="37" t="s">
        <v>4026</v>
      </c>
      <c r="G565" s="38">
        <v>3122.2</v>
      </c>
      <c r="H565" s="38">
        <v>0</v>
      </c>
      <c r="I565" s="37"/>
      <c r="J565" s="37"/>
      <c r="K565" s="38">
        <f t="shared" si="8"/>
        <v>3122.2</v>
      </c>
      <c r="L565" s="38"/>
    </row>
    <row r="566" spans="1:12" ht="14.5" x14ac:dyDescent="0.35">
      <c r="A566" s="45" t="s">
        <v>3588</v>
      </c>
      <c r="C566" s="36">
        <v>45899</v>
      </c>
      <c r="D566" s="36" t="s">
        <v>3486</v>
      </c>
      <c r="E566" s="37" t="s">
        <v>3203</v>
      </c>
      <c r="F566" s="37" t="s">
        <v>4026</v>
      </c>
      <c r="G566" s="38">
        <v>152.83000000000001</v>
      </c>
      <c r="H566" s="38">
        <v>0</v>
      </c>
      <c r="I566" s="37"/>
      <c r="J566" s="37"/>
      <c r="K566" s="38">
        <f t="shared" si="8"/>
        <v>152.83000000000001</v>
      </c>
      <c r="L566" s="38"/>
    </row>
    <row r="567" spans="1:12" ht="14.5" x14ac:dyDescent="0.35">
      <c r="A567" s="45" t="s">
        <v>3588</v>
      </c>
      <c r="C567" s="36">
        <v>45899</v>
      </c>
      <c r="D567" s="36" t="s">
        <v>3486</v>
      </c>
      <c r="E567" s="37" t="s">
        <v>3204</v>
      </c>
      <c r="F567" s="37" t="s">
        <v>4026</v>
      </c>
      <c r="G567" s="38">
        <v>13366.08</v>
      </c>
      <c r="H567" s="38">
        <v>0</v>
      </c>
      <c r="I567" s="37"/>
      <c r="J567" s="37"/>
      <c r="K567" s="38">
        <f t="shared" si="8"/>
        <v>13366.08</v>
      </c>
      <c r="L567" s="38"/>
    </row>
    <row r="568" spans="1:12" ht="14.5" x14ac:dyDescent="0.35">
      <c r="A568" s="45" t="s">
        <v>3588</v>
      </c>
      <c r="C568" s="36">
        <v>45899</v>
      </c>
      <c r="D568" s="36" t="s">
        <v>3486</v>
      </c>
      <c r="E568" s="37" t="s">
        <v>3205</v>
      </c>
      <c r="F568" s="37" t="s">
        <v>4026</v>
      </c>
      <c r="G568" s="38">
        <v>832.19</v>
      </c>
      <c r="H568" s="38">
        <v>0</v>
      </c>
      <c r="I568" s="37"/>
      <c r="J568" s="37"/>
      <c r="K568" s="38">
        <f t="shared" si="8"/>
        <v>832.19</v>
      </c>
      <c r="L568" s="38"/>
    </row>
    <row r="569" spans="1:12" ht="14.5" x14ac:dyDescent="0.35">
      <c r="A569" s="45" t="s">
        <v>3588</v>
      </c>
      <c r="C569" s="36">
        <v>45899</v>
      </c>
      <c r="D569" s="36" t="s">
        <v>3486</v>
      </c>
      <c r="E569" s="37" t="s">
        <v>3206</v>
      </c>
      <c r="F569" s="37" t="s">
        <v>4026</v>
      </c>
      <c r="G569" s="38">
        <v>1283.25</v>
      </c>
      <c r="H569" s="38">
        <v>0</v>
      </c>
      <c r="I569" s="37"/>
      <c r="J569" s="37"/>
      <c r="K569" s="38">
        <f t="shared" si="8"/>
        <v>1283.25</v>
      </c>
      <c r="L569" s="38"/>
    </row>
    <row r="570" spans="1:12" ht="14.5" x14ac:dyDescent="0.35">
      <c r="A570" s="45" t="s">
        <v>3588</v>
      </c>
      <c r="C570" s="36">
        <v>45899</v>
      </c>
      <c r="D570" s="36" t="s">
        <v>3486</v>
      </c>
      <c r="E570" s="37" t="s">
        <v>3207</v>
      </c>
      <c r="F570" s="37" t="s">
        <v>4026</v>
      </c>
      <c r="G570" s="38">
        <v>2731.76</v>
      </c>
      <c r="H570" s="38">
        <v>0</v>
      </c>
      <c r="I570" s="37"/>
      <c r="J570" s="37"/>
      <c r="K570" s="38">
        <f t="shared" si="8"/>
        <v>2731.76</v>
      </c>
      <c r="L570" s="38"/>
    </row>
    <row r="571" spans="1:12" ht="14.5" x14ac:dyDescent="0.35">
      <c r="A571" s="45" t="s">
        <v>3588</v>
      </c>
      <c r="C571" s="36">
        <v>45899</v>
      </c>
      <c r="D571" s="36" t="s">
        <v>3486</v>
      </c>
      <c r="E571" s="37" t="s">
        <v>3208</v>
      </c>
      <c r="F571" s="37" t="s">
        <v>4026</v>
      </c>
      <c r="G571" s="38">
        <v>314.25</v>
      </c>
      <c r="H571" s="38">
        <v>0</v>
      </c>
      <c r="I571" s="37"/>
      <c r="J571" s="37"/>
      <c r="K571" s="38">
        <f t="shared" si="8"/>
        <v>314.25</v>
      </c>
      <c r="L571" s="38"/>
    </row>
    <row r="572" spans="1:12" ht="14.5" x14ac:dyDescent="0.35">
      <c r="A572" s="45" t="s">
        <v>3588</v>
      </c>
      <c r="C572" s="36">
        <v>45899</v>
      </c>
      <c r="D572" s="36" t="s">
        <v>3486</v>
      </c>
      <c r="E572" s="37" t="s">
        <v>3209</v>
      </c>
      <c r="F572" s="37" t="s">
        <v>4026</v>
      </c>
      <c r="G572" s="38">
        <v>2943.93</v>
      </c>
      <c r="H572" s="38">
        <v>0</v>
      </c>
      <c r="I572" s="37"/>
      <c r="J572" s="37"/>
      <c r="K572" s="38">
        <f t="shared" si="8"/>
        <v>2943.93</v>
      </c>
      <c r="L572" s="38"/>
    </row>
    <row r="573" spans="1:12" ht="14.5" x14ac:dyDescent="0.35">
      <c r="A573" s="45" t="s">
        <v>3588</v>
      </c>
      <c r="C573" s="36">
        <v>45899</v>
      </c>
      <c r="D573" s="36" t="s">
        <v>3486</v>
      </c>
      <c r="E573" s="37" t="s">
        <v>3210</v>
      </c>
      <c r="F573" s="37" t="s">
        <v>4026</v>
      </c>
      <c r="G573" s="38">
        <v>26683.37</v>
      </c>
      <c r="H573" s="38">
        <v>0</v>
      </c>
      <c r="I573" s="37"/>
      <c r="J573" s="37"/>
      <c r="K573" s="38">
        <f t="shared" si="8"/>
        <v>26683.37</v>
      </c>
      <c r="L573" s="38"/>
    </row>
    <row r="574" spans="1:12" ht="14.5" x14ac:dyDescent="0.35">
      <c r="A574" s="45" t="s">
        <v>3588</v>
      </c>
      <c r="C574" s="36">
        <v>45899</v>
      </c>
      <c r="D574" s="36" t="s">
        <v>2027</v>
      </c>
      <c r="E574" s="37" t="s">
        <v>3211</v>
      </c>
      <c r="F574" s="37" t="s">
        <v>4026</v>
      </c>
      <c r="G574" s="38">
        <v>160.87</v>
      </c>
      <c r="H574" s="38">
        <v>0</v>
      </c>
      <c r="I574" s="37"/>
      <c r="J574" s="37"/>
      <c r="K574" s="38">
        <f t="shared" si="8"/>
        <v>160.87</v>
      </c>
      <c r="L574" s="38"/>
    </row>
    <row r="575" spans="1:12" ht="14.5" x14ac:dyDescent="0.35">
      <c r="A575" s="45" t="s">
        <v>3588</v>
      </c>
      <c r="C575" s="36">
        <v>45899</v>
      </c>
      <c r="D575" s="36" t="s">
        <v>2846</v>
      </c>
      <c r="E575" s="37" t="s">
        <v>3213</v>
      </c>
      <c r="F575" s="37" t="s">
        <v>4026</v>
      </c>
      <c r="G575" s="38">
        <v>7.43</v>
      </c>
      <c r="H575" s="38">
        <v>0</v>
      </c>
      <c r="I575" s="37"/>
      <c r="J575" s="37"/>
      <c r="K575" s="38">
        <f t="shared" si="8"/>
        <v>7.43</v>
      </c>
      <c r="L575" s="38"/>
    </row>
    <row r="576" spans="1:12" ht="14.5" x14ac:dyDescent="0.35">
      <c r="A576" s="45" t="s">
        <v>3588</v>
      </c>
      <c r="C576" s="36">
        <v>45899</v>
      </c>
      <c r="D576" s="36" t="s">
        <v>3154</v>
      </c>
      <c r="E576" s="37" t="s">
        <v>3214</v>
      </c>
      <c r="F576" s="37" t="s">
        <v>4026</v>
      </c>
      <c r="G576" s="38">
        <v>8973.59</v>
      </c>
      <c r="H576" s="38">
        <v>0</v>
      </c>
      <c r="I576" s="37"/>
      <c r="J576" s="37"/>
      <c r="K576" s="38">
        <f t="shared" si="8"/>
        <v>8973.59</v>
      </c>
      <c r="L576" s="38"/>
    </row>
    <row r="577" spans="1:12" ht="14.5" x14ac:dyDescent="0.35">
      <c r="A577" s="45" t="s">
        <v>3588</v>
      </c>
      <c r="C577" s="36">
        <v>45899</v>
      </c>
      <c r="D577" s="36" t="s">
        <v>2442</v>
      </c>
      <c r="E577" s="37" t="s">
        <v>3215</v>
      </c>
      <c r="F577" s="37" t="s">
        <v>4026</v>
      </c>
      <c r="G577" s="38">
        <v>1744.77</v>
      </c>
      <c r="H577" s="38">
        <v>0</v>
      </c>
      <c r="I577" s="37"/>
      <c r="J577" s="37"/>
      <c r="K577" s="38">
        <f t="shared" si="8"/>
        <v>1744.77</v>
      </c>
      <c r="L577" s="38"/>
    </row>
    <row r="578" spans="1:12" ht="14.5" x14ac:dyDescent="0.35">
      <c r="A578" s="45" t="s">
        <v>3588</v>
      </c>
      <c r="C578" s="36">
        <v>45899</v>
      </c>
      <c r="D578" s="36" t="s">
        <v>2442</v>
      </c>
      <c r="E578" s="37" t="s">
        <v>3216</v>
      </c>
      <c r="F578" s="37" t="s">
        <v>4026</v>
      </c>
      <c r="G578" s="38">
        <v>1138.8600000000001</v>
      </c>
      <c r="H578" s="38">
        <v>0</v>
      </c>
      <c r="I578" s="37"/>
      <c r="J578" s="37"/>
      <c r="K578" s="38">
        <f t="shared" si="8"/>
        <v>1138.8600000000001</v>
      </c>
      <c r="L578" s="38"/>
    </row>
    <row r="579" spans="1:12" ht="14.5" x14ac:dyDescent="0.35">
      <c r="A579" s="45" t="s">
        <v>3588</v>
      </c>
      <c r="C579" s="36">
        <v>45899</v>
      </c>
      <c r="D579" s="36" t="s">
        <v>2626</v>
      </c>
      <c r="E579" s="37" t="s">
        <v>3217</v>
      </c>
      <c r="F579" s="37" t="s">
        <v>4026</v>
      </c>
      <c r="G579" s="38">
        <v>20.25</v>
      </c>
      <c r="H579" s="38">
        <v>0</v>
      </c>
      <c r="I579" s="37"/>
      <c r="J579" s="37"/>
      <c r="K579" s="38">
        <f t="shared" si="8"/>
        <v>20.25</v>
      </c>
      <c r="L579" s="38"/>
    </row>
    <row r="580" spans="1:12" ht="14.5" x14ac:dyDescent="0.35">
      <c r="A580" s="45" t="s">
        <v>3588</v>
      </c>
      <c r="C580" s="36">
        <v>45899</v>
      </c>
      <c r="D580" s="36" t="s">
        <v>2626</v>
      </c>
      <c r="E580" s="37" t="s">
        <v>3219</v>
      </c>
      <c r="F580" s="37" t="s">
        <v>4026</v>
      </c>
      <c r="G580" s="38">
        <v>11974.57</v>
      </c>
      <c r="H580" s="38">
        <v>0</v>
      </c>
      <c r="I580" s="37"/>
      <c r="J580" s="37"/>
      <c r="K580" s="38">
        <f t="shared" si="8"/>
        <v>11974.57</v>
      </c>
      <c r="L580" s="38"/>
    </row>
    <row r="581" spans="1:12" ht="14.5" x14ac:dyDescent="0.35">
      <c r="A581" s="45" t="s">
        <v>3588</v>
      </c>
      <c r="C581" s="36">
        <v>45899</v>
      </c>
      <c r="D581" s="36" t="s">
        <v>2626</v>
      </c>
      <c r="E581" s="37" t="s">
        <v>3220</v>
      </c>
      <c r="F581" s="37" t="s">
        <v>4026</v>
      </c>
      <c r="G581" s="38">
        <v>2374.8000000000002</v>
      </c>
      <c r="H581" s="38">
        <v>0</v>
      </c>
      <c r="I581" s="37"/>
      <c r="J581" s="37"/>
      <c r="K581" s="38">
        <f t="shared" ref="K581:K644" si="9">G581-H581</f>
        <v>2374.8000000000002</v>
      </c>
      <c r="L581" s="38"/>
    </row>
    <row r="582" spans="1:12" ht="14.5" x14ac:dyDescent="0.35">
      <c r="A582" s="45" t="s">
        <v>3588</v>
      </c>
      <c r="C582" s="36">
        <v>45899</v>
      </c>
      <c r="D582" s="36" t="s">
        <v>2626</v>
      </c>
      <c r="E582" s="37" t="s">
        <v>3221</v>
      </c>
      <c r="F582" s="37" t="s">
        <v>4026</v>
      </c>
      <c r="G582" s="38">
        <v>35.51</v>
      </c>
      <c r="H582" s="38">
        <v>0</v>
      </c>
      <c r="I582" s="37"/>
      <c r="J582" s="37"/>
      <c r="K582" s="38">
        <f t="shared" si="9"/>
        <v>35.51</v>
      </c>
      <c r="L582" s="38"/>
    </row>
    <row r="583" spans="1:12" ht="14.5" x14ac:dyDescent="0.35">
      <c r="A583" s="45" t="s">
        <v>3588</v>
      </c>
      <c r="C583" s="36">
        <v>45899</v>
      </c>
      <c r="D583" s="36" t="s">
        <v>2626</v>
      </c>
      <c r="E583" s="37" t="s">
        <v>3222</v>
      </c>
      <c r="F583" s="37" t="s">
        <v>4026</v>
      </c>
      <c r="G583" s="38">
        <v>57.13</v>
      </c>
      <c r="H583" s="38">
        <v>0</v>
      </c>
      <c r="I583" s="37"/>
      <c r="J583" s="37"/>
      <c r="K583" s="38">
        <f t="shared" si="9"/>
        <v>57.13</v>
      </c>
      <c r="L583" s="38"/>
    </row>
    <row r="584" spans="1:12" ht="14.5" x14ac:dyDescent="0.35">
      <c r="A584" s="45" t="s">
        <v>3588</v>
      </c>
      <c r="C584" s="36">
        <v>45899</v>
      </c>
      <c r="D584" s="36" t="s">
        <v>3820</v>
      </c>
      <c r="E584" s="37" t="s">
        <v>3821</v>
      </c>
      <c r="F584" s="37" t="s">
        <v>4026</v>
      </c>
      <c r="G584" s="38">
        <v>283.75</v>
      </c>
      <c r="H584" s="38">
        <v>0</v>
      </c>
      <c r="I584" s="37"/>
      <c r="J584" s="37"/>
      <c r="K584" s="38">
        <f t="shared" si="9"/>
        <v>283.75</v>
      </c>
      <c r="L584" s="38"/>
    </row>
    <row r="585" spans="1:12" ht="14.5" x14ac:dyDescent="0.35">
      <c r="A585" s="45" t="s">
        <v>3588</v>
      </c>
      <c r="C585" s="36">
        <v>45899</v>
      </c>
      <c r="D585" s="36" t="s">
        <v>3820</v>
      </c>
      <c r="E585" s="37" t="s">
        <v>3822</v>
      </c>
      <c r="F585" s="37" t="s">
        <v>4026</v>
      </c>
      <c r="G585" s="38">
        <v>94.61</v>
      </c>
      <c r="H585" s="38">
        <v>0</v>
      </c>
      <c r="I585" s="37"/>
      <c r="J585" s="37"/>
      <c r="K585" s="38">
        <f t="shared" si="9"/>
        <v>94.61</v>
      </c>
      <c r="L585" s="38"/>
    </row>
    <row r="586" spans="1:12" ht="14.5" x14ac:dyDescent="0.35">
      <c r="A586" s="45" t="s">
        <v>3588</v>
      </c>
      <c r="C586" s="36">
        <v>45899</v>
      </c>
      <c r="D586" s="36" t="s">
        <v>2392</v>
      </c>
      <c r="E586" s="37" t="s">
        <v>3223</v>
      </c>
      <c r="F586" s="37" t="s">
        <v>4026</v>
      </c>
      <c r="G586" s="38">
        <v>46.239999999999995</v>
      </c>
      <c r="H586" s="38">
        <v>0</v>
      </c>
      <c r="I586" s="37"/>
      <c r="J586" s="37"/>
      <c r="K586" s="38">
        <f t="shared" si="9"/>
        <v>46.239999999999995</v>
      </c>
      <c r="L586" s="38"/>
    </row>
    <row r="587" spans="1:12" ht="14.5" x14ac:dyDescent="0.35">
      <c r="A587" s="45" t="s">
        <v>3588</v>
      </c>
      <c r="C587" s="36">
        <v>45899</v>
      </c>
      <c r="D587" s="36" t="s">
        <v>3820</v>
      </c>
      <c r="E587" s="37" t="s">
        <v>3823</v>
      </c>
      <c r="F587" s="37" t="s">
        <v>4026</v>
      </c>
      <c r="G587" s="38">
        <v>94.61</v>
      </c>
      <c r="H587" s="38">
        <v>0</v>
      </c>
      <c r="I587" s="37"/>
      <c r="J587" s="37"/>
      <c r="K587" s="38">
        <f t="shared" si="9"/>
        <v>94.61</v>
      </c>
      <c r="L587" s="38"/>
    </row>
    <row r="588" spans="1:12" ht="14.5" x14ac:dyDescent="0.35">
      <c r="A588" s="45" t="s">
        <v>3588</v>
      </c>
      <c r="C588" s="36">
        <v>45899</v>
      </c>
      <c r="D588" s="36" t="s">
        <v>1426</v>
      </c>
      <c r="E588" s="37">
        <v>38229</v>
      </c>
      <c r="F588" s="37" t="s">
        <v>4026</v>
      </c>
      <c r="G588" s="38">
        <v>1562.94</v>
      </c>
      <c r="H588" s="38">
        <v>0</v>
      </c>
      <c r="I588" s="37"/>
      <c r="J588" s="37"/>
      <c r="K588" s="38">
        <f t="shared" si="9"/>
        <v>1562.94</v>
      </c>
      <c r="L588" s="38"/>
    </row>
    <row r="589" spans="1:12" ht="14.5" x14ac:dyDescent="0.35">
      <c r="A589" s="45" t="s">
        <v>3588</v>
      </c>
      <c r="C589" s="36">
        <v>45899</v>
      </c>
      <c r="D589" s="36" t="s">
        <v>3487</v>
      </c>
      <c r="E589" s="37">
        <v>38230</v>
      </c>
      <c r="F589" s="37" t="s">
        <v>4026</v>
      </c>
      <c r="G589" s="38">
        <v>16516.95</v>
      </c>
      <c r="H589" s="38">
        <v>0</v>
      </c>
      <c r="I589" s="37"/>
      <c r="J589" s="37"/>
      <c r="K589" s="38">
        <f t="shared" si="9"/>
        <v>16516.95</v>
      </c>
      <c r="L589" s="38"/>
    </row>
    <row r="590" spans="1:12" ht="14.5" x14ac:dyDescent="0.35">
      <c r="A590" s="45" t="s">
        <v>3588</v>
      </c>
      <c r="C590" s="36">
        <v>45899</v>
      </c>
      <c r="D590" s="36" t="s">
        <v>1582</v>
      </c>
      <c r="E590" s="37" t="s">
        <v>3224</v>
      </c>
      <c r="F590" s="37" t="s">
        <v>4026</v>
      </c>
      <c r="G590" s="38">
        <v>230.82</v>
      </c>
      <c r="H590" s="38">
        <v>0</v>
      </c>
      <c r="I590" s="37"/>
      <c r="J590" s="37"/>
      <c r="K590" s="38">
        <f t="shared" si="9"/>
        <v>230.82</v>
      </c>
      <c r="L590" s="38"/>
    </row>
    <row r="591" spans="1:12" ht="14.5" x14ac:dyDescent="0.35">
      <c r="A591" s="45" t="s">
        <v>3588</v>
      </c>
      <c r="C591" s="36">
        <v>45899</v>
      </c>
      <c r="D591" s="36" t="s">
        <v>1582</v>
      </c>
      <c r="E591" s="37" t="s">
        <v>3225</v>
      </c>
      <c r="F591" s="37" t="s">
        <v>4026</v>
      </c>
      <c r="G591" s="38">
        <v>23670.26</v>
      </c>
      <c r="H591" s="38">
        <v>0</v>
      </c>
      <c r="I591" s="37"/>
      <c r="J591" s="37"/>
      <c r="K591" s="38">
        <f t="shared" si="9"/>
        <v>23670.26</v>
      </c>
      <c r="L591" s="38"/>
    </row>
    <row r="592" spans="1:12" ht="14.5" x14ac:dyDescent="0.35">
      <c r="A592" s="45" t="s">
        <v>3588</v>
      </c>
      <c r="C592" s="36">
        <v>45899</v>
      </c>
      <c r="D592" s="36" t="s">
        <v>1582</v>
      </c>
      <c r="E592" s="37" t="s">
        <v>3226</v>
      </c>
      <c r="F592" s="37" t="s">
        <v>4026</v>
      </c>
      <c r="G592" s="38">
        <v>2935.5</v>
      </c>
      <c r="H592" s="38">
        <v>0</v>
      </c>
      <c r="I592" s="37"/>
      <c r="J592" s="37"/>
      <c r="K592" s="38">
        <f t="shared" si="9"/>
        <v>2935.5</v>
      </c>
      <c r="L592" s="38"/>
    </row>
    <row r="593" spans="1:12" ht="14.5" x14ac:dyDescent="0.35">
      <c r="A593" s="45" t="s">
        <v>3588</v>
      </c>
      <c r="C593" s="36">
        <v>45899</v>
      </c>
      <c r="D593" s="36" t="s">
        <v>3488</v>
      </c>
      <c r="E593" s="37" t="s">
        <v>3227</v>
      </c>
      <c r="F593" s="37" t="s">
        <v>4026</v>
      </c>
      <c r="G593" s="38">
        <v>31.53</v>
      </c>
      <c r="H593" s="38">
        <v>0</v>
      </c>
      <c r="I593" s="37"/>
      <c r="J593" s="37"/>
      <c r="K593" s="38">
        <f t="shared" si="9"/>
        <v>31.53</v>
      </c>
      <c r="L593" s="38"/>
    </row>
    <row r="594" spans="1:12" ht="14.5" x14ac:dyDescent="0.35">
      <c r="A594" s="45" t="s">
        <v>3588</v>
      </c>
      <c r="C594" s="36">
        <v>45899</v>
      </c>
      <c r="D594" s="36" t="s">
        <v>2677</v>
      </c>
      <c r="E594" s="37" t="s">
        <v>3228</v>
      </c>
      <c r="F594" s="37" t="s">
        <v>4026</v>
      </c>
      <c r="G594" s="38">
        <v>17480.66</v>
      </c>
      <c r="H594" s="38">
        <v>0</v>
      </c>
      <c r="I594" s="37"/>
      <c r="J594" s="37"/>
      <c r="K594" s="38">
        <f t="shared" si="9"/>
        <v>17480.66</v>
      </c>
      <c r="L594" s="38"/>
    </row>
    <row r="595" spans="1:12" ht="14.5" x14ac:dyDescent="0.35">
      <c r="A595" s="45" t="s">
        <v>3588</v>
      </c>
      <c r="C595" s="36">
        <v>45899</v>
      </c>
      <c r="D595" s="36" t="s">
        <v>2677</v>
      </c>
      <c r="E595" s="37" t="s">
        <v>3229</v>
      </c>
      <c r="F595" s="37" t="s">
        <v>4026</v>
      </c>
      <c r="G595" s="38">
        <v>4048.32</v>
      </c>
      <c r="H595" s="38">
        <v>0</v>
      </c>
      <c r="I595" s="37"/>
      <c r="J595" s="37"/>
      <c r="K595" s="38">
        <f t="shared" si="9"/>
        <v>4048.32</v>
      </c>
      <c r="L595" s="38"/>
    </row>
    <row r="596" spans="1:12" ht="14.5" x14ac:dyDescent="0.35">
      <c r="A596" s="45" t="s">
        <v>3588</v>
      </c>
      <c r="C596" s="36">
        <v>45899</v>
      </c>
      <c r="D596" s="36" t="s">
        <v>2677</v>
      </c>
      <c r="E596" s="37">
        <v>38254</v>
      </c>
      <c r="F596" s="37" t="s">
        <v>4026</v>
      </c>
      <c r="G596" s="38">
        <v>27244.679999999997</v>
      </c>
      <c r="H596" s="38">
        <v>0</v>
      </c>
      <c r="I596" s="37"/>
      <c r="J596" s="37"/>
      <c r="K596" s="38">
        <f t="shared" si="9"/>
        <v>27244.679999999997</v>
      </c>
      <c r="L596" s="38"/>
    </row>
    <row r="597" spans="1:12" ht="14.5" x14ac:dyDescent="0.35">
      <c r="A597" s="45" t="s">
        <v>3588</v>
      </c>
      <c r="C597" s="36">
        <v>45899</v>
      </c>
      <c r="D597" s="36" t="s">
        <v>2677</v>
      </c>
      <c r="E597" s="37" t="s">
        <v>3231</v>
      </c>
      <c r="F597" s="37" t="s">
        <v>4026</v>
      </c>
      <c r="G597" s="38">
        <v>13933.86</v>
      </c>
      <c r="H597" s="38">
        <v>0</v>
      </c>
      <c r="I597" s="37"/>
      <c r="J597" s="37"/>
      <c r="K597" s="38">
        <f t="shared" si="9"/>
        <v>13933.86</v>
      </c>
      <c r="L597" s="38"/>
    </row>
    <row r="598" spans="1:12" ht="14.5" x14ac:dyDescent="0.35">
      <c r="A598" s="45" t="s">
        <v>3588</v>
      </c>
      <c r="C598" s="36">
        <v>45899</v>
      </c>
      <c r="D598" s="36" t="s">
        <v>2677</v>
      </c>
      <c r="E598" s="37" t="s">
        <v>3232</v>
      </c>
      <c r="F598" s="37" t="s">
        <v>4026</v>
      </c>
      <c r="G598" s="38">
        <v>6496.7799999999988</v>
      </c>
      <c r="H598" s="38">
        <v>0</v>
      </c>
      <c r="I598" s="37"/>
      <c r="J598" s="37"/>
      <c r="K598" s="38">
        <f t="shared" si="9"/>
        <v>6496.7799999999988</v>
      </c>
      <c r="L598" s="38"/>
    </row>
    <row r="599" spans="1:12" ht="14.5" x14ac:dyDescent="0.35">
      <c r="A599" s="45" t="s">
        <v>3588</v>
      </c>
      <c r="C599" s="36">
        <v>45899</v>
      </c>
      <c r="D599" s="36" t="s">
        <v>2677</v>
      </c>
      <c r="E599" s="37" t="s">
        <v>3233</v>
      </c>
      <c r="F599" s="37" t="s">
        <v>4026</v>
      </c>
      <c r="G599" s="38">
        <v>63830.270000000004</v>
      </c>
      <c r="H599" s="38">
        <v>0</v>
      </c>
      <c r="I599" s="37"/>
      <c r="J599" s="37"/>
      <c r="K599" s="38">
        <f t="shared" si="9"/>
        <v>63830.270000000004</v>
      </c>
      <c r="L599" s="38"/>
    </row>
    <row r="600" spans="1:12" ht="14.5" x14ac:dyDescent="0.35">
      <c r="A600" s="45" t="s">
        <v>3588</v>
      </c>
      <c r="C600" s="36">
        <v>45899</v>
      </c>
      <c r="D600" s="36" t="s">
        <v>2677</v>
      </c>
      <c r="E600" s="37" t="s">
        <v>3234</v>
      </c>
      <c r="F600" s="37" t="s">
        <v>4026</v>
      </c>
      <c r="G600" s="38">
        <v>242.23999999999998</v>
      </c>
      <c r="H600" s="38">
        <v>0</v>
      </c>
      <c r="I600" s="37"/>
      <c r="J600" s="37"/>
      <c r="K600" s="38">
        <f t="shared" si="9"/>
        <v>242.23999999999998</v>
      </c>
      <c r="L600" s="38"/>
    </row>
    <row r="601" spans="1:12" ht="14.5" x14ac:dyDescent="0.35">
      <c r="A601" s="45" t="s">
        <v>3588</v>
      </c>
      <c r="C601" s="36">
        <v>45899</v>
      </c>
      <c r="D601" s="36" t="s">
        <v>2677</v>
      </c>
      <c r="E601" s="37" t="s">
        <v>3235</v>
      </c>
      <c r="F601" s="37" t="s">
        <v>4026</v>
      </c>
      <c r="G601" s="38">
        <v>1486.85</v>
      </c>
      <c r="H601" s="38">
        <v>0</v>
      </c>
      <c r="I601" s="37"/>
      <c r="J601" s="37"/>
      <c r="K601" s="38">
        <f t="shared" si="9"/>
        <v>1486.85</v>
      </c>
      <c r="L601" s="38"/>
    </row>
    <row r="602" spans="1:12" ht="14.5" x14ac:dyDescent="0.35">
      <c r="A602" s="45" t="s">
        <v>3588</v>
      </c>
      <c r="C602" s="36">
        <v>45899</v>
      </c>
      <c r="D602" s="36" t="s">
        <v>2677</v>
      </c>
      <c r="E602" s="37" t="s">
        <v>3236</v>
      </c>
      <c r="F602" s="37" t="s">
        <v>4026</v>
      </c>
      <c r="G602" s="38">
        <v>289.32</v>
      </c>
      <c r="H602" s="38">
        <v>0</v>
      </c>
      <c r="I602" s="37"/>
      <c r="J602" s="37"/>
      <c r="K602" s="38">
        <f t="shared" si="9"/>
        <v>289.32</v>
      </c>
      <c r="L602" s="38"/>
    </row>
    <row r="603" spans="1:12" ht="14.5" x14ac:dyDescent="0.35">
      <c r="A603" s="45" t="s">
        <v>3588</v>
      </c>
      <c r="C603" s="36">
        <v>45899</v>
      </c>
      <c r="D603" s="36" t="s">
        <v>2677</v>
      </c>
      <c r="E603" s="37">
        <v>38263</v>
      </c>
      <c r="F603" s="37" t="s">
        <v>4026</v>
      </c>
      <c r="G603" s="38">
        <v>937.51</v>
      </c>
      <c r="H603" s="38">
        <v>0</v>
      </c>
      <c r="I603" s="37"/>
      <c r="J603" s="37"/>
      <c r="K603" s="38">
        <f t="shared" si="9"/>
        <v>937.51</v>
      </c>
      <c r="L603" s="38"/>
    </row>
    <row r="604" spans="1:12" ht="14.5" x14ac:dyDescent="0.35">
      <c r="A604" s="45" t="s">
        <v>3588</v>
      </c>
      <c r="C604" s="36">
        <v>45899</v>
      </c>
      <c r="D604" s="36" t="s">
        <v>2677</v>
      </c>
      <c r="E604" s="37" t="s">
        <v>3237</v>
      </c>
      <c r="F604" s="37" t="s">
        <v>4026</v>
      </c>
      <c r="G604" s="38">
        <v>3355.24</v>
      </c>
      <c r="H604" s="38">
        <v>0</v>
      </c>
      <c r="I604" s="37"/>
      <c r="J604" s="37"/>
      <c r="K604" s="38">
        <f t="shared" si="9"/>
        <v>3355.24</v>
      </c>
      <c r="L604" s="38"/>
    </row>
    <row r="605" spans="1:12" ht="14.5" x14ac:dyDescent="0.35">
      <c r="A605" s="45" t="s">
        <v>3588</v>
      </c>
      <c r="C605" s="36">
        <v>45899</v>
      </c>
      <c r="D605" s="36" t="s">
        <v>2677</v>
      </c>
      <c r="E605" s="37" t="s">
        <v>3238</v>
      </c>
      <c r="F605" s="37" t="s">
        <v>4026</v>
      </c>
      <c r="G605" s="38">
        <v>3152.4800000000005</v>
      </c>
      <c r="H605" s="38">
        <v>0</v>
      </c>
      <c r="I605" s="37"/>
      <c r="J605" s="37"/>
      <c r="K605" s="38">
        <f t="shared" si="9"/>
        <v>3152.4800000000005</v>
      </c>
      <c r="L605" s="38"/>
    </row>
    <row r="606" spans="1:12" ht="14.5" x14ac:dyDescent="0.35">
      <c r="A606" s="45" t="s">
        <v>3588</v>
      </c>
      <c r="C606" s="36">
        <v>45899</v>
      </c>
      <c r="D606" s="36" t="s">
        <v>2677</v>
      </c>
      <c r="E606" s="37">
        <v>38265</v>
      </c>
      <c r="F606" s="37" t="s">
        <v>4026</v>
      </c>
      <c r="G606" s="38">
        <v>13787.11</v>
      </c>
      <c r="H606" s="38">
        <v>0</v>
      </c>
      <c r="I606" s="37"/>
      <c r="J606" s="37"/>
      <c r="K606" s="38">
        <f t="shared" si="9"/>
        <v>13787.11</v>
      </c>
      <c r="L606" s="38"/>
    </row>
    <row r="607" spans="1:12" ht="14.5" x14ac:dyDescent="0.35">
      <c r="A607" s="45" t="s">
        <v>3588</v>
      </c>
      <c r="C607" s="36">
        <v>45899</v>
      </c>
      <c r="D607" s="36" t="s">
        <v>2677</v>
      </c>
      <c r="E607" s="37">
        <v>38266</v>
      </c>
      <c r="F607" s="37" t="s">
        <v>4026</v>
      </c>
      <c r="G607" s="38">
        <v>288.96999999999997</v>
      </c>
      <c r="H607" s="38">
        <v>0</v>
      </c>
      <c r="I607" s="37"/>
      <c r="J607" s="37"/>
      <c r="K607" s="38">
        <f t="shared" si="9"/>
        <v>288.96999999999997</v>
      </c>
      <c r="L607" s="38"/>
    </row>
    <row r="608" spans="1:12" ht="14.5" x14ac:dyDescent="0.35">
      <c r="A608" s="45" t="s">
        <v>3588</v>
      </c>
      <c r="C608" s="36">
        <v>45899</v>
      </c>
      <c r="D608" s="36" t="s">
        <v>2144</v>
      </c>
      <c r="E608" s="37" t="s">
        <v>3239</v>
      </c>
      <c r="F608" s="37" t="s">
        <v>4026</v>
      </c>
      <c r="G608" s="38">
        <v>425.78000000000003</v>
      </c>
      <c r="H608" s="38">
        <v>0</v>
      </c>
      <c r="I608" s="37"/>
      <c r="J608" s="37"/>
      <c r="K608" s="38">
        <f t="shared" si="9"/>
        <v>425.78000000000003</v>
      </c>
      <c r="L608" s="38"/>
    </row>
    <row r="609" spans="1:12" ht="14.5" x14ac:dyDescent="0.35">
      <c r="A609" s="45" t="s">
        <v>3588</v>
      </c>
      <c r="C609" s="36">
        <v>45899</v>
      </c>
      <c r="D609" s="36" t="s">
        <v>2144</v>
      </c>
      <c r="E609" s="37" t="s">
        <v>3240</v>
      </c>
      <c r="F609" s="37" t="s">
        <v>4026</v>
      </c>
      <c r="G609" s="38">
        <v>726</v>
      </c>
      <c r="H609" s="38">
        <v>0</v>
      </c>
      <c r="I609" s="37"/>
      <c r="J609" s="37"/>
      <c r="K609" s="38">
        <f t="shared" si="9"/>
        <v>726</v>
      </c>
      <c r="L609" s="38"/>
    </row>
    <row r="610" spans="1:12" ht="14.5" x14ac:dyDescent="0.35">
      <c r="A610" s="45" t="s">
        <v>3588</v>
      </c>
      <c r="C610" s="36">
        <v>45899</v>
      </c>
      <c r="D610" s="36" t="s">
        <v>3489</v>
      </c>
      <c r="E610" s="37" t="s">
        <v>3241</v>
      </c>
      <c r="F610" s="37" t="s">
        <v>4026</v>
      </c>
      <c r="G610" s="38">
        <v>68.53</v>
      </c>
      <c r="H610" s="38">
        <v>0</v>
      </c>
      <c r="I610" s="37"/>
      <c r="J610" s="37"/>
      <c r="K610" s="38">
        <f t="shared" si="9"/>
        <v>68.53</v>
      </c>
      <c r="L610" s="38"/>
    </row>
    <row r="611" spans="1:12" ht="14.5" x14ac:dyDescent="0.35">
      <c r="A611" s="45" t="s">
        <v>3588</v>
      </c>
      <c r="C611" s="36">
        <v>45899</v>
      </c>
      <c r="D611" s="36" t="s">
        <v>1459</v>
      </c>
      <c r="E611" s="37" t="s">
        <v>3242</v>
      </c>
      <c r="F611" s="37" t="s">
        <v>4026</v>
      </c>
      <c r="G611" s="38">
        <v>579.27</v>
      </c>
      <c r="H611" s="38">
        <v>0</v>
      </c>
      <c r="I611" s="37"/>
      <c r="J611" s="37"/>
      <c r="K611" s="38">
        <f t="shared" si="9"/>
        <v>579.27</v>
      </c>
      <c r="L611" s="38"/>
    </row>
    <row r="612" spans="1:12" ht="14.5" x14ac:dyDescent="0.35">
      <c r="A612" s="45" t="s">
        <v>3588</v>
      </c>
      <c r="C612" s="36">
        <v>45899</v>
      </c>
      <c r="D612" s="36" t="s">
        <v>2313</v>
      </c>
      <c r="E612" s="37" t="s">
        <v>3243</v>
      </c>
      <c r="F612" s="37" t="s">
        <v>4026</v>
      </c>
      <c r="G612" s="38">
        <v>14432.8</v>
      </c>
      <c r="H612" s="38">
        <v>0</v>
      </c>
      <c r="I612" s="37"/>
      <c r="J612" s="37"/>
      <c r="K612" s="38">
        <f t="shared" si="9"/>
        <v>14432.8</v>
      </c>
      <c r="L612" s="38"/>
    </row>
    <row r="613" spans="1:12" ht="14.5" x14ac:dyDescent="0.35">
      <c r="A613" s="45" t="s">
        <v>3588</v>
      </c>
      <c r="C613" s="36">
        <v>45899</v>
      </c>
      <c r="D613" s="36" t="s">
        <v>2313</v>
      </c>
      <c r="E613" s="37" t="s">
        <v>3244</v>
      </c>
      <c r="F613" s="37" t="s">
        <v>4026</v>
      </c>
      <c r="G613" s="38">
        <v>33584.74</v>
      </c>
      <c r="H613" s="38">
        <v>0</v>
      </c>
      <c r="I613" s="37"/>
      <c r="J613" s="37"/>
      <c r="K613" s="38">
        <f t="shared" si="9"/>
        <v>33584.74</v>
      </c>
      <c r="L613" s="38"/>
    </row>
    <row r="614" spans="1:12" ht="14.5" x14ac:dyDescent="0.35">
      <c r="A614" s="45" t="s">
        <v>3588</v>
      </c>
      <c r="C614" s="36">
        <v>45899</v>
      </c>
      <c r="D614" s="36" t="s">
        <v>2628</v>
      </c>
      <c r="E614" s="37" t="s">
        <v>3245</v>
      </c>
      <c r="F614" s="37" t="s">
        <v>4026</v>
      </c>
      <c r="G614" s="38">
        <v>4038.05</v>
      </c>
      <c r="H614" s="38">
        <v>0</v>
      </c>
      <c r="I614" s="37"/>
      <c r="J614" s="37"/>
      <c r="K614" s="38">
        <f t="shared" si="9"/>
        <v>4038.05</v>
      </c>
      <c r="L614" s="38"/>
    </row>
    <row r="615" spans="1:12" ht="14.5" x14ac:dyDescent="0.35">
      <c r="A615" s="45" t="s">
        <v>3588</v>
      </c>
      <c r="C615" s="36">
        <v>45899</v>
      </c>
      <c r="D615" s="36" t="s">
        <v>2628</v>
      </c>
      <c r="E615" s="37" t="s">
        <v>3246</v>
      </c>
      <c r="F615" s="37" t="s">
        <v>4026</v>
      </c>
      <c r="G615" s="38">
        <v>100.58</v>
      </c>
      <c r="H615" s="38">
        <v>0</v>
      </c>
      <c r="I615" s="37"/>
      <c r="J615" s="37"/>
      <c r="K615" s="38">
        <f t="shared" si="9"/>
        <v>100.58</v>
      </c>
      <c r="L615" s="38"/>
    </row>
    <row r="616" spans="1:12" ht="14.5" x14ac:dyDescent="0.35">
      <c r="A616" s="45" t="s">
        <v>3588</v>
      </c>
      <c r="C616" s="36">
        <v>45899</v>
      </c>
      <c r="D616" s="36" t="s">
        <v>2628</v>
      </c>
      <c r="E616" s="37" t="s">
        <v>3247</v>
      </c>
      <c r="F616" s="37" t="s">
        <v>4026</v>
      </c>
      <c r="G616" s="38">
        <v>7830.77</v>
      </c>
      <c r="H616" s="38">
        <v>0</v>
      </c>
      <c r="I616" s="37"/>
      <c r="J616" s="37"/>
      <c r="K616" s="38">
        <f t="shared" si="9"/>
        <v>7830.77</v>
      </c>
      <c r="L616" s="38"/>
    </row>
    <row r="617" spans="1:12" ht="14.5" x14ac:dyDescent="0.35">
      <c r="A617" s="45" t="s">
        <v>3588</v>
      </c>
      <c r="C617" s="36">
        <v>45899</v>
      </c>
      <c r="D617" s="36" t="s">
        <v>2628</v>
      </c>
      <c r="E617" s="37" t="s">
        <v>3248</v>
      </c>
      <c r="F617" s="37" t="s">
        <v>4026</v>
      </c>
      <c r="G617" s="38">
        <v>1764.38</v>
      </c>
      <c r="H617" s="38">
        <v>0</v>
      </c>
      <c r="I617" s="37"/>
      <c r="J617" s="37"/>
      <c r="K617" s="38">
        <f t="shared" si="9"/>
        <v>1764.38</v>
      </c>
      <c r="L617" s="38"/>
    </row>
    <row r="618" spans="1:12" ht="14.5" x14ac:dyDescent="0.35">
      <c r="A618" s="45" t="s">
        <v>3588</v>
      </c>
      <c r="C618" s="36">
        <v>45899</v>
      </c>
      <c r="D618" s="36" t="s">
        <v>1371</v>
      </c>
      <c r="E618" s="37" t="s">
        <v>3249</v>
      </c>
      <c r="F618" s="37" t="s">
        <v>4026</v>
      </c>
      <c r="G618" s="38">
        <v>0.51</v>
      </c>
      <c r="H618" s="38">
        <v>0</v>
      </c>
      <c r="I618" s="37"/>
      <c r="J618" s="37"/>
      <c r="K618" s="38">
        <f t="shared" si="9"/>
        <v>0.51</v>
      </c>
      <c r="L618" s="38"/>
    </row>
    <row r="619" spans="1:12" ht="14.5" x14ac:dyDescent="0.35">
      <c r="A619" s="45" t="s">
        <v>3588</v>
      </c>
      <c r="C619" s="36">
        <v>45899</v>
      </c>
      <c r="D619" s="36" t="s">
        <v>2629</v>
      </c>
      <c r="E619" s="37" t="s">
        <v>3250</v>
      </c>
      <c r="F619" s="37" t="s">
        <v>4026</v>
      </c>
      <c r="G619" s="38">
        <v>171.47</v>
      </c>
      <c r="H619" s="38">
        <v>0</v>
      </c>
      <c r="I619" s="37"/>
      <c r="J619" s="37"/>
      <c r="K619" s="38">
        <f t="shared" si="9"/>
        <v>171.47</v>
      </c>
      <c r="L619" s="38"/>
    </row>
    <row r="620" spans="1:12" ht="14.5" x14ac:dyDescent="0.35">
      <c r="A620" s="45" t="s">
        <v>3588</v>
      </c>
      <c r="C620" s="36">
        <v>45899</v>
      </c>
      <c r="D620" s="36" t="s">
        <v>2629</v>
      </c>
      <c r="E620" s="37" t="s">
        <v>3251</v>
      </c>
      <c r="F620" s="37" t="s">
        <v>4026</v>
      </c>
      <c r="G620" s="38">
        <v>35.51</v>
      </c>
      <c r="H620" s="38">
        <v>0</v>
      </c>
      <c r="I620" s="37"/>
      <c r="J620" s="37"/>
      <c r="K620" s="38">
        <f t="shared" si="9"/>
        <v>35.51</v>
      </c>
      <c r="L620" s="38"/>
    </row>
    <row r="621" spans="1:12" ht="14.5" x14ac:dyDescent="0.35">
      <c r="A621" s="45" t="s">
        <v>3588</v>
      </c>
      <c r="C621" s="36">
        <v>45899</v>
      </c>
      <c r="D621" s="36" t="s">
        <v>2629</v>
      </c>
      <c r="E621" s="37" t="s">
        <v>3252</v>
      </c>
      <c r="F621" s="37" t="s">
        <v>4026</v>
      </c>
      <c r="G621" s="38">
        <v>4254.09</v>
      </c>
      <c r="H621" s="38">
        <v>0</v>
      </c>
      <c r="I621" s="37"/>
      <c r="J621" s="37"/>
      <c r="K621" s="38">
        <f t="shared" si="9"/>
        <v>4254.09</v>
      </c>
      <c r="L621" s="38"/>
    </row>
    <row r="622" spans="1:12" ht="14.5" x14ac:dyDescent="0.35">
      <c r="A622" s="45" t="s">
        <v>3588</v>
      </c>
      <c r="C622" s="36">
        <v>45899</v>
      </c>
      <c r="D622" s="36" t="s">
        <v>1223</v>
      </c>
      <c r="E622" s="37" t="s">
        <v>3253</v>
      </c>
      <c r="F622" s="37" t="s">
        <v>4026</v>
      </c>
      <c r="G622" s="38">
        <v>1874.33</v>
      </c>
      <c r="H622" s="38">
        <v>0</v>
      </c>
      <c r="I622" s="37"/>
      <c r="J622" s="37"/>
      <c r="K622" s="38">
        <f t="shared" si="9"/>
        <v>1874.33</v>
      </c>
      <c r="L622" s="38"/>
    </row>
    <row r="623" spans="1:12" ht="14.5" x14ac:dyDescent="0.35">
      <c r="A623" s="45" t="s">
        <v>3588</v>
      </c>
      <c r="C623" s="36">
        <v>45899</v>
      </c>
      <c r="D623" s="36" t="s">
        <v>1223</v>
      </c>
      <c r="E623" s="37" t="s">
        <v>3254</v>
      </c>
      <c r="F623" s="37" t="s">
        <v>4026</v>
      </c>
      <c r="G623" s="38">
        <v>1531.32</v>
      </c>
      <c r="H623" s="38">
        <v>0</v>
      </c>
      <c r="I623" s="37"/>
      <c r="J623" s="37"/>
      <c r="K623" s="38">
        <f t="shared" si="9"/>
        <v>1531.32</v>
      </c>
      <c r="L623" s="38"/>
    </row>
    <row r="624" spans="1:12" ht="14.5" x14ac:dyDescent="0.35">
      <c r="A624" s="45" t="s">
        <v>3588</v>
      </c>
      <c r="C624" s="36">
        <v>45899</v>
      </c>
      <c r="D624" s="36" t="s">
        <v>1223</v>
      </c>
      <c r="E624" s="37" t="s">
        <v>3255</v>
      </c>
      <c r="F624" s="37" t="s">
        <v>4026</v>
      </c>
      <c r="G624" s="38">
        <v>1074.6199999999999</v>
      </c>
      <c r="H624" s="38">
        <v>0</v>
      </c>
      <c r="I624" s="37"/>
      <c r="J624" s="37"/>
      <c r="K624" s="38">
        <f t="shared" si="9"/>
        <v>1074.6199999999999</v>
      </c>
      <c r="L624" s="38"/>
    </row>
    <row r="625" spans="1:12" ht="14.5" x14ac:dyDescent="0.35">
      <c r="A625" s="45" t="s">
        <v>3588</v>
      </c>
      <c r="C625" s="36">
        <v>45899</v>
      </c>
      <c r="D625" s="36" t="s">
        <v>1223</v>
      </c>
      <c r="E625" s="37" t="s">
        <v>3256</v>
      </c>
      <c r="F625" s="37" t="s">
        <v>4026</v>
      </c>
      <c r="G625" s="38">
        <v>44.2</v>
      </c>
      <c r="H625" s="38">
        <v>0</v>
      </c>
      <c r="I625" s="37"/>
      <c r="J625" s="37"/>
      <c r="K625" s="38">
        <f t="shared" si="9"/>
        <v>44.2</v>
      </c>
      <c r="L625" s="38"/>
    </row>
    <row r="626" spans="1:12" ht="14.5" x14ac:dyDescent="0.35">
      <c r="A626" s="45" t="s">
        <v>3588</v>
      </c>
      <c r="C626" s="36">
        <v>45899</v>
      </c>
      <c r="D626" s="36" t="s">
        <v>1060</v>
      </c>
      <c r="E626" s="37" t="s">
        <v>3257</v>
      </c>
      <c r="F626" s="37" t="s">
        <v>4026</v>
      </c>
      <c r="G626" s="38">
        <v>521.4</v>
      </c>
      <c r="H626" s="38">
        <v>0</v>
      </c>
      <c r="I626" s="37"/>
      <c r="J626" s="37"/>
      <c r="K626" s="38">
        <f t="shared" si="9"/>
        <v>521.4</v>
      </c>
      <c r="L626" s="38"/>
    </row>
    <row r="627" spans="1:12" ht="14.5" x14ac:dyDescent="0.35">
      <c r="A627" s="45" t="s">
        <v>3588</v>
      </c>
      <c r="C627" s="36">
        <v>45899</v>
      </c>
      <c r="D627" s="36" t="s">
        <v>1999</v>
      </c>
      <c r="E627" s="37" t="s">
        <v>3258</v>
      </c>
      <c r="F627" s="37" t="s">
        <v>4026</v>
      </c>
      <c r="G627" s="38">
        <v>2445.92</v>
      </c>
      <c r="H627" s="38">
        <v>0</v>
      </c>
      <c r="I627" s="37"/>
      <c r="J627" s="37"/>
      <c r="K627" s="38">
        <f t="shared" si="9"/>
        <v>2445.92</v>
      </c>
      <c r="L627" s="38"/>
    </row>
    <row r="628" spans="1:12" ht="14.5" x14ac:dyDescent="0.35">
      <c r="A628" s="45" t="s">
        <v>3588</v>
      </c>
      <c r="C628" s="36">
        <v>45899</v>
      </c>
      <c r="D628" s="36" t="s">
        <v>1269</v>
      </c>
      <c r="E628" s="37" t="s">
        <v>3259</v>
      </c>
      <c r="F628" s="37" t="s">
        <v>4026</v>
      </c>
      <c r="G628" s="38">
        <v>2.94</v>
      </c>
      <c r="H628" s="38">
        <v>0</v>
      </c>
      <c r="I628" s="37"/>
      <c r="J628" s="37"/>
      <c r="K628" s="38">
        <f t="shared" si="9"/>
        <v>2.94</v>
      </c>
      <c r="L628" s="38"/>
    </row>
    <row r="629" spans="1:12" ht="14.5" x14ac:dyDescent="0.35">
      <c r="A629" s="45" t="s">
        <v>3588</v>
      </c>
      <c r="C629" s="36">
        <v>45899</v>
      </c>
      <c r="D629" s="36" t="s">
        <v>1269</v>
      </c>
      <c r="E629" s="37" t="s">
        <v>3260</v>
      </c>
      <c r="F629" s="37" t="s">
        <v>4026</v>
      </c>
      <c r="G629" s="38">
        <v>4728.37</v>
      </c>
      <c r="H629" s="38">
        <v>0</v>
      </c>
      <c r="I629" s="37"/>
      <c r="J629" s="37"/>
      <c r="K629" s="38">
        <f t="shared" si="9"/>
        <v>4728.37</v>
      </c>
      <c r="L629" s="38"/>
    </row>
    <row r="630" spans="1:12" ht="14.5" x14ac:dyDescent="0.35">
      <c r="A630" s="45" t="s">
        <v>3588</v>
      </c>
      <c r="C630" s="36">
        <v>45899</v>
      </c>
      <c r="D630" s="36" t="s">
        <v>1450</v>
      </c>
      <c r="E630" s="37" t="s">
        <v>3261</v>
      </c>
      <c r="F630" s="37" t="s">
        <v>4026</v>
      </c>
      <c r="G630" s="38">
        <v>1388.39</v>
      </c>
      <c r="H630" s="38">
        <v>0</v>
      </c>
      <c r="I630" s="37"/>
      <c r="J630" s="37"/>
      <c r="K630" s="38">
        <f t="shared" si="9"/>
        <v>1388.39</v>
      </c>
      <c r="L630" s="38"/>
    </row>
    <row r="631" spans="1:12" ht="14.5" x14ac:dyDescent="0.35">
      <c r="A631" s="45" t="s">
        <v>3588</v>
      </c>
      <c r="C631" s="36">
        <v>45899</v>
      </c>
      <c r="D631" s="36" t="s">
        <v>1450</v>
      </c>
      <c r="E631" s="37" t="s">
        <v>3262</v>
      </c>
      <c r="F631" s="37" t="s">
        <v>4026</v>
      </c>
      <c r="G631" s="38">
        <v>2682.4700000000003</v>
      </c>
      <c r="H631" s="38">
        <v>0</v>
      </c>
      <c r="I631" s="37"/>
      <c r="J631" s="37"/>
      <c r="K631" s="38">
        <f t="shared" si="9"/>
        <v>2682.4700000000003</v>
      </c>
      <c r="L631" s="38"/>
    </row>
    <row r="632" spans="1:12" ht="14.5" x14ac:dyDescent="0.35">
      <c r="A632" s="45" t="s">
        <v>3588</v>
      </c>
      <c r="C632" s="36">
        <v>45899</v>
      </c>
      <c r="D632" s="36" t="s">
        <v>1450</v>
      </c>
      <c r="E632" s="37" t="s">
        <v>3263</v>
      </c>
      <c r="F632" s="37" t="s">
        <v>4026</v>
      </c>
      <c r="G632" s="38">
        <v>109.53</v>
      </c>
      <c r="H632" s="38">
        <v>0</v>
      </c>
      <c r="I632" s="37"/>
      <c r="J632" s="37"/>
      <c r="K632" s="38">
        <f t="shared" si="9"/>
        <v>109.53</v>
      </c>
      <c r="L632" s="38"/>
    </row>
    <row r="633" spans="1:12" ht="14.5" x14ac:dyDescent="0.35">
      <c r="A633" s="45" t="s">
        <v>3588</v>
      </c>
      <c r="C633" s="36">
        <v>45899</v>
      </c>
      <c r="D633" s="36" t="s">
        <v>1450</v>
      </c>
      <c r="E633" s="37" t="s">
        <v>3264</v>
      </c>
      <c r="F633" s="37" t="s">
        <v>4026</v>
      </c>
      <c r="G633" s="38">
        <v>21.64</v>
      </c>
      <c r="H633" s="38">
        <v>0</v>
      </c>
      <c r="I633" s="37"/>
      <c r="J633" s="37"/>
      <c r="K633" s="38">
        <f t="shared" si="9"/>
        <v>21.64</v>
      </c>
      <c r="L633" s="38"/>
    </row>
    <row r="634" spans="1:12" ht="14.5" x14ac:dyDescent="0.35">
      <c r="A634" s="45" t="s">
        <v>3588</v>
      </c>
      <c r="C634" s="36">
        <v>45899</v>
      </c>
      <c r="D634" s="36" t="s">
        <v>1450</v>
      </c>
      <c r="E634" s="37" t="s">
        <v>3265</v>
      </c>
      <c r="F634" s="37" t="s">
        <v>4026</v>
      </c>
      <c r="G634" s="38">
        <v>5887.02</v>
      </c>
      <c r="H634" s="38">
        <v>0</v>
      </c>
      <c r="I634" s="37"/>
      <c r="J634" s="37"/>
      <c r="K634" s="38">
        <f t="shared" si="9"/>
        <v>5887.02</v>
      </c>
      <c r="L634" s="38"/>
    </row>
    <row r="635" spans="1:12" ht="14.5" x14ac:dyDescent="0.35">
      <c r="A635" s="45" t="s">
        <v>3588</v>
      </c>
      <c r="C635" s="36">
        <v>45899</v>
      </c>
      <c r="D635" s="36" t="s">
        <v>1450</v>
      </c>
      <c r="E635" s="37" t="s">
        <v>3266</v>
      </c>
      <c r="F635" s="37" t="s">
        <v>4026</v>
      </c>
      <c r="G635" s="38">
        <v>641.34999999999991</v>
      </c>
      <c r="H635" s="38">
        <v>0</v>
      </c>
      <c r="I635" s="37"/>
      <c r="J635" s="37"/>
      <c r="K635" s="38">
        <f t="shared" si="9"/>
        <v>641.34999999999991</v>
      </c>
      <c r="L635" s="38"/>
    </row>
    <row r="636" spans="1:12" ht="14.5" x14ac:dyDescent="0.35">
      <c r="A636" s="45" t="s">
        <v>3588</v>
      </c>
      <c r="C636" s="36">
        <v>45899</v>
      </c>
      <c r="D636" s="36" t="s">
        <v>3490</v>
      </c>
      <c r="E636" s="37" t="s">
        <v>3267</v>
      </c>
      <c r="F636" s="37" t="s">
        <v>4026</v>
      </c>
      <c r="G636" s="38">
        <v>0</v>
      </c>
      <c r="H636" s="38">
        <v>0</v>
      </c>
      <c r="I636" s="37"/>
      <c r="J636" s="37"/>
      <c r="K636" s="38">
        <f t="shared" si="9"/>
        <v>0</v>
      </c>
      <c r="L636" s="38"/>
    </row>
    <row r="637" spans="1:12" ht="14.5" x14ac:dyDescent="0.35">
      <c r="A637" s="45" t="s">
        <v>3588</v>
      </c>
      <c r="C637" s="36">
        <v>45899</v>
      </c>
      <c r="D637" s="36" t="s">
        <v>1608</v>
      </c>
      <c r="E637" s="37" t="s">
        <v>3268</v>
      </c>
      <c r="F637" s="37" t="s">
        <v>4026</v>
      </c>
      <c r="G637" s="38">
        <v>50</v>
      </c>
      <c r="H637" s="38">
        <v>0</v>
      </c>
      <c r="I637" s="37"/>
      <c r="J637" s="37"/>
      <c r="K637" s="38">
        <f t="shared" si="9"/>
        <v>50</v>
      </c>
      <c r="L637" s="38"/>
    </row>
    <row r="638" spans="1:12" ht="14.5" x14ac:dyDescent="0.35">
      <c r="A638" s="45" t="s">
        <v>3588</v>
      </c>
      <c r="C638" s="36">
        <v>45899</v>
      </c>
      <c r="D638" s="36" t="s">
        <v>1223</v>
      </c>
      <c r="E638" s="37" t="s">
        <v>3269</v>
      </c>
      <c r="F638" s="37" t="s">
        <v>4026</v>
      </c>
      <c r="G638" s="38">
        <v>193.79</v>
      </c>
      <c r="H638" s="38">
        <v>0</v>
      </c>
      <c r="I638" s="37"/>
      <c r="J638" s="37"/>
      <c r="K638" s="38">
        <f t="shared" si="9"/>
        <v>193.79</v>
      </c>
      <c r="L638" s="38"/>
    </row>
    <row r="639" spans="1:12" ht="14.5" x14ac:dyDescent="0.35">
      <c r="A639" s="45" t="s">
        <v>3588</v>
      </c>
      <c r="C639" s="36">
        <v>45899</v>
      </c>
      <c r="D639" s="36" t="s">
        <v>3491</v>
      </c>
      <c r="E639" s="37" t="s">
        <v>3270</v>
      </c>
      <c r="F639" s="37" t="s">
        <v>4026</v>
      </c>
      <c r="G639" s="38">
        <v>8740.5500000000011</v>
      </c>
      <c r="H639" s="38">
        <v>0</v>
      </c>
      <c r="I639" s="37"/>
      <c r="J639" s="37"/>
      <c r="K639" s="38">
        <f t="shared" si="9"/>
        <v>8740.5500000000011</v>
      </c>
      <c r="L639" s="38"/>
    </row>
    <row r="640" spans="1:12" ht="14.5" x14ac:dyDescent="0.35">
      <c r="A640" s="45" t="s">
        <v>3588</v>
      </c>
      <c r="C640" s="36">
        <v>45899</v>
      </c>
      <c r="D640" s="36" t="s">
        <v>3485</v>
      </c>
      <c r="E640" s="37" t="s">
        <v>3271</v>
      </c>
      <c r="F640" s="37" t="s">
        <v>4026</v>
      </c>
      <c r="G640" s="38">
        <v>157.93</v>
      </c>
      <c r="H640" s="38">
        <v>0</v>
      </c>
      <c r="I640" s="37"/>
      <c r="J640" s="37"/>
      <c r="K640" s="38">
        <f t="shared" si="9"/>
        <v>157.93</v>
      </c>
      <c r="L640" s="38"/>
    </row>
    <row r="641" spans="1:12" ht="14.5" x14ac:dyDescent="0.35">
      <c r="A641" s="45" t="s">
        <v>3588</v>
      </c>
      <c r="C641" s="36">
        <v>45899</v>
      </c>
      <c r="D641" s="36" t="s">
        <v>2266</v>
      </c>
      <c r="E641" s="37">
        <v>38546</v>
      </c>
      <c r="F641" s="37" t="s">
        <v>4026</v>
      </c>
      <c r="G641" s="38">
        <v>8726.39</v>
      </c>
      <c r="H641" s="38">
        <v>0</v>
      </c>
      <c r="I641" s="37"/>
      <c r="J641" s="37"/>
      <c r="K641" s="38">
        <f t="shared" si="9"/>
        <v>8726.39</v>
      </c>
      <c r="L641" s="38"/>
    </row>
    <row r="642" spans="1:12" ht="14.5" x14ac:dyDescent="0.35">
      <c r="A642" s="45" t="s">
        <v>3588</v>
      </c>
      <c r="C642" s="36">
        <v>45899</v>
      </c>
      <c r="D642" s="36" t="s">
        <v>3492</v>
      </c>
      <c r="E642" s="37" t="s">
        <v>3272</v>
      </c>
      <c r="F642" s="37" t="s">
        <v>4026</v>
      </c>
      <c r="G642" s="38">
        <v>0</v>
      </c>
      <c r="H642" s="38">
        <v>0</v>
      </c>
      <c r="I642" s="37"/>
      <c r="J642" s="37"/>
      <c r="K642" s="38">
        <f t="shared" si="9"/>
        <v>0</v>
      </c>
      <c r="L642" s="38"/>
    </row>
    <row r="643" spans="1:12" ht="14.5" x14ac:dyDescent="0.35">
      <c r="A643" s="45" t="s">
        <v>3588</v>
      </c>
      <c r="C643" s="36">
        <v>45899</v>
      </c>
      <c r="D643" s="36" t="s">
        <v>2205</v>
      </c>
      <c r="E643" s="37" t="s">
        <v>3273</v>
      </c>
      <c r="F643" s="37" t="s">
        <v>4026</v>
      </c>
      <c r="G643" s="38">
        <v>63092.97</v>
      </c>
      <c r="H643" s="38">
        <v>0</v>
      </c>
      <c r="I643" s="37"/>
      <c r="J643" s="37"/>
      <c r="K643" s="38">
        <f t="shared" si="9"/>
        <v>63092.97</v>
      </c>
      <c r="L643" s="38"/>
    </row>
    <row r="644" spans="1:12" ht="14.5" x14ac:dyDescent="0.35">
      <c r="A644" s="45" t="s">
        <v>3588</v>
      </c>
      <c r="C644" s="36">
        <v>45899</v>
      </c>
      <c r="D644" s="36" t="s">
        <v>2205</v>
      </c>
      <c r="E644" s="37" t="s">
        <v>3274</v>
      </c>
      <c r="F644" s="37" t="s">
        <v>4026</v>
      </c>
      <c r="G644" s="38">
        <v>15065.24</v>
      </c>
      <c r="H644" s="38">
        <v>0</v>
      </c>
      <c r="I644" s="37"/>
      <c r="J644" s="37"/>
      <c r="K644" s="38">
        <f t="shared" si="9"/>
        <v>15065.24</v>
      </c>
      <c r="L644" s="38"/>
    </row>
    <row r="645" spans="1:12" ht="14.5" x14ac:dyDescent="0.35">
      <c r="A645" s="45" t="s">
        <v>3588</v>
      </c>
      <c r="C645" s="36">
        <v>45899</v>
      </c>
      <c r="D645" s="36" t="s">
        <v>2205</v>
      </c>
      <c r="E645" s="37" t="s">
        <v>3275</v>
      </c>
      <c r="F645" s="37" t="s">
        <v>4026</v>
      </c>
      <c r="G645" s="38">
        <v>509.68</v>
      </c>
      <c r="H645" s="38">
        <v>0</v>
      </c>
      <c r="I645" s="37"/>
      <c r="J645" s="37"/>
      <c r="K645" s="38">
        <f t="shared" ref="K645:K708" si="10">G645-H645</f>
        <v>509.68</v>
      </c>
      <c r="L645" s="38"/>
    </row>
    <row r="646" spans="1:12" ht="14.5" x14ac:dyDescent="0.35">
      <c r="A646" s="45" t="s">
        <v>3588</v>
      </c>
      <c r="C646" s="36">
        <v>45899</v>
      </c>
      <c r="D646" s="36" t="s">
        <v>2205</v>
      </c>
      <c r="E646" s="37" t="s">
        <v>3276</v>
      </c>
      <c r="F646" s="37" t="s">
        <v>4026</v>
      </c>
      <c r="G646" s="38">
        <v>3477.23</v>
      </c>
      <c r="H646" s="38">
        <v>0</v>
      </c>
      <c r="I646" s="37"/>
      <c r="J646" s="37"/>
      <c r="K646" s="38">
        <f t="shared" si="10"/>
        <v>3477.23</v>
      </c>
      <c r="L646" s="38"/>
    </row>
    <row r="647" spans="1:12" ht="14.5" x14ac:dyDescent="0.35">
      <c r="A647" s="45" t="s">
        <v>3588</v>
      </c>
      <c r="C647" s="36">
        <v>45899</v>
      </c>
      <c r="D647" s="36" t="s">
        <v>2205</v>
      </c>
      <c r="E647" s="37" t="s">
        <v>3277</v>
      </c>
      <c r="F647" s="37" t="s">
        <v>4026</v>
      </c>
      <c r="G647" s="38">
        <v>363.86</v>
      </c>
      <c r="H647" s="38">
        <v>0</v>
      </c>
      <c r="I647" s="37"/>
      <c r="J647" s="37"/>
      <c r="K647" s="38">
        <f t="shared" si="10"/>
        <v>363.86</v>
      </c>
      <c r="L647" s="38"/>
    </row>
    <row r="648" spans="1:12" ht="14.5" x14ac:dyDescent="0.35">
      <c r="A648" s="45" t="s">
        <v>3588</v>
      </c>
      <c r="C648" s="36">
        <v>45899</v>
      </c>
      <c r="D648" s="36" t="s">
        <v>3472</v>
      </c>
      <c r="E648" s="37" t="s">
        <v>3278</v>
      </c>
      <c r="F648" s="37" t="s">
        <v>4026</v>
      </c>
      <c r="G648" s="38">
        <v>1319.76</v>
      </c>
      <c r="H648" s="38">
        <v>0</v>
      </c>
      <c r="I648" s="37"/>
      <c r="J648" s="37"/>
      <c r="K648" s="38">
        <f t="shared" si="10"/>
        <v>1319.76</v>
      </c>
      <c r="L648" s="38"/>
    </row>
    <row r="649" spans="1:12" ht="14.5" x14ac:dyDescent="0.35">
      <c r="A649" s="45" t="s">
        <v>3588</v>
      </c>
      <c r="C649" s="36">
        <v>45899</v>
      </c>
      <c r="D649" s="36" t="s">
        <v>3472</v>
      </c>
      <c r="E649" s="37" t="s">
        <v>3279</v>
      </c>
      <c r="F649" s="37" t="s">
        <v>4026</v>
      </c>
      <c r="G649" s="38">
        <v>87.17</v>
      </c>
      <c r="H649" s="38">
        <v>0</v>
      </c>
      <c r="I649" s="37"/>
      <c r="J649" s="37"/>
      <c r="K649" s="38">
        <f t="shared" si="10"/>
        <v>87.17</v>
      </c>
      <c r="L649" s="38"/>
    </row>
    <row r="650" spans="1:12" ht="14.5" x14ac:dyDescent="0.35">
      <c r="A650" s="45" t="s">
        <v>3588</v>
      </c>
      <c r="C650" s="36">
        <v>45899</v>
      </c>
      <c r="D650" s="36" t="s">
        <v>3148</v>
      </c>
      <c r="E650" s="37" t="s">
        <v>3280</v>
      </c>
      <c r="F650" s="37" t="s">
        <v>4026</v>
      </c>
      <c r="G650" s="38">
        <v>739.96</v>
      </c>
      <c r="H650" s="38">
        <v>0</v>
      </c>
      <c r="I650" s="37"/>
      <c r="J650" s="37"/>
      <c r="K650" s="38">
        <f t="shared" si="10"/>
        <v>739.96</v>
      </c>
      <c r="L650" s="38"/>
    </row>
    <row r="651" spans="1:12" ht="14.5" x14ac:dyDescent="0.35">
      <c r="A651" s="45" t="s">
        <v>3588</v>
      </c>
      <c r="C651" s="36">
        <v>45899</v>
      </c>
      <c r="D651" s="36" t="s">
        <v>3493</v>
      </c>
      <c r="E651" s="37" t="s">
        <v>3281</v>
      </c>
      <c r="F651" s="37" t="s">
        <v>4026</v>
      </c>
      <c r="G651" s="38">
        <v>18.14</v>
      </c>
      <c r="H651" s="38">
        <v>0</v>
      </c>
      <c r="I651" s="37"/>
      <c r="J651" s="37"/>
      <c r="K651" s="38">
        <f t="shared" si="10"/>
        <v>18.14</v>
      </c>
      <c r="L651" s="38"/>
    </row>
    <row r="652" spans="1:12" ht="14.5" x14ac:dyDescent="0.35">
      <c r="A652" s="45" t="s">
        <v>3588</v>
      </c>
      <c r="C652" s="36">
        <v>45899</v>
      </c>
      <c r="D652" s="36" t="s">
        <v>3493</v>
      </c>
      <c r="E652" s="37" t="s">
        <v>3282</v>
      </c>
      <c r="F652" s="37" t="s">
        <v>4026</v>
      </c>
      <c r="G652" s="38">
        <v>359.59</v>
      </c>
      <c r="H652" s="38">
        <v>0</v>
      </c>
      <c r="I652" s="37"/>
      <c r="J652" s="37"/>
      <c r="K652" s="38">
        <f t="shared" si="10"/>
        <v>359.59</v>
      </c>
      <c r="L652" s="38"/>
    </row>
    <row r="653" spans="1:12" ht="14.5" x14ac:dyDescent="0.35">
      <c r="A653" s="45" t="s">
        <v>3588</v>
      </c>
      <c r="C653" s="36">
        <v>45899</v>
      </c>
      <c r="D653" s="36" t="s">
        <v>1223</v>
      </c>
      <c r="E653" s="37" t="s">
        <v>3283</v>
      </c>
      <c r="F653" s="37" t="s">
        <v>4026</v>
      </c>
      <c r="G653" s="38">
        <v>8.17</v>
      </c>
      <c r="H653" s="38">
        <v>0</v>
      </c>
      <c r="I653" s="37"/>
      <c r="J653" s="37"/>
      <c r="K653" s="38">
        <f t="shared" si="10"/>
        <v>8.17</v>
      </c>
      <c r="L653" s="38"/>
    </row>
    <row r="654" spans="1:12" ht="14.5" x14ac:dyDescent="0.35">
      <c r="A654" s="45" t="s">
        <v>3588</v>
      </c>
      <c r="C654" s="36">
        <v>45899</v>
      </c>
      <c r="D654" s="36" t="s">
        <v>1223</v>
      </c>
      <c r="E654" s="37" t="s">
        <v>3284</v>
      </c>
      <c r="F654" s="37" t="s">
        <v>4026</v>
      </c>
      <c r="G654" s="38">
        <v>61.64</v>
      </c>
      <c r="H654" s="38">
        <v>0</v>
      </c>
      <c r="I654" s="37"/>
      <c r="J654" s="37"/>
      <c r="K654" s="38">
        <f t="shared" si="10"/>
        <v>61.64</v>
      </c>
      <c r="L654" s="38"/>
    </row>
    <row r="655" spans="1:12" ht="14.5" x14ac:dyDescent="0.35">
      <c r="A655" s="45" t="s">
        <v>3588</v>
      </c>
      <c r="C655" s="36">
        <v>45899</v>
      </c>
      <c r="D655" s="36" t="s">
        <v>1223</v>
      </c>
      <c r="E655" s="37" t="s">
        <v>3285</v>
      </c>
      <c r="F655" s="37" t="s">
        <v>4026</v>
      </c>
      <c r="G655" s="38">
        <v>597.15</v>
      </c>
      <c r="H655" s="38">
        <v>0</v>
      </c>
      <c r="I655" s="37"/>
      <c r="J655" s="37"/>
      <c r="K655" s="38">
        <f t="shared" si="10"/>
        <v>597.15</v>
      </c>
      <c r="L655" s="38"/>
    </row>
    <row r="656" spans="1:12" ht="14.5" x14ac:dyDescent="0.35">
      <c r="A656" s="45" t="s">
        <v>3588</v>
      </c>
      <c r="C656" s="36">
        <v>45899</v>
      </c>
      <c r="D656" s="36" t="s">
        <v>1223</v>
      </c>
      <c r="E656" s="37" t="s">
        <v>3286</v>
      </c>
      <c r="F656" s="37" t="s">
        <v>4026</v>
      </c>
      <c r="G656" s="38">
        <v>312.07</v>
      </c>
      <c r="H656" s="38">
        <v>0</v>
      </c>
      <c r="I656" s="37"/>
      <c r="J656" s="37"/>
      <c r="K656" s="38">
        <f t="shared" si="10"/>
        <v>312.07</v>
      </c>
      <c r="L656" s="38"/>
    </row>
    <row r="657" spans="1:12" ht="14.5" x14ac:dyDescent="0.35">
      <c r="A657" s="45" t="s">
        <v>3588</v>
      </c>
      <c r="C657" s="36">
        <v>45899</v>
      </c>
      <c r="D657" s="36" t="s">
        <v>3494</v>
      </c>
      <c r="E657" s="37" t="s">
        <v>3287</v>
      </c>
      <c r="F657" s="37" t="s">
        <v>4026</v>
      </c>
      <c r="G657" s="38">
        <v>0</v>
      </c>
      <c r="H657" s="38">
        <v>0</v>
      </c>
      <c r="I657" s="37"/>
      <c r="J657" s="37"/>
      <c r="K657" s="38">
        <f t="shared" si="10"/>
        <v>0</v>
      </c>
      <c r="L657" s="38"/>
    </row>
    <row r="658" spans="1:12" ht="14.5" x14ac:dyDescent="0.35">
      <c r="A658" s="45" t="s">
        <v>3588</v>
      </c>
      <c r="C658" s="36">
        <v>45899</v>
      </c>
      <c r="D658" s="36" t="s">
        <v>1582</v>
      </c>
      <c r="E658" s="37" t="s">
        <v>3288</v>
      </c>
      <c r="F658" s="37" t="s">
        <v>4026</v>
      </c>
      <c r="G658" s="38">
        <v>143777.63000000006</v>
      </c>
      <c r="H658" s="38">
        <v>0</v>
      </c>
      <c r="I658" s="37"/>
      <c r="J658" s="37"/>
      <c r="K658" s="38">
        <f t="shared" si="10"/>
        <v>143777.63000000006</v>
      </c>
      <c r="L658" s="38"/>
    </row>
    <row r="659" spans="1:12" ht="14.5" x14ac:dyDescent="0.35">
      <c r="A659" s="45" t="s">
        <v>3588</v>
      </c>
      <c r="C659" s="36">
        <v>45899</v>
      </c>
      <c r="D659" s="36" t="s">
        <v>2231</v>
      </c>
      <c r="E659" s="37">
        <v>38651</v>
      </c>
      <c r="F659" s="37" t="s">
        <v>4026</v>
      </c>
      <c r="G659" s="38">
        <v>7237.3</v>
      </c>
      <c r="H659" s="38">
        <v>0</v>
      </c>
      <c r="I659" s="37"/>
      <c r="J659" s="37"/>
      <c r="K659" s="38">
        <f t="shared" si="10"/>
        <v>7237.3</v>
      </c>
      <c r="L659" s="38"/>
    </row>
    <row r="660" spans="1:12" ht="14.5" x14ac:dyDescent="0.35">
      <c r="A660" s="45" t="s">
        <v>3588</v>
      </c>
      <c r="C660" s="36">
        <v>45899</v>
      </c>
      <c r="D660" s="36" t="s">
        <v>3495</v>
      </c>
      <c r="E660" s="37" t="s">
        <v>3289</v>
      </c>
      <c r="F660" s="37" t="s">
        <v>4026</v>
      </c>
      <c r="G660" s="38">
        <v>13.5</v>
      </c>
      <c r="H660" s="38">
        <v>0</v>
      </c>
      <c r="I660" s="37"/>
      <c r="J660" s="37"/>
      <c r="K660" s="38">
        <f t="shared" si="10"/>
        <v>13.5</v>
      </c>
      <c r="L660" s="38"/>
    </row>
    <row r="661" spans="1:12" ht="14.5" x14ac:dyDescent="0.35">
      <c r="A661" s="45" t="s">
        <v>3588</v>
      </c>
      <c r="C661" s="36">
        <v>45899</v>
      </c>
      <c r="D661" s="36" t="s">
        <v>2220</v>
      </c>
      <c r="E661" s="37" t="s">
        <v>3290</v>
      </c>
      <c r="F661" s="37" t="s">
        <v>4026</v>
      </c>
      <c r="G661" s="38">
        <v>36169.69999999999</v>
      </c>
      <c r="H661" s="38">
        <v>0</v>
      </c>
      <c r="I661" s="37"/>
      <c r="J661" s="37"/>
      <c r="K661" s="38">
        <f t="shared" si="10"/>
        <v>36169.69999999999</v>
      </c>
      <c r="L661" s="38"/>
    </row>
    <row r="662" spans="1:12" ht="14.5" x14ac:dyDescent="0.35">
      <c r="A662" s="45" t="s">
        <v>3588</v>
      </c>
      <c r="C662" s="36">
        <v>45899</v>
      </c>
      <c r="D662" s="36" t="s">
        <v>2220</v>
      </c>
      <c r="E662" s="37" t="s">
        <v>3291</v>
      </c>
      <c r="F662" s="37" t="s">
        <v>4026</v>
      </c>
      <c r="G662" s="38">
        <v>76.320000000000007</v>
      </c>
      <c r="H662" s="38">
        <v>0</v>
      </c>
      <c r="I662" s="37"/>
      <c r="J662" s="37"/>
      <c r="K662" s="38">
        <f t="shared" si="10"/>
        <v>76.320000000000007</v>
      </c>
      <c r="L662" s="38"/>
    </row>
    <row r="663" spans="1:12" ht="14.5" x14ac:dyDescent="0.35">
      <c r="A663" s="45" t="s">
        <v>3588</v>
      </c>
      <c r="C663" s="36">
        <v>45899</v>
      </c>
      <c r="D663" s="36" t="s">
        <v>2392</v>
      </c>
      <c r="E663" s="37" t="s">
        <v>3292</v>
      </c>
      <c r="F663" s="37" t="s">
        <v>4026</v>
      </c>
      <c r="G663" s="38">
        <v>600</v>
      </c>
      <c r="H663" s="38">
        <v>0</v>
      </c>
      <c r="I663" s="37"/>
      <c r="J663" s="37"/>
      <c r="K663" s="38">
        <f t="shared" si="10"/>
        <v>600</v>
      </c>
      <c r="L663" s="38"/>
    </row>
    <row r="664" spans="1:12" ht="14.5" x14ac:dyDescent="0.35">
      <c r="A664" s="45" t="s">
        <v>3588</v>
      </c>
      <c r="C664" s="36">
        <v>45899</v>
      </c>
      <c r="D664" s="36" t="s">
        <v>2392</v>
      </c>
      <c r="E664" s="37" t="s">
        <v>3293</v>
      </c>
      <c r="F664" s="37" t="s">
        <v>4026</v>
      </c>
      <c r="G664" s="38">
        <v>50.08</v>
      </c>
      <c r="H664" s="38">
        <v>0</v>
      </c>
      <c r="I664" s="37"/>
      <c r="J664" s="37"/>
      <c r="K664" s="38">
        <f t="shared" si="10"/>
        <v>50.08</v>
      </c>
      <c r="L664" s="38"/>
    </row>
    <row r="665" spans="1:12" ht="14.5" x14ac:dyDescent="0.35">
      <c r="A665" s="45" t="s">
        <v>3588</v>
      </c>
      <c r="C665" s="36">
        <v>45899</v>
      </c>
      <c r="D665" s="36" t="s">
        <v>1269</v>
      </c>
      <c r="E665" s="37" t="s">
        <v>3294</v>
      </c>
      <c r="F665" s="37" t="s">
        <v>4026</v>
      </c>
      <c r="G665" s="38">
        <v>907.09999999999991</v>
      </c>
      <c r="H665" s="38">
        <v>0</v>
      </c>
      <c r="I665" s="37"/>
      <c r="J665" s="37"/>
      <c r="K665" s="38">
        <f t="shared" si="10"/>
        <v>907.09999999999991</v>
      </c>
      <c r="L665" s="38"/>
    </row>
    <row r="666" spans="1:12" ht="14.5" x14ac:dyDescent="0.35">
      <c r="A666" s="45" t="s">
        <v>3588</v>
      </c>
      <c r="C666" s="36">
        <v>45899</v>
      </c>
      <c r="D666" s="36" t="s">
        <v>2629</v>
      </c>
      <c r="E666" s="37" t="s">
        <v>3295</v>
      </c>
      <c r="F666" s="37" t="s">
        <v>4026</v>
      </c>
      <c r="G666" s="38">
        <v>200</v>
      </c>
      <c r="H666" s="38">
        <v>0</v>
      </c>
      <c r="I666" s="37"/>
      <c r="J666" s="37"/>
      <c r="K666" s="38">
        <f t="shared" si="10"/>
        <v>200</v>
      </c>
      <c r="L666" s="38"/>
    </row>
    <row r="667" spans="1:12" ht="14.5" x14ac:dyDescent="0.35">
      <c r="A667" s="45" t="s">
        <v>3588</v>
      </c>
      <c r="C667" s="36">
        <v>45899</v>
      </c>
      <c r="D667" s="36" t="s">
        <v>1223</v>
      </c>
      <c r="E667" s="37" t="s">
        <v>3296</v>
      </c>
      <c r="F667" s="37" t="s">
        <v>4026</v>
      </c>
      <c r="G667" s="38">
        <v>2771.9799999999996</v>
      </c>
      <c r="H667" s="38">
        <v>0</v>
      </c>
      <c r="I667" s="37"/>
      <c r="J667" s="37"/>
      <c r="K667" s="38">
        <f t="shared" si="10"/>
        <v>2771.9799999999996</v>
      </c>
      <c r="L667" s="38"/>
    </row>
    <row r="668" spans="1:12" ht="14.5" x14ac:dyDescent="0.35">
      <c r="A668" s="45" t="s">
        <v>3588</v>
      </c>
      <c r="C668" s="36">
        <v>45899</v>
      </c>
      <c r="D668" s="36" t="s">
        <v>1631</v>
      </c>
      <c r="E668" s="37" t="s">
        <v>3297</v>
      </c>
      <c r="F668" s="37" t="s">
        <v>4026</v>
      </c>
      <c r="G668" s="38">
        <v>2205.9300000000003</v>
      </c>
      <c r="H668" s="38">
        <v>0</v>
      </c>
      <c r="I668" s="37"/>
      <c r="J668" s="37"/>
      <c r="K668" s="38">
        <f t="shared" si="10"/>
        <v>2205.9300000000003</v>
      </c>
      <c r="L668" s="38"/>
    </row>
    <row r="669" spans="1:12" ht="14.5" x14ac:dyDescent="0.35">
      <c r="A669" s="45" t="s">
        <v>3588</v>
      </c>
      <c r="C669" s="36">
        <v>45899</v>
      </c>
      <c r="D669" s="36" t="s">
        <v>3492</v>
      </c>
      <c r="E669" s="37" t="s">
        <v>3298</v>
      </c>
      <c r="F669" s="37" t="s">
        <v>4026</v>
      </c>
      <c r="G669" s="38">
        <v>200</v>
      </c>
      <c r="H669" s="38">
        <v>0</v>
      </c>
      <c r="I669" s="37"/>
      <c r="J669" s="37"/>
      <c r="K669" s="38">
        <f t="shared" si="10"/>
        <v>200</v>
      </c>
      <c r="L669" s="38"/>
    </row>
    <row r="670" spans="1:12" ht="14.5" x14ac:dyDescent="0.35">
      <c r="A670" s="45" t="s">
        <v>3588</v>
      </c>
      <c r="C670" s="36">
        <v>45899</v>
      </c>
      <c r="D670" s="36" t="s">
        <v>3496</v>
      </c>
      <c r="E670" s="37">
        <v>38791</v>
      </c>
      <c r="F670" s="37" t="s">
        <v>4026</v>
      </c>
      <c r="G670" s="38">
        <v>1646.32</v>
      </c>
      <c r="H670" s="38">
        <v>0</v>
      </c>
      <c r="I670" s="37"/>
      <c r="J670" s="37"/>
      <c r="K670" s="38">
        <f t="shared" si="10"/>
        <v>1646.32</v>
      </c>
      <c r="L670" s="38"/>
    </row>
    <row r="671" spans="1:12" ht="14.5" x14ac:dyDescent="0.35">
      <c r="A671" s="45" t="s">
        <v>3588</v>
      </c>
      <c r="C671" s="36">
        <v>45899</v>
      </c>
      <c r="D671" s="36" t="s">
        <v>3497</v>
      </c>
      <c r="E671" s="37">
        <v>38806</v>
      </c>
      <c r="F671" s="37" t="s">
        <v>4026</v>
      </c>
      <c r="G671" s="38">
        <v>55524.2</v>
      </c>
      <c r="H671" s="38">
        <v>0</v>
      </c>
      <c r="I671" s="37"/>
      <c r="J671" s="37"/>
      <c r="K671" s="38">
        <f t="shared" si="10"/>
        <v>55524.2</v>
      </c>
      <c r="L671" s="38"/>
    </row>
    <row r="672" spans="1:12" ht="14.5" x14ac:dyDescent="0.35">
      <c r="A672" s="45" t="s">
        <v>3588</v>
      </c>
      <c r="C672" s="36">
        <v>45899</v>
      </c>
      <c r="D672" s="36" t="s">
        <v>3498</v>
      </c>
      <c r="E672" s="37">
        <v>38817</v>
      </c>
      <c r="F672" s="37" t="s">
        <v>4026</v>
      </c>
      <c r="G672" s="38">
        <v>2110.96</v>
      </c>
      <c r="H672" s="38">
        <v>0</v>
      </c>
      <c r="I672" s="37"/>
      <c r="J672" s="37"/>
      <c r="K672" s="38">
        <f t="shared" si="10"/>
        <v>2110.96</v>
      </c>
      <c r="L672" s="38"/>
    </row>
    <row r="673" spans="1:12" ht="14.5" x14ac:dyDescent="0.35">
      <c r="A673" s="45" t="s">
        <v>3588</v>
      </c>
      <c r="C673" s="36">
        <v>45899</v>
      </c>
      <c r="D673" s="36" t="s">
        <v>3499</v>
      </c>
      <c r="E673" s="37">
        <v>38834</v>
      </c>
      <c r="F673" s="37" t="s">
        <v>4026</v>
      </c>
      <c r="G673" s="38">
        <v>22500</v>
      </c>
      <c r="H673" s="38">
        <v>0</v>
      </c>
      <c r="I673" s="37"/>
      <c r="J673" s="37"/>
      <c r="K673" s="38">
        <f t="shared" si="10"/>
        <v>22500</v>
      </c>
      <c r="L673" s="38"/>
    </row>
    <row r="674" spans="1:12" ht="14.5" x14ac:dyDescent="0.35">
      <c r="A674" s="45" t="s">
        <v>3588</v>
      </c>
      <c r="C674" s="36">
        <v>45899</v>
      </c>
      <c r="D674" s="36" t="s">
        <v>3500</v>
      </c>
      <c r="E674" s="37">
        <v>38839</v>
      </c>
      <c r="F674" s="37" t="s">
        <v>4026</v>
      </c>
      <c r="G674" s="38">
        <v>1006.31</v>
      </c>
      <c r="H674" s="38">
        <v>0</v>
      </c>
      <c r="I674" s="37"/>
      <c r="J674" s="37"/>
      <c r="K674" s="38">
        <f t="shared" si="10"/>
        <v>1006.31</v>
      </c>
      <c r="L674" s="38"/>
    </row>
    <row r="675" spans="1:12" ht="14.5" x14ac:dyDescent="0.35">
      <c r="A675" s="45" t="s">
        <v>3588</v>
      </c>
      <c r="C675" s="36">
        <v>45899</v>
      </c>
      <c r="D675" s="36" t="s">
        <v>3501</v>
      </c>
      <c r="E675" s="37">
        <v>38846</v>
      </c>
      <c r="F675" s="37" t="s">
        <v>4026</v>
      </c>
      <c r="G675" s="38">
        <v>2563.0299999999997</v>
      </c>
      <c r="H675" s="38">
        <v>0</v>
      </c>
      <c r="I675" s="37"/>
      <c r="J675" s="37"/>
      <c r="K675" s="38">
        <f t="shared" si="10"/>
        <v>2563.0299999999997</v>
      </c>
      <c r="L675" s="38"/>
    </row>
    <row r="676" spans="1:12" ht="14.5" x14ac:dyDescent="0.35">
      <c r="A676" s="45" t="s">
        <v>3588</v>
      </c>
      <c r="C676" s="36">
        <v>45899</v>
      </c>
      <c r="D676" s="36" t="s">
        <v>2892</v>
      </c>
      <c r="E676" s="37">
        <v>38850</v>
      </c>
      <c r="F676" s="37" t="s">
        <v>4026</v>
      </c>
      <c r="G676" s="38">
        <v>10747.08</v>
      </c>
      <c r="H676" s="38">
        <v>0</v>
      </c>
      <c r="I676" s="37"/>
      <c r="J676" s="37"/>
      <c r="K676" s="38">
        <f t="shared" si="10"/>
        <v>10747.08</v>
      </c>
      <c r="L676" s="38"/>
    </row>
    <row r="677" spans="1:12" ht="14.5" x14ac:dyDescent="0.35">
      <c r="A677" s="45" t="s">
        <v>3588</v>
      </c>
      <c r="C677" s="36">
        <v>45899</v>
      </c>
      <c r="D677" s="36" t="s">
        <v>3502</v>
      </c>
      <c r="E677" s="37">
        <v>38874</v>
      </c>
      <c r="F677" s="37" t="s">
        <v>4026</v>
      </c>
      <c r="G677" s="38">
        <v>346.58</v>
      </c>
      <c r="H677" s="38">
        <v>0</v>
      </c>
      <c r="I677" s="37"/>
      <c r="J677" s="37"/>
      <c r="K677" s="38">
        <f t="shared" si="10"/>
        <v>346.58</v>
      </c>
      <c r="L677" s="38"/>
    </row>
    <row r="678" spans="1:12" ht="14.5" x14ac:dyDescent="0.35">
      <c r="A678" s="45" t="s">
        <v>3588</v>
      </c>
      <c r="C678" s="36">
        <v>45899</v>
      </c>
      <c r="D678" s="36" t="s">
        <v>2629</v>
      </c>
      <c r="E678" s="37">
        <v>38889</v>
      </c>
      <c r="F678" s="37" t="s">
        <v>4026</v>
      </c>
      <c r="G678" s="38">
        <v>3588.28</v>
      </c>
      <c r="H678" s="38">
        <v>0</v>
      </c>
      <c r="I678" s="37"/>
      <c r="J678" s="37"/>
      <c r="K678" s="38">
        <f t="shared" si="10"/>
        <v>3588.28</v>
      </c>
      <c r="L678" s="38"/>
    </row>
    <row r="679" spans="1:12" ht="14.5" x14ac:dyDescent="0.35">
      <c r="A679" s="45" t="s">
        <v>3588</v>
      </c>
      <c r="C679" s="36">
        <v>45899</v>
      </c>
      <c r="D679" s="36" t="s">
        <v>3496</v>
      </c>
      <c r="E679" s="37">
        <v>38953</v>
      </c>
      <c r="F679" s="37" t="s">
        <v>4026</v>
      </c>
      <c r="G679" s="38">
        <v>2346.54</v>
      </c>
      <c r="H679" s="38">
        <v>0</v>
      </c>
      <c r="I679" s="37"/>
      <c r="J679" s="37"/>
      <c r="K679" s="38">
        <f t="shared" si="10"/>
        <v>2346.54</v>
      </c>
      <c r="L679" s="38"/>
    </row>
    <row r="680" spans="1:12" ht="14.5" x14ac:dyDescent="0.35">
      <c r="A680" s="45" t="s">
        <v>3588</v>
      </c>
      <c r="C680" s="36">
        <v>45899</v>
      </c>
      <c r="D680" s="36" t="s">
        <v>3503</v>
      </c>
      <c r="E680" s="37">
        <v>38954</v>
      </c>
      <c r="F680" s="37" t="s">
        <v>4026</v>
      </c>
      <c r="G680" s="38">
        <v>8782.15</v>
      </c>
      <c r="H680" s="38">
        <v>0</v>
      </c>
      <c r="I680" s="37"/>
      <c r="J680" s="37"/>
      <c r="K680" s="38">
        <f t="shared" si="10"/>
        <v>8782.15</v>
      </c>
      <c r="L680" s="38"/>
    </row>
    <row r="681" spans="1:12" ht="14.5" x14ac:dyDescent="0.35">
      <c r="A681" s="45" t="s">
        <v>3588</v>
      </c>
      <c r="C681" s="36">
        <v>45899</v>
      </c>
      <c r="D681" s="36" t="s">
        <v>3504</v>
      </c>
      <c r="E681" s="37">
        <v>38970</v>
      </c>
      <c r="F681" s="37" t="s">
        <v>4026</v>
      </c>
      <c r="G681" s="38">
        <v>66.78</v>
      </c>
      <c r="H681" s="38">
        <v>0</v>
      </c>
      <c r="I681" s="37"/>
      <c r="J681" s="37"/>
      <c r="K681" s="38">
        <f t="shared" si="10"/>
        <v>66.78</v>
      </c>
      <c r="L681" s="38"/>
    </row>
    <row r="682" spans="1:12" ht="14.5" x14ac:dyDescent="0.35">
      <c r="A682" s="45" t="s">
        <v>3588</v>
      </c>
      <c r="C682" s="36">
        <v>45899</v>
      </c>
      <c r="D682" s="36" t="s">
        <v>3496</v>
      </c>
      <c r="E682" s="37">
        <v>38981</v>
      </c>
      <c r="F682" s="37" t="s">
        <v>4026</v>
      </c>
      <c r="G682" s="38">
        <v>631.48</v>
      </c>
      <c r="H682" s="38">
        <v>0</v>
      </c>
      <c r="I682" s="37"/>
      <c r="J682" s="37"/>
      <c r="K682" s="38">
        <f t="shared" si="10"/>
        <v>631.48</v>
      </c>
      <c r="L682" s="38"/>
    </row>
    <row r="683" spans="1:12" ht="14.5" x14ac:dyDescent="0.35">
      <c r="A683" s="45" t="s">
        <v>3588</v>
      </c>
      <c r="C683" s="36">
        <v>45899</v>
      </c>
      <c r="D683" s="36" t="s">
        <v>301</v>
      </c>
      <c r="E683" s="37">
        <v>38983</v>
      </c>
      <c r="F683" s="37" t="s">
        <v>4026</v>
      </c>
      <c r="G683" s="38">
        <v>596.53</v>
      </c>
      <c r="H683" s="38">
        <v>0</v>
      </c>
      <c r="I683" s="37"/>
      <c r="J683" s="37"/>
      <c r="K683" s="38">
        <f t="shared" si="10"/>
        <v>596.53</v>
      </c>
      <c r="L683" s="38"/>
    </row>
    <row r="684" spans="1:12" ht="14.5" x14ac:dyDescent="0.35">
      <c r="A684" s="45" t="s">
        <v>3588</v>
      </c>
      <c r="C684" s="36">
        <v>45899</v>
      </c>
      <c r="D684" s="36" t="s">
        <v>1475</v>
      </c>
      <c r="E684" s="37">
        <v>38993</v>
      </c>
      <c r="F684" s="37" t="s">
        <v>4026</v>
      </c>
      <c r="G684" s="38">
        <v>24852.83</v>
      </c>
      <c r="H684" s="38">
        <v>0</v>
      </c>
      <c r="I684" s="37"/>
      <c r="J684" s="37"/>
      <c r="K684" s="38">
        <f t="shared" si="10"/>
        <v>24852.83</v>
      </c>
      <c r="L684" s="38"/>
    </row>
    <row r="685" spans="1:12" ht="14.5" x14ac:dyDescent="0.35">
      <c r="A685" s="45" t="s">
        <v>3588</v>
      </c>
      <c r="C685" s="36">
        <v>45899</v>
      </c>
      <c r="D685" s="36" t="s">
        <v>1924</v>
      </c>
      <c r="E685" s="37">
        <v>38996</v>
      </c>
      <c r="F685" s="37" t="s">
        <v>4026</v>
      </c>
      <c r="G685" s="38">
        <v>1748.55</v>
      </c>
      <c r="H685" s="38">
        <v>0</v>
      </c>
      <c r="I685" s="37"/>
      <c r="J685" s="37"/>
      <c r="K685" s="38">
        <f t="shared" si="10"/>
        <v>1748.55</v>
      </c>
      <c r="L685" s="38"/>
    </row>
    <row r="686" spans="1:12" ht="14.5" x14ac:dyDescent="0.35">
      <c r="A686" s="45" t="s">
        <v>3588</v>
      </c>
      <c r="C686" s="36">
        <v>45899</v>
      </c>
      <c r="D686" s="36" t="s">
        <v>3505</v>
      </c>
      <c r="E686" s="37">
        <v>39002</v>
      </c>
      <c r="F686" s="37" t="s">
        <v>4026</v>
      </c>
      <c r="G686" s="38">
        <v>18200</v>
      </c>
      <c r="H686" s="38">
        <v>0</v>
      </c>
      <c r="I686" s="37"/>
      <c r="J686" s="37"/>
      <c r="K686" s="38">
        <f t="shared" si="10"/>
        <v>18200</v>
      </c>
      <c r="L686" s="38"/>
    </row>
    <row r="687" spans="1:12" ht="14.5" x14ac:dyDescent="0.35">
      <c r="A687" s="45" t="s">
        <v>3588</v>
      </c>
      <c r="C687" s="36">
        <v>45899</v>
      </c>
      <c r="D687" s="36" t="s">
        <v>3506</v>
      </c>
      <c r="E687" s="37">
        <v>39010</v>
      </c>
      <c r="F687" s="37" t="s">
        <v>4026</v>
      </c>
      <c r="G687" s="38">
        <v>783.92</v>
      </c>
      <c r="H687" s="38">
        <v>0</v>
      </c>
      <c r="I687" s="37"/>
      <c r="J687" s="37"/>
      <c r="K687" s="38">
        <f t="shared" si="10"/>
        <v>783.92</v>
      </c>
      <c r="L687" s="38"/>
    </row>
    <row r="688" spans="1:12" ht="14.5" x14ac:dyDescent="0.35">
      <c r="A688" s="45" t="s">
        <v>3588</v>
      </c>
      <c r="C688" s="36">
        <v>45899</v>
      </c>
      <c r="D688" s="36" t="s">
        <v>2454</v>
      </c>
      <c r="E688" s="37" t="s">
        <v>3299</v>
      </c>
      <c r="F688" s="37" t="s">
        <v>4026</v>
      </c>
      <c r="G688" s="38">
        <v>27.87</v>
      </c>
      <c r="H688" s="38">
        <v>0</v>
      </c>
      <c r="I688" s="37"/>
      <c r="J688" s="37"/>
      <c r="K688" s="38">
        <f t="shared" si="10"/>
        <v>27.87</v>
      </c>
      <c r="L688" s="38"/>
    </row>
    <row r="689" spans="1:12" ht="14.5" x14ac:dyDescent="0.35">
      <c r="A689" s="45" t="s">
        <v>3588</v>
      </c>
      <c r="C689" s="36">
        <v>45899</v>
      </c>
      <c r="D689" s="36" t="s">
        <v>1223</v>
      </c>
      <c r="E689" s="37" t="s">
        <v>3300</v>
      </c>
      <c r="F689" s="37" t="s">
        <v>4026</v>
      </c>
      <c r="G689" s="38">
        <v>686.03</v>
      </c>
      <c r="H689" s="38">
        <v>0</v>
      </c>
      <c r="I689" s="37"/>
      <c r="J689" s="37"/>
      <c r="K689" s="38">
        <f t="shared" si="10"/>
        <v>686.03</v>
      </c>
      <c r="L689" s="38"/>
    </row>
    <row r="690" spans="1:12" ht="14.5" x14ac:dyDescent="0.35">
      <c r="A690" s="45" t="s">
        <v>3588</v>
      </c>
      <c r="C690" s="36">
        <v>45899</v>
      </c>
      <c r="D690" s="36" t="s">
        <v>3507</v>
      </c>
      <c r="E690" s="37">
        <v>39090</v>
      </c>
      <c r="F690" s="37" t="s">
        <v>4026</v>
      </c>
      <c r="G690" s="38">
        <v>661741.42000000016</v>
      </c>
      <c r="H690" s="38">
        <v>0</v>
      </c>
      <c r="I690" s="37"/>
      <c r="J690" s="37"/>
      <c r="K690" s="38">
        <f t="shared" si="10"/>
        <v>661741.42000000016</v>
      </c>
      <c r="L690" s="38"/>
    </row>
    <row r="691" spans="1:12" ht="14.5" x14ac:dyDescent="0.35">
      <c r="A691" s="45" t="s">
        <v>3588</v>
      </c>
      <c r="C691" s="36">
        <v>45899</v>
      </c>
      <c r="D691" s="36" t="s">
        <v>3508</v>
      </c>
      <c r="E691" s="37">
        <v>39123</v>
      </c>
      <c r="F691" s="37" t="s">
        <v>4026</v>
      </c>
      <c r="G691" s="38">
        <v>1814.63</v>
      </c>
      <c r="H691" s="38">
        <v>0</v>
      </c>
      <c r="I691" s="37"/>
      <c r="J691" s="37"/>
      <c r="K691" s="38">
        <f t="shared" si="10"/>
        <v>1814.63</v>
      </c>
      <c r="L691" s="38"/>
    </row>
    <row r="692" spans="1:12" ht="14.5" x14ac:dyDescent="0.35">
      <c r="A692" s="45" t="s">
        <v>3588</v>
      </c>
      <c r="C692" s="36">
        <v>45899</v>
      </c>
      <c r="D692" s="36" t="s">
        <v>884</v>
      </c>
      <c r="E692" s="37">
        <v>24015762</v>
      </c>
      <c r="F692" s="37" t="s">
        <v>4026</v>
      </c>
      <c r="G692" s="38">
        <v>0</v>
      </c>
      <c r="H692" s="38">
        <v>72.19</v>
      </c>
      <c r="I692" s="37"/>
      <c r="J692" s="37"/>
      <c r="K692" s="38">
        <f t="shared" si="10"/>
        <v>-72.19</v>
      </c>
      <c r="L692" s="38"/>
    </row>
    <row r="693" spans="1:12" ht="14.5" x14ac:dyDescent="0.35">
      <c r="A693" s="45" t="s">
        <v>3588</v>
      </c>
      <c r="C693" s="36">
        <v>45899</v>
      </c>
      <c r="D693" s="36" t="s">
        <v>3824</v>
      </c>
      <c r="E693" s="37">
        <v>4102025</v>
      </c>
      <c r="F693" s="37" t="s">
        <v>4026</v>
      </c>
      <c r="G693" s="38">
        <v>0</v>
      </c>
      <c r="H693" s="38">
        <v>185.28</v>
      </c>
      <c r="I693" s="37"/>
      <c r="J693" s="37"/>
      <c r="K693" s="38">
        <f t="shared" si="10"/>
        <v>-185.28</v>
      </c>
      <c r="L693" s="38"/>
    </row>
    <row r="694" spans="1:12" ht="14.5" x14ac:dyDescent="0.35">
      <c r="A694" s="45" t="s">
        <v>3588</v>
      </c>
      <c r="C694" s="36">
        <v>45900</v>
      </c>
      <c r="D694" s="36" t="s">
        <v>2603</v>
      </c>
      <c r="E694" s="37" t="s">
        <v>3301</v>
      </c>
      <c r="F694" s="37" t="s">
        <v>4026</v>
      </c>
      <c r="G694" s="38">
        <v>23253.23</v>
      </c>
      <c r="H694" s="38">
        <v>0</v>
      </c>
      <c r="I694" s="37"/>
      <c r="J694" s="37"/>
      <c r="K694" s="38">
        <f t="shared" si="10"/>
        <v>23253.23</v>
      </c>
      <c r="L694" s="38"/>
    </row>
    <row r="695" spans="1:12" ht="14.5" x14ac:dyDescent="0.35">
      <c r="A695" s="45" t="s">
        <v>3588</v>
      </c>
      <c r="C695" s="36">
        <v>45900</v>
      </c>
      <c r="D695" s="36" t="s">
        <v>2474</v>
      </c>
      <c r="E695" s="37" t="s">
        <v>3302</v>
      </c>
      <c r="F695" s="37" t="s">
        <v>4026</v>
      </c>
      <c r="G695" s="38">
        <v>10031.69</v>
      </c>
      <c r="H695" s="38">
        <v>0</v>
      </c>
      <c r="I695" s="37"/>
      <c r="J695" s="37"/>
      <c r="K695" s="38">
        <f t="shared" si="10"/>
        <v>10031.69</v>
      </c>
      <c r="L695" s="38"/>
    </row>
    <row r="696" spans="1:12" ht="14.5" x14ac:dyDescent="0.35">
      <c r="A696" s="45" t="s">
        <v>3588</v>
      </c>
      <c r="C696" s="36">
        <v>45900</v>
      </c>
      <c r="D696" s="36" t="s">
        <v>714</v>
      </c>
      <c r="E696" s="37">
        <v>7240</v>
      </c>
      <c r="F696" s="37" t="s">
        <v>4026</v>
      </c>
      <c r="G696" s="38">
        <v>857.08</v>
      </c>
      <c r="H696" s="38">
        <v>0</v>
      </c>
      <c r="I696" s="37"/>
      <c r="J696" s="37"/>
      <c r="K696" s="38">
        <f t="shared" si="10"/>
        <v>857.08</v>
      </c>
      <c r="L696" s="38"/>
    </row>
    <row r="697" spans="1:12" ht="14.5" x14ac:dyDescent="0.35">
      <c r="A697" s="45" t="s">
        <v>3588</v>
      </c>
      <c r="C697" s="36">
        <v>45900</v>
      </c>
      <c r="D697" s="36" t="s">
        <v>2904</v>
      </c>
      <c r="E697" s="37" t="s">
        <v>3303</v>
      </c>
      <c r="F697" s="37" t="s">
        <v>4026</v>
      </c>
      <c r="G697" s="38">
        <v>1261.3399999999999</v>
      </c>
      <c r="H697" s="38">
        <v>0</v>
      </c>
      <c r="I697" s="37"/>
      <c r="J697" s="37"/>
      <c r="K697" s="38">
        <f t="shared" si="10"/>
        <v>1261.3399999999999</v>
      </c>
      <c r="L697" s="38"/>
    </row>
    <row r="698" spans="1:12" ht="14.5" x14ac:dyDescent="0.35">
      <c r="A698" s="45" t="s">
        <v>3588</v>
      </c>
      <c r="C698" s="36">
        <v>45900</v>
      </c>
      <c r="D698" s="36" t="s">
        <v>1484</v>
      </c>
      <c r="E698" s="37" t="s">
        <v>3304</v>
      </c>
      <c r="F698" s="37" t="s">
        <v>4026</v>
      </c>
      <c r="G698" s="38">
        <v>56286.200000000004</v>
      </c>
      <c r="H698" s="38">
        <v>0</v>
      </c>
      <c r="I698" s="37"/>
      <c r="J698" s="37"/>
      <c r="K698" s="38">
        <f t="shared" si="10"/>
        <v>56286.200000000004</v>
      </c>
      <c r="L698" s="38"/>
    </row>
    <row r="699" spans="1:12" ht="14.5" x14ac:dyDescent="0.35">
      <c r="A699" s="45" t="s">
        <v>3588</v>
      </c>
      <c r="C699" s="36">
        <v>45900</v>
      </c>
      <c r="D699" s="36" t="s">
        <v>1484</v>
      </c>
      <c r="E699" s="37" t="s">
        <v>3305</v>
      </c>
      <c r="F699" s="37" t="s">
        <v>4026</v>
      </c>
      <c r="G699" s="38">
        <v>17123.859999999997</v>
      </c>
      <c r="H699" s="38">
        <v>0</v>
      </c>
      <c r="I699" s="37"/>
      <c r="J699" s="37"/>
      <c r="K699" s="38">
        <f t="shared" si="10"/>
        <v>17123.859999999997</v>
      </c>
      <c r="L699" s="38"/>
    </row>
    <row r="700" spans="1:12" ht="14.5" x14ac:dyDescent="0.35">
      <c r="A700" s="45" t="s">
        <v>3588</v>
      </c>
      <c r="C700" s="36">
        <v>45900</v>
      </c>
      <c r="D700" s="36" t="s">
        <v>1484</v>
      </c>
      <c r="E700" s="37" t="s">
        <v>3306</v>
      </c>
      <c r="F700" s="37" t="s">
        <v>4026</v>
      </c>
      <c r="G700" s="38">
        <v>42976.479999999996</v>
      </c>
      <c r="H700" s="38">
        <v>0</v>
      </c>
      <c r="I700" s="37"/>
      <c r="J700" s="37"/>
      <c r="K700" s="38">
        <f t="shared" si="10"/>
        <v>42976.479999999996</v>
      </c>
      <c r="L700" s="38"/>
    </row>
    <row r="701" spans="1:12" ht="14.5" x14ac:dyDescent="0.35">
      <c r="A701" s="45" t="s">
        <v>3588</v>
      </c>
      <c r="C701" s="36">
        <v>45900</v>
      </c>
      <c r="D701" s="36" t="s">
        <v>1484</v>
      </c>
      <c r="E701" s="37" t="s">
        <v>3307</v>
      </c>
      <c r="F701" s="37" t="s">
        <v>4026</v>
      </c>
      <c r="G701" s="38">
        <v>15447.4</v>
      </c>
      <c r="H701" s="38">
        <v>0</v>
      </c>
      <c r="I701" s="37"/>
      <c r="J701" s="37"/>
      <c r="K701" s="38">
        <f t="shared" si="10"/>
        <v>15447.4</v>
      </c>
      <c r="L701" s="38"/>
    </row>
    <row r="702" spans="1:12" ht="14.5" x14ac:dyDescent="0.35">
      <c r="A702" s="45" t="s">
        <v>3588</v>
      </c>
      <c r="C702" s="36">
        <v>45900</v>
      </c>
      <c r="D702" s="36" t="s">
        <v>301</v>
      </c>
      <c r="E702" s="37" t="s">
        <v>3308</v>
      </c>
      <c r="F702" s="37" t="s">
        <v>4026</v>
      </c>
      <c r="G702" s="38">
        <v>1430.85</v>
      </c>
      <c r="H702" s="38">
        <v>0</v>
      </c>
      <c r="I702" s="37"/>
      <c r="J702" s="37"/>
      <c r="K702" s="38">
        <f t="shared" si="10"/>
        <v>1430.85</v>
      </c>
      <c r="L702" s="38"/>
    </row>
    <row r="703" spans="1:12" ht="14.5" x14ac:dyDescent="0.35">
      <c r="A703" s="45" t="s">
        <v>3588</v>
      </c>
      <c r="C703" s="36">
        <v>45900</v>
      </c>
      <c r="D703" s="36" t="s">
        <v>1484</v>
      </c>
      <c r="E703" s="37">
        <v>32212</v>
      </c>
      <c r="F703" s="37" t="s">
        <v>4026</v>
      </c>
      <c r="G703" s="38">
        <v>16787.199999999997</v>
      </c>
      <c r="H703" s="38">
        <v>0</v>
      </c>
      <c r="I703" s="37"/>
      <c r="J703" s="37"/>
      <c r="K703" s="38">
        <f t="shared" si="10"/>
        <v>16787.199999999997</v>
      </c>
      <c r="L703" s="38"/>
    </row>
    <row r="704" spans="1:12" ht="14.5" x14ac:dyDescent="0.35">
      <c r="A704" s="45" t="s">
        <v>3588</v>
      </c>
      <c r="C704" s="36">
        <v>45900</v>
      </c>
      <c r="D704" s="36" t="s">
        <v>1484</v>
      </c>
      <c r="E704" s="37" t="s">
        <v>3309</v>
      </c>
      <c r="F704" s="37" t="s">
        <v>4026</v>
      </c>
      <c r="G704" s="38">
        <v>1760.7</v>
      </c>
      <c r="H704" s="38">
        <v>0</v>
      </c>
      <c r="I704" s="37"/>
      <c r="J704" s="37"/>
      <c r="K704" s="38">
        <f t="shared" si="10"/>
        <v>1760.7</v>
      </c>
      <c r="L704" s="38"/>
    </row>
    <row r="705" spans="1:12" ht="14.5" x14ac:dyDescent="0.35">
      <c r="A705" s="45" t="s">
        <v>3588</v>
      </c>
      <c r="C705" s="36">
        <v>45900</v>
      </c>
      <c r="D705" s="36" t="s">
        <v>301</v>
      </c>
      <c r="E705" s="37" t="s">
        <v>3311</v>
      </c>
      <c r="F705" s="37" t="s">
        <v>4026</v>
      </c>
      <c r="G705" s="38">
        <v>32850.170000000006</v>
      </c>
      <c r="H705" s="38">
        <v>0</v>
      </c>
      <c r="I705" s="37"/>
      <c r="J705" s="37"/>
      <c r="K705" s="38">
        <f t="shared" si="10"/>
        <v>32850.170000000006</v>
      </c>
      <c r="L705" s="38"/>
    </row>
    <row r="706" spans="1:12" ht="14.5" x14ac:dyDescent="0.35">
      <c r="A706" s="45" t="s">
        <v>3588</v>
      </c>
      <c r="C706" s="36">
        <v>45900</v>
      </c>
      <c r="D706" s="36" t="s">
        <v>301</v>
      </c>
      <c r="E706" s="37" t="s">
        <v>3312</v>
      </c>
      <c r="F706" s="37" t="s">
        <v>4026</v>
      </c>
      <c r="G706" s="38">
        <v>5151.4599999999973</v>
      </c>
      <c r="H706" s="38">
        <v>0</v>
      </c>
      <c r="I706" s="37"/>
      <c r="J706" s="37"/>
      <c r="K706" s="38">
        <f t="shared" si="10"/>
        <v>5151.4599999999973</v>
      </c>
      <c r="L706" s="38"/>
    </row>
    <row r="707" spans="1:12" ht="14.5" x14ac:dyDescent="0.35">
      <c r="A707" s="45" t="s">
        <v>3588</v>
      </c>
      <c r="C707" s="36">
        <v>45900</v>
      </c>
      <c r="D707" s="36" t="s">
        <v>2926</v>
      </c>
      <c r="E707" s="37" t="s">
        <v>3313</v>
      </c>
      <c r="F707" s="37" t="s">
        <v>4026</v>
      </c>
      <c r="G707" s="38">
        <v>243</v>
      </c>
      <c r="H707" s="38">
        <v>0</v>
      </c>
      <c r="I707" s="37"/>
      <c r="J707" s="37"/>
      <c r="K707" s="38">
        <f t="shared" si="10"/>
        <v>243</v>
      </c>
      <c r="L707" s="38"/>
    </row>
    <row r="708" spans="1:12" ht="14.5" x14ac:dyDescent="0.35">
      <c r="A708" s="45" t="s">
        <v>3588</v>
      </c>
      <c r="C708" s="36">
        <v>45900</v>
      </c>
      <c r="D708" s="36" t="s">
        <v>301</v>
      </c>
      <c r="E708" s="37" t="s">
        <v>3314</v>
      </c>
      <c r="F708" s="37" t="s">
        <v>4026</v>
      </c>
      <c r="G708" s="38">
        <v>14034.900000000001</v>
      </c>
      <c r="H708" s="38">
        <v>0</v>
      </c>
      <c r="I708" s="37"/>
      <c r="J708" s="37"/>
      <c r="K708" s="38">
        <f t="shared" si="10"/>
        <v>14034.900000000001</v>
      </c>
      <c r="L708" s="38"/>
    </row>
    <row r="709" spans="1:12" ht="14.5" x14ac:dyDescent="0.35">
      <c r="A709" s="45" t="s">
        <v>3588</v>
      </c>
      <c r="C709" s="36">
        <v>45900</v>
      </c>
      <c r="D709" s="36" t="s">
        <v>2555</v>
      </c>
      <c r="E709" s="37" t="s">
        <v>3315</v>
      </c>
      <c r="F709" s="37" t="s">
        <v>4026</v>
      </c>
      <c r="G709" s="38">
        <v>101.95</v>
      </c>
      <c r="H709" s="38">
        <v>0</v>
      </c>
      <c r="I709" s="37"/>
      <c r="J709" s="37"/>
      <c r="K709" s="38">
        <f t="shared" ref="K709:K772" si="11">G709-H709</f>
        <v>101.95</v>
      </c>
      <c r="L709" s="38"/>
    </row>
    <row r="710" spans="1:12" ht="14.5" x14ac:dyDescent="0.35">
      <c r="A710" s="45" t="s">
        <v>3588</v>
      </c>
      <c r="C710" s="36">
        <v>45900</v>
      </c>
      <c r="D710" s="36" t="s">
        <v>2555</v>
      </c>
      <c r="E710" s="37" t="s">
        <v>3316</v>
      </c>
      <c r="F710" s="37" t="s">
        <v>4026</v>
      </c>
      <c r="G710" s="38">
        <v>1999.1999999999998</v>
      </c>
      <c r="H710" s="38">
        <v>0</v>
      </c>
      <c r="I710" s="37"/>
      <c r="J710" s="37"/>
      <c r="K710" s="38">
        <f t="shared" si="11"/>
        <v>1999.1999999999998</v>
      </c>
      <c r="L710" s="38"/>
    </row>
    <row r="711" spans="1:12" ht="14.5" x14ac:dyDescent="0.35">
      <c r="A711" s="45" t="s">
        <v>3588</v>
      </c>
      <c r="C711" s="36">
        <v>45900</v>
      </c>
      <c r="D711" s="36" t="s">
        <v>2555</v>
      </c>
      <c r="E711" s="37" t="s">
        <v>3317</v>
      </c>
      <c r="F711" s="37" t="s">
        <v>4026</v>
      </c>
      <c r="G711" s="38">
        <v>4311.7700000000004</v>
      </c>
      <c r="H711" s="38">
        <v>0</v>
      </c>
      <c r="I711" s="37"/>
      <c r="J711" s="37"/>
      <c r="K711" s="38">
        <f t="shared" si="11"/>
        <v>4311.7700000000004</v>
      </c>
      <c r="L711" s="38"/>
    </row>
    <row r="712" spans="1:12" ht="14.5" x14ac:dyDescent="0.35">
      <c r="A712" s="45" t="s">
        <v>3588</v>
      </c>
      <c r="C712" s="36">
        <v>45900</v>
      </c>
      <c r="D712" s="36" t="s">
        <v>2555</v>
      </c>
      <c r="E712" s="37" t="s">
        <v>3318</v>
      </c>
      <c r="F712" s="37" t="s">
        <v>4026</v>
      </c>
      <c r="G712" s="38">
        <v>12154.71</v>
      </c>
      <c r="H712" s="38">
        <v>0</v>
      </c>
      <c r="I712" s="37"/>
      <c r="J712" s="37"/>
      <c r="K712" s="38">
        <f t="shared" si="11"/>
        <v>12154.71</v>
      </c>
      <c r="L712" s="38"/>
    </row>
    <row r="713" spans="1:12" ht="14.5" x14ac:dyDescent="0.35">
      <c r="A713" s="45" t="s">
        <v>3588</v>
      </c>
      <c r="C713" s="36">
        <v>45900</v>
      </c>
      <c r="D713" s="36" t="s">
        <v>2555</v>
      </c>
      <c r="E713" s="37" t="s">
        <v>3319</v>
      </c>
      <c r="F713" s="37" t="s">
        <v>4026</v>
      </c>
      <c r="G713" s="38">
        <v>5039.1699999999992</v>
      </c>
      <c r="H713" s="38">
        <v>0</v>
      </c>
      <c r="I713" s="37"/>
      <c r="J713" s="37"/>
      <c r="K713" s="38">
        <f t="shared" si="11"/>
        <v>5039.1699999999992</v>
      </c>
      <c r="L713" s="38"/>
    </row>
    <row r="714" spans="1:12" ht="14.5" x14ac:dyDescent="0.35">
      <c r="A714" s="45" t="s">
        <v>3588</v>
      </c>
      <c r="C714" s="36">
        <v>45900</v>
      </c>
      <c r="D714" s="36" t="s">
        <v>2555</v>
      </c>
      <c r="E714" s="37" t="s">
        <v>3320</v>
      </c>
      <c r="F714" s="37" t="s">
        <v>4026</v>
      </c>
      <c r="G714" s="38">
        <v>2848.18</v>
      </c>
      <c r="H714" s="38">
        <v>0</v>
      </c>
      <c r="I714" s="37"/>
      <c r="J714" s="37"/>
      <c r="K714" s="38">
        <f t="shared" si="11"/>
        <v>2848.18</v>
      </c>
      <c r="L714" s="38"/>
    </row>
    <row r="715" spans="1:12" ht="14.5" x14ac:dyDescent="0.35">
      <c r="A715" s="45" t="s">
        <v>3588</v>
      </c>
      <c r="C715" s="36">
        <v>45900</v>
      </c>
      <c r="D715" s="36" t="s">
        <v>2555</v>
      </c>
      <c r="E715" s="37" t="s">
        <v>3321</v>
      </c>
      <c r="F715" s="37" t="s">
        <v>4026</v>
      </c>
      <c r="G715" s="38">
        <v>2583.4999999999995</v>
      </c>
      <c r="H715" s="38">
        <v>0</v>
      </c>
      <c r="I715" s="37"/>
      <c r="J715" s="37"/>
      <c r="K715" s="38">
        <f t="shared" si="11"/>
        <v>2583.4999999999995</v>
      </c>
      <c r="L715" s="38"/>
    </row>
    <row r="716" spans="1:12" ht="14.5" x14ac:dyDescent="0.35">
      <c r="A716" s="45" t="s">
        <v>3588</v>
      </c>
      <c r="C716" s="36">
        <v>45900</v>
      </c>
      <c r="D716" s="36" t="s">
        <v>2555</v>
      </c>
      <c r="E716" s="37" t="s">
        <v>3322</v>
      </c>
      <c r="F716" s="37" t="s">
        <v>4026</v>
      </c>
      <c r="G716" s="38">
        <v>978.93000000000006</v>
      </c>
      <c r="H716" s="38">
        <v>0</v>
      </c>
      <c r="I716" s="37"/>
      <c r="J716" s="37"/>
      <c r="K716" s="38">
        <f t="shared" si="11"/>
        <v>978.93000000000006</v>
      </c>
      <c r="L716" s="38"/>
    </row>
    <row r="717" spans="1:12" ht="14.5" x14ac:dyDescent="0.35">
      <c r="A717" s="45" t="s">
        <v>3588</v>
      </c>
      <c r="C717" s="36">
        <v>45900</v>
      </c>
      <c r="D717" s="36" t="s">
        <v>301</v>
      </c>
      <c r="E717" s="37" t="s">
        <v>3323</v>
      </c>
      <c r="F717" s="37" t="s">
        <v>4026</v>
      </c>
      <c r="G717" s="38">
        <v>815.11</v>
      </c>
      <c r="H717" s="38">
        <v>0</v>
      </c>
      <c r="I717" s="37"/>
      <c r="J717" s="37"/>
      <c r="K717" s="38">
        <f t="shared" si="11"/>
        <v>815.11</v>
      </c>
      <c r="L717" s="38"/>
    </row>
    <row r="718" spans="1:12" ht="14.5" x14ac:dyDescent="0.35">
      <c r="A718" s="45" t="s">
        <v>3588</v>
      </c>
      <c r="C718" s="36">
        <v>45900</v>
      </c>
      <c r="D718" s="36" t="s">
        <v>301</v>
      </c>
      <c r="E718" s="37" t="s">
        <v>3324</v>
      </c>
      <c r="F718" s="37" t="s">
        <v>4026</v>
      </c>
      <c r="G718" s="38">
        <v>55801.979999999981</v>
      </c>
      <c r="H718" s="38">
        <v>0</v>
      </c>
      <c r="I718" s="37"/>
      <c r="J718" s="37"/>
      <c r="K718" s="38">
        <f t="shared" si="11"/>
        <v>55801.979999999981</v>
      </c>
      <c r="L718" s="38"/>
    </row>
    <row r="719" spans="1:12" ht="14.5" x14ac:dyDescent="0.35">
      <c r="A719" s="45" t="s">
        <v>3588</v>
      </c>
      <c r="C719" s="36">
        <v>45900</v>
      </c>
      <c r="D719" s="36" t="s">
        <v>2132</v>
      </c>
      <c r="E719" s="37" t="s">
        <v>3325</v>
      </c>
      <c r="F719" s="37" t="s">
        <v>4026</v>
      </c>
      <c r="G719" s="38">
        <v>467.11</v>
      </c>
      <c r="H719" s="38">
        <v>0</v>
      </c>
      <c r="I719" s="37"/>
      <c r="J719" s="37"/>
      <c r="K719" s="38">
        <f t="shared" si="11"/>
        <v>467.11</v>
      </c>
      <c r="L719" s="38"/>
    </row>
    <row r="720" spans="1:12" ht="14.5" x14ac:dyDescent="0.35">
      <c r="A720" s="45" t="s">
        <v>3588</v>
      </c>
      <c r="C720" s="36">
        <v>45900</v>
      </c>
      <c r="D720" s="36" t="s">
        <v>301</v>
      </c>
      <c r="E720" s="37">
        <v>33826</v>
      </c>
      <c r="F720" s="37" t="s">
        <v>4026</v>
      </c>
      <c r="G720" s="38">
        <v>14.62</v>
      </c>
      <c r="H720" s="38">
        <v>0</v>
      </c>
      <c r="I720" s="37"/>
      <c r="J720" s="37"/>
      <c r="K720" s="38">
        <f t="shared" si="11"/>
        <v>14.62</v>
      </c>
      <c r="L720" s="38"/>
    </row>
    <row r="721" spans="1:12" ht="14.5" x14ac:dyDescent="0.35">
      <c r="A721" s="45" t="s">
        <v>3588</v>
      </c>
      <c r="C721" s="36">
        <v>45900</v>
      </c>
      <c r="D721" s="36" t="s">
        <v>301</v>
      </c>
      <c r="E721" s="37" t="s">
        <v>3326</v>
      </c>
      <c r="F721" s="37" t="s">
        <v>4026</v>
      </c>
      <c r="G721" s="38">
        <v>6514.0500000000011</v>
      </c>
      <c r="H721" s="38">
        <v>0</v>
      </c>
      <c r="I721" s="37"/>
      <c r="J721" s="37"/>
      <c r="K721" s="38">
        <f t="shared" si="11"/>
        <v>6514.0500000000011</v>
      </c>
      <c r="L721" s="38"/>
    </row>
    <row r="722" spans="1:12" ht="14.5" x14ac:dyDescent="0.35">
      <c r="A722" s="45" t="s">
        <v>3588</v>
      </c>
      <c r="C722" s="36">
        <v>45900</v>
      </c>
      <c r="D722" s="36" t="s">
        <v>301</v>
      </c>
      <c r="E722" s="37" t="s">
        <v>3327</v>
      </c>
      <c r="F722" s="37" t="s">
        <v>4026</v>
      </c>
      <c r="G722" s="38">
        <v>3187.7900000000009</v>
      </c>
      <c r="H722" s="38">
        <v>0</v>
      </c>
      <c r="I722" s="37"/>
      <c r="J722" s="37"/>
      <c r="K722" s="38">
        <f t="shared" si="11"/>
        <v>3187.7900000000009</v>
      </c>
      <c r="L722" s="38"/>
    </row>
    <row r="723" spans="1:12" ht="14.5" x14ac:dyDescent="0.35">
      <c r="A723" s="45" t="s">
        <v>3588</v>
      </c>
      <c r="C723" s="36">
        <v>45900</v>
      </c>
      <c r="D723" s="36" t="s">
        <v>301</v>
      </c>
      <c r="E723" s="37" t="s">
        <v>3328</v>
      </c>
      <c r="F723" s="37" t="s">
        <v>4026</v>
      </c>
      <c r="G723" s="38">
        <v>12661.64</v>
      </c>
      <c r="H723" s="38">
        <v>0</v>
      </c>
      <c r="I723" s="37"/>
      <c r="J723" s="37"/>
      <c r="K723" s="38">
        <f t="shared" si="11"/>
        <v>12661.64</v>
      </c>
      <c r="L723" s="38"/>
    </row>
    <row r="724" spans="1:12" ht="14.5" x14ac:dyDescent="0.35">
      <c r="A724" s="45" t="s">
        <v>3588</v>
      </c>
      <c r="C724" s="36">
        <v>45900</v>
      </c>
      <c r="D724" s="36" t="s">
        <v>301</v>
      </c>
      <c r="E724" s="37" t="s">
        <v>3329</v>
      </c>
      <c r="F724" s="37" t="s">
        <v>4026</v>
      </c>
      <c r="G724" s="38">
        <v>7174.3900000000031</v>
      </c>
      <c r="H724" s="38">
        <v>0</v>
      </c>
      <c r="I724" s="37"/>
      <c r="J724" s="37"/>
      <c r="K724" s="38">
        <f t="shared" si="11"/>
        <v>7174.3900000000031</v>
      </c>
      <c r="L724" s="38"/>
    </row>
    <row r="725" spans="1:12" ht="14.5" x14ac:dyDescent="0.35">
      <c r="A725" s="45" t="s">
        <v>3588</v>
      </c>
      <c r="C725" s="36">
        <v>45900</v>
      </c>
      <c r="D725" s="36" t="s">
        <v>301</v>
      </c>
      <c r="E725" s="37" t="s">
        <v>3330</v>
      </c>
      <c r="F725" s="37" t="s">
        <v>4026</v>
      </c>
      <c r="G725" s="38">
        <v>4597.2600000000011</v>
      </c>
      <c r="H725" s="38">
        <v>0</v>
      </c>
      <c r="I725" s="37"/>
      <c r="J725" s="37"/>
      <c r="K725" s="38">
        <f t="shared" si="11"/>
        <v>4597.2600000000011</v>
      </c>
      <c r="L725" s="38"/>
    </row>
    <row r="726" spans="1:12" ht="14.5" x14ac:dyDescent="0.35">
      <c r="A726" s="45" t="s">
        <v>3588</v>
      </c>
      <c r="C726" s="36">
        <v>45900</v>
      </c>
      <c r="D726" s="36" t="s">
        <v>301</v>
      </c>
      <c r="E726" s="37">
        <v>33967</v>
      </c>
      <c r="F726" s="37" t="s">
        <v>4026</v>
      </c>
      <c r="G726" s="38">
        <v>792.56999999999994</v>
      </c>
      <c r="H726" s="38">
        <v>0</v>
      </c>
      <c r="I726" s="37"/>
      <c r="J726" s="37"/>
      <c r="K726" s="38">
        <f t="shared" si="11"/>
        <v>792.56999999999994</v>
      </c>
      <c r="L726" s="38"/>
    </row>
    <row r="727" spans="1:12" ht="14.5" x14ac:dyDescent="0.35">
      <c r="A727" s="45" t="s">
        <v>3588</v>
      </c>
      <c r="C727" s="36">
        <v>45900</v>
      </c>
      <c r="D727" s="36" t="s">
        <v>301</v>
      </c>
      <c r="E727" s="37">
        <v>33968</v>
      </c>
      <c r="F727" s="37" t="s">
        <v>4026</v>
      </c>
      <c r="G727" s="38">
        <v>22.13</v>
      </c>
      <c r="H727" s="38">
        <v>0</v>
      </c>
      <c r="I727" s="37"/>
      <c r="J727" s="37"/>
      <c r="K727" s="38">
        <f t="shared" si="11"/>
        <v>22.13</v>
      </c>
      <c r="L727" s="38"/>
    </row>
    <row r="728" spans="1:12" ht="14.5" x14ac:dyDescent="0.35">
      <c r="A728" s="45" t="s">
        <v>3588</v>
      </c>
      <c r="C728" s="36">
        <v>45900</v>
      </c>
      <c r="D728" s="36" t="s">
        <v>2033</v>
      </c>
      <c r="E728" s="37" t="s">
        <v>3331</v>
      </c>
      <c r="F728" s="37" t="s">
        <v>4026</v>
      </c>
      <c r="G728" s="38">
        <v>5364</v>
      </c>
      <c r="H728" s="38">
        <v>0</v>
      </c>
      <c r="I728" s="37"/>
      <c r="J728" s="37"/>
      <c r="K728" s="38">
        <f t="shared" si="11"/>
        <v>5364</v>
      </c>
      <c r="L728" s="38"/>
    </row>
    <row r="729" spans="1:12" ht="14.5" x14ac:dyDescent="0.35">
      <c r="A729" s="45" t="s">
        <v>3588</v>
      </c>
      <c r="C729" s="36">
        <v>45900</v>
      </c>
      <c r="D729" s="36" t="s">
        <v>2033</v>
      </c>
      <c r="E729" s="37" t="s">
        <v>3332</v>
      </c>
      <c r="F729" s="37" t="s">
        <v>4026</v>
      </c>
      <c r="G729" s="38">
        <v>868</v>
      </c>
      <c r="H729" s="38">
        <v>0</v>
      </c>
      <c r="I729" s="37"/>
      <c r="J729" s="37"/>
      <c r="K729" s="38">
        <f t="shared" si="11"/>
        <v>868</v>
      </c>
      <c r="L729" s="38"/>
    </row>
    <row r="730" spans="1:12" ht="14.5" x14ac:dyDescent="0.35">
      <c r="A730" s="45" t="s">
        <v>3588</v>
      </c>
      <c r="C730" s="36">
        <v>45900</v>
      </c>
      <c r="D730" s="36" t="s">
        <v>2033</v>
      </c>
      <c r="E730" s="37" t="s">
        <v>3333</v>
      </c>
      <c r="F730" s="37" t="s">
        <v>4026</v>
      </c>
      <c r="G730" s="38">
        <v>11670.6</v>
      </c>
      <c r="H730" s="38">
        <v>0</v>
      </c>
      <c r="I730" s="37"/>
      <c r="J730" s="37"/>
      <c r="K730" s="38">
        <f t="shared" si="11"/>
        <v>11670.6</v>
      </c>
      <c r="L730" s="38"/>
    </row>
    <row r="731" spans="1:12" ht="14.5" x14ac:dyDescent="0.35">
      <c r="A731" s="45" t="s">
        <v>3588</v>
      </c>
      <c r="C731" s="36">
        <v>45900</v>
      </c>
      <c r="D731" s="36" t="s">
        <v>301</v>
      </c>
      <c r="E731" s="37">
        <v>33999</v>
      </c>
      <c r="F731" s="37" t="s">
        <v>4026</v>
      </c>
      <c r="G731" s="38">
        <v>1279.9999999999989</v>
      </c>
      <c r="H731" s="38">
        <v>0</v>
      </c>
      <c r="I731" s="37"/>
      <c r="J731" s="37"/>
      <c r="K731" s="38">
        <f t="shared" si="11"/>
        <v>1279.9999999999989</v>
      </c>
      <c r="L731" s="38"/>
    </row>
    <row r="732" spans="1:12" ht="14.5" x14ac:dyDescent="0.35">
      <c r="A732" s="45" t="s">
        <v>3588</v>
      </c>
      <c r="C732" s="36">
        <v>45900</v>
      </c>
      <c r="D732" s="36" t="s">
        <v>2033</v>
      </c>
      <c r="E732" s="37" t="s">
        <v>3334</v>
      </c>
      <c r="F732" s="37" t="s">
        <v>4026</v>
      </c>
      <c r="G732" s="38">
        <v>9922.7999999999993</v>
      </c>
      <c r="H732" s="38">
        <v>0</v>
      </c>
      <c r="I732" s="37"/>
      <c r="J732" s="37"/>
      <c r="K732" s="38">
        <f t="shared" si="11"/>
        <v>9922.7999999999993</v>
      </c>
      <c r="L732" s="38"/>
    </row>
    <row r="733" spans="1:12" ht="14.5" x14ac:dyDescent="0.35">
      <c r="A733" s="45" t="s">
        <v>3588</v>
      </c>
      <c r="C733" s="36">
        <v>45900</v>
      </c>
      <c r="D733" s="36" t="s">
        <v>2033</v>
      </c>
      <c r="E733" s="37" t="s">
        <v>3335</v>
      </c>
      <c r="F733" s="37" t="s">
        <v>4026</v>
      </c>
      <c r="G733" s="38">
        <v>2154.83</v>
      </c>
      <c r="H733" s="38">
        <v>0</v>
      </c>
      <c r="I733" s="37"/>
      <c r="J733" s="37"/>
      <c r="K733" s="38">
        <f t="shared" si="11"/>
        <v>2154.83</v>
      </c>
      <c r="L733" s="38"/>
    </row>
    <row r="734" spans="1:12" ht="14.5" x14ac:dyDescent="0.35">
      <c r="A734" s="45" t="s">
        <v>3588</v>
      </c>
      <c r="C734" s="36">
        <v>45900</v>
      </c>
      <c r="D734" s="36" t="s">
        <v>301</v>
      </c>
      <c r="E734" s="37">
        <v>34128</v>
      </c>
      <c r="F734" s="37" t="s">
        <v>4026</v>
      </c>
      <c r="G734" s="38">
        <v>70.97</v>
      </c>
      <c r="H734" s="38">
        <v>0</v>
      </c>
      <c r="I734" s="37"/>
      <c r="J734" s="37"/>
      <c r="K734" s="38">
        <f t="shared" si="11"/>
        <v>70.97</v>
      </c>
      <c r="L734" s="38"/>
    </row>
    <row r="735" spans="1:12" ht="14.5" x14ac:dyDescent="0.35">
      <c r="A735" s="45" t="s">
        <v>3588</v>
      </c>
      <c r="C735" s="36">
        <v>45900</v>
      </c>
      <c r="D735" s="36" t="s">
        <v>2467</v>
      </c>
      <c r="E735" s="37" t="s">
        <v>3336</v>
      </c>
      <c r="F735" s="37" t="s">
        <v>4026</v>
      </c>
      <c r="G735" s="38">
        <v>4652.369999999999</v>
      </c>
      <c r="H735" s="38">
        <v>0</v>
      </c>
      <c r="I735" s="37"/>
      <c r="J735" s="37"/>
      <c r="K735" s="38">
        <f t="shared" si="11"/>
        <v>4652.369999999999</v>
      </c>
      <c r="L735" s="38"/>
    </row>
    <row r="736" spans="1:12" ht="14.5" x14ac:dyDescent="0.35">
      <c r="A736" s="45" t="s">
        <v>3588</v>
      </c>
      <c r="C736" s="36">
        <v>45900</v>
      </c>
      <c r="D736" s="36" t="s">
        <v>1724</v>
      </c>
      <c r="E736" s="37" t="s">
        <v>3337</v>
      </c>
      <c r="F736" s="37" t="s">
        <v>4026</v>
      </c>
      <c r="G736" s="38">
        <v>15892.35</v>
      </c>
      <c r="H736" s="38">
        <v>0</v>
      </c>
      <c r="I736" s="37"/>
      <c r="J736" s="37"/>
      <c r="K736" s="38">
        <f t="shared" si="11"/>
        <v>15892.35</v>
      </c>
      <c r="L736" s="38"/>
    </row>
    <row r="737" spans="1:12" ht="14.5" x14ac:dyDescent="0.35">
      <c r="A737" s="45" t="s">
        <v>3588</v>
      </c>
      <c r="C737" s="36">
        <v>45900</v>
      </c>
      <c r="D737" s="36" t="s">
        <v>1782</v>
      </c>
      <c r="E737" s="37" t="s">
        <v>3338</v>
      </c>
      <c r="F737" s="37" t="s">
        <v>4026</v>
      </c>
      <c r="G737" s="38">
        <v>6130.1</v>
      </c>
      <c r="H737" s="38">
        <v>0</v>
      </c>
      <c r="I737" s="37"/>
      <c r="J737" s="37"/>
      <c r="K737" s="38">
        <f t="shared" si="11"/>
        <v>6130.1</v>
      </c>
      <c r="L737" s="38"/>
    </row>
    <row r="738" spans="1:12" ht="14.5" x14ac:dyDescent="0.35">
      <c r="A738" s="45" t="s">
        <v>3588</v>
      </c>
      <c r="C738" s="36">
        <v>45900</v>
      </c>
      <c r="D738" s="36" t="s">
        <v>301</v>
      </c>
      <c r="E738" s="37">
        <v>34529</v>
      </c>
      <c r="F738" s="37" t="s">
        <v>4026</v>
      </c>
      <c r="G738" s="38">
        <v>116.5</v>
      </c>
      <c r="H738" s="38">
        <v>0</v>
      </c>
      <c r="I738" s="37"/>
      <c r="J738" s="37"/>
      <c r="K738" s="38">
        <f t="shared" si="11"/>
        <v>116.5</v>
      </c>
      <c r="L738" s="38"/>
    </row>
    <row r="739" spans="1:12" ht="14.5" x14ac:dyDescent="0.35">
      <c r="A739" s="45" t="s">
        <v>3588</v>
      </c>
      <c r="C739" s="36">
        <v>45900</v>
      </c>
      <c r="D739" s="36" t="s">
        <v>301</v>
      </c>
      <c r="E739" s="37">
        <v>34753</v>
      </c>
      <c r="F739" s="37" t="s">
        <v>4026</v>
      </c>
      <c r="G739" s="38">
        <v>1250</v>
      </c>
      <c r="H739" s="38">
        <v>0</v>
      </c>
      <c r="I739" s="37"/>
      <c r="J739" s="37"/>
      <c r="K739" s="38">
        <f t="shared" si="11"/>
        <v>1250</v>
      </c>
      <c r="L739" s="38"/>
    </row>
    <row r="740" spans="1:12" ht="14.5" x14ac:dyDescent="0.35">
      <c r="A740" s="45" t="s">
        <v>3588</v>
      </c>
      <c r="C740" s="36">
        <v>45900</v>
      </c>
      <c r="D740" s="36" t="s">
        <v>965</v>
      </c>
      <c r="E740" s="37" t="s">
        <v>3339</v>
      </c>
      <c r="F740" s="37" t="s">
        <v>4026</v>
      </c>
      <c r="G740" s="38">
        <v>5738.63</v>
      </c>
      <c r="H740" s="38">
        <v>0</v>
      </c>
      <c r="I740" s="37"/>
      <c r="J740" s="37"/>
      <c r="K740" s="38">
        <f t="shared" si="11"/>
        <v>5738.63</v>
      </c>
      <c r="L740" s="38"/>
    </row>
    <row r="741" spans="1:12" ht="14.5" x14ac:dyDescent="0.35">
      <c r="A741" s="45" t="s">
        <v>3588</v>
      </c>
      <c r="C741" s="36">
        <v>45900</v>
      </c>
      <c r="D741" s="36" t="s">
        <v>301</v>
      </c>
      <c r="E741" s="37" t="s">
        <v>3340</v>
      </c>
      <c r="F741" s="37" t="s">
        <v>4026</v>
      </c>
      <c r="G741" s="38">
        <v>257.38</v>
      </c>
      <c r="H741" s="38">
        <v>0</v>
      </c>
      <c r="I741" s="37"/>
      <c r="J741" s="37"/>
      <c r="K741" s="38">
        <f t="shared" si="11"/>
        <v>257.38</v>
      </c>
      <c r="L741" s="38"/>
    </row>
    <row r="742" spans="1:12" ht="14.5" x14ac:dyDescent="0.35">
      <c r="A742" s="45" t="s">
        <v>3588</v>
      </c>
      <c r="C742" s="36">
        <v>45900</v>
      </c>
      <c r="D742" s="36" t="s">
        <v>301</v>
      </c>
      <c r="E742" s="37">
        <v>34768</v>
      </c>
      <c r="F742" s="37" t="s">
        <v>4026</v>
      </c>
      <c r="G742" s="38">
        <v>0</v>
      </c>
      <c r="H742" s="38">
        <v>0</v>
      </c>
      <c r="I742" s="37"/>
      <c r="J742" s="37"/>
      <c r="K742" s="38">
        <f t="shared" si="11"/>
        <v>0</v>
      </c>
      <c r="L742" s="38"/>
    </row>
    <row r="743" spans="1:12" ht="14.5" x14ac:dyDescent="0.35">
      <c r="A743" s="45" t="s">
        <v>3588</v>
      </c>
      <c r="C743" s="36">
        <v>45900</v>
      </c>
      <c r="D743" s="36" t="s">
        <v>301</v>
      </c>
      <c r="E743" s="37">
        <v>34769</v>
      </c>
      <c r="F743" s="37" t="s">
        <v>4026</v>
      </c>
      <c r="G743" s="38">
        <v>0</v>
      </c>
      <c r="H743" s="38">
        <v>0</v>
      </c>
      <c r="I743" s="37"/>
      <c r="J743" s="37"/>
      <c r="K743" s="38">
        <f t="shared" si="11"/>
        <v>0</v>
      </c>
      <c r="L743" s="38"/>
    </row>
    <row r="744" spans="1:12" ht="14.5" x14ac:dyDescent="0.35">
      <c r="A744" s="45" t="s">
        <v>3588</v>
      </c>
      <c r="C744" s="36">
        <v>45900</v>
      </c>
      <c r="D744" s="36" t="s">
        <v>1932</v>
      </c>
      <c r="E744" s="37" t="s">
        <v>3341</v>
      </c>
      <c r="F744" s="37" t="s">
        <v>4026</v>
      </c>
      <c r="G744" s="38">
        <v>269.66000000000003</v>
      </c>
      <c r="H744" s="38">
        <v>0</v>
      </c>
      <c r="I744" s="37"/>
      <c r="J744" s="37"/>
      <c r="K744" s="38">
        <f t="shared" si="11"/>
        <v>269.66000000000003</v>
      </c>
      <c r="L744" s="38"/>
    </row>
    <row r="745" spans="1:12" ht="14.5" x14ac:dyDescent="0.35">
      <c r="A745" s="45" t="s">
        <v>3588</v>
      </c>
      <c r="C745" s="36">
        <v>45900</v>
      </c>
      <c r="D745" s="36" t="s">
        <v>301</v>
      </c>
      <c r="E745" s="37" t="s">
        <v>3342</v>
      </c>
      <c r="F745" s="37" t="s">
        <v>4026</v>
      </c>
      <c r="G745" s="38">
        <v>817.1</v>
      </c>
      <c r="H745" s="38">
        <v>0</v>
      </c>
      <c r="I745" s="37"/>
      <c r="J745" s="37"/>
      <c r="K745" s="38">
        <f t="shared" si="11"/>
        <v>817.1</v>
      </c>
      <c r="L745" s="38"/>
    </row>
    <row r="746" spans="1:12" ht="14.5" x14ac:dyDescent="0.35">
      <c r="A746" s="45" t="s">
        <v>3588</v>
      </c>
      <c r="C746" s="36">
        <v>45900</v>
      </c>
      <c r="D746" s="36" t="s">
        <v>3144</v>
      </c>
      <c r="E746" s="37" t="s">
        <v>3343</v>
      </c>
      <c r="F746" s="37" t="s">
        <v>4026</v>
      </c>
      <c r="G746" s="38">
        <v>4377.47</v>
      </c>
      <c r="H746" s="38">
        <v>0</v>
      </c>
      <c r="I746" s="37"/>
      <c r="J746" s="37"/>
      <c r="K746" s="38">
        <f t="shared" si="11"/>
        <v>4377.47</v>
      </c>
      <c r="L746" s="38"/>
    </row>
    <row r="747" spans="1:12" ht="14.5" x14ac:dyDescent="0.35">
      <c r="A747" s="45" t="s">
        <v>3588</v>
      </c>
      <c r="C747" s="36">
        <v>45900</v>
      </c>
      <c r="D747" s="36" t="s">
        <v>3144</v>
      </c>
      <c r="E747" s="37" t="s">
        <v>3344</v>
      </c>
      <c r="F747" s="37" t="s">
        <v>4026</v>
      </c>
      <c r="G747" s="38">
        <v>18272.8</v>
      </c>
      <c r="H747" s="38">
        <v>0</v>
      </c>
      <c r="I747" s="37"/>
      <c r="J747" s="37"/>
      <c r="K747" s="38">
        <f t="shared" si="11"/>
        <v>18272.8</v>
      </c>
      <c r="L747" s="38"/>
    </row>
    <row r="748" spans="1:12" ht="14.5" x14ac:dyDescent="0.35">
      <c r="A748" s="45" t="s">
        <v>3588</v>
      </c>
      <c r="C748" s="36">
        <v>45900</v>
      </c>
      <c r="D748" s="36" t="s">
        <v>2079</v>
      </c>
      <c r="E748" s="37" t="s">
        <v>3345</v>
      </c>
      <c r="F748" s="37" t="s">
        <v>4026</v>
      </c>
      <c r="G748" s="38">
        <v>727.48</v>
      </c>
      <c r="H748" s="38">
        <v>0</v>
      </c>
      <c r="I748" s="37"/>
      <c r="J748" s="37"/>
      <c r="K748" s="38">
        <f t="shared" si="11"/>
        <v>727.48</v>
      </c>
      <c r="L748" s="38"/>
    </row>
    <row r="749" spans="1:12" ht="14.5" x14ac:dyDescent="0.35">
      <c r="A749" s="45" t="s">
        <v>3588</v>
      </c>
      <c r="C749" s="36">
        <v>45900</v>
      </c>
      <c r="D749" s="36" t="s">
        <v>301</v>
      </c>
      <c r="E749" s="37" t="s">
        <v>3346</v>
      </c>
      <c r="F749" s="37" t="s">
        <v>4026</v>
      </c>
      <c r="G749" s="38">
        <v>100.91</v>
      </c>
      <c r="H749" s="38">
        <v>0</v>
      </c>
      <c r="I749" s="37"/>
      <c r="J749" s="37"/>
      <c r="K749" s="38">
        <f t="shared" si="11"/>
        <v>100.91</v>
      </c>
      <c r="L749" s="38"/>
    </row>
    <row r="750" spans="1:12" ht="14.5" x14ac:dyDescent="0.35">
      <c r="A750" s="45" t="s">
        <v>3588</v>
      </c>
      <c r="C750" s="36">
        <v>45900</v>
      </c>
      <c r="D750" s="36" t="s">
        <v>301</v>
      </c>
      <c r="E750" s="37" t="s">
        <v>3347</v>
      </c>
      <c r="F750" s="37" t="s">
        <v>4026</v>
      </c>
      <c r="G750" s="38">
        <v>780.53</v>
      </c>
      <c r="H750" s="38">
        <v>0</v>
      </c>
      <c r="I750" s="37"/>
      <c r="J750" s="37"/>
      <c r="K750" s="38">
        <f t="shared" si="11"/>
        <v>780.53</v>
      </c>
      <c r="L750" s="38"/>
    </row>
    <row r="751" spans="1:12" ht="14.5" x14ac:dyDescent="0.35">
      <c r="A751" s="45" t="s">
        <v>3588</v>
      </c>
      <c r="C751" s="36">
        <v>45900</v>
      </c>
      <c r="D751" s="36" t="s">
        <v>301</v>
      </c>
      <c r="E751" s="37" t="s">
        <v>3348</v>
      </c>
      <c r="F751" s="37" t="s">
        <v>4026</v>
      </c>
      <c r="G751" s="38">
        <v>1291.07</v>
      </c>
      <c r="H751" s="38">
        <v>0</v>
      </c>
      <c r="I751" s="37"/>
      <c r="J751" s="37"/>
      <c r="K751" s="38">
        <f t="shared" si="11"/>
        <v>1291.07</v>
      </c>
      <c r="L751" s="38"/>
    </row>
    <row r="752" spans="1:12" ht="14.5" x14ac:dyDescent="0.35">
      <c r="A752" s="45" t="s">
        <v>3588</v>
      </c>
      <c r="C752" s="36">
        <v>45900</v>
      </c>
      <c r="D752" s="36" t="s">
        <v>301</v>
      </c>
      <c r="E752" s="37" t="s">
        <v>3349</v>
      </c>
      <c r="F752" s="37" t="s">
        <v>4026</v>
      </c>
      <c r="G752" s="38">
        <v>5385.47</v>
      </c>
      <c r="H752" s="38">
        <v>0</v>
      </c>
      <c r="I752" s="37"/>
      <c r="J752" s="37"/>
      <c r="K752" s="38">
        <f t="shared" si="11"/>
        <v>5385.47</v>
      </c>
      <c r="L752" s="38"/>
    </row>
    <row r="753" spans="1:12" ht="14.5" x14ac:dyDescent="0.35">
      <c r="A753" s="45" t="s">
        <v>3588</v>
      </c>
      <c r="C753" s="36">
        <v>45900</v>
      </c>
      <c r="D753" s="36" t="s">
        <v>301</v>
      </c>
      <c r="E753" s="37" t="s">
        <v>3350</v>
      </c>
      <c r="F753" s="37" t="s">
        <v>4026</v>
      </c>
      <c r="G753" s="38">
        <v>1750.0599999999995</v>
      </c>
      <c r="H753" s="38">
        <v>0</v>
      </c>
      <c r="I753" s="37"/>
      <c r="J753" s="37"/>
      <c r="K753" s="38">
        <f t="shared" si="11"/>
        <v>1750.0599999999995</v>
      </c>
      <c r="L753" s="38"/>
    </row>
    <row r="754" spans="1:12" ht="14.5" x14ac:dyDescent="0.35">
      <c r="A754" s="45" t="s">
        <v>3588</v>
      </c>
      <c r="C754" s="36">
        <v>45900</v>
      </c>
      <c r="D754" s="36" t="s">
        <v>301</v>
      </c>
      <c r="E754" s="37" t="s">
        <v>3351</v>
      </c>
      <c r="F754" s="37" t="s">
        <v>4026</v>
      </c>
      <c r="G754" s="38">
        <v>23.63</v>
      </c>
      <c r="H754" s="38">
        <v>0</v>
      </c>
      <c r="I754" s="37"/>
      <c r="J754" s="37"/>
      <c r="K754" s="38">
        <f t="shared" si="11"/>
        <v>23.63</v>
      </c>
      <c r="L754" s="38"/>
    </row>
    <row r="755" spans="1:12" ht="14.5" x14ac:dyDescent="0.35">
      <c r="A755" s="45" t="s">
        <v>3588</v>
      </c>
      <c r="C755" s="36">
        <v>45900</v>
      </c>
      <c r="D755" s="36" t="s">
        <v>301</v>
      </c>
      <c r="E755" s="37" t="s">
        <v>3352</v>
      </c>
      <c r="F755" s="37" t="s">
        <v>4026</v>
      </c>
      <c r="G755" s="38">
        <v>114.9</v>
      </c>
      <c r="H755" s="38">
        <v>0</v>
      </c>
      <c r="I755" s="37"/>
      <c r="J755" s="37"/>
      <c r="K755" s="38">
        <f t="shared" si="11"/>
        <v>114.9</v>
      </c>
      <c r="L755" s="38"/>
    </row>
    <row r="756" spans="1:12" ht="14.5" x14ac:dyDescent="0.35">
      <c r="A756" s="45" t="s">
        <v>3588</v>
      </c>
      <c r="C756" s="36">
        <v>45900</v>
      </c>
      <c r="D756" s="36" t="s">
        <v>3476</v>
      </c>
      <c r="E756" s="37" t="s">
        <v>3353</v>
      </c>
      <c r="F756" s="37" t="s">
        <v>4026</v>
      </c>
      <c r="G756" s="38">
        <v>1317.7800000000002</v>
      </c>
      <c r="H756" s="38">
        <v>0</v>
      </c>
      <c r="I756" s="37"/>
      <c r="J756" s="37"/>
      <c r="K756" s="38">
        <f t="shared" si="11"/>
        <v>1317.7800000000002</v>
      </c>
      <c r="L756" s="38"/>
    </row>
    <row r="757" spans="1:12" ht="14.5" x14ac:dyDescent="0.35">
      <c r="A757" s="45" t="s">
        <v>3588</v>
      </c>
      <c r="C757" s="36">
        <v>45900</v>
      </c>
      <c r="D757" s="36" t="s">
        <v>2467</v>
      </c>
      <c r="E757" s="37" t="s">
        <v>3354</v>
      </c>
      <c r="F757" s="37" t="s">
        <v>4026</v>
      </c>
      <c r="G757" s="38">
        <v>1775.18</v>
      </c>
      <c r="H757" s="38">
        <v>0</v>
      </c>
      <c r="I757" s="37"/>
      <c r="J757" s="37"/>
      <c r="K757" s="38">
        <f t="shared" si="11"/>
        <v>1775.18</v>
      </c>
      <c r="L757" s="38"/>
    </row>
    <row r="758" spans="1:12" ht="14.5" x14ac:dyDescent="0.35">
      <c r="A758" s="45" t="s">
        <v>3588</v>
      </c>
      <c r="C758" s="36">
        <v>45900</v>
      </c>
      <c r="D758" s="36" t="s">
        <v>3509</v>
      </c>
      <c r="E758" s="37">
        <v>35410</v>
      </c>
      <c r="F758" s="37" t="s">
        <v>4026</v>
      </c>
      <c r="G758" s="38">
        <v>5677.2799999999988</v>
      </c>
      <c r="H758" s="38">
        <v>0</v>
      </c>
      <c r="I758" s="37"/>
      <c r="J758" s="37"/>
      <c r="K758" s="38">
        <f t="shared" si="11"/>
        <v>5677.2799999999988</v>
      </c>
      <c r="L758" s="38"/>
    </row>
    <row r="759" spans="1:12" ht="14.5" x14ac:dyDescent="0.35">
      <c r="A759" s="45" t="s">
        <v>3588</v>
      </c>
      <c r="C759" s="36">
        <v>45900</v>
      </c>
      <c r="D759" s="36" t="s">
        <v>3509</v>
      </c>
      <c r="E759" s="37">
        <v>35411</v>
      </c>
      <c r="F759" s="37" t="s">
        <v>4026</v>
      </c>
      <c r="G759" s="38">
        <v>60.63</v>
      </c>
      <c r="H759" s="38">
        <v>0</v>
      </c>
      <c r="I759" s="37"/>
      <c r="J759" s="37"/>
      <c r="K759" s="38">
        <f t="shared" si="11"/>
        <v>60.63</v>
      </c>
      <c r="L759" s="38"/>
    </row>
    <row r="760" spans="1:12" ht="14.5" x14ac:dyDescent="0.35">
      <c r="A760" s="45" t="s">
        <v>3588</v>
      </c>
      <c r="C760" s="36">
        <v>45900</v>
      </c>
      <c r="D760" s="36" t="s">
        <v>3509</v>
      </c>
      <c r="E760" s="37" t="s">
        <v>3355</v>
      </c>
      <c r="F760" s="37" t="s">
        <v>4026</v>
      </c>
      <c r="G760" s="38">
        <v>3405.93</v>
      </c>
      <c r="H760" s="38">
        <v>0</v>
      </c>
      <c r="I760" s="37"/>
      <c r="J760" s="37"/>
      <c r="K760" s="38">
        <f t="shared" si="11"/>
        <v>3405.93</v>
      </c>
      <c r="L760" s="38"/>
    </row>
    <row r="761" spans="1:12" ht="14.5" x14ac:dyDescent="0.35">
      <c r="A761" s="45" t="s">
        <v>3588</v>
      </c>
      <c r="C761" s="36">
        <v>45900</v>
      </c>
      <c r="D761" s="36" t="s">
        <v>3509</v>
      </c>
      <c r="E761" s="37">
        <v>35413</v>
      </c>
      <c r="F761" s="37" t="s">
        <v>4026</v>
      </c>
      <c r="G761" s="38">
        <v>1915.76</v>
      </c>
      <c r="H761" s="38">
        <v>0</v>
      </c>
      <c r="I761" s="37"/>
      <c r="J761" s="37"/>
      <c r="K761" s="38">
        <f t="shared" si="11"/>
        <v>1915.76</v>
      </c>
      <c r="L761" s="38"/>
    </row>
    <row r="762" spans="1:12" ht="14.5" x14ac:dyDescent="0.35">
      <c r="A762" s="45" t="s">
        <v>3588</v>
      </c>
      <c r="C762" s="36">
        <v>45900</v>
      </c>
      <c r="D762" s="36" t="s">
        <v>3509</v>
      </c>
      <c r="E762" s="37">
        <v>35414</v>
      </c>
      <c r="F762" s="37" t="s">
        <v>4026</v>
      </c>
      <c r="G762" s="38">
        <v>1471.2</v>
      </c>
      <c r="H762" s="38">
        <v>0</v>
      </c>
      <c r="I762" s="37"/>
      <c r="J762" s="37"/>
      <c r="K762" s="38">
        <f t="shared" si="11"/>
        <v>1471.2</v>
      </c>
      <c r="L762" s="38"/>
    </row>
    <row r="763" spans="1:12" ht="14.5" x14ac:dyDescent="0.35">
      <c r="A763" s="45" t="s">
        <v>3588</v>
      </c>
      <c r="C763" s="36">
        <v>45900</v>
      </c>
      <c r="D763" s="36" t="s">
        <v>3509</v>
      </c>
      <c r="E763" s="37">
        <v>35415</v>
      </c>
      <c r="F763" s="37" t="s">
        <v>4026</v>
      </c>
      <c r="G763" s="38">
        <v>4181.0399999999991</v>
      </c>
      <c r="H763" s="38">
        <v>0</v>
      </c>
      <c r="I763" s="37"/>
      <c r="J763" s="37"/>
      <c r="K763" s="38">
        <f t="shared" si="11"/>
        <v>4181.0399999999991</v>
      </c>
      <c r="L763" s="38"/>
    </row>
    <row r="764" spans="1:12" ht="14.5" x14ac:dyDescent="0.35">
      <c r="A764" s="45" t="s">
        <v>3588</v>
      </c>
      <c r="C764" s="36">
        <v>45900</v>
      </c>
      <c r="D764" s="36" t="s">
        <v>3509</v>
      </c>
      <c r="E764" s="37">
        <v>35416</v>
      </c>
      <c r="F764" s="37" t="s">
        <v>4026</v>
      </c>
      <c r="G764" s="38">
        <v>382.61</v>
      </c>
      <c r="H764" s="38">
        <v>0</v>
      </c>
      <c r="I764" s="37"/>
      <c r="J764" s="37"/>
      <c r="K764" s="38">
        <f t="shared" si="11"/>
        <v>382.61</v>
      </c>
      <c r="L764" s="38"/>
    </row>
    <row r="765" spans="1:12" ht="14.5" x14ac:dyDescent="0.35">
      <c r="A765" s="45" t="s">
        <v>3588</v>
      </c>
      <c r="C765" s="36">
        <v>45900</v>
      </c>
      <c r="D765" s="36" t="s">
        <v>3509</v>
      </c>
      <c r="E765" s="37">
        <v>35417</v>
      </c>
      <c r="F765" s="37" t="s">
        <v>4026</v>
      </c>
      <c r="G765" s="38">
        <v>1105</v>
      </c>
      <c r="H765" s="38">
        <v>0</v>
      </c>
      <c r="I765" s="37"/>
      <c r="J765" s="37"/>
      <c r="K765" s="38">
        <f t="shared" si="11"/>
        <v>1105</v>
      </c>
      <c r="L765" s="38"/>
    </row>
    <row r="766" spans="1:12" ht="14.5" x14ac:dyDescent="0.35">
      <c r="A766" s="45" t="s">
        <v>3588</v>
      </c>
      <c r="C766" s="36">
        <v>45900</v>
      </c>
      <c r="D766" s="36" t="s">
        <v>3509</v>
      </c>
      <c r="E766" s="37">
        <v>35418</v>
      </c>
      <c r="F766" s="37" t="s">
        <v>4026</v>
      </c>
      <c r="G766" s="38">
        <v>3128.9500000000003</v>
      </c>
      <c r="H766" s="38">
        <v>0</v>
      </c>
      <c r="I766" s="37"/>
      <c r="J766" s="37"/>
      <c r="K766" s="38">
        <f t="shared" si="11"/>
        <v>3128.9500000000003</v>
      </c>
      <c r="L766" s="38"/>
    </row>
    <row r="767" spans="1:12" ht="14.5" x14ac:dyDescent="0.35">
      <c r="A767" s="45" t="s">
        <v>3588</v>
      </c>
      <c r="C767" s="36">
        <v>45900</v>
      </c>
      <c r="D767" s="36" t="s">
        <v>3509</v>
      </c>
      <c r="E767" s="37">
        <v>35419</v>
      </c>
      <c r="F767" s="37" t="s">
        <v>4026</v>
      </c>
      <c r="G767" s="38">
        <v>4516.75</v>
      </c>
      <c r="H767" s="38">
        <v>0</v>
      </c>
      <c r="I767" s="37"/>
      <c r="J767" s="37"/>
      <c r="K767" s="38">
        <f t="shared" si="11"/>
        <v>4516.75</v>
      </c>
      <c r="L767" s="38"/>
    </row>
    <row r="768" spans="1:12" ht="14.5" x14ac:dyDescent="0.35">
      <c r="A768" s="45" t="s">
        <v>3588</v>
      </c>
      <c r="C768" s="36">
        <v>45900</v>
      </c>
      <c r="D768" s="36" t="s">
        <v>3509</v>
      </c>
      <c r="E768" s="37">
        <v>35420</v>
      </c>
      <c r="F768" s="37" t="s">
        <v>4026</v>
      </c>
      <c r="G768" s="38">
        <v>1282.8000000000002</v>
      </c>
      <c r="H768" s="38">
        <v>0</v>
      </c>
      <c r="I768" s="37"/>
      <c r="J768" s="37"/>
      <c r="K768" s="38">
        <f t="shared" si="11"/>
        <v>1282.8000000000002</v>
      </c>
      <c r="L768" s="38"/>
    </row>
    <row r="769" spans="1:12" ht="14.5" x14ac:dyDescent="0.35">
      <c r="A769" s="45" t="s">
        <v>3588</v>
      </c>
      <c r="C769" s="36">
        <v>45900</v>
      </c>
      <c r="D769" s="36" t="s">
        <v>3509</v>
      </c>
      <c r="E769" s="37">
        <v>35421</v>
      </c>
      <c r="F769" s="37" t="s">
        <v>4026</v>
      </c>
      <c r="G769" s="38">
        <v>217.36</v>
      </c>
      <c r="H769" s="38">
        <v>0</v>
      </c>
      <c r="I769" s="37"/>
      <c r="J769" s="37"/>
      <c r="K769" s="38">
        <f t="shared" si="11"/>
        <v>217.36</v>
      </c>
      <c r="L769" s="38"/>
    </row>
    <row r="770" spans="1:12" ht="14.5" x14ac:dyDescent="0.35">
      <c r="A770" s="45" t="s">
        <v>3588</v>
      </c>
      <c r="C770" s="36">
        <v>45900</v>
      </c>
      <c r="D770" s="36" t="s">
        <v>3509</v>
      </c>
      <c r="E770" s="37" t="s">
        <v>3357</v>
      </c>
      <c r="F770" s="37" t="s">
        <v>4026</v>
      </c>
      <c r="G770" s="38">
        <v>108.23</v>
      </c>
      <c r="H770" s="38">
        <v>0</v>
      </c>
      <c r="I770" s="37"/>
      <c r="J770" s="37"/>
      <c r="K770" s="38">
        <f t="shared" si="11"/>
        <v>108.23</v>
      </c>
      <c r="L770" s="38"/>
    </row>
    <row r="771" spans="1:12" ht="14.5" x14ac:dyDescent="0.35">
      <c r="A771" s="45" t="s">
        <v>3588</v>
      </c>
      <c r="C771" s="36">
        <v>45900</v>
      </c>
      <c r="D771" s="36" t="s">
        <v>1757</v>
      </c>
      <c r="E771" s="37" t="s">
        <v>3358</v>
      </c>
      <c r="F771" s="37" t="s">
        <v>4026</v>
      </c>
      <c r="G771" s="38">
        <v>56925.439999999995</v>
      </c>
      <c r="H771" s="38">
        <v>0</v>
      </c>
      <c r="I771" s="37"/>
      <c r="J771" s="37"/>
      <c r="K771" s="38">
        <f t="shared" si="11"/>
        <v>56925.439999999995</v>
      </c>
      <c r="L771" s="38"/>
    </row>
    <row r="772" spans="1:12" ht="14.5" x14ac:dyDescent="0.35">
      <c r="A772" s="45" t="s">
        <v>3588</v>
      </c>
      <c r="C772" s="36">
        <v>45900</v>
      </c>
      <c r="D772" s="36" t="s">
        <v>1757</v>
      </c>
      <c r="E772" s="37">
        <v>35434</v>
      </c>
      <c r="F772" s="37" t="s">
        <v>4026</v>
      </c>
      <c r="G772" s="38">
        <v>13138.810000000001</v>
      </c>
      <c r="H772" s="38">
        <v>0</v>
      </c>
      <c r="I772" s="37"/>
      <c r="J772" s="37"/>
      <c r="K772" s="38">
        <f t="shared" si="11"/>
        <v>13138.810000000001</v>
      </c>
      <c r="L772" s="38"/>
    </row>
    <row r="773" spans="1:12" ht="14.5" x14ac:dyDescent="0.35">
      <c r="A773" s="45" t="s">
        <v>3588</v>
      </c>
      <c r="C773" s="36">
        <v>45900</v>
      </c>
      <c r="D773" s="36" t="s">
        <v>1757</v>
      </c>
      <c r="E773" s="37" t="s">
        <v>3360</v>
      </c>
      <c r="F773" s="37" t="s">
        <v>4026</v>
      </c>
      <c r="G773" s="38">
        <v>722.3900000000001</v>
      </c>
      <c r="H773" s="38">
        <v>0</v>
      </c>
      <c r="I773" s="37"/>
      <c r="J773" s="37"/>
      <c r="K773" s="38">
        <f t="shared" ref="K773:K836" si="12">G773-H773</f>
        <v>722.3900000000001</v>
      </c>
      <c r="L773" s="38"/>
    </row>
    <row r="774" spans="1:12" ht="14.5" x14ac:dyDescent="0.35">
      <c r="A774" s="45" t="s">
        <v>3588</v>
      </c>
      <c r="C774" s="36">
        <v>45900</v>
      </c>
      <c r="D774" s="36" t="s">
        <v>1757</v>
      </c>
      <c r="E774" s="37" t="s">
        <v>3361</v>
      </c>
      <c r="F774" s="37" t="s">
        <v>4026</v>
      </c>
      <c r="G774" s="38">
        <v>736.6</v>
      </c>
      <c r="H774" s="38">
        <v>0</v>
      </c>
      <c r="I774" s="37"/>
      <c r="J774" s="37"/>
      <c r="K774" s="38">
        <f t="shared" si="12"/>
        <v>736.6</v>
      </c>
      <c r="L774" s="38"/>
    </row>
    <row r="775" spans="1:12" ht="14.5" x14ac:dyDescent="0.35">
      <c r="A775" s="45" t="s">
        <v>3588</v>
      </c>
      <c r="C775" s="36">
        <v>45900</v>
      </c>
      <c r="D775" s="36" t="s">
        <v>1757</v>
      </c>
      <c r="E775" s="37" t="s">
        <v>3363</v>
      </c>
      <c r="F775" s="37" t="s">
        <v>4026</v>
      </c>
      <c r="G775" s="38">
        <v>36723.899999999994</v>
      </c>
      <c r="H775" s="38">
        <v>0</v>
      </c>
      <c r="I775" s="37"/>
      <c r="J775" s="37"/>
      <c r="K775" s="38">
        <f t="shared" si="12"/>
        <v>36723.899999999994</v>
      </c>
      <c r="L775" s="38"/>
    </row>
    <row r="776" spans="1:12" ht="14.5" x14ac:dyDescent="0.35">
      <c r="A776" s="45" t="s">
        <v>3588</v>
      </c>
      <c r="C776" s="36">
        <v>45900</v>
      </c>
      <c r="D776" s="36" t="s">
        <v>1757</v>
      </c>
      <c r="E776" s="37" t="s">
        <v>3364</v>
      </c>
      <c r="F776" s="37" t="s">
        <v>4026</v>
      </c>
      <c r="G776" s="38">
        <v>311.3</v>
      </c>
      <c r="H776" s="38">
        <v>0</v>
      </c>
      <c r="I776" s="37"/>
      <c r="J776" s="37"/>
      <c r="K776" s="38">
        <f t="shared" si="12"/>
        <v>311.3</v>
      </c>
      <c r="L776" s="38"/>
    </row>
    <row r="777" spans="1:12" ht="14.5" x14ac:dyDescent="0.35">
      <c r="A777" s="45" t="s">
        <v>3588</v>
      </c>
      <c r="C777" s="36">
        <v>45900</v>
      </c>
      <c r="D777" s="36" t="s">
        <v>1757</v>
      </c>
      <c r="E777" s="37" t="s">
        <v>3365</v>
      </c>
      <c r="F777" s="37" t="s">
        <v>4026</v>
      </c>
      <c r="G777" s="38">
        <v>1273.56</v>
      </c>
      <c r="H777" s="38">
        <v>0</v>
      </c>
      <c r="I777" s="37"/>
      <c r="J777" s="37"/>
      <c r="K777" s="38">
        <f t="shared" si="12"/>
        <v>1273.56</v>
      </c>
      <c r="L777" s="38"/>
    </row>
    <row r="778" spans="1:12" ht="14.5" x14ac:dyDescent="0.35">
      <c r="A778" s="45" t="s">
        <v>3588</v>
      </c>
      <c r="C778" s="36">
        <v>45900</v>
      </c>
      <c r="D778" s="36" t="s">
        <v>1757</v>
      </c>
      <c r="E778" s="37" t="s">
        <v>3366</v>
      </c>
      <c r="F778" s="37" t="s">
        <v>4026</v>
      </c>
      <c r="G778" s="38">
        <v>983.35</v>
      </c>
      <c r="H778" s="38">
        <v>0</v>
      </c>
      <c r="I778" s="37"/>
      <c r="J778" s="37"/>
      <c r="K778" s="38">
        <f t="shared" si="12"/>
        <v>983.35</v>
      </c>
      <c r="L778" s="38"/>
    </row>
    <row r="779" spans="1:12" ht="14.5" x14ac:dyDescent="0.35">
      <c r="A779" s="45" t="s">
        <v>3588</v>
      </c>
      <c r="C779" s="36">
        <v>45900</v>
      </c>
      <c r="D779" s="36" t="s">
        <v>1757</v>
      </c>
      <c r="E779" s="37" t="s">
        <v>3367</v>
      </c>
      <c r="F779" s="37" t="s">
        <v>4026</v>
      </c>
      <c r="G779" s="38">
        <v>107.53</v>
      </c>
      <c r="H779" s="38">
        <v>0</v>
      </c>
      <c r="I779" s="37"/>
      <c r="J779" s="37"/>
      <c r="K779" s="38">
        <f t="shared" si="12"/>
        <v>107.53</v>
      </c>
      <c r="L779" s="38"/>
    </row>
    <row r="780" spans="1:12" ht="14.5" x14ac:dyDescent="0.35">
      <c r="A780" s="45" t="s">
        <v>3588</v>
      </c>
      <c r="C780" s="36">
        <v>45900</v>
      </c>
      <c r="D780" s="36" t="s">
        <v>1757</v>
      </c>
      <c r="E780" s="37" t="s">
        <v>3368</v>
      </c>
      <c r="F780" s="37" t="s">
        <v>4026</v>
      </c>
      <c r="G780" s="38">
        <v>6808.96</v>
      </c>
      <c r="H780" s="38">
        <v>0</v>
      </c>
      <c r="I780" s="37"/>
      <c r="J780" s="37"/>
      <c r="K780" s="38">
        <f t="shared" si="12"/>
        <v>6808.96</v>
      </c>
      <c r="L780" s="38"/>
    </row>
    <row r="781" spans="1:12" ht="14.5" x14ac:dyDescent="0.35">
      <c r="A781" s="45" t="s">
        <v>3588</v>
      </c>
      <c r="C781" s="36">
        <v>45900</v>
      </c>
      <c r="D781" s="36" t="s">
        <v>3212</v>
      </c>
      <c r="E781" s="37" t="s">
        <v>3370</v>
      </c>
      <c r="F781" s="37" t="s">
        <v>4026</v>
      </c>
      <c r="G781" s="38">
        <v>6219.94</v>
      </c>
      <c r="H781" s="38">
        <v>0</v>
      </c>
      <c r="I781" s="37"/>
      <c r="J781" s="37"/>
      <c r="K781" s="38">
        <f t="shared" si="12"/>
        <v>6219.94</v>
      </c>
      <c r="L781" s="38"/>
    </row>
    <row r="782" spans="1:12" ht="14.5" x14ac:dyDescent="0.35">
      <c r="A782" s="45" t="s">
        <v>3588</v>
      </c>
      <c r="C782" s="36">
        <v>45900</v>
      </c>
      <c r="D782" s="36" t="s">
        <v>3218</v>
      </c>
      <c r="E782" s="37" t="s">
        <v>3372</v>
      </c>
      <c r="F782" s="37" t="s">
        <v>4026</v>
      </c>
      <c r="G782" s="38">
        <v>731.79</v>
      </c>
      <c r="H782" s="38">
        <v>0</v>
      </c>
      <c r="I782" s="37"/>
      <c r="J782" s="37"/>
      <c r="K782" s="38">
        <f t="shared" si="12"/>
        <v>731.79</v>
      </c>
      <c r="L782" s="38"/>
    </row>
    <row r="783" spans="1:12" ht="14.5" x14ac:dyDescent="0.35">
      <c r="A783" s="45" t="s">
        <v>3588</v>
      </c>
      <c r="C783" s="36">
        <v>45900</v>
      </c>
      <c r="D783" s="36" t="s">
        <v>3218</v>
      </c>
      <c r="E783" s="37">
        <v>35494</v>
      </c>
      <c r="F783" s="37" t="s">
        <v>4026</v>
      </c>
      <c r="G783" s="38">
        <v>43.16</v>
      </c>
      <c r="H783" s="38">
        <v>0</v>
      </c>
      <c r="I783" s="37"/>
      <c r="J783" s="37"/>
      <c r="K783" s="38">
        <f t="shared" si="12"/>
        <v>43.16</v>
      </c>
      <c r="L783" s="38"/>
    </row>
    <row r="784" spans="1:12" ht="14.5" x14ac:dyDescent="0.35">
      <c r="A784" s="45" t="s">
        <v>3588</v>
      </c>
      <c r="C784" s="36">
        <v>45900</v>
      </c>
      <c r="D784" s="36" t="s">
        <v>2514</v>
      </c>
      <c r="E784" s="37" t="s">
        <v>3373</v>
      </c>
      <c r="F784" s="37" t="s">
        <v>4026</v>
      </c>
      <c r="G784" s="38">
        <v>1707.58</v>
      </c>
      <c r="H784" s="38">
        <v>0</v>
      </c>
      <c r="I784" s="37"/>
      <c r="J784" s="37"/>
      <c r="K784" s="38">
        <f t="shared" si="12"/>
        <v>1707.58</v>
      </c>
      <c r="L784" s="38"/>
    </row>
    <row r="785" spans="1:12" ht="14.5" x14ac:dyDescent="0.35">
      <c r="A785" s="45" t="s">
        <v>3588</v>
      </c>
      <c r="C785" s="36">
        <v>45900</v>
      </c>
      <c r="D785" s="36" t="s">
        <v>2514</v>
      </c>
      <c r="E785" s="37" t="s">
        <v>3374</v>
      </c>
      <c r="F785" s="37" t="s">
        <v>4026</v>
      </c>
      <c r="G785" s="38">
        <v>1262.01</v>
      </c>
      <c r="H785" s="38">
        <v>0</v>
      </c>
      <c r="I785" s="37"/>
      <c r="J785" s="37"/>
      <c r="K785" s="38">
        <f t="shared" si="12"/>
        <v>1262.01</v>
      </c>
      <c r="L785" s="38"/>
    </row>
    <row r="786" spans="1:12" ht="14.5" x14ac:dyDescent="0.35">
      <c r="A786" s="45" t="s">
        <v>3588</v>
      </c>
      <c r="C786" s="36">
        <v>45900</v>
      </c>
      <c r="D786" s="36" t="s">
        <v>2514</v>
      </c>
      <c r="E786" s="37" t="s">
        <v>3375</v>
      </c>
      <c r="F786" s="37" t="s">
        <v>4026</v>
      </c>
      <c r="G786" s="38">
        <v>30678.319999999996</v>
      </c>
      <c r="H786" s="38">
        <v>0</v>
      </c>
      <c r="I786" s="37"/>
      <c r="J786" s="37"/>
      <c r="K786" s="38">
        <f t="shared" si="12"/>
        <v>30678.319999999996</v>
      </c>
      <c r="L786" s="38"/>
    </row>
    <row r="787" spans="1:12" ht="14.5" x14ac:dyDescent="0.35">
      <c r="A787" s="45" t="s">
        <v>3588</v>
      </c>
      <c r="C787" s="36">
        <v>45900</v>
      </c>
      <c r="D787" s="36" t="s">
        <v>2514</v>
      </c>
      <c r="E787" s="37" t="s">
        <v>3376</v>
      </c>
      <c r="F787" s="37" t="s">
        <v>4026</v>
      </c>
      <c r="G787" s="38">
        <v>26.93</v>
      </c>
      <c r="H787" s="38">
        <v>0</v>
      </c>
      <c r="I787" s="37"/>
      <c r="J787" s="37"/>
      <c r="K787" s="38">
        <f t="shared" si="12"/>
        <v>26.93</v>
      </c>
      <c r="L787" s="38"/>
    </row>
    <row r="788" spans="1:12" ht="14.5" x14ac:dyDescent="0.35">
      <c r="A788" s="45" t="s">
        <v>3588</v>
      </c>
      <c r="C788" s="36">
        <v>45900</v>
      </c>
      <c r="D788" s="36" t="s">
        <v>2514</v>
      </c>
      <c r="E788" s="37" t="s">
        <v>3377</v>
      </c>
      <c r="F788" s="37" t="s">
        <v>4026</v>
      </c>
      <c r="G788" s="38">
        <v>60.519999999999996</v>
      </c>
      <c r="H788" s="38">
        <v>0</v>
      </c>
      <c r="I788" s="37"/>
      <c r="J788" s="37"/>
      <c r="K788" s="38">
        <f t="shared" si="12"/>
        <v>60.519999999999996</v>
      </c>
      <c r="L788" s="38"/>
    </row>
    <row r="789" spans="1:12" ht="14.5" x14ac:dyDescent="0.35">
      <c r="A789" s="45" t="s">
        <v>3588</v>
      </c>
      <c r="C789" s="36">
        <v>45900</v>
      </c>
      <c r="D789" s="36" t="s">
        <v>2514</v>
      </c>
      <c r="E789" s="37" t="s">
        <v>3378</v>
      </c>
      <c r="F789" s="37" t="s">
        <v>4026</v>
      </c>
      <c r="G789" s="38">
        <v>2102.98</v>
      </c>
      <c r="H789" s="38">
        <v>0</v>
      </c>
      <c r="I789" s="37"/>
      <c r="J789" s="37"/>
      <c r="K789" s="38">
        <f t="shared" si="12"/>
        <v>2102.98</v>
      </c>
      <c r="L789" s="38"/>
    </row>
    <row r="790" spans="1:12" ht="14.5" x14ac:dyDescent="0.35">
      <c r="A790" s="45" t="s">
        <v>3588</v>
      </c>
      <c r="C790" s="36">
        <v>45900</v>
      </c>
      <c r="D790" s="36" t="s">
        <v>2514</v>
      </c>
      <c r="E790" s="37" t="s">
        <v>3379</v>
      </c>
      <c r="F790" s="37" t="s">
        <v>4026</v>
      </c>
      <c r="G790" s="38">
        <v>9475.84</v>
      </c>
      <c r="H790" s="38">
        <v>0</v>
      </c>
      <c r="I790" s="37"/>
      <c r="J790" s="37"/>
      <c r="K790" s="38">
        <f t="shared" si="12"/>
        <v>9475.84</v>
      </c>
      <c r="L790" s="38"/>
    </row>
    <row r="791" spans="1:12" ht="14.5" x14ac:dyDescent="0.35">
      <c r="A791" s="45" t="s">
        <v>3588</v>
      </c>
      <c r="C791" s="36">
        <v>45900</v>
      </c>
      <c r="D791" s="36" t="s">
        <v>2514</v>
      </c>
      <c r="E791" s="37" t="s">
        <v>3380</v>
      </c>
      <c r="F791" s="37" t="s">
        <v>4026</v>
      </c>
      <c r="G791" s="38">
        <v>194.73</v>
      </c>
      <c r="H791" s="38">
        <v>0</v>
      </c>
      <c r="I791" s="37"/>
      <c r="J791" s="37"/>
      <c r="K791" s="38">
        <f t="shared" si="12"/>
        <v>194.73</v>
      </c>
      <c r="L791" s="38"/>
    </row>
    <row r="792" spans="1:12" ht="14.5" x14ac:dyDescent="0.35">
      <c r="A792" s="45" t="s">
        <v>3588</v>
      </c>
      <c r="C792" s="36">
        <v>45900</v>
      </c>
      <c r="D792" s="36" t="s">
        <v>2514</v>
      </c>
      <c r="E792" s="37" t="s">
        <v>3381</v>
      </c>
      <c r="F792" s="37" t="s">
        <v>4026</v>
      </c>
      <c r="G792" s="38">
        <v>4614.6400000000003</v>
      </c>
      <c r="H792" s="38">
        <v>0</v>
      </c>
      <c r="I792" s="37"/>
      <c r="J792" s="37"/>
      <c r="K792" s="38">
        <f t="shared" si="12"/>
        <v>4614.6400000000003</v>
      </c>
      <c r="L792" s="38"/>
    </row>
    <row r="793" spans="1:12" ht="14.5" x14ac:dyDescent="0.35">
      <c r="A793" s="45" t="s">
        <v>3588</v>
      </c>
      <c r="C793" s="36">
        <v>45900</v>
      </c>
      <c r="D793" s="36" t="s">
        <v>2514</v>
      </c>
      <c r="E793" s="37" t="s">
        <v>3382</v>
      </c>
      <c r="F793" s="37" t="s">
        <v>4026</v>
      </c>
      <c r="G793" s="38">
        <v>401.56</v>
      </c>
      <c r="H793" s="38">
        <v>0</v>
      </c>
      <c r="I793" s="37"/>
      <c r="J793" s="37"/>
      <c r="K793" s="38">
        <f t="shared" si="12"/>
        <v>401.56</v>
      </c>
      <c r="L793" s="38"/>
    </row>
    <row r="794" spans="1:12" ht="14.5" x14ac:dyDescent="0.35">
      <c r="A794" s="45" t="s">
        <v>3588</v>
      </c>
      <c r="C794" s="36">
        <v>45900</v>
      </c>
      <c r="D794" s="36" t="s">
        <v>2514</v>
      </c>
      <c r="E794" s="37" t="s">
        <v>3383</v>
      </c>
      <c r="F794" s="37" t="s">
        <v>4026</v>
      </c>
      <c r="G794" s="38">
        <v>2133.6400000000003</v>
      </c>
      <c r="H794" s="38">
        <v>0</v>
      </c>
      <c r="I794" s="37"/>
      <c r="J794" s="37"/>
      <c r="K794" s="38">
        <f t="shared" si="12"/>
        <v>2133.6400000000003</v>
      </c>
      <c r="L794" s="38"/>
    </row>
    <row r="795" spans="1:12" ht="14.5" x14ac:dyDescent="0.35">
      <c r="A795" s="45" t="s">
        <v>3588</v>
      </c>
      <c r="C795" s="36">
        <v>45900</v>
      </c>
      <c r="D795" s="36" t="s">
        <v>1035</v>
      </c>
      <c r="E795" s="37" t="s">
        <v>3384</v>
      </c>
      <c r="F795" s="37" t="s">
        <v>4026</v>
      </c>
      <c r="G795" s="38">
        <v>1644.6699999999998</v>
      </c>
      <c r="H795" s="38">
        <v>0</v>
      </c>
      <c r="I795" s="37"/>
      <c r="J795" s="37"/>
      <c r="K795" s="38">
        <f t="shared" si="12"/>
        <v>1644.6699999999998</v>
      </c>
      <c r="L795" s="38"/>
    </row>
    <row r="796" spans="1:12" ht="14.5" x14ac:dyDescent="0.35">
      <c r="A796" s="45" t="s">
        <v>3588</v>
      </c>
      <c r="C796" s="36">
        <v>45900</v>
      </c>
      <c r="D796" s="36" t="s">
        <v>2396</v>
      </c>
      <c r="E796" s="37" t="s">
        <v>3385</v>
      </c>
      <c r="F796" s="37" t="s">
        <v>4026</v>
      </c>
      <c r="G796" s="38">
        <v>75070.289999999994</v>
      </c>
      <c r="H796" s="38">
        <v>0</v>
      </c>
      <c r="I796" s="37"/>
      <c r="J796" s="37"/>
      <c r="K796" s="38">
        <f t="shared" si="12"/>
        <v>75070.289999999994</v>
      </c>
      <c r="L796" s="38"/>
    </row>
    <row r="797" spans="1:12" ht="14.5" x14ac:dyDescent="0.35">
      <c r="A797" s="45" t="s">
        <v>3588</v>
      </c>
      <c r="C797" s="36">
        <v>45900</v>
      </c>
      <c r="D797" s="36" t="s">
        <v>1475</v>
      </c>
      <c r="E797" s="37" t="s">
        <v>3386</v>
      </c>
      <c r="F797" s="37" t="s">
        <v>4026</v>
      </c>
      <c r="G797" s="38">
        <v>35680.89</v>
      </c>
      <c r="H797" s="38">
        <v>0</v>
      </c>
      <c r="I797" s="37"/>
      <c r="J797" s="37"/>
      <c r="K797" s="38">
        <f t="shared" si="12"/>
        <v>35680.89</v>
      </c>
      <c r="L797" s="38"/>
    </row>
    <row r="798" spans="1:12" ht="14.5" x14ac:dyDescent="0.35">
      <c r="A798" s="45" t="s">
        <v>3588</v>
      </c>
      <c r="C798" s="36">
        <v>45900</v>
      </c>
      <c r="D798" s="36" t="s">
        <v>1475</v>
      </c>
      <c r="E798" s="37" t="s">
        <v>3387</v>
      </c>
      <c r="F798" s="37" t="s">
        <v>4026</v>
      </c>
      <c r="G798" s="38">
        <v>61497.4</v>
      </c>
      <c r="H798" s="38">
        <v>0</v>
      </c>
      <c r="I798" s="37"/>
      <c r="J798" s="37"/>
      <c r="K798" s="38">
        <f t="shared" si="12"/>
        <v>61497.4</v>
      </c>
      <c r="L798" s="38"/>
    </row>
    <row r="799" spans="1:12" ht="14.5" x14ac:dyDescent="0.35">
      <c r="A799" s="45" t="s">
        <v>3588</v>
      </c>
      <c r="C799" s="36">
        <v>45900</v>
      </c>
      <c r="D799" s="36" t="s">
        <v>1475</v>
      </c>
      <c r="E799" s="37" t="s">
        <v>3388</v>
      </c>
      <c r="F799" s="37" t="s">
        <v>4026</v>
      </c>
      <c r="G799" s="38">
        <v>43443.409999999996</v>
      </c>
      <c r="H799" s="38">
        <v>0</v>
      </c>
      <c r="I799" s="37"/>
      <c r="J799" s="37"/>
      <c r="K799" s="38">
        <f t="shared" si="12"/>
        <v>43443.409999999996</v>
      </c>
      <c r="L799" s="38"/>
    </row>
    <row r="800" spans="1:12" ht="14.5" x14ac:dyDescent="0.35">
      <c r="A800" s="45" t="s">
        <v>3588</v>
      </c>
      <c r="C800" s="36">
        <v>45900</v>
      </c>
      <c r="D800" s="36" t="s">
        <v>1475</v>
      </c>
      <c r="E800" s="37">
        <v>35797</v>
      </c>
      <c r="F800" s="37" t="s">
        <v>4026</v>
      </c>
      <c r="G800" s="38">
        <v>33515.83</v>
      </c>
      <c r="H800" s="38">
        <v>0</v>
      </c>
      <c r="I800" s="37"/>
      <c r="J800" s="37"/>
      <c r="K800" s="38">
        <f t="shared" si="12"/>
        <v>33515.83</v>
      </c>
      <c r="L800" s="38"/>
    </row>
    <row r="801" spans="1:12" ht="14.5" x14ac:dyDescent="0.35">
      <c r="A801" s="45" t="s">
        <v>3588</v>
      </c>
      <c r="C801" s="36">
        <v>45900</v>
      </c>
      <c r="D801" s="36" t="s">
        <v>1475</v>
      </c>
      <c r="E801" s="37">
        <v>35799</v>
      </c>
      <c r="F801" s="37" t="s">
        <v>4026</v>
      </c>
      <c r="G801" s="38">
        <v>67.180000000000007</v>
      </c>
      <c r="H801" s="38">
        <v>0</v>
      </c>
      <c r="I801" s="37"/>
      <c r="J801" s="37"/>
      <c r="K801" s="38">
        <f t="shared" si="12"/>
        <v>67.180000000000007</v>
      </c>
      <c r="L801" s="38"/>
    </row>
    <row r="802" spans="1:12" ht="14.5" x14ac:dyDescent="0.35">
      <c r="A802" s="45" t="s">
        <v>3588</v>
      </c>
      <c r="C802" s="36">
        <v>45900</v>
      </c>
      <c r="D802" s="36" t="s">
        <v>1475</v>
      </c>
      <c r="E802" s="37" t="s">
        <v>3389</v>
      </c>
      <c r="F802" s="37" t="s">
        <v>4026</v>
      </c>
      <c r="G802" s="38">
        <v>24846.26</v>
      </c>
      <c r="H802" s="38">
        <v>0</v>
      </c>
      <c r="I802" s="37"/>
      <c r="J802" s="37"/>
      <c r="K802" s="38">
        <f t="shared" si="12"/>
        <v>24846.26</v>
      </c>
      <c r="L802" s="38"/>
    </row>
    <row r="803" spans="1:12" ht="14.5" x14ac:dyDescent="0.35">
      <c r="A803" s="45" t="s">
        <v>3588</v>
      </c>
      <c r="C803" s="36">
        <v>45900</v>
      </c>
      <c r="D803" s="36" t="s">
        <v>1475</v>
      </c>
      <c r="E803" s="37" t="s">
        <v>3390</v>
      </c>
      <c r="F803" s="37" t="s">
        <v>4026</v>
      </c>
      <c r="G803" s="38">
        <v>9518.5400000000009</v>
      </c>
      <c r="H803" s="38">
        <v>0</v>
      </c>
      <c r="I803" s="37"/>
      <c r="J803" s="37"/>
      <c r="K803" s="38">
        <f t="shared" si="12"/>
        <v>9518.5400000000009</v>
      </c>
      <c r="L803" s="38"/>
    </row>
    <row r="804" spans="1:12" ht="14.5" x14ac:dyDescent="0.35">
      <c r="A804" s="45" t="s">
        <v>3588</v>
      </c>
      <c r="C804" s="36">
        <v>45900</v>
      </c>
      <c r="D804" s="36" t="s">
        <v>1475</v>
      </c>
      <c r="E804" s="37">
        <v>35806</v>
      </c>
      <c r="F804" s="37" t="s">
        <v>4026</v>
      </c>
      <c r="G804" s="38">
        <v>2552.02</v>
      </c>
      <c r="H804" s="38">
        <v>0</v>
      </c>
      <c r="I804" s="37"/>
      <c r="J804" s="37"/>
      <c r="K804" s="38">
        <f t="shared" si="12"/>
        <v>2552.02</v>
      </c>
      <c r="L804" s="38"/>
    </row>
    <row r="805" spans="1:12" ht="14.5" x14ac:dyDescent="0.35">
      <c r="A805" s="45" t="s">
        <v>3588</v>
      </c>
      <c r="C805" s="36">
        <v>45900</v>
      </c>
      <c r="D805" s="36" t="s">
        <v>1475</v>
      </c>
      <c r="E805" s="37" t="s">
        <v>3391</v>
      </c>
      <c r="F805" s="37" t="s">
        <v>4026</v>
      </c>
      <c r="G805" s="38">
        <v>65043.58</v>
      </c>
      <c r="H805" s="38">
        <v>0</v>
      </c>
      <c r="I805" s="37"/>
      <c r="J805" s="37"/>
      <c r="K805" s="38">
        <f t="shared" si="12"/>
        <v>65043.58</v>
      </c>
      <c r="L805" s="38"/>
    </row>
    <row r="806" spans="1:12" ht="14.5" x14ac:dyDescent="0.35">
      <c r="A806" s="45" t="s">
        <v>3588</v>
      </c>
      <c r="C806" s="36">
        <v>45900</v>
      </c>
      <c r="D806" s="36" t="s">
        <v>1475</v>
      </c>
      <c r="E806" s="37" t="s">
        <v>3392</v>
      </c>
      <c r="F806" s="37" t="s">
        <v>4026</v>
      </c>
      <c r="G806" s="38">
        <v>16288.489999999998</v>
      </c>
      <c r="H806" s="38">
        <v>0</v>
      </c>
      <c r="I806" s="37"/>
      <c r="J806" s="37"/>
      <c r="K806" s="38">
        <f t="shared" si="12"/>
        <v>16288.489999999998</v>
      </c>
      <c r="L806" s="38"/>
    </row>
    <row r="807" spans="1:12" ht="14.5" x14ac:dyDescent="0.35">
      <c r="A807" s="45" t="s">
        <v>3588</v>
      </c>
      <c r="C807" s="36">
        <v>45900</v>
      </c>
      <c r="D807" s="36" t="s">
        <v>1475</v>
      </c>
      <c r="E807" s="37">
        <v>35811</v>
      </c>
      <c r="F807" s="37" t="s">
        <v>4026</v>
      </c>
      <c r="G807" s="38">
        <v>48009.67</v>
      </c>
      <c r="H807" s="38">
        <v>0</v>
      </c>
      <c r="I807" s="37"/>
      <c r="J807" s="37"/>
      <c r="K807" s="38">
        <f t="shared" si="12"/>
        <v>48009.67</v>
      </c>
      <c r="L807" s="38"/>
    </row>
    <row r="808" spans="1:12" ht="14.5" x14ac:dyDescent="0.35">
      <c r="A808" s="45" t="s">
        <v>3588</v>
      </c>
      <c r="C808" s="36">
        <v>45900</v>
      </c>
      <c r="D808" s="36" t="s">
        <v>1475</v>
      </c>
      <c r="E808" s="37" t="s">
        <v>3394</v>
      </c>
      <c r="F808" s="37" t="s">
        <v>4026</v>
      </c>
      <c r="G808" s="38">
        <v>14483.45</v>
      </c>
      <c r="H808" s="38">
        <v>0</v>
      </c>
      <c r="I808" s="37"/>
      <c r="J808" s="37"/>
      <c r="K808" s="38">
        <f t="shared" si="12"/>
        <v>14483.45</v>
      </c>
      <c r="L808" s="38"/>
    </row>
    <row r="809" spans="1:12" ht="14.5" x14ac:dyDescent="0.35">
      <c r="A809" s="45" t="s">
        <v>3588</v>
      </c>
      <c r="C809" s="36">
        <v>45900</v>
      </c>
      <c r="D809" s="36" t="s">
        <v>2459</v>
      </c>
      <c r="E809" s="37" t="s">
        <v>3395</v>
      </c>
      <c r="F809" s="37" t="s">
        <v>4026</v>
      </c>
      <c r="G809" s="38">
        <v>64.52</v>
      </c>
      <c r="H809" s="38">
        <v>0</v>
      </c>
      <c r="I809" s="37"/>
      <c r="J809" s="37"/>
      <c r="K809" s="38">
        <f t="shared" si="12"/>
        <v>64.52</v>
      </c>
      <c r="L809" s="38"/>
    </row>
    <row r="810" spans="1:12" ht="14.5" x14ac:dyDescent="0.35">
      <c r="A810" s="45" t="s">
        <v>3588</v>
      </c>
      <c r="C810" s="36">
        <v>45900</v>
      </c>
      <c r="D810" s="36" t="s">
        <v>2462</v>
      </c>
      <c r="E810" s="37" t="s">
        <v>3396</v>
      </c>
      <c r="F810" s="37" t="s">
        <v>4026</v>
      </c>
      <c r="G810" s="38">
        <v>157258.52000000002</v>
      </c>
      <c r="H810" s="38">
        <v>0</v>
      </c>
      <c r="I810" s="37"/>
      <c r="J810" s="37"/>
      <c r="K810" s="38">
        <f t="shared" si="12"/>
        <v>157258.52000000002</v>
      </c>
      <c r="L810" s="38"/>
    </row>
    <row r="811" spans="1:12" ht="14.5" x14ac:dyDescent="0.35">
      <c r="A811" s="45" t="s">
        <v>3588</v>
      </c>
      <c r="C811" s="36">
        <v>45900</v>
      </c>
      <c r="D811" s="36" t="s">
        <v>3359</v>
      </c>
      <c r="E811" s="37" t="s">
        <v>3397</v>
      </c>
      <c r="F811" s="37" t="s">
        <v>4026</v>
      </c>
      <c r="G811" s="38">
        <v>145588.4</v>
      </c>
      <c r="H811" s="38">
        <v>0</v>
      </c>
      <c r="I811" s="37"/>
      <c r="J811" s="37"/>
      <c r="K811" s="38">
        <f t="shared" si="12"/>
        <v>145588.4</v>
      </c>
      <c r="L811" s="38"/>
    </row>
    <row r="812" spans="1:12" ht="14.5" x14ac:dyDescent="0.35">
      <c r="A812" s="45" t="s">
        <v>3588</v>
      </c>
      <c r="C812" s="36">
        <v>45900</v>
      </c>
      <c r="D812" s="36" t="s">
        <v>301</v>
      </c>
      <c r="E812" s="37" t="s">
        <v>3398</v>
      </c>
      <c r="F812" s="37" t="s">
        <v>4026</v>
      </c>
      <c r="G812" s="38">
        <v>2496.7800000000002</v>
      </c>
      <c r="H812" s="38">
        <v>0</v>
      </c>
      <c r="I812" s="37"/>
      <c r="J812" s="37"/>
      <c r="K812" s="38">
        <f t="shared" si="12"/>
        <v>2496.7800000000002</v>
      </c>
      <c r="L812" s="38"/>
    </row>
    <row r="813" spans="1:12" ht="14.5" x14ac:dyDescent="0.35">
      <c r="A813" s="45" t="s">
        <v>3588</v>
      </c>
      <c r="C813" s="36">
        <v>45900</v>
      </c>
      <c r="D813" s="36" t="s">
        <v>301</v>
      </c>
      <c r="E813" s="37" t="s">
        <v>3399</v>
      </c>
      <c r="F813" s="37" t="s">
        <v>4026</v>
      </c>
      <c r="G813" s="38">
        <v>7588.7499999999964</v>
      </c>
      <c r="H813" s="38">
        <v>0</v>
      </c>
      <c r="I813" s="37"/>
      <c r="J813" s="37"/>
      <c r="K813" s="38">
        <f t="shared" si="12"/>
        <v>7588.7499999999964</v>
      </c>
      <c r="L813" s="38"/>
    </row>
    <row r="814" spans="1:12" ht="14.5" x14ac:dyDescent="0.35">
      <c r="A814" s="45" t="s">
        <v>3588</v>
      </c>
      <c r="C814" s="36">
        <v>45900</v>
      </c>
      <c r="D814" s="36" t="s">
        <v>301</v>
      </c>
      <c r="E814" s="37" t="s">
        <v>3400</v>
      </c>
      <c r="F814" s="37" t="s">
        <v>4026</v>
      </c>
      <c r="G814" s="38">
        <v>1132.7000000000003</v>
      </c>
      <c r="H814" s="38">
        <v>0</v>
      </c>
      <c r="I814" s="37"/>
      <c r="J814" s="37"/>
      <c r="K814" s="38">
        <f t="shared" si="12"/>
        <v>1132.7000000000003</v>
      </c>
      <c r="L814" s="38"/>
    </row>
    <row r="815" spans="1:12" ht="14.5" x14ac:dyDescent="0.35">
      <c r="A815" s="45" t="s">
        <v>3588</v>
      </c>
      <c r="C815" s="36">
        <v>45900</v>
      </c>
      <c r="D815" s="36" t="s">
        <v>301</v>
      </c>
      <c r="E815" s="37" t="s">
        <v>3401</v>
      </c>
      <c r="F815" s="37" t="s">
        <v>4026</v>
      </c>
      <c r="G815" s="38">
        <v>1649.3900000000003</v>
      </c>
      <c r="H815" s="38">
        <v>0</v>
      </c>
      <c r="I815" s="37"/>
      <c r="J815" s="37"/>
      <c r="K815" s="38">
        <f t="shared" si="12"/>
        <v>1649.3900000000003</v>
      </c>
      <c r="L815" s="38"/>
    </row>
    <row r="816" spans="1:12" ht="14.5" x14ac:dyDescent="0.35">
      <c r="A816" s="45" t="s">
        <v>3588</v>
      </c>
      <c r="C816" s="36">
        <v>45900</v>
      </c>
      <c r="D816" s="36" t="s">
        <v>3369</v>
      </c>
      <c r="E816" s="37" t="s">
        <v>3402</v>
      </c>
      <c r="F816" s="37" t="s">
        <v>4026</v>
      </c>
      <c r="G816" s="38">
        <v>1730.24</v>
      </c>
      <c r="H816" s="38">
        <v>0</v>
      </c>
      <c r="I816" s="37"/>
      <c r="J816" s="37"/>
      <c r="K816" s="38">
        <f t="shared" si="12"/>
        <v>1730.24</v>
      </c>
      <c r="L816" s="38"/>
    </row>
    <row r="817" spans="1:12" ht="14.5" x14ac:dyDescent="0.35">
      <c r="A817" s="45" t="s">
        <v>3588</v>
      </c>
      <c r="C817" s="36">
        <v>45900</v>
      </c>
      <c r="D817" s="36" t="s">
        <v>301</v>
      </c>
      <c r="E817" s="37">
        <v>36196</v>
      </c>
      <c r="F817" s="37" t="s">
        <v>4026</v>
      </c>
      <c r="G817" s="38">
        <v>777.86999999999989</v>
      </c>
      <c r="H817" s="38">
        <v>0</v>
      </c>
      <c r="I817" s="37"/>
      <c r="J817" s="37"/>
      <c r="K817" s="38">
        <f t="shared" si="12"/>
        <v>777.86999999999989</v>
      </c>
      <c r="L817" s="38"/>
    </row>
    <row r="818" spans="1:12" ht="14.5" x14ac:dyDescent="0.35">
      <c r="A818" s="45" t="s">
        <v>3588</v>
      </c>
      <c r="C818" s="36">
        <v>45900</v>
      </c>
      <c r="D818" s="36" t="s">
        <v>3371</v>
      </c>
      <c r="E818" s="37" t="s">
        <v>3403</v>
      </c>
      <c r="F818" s="37" t="s">
        <v>4026</v>
      </c>
      <c r="G818" s="38">
        <v>2808</v>
      </c>
      <c r="H818" s="38">
        <v>0</v>
      </c>
      <c r="I818" s="37"/>
      <c r="J818" s="37"/>
      <c r="K818" s="38">
        <f t="shared" si="12"/>
        <v>2808</v>
      </c>
      <c r="L818" s="38"/>
    </row>
    <row r="819" spans="1:12" ht="14.5" x14ac:dyDescent="0.35">
      <c r="A819" s="45" t="s">
        <v>3588</v>
      </c>
      <c r="C819" s="36">
        <v>45900</v>
      </c>
      <c r="D819" s="36" t="s">
        <v>301</v>
      </c>
      <c r="E819" s="37">
        <v>36303</v>
      </c>
      <c r="F819" s="37" t="s">
        <v>4026</v>
      </c>
      <c r="G819" s="38">
        <v>717.43</v>
      </c>
      <c r="H819" s="38">
        <v>0</v>
      </c>
      <c r="I819" s="37"/>
      <c r="J819" s="37"/>
      <c r="K819" s="38">
        <f t="shared" si="12"/>
        <v>717.43</v>
      </c>
      <c r="L819" s="38"/>
    </row>
    <row r="820" spans="1:12" ht="14.5" x14ac:dyDescent="0.35">
      <c r="A820" s="45" t="s">
        <v>3588</v>
      </c>
      <c r="C820" s="36">
        <v>45900</v>
      </c>
      <c r="D820" s="36" t="s">
        <v>2027</v>
      </c>
      <c r="E820" s="37" t="s">
        <v>3404</v>
      </c>
      <c r="F820" s="37" t="s">
        <v>4026</v>
      </c>
      <c r="G820" s="38">
        <v>2613.1400000000003</v>
      </c>
      <c r="H820" s="38">
        <v>0</v>
      </c>
      <c r="I820" s="37"/>
      <c r="J820" s="37"/>
      <c r="K820" s="38">
        <f t="shared" si="12"/>
        <v>2613.1400000000003</v>
      </c>
      <c r="L820" s="38"/>
    </row>
    <row r="821" spans="1:12" ht="14.5" x14ac:dyDescent="0.35">
      <c r="A821" s="45" t="s">
        <v>3588</v>
      </c>
      <c r="C821" s="36">
        <v>45900</v>
      </c>
      <c r="D821" s="36" t="s">
        <v>301</v>
      </c>
      <c r="E821" s="37" t="s">
        <v>3405</v>
      </c>
      <c r="F821" s="37" t="s">
        <v>4026</v>
      </c>
      <c r="G821" s="38">
        <v>1591.49</v>
      </c>
      <c r="H821" s="38">
        <v>0</v>
      </c>
      <c r="I821" s="37"/>
      <c r="J821" s="37"/>
      <c r="K821" s="38">
        <f t="shared" si="12"/>
        <v>1591.49</v>
      </c>
      <c r="L821" s="38"/>
    </row>
    <row r="822" spans="1:12" ht="14.5" x14ac:dyDescent="0.35">
      <c r="A822" s="45" t="s">
        <v>3588</v>
      </c>
      <c r="C822" s="36">
        <v>45900</v>
      </c>
      <c r="D822" s="36" t="s">
        <v>301</v>
      </c>
      <c r="E822" s="37">
        <v>36477</v>
      </c>
      <c r="F822" s="37" t="s">
        <v>4026</v>
      </c>
      <c r="G822" s="38">
        <v>380.63</v>
      </c>
      <c r="H822" s="38">
        <v>0</v>
      </c>
      <c r="I822" s="37"/>
      <c r="J822" s="37"/>
      <c r="K822" s="38">
        <f t="shared" si="12"/>
        <v>380.63</v>
      </c>
      <c r="L822" s="38"/>
    </row>
    <row r="823" spans="1:12" ht="14.5" x14ac:dyDescent="0.35">
      <c r="A823" s="45" t="s">
        <v>3588</v>
      </c>
      <c r="C823" s="36">
        <v>45900</v>
      </c>
      <c r="D823" s="36" t="s">
        <v>301</v>
      </c>
      <c r="E823" s="37">
        <v>36478</v>
      </c>
      <c r="F823" s="37" t="s">
        <v>4026</v>
      </c>
      <c r="G823" s="38">
        <v>901.98</v>
      </c>
      <c r="H823" s="38">
        <v>0</v>
      </c>
      <c r="I823" s="37"/>
      <c r="J823" s="37"/>
      <c r="K823" s="38">
        <f t="shared" si="12"/>
        <v>901.98</v>
      </c>
      <c r="L823" s="38"/>
    </row>
    <row r="824" spans="1:12" ht="14.5" x14ac:dyDescent="0.35">
      <c r="A824" s="45" t="s">
        <v>3588</v>
      </c>
      <c r="C824" s="36">
        <v>45900</v>
      </c>
      <c r="D824" s="36" t="s">
        <v>301</v>
      </c>
      <c r="E824" s="37">
        <v>36479</v>
      </c>
      <c r="F824" s="37" t="s">
        <v>4026</v>
      </c>
      <c r="G824" s="38">
        <v>259.63</v>
      </c>
      <c r="H824" s="38">
        <v>0</v>
      </c>
      <c r="I824" s="37"/>
      <c r="J824" s="37"/>
      <c r="K824" s="38">
        <f t="shared" si="12"/>
        <v>259.63</v>
      </c>
      <c r="L824" s="38"/>
    </row>
    <row r="825" spans="1:12" ht="14.5" x14ac:dyDescent="0.35">
      <c r="A825" s="45" t="s">
        <v>3588</v>
      </c>
      <c r="C825" s="36">
        <v>45900</v>
      </c>
      <c r="D825" s="36" t="s">
        <v>301</v>
      </c>
      <c r="E825" s="37">
        <v>36509</v>
      </c>
      <c r="F825" s="37" t="s">
        <v>4026</v>
      </c>
      <c r="G825" s="38">
        <v>1505.9700000000003</v>
      </c>
      <c r="H825" s="38">
        <v>0</v>
      </c>
      <c r="I825" s="37"/>
      <c r="J825" s="37"/>
      <c r="K825" s="38">
        <f t="shared" si="12"/>
        <v>1505.9700000000003</v>
      </c>
      <c r="L825" s="38"/>
    </row>
    <row r="826" spans="1:12" ht="14.5" x14ac:dyDescent="0.35">
      <c r="A826" s="45" t="s">
        <v>3588</v>
      </c>
      <c r="C826" s="36">
        <v>45900</v>
      </c>
      <c r="D826" s="36" t="s">
        <v>301</v>
      </c>
      <c r="E826" s="37">
        <v>36628</v>
      </c>
      <c r="F826" s="37" t="s">
        <v>4026</v>
      </c>
      <c r="G826" s="38">
        <v>795.49</v>
      </c>
      <c r="H826" s="38">
        <v>0</v>
      </c>
      <c r="I826" s="37"/>
      <c r="J826" s="37"/>
      <c r="K826" s="38">
        <f t="shared" si="12"/>
        <v>795.49</v>
      </c>
      <c r="L826" s="38"/>
    </row>
    <row r="827" spans="1:12" ht="14.5" x14ac:dyDescent="0.35">
      <c r="A827" s="45" t="s">
        <v>3588</v>
      </c>
      <c r="C827" s="36">
        <v>45900</v>
      </c>
      <c r="D827" s="36" t="s">
        <v>1757</v>
      </c>
      <c r="E827" s="37">
        <v>36643</v>
      </c>
      <c r="F827" s="37" t="s">
        <v>4026</v>
      </c>
      <c r="G827" s="38">
        <v>415.8</v>
      </c>
      <c r="H827" s="38">
        <v>0</v>
      </c>
      <c r="I827" s="37"/>
      <c r="J827" s="37"/>
      <c r="K827" s="38">
        <f t="shared" si="12"/>
        <v>415.8</v>
      </c>
      <c r="L827" s="38"/>
    </row>
    <row r="828" spans="1:12" ht="14.5" x14ac:dyDescent="0.35">
      <c r="A828" s="45" t="s">
        <v>3588</v>
      </c>
      <c r="C828" s="36">
        <v>45900</v>
      </c>
      <c r="D828" s="36" t="s">
        <v>2429</v>
      </c>
      <c r="E828" s="37" t="s">
        <v>3406</v>
      </c>
      <c r="F828" s="37" t="s">
        <v>4026</v>
      </c>
      <c r="G828" s="38">
        <v>414.78999999999996</v>
      </c>
      <c r="H828" s="38">
        <v>0</v>
      </c>
      <c r="I828" s="37"/>
      <c r="J828" s="37"/>
      <c r="K828" s="38">
        <f t="shared" si="12"/>
        <v>414.78999999999996</v>
      </c>
      <c r="L828" s="38"/>
    </row>
    <row r="829" spans="1:12" ht="14.5" x14ac:dyDescent="0.35">
      <c r="A829" s="45" t="s">
        <v>3588</v>
      </c>
      <c r="C829" s="36">
        <v>45900</v>
      </c>
      <c r="D829" s="36" t="s">
        <v>346</v>
      </c>
      <c r="E829" s="37" t="s">
        <v>3825</v>
      </c>
      <c r="F829" s="37" t="s">
        <v>4026</v>
      </c>
      <c r="G829" s="38">
        <v>0</v>
      </c>
      <c r="H829" s="38">
        <v>953.70999999999992</v>
      </c>
      <c r="I829" s="37"/>
      <c r="J829" s="37"/>
      <c r="K829" s="38">
        <f t="shared" si="12"/>
        <v>-953.70999999999992</v>
      </c>
      <c r="L829" s="38"/>
    </row>
    <row r="830" spans="1:12" ht="14.5" x14ac:dyDescent="0.35">
      <c r="A830" s="45" t="s">
        <v>3588</v>
      </c>
      <c r="C830" s="36">
        <v>45900</v>
      </c>
      <c r="D830" s="36" t="s">
        <v>2429</v>
      </c>
      <c r="E830" s="37" t="s">
        <v>3407</v>
      </c>
      <c r="F830" s="37" t="s">
        <v>4026</v>
      </c>
      <c r="G830" s="38">
        <v>52.22</v>
      </c>
      <c r="H830" s="38">
        <v>0</v>
      </c>
      <c r="I830" s="37"/>
      <c r="J830" s="37"/>
      <c r="K830" s="38">
        <f t="shared" si="12"/>
        <v>52.22</v>
      </c>
      <c r="L830" s="38"/>
    </row>
    <row r="831" spans="1:12" ht="14.5" x14ac:dyDescent="0.35">
      <c r="A831" s="45" t="s">
        <v>3588</v>
      </c>
      <c r="C831" s="36">
        <v>45900</v>
      </c>
      <c r="D831" s="36" t="s">
        <v>1426</v>
      </c>
      <c r="E831" s="37" t="s">
        <v>3408</v>
      </c>
      <c r="F831" s="37" t="s">
        <v>4026</v>
      </c>
      <c r="G831" s="38">
        <v>12788.68</v>
      </c>
      <c r="H831" s="38">
        <v>0</v>
      </c>
      <c r="I831" s="37"/>
      <c r="J831" s="37"/>
      <c r="K831" s="38">
        <f t="shared" si="12"/>
        <v>12788.68</v>
      </c>
      <c r="L831" s="38"/>
    </row>
    <row r="832" spans="1:12" ht="14.5" x14ac:dyDescent="0.35">
      <c r="A832" s="45" t="s">
        <v>3588</v>
      </c>
      <c r="C832" s="36">
        <v>45900</v>
      </c>
      <c r="D832" s="36" t="s">
        <v>1712</v>
      </c>
      <c r="E832" s="37" t="s">
        <v>3409</v>
      </c>
      <c r="F832" s="37" t="s">
        <v>4026</v>
      </c>
      <c r="G832" s="38">
        <v>3178.71</v>
      </c>
      <c r="H832" s="38">
        <v>0</v>
      </c>
      <c r="I832" s="37"/>
      <c r="J832" s="37"/>
      <c r="K832" s="38">
        <f t="shared" si="12"/>
        <v>3178.71</v>
      </c>
      <c r="L832" s="38"/>
    </row>
    <row r="833" spans="1:12" ht="14.5" x14ac:dyDescent="0.35">
      <c r="A833" s="45" t="s">
        <v>3588</v>
      </c>
      <c r="C833" s="36">
        <v>45900</v>
      </c>
      <c r="D833" s="36" t="s">
        <v>301</v>
      </c>
      <c r="E833" s="37">
        <v>36928</v>
      </c>
      <c r="F833" s="37" t="s">
        <v>4026</v>
      </c>
      <c r="G833" s="38">
        <v>1135.3</v>
      </c>
      <c r="H833" s="38">
        <v>0</v>
      </c>
      <c r="I833" s="37"/>
      <c r="J833" s="37"/>
      <c r="K833" s="38">
        <f t="shared" si="12"/>
        <v>1135.3</v>
      </c>
      <c r="L833" s="38"/>
    </row>
    <row r="834" spans="1:12" ht="14.5" x14ac:dyDescent="0.35">
      <c r="A834" s="45" t="s">
        <v>3588</v>
      </c>
      <c r="C834" s="36">
        <v>45900</v>
      </c>
      <c r="D834" s="36" t="s">
        <v>3510</v>
      </c>
      <c r="E834" s="37" t="s">
        <v>3410</v>
      </c>
      <c r="F834" s="37" t="s">
        <v>4026</v>
      </c>
      <c r="G834" s="38">
        <v>256.99</v>
      </c>
      <c r="H834" s="38">
        <v>0</v>
      </c>
      <c r="I834" s="37"/>
      <c r="J834" s="37"/>
      <c r="K834" s="38">
        <f t="shared" si="12"/>
        <v>256.99</v>
      </c>
      <c r="L834" s="38"/>
    </row>
    <row r="835" spans="1:12" ht="14.5" x14ac:dyDescent="0.35">
      <c r="A835" s="45" t="s">
        <v>3588</v>
      </c>
      <c r="C835" s="36">
        <v>45900</v>
      </c>
      <c r="D835" s="36" t="s">
        <v>992</v>
      </c>
      <c r="E835" s="37" t="s">
        <v>3411</v>
      </c>
      <c r="F835" s="37" t="s">
        <v>4026</v>
      </c>
      <c r="G835" s="38">
        <v>0</v>
      </c>
      <c r="H835" s="38">
        <v>0</v>
      </c>
      <c r="I835" s="37"/>
      <c r="J835" s="37"/>
      <c r="K835" s="38">
        <f t="shared" si="12"/>
        <v>0</v>
      </c>
      <c r="L835" s="38"/>
    </row>
    <row r="836" spans="1:12" ht="14.5" x14ac:dyDescent="0.35">
      <c r="A836" s="45" t="s">
        <v>3588</v>
      </c>
      <c r="C836" s="36">
        <v>45900</v>
      </c>
      <c r="D836" s="36" t="s">
        <v>1999</v>
      </c>
      <c r="E836" s="37" t="s">
        <v>3412</v>
      </c>
      <c r="F836" s="37" t="s">
        <v>4026</v>
      </c>
      <c r="G836" s="38">
        <v>22068.910000000036</v>
      </c>
      <c r="H836" s="38">
        <v>0</v>
      </c>
      <c r="I836" s="37"/>
      <c r="J836" s="37"/>
      <c r="K836" s="38">
        <f t="shared" si="12"/>
        <v>22068.910000000036</v>
      </c>
      <c r="L836" s="38"/>
    </row>
    <row r="837" spans="1:12" ht="14.5" x14ac:dyDescent="0.35">
      <c r="A837" s="45" t="s">
        <v>3588</v>
      </c>
      <c r="C837" s="36">
        <v>45900</v>
      </c>
      <c r="D837" s="36" t="s">
        <v>301</v>
      </c>
      <c r="E837" s="37" t="s">
        <v>3413</v>
      </c>
      <c r="F837" s="37" t="s">
        <v>4026</v>
      </c>
      <c r="G837" s="38">
        <v>96.39</v>
      </c>
      <c r="H837" s="38">
        <v>0</v>
      </c>
      <c r="I837" s="37"/>
      <c r="J837" s="37"/>
      <c r="K837" s="38">
        <f t="shared" ref="K837:K900" si="13">G837-H837</f>
        <v>96.39</v>
      </c>
      <c r="L837" s="38"/>
    </row>
    <row r="838" spans="1:12" ht="14.5" x14ac:dyDescent="0.35">
      <c r="A838" s="45" t="s">
        <v>3588</v>
      </c>
      <c r="C838" s="36">
        <v>45900</v>
      </c>
      <c r="D838" s="36" t="s">
        <v>301</v>
      </c>
      <c r="E838" s="37" t="s">
        <v>3414</v>
      </c>
      <c r="F838" s="37" t="s">
        <v>4026</v>
      </c>
      <c r="G838" s="38">
        <v>86.13</v>
      </c>
      <c r="H838" s="38">
        <v>0</v>
      </c>
      <c r="I838" s="37"/>
      <c r="J838" s="37"/>
      <c r="K838" s="38">
        <f t="shared" si="13"/>
        <v>86.13</v>
      </c>
      <c r="L838" s="38"/>
    </row>
    <row r="839" spans="1:12" ht="14.5" x14ac:dyDescent="0.35">
      <c r="A839" s="45" t="s">
        <v>3588</v>
      </c>
      <c r="C839" s="36">
        <v>45900</v>
      </c>
      <c r="D839" s="36" t="s">
        <v>301</v>
      </c>
      <c r="E839" s="37" t="s">
        <v>3415</v>
      </c>
      <c r="F839" s="37" t="s">
        <v>4026</v>
      </c>
      <c r="G839" s="38">
        <v>1298.8500000000001</v>
      </c>
      <c r="H839" s="38">
        <v>0</v>
      </c>
      <c r="I839" s="37"/>
      <c r="J839" s="37"/>
      <c r="K839" s="38">
        <f t="shared" si="13"/>
        <v>1298.8500000000001</v>
      </c>
      <c r="L839" s="38"/>
    </row>
    <row r="840" spans="1:12" ht="14.5" x14ac:dyDescent="0.35">
      <c r="A840" s="45" t="s">
        <v>3588</v>
      </c>
      <c r="C840" s="36">
        <v>45900</v>
      </c>
      <c r="D840" s="36" t="s">
        <v>301</v>
      </c>
      <c r="E840" s="37" t="s">
        <v>3416</v>
      </c>
      <c r="F840" s="37" t="s">
        <v>4026</v>
      </c>
      <c r="G840" s="38">
        <v>11044.389999999992</v>
      </c>
      <c r="H840" s="38">
        <v>0</v>
      </c>
      <c r="I840" s="37"/>
      <c r="J840" s="37"/>
      <c r="K840" s="38">
        <f t="shared" si="13"/>
        <v>11044.389999999992</v>
      </c>
      <c r="L840" s="38"/>
    </row>
    <row r="841" spans="1:12" ht="14.5" x14ac:dyDescent="0.35">
      <c r="A841" s="45" t="s">
        <v>3588</v>
      </c>
      <c r="C841" s="36">
        <v>45900</v>
      </c>
      <c r="D841" s="36" t="s">
        <v>3511</v>
      </c>
      <c r="E841" s="37">
        <v>37354</v>
      </c>
      <c r="F841" s="37" t="s">
        <v>4026</v>
      </c>
      <c r="G841" s="38">
        <v>11959.51</v>
      </c>
      <c r="H841" s="38">
        <v>0</v>
      </c>
      <c r="I841" s="37"/>
      <c r="J841" s="37"/>
      <c r="K841" s="38">
        <f t="shared" si="13"/>
        <v>11959.51</v>
      </c>
      <c r="L841" s="38"/>
    </row>
    <row r="842" spans="1:12" ht="14.5" x14ac:dyDescent="0.35">
      <c r="A842" s="45" t="s">
        <v>3588</v>
      </c>
      <c r="C842" s="36">
        <v>45900</v>
      </c>
      <c r="D842" s="36" t="s">
        <v>2396</v>
      </c>
      <c r="E842" s="37" t="s">
        <v>3417</v>
      </c>
      <c r="F842" s="37" t="s">
        <v>4026</v>
      </c>
      <c r="G842" s="38">
        <v>7484.5599999999995</v>
      </c>
      <c r="H842" s="38">
        <v>0</v>
      </c>
      <c r="I842" s="37"/>
      <c r="J842" s="37"/>
      <c r="K842" s="38">
        <f t="shared" si="13"/>
        <v>7484.5599999999995</v>
      </c>
      <c r="L842" s="38"/>
    </row>
    <row r="843" spans="1:12" ht="14.5" x14ac:dyDescent="0.35">
      <c r="A843" s="45" t="s">
        <v>3588</v>
      </c>
      <c r="C843" s="36">
        <v>45900</v>
      </c>
      <c r="D843" s="36" t="s">
        <v>1757</v>
      </c>
      <c r="E843" s="37" t="s">
        <v>3418</v>
      </c>
      <c r="F843" s="37" t="s">
        <v>4026</v>
      </c>
      <c r="G843" s="38">
        <v>1490.45</v>
      </c>
      <c r="H843" s="38">
        <v>0</v>
      </c>
      <c r="I843" s="37"/>
      <c r="J843" s="37"/>
      <c r="K843" s="38">
        <f t="shared" si="13"/>
        <v>1490.45</v>
      </c>
      <c r="L843" s="38"/>
    </row>
    <row r="844" spans="1:12" ht="14.5" x14ac:dyDescent="0.35">
      <c r="A844" s="45" t="s">
        <v>3588</v>
      </c>
      <c r="C844" s="36">
        <v>45900</v>
      </c>
      <c r="D844" s="36" t="s">
        <v>1280</v>
      </c>
      <c r="E844" s="37">
        <v>37625</v>
      </c>
      <c r="F844" s="37" t="s">
        <v>4026</v>
      </c>
      <c r="G844" s="38">
        <v>1372.27</v>
      </c>
      <c r="H844" s="38">
        <v>0</v>
      </c>
      <c r="I844" s="37"/>
      <c r="J844" s="37"/>
      <c r="K844" s="38">
        <f t="shared" si="13"/>
        <v>1372.27</v>
      </c>
      <c r="L844" s="38"/>
    </row>
    <row r="845" spans="1:12" ht="14.5" x14ac:dyDescent="0.35">
      <c r="A845" s="45" t="s">
        <v>3588</v>
      </c>
      <c r="C845" s="36">
        <v>45900</v>
      </c>
      <c r="D845" s="36" t="s">
        <v>1280</v>
      </c>
      <c r="E845" s="37" t="s">
        <v>3419</v>
      </c>
      <c r="F845" s="37" t="s">
        <v>4026</v>
      </c>
      <c r="G845" s="38">
        <v>2243.17</v>
      </c>
      <c r="H845" s="38">
        <v>0</v>
      </c>
      <c r="I845" s="37"/>
      <c r="J845" s="37"/>
      <c r="K845" s="38">
        <f t="shared" si="13"/>
        <v>2243.17</v>
      </c>
      <c r="L845" s="38"/>
    </row>
    <row r="846" spans="1:12" ht="14.5" x14ac:dyDescent="0.35">
      <c r="A846" s="45" t="s">
        <v>3588</v>
      </c>
      <c r="C846" s="36">
        <v>45900</v>
      </c>
      <c r="D846" s="36" t="s">
        <v>1280</v>
      </c>
      <c r="E846" s="37">
        <v>37644</v>
      </c>
      <c r="F846" s="37" t="s">
        <v>4026</v>
      </c>
      <c r="G846" s="38">
        <v>5535.369999999999</v>
      </c>
      <c r="H846" s="38">
        <v>0</v>
      </c>
      <c r="I846" s="37"/>
      <c r="J846" s="37"/>
      <c r="K846" s="38">
        <f t="shared" si="13"/>
        <v>5535.369999999999</v>
      </c>
      <c r="L846" s="38"/>
    </row>
    <row r="847" spans="1:12" ht="14.5" x14ac:dyDescent="0.35">
      <c r="A847" s="45" t="s">
        <v>3588</v>
      </c>
      <c r="C847" s="36">
        <v>45900</v>
      </c>
      <c r="D847" s="36" t="s">
        <v>1280</v>
      </c>
      <c r="E847" s="37" t="s">
        <v>3420</v>
      </c>
      <c r="F847" s="37" t="s">
        <v>4026</v>
      </c>
      <c r="G847" s="38">
        <v>1598.2</v>
      </c>
      <c r="H847" s="38">
        <v>0</v>
      </c>
      <c r="I847" s="37"/>
      <c r="J847" s="37"/>
      <c r="K847" s="38">
        <f t="shared" si="13"/>
        <v>1598.2</v>
      </c>
      <c r="L847" s="38"/>
    </row>
    <row r="848" spans="1:12" ht="14.5" x14ac:dyDescent="0.35">
      <c r="A848" s="45" t="s">
        <v>3588</v>
      </c>
      <c r="C848" s="36">
        <v>45900</v>
      </c>
      <c r="D848" s="36" t="s">
        <v>1280</v>
      </c>
      <c r="E848" s="37" t="s">
        <v>3421</v>
      </c>
      <c r="F848" s="37" t="s">
        <v>4026</v>
      </c>
      <c r="G848" s="38">
        <v>5443.3499999999995</v>
      </c>
      <c r="H848" s="38">
        <v>0</v>
      </c>
      <c r="I848" s="37"/>
      <c r="J848" s="37"/>
      <c r="K848" s="38">
        <f t="shared" si="13"/>
        <v>5443.3499999999995</v>
      </c>
      <c r="L848" s="38"/>
    </row>
    <row r="849" spans="1:12" ht="14.5" x14ac:dyDescent="0.35">
      <c r="A849" s="45" t="s">
        <v>3588</v>
      </c>
      <c r="C849" s="36">
        <v>45900</v>
      </c>
      <c r="D849" s="36" t="s">
        <v>3491</v>
      </c>
      <c r="E849" s="37" t="s">
        <v>3422</v>
      </c>
      <c r="F849" s="37" t="s">
        <v>4026</v>
      </c>
      <c r="G849" s="38">
        <v>483.29</v>
      </c>
      <c r="H849" s="38">
        <v>0</v>
      </c>
      <c r="I849" s="37"/>
      <c r="J849" s="37"/>
      <c r="K849" s="38">
        <f t="shared" si="13"/>
        <v>483.29</v>
      </c>
      <c r="L849" s="38"/>
    </row>
    <row r="850" spans="1:12" ht="14.5" x14ac:dyDescent="0.35">
      <c r="A850" s="45" t="s">
        <v>3588</v>
      </c>
      <c r="C850" s="36">
        <v>45900</v>
      </c>
      <c r="D850" s="36" t="s">
        <v>3491</v>
      </c>
      <c r="E850" s="37" t="s">
        <v>3423</v>
      </c>
      <c r="F850" s="37" t="s">
        <v>4026</v>
      </c>
      <c r="G850" s="38">
        <v>3176.4000000000005</v>
      </c>
      <c r="H850" s="38">
        <v>0</v>
      </c>
      <c r="I850" s="37"/>
      <c r="J850" s="37"/>
      <c r="K850" s="38">
        <f t="shared" si="13"/>
        <v>3176.4000000000005</v>
      </c>
      <c r="L850" s="38"/>
    </row>
    <row r="851" spans="1:12" ht="14.5" x14ac:dyDescent="0.35">
      <c r="A851" s="45" t="s">
        <v>3588</v>
      </c>
      <c r="C851" s="36">
        <v>45900</v>
      </c>
      <c r="D851" s="36" t="s">
        <v>2313</v>
      </c>
      <c r="E851" s="37" t="s">
        <v>3424</v>
      </c>
      <c r="F851" s="37" t="s">
        <v>4026</v>
      </c>
      <c r="G851" s="38">
        <v>3006.5200000000004</v>
      </c>
      <c r="H851" s="38">
        <v>0</v>
      </c>
      <c r="I851" s="37"/>
      <c r="J851" s="37"/>
      <c r="K851" s="38">
        <f t="shared" si="13"/>
        <v>3006.5200000000004</v>
      </c>
      <c r="L851" s="38"/>
    </row>
    <row r="852" spans="1:12" ht="14.5" x14ac:dyDescent="0.35">
      <c r="A852" s="45" t="s">
        <v>3588</v>
      </c>
      <c r="C852" s="36">
        <v>45900</v>
      </c>
      <c r="D852" s="36" t="s">
        <v>2313</v>
      </c>
      <c r="E852" s="37" t="s">
        <v>3425</v>
      </c>
      <c r="F852" s="37" t="s">
        <v>4026</v>
      </c>
      <c r="G852" s="38">
        <v>5232.07</v>
      </c>
      <c r="H852" s="38">
        <v>0</v>
      </c>
      <c r="I852" s="37"/>
      <c r="J852" s="37"/>
      <c r="K852" s="38">
        <f t="shared" si="13"/>
        <v>5232.07</v>
      </c>
      <c r="L852" s="38"/>
    </row>
    <row r="853" spans="1:12" ht="14.5" x14ac:dyDescent="0.35">
      <c r="A853" s="45" t="s">
        <v>3588</v>
      </c>
      <c r="C853" s="36">
        <v>45900</v>
      </c>
      <c r="D853" s="36" t="s">
        <v>2313</v>
      </c>
      <c r="E853" s="37" t="s">
        <v>3426</v>
      </c>
      <c r="F853" s="37" t="s">
        <v>4026</v>
      </c>
      <c r="G853" s="38">
        <v>534.16999999999996</v>
      </c>
      <c r="H853" s="38">
        <v>0</v>
      </c>
      <c r="I853" s="37"/>
      <c r="J853" s="37"/>
      <c r="K853" s="38">
        <f t="shared" si="13"/>
        <v>534.16999999999996</v>
      </c>
      <c r="L853" s="38"/>
    </row>
    <row r="854" spans="1:12" ht="14.5" x14ac:dyDescent="0.35">
      <c r="A854" s="45" t="s">
        <v>3588</v>
      </c>
      <c r="C854" s="36">
        <v>45900</v>
      </c>
      <c r="D854" s="36" t="s">
        <v>2313</v>
      </c>
      <c r="E854" s="37" t="s">
        <v>3427</v>
      </c>
      <c r="F854" s="37" t="s">
        <v>4026</v>
      </c>
      <c r="G854" s="38">
        <v>267.60000000000002</v>
      </c>
      <c r="H854" s="38">
        <v>0</v>
      </c>
      <c r="I854" s="37"/>
      <c r="J854" s="37"/>
      <c r="K854" s="38">
        <f t="shared" si="13"/>
        <v>267.60000000000002</v>
      </c>
      <c r="L854" s="38"/>
    </row>
    <row r="855" spans="1:12" ht="14.5" x14ac:dyDescent="0.35">
      <c r="A855" s="45" t="s">
        <v>3588</v>
      </c>
      <c r="C855" s="36">
        <v>45900</v>
      </c>
      <c r="D855" s="36" t="s">
        <v>2313</v>
      </c>
      <c r="E855" s="37">
        <v>37776</v>
      </c>
      <c r="F855" s="37" t="s">
        <v>4026</v>
      </c>
      <c r="G855" s="38">
        <v>228.59</v>
      </c>
      <c r="H855" s="38">
        <v>0</v>
      </c>
      <c r="I855" s="37"/>
      <c r="J855" s="37"/>
      <c r="K855" s="38">
        <f t="shared" si="13"/>
        <v>228.59</v>
      </c>
      <c r="L855" s="38"/>
    </row>
    <row r="856" spans="1:12" ht="14.5" x14ac:dyDescent="0.35">
      <c r="A856" s="45" t="s">
        <v>3588</v>
      </c>
      <c r="C856" s="36">
        <v>45900</v>
      </c>
      <c r="D856" s="36" t="s">
        <v>2313</v>
      </c>
      <c r="E856" s="37" t="s">
        <v>3428</v>
      </c>
      <c r="F856" s="37" t="s">
        <v>4026</v>
      </c>
      <c r="G856" s="38">
        <v>994</v>
      </c>
      <c r="H856" s="38">
        <v>0</v>
      </c>
      <c r="I856" s="37"/>
      <c r="J856" s="37"/>
      <c r="K856" s="38">
        <f t="shared" si="13"/>
        <v>994</v>
      </c>
      <c r="L856" s="38"/>
    </row>
    <row r="857" spans="1:12" ht="14.5" x14ac:dyDescent="0.35">
      <c r="A857" s="45" t="s">
        <v>3588</v>
      </c>
      <c r="C857" s="36">
        <v>45900</v>
      </c>
      <c r="D857" s="36" t="s">
        <v>2144</v>
      </c>
      <c r="E857" s="37">
        <v>37903</v>
      </c>
      <c r="F857" s="37" t="s">
        <v>4026</v>
      </c>
      <c r="G857" s="38">
        <v>1271</v>
      </c>
      <c r="H857" s="38">
        <v>0</v>
      </c>
      <c r="I857" s="37"/>
      <c r="J857" s="37"/>
      <c r="K857" s="38">
        <f t="shared" si="13"/>
        <v>1271</v>
      </c>
      <c r="L857" s="38"/>
    </row>
    <row r="858" spans="1:12" ht="14.5" x14ac:dyDescent="0.35">
      <c r="A858" s="45" t="s">
        <v>3588</v>
      </c>
      <c r="C858" s="36">
        <v>45900</v>
      </c>
      <c r="D858" s="36" t="s">
        <v>2144</v>
      </c>
      <c r="E858" s="37" t="s">
        <v>3429</v>
      </c>
      <c r="F858" s="37" t="s">
        <v>4026</v>
      </c>
      <c r="G858" s="38">
        <v>26266.22</v>
      </c>
      <c r="H858" s="38">
        <v>0</v>
      </c>
      <c r="I858" s="37"/>
      <c r="J858" s="37"/>
      <c r="K858" s="38">
        <f t="shared" si="13"/>
        <v>26266.22</v>
      </c>
      <c r="L858" s="38"/>
    </row>
    <row r="859" spans="1:12" ht="14.5" x14ac:dyDescent="0.35">
      <c r="A859" s="45" t="s">
        <v>3588</v>
      </c>
      <c r="C859" s="36">
        <v>45900</v>
      </c>
      <c r="D859" s="36" t="s">
        <v>2220</v>
      </c>
      <c r="E859" s="37" t="s">
        <v>3430</v>
      </c>
      <c r="F859" s="37" t="s">
        <v>4026</v>
      </c>
      <c r="G859" s="38">
        <v>20486.2</v>
      </c>
      <c r="H859" s="38">
        <v>0</v>
      </c>
      <c r="I859" s="37"/>
      <c r="J859" s="37"/>
      <c r="K859" s="38">
        <f t="shared" si="13"/>
        <v>20486.2</v>
      </c>
      <c r="L859" s="38"/>
    </row>
    <row r="860" spans="1:12" ht="14.5" x14ac:dyDescent="0.35">
      <c r="A860" s="45" t="s">
        <v>3588</v>
      </c>
      <c r="C860" s="36">
        <v>45900</v>
      </c>
      <c r="D860" s="36" t="s">
        <v>2220</v>
      </c>
      <c r="E860" s="37" t="s">
        <v>3431</v>
      </c>
      <c r="F860" s="37" t="s">
        <v>4026</v>
      </c>
      <c r="G860" s="38">
        <v>18012.850000000002</v>
      </c>
      <c r="H860" s="38">
        <v>0</v>
      </c>
      <c r="I860" s="37"/>
      <c r="J860" s="37"/>
      <c r="K860" s="38">
        <f t="shared" si="13"/>
        <v>18012.850000000002</v>
      </c>
      <c r="L860" s="38"/>
    </row>
    <row r="861" spans="1:12" ht="14.5" x14ac:dyDescent="0.35">
      <c r="A861" s="45" t="s">
        <v>3588</v>
      </c>
      <c r="C861" s="36">
        <v>45900</v>
      </c>
      <c r="D861" s="36" t="s">
        <v>2220</v>
      </c>
      <c r="E861" s="37" t="s">
        <v>3432</v>
      </c>
      <c r="F861" s="37" t="s">
        <v>4026</v>
      </c>
      <c r="G861" s="38">
        <v>2812.53</v>
      </c>
      <c r="H861" s="38">
        <v>0</v>
      </c>
      <c r="I861" s="37"/>
      <c r="J861" s="37"/>
      <c r="K861" s="38">
        <f t="shared" si="13"/>
        <v>2812.53</v>
      </c>
      <c r="L861" s="38"/>
    </row>
    <row r="862" spans="1:12" ht="14.5" x14ac:dyDescent="0.35">
      <c r="A862" s="45" t="s">
        <v>3588</v>
      </c>
      <c r="C862" s="36">
        <v>45900</v>
      </c>
      <c r="D862" s="36" t="s">
        <v>2220</v>
      </c>
      <c r="E862" s="37" t="s">
        <v>3433</v>
      </c>
      <c r="F862" s="37" t="s">
        <v>4026</v>
      </c>
      <c r="G862" s="38">
        <v>9430.8000000000011</v>
      </c>
      <c r="H862" s="38">
        <v>0</v>
      </c>
      <c r="I862" s="37"/>
      <c r="J862" s="37"/>
      <c r="K862" s="38">
        <f t="shared" si="13"/>
        <v>9430.8000000000011</v>
      </c>
      <c r="L862" s="38"/>
    </row>
    <row r="863" spans="1:12" ht="14.5" x14ac:dyDescent="0.35">
      <c r="A863" s="45" t="s">
        <v>3588</v>
      </c>
      <c r="C863" s="36">
        <v>45900</v>
      </c>
      <c r="D863" s="36" t="s">
        <v>2220</v>
      </c>
      <c r="E863" s="37" t="s">
        <v>3434</v>
      </c>
      <c r="F863" s="37" t="s">
        <v>4026</v>
      </c>
      <c r="G863" s="38">
        <v>582.41</v>
      </c>
      <c r="H863" s="38">
        <v>0</v>
      </c>
      <c r="I863" s="37"/>
      <c r="J863" s="37"/>
      <c r="K863" s="38">
        <f t="shared" si="13"/>
        <v>582.41</v>
      </c>
      <c r="L863" s="38"/>
    </row>
    <row r="864" spans="1:12" ht="14.5" x14ac:dyDescent="0.35">
      <c r="A864" s="45" t="s">
        <v>3588</v>
      </c>
      <c r="C864" s="36">
        <v>45900</v>
      </c>
      <c r="D864" s="36" t="s">
        <v>2220</v>
      </c>
      <c r="E864" s="37" t="s">
        <v>3435</v>
      </c>
      <c r="F864" s="37" t="s">
        <v>4026</v>
      </c>
      <c r="G864" s="38">
        <v>32776.410000000003</v>
      </c>
      <c r="H864" s="38">
        <v>0</v>
      </c>
      <c r="I864" s="37"/>
      <c r="J864" s="37"/>
      <c r="K864" s="38">
        <f t="shared" si="13"/>
        <v>32776.410000000003</v>
      </c>
      <c r="L864" s="38"/>
    </row>
    <row r="865" spans="1:12" ht="14.5" x14ac:dyDescent="0.35">
      <c r="A865" s="45" t="s">
        <v>3588</v>
      </c>
      <c r="C865" s="36">
        <v>45900</v>
      </c>
      <c r="D865" s="36" t="s">
        <v>2220</v>
      </c>
      <c r="E865" s="37" t="s">
        <v>3436</v>
      </c>
      <c r="F865" s="37" t="s">
        <v>4026</v>
      </c>
      <c r="G865" s="38">
        <v>5357.08</v>
      </c>
      <c r="H865" s="38">
        <v>0</v>
      </c>
      <c r="I865" s="37"/>
      <c r="J865" s="37"/>
      <c r="K865" s="38">
        <f t="shared" si="13"/>
        <v>5357.08</v>
      </c>
      <c r="L865" s="38"/>
    </row>
    <row r="866" spans="1:12" ht="14.5" x14ac:dyDescent="0.35">
      <c r="A866" s="45" t="s">
        <v>3588</v>
      </c>
      <c r="C866" s="36">
        <v>45900</v>
      </c>
      <c r="D866" s="36" t="s">
        <v>2220</v>
      </c>
      <c r="E866" s="37" t="s">
        <v>3437</v>
      </c>
      <c r="F866" s="37" t="s">
        <v>4026</v>
      </c>
      <c r="G866" s="38">
        <v>32412.600000000006</v>
      </c>
      <c r="H866" s="38">
        <v>0</v>
      </c>
      <c r="I866" s="37"/>
      <c r="J866" s="37"/>
      <c r="K866" s="38">
        <f t="shared" si="13"/>
        <v>32412.600000000006</v>
      </c>
      <c r="L866" s="38"/>
    </row>
    <row r="867" spans="1:12" ht="14.5" x14ac:dyDescent="0.35">
      <c r="A867" s="45" t="s">
        <v>3588</v>
      </c>
      <c r="C867" s="36">
        <v>45900</v>
      </c>
      <c r="D867" s="36" t="s">
        <v>2220</v>
      </c>
      <c r="E867" s="37" t="s">
        <v>3438</v>
      </c>
      <c r="F867" s="37" t="s">
        <v>4026</v>
      </c>
      <c r="G867" s="38">
        <v>3248.05</v>
      </c>
      <c r="H867" s="38">
        <v>0</v>
      </c>
      <c r="I867" s="37"/>
      <c r="J867" s="37"/>
      <c r="K867" s="38">
        <f t="shared" si="13"/>
        <v>3248.05</v>
      </c>
      <c r="L867" s="38"/>
    </row>
    <row r="868" spans="1:12" ht="14.5" x14ac:dyDescent="0.35">
      <c r="A868" s="45" t="s">
        <v>3588</v>
      </c>
      <c r="C868" s="36">
        <v>45900</v>
      </c>
      <c r="D868" s="36" t="s">
        <v>3512</v>
      </c>
      <c r="E868" s="37" t="s">
        <v>3439</v>
      </c>
      <c r="F868" s="37" t="s">
        <v>4026</v>
      </c>
      <c r="G868" s="38">
        <v>1218</v>
      </c>
      <c r="H868" s="38">
        <v>0</v>
      </c>
      <c r="I868" s="37"/>
      <c r="J868" s="37"/>
      <c r="K868" s="38">
        <f t="shared" si="13"/>
        <v>1218</v>
      </c>
      <c r="L868" s="38"/>
    </row>
    <row r="869" spans="1:12" ht="14.5" x14ac:dyDescent="0.35">
      <c r="A869" s="45" t="s">
        <v>3588</v>
      </c>
      <c r="C869" s="36">
        <v>45900</v>
      </c>
      <c r="D869" s="36" t="s">
        <v>301</v>
      </c>
      <c r="E869" s="37">
        <v>38055</v>
      </c>
      <c r="F869" s="37" t="s">
        <v>4026</v>
      </c>
      <c r="G869" s="38">
        <v>856.96999999999991</v>
      </c>
      <c r="H869" s="38">
        <v>0</v>
      </c>
      <c r="I869" s="37"/>
      <c r="J869" s="37"/>
      <c r="K869" s="38">
        <f t="shared" si="13"/>
        <v>856.96999999999991</v>
      </c>
      <c r="L869" s="38"/>
    </row>
    <row r="870" spans="1:12" ht="14.5" x14ac:dyDescent="0.35">
      <c r="A870" s="45" t="s">
        <v>3588</v>
      </c>
      <c r="C870" s="36">
        <v>45900</v>
      </c>
      <c r="D870" s="36" t="s">
        <v>2276</v>
      </c>
      <c r="E870" s="37" t="s">
        <v>3440</v>
      </c>
      <c r="F870" s="37" t="s">
        <v>4026</v>
      </c>
      <c r="G870" s="38">
        <v>2164.9300000000003</v>
      </c>
      <c r="H870" s="38">
        <v>0</v>
      </c>
      <c r="I870" s="37"/>
      <c r="J870" s="37"/>
      <c r="K870" s="38">
        <f t="shared" si="13"/>
        <v>2164.9300000000003</v>
      </c>
      <c r="L870" s="38"/>
    </row>
    <row r="871" spans="1:12" ht="14.5" x14ac:dyDescent="0.35">
      <c r="A871" s="45" t="s">
        <v>3588</v>
      </c>
      <c r="C871" s="36">
        <v>45900</v>
      </c>
      <c r="D871" s="36" t="s">
        <v>301</v>
      </c>
      <c r="E871" s="37">
        <v>38172</v>
      </c>
      <c r="F871" s="37" t="s">
        <v>4026</v>
      </c>
      <c r="G871" s="38">
        <v>340.38</v>
      </c>
      <c r="H871" s="38">
        <v>0</v>
      </c>
      <c r="I871" s="37"/>
      <c r="J871" s="37"/>
      <c r="K871" s="38">
        <f t="shared" si="13"/>
        <v>340.38</v>
      </c>
      <c r="L871" s="38"/>
    </row>
    <row r="872" spans="1:12" ht="14.5" x14ac:dyDescent="0.35">
      <c r="A872" s="45" t="s">
        <v>3588</v>
      </c>
      <c r="C872" s="36">
        <v>45900</v>
      </c>
      <c r="D872" s="36" t="s">
        <v>301</v>
      </c>
      <c r="E872" s="37" t="s">
        <v>3441</v>
      </c>
      <c r="F872" s="37" t="s">
        <v>4026</v>
      </c>
      <c r="G872" s="38">
        <v>2000.02</v>
      </c>
      <c r="H872" s="38">
        <v>0</v>
      </c>
      <c r="I872" s="37"/>
      <c r="J872" s="37"/>
      <c r="K872" s="38">
        <f t="shared" si="13"/>
        <v>2000.02</v>
      </c>
      <c r="L872" s="38"/>
    </row>
    <row r="873" spans="1:12" ht="14.5" x14ac:dyDescent="0.35">
      <c r="A873" s="45" t="s">
        <v>3588</v>
      </c>
      <c r="C873" s="36">
        <v>45900</v>
      </c>
      <c r="D873" s="36" t="s">
        <v>301</v>
      </c>
      <c r="E873" s="37" t="s">
        <v>3442</v>
      </c>
      <c r="F873" s="37" t="s">
        <v>4026</v>
      </c>
      <c r="G873" s="38">
        <v>10958.02</v>
      </c>
      <c r="H873" s="38">
        <v>0</v>
      </c>
      <c r="I873" s="37"/>
      <c r="J873" s="37"/>
      <c r="K873" s="38">
        <f t="shared" si="13"/>
        <v>10958.02</v>
      </c>
      <c r="L873" s="38"/>
    </row>
    <row r="874" spans="1:12" ht="14.5" x14ac:dyDescent="0.35">
      <c r="A874" s="45" t="s">
        <v>3588</v>
      </c>
      <c r="C874" s="36">
        <v>45900</v>
      </c>
      <c r="D874" s="36" t="s">
        <v>301</v>
      </c>
      <c r="E874" s="37" t="s">
        <v>3443</v>
      </c>
      <c r="F874" s="37" t="s">
        <v>4026</v>
      </c>
      <c r="G874" s="38">
        <v>1150.77</v>
      </c>
      <c r="H874" s="38">
        <v>0</v>
      </c>
      <c r="I874" s="37"/>
      <c r="J874" s="37"/>
      <c r="K874" s="38">
        <f t="shared" si="13"/>
        <v>1150.77</v>
      </c>
      <c r="L874" s="38"/>
    </row>
    <row r="875" spans="1:12" ht="14.5" x14ac:dyDescent="0.35">
      <c r="A875" s="45" t="s">
        <v>3588</v>
      </c>
      <c r="C875" s="36">
        <v>45900</v>
      </c>
      <c r="D875" s="36" t="s">
        <v>301</v>
      </c>
      <c r="E875" s="37" t="s">
        <v>3444</v>
      </c>
      <c r="F875" s="37" t="s">
        <v>4026</v>
      </c>
      <c r="G875" s="38">
        <v>5072.97</v>
      </c>
      <c r="H875" s="38">
        <v>0</v>
      </c>
      <c r="I875" s="37"/>
      <c r="J875" s="37"/>
      <c r="K875" s="38">
        <f t="shared" si="13"/>
        <v>5072.97</v>
      </c>
      <c r="L875" s="38"/>
    </row>
    <row r="876" spans="1:12" ht="14.5" x14ac:dyDescent="0.35">
      <c r="A876" s="45" t="s">
        <v>3588</v>
      </c>
      <c r="C876" s="36">
        <v>45900</v>
      </c>
      <c r="D876" s="36" t="s">
        <v>3513</v>
      </c>
      <c r="E876" s="37">
        <v>38215</v>
      </c>
      <c r="F876" s="37" t="s">
        <v>4026</v>
      </c>
      <c r="G876" s="38">
        <v>3632.8199999999997</v>
      </c>
      <c r="H876" s="38">
        <v>0</v>
      </c>
      <c r="I876" s="37"/>
      <c r="J876" s="37"/>
      <c r="K876" s="38">
        <f t="shared" si="13"/>
        <v>3632.8199999999997</v>
      </c>
      <c r="L876" s="38"/>
    </row>
    <row r="877" spans="1:12" ht="14.5" x14ac:dyDescent="0.35">
      <c r="A877" s="45" t="s">
        <v>3588</v>
      </c>
      <c r="C877" s="36">
        <v>45900</v>
      </c>
      <c r="D877" s="36" t="s">
        <v>301</v>
      </c>
      <c r="E877" s="37" t="s">
        <v>3445</v>
      </c>
      <c r="F877" s="37" t="s">
        <v>4026</v>
      </c>
      <c r="G877" s="38">
        <v>409.26</v>
      </c>
      <c r="H877" s="38">
        <v>0</v>
      </c>
      <c r="I877" s="37"/>
      <c r="J877" s="37"/>
      <c r="K877" s="38">
        <f t="shared" si="13"/>
        <v>409.26</v>
      </c>
      <c r="L877" s="38"/>
    </row>
    <row r="878" spans="1:12" ht="14.5" x14ac:dyDescent="0.35">
      <c r="A878" s="45" t="s">
        <v>3588</v>
      </c>
      <c r="C878" s="36">
        <v>45900</v>
      </c>
      <c r="D878" s="36" t="s">
        <v>301</v>
      </c>
      <c r="E878" s="37" t="s">
        <v>3446</v>
      </c>
      <c r="F878" s="37" t="s">
        <v>4026</v>
      </c>
      <c r="G878" s="38">
        <v>385.99</v>
      </c>
      <c r="H878" s="38">
        <v>0</v>
      </c>
      <c r="I878" s="37"/>
      <c r="J878" s="37"/>
      <c r="K878" s="38">
        <f t="shared" si="13"/>
        <v>385.99</v>
      </c>
      <c r="L878" s="38"/>
    </row>
    <row r="879" spans="1:12" ht="14.5" x14ac:dyDescent="0.35">
      <c r="A879" s="45" t="s">
        <v>3588</v>
      </c>
      <c r="C879" s="36">
        <v>45900</v>
      </c>
      <c r="D879" s="36" t="s">
        <v>301</v>
      </c>
      <c r="E879" s="37" t="s">
        <v>3447</v>
      </c>
      <c r="F879" s="37" t="s">
        <v>4026</v>
      </c>
      <c r="G879" s="38">
        <v>1307.55</v>
      </c>
      <c r="H879" s="38">
        <v>0</v>
      </c>
      <c r="I879" s="37"/>
      <c r="J879" s="37"/>
      <c r="K879" s="38">
        <f t="shared" si="13"/>
        <v>1307.55</v>
      </c>
      <c r="L879" s="38"/>
    </row>
    <row r="880" spans="1:12" ht="14.5" x14ac:dyDescent="0.35">
      <c r="A880" s="45" t="s">
        <v>3588</v>
      </c>
      <c r="C880" s="36">
        <v>45900</v>
      </c>
      <c r="D880" s="36" t="s">
        <v>301</v>
      </c>
      <c r="E880" s="37" t="s">
        <v>3448</v>
      </c>
      <c r="F880" s="37" t="s">
        <v>4026</v>
      </c>
      <c r="G880" s="38">
        <v>460.86</v>
      </c>
      <c r="H880" s="38">
        <v>0</v>
      </c>
      <c r="I880" s="37"/>
      <c r="J880" s="37"/>
      <c r="K880" s="38">
        <f t="shared" si="13"/>
        <v>460.86</v>
      </c>
      <c r="L880" s="38"/>
    </row>
    <row r="881" spans="1:12" ht="14.5" x14ac:dyDescent="0.35">
      <c r="A881" s="45" t="s">
        <v>3588</v>
      </c>
      <c r="C881" s="36">
        <v>45900</v>
      </c>
      <c r="D881" s="36" t="s">
        <v>301</v>
      </c>
      <c r="E881" s="37" t="s">
        <v>3449</v>
      </c>
      <c r="F881" s="37" t="s">
        <v>4026</v>
      </c>
      <c r="G881" s="38">
        <v>4.29</v>
      </c>
      <c r="H881" s="38">
        <v>0</v>
      </c>
      <c r="I881" s="37"/>
      <c r="J881" s="37"/>
      <c r="K881" s="38">
        <f t="shared" si="13"/>
        <v>4.29</v>
      </c>
      <c r="L881" s="38"/>
    </row>
    <row r="882" spans="1:12" ht="14.5" x14ac:dyDescent="0.35">
      <c r="A882" s="45" t="s">
        <v>3588</v>
      </c>
      <c r="C882" s="36">
        <v>45900</v>
      </c>
      <c r="D882" s="36" t="s">
        <v>2677</v>
      </c>
      <c r="E882" s="37">
        <v>38262</v>
      </c>
      <c r="F882" s="37" t="s">
        <v>4026</v>
      </c>
      <c r="G882" s="38">
        <v>1007.5600000000002</v>
      </c>
      <c r="H882" s="38">
        <v>0</v>
      </c>
      <c r="I882" s="37"/>
      <c r="J882" s="37"/>
      <c r="K882" s="38">
        <f t="shared" si="13"/>
        <v>1007.5600000000002</v>
      </c>
      <c r="L882" s="38"/>
    </row>
    <row r="883" spans="1:12" ht="14.5" x14ac:dyDescent="0.35">
      <c r="A883" s="45" t="s">
        <v>3588</v>
      </c>
      <c r="C883" s="36">
        <v>45900</v>
      </c>
      <c r="D883" s="36" t="s">
        <v>2677</v>
      </c>
      <c r="E883" s="37" t="s">
        <v>3450</v>
      </c>
      <c r="F883" s="37" t="s">
        <v>4026</v>
      </c>
      <c r="G883" s="38">
        <v>28889.9</v>
      </c>
      <c r="H883" s="38">
        <v>0</v>
      </c>
      <c r="I883" s="37"/>
      <c r="J883" s="37"/>
      <c r="K883" s="38">
        <f t="shared" si="13"/>
        <v>28889.9</v>
      </c>
      <c r="L883" s="38"/>
    </row>
    <row r="884" spans="1:12" ht="14.5" x14ac:dyDescent="0.35">
      <c r="A884" s="45" t="s">
        <v>3588</v>
      </c>
      <c r="C884" s="36">
        <v>45900</v>
      </c>
      <c r="D884" s="36" t="s">
        <v>2677</v>
      </c>
      <c r="E884" s="37">
        <v>38267</v>
      </c>
      <c r="F884" s="37" t="s">
        <v>4026</v>
      </c>
      <c r="G884" s="38">
        <v>2812.12</v>
      </c>
      <c r="H884" s="38">
        <v>0</v>
      </c>
      <c r="I884" s="37"/>
      <c r="J884" s="37"/>
      <c r="K884" s="38">
        <f t="shared" si="13"/>
        <v>2812.12</v>
      </c>
      <c r="L884" s="38"/>
    </row>
    <row r="885" spans="1:12" ht="14.5" x14ac:dyDescent="0.35">
      <c r="A885" s="45" t="s">
        <v>3588</v>
      </c>
      <c r="C885" s="36">
        <v>45900</v>
      </c>
      <c r="D885" s="36" t="s">
        <v>3514</v>
      </c>
      <c r="E885" s="37">
        <v>38317</v>
      </c>
      <c r="F885" s="37" t="s">
        <v>4026</v>
      </c>
      <c r="G885" s="38">
        <v>13206</v>
      </c>
      <c r="H885" s="38">
        <v>0</v>
      </c>
      <c r="I885" s="37"/>
      <c r="J885" s="37"/>
      <c r="K885" s="38">
        <f t="shared" si="13"/>
        <v>13206</v>
      </c>
      <c r="L885" s="38"/>
    </row>
    <row r="886" spans="1:12" ht="14.5" x14ac:dyDescent="0.35">
      <c r="A886" s="45" t="s">
        <v>3588</v>
      </c>
      <c r="C886" s="36">
        <v>45900</v>
      </c>
      <c r="D886" s="36" t="s">
        <v>2079</v>
      </c>
      <c r="E886" s="37" t="s">
        <v>3451</v>
      </c>
      <c r="F886" s="37" t="s">
        <v>4026</v>
      </c>
      <c r="G886" s="38">
        <v>532.58000000000004</v>
      </c>
      <c r="H886" s="38">
        <v>0</v>
      </c>
      <c r="I886" s="37"/>
      <c r="J886" s="37"/>
      <c r="K886" s="38">
        <f t="shared" si="13"/>
        <v>532.58000000000004</v>
      </c>
      <c r="L886" s="38"/>
    </row>
    <row r="887" spans="1:12" ht="14.5" x14ac:dyDescent="0.35">
      <c r="A887" s="45" t="s">
        <v>3588</v>
      </c>
      <c r="C887" s="36">
        <v>45900</v>
      </c>
      <c r="D887" s="36" t="s">
        <v>2079</v>
      </c>
      <c r="E887" s="37" t="s">
        <v>3453</v>
      </c>
      <c r="F887" s="37" t="s">
        <v>4026</v>
      </c>
      <c r="G887" s="38">
        <v>506.08</v>
      </c>
      <c r="H887" s="38">
        <v>0</v>
      </c>
      <c r="I887" s="37"/>
      <c r="J887" s="37"/>
      <c r="K887" s="38">
        <f t="shared" si="13"/>
        <v>506.08</v>
      </c>
      <c r="L887" s="38"/>
    </row>
    <row r="888" spans="1:12" ht="14.5" x14ac:dyDescent="0.35">
      <c r="A888" s="45" t="s">
        <v>3588</v>
      </c>
      <c r="C888" s="36">
        <v>45900</v>
      </c>
      <c r="D888" s="36" t="s">
        <v>2220</v>
      </c>
      <c r="E888" s="37">
        <v>38407</v>
      </c>
      <c r="F888" s="37" t="s">
        <v>4026</v>
      </c>
      <c r="G888" s="38">
        <v>8825.51</v>
      </c>
      <c r="H888" s="38">
        <v>0</v>
      </c>
      <c r="I888" s="37"/>
      <c r="J888" s="37"/>
      <c r="K888" s="38">
        <f t="shared" si="13"/>
        <v>8825.51</v>
      </c>
      <c r="L888" s="38"/>
    </row>
    <row r="889" spans="1:12" ht="14.5" x14ac:dyDescent="0.35">
      <c r="A889" s="45" t="s">
        <v>3588</v>
      </c>
      <c r="C889" s="36">
        <v>45900</v>
      </c>
      <c r="D889" s="36" t="s">
        <v>1637</v>
      </c>
      <c r="E889" s="37">
        <v>38473</v>
      </c>
      <c r="F889" s="37" t="s">
        <v>4026</v>
      </c>
      <c r="G889" s="38">
        <v>12447</v>
      </c>
      <c r="H889" s="38">
        <v>0</v>
      </c>
      <c r="I889" s="37"/>
      <c r="J889" s="37"/>
      <c r="K889" s="38">
        <f t="shared" si="13"/>
        <v>12447</v>
      </c>
      <c r="L889" s="38"/>
    </row>
    <row r="890" spans="1:12" ht="14.5" x14ac:dyDescent="0.35">
      <c r="A890" s="45" t="s">
        <v>3588</v>
      </c>
      <c r="C890" s="36">
        <v>45900</v>
      </c>
      <c r="D890" s="36" t="s">
        <v>301</v>
      </c>
      <c r="E890" s="37" t="s">
        <v>3454</v>
      </c>
      <c r="F890" s="37" t="s">
        <v>4026</v>
      </c>
      <c r="G890" s="38">
        <v>647.91999999999996</v>
      </c>
      <c r="H890" s="38">
        <v>0</v>
      </c>
      <c r="I890" s="37"/>
      <c r="J890" s="37"/>
      <c r="K890" s="38">
        <f t="shared" si="13"/>
        <v>647.91999999999996</v>
      </c>
      <c r="L890" s="38"/>
    </row>
    <row r="891" spans="1:12" ht="14.5" x14ac:dyDescent="0.35">
      <c r="A891" s="45" t="s">
        <v>3588</v>
      </c>
      <c r="C891" s="36">
        <v>45900</v>
      </c>
      <c r="D891" s="36" t="s">
        <v>3515</v>
      </c>
      <c r="E891" s="37" t="s">
        <v>3455</v>
      </c>
      <c r="F891" s="37" t="s">
        <v>4026</v>
      </c>
      <c r="G891" s="38">
        <v>21.01</v>
      </c>
      <c r="H891" s="38">
        <v>0</v>
      </c>
      <c r="I891" s="37"/>
      <c r="J891" s="37"/>
      <c r="K891" s="38">
        <f t="shared" si="13"/>
        <v>21.01</v>
      </c>
      <c r="L891" s="38"/>
    </row>
    <row r="892" spans="1:12" ht="14.5" x14ac:dyDescent="0.35">
      <c r="A892" s="45" t="s">
        <v>3588</v>
      </c>
      <c r="C892" s="36">
        <v>45900</v>
      </c>
      <c r="D892" s="36" t="s">
        <v>3516</v>
      </c>
      <c r="E892" s="37" t="s">
        <v>3456</v>
      </c>
      <c r="F892" s="37" t="s">
        <v>4026</v>
      </c>
      <c r="G892" s="38">
        <v>80.25</v>
      </c>
      <c r="H892" s="38">
        <v>0</v>
      </c>
      <c r="I892" s="37"/>
      <c r="J892" s="37"/>
      <c r="K892" s="38">
        <f t="shared" si="13"/>
        <v>80.25</v>
      </c>
      <c r="L892" s="38"/>
    </row>
    <row r="893" spans="1:12" ht="14.5" x14ac:dyDescent="0.35">
      <c r="A893" s="45" t="s">
        <v>3588</v>
      </c>
      <c r="C893" s="36">
        <v>45900</v>
      </c>
      <c r="D893" s="36" t="s">
        <v>3517</v>
      </c>
      <c r="E893" s="37" t="s">
        <v>3457</v>
      </c>
      <c r="F893" s="37" t="s">
        <v>4026</v>
      </c>
      <c r="G893" s="38">
        <v>2196.5099999999998</v>
      </c>
      <c r="H893" s="38">
        <v>0</v>
      </c>
      <c r="I893" s="37"/>
      <c r="J893" s="37"/>
      <c r="K893" s="38">
        <f t="shared" si="13"/>
        <v>2196.5099999999998</v>
      </c>
      <c r="L893" s="38"/>
    </row>
    <row r="894" spans="1:12" ht="14.5" x14ac:dyDescent="0.35">
      <c r="A894" s="45" t="s">
        <v>3588</v>
      </c>
      <c r="C894" s="36">
        <v>45900</v>
      </c>
      <c r="D894" s="36" t="s">
        <v>3518</v>
      </c>
      <c r="E894" s="37">
        <v>38527</v>
      </c>
      <c r="F894" s="37" t="s">
        <v>4026</v>
      </c>
      <c r="G894" s="38">
        <v>1219.49</v>
      </c>
      <c r="H894" s="38">
        <v>0</v>
      </c>
      <c r="I894" s="37"/>
      <c r="J894" s="37"/>
      <c r="K894" s="38">
        <f t="shared" si="13"/>
        <v>1219.49</v>
      </c>
      <c r="L894" s="38"/>
    </row>
    <row r="895" spans="1:12" ht="14.5" x14ac:dyDescent="0.35">
      <c r="A895" s="45" t="s">
        <v>3588</v>
      </c>
      <c r="C895" s="36">
        <v>45900</v>
      </c>
      <c r="D895" s="36" t="s">
        <v>1920</v>
      </c>
      <c r="E895" s="37" t="s">
        <v>3458</v>
      </c>
      <c r="F895" s="37" t="s">
        <v>4026</v>
      </c>
      <c r="G895" s="38">
        <v>186</v>
      </c>
      <c r="H895" s="38">
        <v>0</v>
      </c>
      <c r="I895" s="37"/>
      <c r="J895" s="37"/>
      <c r="K895" s="38">
        <f t="shared" si="13"/>
        <v>186</v>
      </c>
      <c r="L895" s="38"/>
    </row>
    <row r="896" spans="1:12" ht="14.5" x14ac:dyDescent="0.35">
      <c r="A896" s="45" t="s">
        <v>3588</v>
      </c>
      <c r="C896" s="36">
        <v>45900</v>
      </c>
      <c r="D896" s="36" t="s">
        <v>1920</v>
      </c>
      <c r="E896" s="37" t="s">
        <v>3459</v>
      </c>
      <c r="F896" s="37" t="s">
        <v>4026</v>
      </c>
      <c r="G896" s="38">
        <v>1699.12</v>
      </c>
      <c r="H896" s="38">
        <v>0</v>
      </c>
      <c r="I896" s="37"/>
      <c r="J896" s="37"/>
      <c r="K896" s="38">
        <f t="shared" si="13"/>
        <v>1699.12</v>
      </c>
      <c r="L896" s="38"/>
    </row>
    <row r="897" spans="1:12" ht="14.5" x14ac:dyDescent="0.35">
      <c r="A897" s="45" t="s">
        <v>3588</v>
      </c>
      <c r="C897" s="36">
        <v>45900</v>
      </c>
      <c r="D897" s="36" t="s">
        <v>1920</v>
      </c>
      <c r="E897" s="37" t="s">
        <v>3460</v>
      </c>
      <c r="F897" s="37" t="s">
        <v>4026</v>
      </c>
      <c r="G897" s="38">
        <v>176.5</v>
      </c>
      <c r="H897" s="38">
        <v>0</v>
      </c>
      <c r="I897" s="37"/>
      <c r="J897" s="37"/>
      <c r="K897" s="38">
        <f t="shared" si="13"/>
        <v>176.5</v>
      </c>
      <c r="L897" s="38"/>
    </row>
    <row r="898" spans="1:12" ht="14.5" x14ac:dyDescent="0.35">
      <c r="A898" s="45" t="s">
        <v>3588</v>
      </c>
      <c r="C898" s="36">
        <v>45900</v>
      </c>
      <c r="D898" s="36" t="s">
        <v>301</v>
      </c>
      <c r="E898" s="37">
        <v>38553</v>
      </c>
      <c r="F898" s="37" t="s">
        <v>4026</v>
      </c>
      <c r="G898" s="38">
        <v>562.51</v>
      </c>
      <c r="H898" s="38">
        <v>0</v>
      </c>
      <c r="I898" s="37"/>
      <c r="J898" s="37"/>
      <c r="K898" s="38">
        <f t="shared" si="13"/>
        <v>562.51</v>
      </c>
      <c r="L898" s="38"/>
    </row>
    <row r="899" spans="1:12" ht="14.5" x14ac:dyDescent="0.35">
      <c r="A899" s="45" t="s">
        <v>3588</v>
      </c>
      <c r="C899" s="36">
        <v>45900</v>
      </c>
      <c r="D899" s="36" t="s">
        <v>301</v>
      </c>
      <c r="E899" s="37" t="s">
        <v>3461</v>
      </c>
      <c r="F899" s="37" t="s">
        <v>4026</v>
      </c>
      <c r="G899" s="38">
        <v>58.74</v>
      </c>
      <c r="H899" s="38">
        <v>0</v>
      </c>
      <c r="I899" s="37"/>
      <c r="J899" s="37"/>
      <c r="K899" s="38">
        <f t="shared" si="13"/>
        <v>58.74</v>
      </c>
      <c r="L899" s="38"/>
    </row>
    <row r="900" spans="1:12" ht="14.5" x14ac:dyDescent="0.35">
      <c r="A900" s="45" t="s">
        <v>3588</v>
      </c>
      <c r="C900" s="36">
        <v>45900</v>
      </c>
      <c r="D900" s="36" t="s">
        <v>301</v>
      </c>
      <c r="E900" s="37">
        <v>38557</v>
      </c>
      <c r="F900" s="37" t="s">
        <v>4026</v>
      </c>
      <c r="G900" s="38">
        <v>3216.2999999999993</v>
      </c>
      <c r="H900" s="38">
        <v>0</v>
      </c>
      <c r="I900" s="37"/>
      <c r="J900" s="37"/>
      <c r="K900" s="38">
        <f t="shared" si="13"/>
        <v>3216.2999999999993</v>
      </c>
      <c r="L900" s="38"/>
    </row>
    <row r="901" spans="1:12" ht="14.5" x14ac:dyDescent="0.35">
      <c r="A901" s="45" t="s">
        <v>3588</v>
      </c>
      <c r="C901" s="36">
        <v>45900</v>
      </c>
      <c r="D901" s="36" t="s">
        <v>3519</v>
      </c>
      <c r="E901" s="37">
        <v>38603</v>
      </c>
      <c r="F901" s="37" t="s">
        <v>4026</v>
      </c>
      <c r="G901" s="38">
        <v>527.86</v>
      </c>
      <c r="H901" s="38">
        <v>0</v>
      </c>
      <c r="I901" s="37"/>
      <c r="J901" s="37"/>
      <c r="K901" s="38">
        <f t="shared" ref="K901:K964" si="14">G901-H901</f>
        <v>527.86</v>
      </c>
      <c r="L901" s="38"/>
    </row>
    <row r="902" spans="1:12" ht="14.5" x14ac:dyDescent="0.35">
      <c r="A902" s="45" t="s">
        <v>3588</v>
      </c>
      <c r="C902" s="36">
        <v>45900</v>
      </c>
      <c r="D902" s="36" t="s">
        <v>1484</v>
      </c>
      <c r="E902" s="37" t="s">
        <v>3462</v>
      </c>
      <c r="F902" s="37" t="s">
        <v>4026</v>
      </c>
      <c r="G902" s="38">
        <v>517.41</v>
      </c>
      <c r="H902" s="38">
        <v>0</v>
      </c>
      <c r="I902" s="37"/>
      <c r="J902" s="37"/>
      <c r="K902" s="38">
        <f t="shared" si="14"/>
        <v>517.41</v>
      </c>
      <c r="L902" s="38"/>
    </row>
    <row r="903" spans="1:12" ht="14.5" x14ac:dyDescent="0.35">
      <c r="A903" s="45" t="s">
        <v>3588</v>
      </c>
      <c r="C903" s="36">
        <v>45900</v>
      </c>
      <c r="D903" s="36" t="s">
        <v>3514</v>
      </c>
      <c r="E903" s="37">
        <v>38607</v>
      </c>
      <c r="F903" s="37" t="s">
        <v>4026</v>
      </c>
      <c r="G903" s="38">
        <v>1339.21</v>
      </c>
      <c r="H903" s="38">
        <v>0</v>
      </c>
      <c r="I903" s="37"/>
      <c r="J903" s="37"/>
      <c r="K903" s="38">
        <f t="shared" si="14"/>
        <v>1339.21</v>
      </c>
      <c r="L903" s="38"/>
    </row>
    <row r="904" spans="1:12" ht="14.5" x14ac:dyDescent="0.35">
      <c r="A904" s="45" t="s">
        <v>3588</v>
      </c>
      <c r="C904" s="36">
        <v>45900</v>
      </c>
      <c r="D904" s="36" t="s">
        <v>2459</v>
      </c>
      <c r="E904" s="37">
        <v>38621</v>
      </c>
      <c r="F904" s="37" t="s">
        <v>4026</v>
      </c>
      <c r="G904" s="38">
        <v>10377.15</v>
      </c>
      <c r="H904" s="38">
        <v>0</v>
      </c>
      <c r="I904" s="37"/>
      <c r="J904" s="37"/>
      <c r="K904" s="38">
        <f t="shared" si="14"/>
        <v>10377.15</v>
      </c>
      <c r="L904" s="38"/>
    </row>
    <row r="905" spans="1:12" ht="14.5" x14ac:dyDescent="0.35">
      <c r="A905" s="45" t="s">
        <v>3588</v>
      </c>
      <c r="C905" s="36">
        <v>45900</v>
      </c>
      <c r="D905" s="36" t="s">
        <v>2144</v>
      </c>
      <c r="E905" s="37">
        <v>38627</v>
      </c>
      <c r="F905" s="37" t="s">
        <v>4026</v>
      </c>
      <c r="G905" s="38">
        <v>855.64</v>
      </c>
      <c r="H905" s="38">
        <v>0</v>
      </c>
      <c r="I905" s="37"/>
      <c r="J905" s="37"/>
      <c r="K905" s="38">
        <f t="shared" si="14"/>
        <v>855.64</v>
      </c>
      <c r="L905" s="38"/>
    </row>
    <row r="906" spans="1:12" ht="14.5" x14ac:dyDescent="0.35">
      <c r="A906" s="45" t="s">
        <v>3588</v>
      </c>
      <c r="C906" s="36">
        <v>45900</v>
      </c>
      <c r="D906" s="36" t="s">
        <v>3494</v>
      </c>
      <c r="E906" s="37">
        <v>38636</v>
      </c>
      <c r="F906" s="37" t="s">
        <v>4026</v>
      </c>
      <c r="G906" s="38">
        <v>4751.6100000000006</v>
      </c>
      <c r="H906" s="38">
        <v>0</v>
      </c>
      <c r="I906" s="37"/>
      <c r="J906" s="37"/>
      <c r="K906" s="38">
        <f t="shared" si="14"/>
        <v>4751.6100000000006</v>
      </c>
      <c r="L906" s="38"/>
    </row>
    <row r="907" spans="1:12" ht="14.5" x14ac:dyDescent="0.35">
      <c r="A907" s="45" t="s">
        <v>3588</v>
      </c>
      <c r="C907" s="36">
        <v>45900</v>
      </c>
      <c r="D907" s="36" t="s">
        <v>2386</v>
      </c>
      <c r="E907" s="37">
        <v>38670</v>
      </c>
      <c r="F907" s="37" t="s">
        <v>4026</v>
      </c>
      <c r="G907" s="38">
        <v>80397.33</v>
      </c>
      <c r="H907" s="38">
        <v>0</v>
      </c>
      <c r="I907" s="37"/>
      <c r="J907" s="37"/>
      <c r="K907" s="38">
        <f t="shared" si="14"/>
        <v>80397.33</v>
      </c>
      <c r="L907" s="38"/>
    </row>
    <row r="908" spans="1:12" ht="14.5" x14ac:dyDescent="0.35">
      <c r="A908" s="45" t="s">
        <v>3588</v>
      </c>
      <c r="C908" s="36">
        <v>45900</v>
      </c>
      <c r="D908" s="36" t="s">
        <v>2220</v>
      </c>
      <c r="E908" s="37">
        <v>38671</v>
      </c>
      <c r="F908" s="37" t="s">
        <v>4026</v>
      </c>
      <c r="G908" s="38">
        <v>16765.79</v>
      </c>
      <c r="H908" s="38">
        <v>0</v>
      </c>
      <c r="I908" s="37"/>
      <c r="J908" s="37"/>
      <c r="K908" s="38">
        <f t="shared" si="14"/>
        <v>16765.79</v>
      </c>
      <c r="L908" s="38"/>
    </row>
    <row r="909" spans="1:12" ht="14.5" x14ac:dyDescent="0.35">
      <c r="A909" s="45" t="s">
        <v>3588</v>
      </c>
      <c r="C909" s="36">
        <v>45900</v>
      </c>
      <c r="D909" s="36" t="s">
        <v>2220</v>
      </c>
      <c r="E909" s="37" t="s">
        <v>3463</v>
      </c>
      <c r="F909" s="37" t="s">
        <v>4026</v>
      </c>
      <c r="G909" s="38">
        <v>31055.1</v>
      </c>
      <c r="H909" s="38">
        <v>0</v>
      </c>
      <c r="I909" s="37"/>
      <c r="J909" s="37"/>
      <c r="K909" s="38">
        <f t="shared" si="14"/>
        <v>31055.1</v>
      </c>
      <c r="L909" s="38"/>
    </row>
    <row r="910" spans="1:12" ht="14.5" x14ac:dyDescent="0.35">
      <c r="A910" s="45" t="s">
        <v>3588</v>
      </c>
      <c r="C910" s="36">
        <v>45900</v>
      </c>
      <c r="D910" s="36" t="s">
        <v>3520</v>
      </c>
      <c r="E910" s="37">
        <v>38674</v>
      </c>
      <c r="F910" s="37" t="s">
        <v>4026</v>
      </c>
      <c r="G910" s="38">
        <v>166.1</v>
      </c>
      <c r="H910" s="38">
        <v>0</v>
      </c>
      <c r="I910" s="37"/>
      <c r="J910" s="37"/>
      <c r="K910" s="38">
        <f t="shared" si="14"/>
        <v>166.1</v>
      </c>
      <c r="L910" s="38"/>
    </row>
    <row r="911" spans="1:12" ht="14.5" x14ac:dyDescent="0.35">
      <c r="A911" s="45" t="s">
        <v>3588</v>
      </c>
      <c r="C911" s="36">
        <v>45900</v>
      </c>
      <c r="D911" s="36" t="s">
        <v>3826</v>
      </c>
      <c r="E911" s="37" t="s">
        <v>3827</v>
      </c>
      <c r="F911" s="37" t="s">
        <v>4026</v>
      </c>
      <c r="G911" s="38">
        <v>0</v>
      </c>
      <c r="H911" s="38">
        <v>441.12</v>
      </c>
      <c r="I911" s="37"/>
      <c r="J911" s="37"/>
      <c r="K911" s="38">
        <f t="shared" si="14"/>
        <v>-441.12</v>
      </c>
      <c r="L911" s="38"/>
    </row>
    <row r="912" spans="1:12" ht="14.5" x14ac:dyDescent="0.35">
      <c r="A912" s="45" t="s">
        <v>3588</v>
      </c>
      <c r="C912" s="36">
        <v>45900</v>
      </c>
      <c r="D912" s="36" t="s">
        <v>3502</v>
      </c>
      <c r="E912" s="37">
        <v>38701</v>
      </c>
      <c r="F912" s="37" t="s">
        <v>4026</v>
      </c>
      <c r="G912" s="38">
        <v>2482.3200000000002</v>
      </c>
      <c r="H912" s="38">
        <v>0</v>
      </c>
      <c r="I912" s="37"/>
      <c r="J912" s="37"/>
      <c r="K912" s="38">
        <f t="shared" si="14"/>
        <v>2482.3200000000002</v>
      </c>
      <c r="L912" s="38"/>
    </row>
    <row r="913" spans="1:12" ht="14.5" x14ac:dyDescent="0.35">
      <c r="A913" s="45" t="s">
        <v>3588</v>
      </c>
      <c r="C913" s="36">
        <v>45900</v>
      </c>
      <c r="D913" s="36" t="s">
        <v>3521</v>
      </c>
      <c r="E913" s="37">
        <v>38718</v>
      </c>
      <c r="F913" s="37" t="s">
        <v>4026</v>
      </c>
      <c r="G913" s="38">
        <v>1272.71</v>
      </c>
      <c r="H913" s="38">
        <v>0</v>
      </c>
      <c r="I913" s="37"/>
      <c r="J913" s="37"/>
      <c r="K913" s="38">
        <f t="shared" si="14"/>
        <v>1272.71</v>
      </c>
      <c r="L913" s="38"/>
    </row>
    <row r="914" spans="1:12" ht="14.5" x14ac:dyDescent="0.35">
      <c r="A914" s="45" t="s">
        <v>3588</v>
      </c>
      <c r="C914" s="36">
        <v>45900</v>
      </c>
      <c r="D914" s="36" t="s">
        <v>3522</v>
      </c>
      <c r="E914" s="37">
        <v>38721</v>
      </c>
      <c r="F914" s="37" t="s">
        <v>4026</v>
      </c>
      <c r="G914" s="38">
        <v>72</v>
      </c>
      <c r="H914" s="38">
        <v>0</v>
      </c>
      <c r="I914" s="37"/>
      <c r="J914" s="37"/>
      <c r="K914" s="38">
        <f t="shared" si="14"/>
        <v>72</v>
      </c>
      <c r="L914" s="38"/>
    </row>
    <row r="915" spans="1:12" ht="14.5" x14ac:dyDescent="0.35">
      <c r="A915" s="45" t="s">
        <v>3588</v>
      </c>
      <c r="C915" s="36">
        <v>45900</v>
      </c>
      <c r="D915" s="36" t="s">
        <v>3523</v>
      </c>
      <c r="E915" s="37">
        <v>38726</v>
      </c>
      <c r="F915" s="37" t="s">
        <v>4026</v>
      </c>
      <c r="G915" s="38">
        <v>1024.74</v>
      </c>
      <c r="H915" s="38">
        <v>0</v>
      </c>
      <c r="I915" s="37"/>
      <c r="J915" s="37"/>
      <c r="K915" s="38">
        <f t="shared" si="14"/>
        <v>1024.74</v>
      </c>
      <c r="L915" s="38"/>
    </row>
    <row r="916" spans="1:12" ht="14.5" x14ac:dyDescent="0.35">
      <c r="A916" s="45" t="s">
        <v>3588</v>
      </c>
      <c r="C916" s="36">
        <v>45900</v>
      </c>
      <c r="D916" s="36" t="s">
        <v>3524</v>
      </c>
      <c r="E916" s="37" t="s">
        <v>3464</v>
      </c>
      <c r="F916" s="37" t="s">
        <v>4026</v>
      </c>
      <c r="G916" s="38">
        <v>1096.04</v>
      </c>
      <c r="H916" s="38">
        <v>0</v>
      </c>
      <c r="I916" s="37"/>
      <c r="J916" s="37"/>
      <c r="K916" s="38">
        <f t="shared" si="14"/>
        <v>1096.04</v>
      </c>
      <c r="L916" s="38"/>
    </row>
    <row r="917" spans="1:12" ht="14.5" x14ac:dyDescent="0.35">
      <c r="A917" s="45" t="s">
        <v>3588</v>
      </c>
      <c r="C917" s="36">
        <v>45900</v>
      </c>
      <c r="D917" s="36" t="s">
        <v>3525</v>
      </c>
      <c r="E917" s="37">
        <v>38744</v>
      </c>
      <c r="F917" s="37" t="s">
        <v>4026</v>
      </c>
      <c r="G917" s="38">
        <v>1157.02</v>
      </c>
      <c r="H917" s="38">
        <v>0</v>
      </c>
      <c r="I917" s="37"/>
      <c r="J917" s="37"/>
      <c r="K917" s="38">
        <f t="shared" si="14"/>
        <v>1157.02</v>
      </c>
      <c r="L917" s="38"/>
    </row>
    <row r="918" spans="1:12" ht="14.5" x14ac:dyDescent="0.35">
      <c r="A918" s="45" t="s">
        <v>3588</v>
      </c>
      <c r="C918" s="36">
        <v>45900</v>
      </c>
      <c r="D918" s="36" t="s">
        <v>2480</v>
      </c>
      <c r="E918" s="37">
        <v>38749</v>
      </c>
      <c r="F918" s="37" t="s">
        <v>4026</v>
      </c>
      <c r="G918" s="38">
        <v>669.75</v>
      </c>
      <c r="H918" s="38">
        <v>0</v>
      </c>
      <c r="I918" s="37"/>
      <c r="J918" s="37"/>
      <c r="K918" s="38">
        <f t="shared" si="14"/>
        <v>669.75</v>
      </c>
      <c r="L918" s="38"/>
    </row>
    <row r="919" spans="1:12" ht="14.5" x14ac:dyDescent="0.35">
      <c r="A919" s="45" t="s">
        <v>3588</v>
      </c>
      <c r="C919" s="36">
        <v>45900</v>
      </c>
      <c r="D919" s="36" t="s">
        <v>3475</v>
      </c>
      <c r="E919" s="37">
        <v>38758</v>
      </c>
      <c r="F919" s="37" t="s">
        <v>4026</v>
      </c>
      <c r="G919" s="38">
        <v>941</v>
      </c>
      <c r="H919" s="38">
        <v>0</v>
      </c>
      <c r="I919" s="37"/>
      <c r="J919" s="37"/>
      <c r="K919" s="38">
        <f t="shared" si="14"/>
        <v>941</v>
      </c>
      <c r="L919" s="38"/>
    </row>
    <row r="920" spans="1:12" ht="14.5" x14ac:dyDescent="0.35">
      <c r="A920" s="45" t="s">
        <v>3588</v>
      </c>
      <c r="C920" s="36">
        <v>45900</v>
      </c>
      <c r="D920" s="36" t="s">
        <v>3526</v>
      </c>
      <c r="E920" s="37">
        <v>38785</v>
      </c>
      <c r="F920" s="37" t="s">
        <v>4026</v>
      </c>
      <c r="G920" s="38">
        <v>1480</v>
      </c>
      <c r="H920" s="38">
        <v>0</v>
      </c>
      <c r="I920" s="37"/>
      <c r="J920" s="37"/>
      <c r="K920" s="38">
        <f t="shared" si="14"/>
        <v>1480</v>
      </c>
      <c r="L920" s="38"/>
    </row>
    <row r="921" spans="1:12" ht="14.5" x14ac:dyDescent="0.35">
      <c r="A921" s="45" t="s">
        <v>3588</v>
      </c>
      <c r="C921" s="36">
        <v>45900</v>
      </c>
      <c r="D921" s="36" t="s">
        <v>2189</v>
      </c>
      <c r="E921" s="37">
        <v>38793</v>
      </c>
      <c r="F921" s="37" t="s">
        <v>4026</v>
      </c>
      <c r="G921" s="38">
        <v>77.34</v>
      </c>
      <c r="H921" s="38">
        <v>0</v>
      </c>
      <c r="I921" s="37"/>
      <c r="J921" s="37"/>
      <c r="K921" s="38">
        <f t="shared" si="14"/>
        <v>77.34</v>
      </c>
      <c r="L921" s="38"/>
    </row>
    <row r="922" spans="1:12" ht="14.5" x14ac:dyDescent="0.35">
      <c r="A922" s="45" t="s">
        <v>3588</v>
      </c>
      <c r="C922" s="36">
        <v>45900</v>
      </c>
      <c r="D922" s="36" t="s">
        <v>3527</v>
      </c>
      <c r="E922" s="37">
        <v>38795</v>
      </c>
      <c r="F922" s="37" t="s">
        <v>4026</v>
      </c>
      <c r="G922" s="38">
        <v>42.97</v>
      </c>
      <c r="H922" s="38">
        <v>0</v>
      </c>
      <c r="I922" s="37"/>
      <c r="J922" s="37"/>
      <c r="K922" s="38">
        <f t="shared" si="14"/>
        <v>42.97</v>
      </c>
      <c r="L922" s="38"/>
    </row>
    <row r="923" spans="1:12" ht="14.5" x14ac:dyDescent="0.35">
      <c r="A923" s="45" t="s">
        <v>3588</v>
      </c>
      <c r="C923" s="36">
        <v>45900</v>
      </c>
      <c r="D923" s="36" t="s">
        <v>3528</v>
      </c>
      <c r="E923" s="37">
        <v>38796</v>
      </c>
      <c r="F923" s="37" t="s">
        <v>4026</v>
      </c>
      <c r="G923" s="38">
        <v>822.7</v>
      </c>
      <c r="H923" s="38">
        <v>0</v>
      </c>
      <c r="I923" s="37"/>
      <c r="J923" s="37"/>
      <c r="K923" s="38">
        <f t="shared" si="14"/>
        <v>822.7</v>
      </c>
      <c r="L923" s="38"/>
    </row>
    <row r="924" spans="1:12" ht="14.5" x14ac:dyDescent="0.35">
      <c r="A924" s="45" t="s">
        <v>3588</v>
      </c>
      <c r="C924" s="36">
        <v>45900</v>
      </c>
      <c r="D924" s="36" t="s">
        <v>3529</v>
      </c>
      <c r="E924" s="37">
        <v>38799</v>
      </c>
      <c r="F924" s="37" t="s">
        <v>4026</v>
      </c>
      <c r="G924" s="38">
        <v>4876.0200000000004</v>
      </c>
      <c r="H924" s="38">
        <v>0</v>
      </c>
      <c r="I924" s="37"/>
      <c r="J924" s="37"/>
      <c r="K924" s="38">
        <f t="shared" si="14"/>
        <v>4876.0200000000004</v>
      </c>
      <c r="L924" s="38"/>
    </row>
    <row r="925" spans="1:12" ht="14.5" x14ac:dyDescent="0.35">
      <c r="A925" s="45" t="s">
        <v>3588</v>
      </c>
      <c r="C925" s="36">
        <v>45900</v>
      </c>
      <c r="D925" s="36" t="s">
        <v>3530</v>
      </c>
      <c r="E925" s="37">
        <v>38800</v>
      </c>
      <c r="F925" s="37" t="s">
        <v>4026</v>
      </c>
      <c r="G925" s="38">
        <v>19930.93</v>
      </c>
      <c r="H925" s="38">
        <v>0</v>
      </c>
      <c r="I925" s="37"/>
      <c r="J925" s="37"/>
      <c r="K925" s="38">
        <f t="shared" si="14"/>
        <v>19930.93</v>
      </c>
      <c r="L925" s="38"/>
    </row>
    <row r="926" spans="1:12" ht="14.5" x14ac:dyDescent="0.35">
      <c r="A926" s="45" t="s">
        <v>3588</v>
      </c>
      <c r="C926" s="36">
        <v>45900</v>
      </c>
      <c r="D926" s="36" t="s">
        <v>3531</v>
      </c>
      <c r="E926" s="37">
        <v>38801</v>
      </c>
      <c r="F926" s="37" t="s">
        <v>4026</v>
      </c>
      <c r="G926" s="38">
        <v>2935.66</v>
      </c>
      <c r="H926" s="38">
        <v>0</v>
      </c>
      <c r="I926" s="37"/>
      <c r="J926" s="37"/>
      <c r="K926" s="38">
        <f t="shared" si="14"/>
        <v>2935.66</v>
      </c>
      <c r="L926" s="38"/>
    </row>
    <row r="927" spans="1:12" ht="14.5" x14ac:dyDescent="0.35">
      <c r="A927" s="45" t="s">
        <v>3588</v>
      </c>
      <c r="C927" s="36">
        <v>45900</v>
      </c>
      <c r="D927" s="36" t="s">
        <v>3532</v>
      </c>
      <c r="E927" s="37">
        <v>38803</v>
      </c>
      <c r="F927" s="37" t="s">
        <v>4026</v>
      </c>
      <c r="G927" s="38">
        <v>1029.58</v>
      </c>
      <c r="H927" s="38">
        <v>0</v>
      </c>
      <c r="I927" s="37"/>
      <c r="J927" s="37"/>
      <c r="K927" s="38">
        <f t="shared" si="14"/>
        <v>1029.58</v>
      </c>
      <c r="L927" s="38"/>
    </row>
    <row r="928" spans="1:12" ht="14.5" x14ac:dyDescent="0.35">
      <c r="A928" s="45" t="s">
        <v>3588</v>
      </c>
      <c r="C928" s="36">
        <v>45900</v>
      </c>
      <c r="D928" s="36" t="s">
        <v>3533</v>
      </c>
      <c r="E928" s="37" t="s">
        <v>3465</v>
      </c>
      <c r="F928" s="37" t="s">
        <v>4026</v>
      </c>
      <c r="G928" s="38">
        <v>0.02</v>
      </c>
      <c r="H928" s="38">
        <v>0</v>
      </c>
      <c r="I928" s="37"/>
      <c r="J928" s="37"/>
      <c r="K928" s="38">
        <f t="shared" si="14"/>
        <v>0.02</v>
      </c>
      <c r="L928" s="38"/>
    </row>
    <row r="929" spans="1:12" ht="14.5" x14ac:dyDescent="0.35">
      <c r="A929" s="45" t="s">
        <v>3588</v>
      </c>
      <c r="C929" s="36">
        <v>45900</v>
      </c>
      <c r="D929" s="36" t="s">
        <v>3535</v>
      </c>
      <c r="E929" s="37">
        <v>38815</v>
      </c>
      <c r="F929" s="37" t="s">
        <v>4026</v>
      </c>
      <c r="G929" s="38">
        <v>1343.69</v>
      </c>
      <c r="H929" s="38">
        <v>0</v>
      </c>
      <c r="I929" s="37"/>
      <c r="J929" s="37"/>
      <c r="K929" s="38">
        <f t="shared" si="14"/>
        <v>1343.69</v>
      </c>
      <c r="L929" s="38"/>
    </row>
    <row r="930" spans="1:12" ht="14.5" x14ac:dyDescent="0.35">
      <c r="A930" s="45" t="s">
        <v>3588</v>
      </c>
      <c r="C930" s="36">
        <v>45900</v>
      </c>
      <c r="D930" s="36" t="s">
        <v>3536</v>
      </c>
      <c r="E930" s="37">
        <v>38818</v>
      </c>
      <c r="F930" s="37" t="s">
        <v>4026</v>
      </c>
      <c r="G930" s="38">
        <v>405.54</v>
      </c>
      <c r="H930" s="38">
        <v>0</v>
      </c>
      <c r="I930" s="37"/>
      <c r="J930" s="37"/>
      <c r="K930" s="38">
        <f t="shared" si="14"/>
        <v>405.54</v>
      </c>
      <c r="L930" s="38"/>
    </row>
    <row r="931" spans="1:12" ht="14.5" x14ac:dyDescent="0.35">
      <c r="A931" s="45" t="s">
        <v>3588</v>
      </c>
      <c r="C931" s="36">
        <v>45900</v>
      </c>
      <c r="D931" s="36" t="s">
        <v>3537</v>
      </c>
      <c r="E931" s="37">
        <v>38820</v>
      </c>
      <c r="F931" s="37" t="s">
        <v>4026</v>
      </c>
      <c r="G931" s="38">
        <v>73414.359999999986</v>
      </c>
      <c r="H931" s="38">
        <v>0</v>
      </c>
      <c r="I931" s="37"/>
      <c r="J931" s="37"/>
      <c r="K931" s="38">
        <f t="shared" si="14"/>
        <v>73414.359999999986</v>
      </c>
      <c r="L931" s="38"/>
    </row>
    <row r="932" spans="1:12" ht="14.5" x14ac:dyDescent="0.35">
      <c r="A932" s="45" t="s">
        <v>3588</v>
      </c>
      <c r="C932" s="36">
        <v>45900</v>
      </c>
      <c r="D932" s="36" t="s">
        <v>3537</v>
      </c>
      <c r="E932" s="37" t="s">
        <v>3466</v>
      </c>
      <c r="F932" s="37" t="s">
        <v>4026</v>
      </c>
      <c r="G932" s="38">
        <v>2903.2200000000003</v>
      </c>
      <c r="H932" s="38">
        <v>0</v>
      </c>
      <c r="I932" s="37"/>
      <c r="J932" s="37"/>
      <c r="K932" s="38">
        <f t="shared" si="14"/>
        <v>2903.2200000000003</v>
      </c>
      <c r="L932" s="38"/>
    </row>
    <row r="933" spans="1:12" ht="14.5" x14ac:dyDescent="0.35">
      <c r="A933" s="45" t="s">
        <v>3588</v>
      </c>
      <c r="C933" s="36">
        <v>45900</v>
      </c>
      <c r="D933" s="36" t="s">
        <v>3537</v>
      </c>
      <c r="E933" s="37" t="s">
        <v>3467</v>
      </c>
      <c r="F933" s="37" t="s">
        <v>4026</v>
      </c>
      <c r="G933" s="38">
        <v>403.5800000000001</v>
      </c>
      <c r="H933" s="38">
        <v>0</v>
      </c>
      <c r="I933" s="37"/>
      <c r="J933" s="37"/>
      <c r="K933" s="38">
        <f t="shared" si="14"/>
        <v>403.5800000000001</v>
      </c>
      <c r="L933" s="38"/>
    </row>
    <row r="934" spans="1:12" ht="14.5" x14ac:dyDescent="0.35">
      <c r="A934" s="45" t="s">
        <v>3588</v>
      </c>
      <c r="C934" s="36">
        <v>45900</v>
      </c>
      <c r="D934" s="36" t="s">
        <v>3538</v>
      </c>
      <c r="E934" s="37">
        <v>38824</v>
      </c>
      <c r="F934" s="37" t="s">
        <v>4026</v>
      </c>
      <c r="G934" s="38">
        <v>176.49</v>
      </c>
      <c r="H934" s="38">
        <v>0</v>
      </c>
      <c r="I934" s="37"/>
      <c r="J934" s="37"/>
      <c r="K934" s="38">
        <f t="shared" si="14"/>
        <v>176.49</v>
      </c>
      <c r="L934" s="38"/>
    </row>
    <row r="935" spans="1:12" ht="14.5" x14ac:dyDescent="0.35">
      <c r="A935" s="45" t="s">
        <v>3588</v>
      </c>
      <c r="C935" s="36">
        <v>45900</v>
      </c>
      <c r="D935" s="36" t="s">
        <v>3539</v>
      </c>
      <c r="E935" s="37">
        <v>38835</v>
      </c>
      <c r="F935" s="37" t="s">
        <v>4026</v>
      </c>
      <c r="G935" s="38">
        <v>918.16</v>
      </c>
      <c r="H935" s="38">
        <v>0</v>
      </c>
      <c r="I935" s="37"/>
      <c r="J935" s="37"/>
      <c r="K935" s="38">
        <f t="shared" si="14"/>
        <v>918.16</v>
      </c>
      <c r="L935" s="38"/>
    </row>
    <row r="936" spans="1:12" ht="14.5" x14ac:dyDescent="0.35">
      <c r="A936" s="45" t="s">
        <v>3588</v>
      </c>
      <c r="C936" s="36">
        <v>45900</v>
      </c>
      <c r="D936" s="36" t="s">
        <v>3540</v>
      </c>
      <c r="E936" s="37">
        <v>38842</v>
      </c>
      <c r="F936" s="37" t="s">
        <v>4026</v>
      </c>
      <c r="G936" s="38">
        <v>50021.969999999987</v>
      </c>
      <c r="H936" s="38">
        <v>0</v>
      </c>
      <c r="I936" s="37"/>
      <c r="J936" s="37"/>
      <c r="K936" s="38">
        <f t="shared" si="14"/>
        <v>50021.969999999987</v>
      </c>
      <c r="L936" s="38"/>
    </row>
    <row r="937" spans="1:12" ht="14.5" x14ac:dyDescent="0.35">
      <c r="A937" s="45" t="s">
        <v>3588</v>
      </c>
      <c r="C937" s="36">
        <v>45900</v>
      </c>
      <c r="D937" s="36" t="s">
        <v>3497</v>
      </c>
      <c r="E937" s="37">
        <v>38843</v>
      </c>
      <c r="F937" s="37" t="s">
        <v>4026</v>
      </c>
      <c r="G937" s="38">
        <v>262.65999999999997</v>
      </c>
      <c r="H937" s="38">
        <v>0</v>
      </c>
      <c r="I937" s="37"/>
      <c r="J937" s="37"/>
      <c r="K937" s="38">
        <f t="shared" si="14"/>
        <v>262.65999999999997</v>
      </c>
      <c r="L937" s="38"/>
    </row>
    <row r="938" spans="1:12" ht="14.5" x14ac:dyDescent="0.35">
      <c r="A938" s="45" t="s">
        <v>3588</v>
      </c>
      <c r="C938" s="36">
        <v>45900</v>
      </c>
      <c r="D938" s="36" t="s">
        <v>3541</v>
      </c>
      <c r="E938" s="37">
        <v>38849</v>
      </c>
      <c r="F938" s="37" t="s">
        <v>4026</v>
      </c>
      <c r="G938" s="38">
        <v>21627</v>
      </c>
      <c r="H938" s="38">
        <v>0</v>
      </c>
      <c r="I938" s="37"/>
      <c r="J938" s="37"/>
      <c r="K938" s="38">
        <f t="shared" si="14"/>
        <v>21627</v>
      </c>
      <c r="L938" s="38"/>
    </row>
    <row r="939" spans="1:12" ht="14.5" x14ac:dyDescent="0.35">
      <c r="A939" s="45" t="s">
        <v>3588</v>
      </c>
      <c r="C939" s="36">
        <v>45900</v>
      </c>
      <c r="D939" s="36" t="s">
        <v>3542</v>
      </c>
      <c r="E939" s="37">
        <v>38853</v>
      </c>
      <c r="F939" s="37" t="s">
        <v>4026</v>
      </c>
      <c r="G939" s="38">
        <v>1422.12</v>
      </c>
      <c r="H939" s="38">
        <v>0</v>
      </c>
      <c r="I939" s="37"/>
      <c r="J939" s="37"/>
      <c r="K939" s="38">
        <f t="shared" si="14"/>
        <v>1422.12</v>
      </c>
      <c r="L939" s="38"/>
    </row>
    <row r="940" spans="1:12" ht="14.5" x14ac:dyDescent="0.35">
      <c r="A940" s="45" t="s">
        <v>3588</v>
      </c>
      <c r="C940" s="36">
        <v>45900</v>
      </c>
      <c r="D940" s="36" t="s">
        <v>3543</v>
      </c>
      <c r="E940" s="37">
        <v>38854</v>
      </c>
      <c r="F940" s="37" t="s">
        <v>4026</v>
      </c>
      <c r="G940" s="38">
        <v>31862.13</v>
      </c>
      <c r="H940" s="38">
        <v>0</v>
      </c>
      <c r="I940" s="37"/>
      <c r="J940" s="37"/>
      <c r="K940" s="38">
        <f t="shared" si="14"/>
        <v>31862.13</v>
      </c>
      <c r="L940" s="38"/>
    </row>
    <row r="941" spans="1:12" ht="14.5" x14ac:dyDescent="0.35">
      <c r="A941" s="45" t="s">
        <v>3588</v>
      </c>
      <c r="C941" s="36">
        <v>45900</v>
      </c>
      <c r="D941" s="36" t="s">
        <v>3544</v>
      </c>
      <c r="E941" s="37">
        <v>38855</v>
      </c>
      <c r="F941" s="37" t="s">
        <v>4026</v>
      </c>
      <c r="G941" s="38">
        <v>3777.1200000000008</v>
      </c>
      <c r="H941" s="38">
        <v>0</v>
      </c>
      <c r="I941" s="37"/>
      <c r="J941" s="37"/>
      <c r="K941" s="38">
        <f t="shared" si="14"/>
        <v>3777.1200000000008</v>
      </c>
      <c r="L941" s="38"/>
    </row>
    <row r="942" spans="1:12" ht="14.5" x14ac:dyDescent="0.35">
      <c r="A942" s="45" t="s">
        <v>3588</v>
      </c>
      <c r="C942" s="36">
        <v>45900</v>
      </c>
      <c r="D942" s="36" t="s">
        <v>3545</v>
      </c>
      <c r="E942" s="37">
        <v>38856</v>
      </c>
      <c r="F942" s="37" t="s">
        <v>4026</v>
      </c>
      <c r="G942" s="38">
        <v>571.71</v>
      </c>
      <c r="H942" s="38">
        <v>0</v>
      </c>
      <c r="I942" s="37"/>
      <c r="J942" s="37"/>
      <c r="K942" s="38">
        <f t="shared" si="14"/>
        <v>571.71</v>
      </c>
      <c r="L942" s="38"/>
    </row>
    <row r="943" spans="1:12" ht="14.5" x14ac:dyDescent="0.35">
      <c r="A943" s="45" t="s">
        <v>3588</v>
      </c>
      <c r="C943" s="36">
        <v>45900</v>
      </c>
      <c r="D943" s="36" t="s">
        <v>3546</v>
      </c>
      <c r="E943" s="37">
        <v>38865</v>
      </c>
      <c r="F943" s="37" t="s">
        <v>4026</v>
      </c>
      <c r="G943" s="38">
        <v>108</v>
      </c>
      <c r="H943" s="38">
        <v>0</v>
      </c>
      <c r="I943" s="37"/>
      <c r="J943" s="37"/>
      <c r="K943" s="38">
        <f t="shared" si="14"/>
        <v>108</v>
      </c>
      <c r="L943" s="38"/>
    </row>
    <row r="944" spans="1:12" ht="14.5" x14ac:dyDescent="0.35">
      <c r="A944" s="45" t="s">
        <v>3588</v>
      </c>
      <c r="C944" s="36">
        <v>45900</v>
      </c>
      <c r="D944" s="36" t="s">
        <v>3547</v>
      </c>
      <c r="E944" s="37">
        <v>38867</v>
      </c>
      <c r="F944" s="37" t="s">
        <v>4026</v>
      </c>
      <c r="G944" s="38">
        <v>150.11000000000001</v>
      </c>
      <c r="H944" s="38">
        <v>0</v>
      </c>
      <c r="I944" s="37"/>
      <c r="J944" s="37"/>
      <c r="K944" s="38">
        <f t="shared" si="14"/>
        <v>150.11000000000001</v>
      </c>
      <c r="L944" s="38"/>
    </row>
    <row r="945" spans="1:12" ht="14.5" x14ac:dyDescent="0.35">
      <c r="A945" s="45" t="s">
        <v>3588</v>
      </c>
      <c r="C945" s="36">
        <v>45900</v>
      </c>
      <c r="D945" s="36" t="s">
        <v>3548</v>
      </c>
      <c r="E945" s="37">
        <v>38868</v>
      </c>
      <c r="F945" s="37" t="s">
        <v>4026</v>
      </c>
      <c r="G945" s="38">
        <v>722.17000000000007</v>
      </c>
      <c r="H945" s="38">
        <v>0</v>
      </c>
      <c r="I945" s="37"/>
      <c r="J945" s="37"/>
      <c r="K945" s="38">
        <f t="shared" si="14"/>
        <v>722.17000000000007</v>
      </c>
      <c r="L945" s="38"/>
    </row>
    <row r="946" spans="1:12" ht="14.5" x14ac:dyDescent="0.35">
      <c r="A946" s="45" t="s">
        <v>3588</v>
      </c>
      <c r="C946" s="36">
        <v>45900</v>
      </c>
      <c r="D946" s="36" t="s">
        <v>3500</v>
      </c>
      <c r="E946" s="37">
        <v>38871</v>
      </c>
      <c r="F946" s="37" t="s">
        <v>4026</v>
      </c>
      <c r="G946" s="38">
        <v>2757.01</v>
      </c>
      <c r="H946" s="38">
        <v>0</v>
      </c>
      <c r="I946" s="37"/>
      <c r="J946" s="37"/>
      <c r="K946" s="38">
        <f t="shared" si="14"/>
        <v>2757.01</v>
      </c>
      <c r="L946" s="38"/>
    </row>
    <row r="947" spans="1:12" ht="14.5" x14ac:dyDescent="0.35">
      <c r="A947" s="45" t="s">
        <v>3588</v>
      </c>
      <c r="C947" s="36">
        <v>45900</v>
      </c>
      <c r="D947" s="36" t="s">
        <v>3536</v>
      </c>
      <c r="E947" s="37">
        <v>38873</v>
      </c>
      <c r="F947" s="37" t="s">
        <v>4026</v>
      </c>
      <c r="G947" s="38">
        <v>660.59</v>
      </c>
      <c r="H947" s="38">
        <v>0</v>
      </c>
      <c r="I947" s="37"/>
      <c r="J947" s="37"/>
      <c r="K947" s="38">
        <f t="shared" si="14"/>
        <v>660.59</v>
      </c>
      <c r="L947" s="38"/>
    </row>
    <row r="948" spans="1:12" ht="14.5" x14ac:dyDescent="0.35">
      <c r="A948" s="45" t="s">
        <v>3588</v>
      </c>
      <c r="C948" s="36">
        <v>45900</v>
      </c>
      <c r="D948" s="36" t="s">
        <v>1656</v>
      </c>
      <c r="E948" s="37">
        <v>38880</v>
      </c>
      <c r="F948" s="37" t="s">
        <v>4026</v>
      </c>
      <c r="G948" s="38">
        <v>0</v>
      </c>
      <c r="H948" s="38">
        <v>0</v>
      </c>
      <c r="I948" s="37"/>
      <c r="J948" s="37"/>
      <c r="K948" s="38">
        <f t="shared" si="14"/>
        <v>0</v>
      </c>
      <c r="L948" s="38"/>
    </row>
    <row r="949" spans="1:12" ht="14.5" x14ac:dyDescent="0.35">
      <c r="A949" s="45" t="s">
        <v>3588</v>
      </c>
      <c r="C949" s="36">
        <v>45900</v>
      </c>
      <c r="D949" s="36" t="s">
        <v>3545</v>
      </c>
      <c r="E949" s="37">
        <v>38884</v>
      </c>
      <c r="F949" s="37" t="s">
        <v>4026</v>
      </c>
      <c r="G949" s="38">
        <v>285.86</v>
      </c>
      <c r="H949" s="38">
        <v>0</v>
      </c>
      <c r="I949" s="37"/>
      <c r="J949" s="37"/>
      <c r="K949" s="38">
        <f t="shared" si="14"/>
        <v>285.86</v>
      </c>
      <c r="L949" s="38"/>
    </row>
    <row r="950" spans="1:12" ht="14.5" x14ac:dyDescent="0.35">
      <c r="A950" s="45" t="s">
        <v>3588</v>
      </c>
      <c r="C950" s="36">
        <v>45900</v>
      </c>
      <c r="D950" s="36" t="s">
        <v>3549</v>
      </c>
      <c r="E950" s="37">
        <v>38904</v>
      </c>
      <c r="F950" s="37" t="s">
        <v>4026</v>
      </c>
      <c r="G950" s="38">
        <v>3153.67</v>
      </c>
      <c r="H950" s="38">
        <v>0</v>
      </c>
      <c r="I950" s="37"/>
      <c r="J950" s="37"/>
      <c r="K950" s="38">
        <f t="shared" si="14"/>
        <v>3153.67</v>
      </c>
      <c r="L950" s="38"/>
    </row>
    <row r="951" spans="1:12" ht="14.5" x14ac:dyDescent="0.35">
      <c r="A951" s="45" t="s">
        <v>3588</v>
      </c>
      <c r="C951" s="36">
        <v>45900</v>
      </c>
      <c r="D951" s="36" t="s">
        <v>3550</v>
      </c>
      <c r="E951" s="37">
        <v>38909</v>
      </c>
      <c r="F951" s="37" t="s">
        <v>4026</v>
      </c>
      <c r="G951" s="38">
        <v>3087.85</v>
      </c>
      <c r="H951" s="38">
        <v>0</v>
      </c>
      <c r="I951" s="37"/>
      <c r="J951" s="37"/>
      <c r="K951" s="38">
        <f t="shared" si="14"/>
        <v>3087.85</v>
      </c>
      <c r="L951" s="38"/>
    </row>
    <row r="952" spans="1:12" ht="14.5" x14ac:dyDescent="0.35">
      <c r="A952" s="45" t="s">
        <v>3588</v>
      </c>
      <c r="C952" s="36">
        <v>45900</v>
      </c>
      <c r="D952" s="36" t="s">
        <v>3551</v>
      </c>
      <c r="E952" s="37">
        <v>38911</v>
      </c>
      <c r="F952" s="37" t="s">
        <v>4026</v>
      </c>
      <c r="G952" s="38">
        <v>510.15999999999997</v>
      </c>
      <c r="H952" s="38">
        <v>0</v>
      </c>
      <c r="I952" s="37"/>
      <c r="J952" s="37"/>
      <c r="K952" s="38">
        <f t="shared" si="14"/>
        <v>510.15999999999997</v>
      </c>
      <c r="L952" s="38"/>
    </row>
    <row r="953" spans="1:12" ht="14.5" x14ac:dyDescent="0.35">
      <c r="A953" s="45" t="s">
        <v>3588</v>
      </c>
      <c r="C953" s="36">
        <v>45900</v>
      </c>
      <c r="D953" s="36" t="s">
        <v>3552</v>
      </c>
      <c r="E953" s="37">
        <v>38912</v>
      </c>
      <c r="F953" s="37" t="s">
        <v>4026</v>
      </c>
      <c r="G953" s="38">
        <v>16186.990000000002</v>
      </c>
      <c r="H953" s="38">
        <v>0</v>
      </c>
      <c r="I953" s="37"/>
      <c r="J953" s="37"/>
      <c r="K953" s="38">
        <f t="shared" si="14"/>
        <v>16186.990000000002</v>
      </c>
      <c r="L953" s="38"/>
    </row>
    <row r="954" spans="1:12" ht="14.5" x14ac:dyDescent="0.35">
      <c r="A954" s="45" t="s">
        <v>3588</v>
      </c>
      <c r="C954" s="36">
        <v>45900</v>
      </c>
      <c r="D954" s="36" t="s">
        <v>3553</v>
      </c>
      <c r="E954" s="37">
        <v>38913</v>
      </c>
      <c r="F954" s="37" t="s">
        <v>4026</v>
      </c>
      <c r="G954" s="38">
        <v>695.77</v>
      </c>
      <c r="H954" s="38">
        <v>0</v>
      </c>
      <c r="I954" s="37"/>
      <c r="J954" s="37"/>
      <c r="K954" s="38">
        <f t="shared" si="14"/>
        <v>695.77</v>
      </c>
      <c r="L954" s="38"/>
    </row>
    <row r="955" spans="1:12" ht="14.5" x14ac:dyDescent="0.35">
      <c r="A955" s="45" t="s">
        <v>3588</v>
      </c>
      <c r="C955" s="36">
        <v>45900</v>
      </c>
      <c r="D955" s="36" t="s">
        <v>3554</v>
      </c>
      <c r="E955" s="37">
        <v>38915</v>
      </c>
      <c r="F955" s="37" t="s">
        <v>4026</v>
      </c>
      <c r="G955" s="38">
        <v>100.03</v>
      </c>
      <c r="H955" s="38">
        <v>0</v>
      </c>
      <c r="I955" s="37"/>
      <c r="J955" s="37"/>
      <c r="K955" s="38">
        <f t="shared" si="14"/>
        <v>100.03</v>
      </c>
      <c r="L955" s="38"/>
    </row>
    <row r="956" spans="1:12" ht="14.5" x14ac:dyDescent="0.35">
      <c r="A956" s="45" t="s">
        <v>3588</v>
      </c>
      <c r="C956" s="36">
        <v>45900</v>
      </c>
      <c r="D956" s="36" t="s">
        <v>3555</v>
      </c>
      <c r="E956" s="37">
        <v>38916</v>
      </c>
      <c r="F956" s="37" t="s">
        <v>4026</v>
      </c>
      <c r="G956" s="38">
        <v>61.76</v>
      </c>
      <c r="H956" s="38">
        <v>0</v>
      </c>
      <c r="I956" s="37"/>
      <c r="J956" s="37"/>
      <c r="K956" s="38">
        <f t="shared" si="14"/>
        <v>61.76</v>
      </c>
      <c r="L956" s="38"/>
    </row>
    <row r="957" spans="1:12" ht="14.5" x14ac:dyDescent="0.35">
      <c r="A957" s="45" t="s">
        <v>3588</v>
      </c>
      <c r="C957" s="36">
        <v>45900</v>
      </c>
      <c r="D957" s="36" t="s">
        <v>3556</v>
      </c>
      <c r="E957" s="37">
        <v>38921</v>
      </c>
      <c r="F957" s="37" t="s">
        <v>4026</v>
      </c>
      <c r="G957" s="38">
        <v>25.8</v>
      </c>
      <c r="H957" s="38">
        <v>0</v>
      </c>
      <c r="I957" s="37"/>
      <c r="J957" s="37"/>
      <c r="K957" s="38">
        <f t="shared" si="14"/>
        <v>25.8</v>
      </c>
      <c r="L957" s="38"/>
    </row>
    <row r="958" spans="1:12" ht="14.5" x14ac:dyDescent="0.35">
      <c r="A958" s="45" t="s">
        <v>3588</v>
      </c>
      <c r="C958" s="36">
        <v>45900</v>
      </c>
      <c r="D958" s="36" t="s">
        <v>3557</v>
      </c>
      <c r="E958" s="37">
        <v>38942</v>
      </c>
      <c r="F958" s="37" t="s">
        <v>4026</v>
      </c>
      <c r="G958" s="38">
        <v>219.74</v>
      </c>
      <c r="H958" s="38">
        <v>0</v>
      </c>
      <c r="I958" s="37"/>
      <c r="J958" s="37"/>
      <c r="K958" s="38">
        <f t="shared" si="14"/>
        <v>219.74</v>
      </c>
      <c r="L958" s="38"/>
    </row>
    <row r="959" spans="1:12" ht="14.5" x14ac:dyDescent="0.35">
      <c r="A959" s="45" t="s">
        <v>3588</v>
      </c>
      <c r="C959" s="36">
        <v>45900</v>
      </c>
      <c r="D959" s="36" t="s">
        <v>3558</v>
      </c>
      <c r="E959" s="37">
        <v>38946</v>
      </c>
      <c r="F959" s="37" t="s">
        <v>4026</v>
      </c>
      <c r="G959" s="38">
        <v>1200</v>
      </c>
      <c r="H959" s="38">
        <v>0</v>
      </c>
      <c r="I959" s="37"/>
      <c r="J959" s="37"/>
      <c r="K959" s="38">
        <f t="shared" si="14"/>
        <v>1200</v>
      </c>
      <c r="L959" s="38"/>
    </row>
    <row r="960" spans="1:12" ht="14.5" x14ac:dyDescent="0.35">
      <c r="A960" s="45" t="s">
        <v>3588</v>
      </c>
      <c r="C960" s="36">
        <v>45900</v>
      </c>
      <c r="D960" s="36" t="s">
        <v>3559</v>
      </c>
      <c r="E960" s="37">
        <v>38957</v>
      </c>
      <c r="F960" s="37" t="s">
        <v>4026</v>
      </c>
      <c r="G960" s="38">
        <v>314.96000000000004</v>
      </c>
      <c r="H960" s="38">
        <v>0</v>
      </c>
      <c r="I960" s="37"/>
      <c r="J960" s="37"/>
      <c r="K960" s="38">
        <f t="shared" si="14"/>
        <v>314.96000000000004</v>
      </c>
      <c r="L960" s="38"/>
    </row>
    <row r="961" spans="1:12" ht="14.5" x14ac:dyDescent="0.35">
      <c r="A961" s="45" t="s">
        <v>3588</v>
      </c>
      <c r="C961" s="36">
        <v>45900</v>
      </c>
      <c r="D961" s="36" t="s">
        <v>3560</v>
      </c>
      <c r="E961" s="37">
        <v>38962</v>
      </c>
      <c r="F961" s="37" t="s">
        <v>4026</v>
      </c>
      <c r="G961" s="38">
        <v>76.08</v>
      </c>
      <c r="H961" s="38">
        <v>0</v>
      </c>
      <c r="I961" s="37"/>
      <c r="J961" s="37"/>
      <c r="K961" s="38">
        <f t="shared" si="14"/>
        <v>76.08</v>
      </c>
      <c r="L961" s="38"/>
    </row>
    <row r="962" spans="1:12" ht="14.5" x14ac:dyDescent="0.35">
      <c r="A962" s="45" t="s">
        <v>3588</v>
      </c>
      <c r="C962" s="36">
        <v>45900</v>
      </c>
      <c r="D962" s="36" t="s">
        <v>714</v>
      </c>
      <c r="E962" s="37">
        <v>14658649</v>
      </c>
      <c r="F962" s="37" t="s">
        <v>4026</v>
      </c>
      <c r="G962" s="38">
        <v>0</v>
      </c>
      <c r="H962" s="38">
        <v>61.489999999999995</v>
      </c>
      <c r="I962" s="37"/>
      <c r="J962" s="37"/>
      <c r="K962" s="38">
        <f t="shared" si="14"/>
        <v>-61.489999999999995</v>
      </c>
      <c r="L962" s="38"/>
    </row>
    <row r="963" spans="1:12" ht="14.5" x14ac:dyDescent="0.35">
      <c r="A963" s="45" t="s">
        <v>3588</v>
      </c>
      <c r="C963" s="36">
        <v>45900</v>
      </c>
      <c r="D963" s="36" t="s">
        <v>3561</v>
      </c>
      <c r="E963" s="37">
        <v>38963</v>
      </c>
      <c r="F963" s="37" t="s">
        <v>4026</v>
      </c>
      <c r="G963" s="38">
        <v>53.91</v>
      </c>
      <c r="H963" s="38">
        <v>0</v>
      </c>
      <c r="I963" s="37"/>
      <c r="J963" s="37"/>
      <c r="K963" s="38">
        <f t="shared" si="14"/>
        <v>53.91</v>
      </c>
      <c r="L963" s="38"/>
    </row>
    <row r="964" spans="1:12" ht="14.5" x14ac:dyDescent="0.35">
      <c r="A964" s="45" t="s">
        <v>3588</v>
      </c>
      <c r="C964" s="36">
        <v>45900</v>
      </c>
      <c r="D964" s="36" t="s">
        <v>3562</v>
      </c>
      <c r="E964" s="37">
        <v>38965</v>
      </c>
      <c r="F964" s="37" t="s">
        <v>4026</v>
      </c>
      <c r="G964" s="38">
        <v>175</v>
      </c>
      <c r="H964" s="38">
        <v>0</v>
      </c>
      <c r="I964" s="37"/>
      <c r="J964" s="37"/>
      <c r="K964" s="38">
        <f t="shared" si="14"/>
        <v>175</v>
      </c>
      <c r="L964" s="38"/>
    </row>
    <row r="965" spans="1:12" ht="14.5" x14ac:dyDescent="0.35">
      <c r="A965" s="45" t="s">
        <v>3588</v>
      </c>
      <c r="C965" s="36">
        <v>45900</v>
      </c>
      <c r="D965" s="36" t="s">
        <v>3563</v>
      </c>
      <c r="E965" s="37">
        <v>38974</v>
      </c>
      <c r="F965" s="37" t="s">
        <v>4026</v>
      </c>
      <c r="G965" s="38">
        <v>347.88</v>
      </c>
      <c r="H965" s="38">
        <v>0</v>
      </c>
      <c r="I965" s="37"/>
      <c r="J965" s="37"/>
      <c r="K965" s="38">
        <f t="shared" ref="K965:K1014" si="15">G965-H965</f>
        <v>347.88</v>
      </c>
      <c r="L965" s="38"/>
    </row>
    <row r="966" spans="1:12" ht="14.5" x14ac:dyDescent="0.35">
      <c r="A966" s="45" t="s">
        <v>3588</v>
      </c>
      <c r="C966" s="36">
        <v>45900</v>
      </c>
      <c r="D966" s="36" t="s">
        <v>1840</v>
      </c>
      <c r="E966" s="37">
        <v>38984</v>
      </c>
      <c r="F966" s="37" t="s">
        <v>4026</v>
      </c>
      <c r="G966" s="38">
        <v>5711.34</v>
      </c>
      <c r="H966" s="38">
        <v>0</v>
      </c>
      <c r="I966" s="37"/>
      <c r="J966" s="37"/>
      <c r="K966" s="38">
        <f t="shared" si="15"/>
        <v>5711.34</v>
      </c>
      <c r="L966" s="38"/>
    </row>
    <row r="967" spans="1:12" ht="14.5" x14ac:dyDescent="0.35">
      <c r="A967" s="45" t="s">
        <v>3588</v>
      </c>
      <c r="C967" s="36">
        <v>45900</v>
      </c>
      <c r="D967" s="36" t="s">
        <v>3564</v>
      </c>
      <c r="E967" s="37">
        <v>38985</v>
      </c>
      <c r="F967" s="37" t="s">
        <v>4026</v>
      </c>
      <c r="G967" s="38">
        <v>391.98</v>
      </c>
      <c r="H967" s="38">
        <v>0</v>
      </c>
      <c r="I967" s="37"/>
      <c r="J967" s="37"/>
      <c r="K967" s="38">
        <f t="shared" si="15"/>
        <v>391.98</v>
      </c>
      <c r="L967" s="38"/>
    </row>
    <row r="968" spans="1:12" ht="14.5" x14ac:dyDescent="0.35">
      <c r="A968" s="45" t="s">
        <v>3588</v>
      </c>
      <c r="C968" s="36">
        <v>45900</v>
      </c>
      <c r="D968" s="36" t="s">
        <v>2258</v>
      </c>
      <c r="E968" s="37">
        <v>38992</v>
      </c>
      <c r="F968" s="37" t="s">
        <v>4026</v>
      </c>
      <c r="G968" s="38">
        <v>6350.72</v>
      </c>
      <c r="H968" s="38">
        <v>0</v>
      </c>
      <c r="I968" s="37"/>
      <c r="J968" s="37"/>
      <c r="K968" s="38">
        <f t="shared" si="15"/>
        <v>6350.72</v>
      </c>
      <c r="L968" s="38"/>
    </row>
    <row r="969" spans="1:12" ht="14.5" x14ac:dyDescent="0.35">
      <c r="A969" s="45" t="s">
        <v>3588</v>
      </c>
      <c r="C969" s="36">
        <v>45900</v>
      </c>
      <c r="D969" s="36" t="s">
        <v>1924</v>
      </c>
      <c r="E969" s="37">
        <v>38997</v>
      </c>
      <c r="F969" s="37" t="s">
        <v>4026</v>
      </c>
      <c r="G969" s="38">
        <v>11695.460000000001</v>
      </c>
      <c r="H969" s="38">
        <v>0</v>
      </c>
      <c r="I969" s="37"/>
      <c r="J969" s="37"/>
      <c r="K969" s="38">
        <f t="shared" si="15"/>
        <v>11695.460000000001</v>
      </c>
      <c r="L969" s="38"/>
    </row>
    <row r="970" spans="1:12" ht="14.5" x14ac:dyDescent="0.35">
      <c r="A970" s="45" t="s">
        <v>3588</v>
      </c>
      <c r="C970" s="36">
        <v>45900</v>
      </c>
      <c r="D970" s="36" t="s">
        <v>3565</v>
      </c>
      <c r="E970" s="37">
        <v>38998</v>
      </c>
      <c r="F970" s="37" t="s">
        <v>4026</v>
      </c>
      <c r="G970" s="38">
        <v>1406.44</v>
      </c>
      <c r="H970" s="38">
        <v>0</v>
      </c>
      <c r="I970" s="37"/>
      <c r="J970" s="37"/>
      <c r="K970" s="38">
        <f t="shared" si="15"/>
        <v>1406.44</v>
      </c>
      <c r="L970" s="38"/>
    </row>
    <row r="971" spans="1:12" ht="14.5" x14ac:dyDescent="0.35">
      <c r="A971" s="45" t="s">
        <v>3588</v>
      </c>
      <c r="C971" s="36">
        <v>45900</v>
      </c>
      <c r="D971" s="36" t="s">
        <v>3566</v>
      </c>
      <c r="E971" s="37">
        <v>39003</v>
      </c>
      <c r="F971" s="37" t="s">
        <v>4026</v>
      </c>
      <c r="G971" s="38">
        <v>6474.2999999999993</v>
      </c>
      <c r="H971" s="38">
        <v>0</v>
      </c>
      <c r="I971" s="37"/>
      <c r="J971" s="37"/>
      <c r="K971" s="38">
        <f t="shared" si="15"/>
        <v>6474.2999999999993</v>
      </c>
      <c r="L971" s="38"/>
    </row>
    <row r="972" spans="1:12" ht="14.5" x14ac:dyDescent="0.35">
      <c r="A972" s="45" t="s">
        <v>3588</v>
      </c>
      <c r="C972" s="36">
        <v>45900</v>
      </c>
      <c r="D972" s="36" t="s">
        <v>3565</v>
      </c>
      <c r="E972" s="37">
        <v>39009</v>
      </c>
      <c r="F972" s="37" t="s">
        <v>4026</v>
      </c>
      <c r="G972" s="38">
        <v>2707.93</v>
      </c>
      <c r="H972" s="38">
        <v>0</v>
      </c>
      <c r="I972" s="37"/>
      <c r="J972" s="37"/>
      <c r="K972" s="38">
        <f t="shared" si="15"/>
        <v>2707.93</v>
      </c>
      <c r="L972" s="38"/>
    </row>
    <row r="973" spans="1:12" ht="14.5" x14ac:dyDescent="0.35">
      <c r="A973" s="45" t="s">
        <v>3588</v>
      </c>
      <c r="C973" s="36">
        <v>45900</v>
      </c>
      <c r="D973" s="36" t="s">
        <v>3567</v>
      </c>
      <c r="E973" s="37">
        <v>39063</v>
      </c>
      <c r="F973" s="37" t="s">
        <v>4026</v>
      </c>
      <c r="G973" s="38">
        <v>1684.42</v>
      </c>
      <c r="H973" s="38">
        <v>0</v>
      </c>
      <c r="I973" s="37"/>
      <c r="J973" s="37"/>
      <c r="K973" s="38">
        <f t="shared" si="15"/>
        <v>1684.42</v>
      </c>
      <c r="L973" s="38"/>
    </row>
    <row r="974" spans="1:12" ht="14.5" x14ac:dyDescent="0.35">
      <c r="A974" s="45" t="s">
        <v>3588</v>
      </c>
      <c r="C974" s="36">
        <v>45900</v>
      </c>
      <c r="D974" s="36" t="s">
        <v>3544</v>
      </c>
      <c r="E974" s="37">
        <v>39073</v>
      </c>
      <c r="F974" s="37" t="s">
        <v>4026</v>
      </c>
      <c r="G974" s="38">
        <v>4815.2199999999993</v>
      </c>
      <c r="H974" s="38">
        <v>0</v>
      </c>
      <c r="I974" s="37"/>
      <c r="J974" s="37"/>
      <c r="K974" s="38">
        <f t="shared" si="15"/>
        <v>4815.2199999999993</v>
      </c>
      <c r="L974" s="38"/>
    </row>
    <row r="975" spans="1:12" ht="14.5" x14ac:dyDescent="0.35">
      <c r="A975" s="45" t="s">
        <v>3588</v>
      </c>
      <c r="C975" s="36">
        <v>45900</v>
      </c>
      <c r="D975" s="36" t="s">
        <v>3544</v>
      </c>
      <c r="E975" s="37">
        <v>39074</v>
      </c>
      <c r="F975" s="37" t="s">
        <v>4026</v>
      </c>
      <c r="G975" s="38">
        <v>7195.48</v>
      </c>
      <c r="H975" s="38">
        <v>0</v>
      </c>
      <c r="I975" s="37"/>
      <c r="J975" s="37"/>
      <c r="K975" s="38">
        <f t="shared" si="15"/>
        <v>7195.48</v>
      </c>
      <c r="L975" s="38"/>
    </row>
    <row r="976" spans="1:12" ht="14.5" x14ac:dyDescent="0.35">
      <c r="A976" s="45" t="s">
        <v>3588</v>
      </c>
      <c r="C976" s="36">
        <v>45900</v>
      </c>
      <c r="D976" s="36" t="s">
        <v>2459</v>
      </c>
      <c r="E976" s="37">
        <v>39084</v>
      </c>
      <c r="F976" s="37" t="s">
        <v>4026</v>
      </c>
      <c r="G976" s="38">
        <v>6264.45</v>
      </c>
      <c r="H976" s="38">
        <v>0</v>
      </c>
      <c r="I976" s="37"/>
      <c r="J976" s="37"/>
      <c r="K976" s="38">
        <f t="shared" si="15"/>
        <v>6264.45</v>
      </c>
      <c r="L976" s="38"/>
    </row>
    <row r="977" spans="1:12" ht="14.5" x14ac:dyDescent="0.35">
      <c r="A977" s="45" t="s">
        <v>3588</v>
      </c>
      <c r="C977" s="36">
        <v>45900</v>
      </c>
      <c r="D977" s="36" t="s">
        <v>301</v>
      </c>
      <c r="E977" s="37">
        <v>39086</v>
      </c>
      <c r="F977" s="37" t="s">
        <v>4026</v>
      </c>
      <c r="G977" s="38">
        <v>29633.089999999986</v>
      </c>
      <c r="H977" s="38">
        <v>0</v>
      </c>
      <c r="I977" s="37"/>
      <c r="J977" s="37"/>
      <c r="K977" s="38">
        <f t="shared" si="15"/>
        <v>29633.089999999986</v>
      </c>
      <c r="L977" s="38"/>
    </row>
    <row r="978" spans="1:12" ht="14.5" x14ac:dyDescent="0.35">
      <c r="A978" s="45" t="s">
        <v>3588</v>
      </c>
      <c r="C978" s="36">
        <v>45900</v>
      </c>
      <c r="D978" s="36" t="s">
        <v>301</v>
      </c>
      <c r="E978" s="37" t="s">
        <v>3471</v>
      </c>
      <c r="F978" s="37" t="s">
        <v>4026</v>
      </c>
      <c r="G978" s="38">
        <v>58633.30999999999</v>
      </c>
      <c r="H978" s="38">
        <v>0</v>
      </c>
      <c r="I978" s="37"/>
      <c r="J978" s="37"/>
      <c r="K978" s="38">
        <f t="shared" si="15"/>
        <v>58633.30999999999</v>
      </c>
      <c r="L978" s="38"/>
    </row>
    <row r="979" spans="1:12" ht="14.5" x14ac:dyDescent="0.35">
      <c r="A979" s="45" t="s">
        <v>3588</v>
      </c>
      <c r="C979" s="36">
        <v>45900</v>
      </c>
      <c r="D979" s="36" t="s">
        <v>3568</v>
      </c>
      <c r="E979" s="37">
        <v>39088</v>
      </c>
      <c r="F979" s="37" t="s">
        <v>4026</v>
      </c>
      <c r="G979" s="38">
        <v>6646.87</v>
      </c>
      <c r="H979" s="38">
        <v>0</v>
      </c>
      <c r="I979" s="37"/>
      <c r="J979" s="37"/>
      <c r="K979" s="38">
        <f t="shared" si="15"/>
        <v>6646.87</v>
      </c>
      <c r="L979" s="38"/>
    </row>
    <row r="980" spans="1:12" ht="14.5" x14ac:dyDescent="0.35">
      <c r="A980" s="45" t="s">
        <v>3588</v>
      </c>
      <c r="C980" s="36">
        <v>45900</v>
      </c>
      <c r="D980" s="36" t="s">
        <v>3500</v>
      </c>
      <c r="E980" s="37">
        <v>39089</v>
      </c>
      <c r="F980" s="37" t="s">
        <v>4026</v>
      </c>
      <c r="G980" s="38">
        <v>367.06</v>
      </c>
      <c r="H980" s="38">
        <v>0</v>
      </c>
      <c r="I980" s="37"/>
      <c r="J980" s="37"/>
      <c r="K980" s="38">
        <f t="shared" si="15"/>
        <v>367.06</v>
      </c>
      <c r="L980" s="38"/>
    </row>
    <row r="981" spans="1:12" ht="14.5" x14ac:dyDescent="0.35">
      <c r="A981" s="45" t="s">
        <v>3588</v>
      </c>
      <c r="C981" s="36">
        <v>45900</v>
      </c>
      <c r="D981" s="36" t="s">
        <v>992</v>
      </c>
      <c r="E981" s="37">
        <v>39091</v>
      </c>
      <c r="F981" s="37" t="s">
        <v>4026</v>
      </c>
      <c r="G981" s="38">
        <v>198.76</v>
      </c>
      <c r="H981" s="38">
        <v>0</v>
      </c>
      <c r="I981" s="37"/>
      <c r="J981" s="37"/>
      <c r="K981" s="38">
        <f t="shared" si="15"/>
        <v>198.76</v>
      </c>
      <c r="L981" s="38"/>
    </row>
    <row r="982" spans="1:12" ht="14.5" x14ac:dyDescent="0.35">
      <c r="A982" s="45" t="s">
        <v>3588</v>
      </c>
      <c r="C982" s="36">
        <v>45900</v>
      </c>
      <c r="D982" s="36" t="s">
        <v>3481</v>
      </c>
      <c r="E982" s="37">
        <v>39092</v>
      </c>
      <c r="F982" s="37" t="s">
        <v>4026</v>
      </c>
      <c r="G982" s="38">
        <v>29466.970000000012</v>
      </c>
      <c r="H982" s="38">
        <v>0</v>
      </c>
      <c r="I982" s="37"/>
      <c r="J982" s="37"/>
      <c r="K982" s="38">
        <f t="shared" si="15"/>
        <v>29466.970000000012</v>
      </c>
      <c r="L982" s="38"/>
    </row>
    <row r="983" spans="1:12" ht="14.5" x14ac:dyDescent="0.35">
      <c r="A983" s="45" t="s">
        <v>3588</v>
      </c>
      <c r="C983" s="36">
        <v>45900</v>
      </c>
      <c r="D983" s="36" t="s">
        <v>2892</v>
      </c>
      <c r="E983" s="37">
        <v>39093</v>
      </c>
      <c r="F983" s="37" t="s">
        <v>4026</v>
      </c>
      <c r="G983" s="38">
        <v>1044.99</v>
      </c>
      <c r="H983" s="38">
        <v>0</v>
      </c>
      <c r="I983" s="37"/>
      <c r="J983" s="37"/>
      <c r="K983" s="38">
        <f t="shared" si="15"/>
        <v>1044.99</v>
      </c>
      <c r="L983" s="38"/>
    </row>
    <row r="984" spans="1:12" ht="14.5" x14ac:dyDescent="0.35">
      <c r="A984" s="45" t="s">
        <v>3588</v>
      </c>
      <c r="C984" s="36">
        <v>45900</v>
      </c>
      <c r="D984" s="36" t="s">
        <v>1334</v>
      </c>
      <c r="E984" s="37">
        <v>39094</v>
      </c>
      <c r="F984" s="37" t="s">
        <v>4026</v>
      </c>
      <c r="G984" s="38">
        <v>7903.0999999999995</v>
      </c>
      <c r="H984" s="38">
        <v>0</v>
      </c>
      <c r="I984" s="37"/>
      <c r="J984" s="37"/>
      <c r="K984" s="38">
        <f t="shared" si="15"/>
        <v>7903.0999999999995</v>
      </c>
      <c r="L984" s="38"/>
    </row>
    <row r="985" spans="1:12" ht="14.5" x14ac:dyDescent="0.35">
      <c r="A985" s="45" t="s">
        <v>3588</v>
      </c>
      <c r="C985" s="36">
        <v>45900</v>
      </c>
      <c r="D985" s="36" t="s">
        <v>1358</v>
      </c>
      <c r="E985" s="37">
        <v>39095</v>
      </c>
      <c r="F985" s="37" t="s">
        <v>4026</v>
      </c>
      <c r="G985" s="38">
        <v>419.52</v>
      </c>
      <c r="H985" s="38">
        <v>0</v>
      </c>
      <c r="I985" s="37"/>
      <c r="J985" s="37"/>
      <c r="K985" s="38">
        <f t="shared" si="15"/>
        <v>419.52</v>
      </c>
      <c r="L985" s="38"/>
    </row>
    <row r="986" spans="1:12" ht="14.5" x14ac:dyDescent="0.35">
      <c r="A986" s="45" t="s">
        <v>3588</v>
      </c>
      <c r="C986" s="36">
        <v>45900</v>
      </c>
      <c r="D986" s="36" t="s">
        <v>1371</v>
      </c>
      <c r="E986" s="37">
        <v>39096</v>
      </c>
      <c r="F986" s="37" t="s">
        <v>4026</v>
      </c>
      <c r="G986" s="38">
        <v>2153.42</v>
      </c>
      <c r="H986" s="38">
        <v>0</v>
      </c>
      <c r="I986" s="37"/>
      <c r="J986" s="37"/>
      <c r="K986" s="38">
        <f t="shared" si="15"/>
        <v>2153.42</v>
      </c>
      <c r="L986" s="38"/>
    </row>
    <row r="987" spans="1:12" ht="14.5" x14ac:dyDescent="0.35">
      <c r="A987" s="45" t="s">
        <v>3588</v>
      </c>
      <c r="C987" s="36">
        <v>45900</v>
      </c>
      <c r="D987" s="36" t="s">
        <v>1376</v>
      </c>
      <c r="E987" s="37">
        <v>39097</v>
      </c>
      <c r="F987" s="37" t="s">
        <v>4026</v>
      </c>
      <c r="G987" s="38">
        <v>12.05</v>
      </c>
      <c r="H987" s="38">
        <v>0</v>
      </c>
      <c r="I987" s="37"/>
      <c r="J987" s="37"/>
      <c r="K987" s="38">
        <f t="shared" si="15"/>
        <v>12.05</v>
      </c>
      <c r="L987" s="38"/>
    </row>
    <row r="988" spans="1:12" ht="14.5" x14ac:dyDescent="0.35">
      <c r="A988" s="45" t="s">
        <v>3588</v>
      </c>
      <c r="C988" s="36">
        <v>45900</v>
      </c>
      <c r="D988" s="36" t="s">
        <v>1426</v>
      </c>
      <c r="E988" s="37">
        <v>39098</v>
      </c>
      <c r="F988" s="37" t="s">
        <v>4026</v>
      </c>
      <c r="G988" s="38">
        <v>6120.17</v>
      </c>
      <c r="H988" s="38">
        <v>0</v>
      </c>
      <c r="I988" s="37"/>
      <c r="J988" s="37"/>
      <c r="K988" s="38">
        <f t="shared" si="15"/>
        <v>6120.17</v>
      </c>
      <c r="L988" s="38"/>
    </row>
    <row r="989" spans="1:12" ht="14.5" x14ac:dyDescent="0.35">
      <c r="A989" s="45" t="s">
        <v>3588</v>
      </c>
      <c r="C989" s="36">
        <v>45900</v>
      </c>
      <c r="D989" s="36" t="s">
        <v>3474</v>
      </c>
      <c r="E989" s="37">
        <v>39099</v>
      </c>
      <c r="F989" s="37" t="s">
        <v>4026</v>
      </c>
      <c r="G989" s="38">
        <v>8003.11</v>
      </c>
      <c r="H989" s="38">
        <v>0</v>
      </c>
      <c r="I989" s="37"/>
      <c r="J989" s="37"/>
      <c r="K989" s="38">
        <f t="shared" si="15"/>
        <v>8003.11</v>
      </c>
      <c r="L989" s="38"/>
    </row>
    <row r="990" spans="1:12" ht="14.5" x14ac:dyDescent="0.35">
      <c r="A990" s="45" t="s">
        <v>3588</v>
      </c>
      <c r="C990" s="36">
        <v>45900</v>
      </c>
      <c r="D990" s="36" t="s">
        <v>3569</v>
      </c>
      <c r="E990" s="37">
        <v>39100</v>
      </c>
      <c r="F990" s="37" t="s">
        <v>4026</v>
      </c>
      <c r="G990" s="38">
        <v>612.88</v>
      </c>
      <c r="H990" s="38">
        <v>0</v>
      </c>
      <c r="I990" s="37"/>
      <c r="J990" s="37"/>
      <c r="K990" s="38">
        <f t="shared" si="15"/>
        <v>612.88</v>
      </c>
      <c r="L990" s="38"/>
    </row>
    <row r="991" spans="1:12" ht="14.5" x14ac:dyDescent="0.35">
      <c r="A991" s="45" t="s">
        <v>3588</v>
      </c>
      <c r="C991" s="36">
        <v>45900</v>
      </c>
      <c r="D991" s="36" t="s">
        <v>3554</v>
      </c>
      <c r="E991" s="37">
        <v>39101</v>
      </c>
      <c r="F991" s="37" t="s">
        <v>4026</v>
      </c>
      <c r="G991" s="38">
        <v>18</v>
      </c>
      <c r="H991" s="38">
        <v>0</v>
      </c>
      <c r="I991" s="37"/>
      <c r="J991" s="37"/>
      <c r="K991" s="38">
        <f t="shared" si="15"/>
        <v>18</v>
      </c>
      <c r="L991" s="38"/>
    </row>
    <row r="992" spans="1:12" ht="14.5" x14ac:dyDescent="0.35">
      <c r="A992" s="45" t="s">
        <v>3588</v>
      </c>
      <c r="C992" s="36">
        <v>45900</v>
      </c>
      <c r="D992" s="36" t="s">
        <v>3570</v>
      </c>
      <c r="E992" s="37">
        <v>39102</v>
      </c>
      <c r="F992" s="37" t="s">
        <v>4026</v>
      </c>
      <c r="G992" s="38">
        <v>11734.369999999999</v>
      </c>
      <c r="H992" s="38">
        <v>0</v>
      </c>
      <c r="I992" s="37"/>
      <c r="J992" s="37"/>
      <c r="K992" s="38">
        <f t="shared" si="15"/>
        <v>11734.369999999999</v>
      </c>
      <c r="L992" s="38"/>
    </row>
    <row r="993" spans="1:12" ht="14.5" x14ac:dyDescent="0.35">
      <c r="A993" s="45" t="s">
        <v>3588</v>
      </c>
      <c r="C993" s="36">
        <v>45900</v>
      </c>
      <c r="D993" s="36" t="s">
        <v>1656</v>
      </c>
      <c r="E993" s="37">
        <v>39103</v>
      </c>
      <c r="F993" s="37" t="s">
        <v>4026</v>
      </c>
      <c r="G993" s="38">
        <v>7479.1600000000008</v>
      </c>
      <c r="H993" s="38">
        <v>0</v>
      </c>
      <c r="I993" s="37"/>
      <c r="J993" s="37"/>
      <c r="K993" s="38">
        <f t="shared" si="15"/>
        <v>7479.1600000000008</v>
      </c>
      <c r="L993" s="38"/>
    </row>
    <row r="994" spans="1:12" ht="14.5" x14ac:dyDescent="0.35">
      <c r="A994" s="45" t="s">
        <v>3588</v>
      </c>
      <c r="C994" s="36">
        <v>45900</v>
      </c>
      <c r="D994" s="36" t="s">
        <v>2906</v>
      </c>
      <c r="E994" s="37">
        <v>39104</v>
      </c>
      <c r="F994" s="37" t="s">
        <v>4026</v>
      </c>
      <c r="G994" s="38">
        <v>1242.3200000000002</v>
      </c>
      <c r="H994" s="38">
        <v>0</v>
      </c>
      <c r="I994" s="37"/>
      <c r="J994" s="37"/>
      <c r="K994" s="38">
        <f t="shared" si="15"/>
        <v>1242.3200000000002</v>
      </c>
      <c r="L994" s="38"/>
    </row>
    <row r="995" spans="1:12" ht="14.5" x14ac:dyDescent="0.35">
      <c r="A995" s="45" t="s">
        <v>3588</v>
      </c>
      <c r="C995" s="36">
        <v>45900</v>
      </c>
      <c r="D995" s="36" t="s">
        <v>3534</v>
      </c>
      <c r="E995" s="37">
        <v>39105</v>
      </c>
      <c r="F995" s="37" t="s">
        <v>4026</v>
      </c>
      <c r="G995" s="38">
        <v>1225.57</v>
      </c>
      <c r="H995" s="38">
        <v>0</v>
      </c>
      <c r="I995" s="37"/>
      <c r="J995" s="37"/>
      <c r="K995" s="38">
        <f t="shared" si="15"/>
        <v>1225.57</v>
      </c>
      <c r="L995" s="38"/>
    </row>
    <row r="996" spans="1:12" ht="14.5" x14ac:dyDescent="0.35">
      <c r="A996" s="45" t="s">
        <v>3588</v>
      </c>
      <c r="C996" s="36">
        <v>45900</v>
      </c>
      <c r="D996" s="36" t="s">
        <v>3571</v>
      </c>
      <c r="E996" s="37">
        <v>39106</v>
      </c>
      <c r="F996" s="37" t="s">
        <v>4026</v>
      </c>
      <c r="G996" s="38">
        <v>93.44</v>
      </c>
      <c r="H996" s="38">
        <v>0</v>
      </c>
      <c r="I996" s="37"/>
      <c r="J996" s="37"/>
      <c r="K996" s="38">
        <f t="shared" si="15"/>
        <v>93.44</v>
      </c>
      <c r="L996" s="38"/>
    </row>
    <row r="997" spans="1:12" ht="14.5" x14ac:dyDescent="0.35">
      <c r="A997" s="45" t="s">
        <v>3588</v>
      </c>
      <c r="C997" s="36">
        <v>45900</v>
      </c>
      <c r="D997" s="36" t="s">
        <v>3230</v>
      </c>
      <c r="E997" s="37">
        <v>39107</v>
      </c>
      <c r="F997" s="37" t="s">
        <v>4026</v>
      </c>
      <c r="G997" s="38">
        <v>108369.32000000002</v>
      </c>
      <c r="H997" s="38">
        <v>0</v>
      </c>
      <c r="I997" s="37"/>
      <c r="J997" s="37"/>
      <c r="K997" s="38">
        <f t="shared" si="15"/>
        <v>108369.32000000002</v>
      </c>
      <c r="L997" s="38"/>
    </row>
    <row r="998" spans="1:12" ht="14.5" x14ac:dyDescent="0.35">
      <c r="A998" s="45" t="s">
        <v>3588</v>
      </c>
      <c r="C998" s="36">
        <v>45900</v>
      </c>
      <c r="D998" s="36" t="s">
        <v>2467</v>
      </c>
      <c r="E998" s="37">
        <v>39108</v>
      </c>
      <c r="F998" s="37" t="s">
        <v>4026</v>
      </c>
      <c r="G998" s="38">
        <v>33038.870000000003</v>
      </c>
      <c r="H998" s="38">
        <v>0</v>
      </c>
      <c r="I998" s="37"/>
      <c r="J998" s="37"/>
      <c r="K998" s="38">
        <f t="shared" si="15"/>
        <v>33038.870000000003</v>
      </c>
      <c r="L998" s="38"/>
    </row>
    <row r="999" spans="1:12" ht="14.5" x14ac:dyDescent="0.35">
      <c r="A999" s="45" t="s">
        <v>3588</v>
      </c>
      <c r="C999" s="36">
        <v>45900</v>
      </c>
      <c r="D999" s="36" t="s">
        <v>1839</v>
      </c>
      <c r="E999" s="37">
        <v>39109</v>
      </c>
      <c r="F999" s="37" t="s">
        <v>4026</v>
      </c>
      <c r="G999" s="38">
        <v>5616.6100000000006</v>
      </c>
      <c r="H999" s="38">
        <v>0</v>
      </c>
      <c r="I999" s="37"/>
      <c r="J999" s="37"/>
      <c r="K999" s="38">
        <f t="shared" si="15"/>
        <v>5616.6100000000006</v>
      </c>
      <c r="L999" s="38"/>
    </row>
    <row r="1000" spans="1:12" ht="14.5" x14ac:dyDescent="0.35">
      <c r="A1000" s="45" t="s">
        <v>3588</v>
      </c>
      <c r="C1000" s="36">
        <v>45900</v>
      </c>
      <c r="D1000" s="36" t="s">
        <v>1919</v>
      </c>
      <c r="E1000" s="37">
        <v>39110</v>
      </c>
      <c r="F1000" s="37" t="s">
        <v>4026</v>
      </c>
      <c r="G1000" s="38">
        <v>359.2</v>
      </c>
      <c r="H1000" s="38">
        <v>0</v>
      </c>
      <c r="I1000" s="37"/>
      <c r="J1000" s="37"/>
      <c r="K1000" s="38">
        <f t="shared" si="15"/>
        <v>359.2</v>
      </c>
      <c r="L1000" s="38"/>
    </row>
    <row r="1001" spans="1:12" ht="14.5" x14ac:dyDescent="0.35">
      <c r="A1001" s="45" t="s">
        <v>3588</v>
      </c>
      <c r="C1001" s="36">
        <v>45900</v>
      </c>
      <c r="D1001" s="36" t="s">
        <v>1999</v>
      </c>
      <c r="E1001" s="37">
        <v>39111</v>
      </c>
      <c r="F1001" s="37" t="s">
        <v>4026</v>
      </c>
      <c r="G1001" s="38">
        <v>74594.319999999992</v>
      </c>
      <c r="H1001" s="38">
        <v>0</v>
      </c>
      <c r="I1001" s="37"/>
      <c r="J1001" s="37"/>
      <c r="K1001" s="38">
        <f t="shared" si="15"/>
        <v>74594.319999999992</v>
      </c>
      <c r="L1001" s="38"/>
    </row>
    <row r="1002" spans="1:12" ht="14.5" x14ac:dyDescent="0.35">
      <c r="A1002" s="45" t="s">
        <v>3588</v>
      </c>
      <c r="C1002" s="36">
        <v>45900</v>
      </c>
      <c r="D1002" s="36" t="s">
        <v>2555</v>
      </c>
      <c r="E1002" s="37">
        <v>39112</v>
      </c>
      <c r="F1002" s="37" t="s">
        <v>4026</v>
      </c>
      <c r="G1002" s="38">
        <v>8199.75</v>
      </c>
      <c r="H1002" s="38">
        <v>0</v>
      </c>
      <c r="I1002" s="37"/>
      <c r="J1002" s="37"/>
      <c r="K1002" s="38">
        <f t="shared" si="15"/>
        <v>8199.75</v>
      </c>
      <c r="L1002" s="38"/>
    </row>
    <row r="1003" spans="1:12" ht="14.5" x14ac:dyDescent="0.35">
      <c r="A1003" s="45" t="s">
        <v>3588</v>
      </c>
      <c r="C1003" s="36">
        <v>45900</v>
      </c>
      <c r="D1003" s="36" t="s">
        <v>2846</v>
      </c>
      <c r="E1003" s="37">
        <v>39113</v>
      </c>
      <c r="F1003" s="37" t="s">
        <v>4026</v>
      </c>
      <c r="G1003" s="38">
        <v>5665.88</v>
      </c>
      <c r="H1003" s="38">
        <v>0</v>
      </c>
      <c r="I1003" s="37"/>
      <c r="J1003" s="37"/>
      <c r="K1003" s="38">
        <f t="shared" si="15"/>
        <v>5665.88</v>
      </c>
      <c r="L1003" s="38"/>
    </row>
    <row r="1004" spans="1:12" ht="14.5" x14ac:dyDescent="0.35">
      <c r="A1004" s="45" t="s">
        <v>3588</v>
      </c>
      <c r="C1004" s="36">
        <v>45900</v>
      </c>
      <c r="D1004" s="36" t="s">
        <v>2027</v>
      </c>
      <c r="E1004" s="37">
        <v>39114</v>
      </c>
      <c r="F1004" s="37" t="s">
        <v>4026</v>
      </c>
      <c r="G1004" s="38">
        <v>22879.89</v>
      </c>
      <c r="H1004" s="38">
        <v>0</v>
      </c>
      <c r="I1004" s="37"/>
      <c r="J1004" s="37"/>
      <c r="K1004" s="38">
        <f t="shared" si="15"/>
        <v>22879.89</v>
      </c>
      <c r="L1004" s="38"/>
    </row>
    <row r="1005" spans="1:12" ht="14.5" x14ac:dyDescent="0.35">
      <c r="A1005" s="45" t="s">
        <v>3588</v>
      </c>
      <c r="C1005" s="36">
        <v>45900</v>
      </c>
      <c r="D1005" s="36" t="s">
        <v>2067</v>
      </c>
      <c r="E1005" s="37">
        <v>39115</v>
      </c>
      <c r="F1005" s="37" t="s">
        <v>4026</v>
      </c>
      <c r="G1005" s="38">
        <v>42631.83</v>
      </c>
      <c r="H1005" s="38">
        <v>0</v>
      </c>
      <c r="I1005" s="37"/>
      <c r="J1005" s="37"/>
      <c r="K1005" s="38">
        <f t="shared" si="15"/>
        <v>42631.83</v>
      </c>
      <c r="L1005" s="38"/>
    </row>
    <row r="1006" spans="1:12" ht="14.5" x14ac:dyDescent="0.35">
      <c r="A1006" s="45" t="s">
        <v>3588</v>
      </c>
      <c r="C1006" s="36">
        <v>45900</v>
      </c>
      <c r="D1006" s="36" t="s">
        <v>2575</v>
      </c>
      <c r="E1006" s="37">
        <v>39116</v>
      </c>
      <c r="F1006" s="37" t="s">
        <v>4026</v>
      </c>
      <c r="G1006" s="38">
        <v>199.07999999999998</v>
      </c>
      <c r="H1006" s="38">
        <v>0</v>
      </c>
      <c r="I1006" s="37"/>
      <c r="J1006" s="37"/>
      <c r="K1006" s="38">
        <f t="shared" si="15"/>
        <v>199.07999999999998</v>
      </c>
      <c r="L1006" s="38"/>
    </row>
    <row r="1007" spans="1:12" ht="14.5" x14ac:dyDescent="0.35">
      <c r="A1007" s="45" t="s">
        <v>3588</v>
      </c>
      <c r="C1007" s="36">
        <v>45900</v>
      </c>
      <c r="D1007" s="36" t="s">
        <v>2144</v>
      </c>
      <c r="E1007" s="37">
        <v>39117</v>
      </c>
      <c r="F1007" s="37" t="s">
        <v>4026</v>
      </c>
      <c r="G1007" s="38">
        <v>11039.179999999998</v>
      </c>
      <c r="H1007" s="38">
        <v>0</v>
      </c>
      <c r="I1007" s="37"/>
      <c r="J1007" s="37"/>
      <c r="K1007" s="38">
        <f t="shared" si="15"/>
        <v>11039.179999999998</v>
      </c>
      <c r="L1007" s="38"/>
    </row>
    <row r="1008" spans="1:12" ht="14.5" x14ac:dyDescent="0.35">
      <c r="A1008" s="45" t="s">
        <v>3588</v>
      </c>
      <c r="C1008" s="36">
        <v>45900</v>
      </c>
      <c r="D1008" s="36" t="s">
        <v>2629</v>
      </c>
      <c r="E1008" s="37">
        <v>39118</v>
      </c>
      <c r="F1008" s="37" t="s">
        <v>4026</v>
      </c>
      <c r="G1008" s="38">
        <v>8706.17</v>
      </c>
      <c r="H1008" s="38">
        <v>0</v>
      </c>
      <c r="I1008" s="37"/>
      <c r="J1008" s="37"/>
      <c r="K1008" s="38">
        <f t="shared" si="15"/>
        <v>8706.17</v>
      </c>
      <c r="L1008" s="38"/>
    </row>
    <row r="1009" spans="1:12" ht="14.5" x14ac:dyDescent="0.35">
      <c r="A1009" s="45" t="s">
        <v>3588</v>
      </c>
      <c r="C1009" s="36">
        <v>45900</v>
      </c>
      <c r="D1009" s="36" t="s">
        <v>3476</v>
      </c>
      <c r="E1009" s="37">
        <v>39119</v>
      </c>
      <c r="F1009" s="37" t="s">
        <v>4026</v>
      </c>
      <c r="G1009" s="38">
        <v>766.56</v>
      </c>
      <c r="H1009" s="38">
        <v>0</v>
      </c>
      <c r="I1009" s="37"/>
      <c r="J1009" s="37"/>
      <c r="K1009" s="38">
        <f t="shared" si="15"/>
        <v>766.56</v>
      </c>
      <c r="L1009" s="38"/>
    </row>
    <row r="1010" spans="1:12" ht="14.5" x14ac:dyDescent="0.35">
      <c r="A1010" s="45" t="s">
        <v>3588</v>
      </c>
      <c r="C1010" s="36">
        <v>45900</v>
      </c>
      <c r="D1010" s="36" t="s">
        <v>3572</v>
      </c>
      <c r="E1010" s="37">
        <v>39120</v>
      </c>
      <c r="F1010" s="37" t="s">
        <v>4026</v>
      </c>
      <c r="G1010" s="38">
        <v>180.9</v>
      </c>
      <c r="H1010" s="38">
        <v>0</v>
      </c>
      <c r="I1010" s="37"/>
      <c r="J1010" s="37"/>
      <c r="K1010" s="38">
        <f t="shared" si="15"/>
        <v>180.9</v>
      </c>
      <c r="L1010" s="38"/>
    </row>
    <row r="1011" spans="1:12" ht="14.5" x14ac:dyDescent="0.35">
      <c r="A1011" s="45" t="s">
        <v>3588</v>
      </c>
      <c r="C1011" s="36">
        <v>45900</v>
      </c>
      <c r="D1011" s="36" t="s">
        <v>3144</v>
      </c>
      <c r="E1011" s="37">
        <v>39121</v>
      </c>
      <c r="F1011" s="37" t="s">
        <v>4026</v>
      </c>
      <c r="G1011" s="38">
        <v>329.85</v>
      </c>
      <c r="H1011" s="38">
        <v>0</v>
      </c>
      <c r="I1011" s="37"/>
      <c r="J1011" s="37"/>
      <c r="K1011" s="38">
        <f t="shared" si="15"/>
        <v>329.85</v>
      </c>
      <c r="L1011" s="38"/>
    </row>
    <row r="1012" spans="1:12" ht="14.5" x14ac:dyDescent="0.35">
      <c r="A1012" s="45" t="s">
        <v>3588</v>
      </c>
      <c r="C1012" s="36">
        <v>45900</v>
      </c>
      <c r="D1012" s="36" t="s">
        <v>2459</v>
      </c>
      <c r="E1012" s="37">
        <v>39122</v>
      </c>
      <c r="F1012" s="37" t="s">
        <v>4026</v>
      </c>
      <c r="G1012" s="38">
        <v>4449.7700000000004</v>
      </c>
      <c r="H1012" s="38">
        <v>0</v>
      </c>
      <c r="I1012" s="37"/>
      <c r="J1012" s="37"/>
      <c r="K1012" s="38">
        <f t="shared" si="15"/>
        <v>4449.7700000000004</v>
      </c>
      <c r="L1012" s="38"/>
    </row>
    <row r="1013" spans="1:12" ht="14.5" x14ac:dyDescent="0.35">
      <c r="A1013" s="45" t="s">
        <v>3588</v>
      </c>
      <c r="C1013" s="36">
        <v>45900</v>
      </c>
      <c r="D1013" s="36" t="s">
        <v>2392</v>
      </c>
      <c r="E1013" s="37">
        <v>39124</v>
      </c>
      <c r="F1013" s="37" t="s">
        <v>4026</v>
      </c>
      <c r="G1013" s="38">
        <v>10762.41</v>
      </c>
      <c r="H1013" s="38">
        <v>0</v>
      </c>
      <c r="I1013" s="37"/>
      <c r="J1013" s="37"/>
      <c r="K1013" s="38">
        <f t="shared" si="15"/>
        <v>10762.41</v>
      </c>
      <c r="L1013" s="38"/>
    </row>
    <row r="1014" spans="1:12" ht="14.5" x14ac:dyDescent="0.35">
      <c r="B1014" s="46" t="s">
        <v>3589</v>
      </c>
      <c r="C1014" s="37"/>
      <c r="D1014" s="37"/>
      <c r="E1014" s="37"/>
      <c r="F1014" s="37" t="s">
        <v>4026</v>
      </c>
      <c r="G1014" s="37"/>
      <c r="H1014" s="38">
        <f>SUM(G4:G1013)-SUM(H4:H1013)</f>
        <v>6867445.2499999935</v>
      </c>
      <c r="I1014" s="37"/>
      <c r="J1014" s="37"/>
      <c r="K1014" s="38">
        <f t="shared" si="15"/>
        <v>-6867445.2499999935</v>
      </c>
      <c r="L1014" s="38"/>
    </row>
    <row r="1015" spans="1:12" ht="14.5" x14ac:dyDescent="0.35">
      <c r="A1015" s="45" t="s">
        <v>3799</v>
      </c>
      <c r="B1015" s="45" t="s">
        <v>3799</v>
      </c>
      <c r="C1015" s="55">
        <v>45870</v>
      </c>
      <c r="D1015" s="45" t="s">
        <v>422</v>
      </c>
      <c r="E1015" s="45" t="s">
        <v>3829</v>
      </c>
      <c r="G1015" s="38">
        <v>2250</v>
      </c>
      <c r="H1015" s="38">
        <v>2250</v>
      </c>
      <c r="K1015" s="38"/>
      <c r="L1015" s="38">
        <f>G1015-H1015</f>
        <v>0</v>
      </c>
    </row>
    <row r="1016" spans="1:12" ht="14.5" x14ac:dyDescent="0.35">
      <c r="A1016" s="45" t="s">
        <v>3799</v>
      </c>
      <c r="B1016" s="45" t="s">
        <v>3799</v>
      </c>
      <c r="C1016" s="55">
        <v>45870</v>
      </c>
      <c r="D1016" s="45" t="s">
        <v>422</v>
      </c>
      <c r="E1016" s="45" t="s">
        <v>3830</v>
      </c>
      <c r="G1016" s="38">
        <v>2301.5</v>
      </c>
      <c r="H1016" s="38">
        <v>2301.5</v>
      </c>
      <c r="K1016" s="38"/>
      <c r="L1016" s="38">
        <f t="shared" ref="L1016:L1079" si="16">G1016-H1016</f>
        <v>0</v>
      </c>
    </row>
    <row r="1017" spans="1:12" ht="14.5" x14ac:dyDescent="0.35">
      <c r="A1017" s="45" t="s">
        <v>3799</v>
      </c>
      <c r="B1017" s="45" t="s">
        <v>3799</v>
      </c>
      <c r="C1017" s="55">
        <v>45870</v>
      </c>
      <c r="D1017" s="45" t="s">
        <v>819</v>
      </c>
      <c r="E1017" s="45" t="s">
        <v>831</v>
      </c>
      <c r="G1017" s="38">
        <v>4201.5999999999985</v>
      </c>
      <c r="H1017" s="38">
        <v>4201.6000000000004</v>
      </c>
      <c r="K1017" s="38"/>
      <c r="L1017" s="38">
        <f t="shared" si="16"/>
        <v>0</v>
      </c>
    </row>
    <row r="1018" spans="1:12" ht="14.5" x14ac:dyDescent="0.35">
      <c r="A1018" s="45" t="s">
        <v>3799</v>
      </c>
      <c r="B1018" s="45" t="s">
        <v>3799</v>
      </c>
      <c r="C1018" s="55">
        <v>45870</v>
      </c>
      <c r="D1018" s="45" t="s">
        <v>819</v>
      </c>
      <c r="E1018" s="45" t="s">
        <v>337</v>
      </c>
      <c r="G1018" s="38">
        <v>51252.06</v>
      </c>
      <c r="H1018" s="38">
        <v>0</v>
      </c>
      <c r="K1018" s="38"/>
      <c r="L1018" s="38">
        <f t="shared" si="16"/>
        <v>51252.06</v>
      </c>
    </row>
    <row r="1019" spans="1:12" ht="14.5" x14ac:dyDescent="0.35">
      <c r="A1019" s="45" t="s">
        <v>3799</v>
      </c>
      <c r="B1019" s="45" t="s">
        <v>3799</v>
      </c>
      <c r="C1019" s="55">
        <v>45870</v>
      </c>
      <c r="D1019" s="45" t="s">
        <v>49</v>
      </c>
      <c r="E1019" s="45">
        <v>14036</v>
      </c>
      <c r="G1019" s="38">
        <v>200</v>
      </c>
      <c r="H1019" s="38">
        <v>200</v>
      </c>
      <c r="K1019" s="38"/>
      <c r="L1019" s="38">
        <f t="shared" si="16"/>
        <v>0</v>
      </c>
    </row>
    <row r="1020" spans="1:12" ht="14.5" x14ac:dyDescent="0.35">
      <c r="A1020" s="45" t="s">
        <v>3799</v>
      </c>
      <c r="B1020" s="45" t="s">
        <v>3799</v>
      </c>
      <c r="C1020" s="55">
        <v>45870</v>
      </c>
      <c r="D1020" s="45" t="s">
        <v>702</v>
      </c>
      <c r="E1020" s="45">
        <v>41188101</v>
      </c>
      <c r="G1020" s="38">
        <v>217.65</v>
      </c>
      <c r="H1020" s="38">
        <v>217.65</v>
      </c>
      <c r="K1020" s="38"/>
      <c r="L1020" s="38">
        <f t="shared" si="16"/>
        <v>0</v>
      </c>
    </row>
    <row r="1021" spans="1:12" ht="14.5" x14ac:dyDescent="0.35">
      <c r="A1021" s="45" t="s">
        <v>3799</v>
      </c>
      <c r="B1021" s="45" t="s">
        <v>3799</v>
      </c>
      <c r="C1021" s="55">
        <v>45871</v>
      </c>
      <c r="D1021" s="45" t="s">
        <v>819</v>
      </c>
      <c r="E1021" s="45" t="s">
        <v>3831</v>
      </c>
      <c r="G1021" s="38">
        <v>1851.94</v>
      </c>
      <c r="H1021" s="38">
        <v>0</v>
      </c>
      <c r="K1021" s="38"/>
      <c r="L1021" s="38">
        <f t="shared" si="16"/>
        <v>1851.94</v>
      </c>
    </row>
    <row r="1022" spans="1:12" ht="14.5" x14ac:dyDescent="0.35">
      <c r="A1022" s="45" t="s">
        <v>3799</v>
      </c>
      <c r="B1022" s="45" t="s">
        <v>3799</v>
      </c>
      <c r="C1022" s="55">
        <v>45873</v>
      </c>
      <c r="D1022" s="45" t="s">
        <v>819</v>
      </c>
      <c r="E1022" s="45" t="s">
        <v>3832</v>
      </c>
      <c r="G1022" s="38">
        <v>0</v>
      </c>
      <c r="H1022" s="38">
        <v>0</v>
      </c>
      <c r="K1022" s="38"/>
      <c r="L1022" s="38">
        <f t="shared" si="16"/>
        <v>0</v>
      </c>
    </row>
    <row r="1023" spans="1:12" ht="14.5" x14ac:dyDescent="0.35">
      <c r="A1023" s="45" t="s">
        <v>3799</v>
      </c>
      <c r="B1023" s="45" t="s">
        <v>3799</v>
      </c>
      <c r="C1023" s="55">
        <v>45873</v>
      </c>
      <c r="D1023" s="45" t="s">
        <v>819</v>
      </c>
      <c r="E1023" s="45" t="s">
        <v>3833</v>
      </c>
      <c r="G1023" s="38">
        <v>669</v>
      </c>
      <c r="H1023" s="38">
        <v>669</v>
      </c>
      <c r="K1023" s="38"/>
      <c r="L1023" s="38">
        <f t="shared" si="16"/>
        <v>0</v>
      </c>
    </row>
    <row r="1024" spans="1:12" ht="14.5" x14ac:dyDescent="0.35">
      <c r="A1024" s="45" t="s">
        <v>3799</v>
      </c>
      <c r="B1024" s="45" t="s">
        <v>3799</v>
      </c>
      <c r="C1024" s="55">
        <v>45873</v>
      </c>
      <c r="D1024" s="45" t="s">
        <v>819</v>
      </c>
      <c r="E1024" s="45" t="s">
        <v>840</v>
      </c>
      <c r="G1024" s="38">
        <v>904.00000000000011</v>
      </c>
      <c r="H1024" s="38">
        <v>904</v>
      </c>
      <c r="K1024" s="38"/>
      <c r="L1024" s="38">
        <f t="shared" si="16"/>
        <v>0</v>
      </c>
    </row>
    <row r="1025" spans="1:12" ht="14.5" x14ac:dyDescent="0.35">
      <c r="A1025" s="45" t="s">
        <v>3799</v>
      </c>
      <c r="B1025" s="45" t="s">
        <v>3799</v>
      </c>
      <c r="C1025" s="55">
        <v>45873</v>
      </c>
      <c r="D1025" s="45" t="s">
        <v>819</v>
      </c>
      <c r="E1025" s="45" t="s">
        <v>839</v>
      </c>
      <c r="G1025" s="38">
        <v>334.5</v>
      </c>
      <c r="H1025" s="38">
        <v>334.5</v>
      </c>
      <c r="K1025" s="38"/>
      <c r="L1025" s="38">
        <f t="shared" si="16"/>
        <v>0</v>
      </c>
    </row>
    <row r="1026" spans="1:12" ht="14.5" x14ac:dyDescent="0.35">
      <c r="A1026" s="45" t="s">
        <v>3799</v>
      </c>
      <c r="B1026" s="45" t="s">
        <v>3799</v>
      </c>
      <c r="C1026" s="55">
        <v>45873</v>
      </c>
      <c r="D1026" s="45" t="s">
        <v>66</v>
      </c>
      <c r="E1026" s="45" t="s">
        <v>3634</v>
      </c>
      <c r="G1026" s="38">
        <v>314.5</v>
      </c>
      <c r="H1026" s="38">
        <v>314.5</v>
      </c>
      <c r="K1026" s="38"/>
      <c r="L1026" s="38">
        <f t="shared" si="16"/>
        <v>0</v>
      </c>
    </row>
    <row r="1027" spans="1:12" ht="14.5" x14ac:dyDescent="0.35">
      <c r="A1027" s="45" t="s">
        <v>3799</v>
      </c>
      <c r="B1027" s="45" t="s">
        <v>3799</v>
      </c>
      <c r="C1027" s="55">
        <v>45874</v>
      </c>
      <c r="D1027" s="45" t="s">
        <v>324</v>
      </c>
      <c r="E1027" s="45" t="s">
        <v>3834</v>
      </c>
      <c r="G1027" s="38">
        <v>193</v>
      </c>
      <c r="H1027" s="38">
        <v>0</v>
      </c>
      <c r="K1027" s="38"/>
      <c r="L1027" s="38">
        <f t="shared" si="16"/>
        <v>193</v>
      </c>
    </row>
    <row r="1028" spans="1:12" ht="14.5" x14ac:dyDescent="0.35">
      <c r="A1028" s="45" t="s">
        <v>3799</v>
      </c>
      <c r="B1028" s="45" t="s">
        <v>3799</v>
      </c>
      <c r="C1028" s="55">
        <v>45875</v>
      </c>
      <c r="D1028" s="45" t="s">
        <v>716</v>
      </c>
      <c r="E1028" s="45" t="s">
        <v>726</v>
      </c>
      <c r="G1028" s="38">
        <v>2075</v>
      </c>
      <c r="H1028" s="38">
        <v>2075</v>
      </c>
      <c r="K1028" s="38"/>
      <c r="L1028" s="38">
        <f t="shared" si="16"/>
        <v>0</v>
      </c>
    </row>
    <row r="1029" spans="1:12" ht="14.5" x14ac:dyDescent="0.35">
      <c r="A1029" s="45" t="s">
        <v>3799</v>
      </c>
      <c r="B1029" s="45" t="s">
        <v>3799</v>
      </c>
      <c r="C1029" s="55">
        <v>45875</v>
      </c>
      <c r="D1029" s="45" t="s">
        <v>422</v>
      </c>
      <c r="E1029" s="45" t="s">
        <v>3835</v>
      </c>
      <c r="G1029" s="38">
        <v>92.999999999999986</v>
      </c>
      <c r="H1029" s="38">
        <v>93</v>
      </c>
      <c r="K1029" s="38"/>
      <c r="L1029" s="38">
        <f t="shared" si="16"/>
        <v>0</v>
      </c>
    </row>
    <row r="1030" spans="1:12" ht="14.5" x14ac:dyDescent="0.35">
      <c r="A1030" s="45" t="s">
        <v>3799</v>
      </c>
      <c r="B1030" s="45" t="s">
        <v>3799</v>
      </c>
      <c r="C1030" s="55">
        <v>45875</v>
      </c>
      <c r="D1030" s="45" t="s">
        <v>422</v>
      </c>
      <c r="E1030" s="45" t="s">
        <v>3836</v>
      </c>
      <c r="G1030" s="38">
        <v>93.000000000000014</v>
      </c>
      <c r="H1030" s="38">
        <v>93</v>
      </c>
      <c r="K1030" s="38"/>
      <c r="L1030" s="38">
        <f t="shared" si="16"/>
        <v>0</v>
      </c>
    </row>
    <row r="1031" spans="1:12" ht="14.5" x14ac:dyDescent="0.35">
      <c r="A1031" s="45" t="s">
        <v>3799</v>
      </c>
      <c r="B1031" s="45" t="s">
        <v>3799</v>
      </c>
      <c r="C1031" s="55">
        <v>45875</v>
      </c>
      <c r="D1031" s="45" t="s">
        <v>422</v>
      </c>
      <c r="E1031" s="45" t="s">
        <v>3837</v>
      </c>
      <c r="G1031" s="38">
        <v>93.000000000000014</v>
      </c>
      <c r="H1031" s="38">
        <v>93</v>
      </c>
      <c r="K1031" s="38"/>
      <c r="L1031" s="38">
        <f t="shared" si="16"/>
        <v>0</v>
      </c>
    </row>
    <row r="1032" spans="1:12" ht="14.5" x14ac:dyDescent="0.35">
      <c r="A1032" s="45" t="s">
        <v>3799</v>
      </c>
      <c r="B1032" s="45" t="s">
        <v>3799</v>
      </c>
      <c r="C1032" s="55">
        <v>45875</v>
      </c>
      <c r="D1032" s="45" t="s">
        <v>819</v>
      </c>
      <c r="E1032" s="45" t="s">
        <v>3838</v>
      </c>
      <c r="G1032" s="38">
        <v>89</v>
      </c>
      <c r="H1032" s="38">
        <v>89</v>
      </c>
      <c r="K1032" s="38"/>
      <c r="L1032" s="38">
        <f t="shared" si="16"/>
        <v>0</v>
      </c>
    </row>
    <row r="1033" spans="1:12" ht="14.5" x14ac:dyDescent="0.35">
      <c r="A1033" s="45" t="s">
        <v>3799</v>
      </c>
      <c r="B1033" s="45" t="s">
        <v>3799</v>
      </c>
      <c r="C1033" s="55">
        <v>45875</v>
      </c>
      <c r="D1033" s="45" t="s">
        <v>819</v>
      </c>
      <c r="E1033" s="45" t="s">
        <v>3651</v>
      </c>
      <c r="G1033" s="38">
        <v>89</v>
      </c>
      <c r="H1033" s="38">
        <v>89</v>
      </c>
      <c r="K1033" s="38"/>
      <c r="L1033" s="38">
        <f t="shared" si="16"/>
        <v>0</v>
      </c>
    </row>
    <row r="1034" spans="1:12" ht="14.5" x14ac:dyDescent="0.35">
      <c r="A1034" s="45" t="s">
        <v>3799</v>
      </c>
      <c r="B1034" s="45" t="s">
        <v>3799</v>
      </c>
      <c r="C1034" s="55">
        <v>45875</v>
      </c>
      <c r="D1034" s="45" t="s">
        <v>422</v>
      </c>
      <c r="E1034" s="45" t="s">
        <v>3839</v>
      </c>
      <c r="G1034" s="38">
        <v>79</v>
      </c>
      <c r="H1034" s="38">
        <v>79</v>
      </c>
      <c r="K1034" s="38"/>
      <c r="L1034" s="38">
        <f t="shared" si="16"/>
        <v>0</v>
      </c>
    </row>
    <row r="1035" spans="1:12" ht="14.5" x14ac:dyDescent="0.35">
      <c r="A1035" s="45" t="s">
        <v>3799</v>
      </c>
      <c r="B1035" s="45" t="s">
        <v>3799</v>
      </c>
      <c r="C1035" s="55">
        <v>45875</v>
      </c>
      <c r="D1035" s="45" t="s">
        <v>819</v>
      </c>
      <c r="E1035" s="45" t="s">
        <v>3840</v>
      </c>
      <c r="G1035" s="38">
        <v>89</v>
      </c>
      <c r="H1035" s="38">
        <v>89</v>
      </c>
      <c r="K1035" s="38"/>
      <c r="L1035" s="38">
        <f t="shared" si="16"/>
        <v>0</v>
      </c>
    </row>
    <row r="1036" spans="1:12" ht="14.5" x14ac:dyDescent="0.35">
      <c r="A1036" s="45" t="s">
        <v>3799</v>
      </c>
      <c r="B1036" s="45" t="s">
        <v>3799</v>
      </c>
      <c r="C1036" s="55">
        <v>45875</v>
      </c>
      <c r="D1036" s="45" t="s">
        <v>422</v>
      </c>
      <c r="E1036" s="45" t="s">
        <v>3841</v>
      </c>
      <c r="G1036" s="38">
        <v>79</v>
      </c>
      <c r="H1036" s="38">
        <v>79</v>
      </c>
      <c r="K1036" s="38"/>
      <c r="L1036" s="38">
        <f t="shared" si="16"/>
        <v>0</v>
      </c>
    </row>
    <row r="1037" spans="1:12" ht="14.5" x14ac:dyDescent="0.35">
      <c r="A1037" s="45" t="s">
        <v>3799</v>
      </c>
      <c r="B1037" s="45" t="s">
        <v>3799</v>
      </c>
      <c r="C1037" s="55">
        <v>45875</v>
      </c>
      <c r="D1037" s="45" t="s">
        <v>819</v>
      </c>
      <c r="E1037" s="45" t="s">
        <v>3842</v>
      </c>
      <c r="G1037" s="38">
        <v>163</v>
      </c>
      <c r="H1037" s="38">
        <v>163</v>
      </c>
      <c r="K1037" s="38"/>
      <c r="L1037" s="38">
        <f t="shared" si="16"/>
        <v>0</v>
      </c>
    </row>
    <row r="1038" spans="1:12" ht="14.5" x14ac:dyDescent="0.35">
      <c r="A1038" s="45" t="s">
        <v>3799</v>
      </c>
      <c r="B1038" s="45" t="s">
        <v>3799</v>
      </c>
      <c r="C1038" s="55">
        <v>45875</v>
      </c>
      <c r="D1038" s="45" t="s">
        <v>819</v>
      </c>
      <c r="E1038" s="45" t="s">
        <v>3843</v>
      </c>
      <c r="G1038" s="38">
        <v>110</v>
      </c>
      <c r="H1038" s="38">
        <v>110</v>
      </c>
      <c r="K1038" s="38"/>
      <c r="L1038" s="38">
        <f t="shared" si="16"/>
        <v>0</v>
      </c>
    </row>
    <row r="1039" spans="1:12" ht="14.5" x14ac:dyDescent="0.35">
      <c r="A1039" s="45" t="s">
        <v>3799</v>
      </c>
      <c r="B1039" s="45" t="s">
        <v>3799</v>
      </c>
      <c r="C1039" s="55">
        <v>45875</v>
      </c>
      <c r="D1039" s="45" t="s">
        <v>819</v>
      </c>
      <c r="E1039" s="45" t="s">
        <v>3844</v>
      </c>
      <c r="G1039" s="38">
        <v>89</v>
      </c>
      <c r="H1039" s="38">
        <v>89</v>
      </c>
      <c r="K1039" s="38"/>
      <c r="L1039" s="38">
        <f t="shared" si="16"/>
        <v>0</v>
      </c>
    </row>
    <row r="1040" spans="1:12" ht="14.5" x14ac:dyDescent="0.35">
      <c r="A1040" s="45" t="s">
        <v>3799</v>
      </c>
      <c r="B1040" s="45" t="s">
        <v>3799</v>
      </c>
      <c r="C1040" s="55">
        <v>45875</v>
      </c>
      <c r="D1040" s="45" t="s">
        <v>819</v>
      </c>
      <c r="E1040" s="45" t="s">
        <v>3845</v>
      </c>
      <c r="G1040" s="38">
        <v>832.99999999999989</v>
      </c>
      <c r="H1040" s="38">
        <v>833</v>
      </c>
      <c r="K1040" s="38"/>
      <c r="L1040" s="38">
        <f t="shared" si="16"/>
        <v>0</v>
      </c>
    </row>
    <row r="1041" spans="1:12" ht="14.5" x14ac:dyDescent="0.35">
      <c r="A1041" s="45" t="s">
        <v>3799</v>
      </c>
      <c r="B1041" s="45" t="s">
        <v>3799</v>
      </c>
      <c r="C1041" s="55">
        <v>45875</v>
      </c>
      <c r="D1041" s="45" t="s">
        <v>422</v>
      </c>
      <c r="E1041" s="45" t="s">
        <v>3846</v>
      </c>
      <c r="G1041" s="38">
        <v>63.999999999999993</v>
      </c>
      <c r="H1041" s="38">
        <v>64</v>
      </c>
      <c r="K1041" s="38"/>
      <c r="L1041" s="38">
        <f t="shared" si="16"/>
        <v>0</v>
      </c>
    </row>
    <row r="1042" spans="1:12" ht="14.5" x14ac:dyDescent="0.35">
      <c r="A1042" s="45" t="s">
        <v>3799</v>
      </c>
      <c r="B1042" s="45" t="s">
        <v>3799</v>
      </c>
      <c r="C1042" s="55">
        <v>45875</v>
      </c>
      <c r="D1042" s="45" t="s">
        <v>422</v>
      </c>
      <c r="E1042" s="45" t="s">
        <v>574</v>
      </c>
      <c r="G1042" s="38">
        <v>117</v>
      </c>
      <c r="H1042" s="38">
        <v>117</v>
      </c>
      <c r="K1042" s="38"/>
      <c r="L1042" s="38">
        <f t="shared" si="16"/>
        <v>0</v>
      </c>
    </row>
    <row r="1043" spans="1:12" ht="14.5" x14ac:dyDescent="0.35">
      <c r="A1043" s="45" t="s">
        <v>3799</v>
      </c>
      <c r="B1043" s="45" t="s">
        <v>3799</v>
      </c>
      <c r="C1043" s="55">
        <v>45875</v>
      </c>
      <c r="D1043" s="45" t="s">
        <v>422</v>
      </c>
      <c r="E1043" s="45" t="s">
        <v>3847</v>
      </c>
      <c r="G1043" s="38">
        <v>154.00000000000003</v>
      </c>
      <c r="H1043" s="38">
        <v>154</v>
      </c>
      <c r="K1043" s="38"/>
      <c r="L1043" s="38">
        <f t="shared" si="16"/>
        <v>0</v>
      </c>
    </row>
    <row r="1044" spans="1:12" ht="14.5" x14ac:dyDescent="0.35">
      <c r="A1044" s="45" t="s">
        <v>3799</v>
      </c>
      <c r="B1044" s="45" t="s">
        <v>3799</v>
      </c>
      <c r="C1044" s="55">
        <v>45875</v>
      </c>
      <c r="D1044" s="45" t="s">
        <v>819</v>
      </c>
      <c r="E1044" s="45" t="s">
        <v>3848</v>
      </c>
      <c r="G1044" s="38">
        <v>89.000000000000014</v>
      </c>
      <c r="H1044" s="38">
        <v>89</v>
      </c>
      <c r="K1044" s="38"/>
      <c r="L1044" s="38">
        <f t="shared" si="16"/>
        <v>0</v>
      </c>
    </row>
    <row r="1045" spans="1:12" ht="14.5" x14ac:dyDescent="0.35">
      <c r="A1045" s="45" t="s">
        <v>3799</v>
      </c>
      <c r="B1045" s="45" t="s">
        <v>3799</v>
      </c>
      <c r="C1045" s="55">
        <v>45875</v>
      </c>
      <c r="D1045" s="45" t="s">
        <v>819</v>
      </c>
      <c r="E1045" s="45" t="s">
        <v>3849</v>
      </c>
      <c r="G1045" s="38">
        <v>89</v>
      </c>
      <c r="H1045" s="38">
        <v>89</v>
      </c>
      <c r="K1045" s="38"/>
      <c r="L1045" s="38">
        <f t="shared" si="16"/>
        <v>0</v>
      </c>
    </row>
    <row r="1046" spans="1:12" ht="14.5" x14ac:dyDescent="0.35">
      <c r="A1046" s="45" t="s">
        <v>3799</v>
      </c>
      <c r="B1046" s="45" t="s">
        <v>3799</v>
      </c>
      <c r="C1046" s="55">
        <v>45875</v>
      </c>
      <c r="D1046" s="45" t="s">
        <v>819</v>
      </c>
      <c r="E1046" s="45" t="s">
        <v>3850</v>
      </c>
      <c r="G1046" s="38">
        <v>105</v>
      </c>
      <c r="H1046" s="38">
        <v>105</v>
      </c>
      <c r="K1046" s="38"/>
      <c r="L1046" s="38">
        <f t="shared" si="16"/>
        <v>0</v>
      </c>
    </row>
    <row r="1047" spans="1:12" ht="14.5" x14ac:dyDescent="0.35">
      <c r="A1047" s="45" t="s">
        <v>3799</v>
      </c>
      <c r="B1047" s="45" t="s">
        <v>3799</v>
      </c>
      <c r="C1047" s="55">
        <v>45875</v>
      </c>
      <c r="D1047" s="45" t="s">
        <v>819</v>
      </c>
      <c r="E1047" s="45" t="s">
        <v>3851</v>
      </c>
      <c r="G1047" s="38">
        <v>89</v>
      </c>
      <c r="H1047" s="38">
        <v>89</v>
      </c>
      <c r="K1047" s="38"/>
      <c r="L1047" s="38">
        <f t="shared" si="16"/>
        <v>0</v>
      </c>
    </row>
    <row r="1048" spans="1:12" ht="14.5" x14ac:dyDescent="0.35">
      <c r="A1048" s="45" t="s">
        <v>3799</v>
      </c>
      <c r="B1048" s="45" t="s">
        <v>3799</v>
      </c>
      <c r="C1048" s="55">
        <v>45875</v>
      </c>
      <c r="D1048" s="45" t="s">
        <v>422</v>
      </c>
      <c r="E1048" s="45" t="s">
        <v>3852</v>
      </c>
      <c r="G1048" s="38">
        <v>78</v>
      </c>
      <c r="H1048" s="38">
        <v>78</v>
      </c>
      <c r="K1048" s="38"/>
      <c r="L1048" s="38">
        <f t="shared" si="16"/>
        <v>0</v>
      </c>
    </row>
    <row r="1049" spans="1:12" ht="14.5" x14ac:dyDescent="0.35">
      <c r="A1049" s="45" t="s">
        <v>3799</v>
      </c>
      <c r="B1049" s="45" t="s">
        <v>3799</v>
      </c>
      <c r="C1049" s="55">
        <v>45875</v>
      </c>
      <c r="D1049" s="45" t="s">
        <v>819</v>
      </c>
      <c r="E1049" s="45" t="s">
        <v>3853</v>
      </c>
      <c r="G1049" s="38">
        <v>178</v>
      </c>
      <c r="H1049" s="38">
        <v>178</v>
      </c>
      <c r="K1049" s="38"/>
      <c r="L1049" s="38">
        <f t="shared" si="16"/>
        <v>0</v>
      </c>
    </row>
    <row r="1050" spans="1:12" ht="14.5" x14ac:dyDescent="0.35">
      <c r="A1050" s="45" t="s">
        <v>3799</v>
      </c>
      <c r="B1050" s="45" t="s">
        <v>3799</v>
      </c>
      <c r="C1050" s="55">
        <v>45875</v>
      </c>
      <c r="D1050" s="45" t="s">
        <v>422</v>
      </c>
      <c r="E1050" s="45" t="s">
        <v>3721</v>
      </c>
      <c r="G1050" s="38">
        <v>216.70000000000002</v>
      </c>
      <c r="H1050" s="38">
        <v>216.7</v>
      </c>
      <c r="K1050" s="38"/>
      <c r="L1050" s="38">
        <f t="shared" si="16"/>
        <v>0</v>
      </c>
    </row>
    <row r="1051" spans="1:12" ht="14.5" x14ac:dyDescent="0.35">
      <c r="A1051" s="45" t="s">
        <v>3799</v>
      </c>
      <c r="B1051" s="45" t="s">
        <v>3799</v>
      </c>
      <c r="C1051" s="55">
        <v>45875</v>
      </c>
      <c r="D1051" s="45" t="s">
        <v>422</v>
      </c>
      <c r="E1051" s="45" t="s">
        <v>3723</v>
      </c>
      <c r="G1051" s="38">
        <v>266</v>
      </c>
      <c r="H1051" s="38">
        <v>266</v>
      </c>
      <c r="K1051" s="38"/>
      <c r="L1051" s="38">
        <f t="shared" si="16"/>
        <v>0</v>
      </c>
    </row>
    <row r="1052" spans="1:12" ht="14.5" x14ac:dyDescent="0.35">
      <c r="A1052" s="45" t="s">
        <v>3799</v>
      </c>
      <c r="B1052" s="45" t="s">
        <v>3799</v>
      </c>
      <c r="C1052" s="55">
        <v>45875</v>
      </c>
      <c r="D1052" s="45" t="s">
        <v>422</v>
      </c>
      <c r="E1052" s="45" t="s">
        <v>3854</v>
      </c>
      <c r="G1052" s="38">
        <v>210</v>
      </c>
      <c r="H1052" s="38">
        <v>210</v>
      </c>
      <c r="K1052" s="38"/>
      <c r="L1052" s="38">
        <f t="shared" si="16"/>
        <v>0</v>
      </c>
    </row>
    <row r="1053" spans="1:12" ht="14.5" x14ac:dyDescent="0.35">
      <c r="A1053" s="45" t="s">
        <v>3799</v>
      </c>
      <c r="B1053" s="45" t="s">
        <v>3799</v>
      </c>
      <c r="C1053" s="55">
        <v>45875</v>
      </c>
      <c r="D1053" s="45" t="s">
        <v>422</v>
      </c>
      <c r="E1053" s="45" t="s">
        <v>530</v>
      </c>
      <c r="G1053" s="38">
        <v>1568</v>
      </c>
      <c r="H1053" s="38">
        <v>1568</v>
      </c>
      <c r="K1053" s="38"/>
      <c r="L1053" s="38">
        <f t="shared" si="16"/>
        <v>0</v>
      </c>
    </row>
    <row r="1054" spans="1:12" ht="14.5" x14ac:dyDescent="0.35">
      <c r="A1054" s="45" t="s">
        <v>3799</v>
      </c>
      <c r="B1054" s="45" t="s">
        <v>3799</v>
      </c>
      <c r="C1054" s="55">
        <v>45875</v>
      </c>
      <c r="D1054" s="45" t="s">
        <v>422</v>
      </c>
      <c r="E1054" s="45" t="s">
        <v>560</v>
      </c>
      <c r="G1054" s="38">
        <v>111</v>
      </c>
      <c r="H1054" s="38">
        <v>111</v>
      </c>
      <c r="K1054" s="38"/>
      <c r="L1054" s="38">
        <f t="shared" si="16"/>
        <v>0</v>
      </c>
    </row>
    <row r="1055" spans="1:12" ht="14.5" x14ac:dyDescent="0.35">
      <c r="A1055" s="45" t="s">
        <v>3799</v>
      </c>
      <c r="B1055" s="45" t="s">
        <v>3799</v>
      </c>
      <c r="C1055" s="55">
        <v>45875</v>
      </c>
      <c r="D1055" s="45" t="s">
        <v>422</v>
      </c>
      <c r="E1055" s="45" t="s">
        <v>3855</v>
      </c>
      <c r="G1055" s="38">
        <v>298</v>
      </c>
      <c r="H1055" s="38">
        <v>298</v>
      </c>
      <c r="K1055" s="38"/>
      <c r="L1055" s="38">
        <f t="shared" si="16"/>
        <v>0</v>
      </c>
    </row>
    <row r="1056" spans="1:12" ht="14.5" x14ac:dyDescent="0.35">
      <c r="A1056" s="45" t="s">
        <v>3799</v>
      </c>
      <c r="B1056" s="45" t="s">
        <v>3799</v>
      </c>
      <c r="C1056" s="55">
        <v>45875</v>
      </c>
      <c r="D1056" s="45" t="s">
        <v>422</v>
      </c>
      <c r="E1056" s="45" t="s">
        <v>527</v>
      </c>
      <c r="G1056" s="38">
        <v>3687.1</v>
      </c>
      <c r="H1056" s="38">
        <v>3687.1000000000004</v>
      </c>
      <c r="K1056" s="38"/>
      <c r="L1056" s="38">
        <f t="shared" si="16"/>
        <v>0</v>
      </c>
    </row>
    <row r="1057" spans="1:12" ht="14.5" x14ac:dyDescent="0.35">
      <c r="A1057" s="45" t="s">
        <v>3799</v>
      </c>
      <c r="B1057" s="45" t="s">
        <v>3799</v>
      </c>
      <c r="C1057" s="55">
        <v>45875</v>
      </c>
      <c r="D1057" s="45" t="s">
        <v>422</v>
      </c>
      <c r="E1057" s="45" t="s">
        <v>3727</v>
      </c>
      <c r="G1057" s="38">
        <v>159</v>
      </c>
      <c r="H1057" s="38">
        <v>159</v>
      </c>
      <c r="K1057" s="38"/>
      <c r="L1057" s="38">
        <f t="shared" si="16"/>
        <v>0</v>
      </c>
    </row>
    <row r="1058" spans="1:12" ht="14.5" x14ac:dyDescent="0.35">
      <c r="A1058" s="45" t="s">
        <v>3799</v>
      </c>
      <c r="B1058" s="45" t="s">
        <v>3799</v>
      </c>
      <c r="C1058" s="55">
        <v>45875</v>
      </c>
      <c r="D1058" s="45" t="s">
        <v>819</v>
      </c>
      <c r="E1058" s="45" t="s">
        <v>832</v>
      </c>
      <c r="G1058" s="38">
        <v>3123</v>
      </c>
      <c r="H1058" s="38">
        <v>3123</v>
      </c>
      <c r="K1058" s="38"/>
      <c r="L1058" s="38">
        <f t="shared" si="16"/>
        <v>0</v>
      </c>
    </row>
    <row r="1059" spans="1:12" ht="14.5" x14ac:dyDescent="0.35">
      <c r="A1059" s="45" t="s">
        <v>3799</v>
      </c>
      <c r="B1059" s="45" t="s">
        <v>3799</v>
      </c>
      <c r="C1059" s="55">
        <v>45875</v>
      </c>
      <c r="D1059" s="45" t="s">
        <v>422</v>
      </c>
      <c r="E1059" s="45" t="s">
        <v>3618</v>
      </c>
      <c r="G1059" s="38">
        <v>86</v>
      </c>
      <c r="H1059" s="38">
        <v>86</v>
      </c>
      <c r="K1059" s="38"/>
      <c r="L1059" s="38">
        <f t="shared" si="16"/>
        <v>0</v>
      </c>
    </row>
    <row r="1060" spans="1:12" ht="14.5" x14ac:dyDescent="0.35">
      <c r="A1060" s="45" t="s">
        <v>3799</v>
      </c>
      <c r="B1060" s="45" t="s">
        <v>3799</v>
      </c>
      <c r="C1060" s="55">
        <v>45875</v>
      </c>
      <c r="D1060" s="45" t="s">
        <v>422</v>
      </c>
      <c r="E1060" s="45" t="s">
        <v>3856</v>
      </c>
      <c r="G1060" s="38">
        <v>64</v>
      </c>
      <c r="H1060" s="38">
        <v>64</v>
      </c>
      <c r="K1060" s="38"/>
      <c r="L1060" s="38">
        <f t="shared" si="16"/>
        <v>0</v>
      </c>
    </row>
    <row r="1061" spans="1:12" ht="14.5" x14ac:dyDescent="0.35">
      <c r="A1061" s="45" t="s">
        <v>3799</v>
      </c>
      <c r="B1061" s="45" t="s">
        <v>3799</v>
      </c>
      <c r="C1061" s="55">
        <v>45875</v>
      </c>
      <c r="D1061" s="45" t="s">
        <v>17</v>
      </c>
      <c r="E1061" s="45">
        <v>20250213</v>
      </c>
      <c r="G1061" s="38">
        <v>2100</v>
      </c>
      <c r="H1061" s="38">
        <v>2100</v>
      </c>
      <c r="K1061" s="38"/>
      <c r="L1061" s="38">
        <f t="shared" si="16"/>
        <v>0</v>
      </c>
    </row>
    <row r="1062" spans="1:12" ht="14.5" x14ac:dyDescent="0.35">
      <c r="A1062" s="45" t="s">
        <v>3799</v>
      </c>
      <c r="B1062" s="45" t="s">
        <v>3799</v>
      </c>
      <c r="C1062" s="55">
        <v>45875</v>
      </c>
      <c r="D1062" s="45" t="s">
        <v>422</v>
      </c>
      <c r="E1062" s="45" t="s">
        <v>556</v>
      </c>
      <c r="G1062" s="38">
        <v>86</v>
      </c>
      <c r="H1062" s="38">
        <v>86</v>
      </c>
      <c r="K1062" s="38"/>
      <c r="L1062" s="38">
        <f t="shared" si="16"/>
        <v>0</v>
      </c>
    </row>
    <row r="1063" spans="1:12" ht="14.5" x14ac:dyDescent="0.35">
      <c r="A1063" s="45" t="s">
        <v>3799</v>
      </c>
      <c r="B1063" s="45" t="s">
        <v>3799</v>
      </c>
      <c r="C1063" s="55">
        <v>45875</v>
      </c>
      <c r="D1063" s="45" t="s">
        <v>819</v>
      </c>
      <c r="E1063" s="45" t="s">
        <v>3857</v>
      </c>
      <c r="G1063" s="38">
        <v>89</v>
      </c>
      <c r="H1063" s="38">
        <v>89</v>
      </c>
      <c r="K1063" s="38"/>
      <c r="L1063" s="38">
        <f t="shared" si="16"/>
        <v>0</v>
      </c>
    </row>
    <row r="1064" spans="1:12" ht="14.5" x14ac:dyDescent="0.35">
      <c r="A1064" s="45" t="s">
        <v>3799</v>
      </c>
      <c r="B1064" s="45" t="s">
        <v>3799</v>
      </c>
      <c r="C1064" s="55">
        <v>45875</v>
      </c>
      <c r="D1064" s="45" t="s">
        <v>819</v>
      </c>
      <c r="E1064" s="45" t="s">
        <v>3858</v>
      </c>
      <c r="G1064" s="38">
        <v>684.99999999999989</v>
      </c>
      <c r="H1064" s="38">
        <v>685</v>
      </c>
      <c r="K1064" s="38"/>
      <c r="L1064" s="38">
        <f t="shared" si="16"/>
        <v>0</v>
      </c>
    </row>
    <row r="1065" spans="1:12" ht="14.5" x14ac:dyDescent="0.35">
      <c r="A1065" s="45" t="s">
        <v>3799</v>
      </c>
      <c r="B1065" s="45" t="s">
        <v>3799</v>
      </c>
      <c r="C1065" s="55">
        <v>45875</v>
      </c>
      <c r="D1065" s="45" t="s">
        <v>422</v>
      </c>
      <c r="E1065" s="45" t="s">
        <v>3793</v>
      </c>
      <c r="G1065" s="38">
        <v>131.41999999999999</v>
      </c>
      <c r="H1065" s="38">
        <v>131.41999999999999</v>
      </c>
      <c r="K1065" s="38"/>
      <c r="L1065" s="38">
        <f t="shared" si="16"/>
        <v>0</v>
      </c>
    </row>
    <row r="1066" spans="1:12" ht="14.5" x14ac:dyDescent="0.35">
      <c r="A1066" s="45" t="s">
        <v>3799</v>
      </c>
      <c r="B1066" s="45" t="s">
        <v>3799</v>
      </c>
      <c r="C1066" s="55">
        <v>45875</v>
      </c>
      <c r="D1066" s="45" t="s">
        <v>422</v>
      </c>
      <c r="E1066" s="45" t="s">
        <v>3859</v>
      </c>
      <c r="G1066" s="38">
        <v>78</v>
      </c>
      <c r="H1066" s="38">
        <v>78</v>
      </c>
      <c r="K1066" s="38"/>
      <c r="L1066" s="38">
        <f t="shared" si="16"/>
        <v>0</v>
      </c>
    </row>
    <row r="1067" spans="1:12" ht="14.5" x14ac:dyDescent="0.35">
      <c r="A1067" s="45" t="s">
        <v>3799</v>
      </c>
      <c r="B1067" s="45" t="s">
        <v>3799</v>
      </c>
      <c r="C1067" s="55">
        <v>45875</v>
      </c>
      <c r="D1067" s="45" t="s">
        <v>422</v>
      </c>
      <c r="E1067" s="45" t="s">
        <v>3860</v>
      </c>
      <c r="G1067" s="38">
        <v>78</v>
      </c>
      <c r="H1067" s="38">
        <v>78</v>
      </c>
      <c r="K1067" s="38"/>
      <c r="L1067" s="38">
        <f t="shared" si="16"/>
        <v>0</v>
      </c>
    </row>
    <row r="1068" spans="1:12" ht="14.5" x14ac:dyDescent="0.35">
      <c r="A1068" s="45" t="s">
        <v>3799</v>
      </c>
      <c r="B1068" s="45" t="s">
        <v>3799</v>
      </c>
      <c r="C1068" s="55">
        <v>45875</v>
      </c>
      <c r="D1068" s="45" t="s">
        <v>422</v>
      </c>
      <c r="E1068" s="45" t="s">
        <v>548</v>
      </c>
      <c r="G1068" s="38">
        <v>203</v>
      </c>
      <c r="H1068" s="38">
        <v>203</v>
      </c>
      <c r="K1068" s="38"/>
      <c r="L1068" s="38">
        <f t="shared" si="16"/>
        <v>0</v>
      </c>
    </row>
    <row r="1069" spans="1:12" ht="14.5" x14ac:dyDescent="0.35">
      <c r="A1069" s="45" t="s">
        <v>3799</v>
      </c>
      <c r="B1069" s="45" t="s">
        <v>3799</v>
      </c>
      <c r="C1069" s="55">
        <v>45875</v>
      </c>
      <c r="D1069" s="45" t="s">
        <v>422</v>
      </c>
      <c r="E1069" s="45" t="s">
        <v>3861</v>
      </c>
      <c r="G1069" s="38">
        <v>203</v>
      </c>
      <c r="H1069" s="38">
        <v>203</v>
      </c>
      <c r="K1069" s="38"/>
      <c r="L1069" s="38">
        <f t="shared" si="16"/>
        <v>0</v>
      </c>
    </row>
    <row r="1070" spans="1:12" ht="14.5" x14ac:dyDescent="0.35">
      <c r="A1070" s="45" t="s">
        <v>3799</v>
      </c>
      <c r="B1070" s="45" t="s">
        <v>3799</v>
      </c>
      <c r="C1070" s="55">
        <v>45875</v>
      </c>
      <c r="D1070" s="45" t="s">
        <v>422</v>
      </c>
      <c r="E1070" s="45" t="s">
        <v>3862</v>
      </c>
      <c r="G1070" s="38">
        <v>406</v>
      </c>
      <c r="H1070" s="38">
        <v>406</v>
      </c>
      <c r="K1070" s="38"/>
      <c r="L1070" s="38">
        <f t="shared" si="16"/>
        <v>0</v>
      </c>
    </row>
    <row r="1071" spans="1:12" ht="14.5" x14ac:dyDescent="0.35">
      <c r="A1071" s="45" t="s">
        <v>3799</v>
      </c>
      <c r="B1071" s="45" t="s">
        <v>3799</v>
      </c>
      <c r="C1071" s="55">
        <v>45875</v>
      </c>
      <c r="D1071" s="45" t="s">
        <v>422</v>
      </c>
      <c r="E1071" s="45" t="s">
        <v>3622</v>
      </c>
      <c r="G1071" s="38">
        <v>246.19</v>
      </c>
      <c r="H1071" s="38">
        <v>87</v>
      </c>
      <c r="K1071" s="38"/>
      <c r="L1071" s="38">
        <f t="shared" si="16"/>
        <v>159.19</v>
      </c>
    </row>
    <row r="1072" spans="1:12" ht="14.5" x14ac:dyDescent="0.35">
      <c r="A1072" s="45" t="s">
        <v>3799</v>
      </c>
      <c r="B1072" s="45" t="s">
        <v>3799</v>
      </c>
      <c r="C1072" s="55">
        <v>45875</v>
      </c>
      <c r="D1072" s="45" t="s">
        <v>422</v>
      </c>
      <c r="E1072" s="45" t="s">
        <v>3623</v>
      </c>
      <c r="G1072" s="38">
        <v>221</v>
      </c>
      <c r="H1072" s="38">
        <v>221</v>
      </c>
      <c r="K1072" s="38"/>
      <c r="L1072" s="38">
        <f t="shared" si="16"/>
        <v>0</v>
      </c>
    </row>
    <row r="1073" spans="1:12" ht="14.5" x14ac:dyDescent="0.35">
      <c r="A1073" s="45" t="s">
        <v>3799</v>
      </c>
      <c r="B1073" s="45" t="s">
        <v>3799</v>
      </c>
      <c r="C1073" s="55">
        <v>45875</v>
      </c>
      <c r="D1073" s="45" t="s">
        <v>422</v>
      </c>
      <c r="E1073" s="45" t="s">
        <v>542</v>
      </c>
      <c r="G1073" s="38">
        <v>610</v>
      </c>
      <c r="H1073" s="38">
        <v>610</v>
      </c>
      <c r="K1073" s="38"/>
      <c r="L1073" s="38">
        <f t="shared" si="16"/>
        <v>0</v>
      </c>
    </row>
    <row r="1074" spans="1:12" ht="14.5" x14ac:dyDescent="0.35">
      <c r="A1074" s="45" t="s">
        <v>3799</v>
      </c>
      <c r="B1074" s="45" t="s">
        <v>3799</v>
      </c>
      <c r="C1074" s="55">
        <v>45875</v>
      </c>
      <c r="D1074" s="45" t="s">
        <v>819</v>
      </c>
      <c r="E1074" s="45" t="s">
        <v>3600</v>
      </c>
      <c r="G1074" s="38">
        <v>324</v>
      </c>
      <c r="H1074" s="38">
        <v>324</v>
      </c>
      <c r="K1074" s="38"/>
      <c r="L1074" s="38">
        <f t="shared" si="16"/>
        <v>0</v>
      </c>
    </row>
    <row r="1075" spans="1:12" ht="14.5" x14ac:dyDescent="0.35">
      <c r="A1075" s="45" t="s">
        <v>3799</v>
      </c>
      <c r="B1075" s="45" t="s">
        <v>3799</v>
      </c>
      <c r="C1075" s="55">
        <v>45875</v>
      </c>
      <c r="D1075" s="45" t="s">
        <v>819</v>
      </c>
      <c r="E1075" s="45" t="s">
        <v>3863</v>
      </c>
      <c r="G1075" s="38">
        <v>110</v>
      </c>
      <c r="H1075" s="38">
        <v>110</v>
      </c>
      <c r="K1075" s="38"/>
      <c r="L1075" s="38">
        <f t="shared" si="16"/>
        <v>0</v>
      </c>
    </row>
    <row r="1076" spans="1:12" ht="14.5" x14ac:dyDescent="0.35">
      <c r="A1076" s="45" t="s">
        <v>3799</v>
      </c>
      <c r="B1076" s="45" t="s">
        <v>3799</v>
      </c>
      <c r="C1076" s="55">
        <v>45875</v>
      </c>
      <c r="D1076" s="45" t="s">
        <v>422</v>
      </c>
      <c r="E1076" s="45" t="s">
        <v>3864</v>
      </c>
      <c r="G1076" s="38">
        <v>39</v>
      </c>
      <c r="H1076" s="38">
        <v>39</v>
      </c>
      <c r="K1076" s="38"/>
      <c r="L1076" s="38">
        <f t="shared" si="16"/>
        <v>0</v>
      </c>
    </row>
    <row r="1077" spans="1:12" ht="14.5" x14ac:dyDescent="0.35">
      <c r="A1077" s="45" t="s">
        <v>3799</v>
      </c>
      <c r="B1077" s="45" t="s">
        <v>3799</v>
      </c>
      <c r="C1077" s="55">
        <v>45875</v>
      </c>
      <c r="D1077" s="45" t="s">
        <v>422</v>
      </c>
      <c r="E1077" s="45" t="s">
        <v>3865</v>
      </c>
      <c r="G1077" s="38">
        <v>38</v>
      </c>
      <c r="H1077" s="38">
        <v>38</v>
      </c>
      <c r="K1077" s="38"/>
      <c r="L1077" s="38">
        <f t="shared" si="16"/>
        <v>0</v>
      </c>
    </row>
    <row r="1078" spans="1:12" ht="14.5" x14ac:dyDescent="0.35">
      <c r="A1078" s="45" t="s">
        <v>3799</v>
      </c>
      <c r="B1078" s="45" t="s">
        <v>3799</v>
      </c>
      <c r="C1078" s="55">
        <v>45875</v>
      </c>
      <c r="D1078" s="45" t="s">
        <v>422</v>
      </c>
      <c r="E1078" s="45" t="s">
        <v>3866</v>
      </c>
      <c r="G1078" s="38">
        <v>39</v>
      </c>
      <c r="H1078" s="38">
        <v>39</v>
      </c>
      <c r="K1078" s="38"/>
      <c r="L1078" s="38">
        <f t="shared" si="16"/>
        <v>0</v>
      </c>
    </row>
    <row r="1079" spans="1:12" ht="14.5" x14ac:dyDescent="0.35">
      <c r="A1079" s="45" t="s">
        <v>3799</v>
      </c>
      <c r="B1079" s="45" t="s">
        <v>3799</v>
      </c>
      <c r="C1079" s="55">
        <v>45875</v>
      </c>
      <c r="D1079" s="45" t="s">
        <v>422</v>
      </c>
      <c r="E1079" s="45" t="s">
        <v>561</v>
      </c>
      <c r="G1079" s="38">
        <v>104</v>
      </c>
      <c r="H1079" s="38">
        <v>104</v>
      </c>
      <c r="K1079" s="38"/>
      <c r="L1079" s="38">
        <f t="shared" si="16"/>
        <v>0</v>
      </c>
    </row>
    <row r="1080" spans="1:12" ht="14.5" x14ac:dyDescent="0.35">
      <c r="A1080" s="45" t="s">
        <v>3799</v>
      </c>
      <c r="B1080" s="45" t="s">
        <v>3799</v>
      </c>
      <c r="C1080" s="55">
        <v>45875</v>
      </c>
      <c r="D1080" s="45" t="s">
        <v>422</v>
      </c>
      <c r="E1080" s="45" t="s">
        <v>3627</v>
      </c>
      <c r="G1080" s="38">
        <v>112.99999999999999</v>
      </c>
      <c r="H1080" s="38">
        <v>113</v>
      </c>
      <c r="K1080" s="38"/>
      <c r="L1080" s="38">
        <f t="shared" ref="L1080:L1143" si="17">G1080-H1080</f>
        <v>0</v>
      </c>
    </row>
    <row r="1081" spans="1:12" ht="14.5" x14ac:dyDescent="0.35">
      <c r="A1081" s="45" t="s">
        <v>3799</v>
      </c>
      <c r="B1081" s="45" t="s">
        <v>3799</v>
      </c>
      <c r="C1081" s="55">
        <v>45875</v>
      </c>
      <c r="D1081" s="45" t="s">
        <v>422</v>
      </c>
      <c r="E1081" s="45" t="s">
        <v>3867</v>
      </c>
      <c r="G1081" s="38">
        <v>648.76</v>
      </c>
      <c r="H1081" s="38">
        <v>648.76</v>
      </c>
      <c r="K1081" s="38"/>
      <c r="L1081" s="38">
        <f t="shared" si="17"/>
        <v>0</v>
      </c>
    </row>
    <row r="1082" spans="1:12" ht="14.5" x14ac:dyDescent="0.35">
      <c r="A1082" s="45" t="s">
        <v>3799</v>
      </c>
      <c r="B1082" s="45" t="s">
        <v>3799</v>
      </c>
      <c r="C1082" s="55">
        <v>45875</v>
      </c>
      <c r="D1082" s="45" t="s">
        <v>422</v>
      </c>
      <c r="E1082" s="45" t="s">
        <v>3868</v>
      </c>
      <c r="G1082" s="38">
        <v>38</v>
      </c>
      <c r="H1082" s="38">
        <v>38</v>
      </c>
      <c r="K1082" s="38"/>
      <c r="L1082" s="38">
        <f t="shared" si="17"/>
        <v>0</v>
      </c>
    </row>
    <row r="1083" spans="1:12" ht="14.5" x14ac:dyDescent="0.35">
      <c r="A1083" s="45" t="s">
        <v>3799</v>
      </c>
      <c r="B1083" s="45" t="s">
        <v>3799</v>
      </c>
      <c r="C1083" s="55">
        <v>45875</v>
      </c>
      <c r="D1083" s="45" t="s">
        <v>17</v>
      </c>
      <c r="E1083" s="45">
        <v>20250263</v>
      </c>
      <c r="G1083" s="38">
        <v>650</v>
      </c>
      <c r="H1083" s="38">
        <v>650</v>
      </c>
      <c r="K1083" s="38"/>
      <c r="L1083" s="38">
        <f t="shared" si="17"/>
        <v>0</v>
      </c>
    </row>
    <row r="1084" spans="1:12" ht="14.5" x14ac:dyDescent="0.35">
      <c r="A1084" s="45" t="s">
        <v>3799</v>
      </c>
      <c r="B1084" s="45" t="s">
        <v>3799</v>
      </c>
      <c r="C1084" s="55">
        <v>45875</v>
      </c>
      <c r="D1084" s="45" t="s">
        <v>422</v>
      </c>
      <c r="E1084" s="45" t="s">
        <v>3629</v>
      </c>
      <c r="G1084" s="38">
        <v>268</v>
      </c>
      <c r="H1084" s="38">
        <v>268</v>
      </c>
      <c r="K1084" s="38"/>
      <c r="L1084" s="38">
        <f t="shared" si="17"/>
        <v>0</v>
      </c>
    </row>
    <row r="1085" spans="1:12" ht="14.5" x14ac:dyDescent="0.35">
      <c r="A1085" s="45" t="s">
        <v>3799</v>
      </c>
      <c r="B1085" s="45" t="s">
        <v>3799</v>
      </c>
      <c r="C1085" s="55">
        <v>45875</v>
      </c>
      <c r="D1085" s="45" t="s">
        <v>819</v>
      </c>
      <c r="E1085" s="45" t="s">
        <v>835</v>
      </c>
      <c r="G1085" s="38">
        <v>647.99999999999966</v>
      </c>
      <c r="H1085" s="38">
        <v>648</v>
      </c>
      <c r="K1085" s="38"/>
      <c r="L1085" s="38">
        <f t="shared" si="17"/>
        <v>0</v>
      </c>
    </row>
    <row r="1086" spans="1:12" ht="14.5" x14ac:dyDescent="0.35">
      <c r="A1086" s="45" t="s">
        <v>3799</v>
      </c>
      <c r="B1086" s="45" t="s">
        <v>3799</v>
      </c>
      <c r="C1086" s="55">
        <v>45875</v>
      </c>
      <c r="D1086" s="45" t="s">
        <v>422</v>
      </c>
      <c r="E1086" s="45" t="s">
        <v>3869</v>
      </c>
      <c r="G1086" s="38">
        <v>78</v>
      </c>
      <c r="H1086" s="38">
        <v>78</v>
      </c>
      <c r="K1086" s="38"/>
      <c r="L1086" s="38">
        <f t="shared" si="17"/>
        <v>0</v>
      </c>
    </row>
    <row r="1087" spans="1:12" ht="14.5" x14ac:dyDescent="0.35">
      <c r="A1087" s="45" t="s">
        <v>3799</v>
      </c>
      <c r="B1087" s="45" t="s">
        <v>3799</v>
      </c>
      <c r="C1087" s="55">
        <v>45875</v>
      </c>
      <c r="D1087" s="45" t="s">
        <v>422</v>
      </c>
      <c r="E1087" s="45" t="s">
        <v>3630</v>
      </c>
      <c r="G1087" s="38">
        <v>111</v>
      </c>
      <c r="H1087" s="38">
        <v>111</v>
      </c>
      <c r="K1087" s="38"/>
      <c r="L1087" s="38">
        <f t="shared" si="17"/>
        <v>0</v>
      </c>
    </row>
    <row r="1088" spans="1:12" ht="14.5" x14ac:dyDescent="0.35">
      <c r="A1088" s="45" t="s">
        <v>3799</v>
      </c>
      <c r="B1088" s="45" t="s">
        <v>3799</v>
      </c>
      <c r="C1088" s="55">
        <v>45875</v>
      </c>
      <c r="D1088" s="45" t="s">
        <v>422</v>
      </c>
      <c r="E1088" s="45" t="s">
        <v>3870</v>
      </c>
      <c r="G1088" s="38">
        <v>203</v>
      </c>
      <c r="H1088" s="38">
        <v>203</v>
      </c>
      <c r="K1088" s="38"/>
      <c r="L1088" s="38">
        <f t="shared" si="17"/>
        <v>0</v>
      </c>
    </row>
    <row r="1089" spans="1:12" ht="14.5" x14ac:dyDescent="0.35">
      <c r="A1089" s="45" t="s">
        <v>3799</v>
      </c>
      <c r="B1089" s="45" t="s">
        <v>3799</v>
      </c>
      <c r="C1089" s="55">
        <v>45875</v>
      </c>
      <c r="D1089" s="45" t="s">
        <v>422</v>
      </c>
      <c r="E1089" s="45" t="s">
        <v>3871</v>
      </c>
      <c r="G1089" s="38">
        <v>93</v>
      </c>
      <c r="H1089" s="38">
        <v>93</v>
      </c>
      <c r="K1089" s="38"/>
      <c r="L1089" s="38">
        <f t="shared" si="17"/>
        <v>0</v>
      </c>
    </row>
    <row r="1090" spans="1:12" ht="14.5" x14ac:dyDescent="0.35">
      <c r="A1090" s="45" t="s">
        <v>3799</v>
      </c>
      <c r="B1090" s="45" t="s">
        <v>3799</v>
      </c>
      <c r="C1090" s="55">
        <v>45875</v>
      </c>
      <c r="D1090" s="45" t="s">
        <v>422</v>
      </c>
      <c r="E1090" s="45" t="s">
        <v>3872</v>
      </c>
      <c r="G1090" s="38">
        <v>78</v>
      </c>
      <c r="H1090" s="38">
        <v>78</v>
      </c>
      <c r="K1090" s="38"/>
      <c r="L1090" s="38">
        <f t="shared" si="17"/>
        <v>0</v>
      </c>
    </row>
    <row r="1091" spans="1:12" ht="14.5" x14ac:dyDescent="0.35">
      <c r="A1091" s="45" t="s">
        <v>3799</v>
      </c>
      <c r="B1091" s="45" t="s">
        <v>3799</v>
      </c>
      <c r="C1091" s="55">
        <v>45875</v>
      </c>
      <c r="D1091" s="45" t="s">
        <v>422</v>
      </c>
      <c r="E1091" s="45" t="s">
        <v>3873</v>
      </c>
      <c r="G1091" s="38">
        <v>78</v>
      </c>
      <c r="H1091" s="38">
        <v>78</v>
      </c>
      <c r="K1091" s="38"/>
      <c r="L1091" s="38">
        <f t="shared" si="17"/>
        <v>0</v>
      </c>
    </row>
    <row r="1092" spans="1:12" ht="14.5" x14ac:dyDescent="0.35">
      <c r="A1092" s="45" t="s">
        <v>3799</v>
      </c>
      <c r="B1092" s="45" t="s">
        <v>3799</v>
      </c>
      <c r="C1092" s="55">
        <v>45875</v>
      </c>
      <c r="D1092" s="45" t="s">
        <v>819</v>
      </c>
      <c r="E1092" s="45" t="s">
        <v>3609</v>
      </c>
      <c r="G1092" s="38">
        <v>110</v>
      </c>
      <c r="H1092" s="38">
        <v>110</v>
      </c>
      <c r="K1092" s="38"/>
      <c r="L1092" s="38">
        <f t="shared" si="17"/>
        <v>0</v>
      </c>
    </row>
    <row r="1093" spans="1:12" ht="14.5" x14ac:dyDescent="0.35">
      <c r="A1093" s="45" t="s">
        <v>3799</v>
      </c>
      <c r="B1093" s="45" t="s">
        <v>3799</v>
      </c>
      <c r="C1093" s="55">
        <v>45875</v>
      </c>
      <c r="D1093" s="45" t="s">
        <v>422</v>
      </c>
      <c r="E1093" s="45" t="s">
        <v>3874</v>
      </c>
      <c r="G1093" s="38">
        <v>93</v>
      </c>
      <c r="H1093" s="38">
        <v>93</v>
      </c>
      <c r="K1093" s="38"/>
      <c r="L1093" s="38">
        <f t="shared" si="17"/>
        <v>0</v>
      </c>
    </row>
    <row r="1094" spans="1:12" ht="14.5" x14ac:dyDescent="0.35">
      <c r="A1094" s="45" t="s">
        <v>3799</v>
      </c>
      <c r="B1094" s="45" t="s">
        <v>3799</v>
      </c>
      <c r="C1094" s="55">
        <v>45875</v>
      </c>
      <c r="D1094" s="45" t="s">
        <v>819</v>
      </c>
      <c r="E1094" s="45" t="s">
        <v>3875</v>
      </c>
      <c r="G1094" s="38">
        <v>110</v>
      </c>
      <c r="H1094" s="38">
        <v>110</v>
      </c>
      <c r="K1094" s="38"/>
      <c r="L1094" s="38">
        <f t="shared" si="17"/>
        <v>0</v>
      </c>
    </row>
    <row r="1095" spans="1:12" ht="14.5" x14ac:dyDescent="0.35">
      <c r="A1095" s="45" t="s">
        <v>3799</v>
      </c>
      <c r="B1095" s="45" t="s">
        <v>3799</v>
      </c>
      <c r="C1095" s="55">
        <v>45875</v>
      </c>
      <c r="D1095" s="45" t="s">
        <v>422</v>
      </c>
      <c r="E1095" s="45" t="s">
        <v>598</v>
      </c>
      <c r="G1095" s="38">
        <v>78</v>
      </c>
      <c r="H1095" s="38">
        <v>78</v>
      </c>
      <c r="K1095" s="38"/>
      <c r="L1095" s="38">
        <f t="shared" si="17"/>
        <v>0</v>
      </c>
    </row>
    <row r="1096" spans="1:12" ht="14.5" x14ac:dyDescent="0.35">
      <c r="A1096" s="45" t="s">
        <v>3799</v>
      </c>
      <c r="B1096" s="45" t="s">
        <v>3799</v>
      </c>
      <c r="C1096" s="55">
        <v>45875</v>
      </c>
      <c r="D1096" s="45" t="s">
        <v>422</v>
      </c>
      <c r="E1096" s="45" t="s">
        <v>3876</v>
      </c>
      <c r="G1096" s="38">
        <v>78</v>
      </c>
      <c r="H1096" s="38">
        <v>78</v>
      </c>
      <c r="K1096" s="38"/>
      <c r="L1096" s="38">
        <f t="shared" si="17"/>
        <v>0</v>
      </c>
    </row>
    <row r="1097" spans="1:12" ht="14.5" x14ac:dyDescent="0.35">
      <c r="A1097" s="45" t="s">
        <v>3799</v>
      </c>
      <c r="B1097" s="45" t="s">
        <v>3799</v>
      </c>
      <c r="C1097" s="55">
        <v>45875</v>
      </c>
      <c r="D1097" s="45" t="s">
        <v>422</v>
      </c>
      <c r="E1097" s="45" t="s">
        <v>3877</v>
      </c>
      <c r="G1097" s="38">
        <v>324.38</v>
      </c>
      <c r="H1097" s="38">
        <v>324.38</v>
      </c>
      <c r="K1097" s="38"/>
      <c r="L1097" s="38">
        <f t="shared" si="17"/>
        <v>0</v>
      </c>
    </row>
    <row r="1098" spans="1:12" ht="14.5" x14ac:dyDescent="0.35">
      <c r="A1098" s="45" t="s">
        <v>3799</v>
      </c>
      <c r="B1098" s="45" t="s">
        <v>3799</v>
      </c>
      <c r="C1098" s="55">
        <v>45875</v>
      </c>
      <c r="D1098" s="45" t="s">
        <v>819</v>
      </c>
      <c r="E1098" s="45" t="s">
        <v>3878</v>
      </c>
      <c r="G1098" s="38">
        <v>105</v>
      </c>
      <c r="H1098" s="38">
        <v>105</v>
      </c>
      <c r="K1098" s="38"/>
      <c r="L1098" s="38">
        <f t="shared" si="17"/>
        <v>0</v>
      </c>
    </row>
    <row r="1099" spans="1:12" ht="14.5" x14ac:dyDescent="0.35">
      <c r="A1099" s="45" t="s">
        <v>3799</v>
      </c>
      <c r="B1099" s="45" t="s">
        <v>3799</v>
      </c>
      <c r="C1099" s="55">
        <v>45875</v>
      </c>
      <c r="D1099" s="45" t="s">
        <v>819</v>
      </c>
      <c r="E1099" s="45" t="s">
        <v>3879</v>
      </c>
      <c r="G1099" s="38">
        <v>219</v>
      </c>
      <c r="H1099" s="38">
        <v>219</v>
      </c>
      <c r="K1099" s="38"/>
      <c r="L1099" s="38">
        <f t="shared" si="17"/>
        <v>0</v>
      </c>
    </row>
    <row r="1100" spans="1:12" ht="14.5" x14ac:dyDescent="0.35">
      <c r="A1100" s="45" t="s">
        <v>3799</v>
      </c>
      <c r="B1100" s="45" t="s">
        <v>3799</v>
      </c>
      <c r="C1100" s="55">
        <v>45875</v>
      </c>
      <c r="D1100" s="45" t="s">
        <v>422</v>
      </c>
      <c r="E1100" s="45" t="s">
        <v>3880</v>
      </c>
      <c r="G1100" s="38">
        <v>78</v>
      </c>
      <c r="H1100" s="38">
        <v>78</v>
      </c>
      <c r="K1100" s="38"/>
      <c r="L1100" s="38">
        <f t="shared" si="17"/>
        <v>0</v>
      </c>
    </row>
    <row r="1101" spans="1:12" ht="14.5" x14ac:dyDescent="0.35">
      <c r="A1101" s="45" t="s">
        <v>3799</v>
      </c>
      <c r="B1101" s="45" t="s">
        <v>3799</v>
      </c>
      <c r="C1101" s="55">
        <v>45875</v>
      </c>
      <c r="D1101" s="45" t="s">
        <v>819</v>
      </c>
      <c r="E1101" s="45" t="s">
        <v>3881</v>
      </c>
      <c r="G1101" s="38">
        <v>500</v>
      </c>
      <c r="H1101" s="38">
        <v>500</v>
      </c>
      <c r="K1101" s="38"/>
      <c r="L1101" s="38">
        <f t="shared" si="17"/>
        <v>0</v>
      </c>
    </row>
    <row r="1102" spans="1:12" ht="14.5" x14ac:dyDescent="0.35">
      <c r="A1102" s="45" t="s">
        <v>3799</v>
      </c>
      <c r="B1102" s="45" t="s">
        <v>3799</v>
      </c>
      <c r="C1102" s="55">
        <v>45875</v>
      </c>
      <c r="D1102" s="45" t="s">
        <v>422</v>
      </c>
      <c r="E1102" s="45" t="s">
        <v>3882</v>
      </c>
      <c r="G1102" s="38">
        <v>850</v>
      </c>
      <c r="H1102" s="38">
        <v>850</v>
      </c>
      <c r="K1102" s="38"/>
      <c r="L1102" s="38">
        <f t="shared" si="17"/>
        <v>0</v>
      </c>
    </row>
    <row r="1103" spans="1:12" ht="14.5" x14ac:dyDescent="0.35">
      <c r="A1103" s="45" t="s">
        <v>3799</v>
      </c>
      <c r="B1103" s="45" t="s">
        <v>3799</v>
      </c>
      <c r="C1103" s="55">
        <v>45875</v>
      </c>
      <c r="D1103" s="45" t="s">
        <v>716</v>
      </c>
      <c r="E1103" s="45" t="s">
        <v>725</v>
      </c>
      <c r="G1103" s="38">
        <v>4924</v>
      </c>
      <c r="H1103" s="38">
        <v>4924</v>
      </c>
      <c r="K1103" s="38"/>
      <c r="L1103" s="38">
        <f t="shared" si="17"/>
        <v>0</v>
      </c>
    </row>
    <row r="1104" spans="1:12" ht="14.5" x14ac:dyDescent="0.35">
      <c r="A1104" s="45" t="s">
        <v>3799</v>
      </c>
      <c r="B1104" s="45" t="s">
        <v>3799</v>
      </c>
      <c r="C1104" s="55">
        <v>45875</v>
      </c>
      <c r="D1104" s="45" t="s">
        <v>819</v>
      </c>
      <c r="E1104" s="45" t="s">
        <v>3883</v>
      </c>
      <c r="G1104" s="38">
        <v>500</v>
      </c>
      <c r="H1104" s="38">
        <v>500</v>
      </c>
      <c r="K1104" s="38"/>
      <c r="L1104" s="38">
        <f t="shared" si="17"/>
        <v>0</v>
      </c>
    </row>
    <row r="1105" spans="1:12" ht="14.5" x14ac:dyDescent="0.35">
      <c r="A1105" s="45" t="s">
        <v>3799</v>
      </c>
      <c r="B1105" s="45" t="s">
        <v>3799</v>
      </c>
      <c r="C1105" s="55">
        <v>45875</v>
      </c>
      <c r="D1105" s="45" t="s">
        <v>422</v>
      </c>
      <c r="E1105" s="45" t="s">
        <v>3776</v>
      </c>
      <c r="G1105" s="38">
        <v>313.5</v>
      </c>
      <c r="H1105" s="38">
        <v>313.5</v>
      </c>
      <c r="K1105" s="38"/>
      <c r="L1105" s="38">
        <f t="shared" si="17"/>
        <v>0</v>
      </c>
    </row>
    <row r="1106" spans="1:12" ht="14.5" x14ac:dyDescent="0.35">
      <c r="A1106" s="45" t="s">
        <v>3799</v>
      </c>
      <c r="B1106" s="45" t="s">
        <v>3799</v>
      </c>
      <c r="C1106" s="55">
        <v>45875</v>
      </c>
      <c r="D1106" s="45" t="s">
        <v>819</v>
      </c>
      <c r="E1106" s="45" t="s">
        <v>3884</v>
      </c>
      <c r="G1106" s="38">
        <v>109</v>
      </c>
      <c r="H1106" s="38">
        <v>109</v>
      </c>
      <c r="K1106" s="38"/>
      <c r="L1106" s="38">
        <f t="shared" si="17"/>
        <v>0</v>
      </c>
    </row>
    <row r="1107" spans="1:12" ht="14.5" x14ac:dyDescent="0.35">
      <c r="A1107" s="45" t="s">
        <v>3799</v>
      </c>
      <c r="B1107" s="45" t="s">
        <v>3799</v>
      </c>
      <c r="C1107" s="55">
        <v>45875</v>
      </c>
      <c r="D1107" s="45" t="s">
        <v>34</v>
      </c>
      <c r="E1107" s="45" t="s">
        <v>38</v>
      </c>
      <c r="G1107" s="38">
        <v>3537</v>
      </c>
      <c r="H1107" s="38">
        <v>3537</v>
      </c>
      <c r="K1107" s="38"/>
      <c r="L1107" s="38">
        <f t="shared" si="17"/>
        <v>0</v>
      </c>
    </row>
    <row r="1108" spans="1:12" ht="14.5" x14ac:dyDescent="0.35">
      <c r="A1108" s="45" t="s">
        <v>3799</v>
      </c>
      <c r="B1108" s="45" t="s">
        <v>3799</v>
      </c>
      <c r="C1108" s="55">
        <v>45876</v>
      </c>
      <c r="D1108" s="45" t="s">
        <v>913</v>
      </c>
      <c r="E1108" s="45" t="s">
        <v>3885</v>
      </c>
      <c r="G1108" s="38">
        <v>1379.9999999999998</v>
      </c>
      <c r="H1108" s="38">
        <v>1380</v>
      </c>
      <c r="K1108" s="38"/>
      <c r="L1108" s="38">
        <f t="shared" si="17"/>
        <v>0</v>
      </c>
    </row>
    <row r="1109" spans="1:12" ht="14.5" x14ac:dyDescent="0.35">
      <c r="A1109" s="45" t="s">
        <v>3799</v>
      </c>
      <c r="B1109" s="45" t="s">
        <v>3799</v>
      </c>
      <c r="C1109" s="55">
        <v>45876</v>
      </c>
      <c r="D1109" s="45" t="s">
        <v>422</v>
      </c>
      <c r="E1109" s="45" t="s">
        <v>426</v>
      </c>
      <c r="G1109" s="38">
        <v>299.7</v>
      </c>
      <c r="H1109" s="38">
        <v>299.7</v>
      </c>
      <c r="K1109" s="38"/>
      <c r="L1109" s="38">
        <f t="shared" si="17"/>
        <v>0</v>
      </c>
    </row>
    <row r="1110" spans="1:12" ht="14.5" x14ac:dyDescent="0.35">
      <c r="A1110" s="45" t="s">
        <v>3799</v>
      </c>
      <c r="B1110" s="45" t="s">
        <v>3799</v>
      </c>
      <c r="C1110" s="55">
        <v>45876</v>
      </c>
      <c r="D1110" s="45" t="s">
        <v>96</v>
      </c>
      <c r="E1110" s="45" t="s">
        <v>3886</v>
      </c>
      <c r="G1110" s="38">
        <v>3998.86</v>
      </c>
      <c r="H1110" s="38">
        <v>1320</v>
      </c>
      <c r="K1110" s="38"/>
      <c r="L1110" s="38">
        <f t="shared" si="17"/>
        <v>2678.86</v>
      </c>
    </row>
    <row r="1111" spans="1:12" ht="14.5" x14ac:dyDescent="0.35">
      <c r="A1111" s="45" t="s">
        <v>3799</v>
      </c>
      <c r="B1111" s="45" t="s">
        <v>3799</v>
      </c>
      <c r="C1111" s="55">
        <v>45876</v>
      </c>
      <c r="D1111" s="45" t="s">
        <v>422</v>
      </c>
      <c r="E1111" s="45" t="s">
        <v>3673</v>
      </c>
      <c r="G1111" s="38">
        <v>700.89</v>
      </c>
      <c r="H1111" s="38">
        <v>700.89</v>
      </c>
      <c r="K1111" s="38"/>
      <c r="L1111" s="38">
        <f t="shared" si="17"/>
        <v>0</v>
      </c>
    </row>
    <row r="1112" spans="1:12" ht="14.5" x14ac:dyDescent="0.35">
      <c r="A1112" s="45" t="s">
        <v>3799</v>
      </c>
      <c r="B1112" s="45" t="s">
        <v>3799</v>
      </c>
      <c r="C1112" s="55">
        <v>45876</v>
      </c>
      <c r="D1112" s="45" t="s">
        <v>422</v>
      </c>
      <c r="E1112" s="45" t="s">
        <v>3626</v>
      </c>
      <c r="G1112" s="38">
        <v>251.7</v>
      </c>
      <c r="H1112" s="38">
        <v>251.7</v>
      </c>
      <c r="K1112" s="38"/>
      <c r="L1112" s="38">
        <f t="shared" si="17"/>
        <v>0</v>
      </c>
    </row>
    <row r="1113" spans="1:12" ht="14.5" x14ac:dyDescent="0.35">
      <c r="A1113" s="45" t="s">
        <v>3799</v>
      </c>
      <c r="B1113" s="45" t="s">
        <v>3799</v>
      </c>
      <c r="C1113" s="55">
        <v>45876</v>
      </c>
      <c r="D1113" s="45" t="s">
        <v>17</v>
      </c>
      <c r="E1113" s="45">
        <v>20250275</v>
      </c>
      <c r="G1113" s="38">
        <v>650</v>
      </c>
      <c r="H1113" s="38">
        <v>650</v>
      </c>
      <c r="K1113" s="38"/>
      <c r="L1113" s="38">
        <f t="shared" si="17"/>
        <v>0</v>
      </c>
    </row>
    <row r="1114" spans="1:12" ht="14.5" x14ac:dyDescent="0.35">
      <c r="A1114" s="45" t="s">
        <v>3799</v>
      </c>
      <c r="B1114" s="45" t="s">
        <v>3799</v>
      </c>
      <c r="C1114" s="55">
        <v>45876</v>
      </c>
      <c r="D1114" s="45" t="s">
        <v>422</v>
      </c>
      <c r="E1114" s="45" t="s">
        <v>3887</v>
      </c>
      <c r="G1114" s="38">
        <v>251.70000000000002</v>
      </c>
      <c r="H1114" s="38">
        <v>251.7</v>
      </c>
      <c r="K1114" s="38"/>
      <c r="L1114" s="38">
        <f t="shared" si="17"/>
        <v>0</v>
      </c>
    </row>
    <row r="1115" spans="1:12" ht="14.5" x14ac:dyDescent="0.35">
      <c r="A1115" s="45" t="s">
        <v>3799</v>
      </c>
      <c r="B1115" s="45" t="s">
        <v>3799</v>
      </c>
      <c r="C1115" s="55">
        <v>45876</v>
      </c>
      <c r="D1115" s="45" t="s">
        <v>422</v>
      </c>
      <c r="E1115" s="45" t="s">
        <v>3888</v>
      </c>
      <c r="G1115" s="38">
        <v>251.7</v>
      </c>
      <c r="H1115" s="38">
        <v>251.7</v>
      </c>
      <c r="K1115" s="38"/>
      <c r="L1115" s="38">
        <f t="shared" si="17"/>
        <v>0</v>
      </c>
    </row>
    <row r="1116" spans="1:12" ht="14.5" x14ac:dyDescent="0.35">
      <c r="A1116" s="45" t="s">
        <v>3799</v>
      </c>
      <c r="B1116" s="45" t="s">
        <v>3799</v>
      </c>
      <c r="C1116" s="55">
        <v>45876</v>
      </c>
      <c r="D1116" s="45" t="s">
        <v>927</v>
      </c>
      <c r="E1116" s="45" t="s">
        <v>3632</v>
      </c>
      <c r="G1116" s="38">
        <v>108</v>
      </c>
      <c r="H1116" s="38">
        <v>108</v>
      </c>
      <c r="K1116" s="38"/>
      <c r="L1116" s="38">
        <f t="shared" si="17"/>
        <v>0</v>
      </c>
    </row>
    <row r="1117" spans="1:12" ht="14.5" x14ac:dyDescent="0.35">
      <c r="A1117" s="45" t="s">
        <v>3799</v>
      </c>
      <c r="B1117" s="45" t="s">
        <v>3799</v>
      </c>
      <c r="C1117" s="55">
        <v>45876</v>
      </c>
      <c r="D1117" s="45" t="s">
        <v>422</v>
      </c>
      <c r="E1117" s="45" t="s">
        <v>3889</v>
      </c>
      <c r="G1117" s="38">
        <v>503.75</v>
      </c>
      <c r="H1117" s="38">
        <v>503.75</v>
      </c>
      <c r="K1117" s="38"/>
      <c r="L1117" s="38">
        <f t="shared" si="17"/>
        <v>0</v>
      </c>
    </row>
    <row r="1118" spans="1:12" ht="14.5" x14ac:dyDescent="0.35">
      <c r="A1118" s="45" t="s">
        <v>3799</v>
      </c>
      <c r="B1118" s="45" t="s">
        <v>3799</v>
      </c>
      <c r="C1118" s="55">
        <v>45876</v>
      </c>
      <c r="D1118" s="45" t="s">
        <v>422</v>
      </c>
      <c r="E1118" s="45" t="s">
        <v>3890</v>
      </c>
      <c r="G1118" s="38">
        <v>251.7</v>
      </c>
      <c r="H1118" s="38">
        <v>251.7</v>
      </c>
      <c r="K1118" s="38"/>
      <c r="L1118" s="38">
        <f t="shared" si="17"/>
        <v>0</v>
      </c>
    </row>
    <row r="1119" spans="1:12" ht="14.5" x14ac:dyDescent="0.35">
      <c r="A1119" s="45" t="s">
        <v>3799</v>
      </c>
      <c r="B1119" s="45" t="s">
        <v>3799</v>
      </c>
      <c r="C1119" s="55">
        <v>45876</v>
      </c>
      <c r="D1119" s="45" t="s">
        <v>819</v>
      </c>
      <c r="E1119" s="45" t="s">
        <v>3891</v>
      </c>
      <c r="G1119" s="38">
        <v>730</v>
      </c>
      <c r="H1119" s="38">
        <v>730</v>
      </c>
      <c r="K1119" s="38"/>
      <c r="L1119" s="38">
        <f t="shared" si="17"/>
        <v>0</v>
      </c>
    </row>
    <row r="1120" spans="1:12" ht="14.5" x14ac:dyDescent="0.35">
      <c r="A1120" s="45" t="s">
        <v>3799</v>
      </c>
      <c r="B1120" s="45" t="s">
        <v>3799</v>
      </c>
      <c r="C1120" s="55">
        <v>45876</v>
      </c>
      <c r="D1120" s="45" t="s">
        <v>927</v>
      </c>
      <c r="E1120" s="45" t="s">
        <v>3635</v>
      </c>
      <c r="G1120" s="38">
        <v>108</v>
      </c>
      <c r="H1120" s="38">
        <v>108</v>
      </c>
      <c r="K1120" s="38"/>
      <c r="L1120" s="38">
        <f t="shared" si="17"/>
        <v>0</v>
      </c>
    </row>
    <row r="1121" spans="1:12" ht="14.5" x14ac:dyDescent="0.35">
      <c r="A1121" s="45" t="s">
        <v>3799</v>
      </c>
      <c r="B1121" s="45" t="s">
        <v>3799</v>
      </c>
      <c r="C1121" s="55">
        <v>45876</v>
      </c>
      <c r="D1121" s="45" t="s">
        <v>422</v>
      </c>
      <c r="E1121" s="45" t="s">
        <v>3615</v>
      </c>
      <c r="G1121" s="38">
        <v>650</v>
      </c>
      <c r="H1121" s="38">
        <v>650</v>
      </c>
      <c r="K1121" s="38"/>
      <c r="L1121" s="38">
        <f t="shared" si="17"/>
        <v>0</v>
      </c>
    </row>
    <row r="1122" spans="1:12" ht="14.5" x14ac:dyDescent="0.35">
      <c r="A1122" s="45" t="s">
        <v>3799</v>
      </c>
      <c r="B1122" s="45" t="s">
        <v>3799</v>
      </c>
      <c r="C1122" s="55">
        <v>45876</v>
      </c>
      <c r="D1122" s="45" t="s">
        <v>34</v>
      </c>
      <c r="E1122" s="45" t="s">
        <v>41</v>
      </c>
      <c r="G1122" s="38">
        <v>7280.9199999999983</v>
      </c>
      <c r="H1122" s="38">
        <v>7280.92</v>
      </c>
      <c r="K1122" s="38"/>
      <c r="L1122" s="38">
        <f t="shared" si="17"/>
        <v>0</v>
      </c>
    </row>
    <row r="1123" spans="1:12" ht="14.5" x14ac:dyDescent="0.35">
      <c r="A1123" s="45" t="s">
        <v>3799</v>
      </c>
      <c r="B1123" s="45" t="s">
        <v>3799</v>
      </c>
      <c r="C1123" s="55">
        <v>45876</v>
      </c>
      <c r="D1123" s="45" t="s">
        <v>422</v>
      </c>
      <c r="E1123" s="45" t="s">
        <v>3892</v>
      </c>
      <c r="G1123" s="38">
        <v>251.6999999999999</v>
      </c>
      <c r="H1123" s="38">
        <v>251.7</v>
      </c>
      <c r="K1123" s="38"/>
      <c r="L1123" s="38">
        <f t="shared" si="17"/>
        <v>0</v>
      </c>
    </row>
    <row r="1124" spans="1:12" ht="14.5" x14ac:dyDescent="0.35">
      <c r="A1124" s="45" t="s">
        <v>3799</v>
      </c>
      <c r="B1124" s="45" t="s">
        <v>3799</v>
      </c>
      <c r="C1124" s="55">
        <v>45876</v>
      </c>
      <c r="D1124" s="45" t="s">
        <v>34</v>
      </c>
      <c r="E1124" s="45" t="s">
        <v>39</v>
      </c>
      <c r="G1124" s="38">
        <v>4657</v>
      </c>
      <c r="H1124" s="38">
        <v>4657</v>
      </c>
      <c r="K1124" s="38"/>
      <c r="L1124" s="38">
        <f t="shared" si="17"/>
        <v>0</v>
      </c>
    </row>
    <row r="1125" spans="1:12" ht="14.5" x14ac:dyDescent="0.35">
      <c r="A1125" s="45" t="s">
        <v>3799</v>
      </c>
      <c r="B1125" s="45" t="s">
        <v>3799</v>
      </c>
      <c r="C1125" s="55">
        <v>45876</v>
      </c>
      <c r="D1125" s="45" t="s">
        <v>927</v>
      </c>
      <c r="E1125" s="45" t="s">
        <v>3636</v>
      </c>
      <c r="G1125" s="38">
        <v>108</v>
      </c>
      <c r="H1125" s="38">
        <v>108</v>
      </c>
      <c r="K1125" s="38"/>
      <c r="L1125" s="38">
        <f t="shared" si="17"/>
        <v>0</v>
      </c>
    </row>
    <row r="1126" spans="1:12" ht="14.5" x14ac:dyDescent="0.35">
      <c r="A1126" s="45" t="s">
        <v>3799</v>
      </c>
      <c r="B1126" s="45" t="s">
        <v>3799</v>
      </c>
      <c r="C1126" s="55">
        <v>45876</v>
      </c>
      <c r="D1126" s="45" t="s">
        <v>927</v>
      </c>
      <c r="E1126" s="45" t="s">
        <v>3637</v>
      </c>
      <c r="G1126" s="38">
        <v>108</v>
      </c>
      <c r="H1126" s="38">
        <v>108</v>
      </c>
      <c r="K1126" s="38"/>
      <c r="L1126" s="38">
        <f t="shared" si="17"/>
        <v>0</v>
      </c>
    </row>
    <row r="1127" spans="1:12" ht="14.5" x14ac:dyDescent="0.35">
      <c r="A1127" s="45" t="s">
        <v>3799</v>
      </c>
      <c r="B1127" s="45" t="s">
        <v>3799</v>
      </c>
      <c r="C1127" s="55">
        <v>45876</v>
      </c>
      <c r="D1127" s="45" t="s">
        <v>422</v>
      </c>
      <c r="E1127" s="45" t="s">
        <v>3893</v>
      </c>
      <c r="G1127" s="38">
        <v>251.7</v>
      </c>
      <c r="H1127" s="38">
        <v>251.7</v>
      </c>
      <c r="K1127" s="38"/>
      <c r="L1127" s="38">
        <f t="shared" si="17"/>
        <v>0</v>
      </c>
    </row>
    <row r="1128" spans="1:12" ht="14.5" x14ac:dyDescent="0.35">
      <c r="A1128" s="45" t="s">
        <v>3799</v>
      </c>
      <c r="B1128" s="45" t="s">
        <v>3799</v>
      </c>
      <c r="C1128" s="55">
        <v>45876</v>
      </c>
      <c r="D1128" s="45" t="s">
        <v>927</v>
      </c>
      <c r="E1128" s="45" t="s">
        <v>3638</v>
      </c>
      <c r="G1128" s="38">
        <v>109</v>
      </c>
      <c r="H1128" s="38">
        <v>109</v>
      </c>
      <c r="K1128" s="38"/>
      <c r="L1128" s="38">
        <f t="shared" si="17"/>
        <v>0</v>
      </c>
    </row>
    <row r="1129" spans="1:12" ht="14.5" x14ac:dyDescent="0.35">
      <c r="A1129" s="45" t="s">
        <v>3799</v>
      </c>
      <c r="B1129" s="45" t="s">
        <v>3799</v>
      </c>
      <c r="C1129" s="55">
        <v>45876</v>
      </c>
      <c r="D1129" s="45" t="s">
        <v>927</v>
      </c>
      <c r="E1129" s="45" t="s">
        <v>3639</v>
      </c>
      <c r="G1129" s="38">
        <v>109</v>
      </c>
      <c r="H1129" s="38">
        <v>109</v>
      </c>
      <c r="K1129" s="38"/>
      <c r="L1129" s="38">
        <f t="shared" si="17"/>
        <v>0</v>
      </c>
    </row>
    <row r="1130" spans="1:12" ht="14.5" x14ac:dyDescent="0.35">
      <c r="A1130" s="45" t="s">
        <v>3799</v>
      </c>
      <c r="B1130" s="45" t="s">
        <v>3799</v>
      </c>
      <c r="C1130" s="55">
        <v>45877</v>
      </c>
      <c r="D1130" s="45" t="s">
        <v>422</v>
      </c>
      <c r="E1130" s="45" t="s">
        <v>3631</v>
      </c>
      <c r="G1130" s="38">
        <v>240</v>
      </c>
      <c r="H1130" s="38">
        <v>240</v>
      </c>
      <c r="K1130" s="38"/>
      <c r="L1130" s="38">
        <f t="shared" si="17"/>
        <v>0</v>
      </c>
    </row>
    <row r="1131" spans="1:12" ht="14.5" x14ac:dyDescent="0.35">
      <c r="A1131" s="45" t="s">
        <v>3799</v>
      </c>
      <c r="B1131" s="45" t="s">
        <v>3799</v>
      </c>
      <c r="C1131" s="55">
        <v>45877</v>
      </c>
      <c r="D1131" s="45" t="s">
        <v>819</v>
      </c>
      <c r="E1131" s="45" t="s">
        <v>3894</v>
      </c>
      <c r="G1131" s="38">
        <v>81</v>
      </c>
      <c r="H1131" s="38">
        <v>81</v>
      </c>
      <c r="K1131" s="38"/>
      <c r="L1131" s="38">
        <f t="shared" si="17"/>
        <v>0</v>
      </c>
    </row>
    <row r="1132" spans="1:12" ht="14.5" x14ac:dyDescent="0.35">
      <c r="A1132" s="45" t="s">
        <v>3799</v>
      </c>
      <c r="B1132" s="45" t="s">
        <v>3799</v>
      </c>
      <c r="C1132" s="55">
        <v>45877</v>
      </c>
      <c r="D1132" s="45" t="s">
        <v>793</v>
      </c>
      <c r="E1132" s="45">
        <v>9</v>
      </c>
      <c r="G1132" s="38">
        <v>739</v>
      </c>
      <c r="H1132" s="38">
        <v>739</v>
      </c>
      <c r="K1132" s="38"/>
      <c r="L1132" s="38">
        <f t="shared" si="17"/>
        <v>0</v>
      </c>
    </row>
    <row r="1133" spans="1:12" ht="14.5" x14ac:dyDescent="0.35">
      <c r="A1133" s="45" t="s">
        <v>3799</v>
      </c>
      <c r="B1133" s="45" t="s">
        <v>3799</v>
      </c>
      <c r="C1133" s="55">
        <v>45877</v>
      </c>
      <c r="D1133" s="45" t="s">
        <v>96</v>
      </c>
      <c r="E1133" s="45" t="s">
        <v>3787</v>
      </c>
      <c r="G1133" s="38">
        <v>4046</v>
      </c>
      <c r="H1133" s="38">
        <v>4046</v>
      </c>
      <c r="K1133" s="38"/>
      <c r="L1133" s="38">
        <f t="shared" si="17"/>
        <v>0</v>
      </c>
    </row>
    <row r="1134" spans="1:12" ht="14.5" x14ac:dyDescent="0.35">
      <c r="A1134" s="45" t="s">
        <v>3799</v>
      </c>
      <c r="B1134" s="45" t="s">
        <v>3799</v>
      </c>
      <c r="C1134" s="55">
        <v>45877</v>
      </c>
      <c r="D1134" s="45" t="s">
        <v>782</v>
      </c>
      <c r="E1134" s="45" t="s">
        <v>785</v>
      </c>
      <c r="G1134" s="38">
        <v>17667.16</v>
      </c>
      <c r="H1134" s="38">
        <v>325</v>
      </c>
      <c r="K1134" s="38"/>
      <c r="L1134" s="38">
        <f t="shared" si="17"/>
        <v>17342.16</v>
      </c>
    </row>
    <row r="1135" spans="1:12" ht="14.5" x14ac:dyDescent="0.35">
      <c r="A1135" s="45" t="s">
        <v>3799</v>
      </c>
      <c r="B1135" s="45" t="s">
        <v>3799</v>
      </c>
      <c r="C1135" s="55">
        <v>45877</v>
      </c>
      <c r="D1135" s="45" t="s">
        <v>422</v>
      </c>
      <c r="E1135" s="45" t="s">
        <v>559</v>
      </c>
      <c r="G1135" s="38">
        <v>74</v>
      </c>
      <c r="H1135" s="38">
        <v>74</v>
      </c>
      <c r="K1135" s="38"/>
      <c r="L1135" s="38">
        <f t="shared" si="17"/>
        <v>0</v>
      </c>
    </row>
    <row r="1136" spans="1:12" ht="14.5" x14ac:dyDescent="0.35">
      <c r="A1136" s="45" t="s">
        <v>3799</v>
      </c>
      <c r="B1136" s="45" t="s">
        <v>3799</v>
      </c>
      <c r="C1136" s="55">
        <v>45877</v>
      </c>
      <c r="D1136" s="45" t="s">
        <v>422</v>
      </c>
      <c r="E1136" s="45" t="s">
        <v>3895</v>
      </c>
      <c r="G1136" s="38">
        <v>26</v>
      </c>
      <c r="H1136" s="38">
        <v>26</v>
      </c>
      <c r="K1136" s="38"/>
      <c r="L1136" s="38">
        <f t="shared" si="17"/>
        <v>0</v>
      </c>
    </row>
    <row r="1137" spans="1:12" ht="14.5" x14ac:dyDescent="0.35">
      <c r="A1137" s="45" t="s">
        <v>3799</v>
      </c>
      <c r="B1137" s="45" t="s">
        <v>3799</v>
      </c>
      <c r="C1137" s="55">
        <v>45877</v>
      </c>
      <c r="D1137" s="45" t="s">
        <v>109</v>
      </c>
      <c r="E1137" s="45" t="s">
        <v>293</v>
      </c>
      <c r="G1137" s="38">
        <v>737</v>
      </c>
      <c r="H1137" s="38">
        <v>737</v>
      </c>
      <c r="K1137" s="38"/>
      <c r="L1137" s="38">
        <f t="shared" si="17"/>
        <v>0</v>
      </c>
    </row>
    <row r="1138" spans="1:12" ht="14.5" x14ac:dyDescent="0.35">
      <c r="A1138" s="45" t="s">
        <v>3799</v>
      </c>
      <c r="B1138" s="45" t="s">
        <v>3799</v>
      </c>
      <c r="C1138" s="55">
        <v>45877</v>
      </c>
      <c r="D1138" s="45" t="s">
        <v>819</v>
      </c>
      <c r="E1138" s="45" t="s">
        <v>3896</v>
      </c>
      <c r="G1138" s="38">
        <v>96</v>
      </c>
      <c r="H1138" s="38">
        <v>96</v>
      </c>
      <c r="K1138" s="38"/>
      <c r="L1138" s="38">
        <f t="shared" si="17"/>
        <v>0</v>
      </c>
    </row>
    <row r="1139" spans="1:12" ht="14.5" x14ac:dyDescent="0.35">
      <c r="A1139" s="45" t="s">
        <v>3799</v>
      </c>
      <c r="B1139" s="45" t="s">
        <v>3799</v>
      </c>
      <c r="C1139" s="55">
        <v>45877</v>
      </c>
      <c r="D1139" s="45" t="s">
        <v>422</v>
      </c>
      <c r="E1139" s="45" t="s">
        <v>3682</v>
      </c>
      <c r="G1139" s="38">
        <v>340</v>
      </c>
      <c r="H1139" s="38">
        <v>340</v>
      </c>
      <c r="K1139" s="38"/>
      <c r="L1139" s="38">
        <f t="shared" si="17"/>
        <v>0</v>
      </c>
    </row>
    <row r="1140" spans="1:12" ht="14.5" x14ac:dyDescent="0.35">
      <c r="A1140" s="45" t="s">
        <v>3799</v>
      </c>
      <c r="B1140" s="45" t="s">
        <v>3799</v>
      </c>
      <c r="C1140" s="55">
        <v>45877</v>
      </c>
      <c r="D1140" s="45" t="s">
        <v>422</v>
      </c>
      <c r="E1140" s="45" t="s">
        <v>3897</v>
      </c>
      <c r="G1140" s="38">
        <v>52</v>
      </c>
      <c r="H1140" s="38">
        <v>52</v>
      </c>
      <c r="K1140" s="38"/>
      <c r="L1140" s="38">
        <f t="shared" si="17"/>
        <v>0</v>
      </c>
    </row>
    <row r="1141" spans="1:12" ht="14.5" x14ac:dyDescent="0.35">
      <c r="A1141" s="45" t="s">
        <v>3799</v>
      </c>
      <c r="B1141" s="45" t="s">
        <v>3799</v>
      </c>
      <c r="C1141" s="55">
        <v>45877</v>
      </c>
      <c r="D1141" s="45" t="s">
        <v>422</v>
      </c>
      <c r="E1141" s="45" t="s">
        <v>3624</v>
      </c>
      <c r="G1141" s="38">
        <v>183</v>
      </c>
      <c r="H1141" s="38">
        <v>183</v>
      </c>
      <c r="K1141" s="38"/>
      <c r="L1141" s="38">
        <f t="shared" si="17"/>
        <v>0</v>
      </c>
    </row>
    <row r="1142" spans="1:12" ht="14.5" x14ac:dyDescent="0.35">
      <c r="A1142" s="45" t="s">
        <v>3799</v>
      </c>
      <c r="B1142" s="45" t="s">
        <v>3799</v>
      </c>
      <c r="C1142" s="55">
        <v>45877</v>
      </c>
      <c r="D1142" s="45" t="s">
        <v>819</v>
      </c>
      <c r="E1142" s="45" t="s">
        <v>3898</v>
      </c>
      <c r="G1142" s="38">
        <v>82</v>
      </c>
      <c r="H1142" s="38">
        <v>82</v>
      </c>
      <c r="K1142" s="38"/>
      <c r="L1142" s="38">
        <f t="shared" si="17"/>
        <v>0</v>
      </c>
    </row>
    <row r="1143" spans="1:12" ht="14.5" x14ac:dyDescent="0.35">
      <c r="A1143" s="45" t="s">
        <v>3799</v>
      </c>
      <c r="B1143" s="45" t="s">
        <v>3799</v>
      </c>
      <c r="C1143" s="55">
        <v>45877</v>
      </c>
      <c r="D1143" s="45" t="s">
        <v>422</v>
      </c>
      <c r="E1143" s="45" t="s">
        <v>3899</v>
      </c>
      <c r="G1143" s="38">
        <v>52</v>
      </c>
      <c r="H1143" s="38">
        <v>52</v>
      </c>
      <c r="K1143" s="38"/>
      <c r="L1143" s="38">
        <f t="shared" si="17"/>
        <v>0</v>
      </c>
    </row>
    <row r="1144" spans="1:12" ht="14.5" x14ac:dyDescent="0.35">
      <c r="A1144" s="45" t="s">
        <v>3799</v>
      </c>
      <c r="B1144" s="45" t="s">
        <v>3799</v>
      </c>
      <c r="C1144" s="55">
        <v>45877</v>
      </c>
      <c r="D1144" s="45" t="s">
        <v>819</v>
      </c>
      <c r="E1144" s="45" t="s">
        <v>3900</v>
      </c>
      <c r="G1144" s="38">
        <v>1311.7800000000002</v>
      </c>
      <c r="H1144" s="38">
        <v>1311.7799999999997</v>
      </c>
      <c r="K1144" s="38"/>
      <c r="L1144" s="38">
        <f t="shared" ref="L1144:L1207" si="18">G1144-H1144</f>
        <v>0</v>
      </c>
    </row>
    <row r="1145" spans="1:12" ht="14.5" x14ac:dyDescent="0.35">
      <c r="A1145" s="45" t="s">
        <v>3799</v>
      </c>
      <c r="B1145" s="45" t="s">
        <v>3799</v>
      </c>
      <c r="C1145" s="55">
        <v>45877</v>
      </c>
      <c r="D1145" s="45" t="s">
        <v>422</v>
      </c>
      <c r="E1145" s="45" t="s">
        <v>649</v>
      </c>
      <c r="G1145" s="38">
        <v>26</v>
      </c>
      <c r="H1145" s="38">
        <v>26</v>
      </c>
      <c r="K1145" s="38"/>
      <c r="L1145" s="38">
        <f t="shared" si="18"/>
        <v>0</v>
      </c>
    </row>
    <row r="1146" spans="1:12" ht="14.5" x14ac:dyDescent="0.35">
      <c r="A1146" s="45" t="s">
        <v>3799</v>
      </c>
      <c r="B1146" s="45" t="s">
        <v>3799</v>
      </c>
      <c r="C1146" s="55">
        <v>45877</v>
      </c>
      <c r="D1146" s="45" t="s">
        <v>422</v>
      </c>
      <c r="E1146" s="45" t="s">
        <v>3760</v>
      </c>
      <c r="G1146" s="38">
        <v>163.75</v>
      </c>
      <c r="H1146" s="38">
        <v>163.75</v>
      </c>
      <c r="K1146" s="38"/>
      <c r="L1146" s="38">
        <f t="shared" si="18"/>
        <v>0</v>
      </c>
    </row>
    <row r="1147" spans="1:12" ht="14.5" x14ac:dyDescent="0.35">
      <c r="A1147" s="45" t="s">
        <v>3799</v>
      </c>
      <c r="B1147" s="45" t="s">
        <v>3799</v>
      </c>
      <c r="C1147" s="55">
        <v>45877</v>
      </c>
      <c r="D1147" s="45" t="s">
        <v>422</v>
      </c>
      <c r="E1147" s="45" t="s">
        <v>570</v>
      </c>
      <c r="G1147" s="38">
        <v>26</v>
      </c>
      <c r="H1147" s="38">
        <v>171.88</v>
      </c>
      <c r="K1147" s="38"/>
      <c r="L1147" s="38">
        <f t="shared" si="18"/>
        <v>-145.88</v>
      </c>
    </row>
    <row r="1148" spans="1:12" ht="14.5" x14ac:dyDescent="0.35">
      <c r="A1148" s="45" t="s">
        <v>3799</v>
      </c>
      <c r="B1148" s="45" t="s">
        <v>3799</v>
      </c>
      <c r="C1148" s="55">
        <v>45877</v>
      </c>
      <c r="D1148" s="45" t="s">
        <v>109</v>
      </c>
      <c r="E1148" s="45" t="s">
        <v>295</v>
      </c>
      <c r="G1148" s="38">
        <v>738</v>
      </c>
      <c r="H1148" s="38">
        <v>738</v>
      </c>
      <c r="K1148" s="38"/>
      <c r="L1148" s="38">
        <f t="shared" si="18"/>
        <v>0</v>
      </c>
    </row>
    <row r="1149" spans="1:12" ht="14.5" x14ac:dyDescent="0.35">
      <c r="A1149" s="45" t="s">
        <v>3799</v>
      </c>
      <c r="B1149" s="45" t="s">
        <v>3799</v>
      </c>
      <c r="C1149" s="55">
        <v>45877</v>
      </c>
      <c r="D1149" s="45" t="s">
        <v>819</v>
      </c>
      <c r="E1149" s="45" t="s">
        <v>3901</v>
      </c>
      <c r="G1149" s="38">
        <v>81</v>
      </c>
      <c r="H1149" s="38">
        <v>81</v>
      </c>
      <c r="K1149" s="38"/>
      <c r="L1149" s="38">
        <f t="shared" si="18"/>
        <v>0</v>
      </c>
    </row>
    <row r="1150" spans="1:12" ht="14.5" x14ac:dyDescent="0.35">
      <c r="A1150" s="45" t="s">
        <v>3799</v>
      </c>
      <c r="B1150" s="45" t="s">
        <v>3799</v>
      </c>
      <c r="C1150" s="55">
        <v>45877</v>
      </c>
      <c r="D1150" s="45" t="s">
        <v>882</v>
      </c>
      <c r="E1150" s="45">
        <v>72500046</v>
      </c>
      <c r="G1150" s="38">
        <v>811</v>
      </c>
      <c r="H1150" s="38">
        <v>811</v>
      </c>
      <c r="K1150" s="38"/>
      <c r="L1150" s="38">
        <f t="shared" si="18"/>
        <v>0</v>
      </c>
    </row>
    <row r="1151" spans="1:12" ht="14.5" x14ac:dyDescent="0.35">
      <c r="A1151" s="45" t="s">
        <v>3799</v>
      </c>
      <c r="B1151" s="45" t="s">
        <v>3799</v>
      </c>
      <c r="C1151" s="55">
        <v>45877</v>
      </c>
      <c r="D1151" s="45" t="s">
        <v>109</v>
      </c>
      <c r="E1151" s="45" t="s">
        <v>294</v>
      </c>
      <c r="G1151" s="38">
        <v>738</v>
      </c>
      <c r="H1151" s="38">
        <v>738</v>
      </c>
      <c r="K1151" s="38"/>
      <c r="L1151" s="38">
        <f t="shared" si="18"/>
        <v>0</v>
      </c>
    </row>
    <row r="1152" spans="1:12" ht="14.5" x14ac:dyDescent="0.35">
      <c r="A1152" s="45" t="s">
        <v>3799</v>
      </c>
      <c r="B1152" s="45" t="s">
        <v>3799</v>
      </c>
      <c r="C1152" s="55">
        <v>45877</v>
      </c>
      <c r="D1152" s="45" t="s">
        <v>422</v>
      </c>
      <c r="E1152" s="45" t="s">
        <v>3902</v>
      </c>
      <c r="G1152" s="38">
        <v>26</v>
      </c>
      <c r="H1152" s="38">
        <v>26</v>
      </c>
      <c r="K1152" s="38"/>
      <c r="L1152" s="38">
        <f t="shared" si="18"/>
        <v>0</v>
      </c>
    </row>
    <row r="1153" spans="1:12" ht="14.5" x14ac:dyDescent="0.35">
      <c r="A1153" s="45" t="s">
        <v>3799</v>
      </c>
      <c r="B1153" s="45" t="s">
        <v>3799</v>
      </c>
      <c r="C1153" s="55">
        <v>45877</v>
      </c>
      <c r="D1153" s="45" t="s">
        <v>807</v>
      </c>
      <c r="E1153" s="45">
        <v>28</v>
      </c>
      <c r="G1153" s="38">
        <v>739</v>
      </c>
      <c r="H1153" s="38">
        <v>739</v>
      </c>
      <c r="K1153" s="38"/>
      <c r="L1153" s="38">
        <f t="shared" si="18"/>
        <v>0</v>
      </c>
    </row>
    <row r="1154" spans="1:12" ht="14.5" x14ac:dyDescent="0.35">
      <c r="A1154" s="45" t="s">
        <v>3799</v>
      </c>
      <c r="B1154" s="45" t="s">
        <v>3799</v>
      </c>
      <c r="C1154" s="55">
        <v>45877</v>
      </c>
      <c r="D1154" s="45" t="s">
        <v>3791</v>
      </c>
      <c r="E1154" s="45" t="s">
        <v>3792</v>
      </c>
      <c r="G1154" s="38">
        <v>4510.0000000000009</v>
      </c>
      <c r="H1154" s="38">
        <v>4510</v>
      </c>
      <c r="K1154" s="38"/>
      <c r="L1154" s="38">
        <f t="shared" si="18"/>
        <v>0</v>
      </c>
    </row>
    <row r="1155" spans="1:12" ht="14.5" x14ac:dyDescent="0.35">
      <c r="A1155" s="45" t="s">
        <v>3799</v>
      </c>
      <c r="B1155" s="45" t="s">
        <v>3799</v>
      </c>
      <c r="C1155" s="55">
        <v>45877</v>
      </c>
      <c r="D1155" s="45" t="s">
        <v>422</v>
      </c>
      <c r="E1155" s="45" t="s">
        <v>3903</v>
      </c>
      <c r="G1155" s="38">
        <v>26</v>
      </c>
      <c r="H1155" s="38">
        <v>26</v>
      </c>
      <c r="K1155" s="38"/>
      <c r="L1155" s="38">
        <f t="shared" si="18"/>
        <v>0</v>
      </c>
    </row>
    <row r="1156" spans="1:12" ht="14.5" x14ac:dyDescent="0.35">
      <c r="A1156" s="45" t="s">
        <v>3799</v>
      </c>
      <c r="B1156" s="45" t="s">
        <v>3799</v>
      </c>
      <c r="C1156" s="55">
        <v>45877</v>
      </c>
      <c r="D1156" s="45" t="s">
        <v>109</v>
      </c>
      <c r="E1156" s="45" t="s">
        <v>297</v>
      </c>
      <c r="G1156" s="38">
        <v>738</v>
      </c>
      <c r="H1156" s="38">
        <v>738</v>
      </c>
      <c r="K1156" s="38"/>
      <c r="L1156" s="38">
        <f t="shared" si="18"/>
        <v>0</v>
      </c>
    </row>
    <row r="1157" spans="1:12" ht="14.5" x14ac:dyDescent="0.35">
      <c r="A1157" s="45" t="s">
        <v>3799</v>
      </c>
      <c r="B1157" s="45" t="s">
        <v>3799</v>
      </c>
      <c r="C1157" s="55">
        <v>45877</v>
      </c>
      <c r="D1157" s="45" t="s">
        <v>923</v>
      </c>
      <c r="E1157" s="45">
        <v>41279</v>
      </c>
      <c r="G1157" s="38">
        <v>17667</v>
      </c>
      <c r="H1157" s="38">
        <v>325</v>
      </c>
      <c r="K1157" s="38"/>
      <c r="L1157" s="38">
        <f t="shared" si="18"/>
        <v>17342</v>
      </c>
    </row>
    <row r="1158" spans="1:12" ht="14.5" x14ac:dyDescent="0.35">
      <c r="A1158" s="45" t="s">
        <v>3799</v>
      </c>
      <c r="B1158" s="45" t="s">
        <v>3799</v>
      </c>
      <c r="C1158" s="55">
        <v>45877</v>
      </c>
      <c r="D1158" s="45" t="s">
        <v>109</v>
      </c>
      <c r="E1158" s="45" t="s">
        <v>298</v>
      </c>
      <c r="G1158" s="38">
        <v>738</v>
      </c>
      <c r="H1158" s="38">
        <v>738</v>
      </c>
      <c r="K1158" s="38"/>
      <c r="L1158" s="38">
        <f t="shared" si="18"/>
        <v>0</v>
      </c>
    </row>
    <row r="1159" spans="1:12" ht="14.5" x14ac:dyDescent="0.35">
      <c r="A1159" s="45" t="s">
        <v>3799</v>
      </c>
      <c r="B1159" s="45" t="s">
        <v>3799</v>
      </c>
      <c r="C1159" s="55">
        <v>45877</v>
      </c>
      <c r="D1159" s="45" t="s">
        <v>422</v>
      </c>
      <c r="E1159" s="45" t="s">
        <v>3904</v>
      </c>
      <c r="G1159" s="38">
        <v>26</v>
      </c>
      <c r="H1159" s="38">
        <v>26</v>
      </c>
      <c r="K1159" s="38"/>
      <c r="L1159" s="38">
        <f t="shared" si="18"/>
        <v>0</v>
      </c>
    </row>
    <row r="1160" spans="1:12" ht="14.5" x14ac:dyDescent="0.35">
      <c r="A1160" s="45" t="s">
        <v>3799</v>
      </c>
      <c r="B1160" s="45" t="s">
        <v>3799</v>
      </c>
      <c r="C1160" s="55">
        <v>45877</v>
      </c>
      <c r="D1160" s="45" t="s">
        <v>422</v>
      </c>
      <c r="E1160" s="45" t="s">
        <v>630</v>
      </c>
      <c r="G1160" s="38">
        <v>26</v>
      </c>
      <c r="H1160" s="38">
        <v>26</v>
      </c>
      <c r="K1160" s="38"/>
      <c r="L1160" s="38">
        <f t="shared" si="18"/>
        <v>0</v>
      </c>
    </row>
    <row r="1161" spans="1:12" ht="14.5" x14ac:dyDescent="0.35">
      <c r="A1161" s="45" t="s">
        <v>3799</v>
      </c>
      <c r="B1161" s="45" t="s">
        <v>3799</v>
      </c>
      <c r="C1161" s="55">
        <v>45877</v>
      </c>
      <c r="D1161" s="45" t="s">
        <v>422</v>
      </c>
      <c r="E1161" s="45" t="s">
        <v>3905</v>
      </c>
      <c r="G1161" s="38">
        <v>26</v>
      </c>
      <c r="H1161" s="38">
        <v>26</v>
      </c>
      <c r="K1161" s="38"/>
      <c r="L1161" s="38">
        <f t="shared" si="18"/>
        <v>0</v>
      </c>
    </row>
    <row r="1162" spans="1:12" ht="14.5" x14ac:dyDescent="0.35">
      <c r="A1162" s="45" t="s">
        <v>3799</v>
      </c>
      <c r="B1162" s="45" t="s">
        <v>3799</v>
      </c>
      <c r="C1162" s="55">
        <v>45877</v>
      </c>
      <c r="D1162" s="45" t="s">
        <v>819</v>
      </c>
      <c r="E1162" s="45" t="s">
        <v>3906</v>
      </c>
      <c r="G1162" s="38">
        <v>81</v>
      </c>
      <c r="H1162" s="38">
        <v>81</v>
      </c>
      <c r="K1162" s="38"/>
      <c r="L1162" s="38">
        <f t="shared" si="18"/>
        <v>0</v>
      </c>
    </row>
    <row r="1163" spans="1:12" ht="14.5" x14ac:dyDescent="0.35">
      <c r="A1163" s="45" t="s">
        <v>3799</v>
      </c>
      <c r="B1163" s="45" t="s">
        <v>3799</v>
      </c>
      <c r="C1163" s="55">
        <v>45877</v>
      </c>
      <c r="D1163" s="45" t="s">
        <v>422</v>
      </c>
      <c r="E1163" s="45" t="s">
        <v>3907</v>
      </c>
      <c r="G1163" s="38">
        <v>26</v>
      </c>
      <c r="H1163" s="38">
        <v>26</v>
      </c>
      <c r="K1163" s="38"/>
      <c r="L1163" s="38">
        <f t="shared" si="18"/>
        <v>0</v>
      </c>
    </row>
    <row r="1164" spans="1:12" ht="14.5" x14ac:dyDescent="0.35">
      <c r="A1164" s="45" t="s">
        <v>3799</v>
      </c>
      <c r="B1164" s="45" t="s">
        <v>3799</v>
      </c>
      <c r="C1164" s="55">
        <v>45877</v>
      </c>
      <c r="D1164" s="45" t="s">
        <v>819</v>
      </c>
      <c r="E1164" s="45" t="s">
        <v>3908</v>
      </c>
      <c r="G1164" s="38">
        <v>81</v>
      </c>
      <c r="H1164" s="38">
        <v>81</v>
      </c>
      <c r="K1164" s="38"/>
      <c r="L1164" s="38">
        <f t="shared" si="18"/>
        <v>0</v>
      </c>
    </row>
    <row r="1165" spans="1:12" ht="14.5" x14ac:dyDescent="0.35">
      <c r="A1165" s="45" t="s">
        <v>3799</v>
      </c>
      <c r="B1165" s="45" t="s">
        <v>3799</v>
      </c>
      <c r="C1165" s="55">
        <v>45880</v>
      </c>
      <c r="D1165" s="45" t="s">
        <v>422</v>
      </c>
      <c r="E1165" s="45" t="s">
        <v>3640</v>
      </c>
      <c r="G1165" s="38">
        <v>314</v>
      </c>
      <c r="H1165" s="38">
        <v>314</v>
      </c>
      <c r="K1165" s="38"/>
      <c r="L1165" s="38">
        <f t="shared" si="18"/>
        <v>0</v>
      </c>
    </row>
    <row r="1166" spans="1:12" ht="14.5" x14ac:dyDescent="0.35">
      <c r="A1166" s="45" t="s">
        <v>3799</v>
      </c>
      <c r="B1166" s="45" t="s">
        <v>3799</v>
      </c>
      <c r="C1166" s="55">
        <v>45880</v>
      </c>
      <c r="D1166" s="45" t="s">
        <v>422</v>
      </c>
      <c r="E1166" s="45" t="s">
        <v>3641</v>
      </c>
      <c r="G1166" s="38">
        <v>174.44</v>
      </c>
      <c r="H1166" s="38">
        <v>174.44</v>
      </c>
      <c r="K1166" s="38"/>
      <c r="L1166" s="38">
        <f t="shared" si="18"/>
        <v>0</v>
      </c>
    </row>
    <row r="1167" spans="1:12" ht="14.5" x14ac:dyDescent="0.35">
      <c r="A1167" s="45" t="s">
        <v>3799</v>
      </c>
      <c r="B1167" s="45" t="s">
        <v>3799</v>
      </c>
      <c r="C1167" s="55">
        <v>45880</v>
      </c>
      <c r="D1167" s="45" t="s">
        <v>66</v>
      </c>
      <c r="E1167" s="45" t="s">
        <v>3909</v>
      </c>
      <c r="G1167" s="38">
        <v>204.80000000000013</v>
      </c>
      <c r="H1167" s="38">
        <v>204.8</v>
      </c>
      <c r="K1167" s="38"/>
      <c r="L1167" s="38">
        <f t="shared" si="18"/>
        <v>0</v>
      </c>
    </row>
    <row r="1168" spans="1:12" ht="14.5" x14ac:dyDescent="0.35">
      <c r="A1168" s="45" t="s">
        <v>3799</v>
      </c>
      <c r="B1168" s="45" t="s">
        <v>3799</v>
      </c>
      <c r="C1168" s="55">
        <v>45880</v>
      </c>
      <c r="D1168" s="45" t="s">
        <v>422</v>
      </c>
      <c r="E1168" s="45" t="s">
        <v>3642</v>
      </c>
      <c r="G1168" s="38">
        <v>167</v>
      </c>
      <c r="H1168" s="38">
        <v>167</v>
      </c>
      <c r="K1168" s="38"/>
      <c r="L1168" s="38">
        <f t="shared" si="18"/>
        <v>0</v>
      </c>
    </row>
    <row r="1169" spans="1:12" ht="14.5" x14ac:dyDescent="0.35">
      <c r="A1169" s="45" t="s">
        <v>3799</v>
      </c>
      <c r="B1169" s="45" t="s">
        <v>3799</v>
      </c>
      <c r="C1169" s="55">
        <v>45880</v>
      </c>
      <c r="D1169" s="45" t="s">
        <v>422</v>
      </c>
      <c r="E1169" s="45" t="s">
        <v>3643</v>
      </c>
      <c r="G1169" s="38">
        <v>314</v>
      </c>
      <c r="H1169" s="38">
        <v>314</v>
      </c>
      <c r="K1169" s="38"/>
      <c r="L1169" s="38">
        <f t="shared" si="18"/>
        <v>0</v>
      </c>
    </row>
    <row r="1170" spans="1:12" ht="14.5" x14ac:dyDescent="0.35">
      <c r="A1170" s="45" t="s">
        <v>3799</v>
      </c>
      <c r="B1170" s="45" t="s">
        <v>3799</v>
      </c>
      <c r="C1170" s="55">
        <v>45880</v>
      </c>
      <c r="D1170" s="45" t="s">
        <v>422</v>
      </c>
      <c r="E1170" s="45" t="s">
        <v>534</v>
      </c>
      <c r="G1170" s="38">
        <v>172</v>
      </c>
      <c r="H1170" s="38">
        <v>172</v>
      </c>
      <c r="K1170" s="38"/>
      <c r="L1170" s="38">
        <f t="shared" si="18"/>
        <v>0</v>
      </c>
    </row>
    <row r="1171" spans="1:12" ht="14.5" x14ac:dyDescent="0.35">
      <c r="A1171" s="45" t="s">
        <v>3799</v>
      </c>
      <c r="B1171" s="45" t="s">
        <v>3799</v>
      </c>
      <c r="C1171" s="55">
        <v>45880</v>
      </c>
      <c r="D1171" s="45" t="s">
        <v>422</v>
      </c>
      <c r="E1171" s="45" t="s">
        <v>3695</v>
      </c>
      <c r="G1171" s="38">
        <v>43</v>
      </c>
      <c r="H1171" s="38">
        <v>43</v>
      </c>
      <c r="K1171" s="38"/>
      <c r="L1171" s="38">
        <f t="shared" si="18"/>
        <v>0</v>
      </c>
    </row>
    <row r="1172" spans="1:12" ht="14.5" x14ac:dyDescent="0.35">
      <c r="A1172" s="45" t="s">
        <v>3799</v>
      </c>
      <c r="B1172" s="45" t="s">
        <v>3799</v>
      </c>
      <c r="C1172" s="55">
        <v>45880</v>
      </c>
      <c r="D1172" s="45" t="s">
        <v>422</v>
      </c>
      <c r="E1172" s="45" t="s">
        <v>3644</v>
      </c>
      <c r="G1172" s="38">
        <v>314</v>
      </c>
      <c r="H1172" s="38">
        <v>314</v>
      </c>
      <c r="K1172" s="38"/>
      <c r="L1172" s="38">
        <f t="shared" si="18"/>
        <v>0</v>
      </c>
    </row>
    <row r="1173" spans="1:12" ht="14.5" x14ac:dyDescent="0.35">
      <c r="A1173" s="45" t="s">
        <v>3799</v>
      </c>
      <c r="B1173" s="45" t="s">
        <v>3799</v>
      </c>
      <c r="C1173" s="55">
        <v>45880</v>
      </c>
      <c r="D1173" s="45" t="s">
        <v>422</v>
      </c>
      <c r="E1173" s="45" t="s">
        <v>3645</v>
      </c>
      <c r="G1173" s="38">
        <v>313.19</v>
      </c>
      <c r="H1173" s="38">
        <v>313.19</v>
      </c>
      <c r="K1173" s="38"/>
      <c r="L1173" s="38">
        <f t="shared" si="18"/>
        <v>0</v>
      </c>
    </row>
    <row r="1174" spans="1:12" ht="14.5" x14ac:dyDescent="0.35">
      <c r="A1174" s="45" t="s">
        <v>3799</v>
      </c>
      <c r="B1174" s="45" t="s">
        <v>3799</v>
      </c>
      <c r="C1174" s="55">
        <v>45880</v>
      </c>
      <c r="D1174" s="45" t="s">
        <v>422</v>
      </c>
      <c r="E1174" s="45" t="s">
        <v>3646</v>
      </c>
      <c r="G1174" s="38">
        <v>314</v>
      </c>
      <c r="H1174" s="38">
        <v>314</v>
      </c>
      <c r="K1174" s="38"/>
      <c r="L1174" s="38">
        <f t="shared" si="18"/>
        <v>0</v>
      </c>
    </row>
    <row r="1175" spans="1:12" ht="14.5" x14ac:dyDescent="0.35">
      <c r="A1175" s="45" t="s">
        <v>3799</v>
      </c>
      <c r="B1175" s="45" t="s">
        <v>3799</v>
      </c>
      <c r="C1175" s="55">
        <v>45880</v>
      </c>
      <c r="D1175" s="45" t="s">
        <v>422</v>
      </c>
      <c r="E1175" s="45" t="s">
        <v>3647</v>
      </c>
      <c r="G1175" s="38">
        <v>314</v>
      </c>
      <c r="H1175" s="38">
        <v>314</v>
      </c>
      <c r="K1175" s="38"/>
      <c r="L1175" s="38">
        <f t="shared" si="18"/>
        <v>0</v>
      </c>
    </row>
    <row r="1176" spans="1:12" ht="14.5" x14ac:dyDescent="0.35">
      <c r="A1176" s="45" t="s">
        <v>3799</v>
      </c>
      <c r="B1176" s="45" t="s">
        <v>3799</v>
      </c>
      <c r="C1176" s="55">
        <v>45880</v>
      </c>
      <c r="D1176" s="45" t="s">
        <v>422</v>
      </c>
      <c r="E1176" s="45" t="s">
        <v>3648</v>
      </c>
      <c r="G1176" s="38">
        <v>313.19</v>
      </c>
      <c r="H1176" s="38">
        <v>313.19</v>
      </c>
      <c r="K1176" s="38"/>
      <c r="L1176" s="38">
        <f t="shared" si="18"/>
        <v>0</v>
      </c>
    </row>
    <row r="1177" spans="1:12" ht="14.5" x14ac:dyDescent="0.35">
      <c r="A1177" s="45" t="s">
        <v>3799</v>
      </c>
      <c r="B1177" s="45" t="s">
        <v>3799</v>
      </c>
      <c r="C1177" s="55">
        <v>45880</v>
      </c>
      <c r="D1177" s="45" t="s">
        <v>422</v>
      </c>
      <c r="E1177" s="45">
        <v>20242912</v>
      </c>
      <c r="G1177" s="38">
        <v>308.3</v>
      </c>
      <c r="H1177" s="38">
        <v>308.3</v>
      </c>
      <c r="K1177" s="38"/>
      <c r="L1177" s="38">
        <f t="shared" si="18"/>
        <v>0</v>
      </c>
    </row>
    <row r="1178" spans="1:12" ht="14.5" x14ac:dyDescent="0.35">
      <c r="A1178" s="45" t="s">
        <v>3799</v>
      </c>
      <c r="B1178" s="45" t="s">
        <v>3799</v>
      </c>
      <c r="C1178" s="55">
        <v>45880</v>
      </c>
      <c r="D1178" s="45" t="s">
        <v>422</v>
      </c>
      <c r="E1178" s="45" t="s">
        <v>3696</v>
      </c>
      <c r="G1178" s="38">
        <v>348.87999999999994</v>
      </c>
      <c r="H1178" s="38">
        <v>348.88</v>
      </c>
      <c r="K1178" s="38"/>
      <c r="L1178" s="38">
        <f t="shared" si="18"/>
        <v>0</v>
      </c>
    </row>
    <row r="1179" spans="1:12" ht="14.5" x14ac:dyDescent="0.35">
      <c r="A1179" s="45" t="s">
        <v>3799</v>
      </c>
      <c r="B1179" s="45" t="s">
        <v>3799</v>
      </c>
      <c r="C1179" s="55">
        <v>45880</v>
      </c>
      <c r="D1179" s="45" t="s">
        <v>422</v>
      </c>
      <c r="E1179" s="45" t="s">
        <v>3649</v>
      </c>
      <c r="G1179" s="38">
        <v>314</v>
      </c>
      <c r="H1179" s="38">
        <v>314</v>
      </c>
      <c r="K1179" s="38"/>
      <c r="L1179" s="38">
        <f t="shared" si="18"/>
        <v>0</v>
      </c>
    </row>
    <row r="1180" spans="1:12" ht="14.5" x14ac:dyDescent="0.35">
      <c r="A1180" s="45" t="s">
        <v>3799</v>
      </c>
      <c r="B1180" s="45" t="s">
        <v>3799</v>
      </c>
      <c r="C1180" s="55">
        <v>45880</v>
      </c>
      <c r="D1180" s="45" t="s">
        <v>422</v>
      </c>
      <c r="E1180" s="45" t="s">
        <v>3650</v>
      </c>
      <c r="G1180" s="38">
        <v>314</v>
      </c>
      <c r="H1180" s="38">
        <v>314</v>
      </c>
      <c r="K1180" s="38"/>
      <c r="L1180" s="38">
        <f t="shared" si="18"/>
        <v>0</v>
      </c>
    </row>
    <row r="1181" spans="1:12" ht="14.5" x14ac:dyDescent="0.35">
      <c r="A1181" s="45" t="s">
        <v>3799</v>
      </c>
      <c r="B1181" s="45" t="s">
        <v>3799</v>
      </c>
      <c r="C1181" s="55">
        <v>45880</v>
      </c>
      <c r="D1181" s="45" t="s">
        <v>422</v>
      </c>
      <c r="E1181" s="45" t="s">
        <v>3652</v>
      </c>
      <c r="G1181" s="38">
        <v>314</v>
      </c>
      <c r="H1181" s="38">
        <v>314</v>
      </c>
      <c r="K1181" s="38"/>
      <c r="L1181" s="38">
        <f t="shared" si="18"/>
        <v>0</v>
      </c>
    </row>
    <row r="1182" spans="1:12" ht="14.5" x14ac:dyDescent="0.35">
      <c r="A1182" s="45" t="s">
        <v>3799</v>
      </c>
      <c r="B1182" s="45" t="s">
        <v>3799</v>
      </c>
      <c r="C1182" s="55">
        <v>45880</v>
      </c>
      <c r="D1182" s="45" t="s">
        <v>422</v>
      </c>
      <c r="E1182" s="45" t="s">
        <v>3653</v>
      </c>
      <c r="G1182" s="38">
        <v>313.18999999999994</v>
      </c>
      <c r="H1182" s="38">
        <v>313.19</v>
      </c>
      <c r="K1182" s="38"/>
      <c r="L1182" s="38">
        <f t="shared" si="18"/>
        <v>0</v>
      </c>
    </row>
    <row r="1183" spans="1:12" ht="14.5" x14ac:dyDescent="0.35">
      <c r="A1183" s="45" t="s">
        <v>3799</v>
      </c>
      <c r="B1183" s="45" t="s">
        <v>3799</v>
      </c>
      <c r="C1183" s="55">
        <v>45880</v>
      </c>
      <c r="D1183" s="45" t="s">
        <v>422</v>
      </c>
      <c r="E1183" s="45" t="s">
        <v>3654</v>
      </c>
      <c r="G1183" s="38">
        <v>672.87999999999988</v>
      </c>
      <c r="H1183" s="38">
        <v>672.88</v>
      </c>
      <c r="K1183" s="38"/>
      <c r="L1183" s="38">
        <f t="shared" si="18"/>
        <v>0</v>
      </c>
    </row>
    <row r="1184" spans="1:12" ht="14.5" x14ac:dyDescent="0.35">
      <c r="A1184" s="45" t="s">
        <v>3799</v>
      </c>
      <c r="B1184" s="45" t="s">
        <v>3799</v>
      </c>
      <c r="C1184" s="55">
        <v>45880</v>
      </c>
      <c r="D1184" s="45" t="s">
        <v>422</v>
      </c>
      <c r="E1184" s="45" t="s">
        <v>3656</v>
      </c>
      <c r="G1184" s="38">
        <v>319.08</v>
      </c>
      <c r="H1184" s="38">
        <v>319.08</v>
      </c>
      <c r="K1184" s="38"/>
      <c r="L1184" s="38">
        <f t="shared" si="18"/>
        <v>0</v>
      </c>
    </row>
    <row r="1185" spans="1:12" ht="14.5" x14ac:dyDescent="0.35">
      <c r="A1185" s="45" t="s">
        <v>3799</v>
      </c>
      <c r="B1185" s="45" t="s">
        <v>3799</v>
      </c>
      <c r="C1185" s="55">
        <v>45880</v>
      </c>
      <c r="D1185" s="45" t="s">
        <v>422</v>
      </c>
      <c r="E1185" s="45" t="s">
        <v>3657</v>
      </c>
      <c r="G1185" s="38">
        <v>313.19</v>
      </c>
      <c r="H1185" s="38">
        <v>313.19</v>
      </c>
      <c r="K1185" s="38"/>
      <c r="L1185" s="38">
        <f t="shared" si="18"/>
        <v>0</v>
      </c>
    </row>
    <row r="1186" spans="1:12" ht="14.5" x14ac:dyDescent="0.35">
      <c r="A1186" s="45" t="s">
        <v>3799</v>
      </c>
      <c r="B1186" s="45" t="s">
        <v>3799</v>
      </c>
      <c r="C1186" s="55">
        <v>45880</v>
      </c>
      <c r="D1186" s="45" t="s">
        <v>422</v>
      </c>
      <c r="E1186" s="45" t="s">
        <v>3697</v>
      </c>
      <c r="G1186" s="38">
        <v>173.44</v>
      </c>
      <c r="H1186" s="38">
        <v>173.44</v>
      </c>
      <c r="K1186" s="38"/>
      <c r="L1186" s="38">
        <f t="shared" si="18"/>
        <v>0</v>
      </c>
    </row>
    <row r="1187" spans="1:12" ht="14.5" x14ac:dyDescent="0.35">
      <c r="A1187" s="45" t="s">
        <v>3799</v>
      </c>
      <c r="B1187" s="45" t="s">
        <v>3799</v>
      </c>
      <c r="C1187" s="55">
        <v>45880</v>
      </c>
      <c r="D1187" s="45" t="s">
        <v>422</v>
      </c>
      <c r="E1187" s="45" t="s">
        <v>3658</v>
      </c>
      <c r="G1187" s="38">
        <v>313.19</v>
      </c>
      <c r="H1187" s="38">
        <v>313.19</v>
      </c>
      <c r="K1187" s="38"/>
      <c r="L1187" s="38">
        <f t="shared" si="18"/>
        <v>0</v>
      </c>
    </row>
    <row r="1188" spans="1:12" ht="14.5" x14ac:dyDescent="0.35">
      <c r="A1188" s="45" t="s">
        <v>3799</v>
      </c>
      <c r="B1188" s="45" t="s">
        <v>3799</v>
      </c>
      <c r="C1188" s="55">
        <v>45880</v>
      </c>
      <c r="D1188" s="45" t="s">
        <v>422</v>
      </c>
      <c r="E1188" s="45" t="s">
        <v>3659</v>
      </c>
      <c r="G1188" s="38">
        <v>339.43999999999994</v>
      </c>
      <c r="H1188" s="38">
        <v>339.44</v>
      </c>
      <c r="K1188" s="38"/>
      <c r="L1188" s="38">
        <f t="shared" si="18"/>
        <v>0</v>
      </c>
    </row>
    <row r="1189" spans="1:12" ht="14.5" x14ac:dyDescent="0.35">
      <c r="A1189" s="45" t="s">
        <v>3799</v>
      </c>
      <c r="B1189" s="45" t="s">
        <v>3799</v>
      </c>
      <c r="C1189" s="55">
        <v>45880</v>
      </c>
      <c r="D1189" s="45" t="s">
        <v>422</v>
      </c>
      <c r="E1189" s="45" t="s">
        <v>3698</v>
      </c>
      <c r="G1189" s="38">
        <v>371.94</v>
      </c>
      <c r="H1189" s="38">
        <v>371.94</v>
      </c>
      <c r="K1189" s="38"/>
      <c r="L1189" s="38">
        <f t="shared" si="18"/>
        <v>0</v>
      </c>
    </row>
    <row r="1190" spans="1:12" ht="14.5" x14ac:dyDescent="0.35">
      <c r="A1190" s="45" t="s">
        <v>3799</v>
      </c>
      <c r="B1190" s="45" t="s">
        <v>3799</v>
      </c>
      <c r="C1190" s="55">
        <v>45880</v>
      </c>
      <c r="D1190" s="45" t="s">
        <v>422</v>
      </c>
      <c r="E1190" s="45" t="s">
        <v>3699</v>
      </c>
      <c r="G1190" s="38">
        <v>173.44</v>
      </c>
      <c r="H1190" s="38">
        <v>173.44</v>
      </c>
      <c r="K1190" s="38"/>
      <c r="L1190" s="38">
        <f t="shared" si="18"/>
        <v>0</v>
      </c>
    </row>
    <row r="1191" spans="1:12" ht="14.5" x14ac:dyDescent="0.35">
      <c r="A1191" s="45" t="s">
        <v>3799</v>
      </c>
      <c r="B1191" s="45" t="s">
        <v>3799</v>
      </c>
      <c r="C1191" s="55">
        <v>45880</v>
      </c>
      <c r="D1191" s="45" t="s">
        <v>422</v>
      </c>
      <c r="E1191" s="45" t="s">
        <v>3700</v>
      </c>
      <c r="G1191" s="38">
        <v>173</v>
      </c>
      <c r="H1191" s="38">
        <v>173</v>
      </c>
      <c r="K1191" s="38"/>
      <c r="L1191" s="38">
        <f t="shared" si="18"/>
        <v>0</v>
      </c>
    </row>
    <row r="1192" spans="1:12" ht="14.5" x14ac:dyDescent="0.35">
      <c r="A1192" s="45" t="s">
        <v>3799</v>
      </c>
      <c r="B1192" s="45" t="s">
        <v>3799</v>
      </c>
      <c r="C1192" s="55">
        <v>45880</v>
      </c>
      <c r="D1192" s="45" t="s">
        <v>422</v>
      </c>
      <c r="E1192" s="45" t="s">
        <v>3701</v>
      </c>
      <c r="G1192" s="38">
        <v>173.44</v>
      </c>
      <c r="H1192" s="38">
        <v>173.44</v>
      </c>
      <c r="K1192" s="38"/>
      <c r="L1192" s="38">
        <f t="shared" si="18"/>
        <v>0</v>
      </c>
    </row>
    <row r="1193" spans="1:12" ht="14.5" x14ac:dyDescent="0.35">
      <c r="A1193" s="45" t="s">
        <v>3799</v>
      </c>
      <c r="B1193" s="45" t="s">
        <v>3799</v>
      </c>
      <c r="C1193" s="55">
        <v>45880</v>
      </c>
      <c r="D1193" s="45" t="s">
        <v>422</v>
      </c>
      <c r="E1193" s="45" t="s">
        <v>3660</v>
      </c>
      <c r="G1193" s="38">
        <v>313.19</v>
      </c>
      <c r="H1193" s="38">
        <v>313.19</v>
      </c>
      <c r="K1193" s="38"/>
      <c r="L1193" s="38">
        <f t="shared" si="18"/>
        <v>0</v>
      </c>
    </row>
    <row r="1194" spans="1:12" ht="14.5" x14ac:dyDescent="0.35">
      <c r="A1194" s="45" t="s">
        <v>3799</v>
      </c>
      <c r="B1194" s="45" t="s">
        <v>3799</v>
      </c>
      <c r="C1194" s="55">
        <v>45880</v>
      </c>
      <c r="D1194" s="45" t="s">
        <v>422</v>
      </c>
      <c r="E1194" s="45" t="s">
        <v>3661</v>
      </c>
      <c r="G1194" s="38">
        <v>166</v>
      </c>
      <c r="H1194" s="38">
        <v>166</v>
      </c>
      <c r="K1194" s="38"/>
      <c r="L1194" s="38">
        <f t="shared" si="18"/>
        <v>0</v>
      </c>
    </row>
    <row r="1195" spans="1:12" ht="14.5" x14ac:dyDescent="0.35">
      <c r="A1195" s="45" t="s">
        <v>3799</v>
      </c>
      <c r="B1195" s="45" t="s">
        <v>3799</v>
      </c>
      <c r="C1195" s="55">
        <v>45880</v>
      </c>
      <c r="D1195" s="45" t="s">
        <v>422</v>
      </c>
      <c r="E1195" s="45" t="s">
        <v>3662</v>
      </c>
      <c r="G1195" s="38">
        <v>339.44000000000005</v>
      </c>
      <c r="H1195" s="38">
        <v>339.44</v>
      </c>
      <c r="K1195" s="38"/>
      <c r="L1195" s="38">
        <f t="shared" si="18"/>
        <v>0</v>
      </c>
    </row>
    <row r="1196" spans="1:12" ht="14.5" x14ac:dyDescent="0.35">
      <c r="A1196" s="45" t="s">
        <v>3799</v>
      </c>
      <c r="B1196" s="45" t="s">
        <v>3799</v>
      </c>
      <c r="C1196" s="55">
        <v>45880</v>
      </c>
      <c r="D1196" s="45" t="s">
        <v>422</v>
      </c>
      <c r="E1196" s="45" t="s">
        <v>3664</v>
      </c>
      <c r="G1196" s="38">
        <v>167.43999999999997</v>
      </c>
      <c r="H1196" s="38">
        <v>167.44</v>
      </c>
      <c r="K1196" s="38"/>
      <c r="L1196" s="38">
        <f t="shared" si="18"/>
        <v>0</v>
      </c>
    </row>
    <row r="1197" spans="1:12" ht="14.5" x14ac:dyDescent="0.35">
      <c r="A1197" s="45" t="s">
        <v>3799</v>
      </c>
      <c r="B1197" s="45" t="s">
        <v>3799</v>
      </c>
      <c r="C1197" s="55">
        <v>45880</v>
      </c>
      <c r="D1197" s="45" t="s">
        <v>422</v>
      </c>
      <c r="E1197" s="45" t="s">
        <v>3665</v>
      </c>
      <c r="G1197" s="38">
        <v>313.19</v>
      </c>
      <c r="H1197" s="38">
        <v>313.19</v>
      </c>
      <c r="K1197" s="38"/>
      <c r="L1197" s="38">
        <f t="shared" si="18"/>
        <v>0</v>
      </c>
    </row>
    <row r="1198" spans="1:12" ht="14.5" x14ac:dyDescent="0.35">
      <c r="A1198" s="45" t="s">
        <v>3799</v>
      </c>
      <c r="B1198" s="45" t="s">
        <v>3799</v>
      </c>
      <c r="C1198" s="55">
        <v>45880</v>
      </c>
      <c r="D1198" s="45" t="s">
        <v>422</v>
      </c>
      <c r="E1198" s="45" t="s">
        <v>3910</v>
      </c>
      <c r="G1198" s="38">
        <v>5090</v>
      </c>
      <c r="H1198" s="38">
        <v>5090</v>
      </c>
      <c r="K1198" s="38"/>
      <c r="L1198" s="38">
        <f t="shared" si="18"/>
        <v>0</v>
      </c>
    </row>
    <row r="1199" spans="1:12" ht="14.5" x14ac:dyDescent="0.35">
      <c r="A1199" s="45" t="s">
        <v>3799</v>
      </c>
      <c r="B1199" s="45" t="s">
        <v>3799</v>
      </c>
      <c r="C1199" s="55">
        <v>45880</v>
      </c>
      <c r="D1199" s="45" t="s">
        <v>422</v>
      </c>
      <c r="E1199" s="45" t="s">
        <v>3703</v>
      </c>
      <c r="G1199" s="38">
        <v>173</v>
      </c>
      <c r="H1199" s="38">
        <v>173</v>
      </c>
      <c r="K1199" s="38"/>
      <c r="L1199" s="38">
        <f t="shared" si="18"/>
        <v>0</v>
      </c>
    </row>
    <row r="1200" spans="1:12" ht="14.5" x14ac:dyDescent="0.35">
      <c r="A1200" s="45" t="s">
        <v>3799</v>
      </c>
      <c r="B1200" s="45" t="s">
        <v>3799</v>
      </c>
      <c r="C1200" s="55">
        <v>45880</v>
      </c>
      <c r="D1200" s="45" t="s">
        <v>422</v>
      </c>
      <c r="E1200" s="45" t="s">
        <v>3666</v>
      </c>
      <c r="G1200" s="38">
        <v>314</v>
      </c>
      <c r="H1200" s="38">
        <v>314</v>
      </c>
      <c r="K1200" s="38"/>
      <c r="L1200" s="38">
        <f t="shared" si="18"/>
        <v>0</v>
      </c>
    </row>
    <row r="1201" spans="1:12" ht="14.5" x14ac:dyDescent="0.35">
      <c r="A1201" s="45" t="s">
        <v>3799</v>
      </c>
      <c r="B1201" s="45" t="s">
        <v>3799</v>
      </c>
      <c r="C1201" s="55">
        <v>45880</v>
      </c>
      <c r="D1201" s="45" t="s">
        <v>422</v>
      </c>
      <c r="E1201" s="45" t="s">
        <v>3705</v>
      </c>
      <c r="G1201" s="38">
        <v>173</v>
      </c>
      <c r="H1201" s="38">
        <v>173</v>
      </c>
      <c r="K1201" s="38"/>
      <c r="L1201" s="38">
        <f t="shared" si="18"/>
        <v>0</v>
      </c>
    </row>
    <row r="1202" spans="1:12" ht="14.5" x14ac:dyDescent="0.35">
      <c r="A1202" s="45" t="s">
        <v>3799</v>
      </c>
      <c r="B1202" s="45" t="s">
        <v>3799</v>
      </c>
      <c r="C1202" s="55">
        <v>45880</v>
      </c>
      <c r="D1202" s="45" t="s">
        <v>422</v>
      </c>
      <c r="E1202" s="45" t="s">
        <v>3706</v>
      </c>
      <c r="G1202" s="38">
        <v>173.44</v>
      </c>
      <c r="H1202" s="38">
        <v>173.44</v>
      </c>
      <c r="K1202" s="38"/>
      <c r="L1202" s="38">
        <f t="shared" si="18"/>
        <v>0</v>
      </c>
    </row>
    <row r="1203" spans="1:12" ht="14.5" x14ac:dyDescent="0.35">
      <c r="A1203" s="45" t="s">
        <v>3799</v>
      </c>
      <c r="B1203" s="45" t="s">
        <v>3799</v>
      </c>
      <c r="C1203" s="55">
        <v>45880</v>
      </c>
      <c r="D1203" s="45" t="s">
        <v>422</v>
      </c>
      <c r="E1203" s="45" t="s">
        <v>3707</v>
      </c>
      <c r="G1203" s="38">
        <v>173.44</v>
      </c>
      <c r="H1203" s="38">
        <v>173.44</v>
      </c>
      <c r="K1203" s="38"/>
      <c r="L1203" s="38">
        <f t="shared" si="18"/>
        <v>0</v>
      </c>
    </row>
    <row r="1204" spans="1:12" ht="14.5" x14ac:dyDescent="0.35">
      <c r="A1204" s="45" t="s">
        <v>3799</v>
      </c>
      <c r="B1204" s="45" t="s">
        <v>3799</v>
      </c>
      <c r="C1204" s="55">
        <v>45880</v>
      </c>
      <c r="D1204" s="45" t="s">
        <v>422</v>
      </c>
      <c r="E1204" s="45" t="s">
        <v>3708</v>
      </c>
      <c r="G1204" s="38">
        <v>173.44</v>
      </c>
      <c r="H1204" s="38">
        <v>173.44</v>
      </c>
      <c r="K1204" s="38"/>
      <c r="L1204" s="38">
        <f t="shared" si="18"/>
        <v>0</v>
      </c>
    </row>
    <row r="1205" spans="1:12" ht="14.5" x14ac:dyDescent="0.35">
      <c r="A1205" s="45" t="s">
        <v>3799</v>
      </c>
      <c r="B1205" s="45" t="s">
        <v>3799</v>
      </c>
      <c r="C1205" s="55">
        <v>45880</v>
      </c>
      <c r="D1205" s="45" t="s">
        <v>422</v>
      </c>
      <c r="E1205" s="45" t="s">
        <v>3669</v>
      </c>
      <c r="G1205" s="38">
        <v>313.18999999999994</v>
      </c>
      <c r="H1205" s="38">
        <v>313.19</v>
      </c>
      <c r="K1205" s="38"/>
      <c r="L1205" s="38">
        <f t="shared" si="18"/>
        <v>0</v>
      </c>
    </row>
    <row r="1206" spans="1:12" ht="14.5" x14ac:dyDescent="0.35">
      <c r="A1206" s="45" t="s">
        <v>3799</v>
      </c>
      <c r="B1206" s="45" t="s">
        <v>3799</v>
      </c>
      <c r="C1206" s="55">
        <v>45880</v>
      </c>
      <c r="D1206" s="45" t="s">
        <v>422</v>
      </c>
      <c r="E1206" s="45" t="s">
        <v>3670</v>
      </c>
      <c r="G1206" s="38">
        <v>422.19</v>
      </c>
      <c r="H1206" s="38">
        <v>422.19</v>
      </c>
      <c r="K1206" s="38"/>
      <c r="L1206" s="38">
        <f t="shared" si="18"/>
        <v>0</v>
      </c>
    </row>
    <row r="1207" spans="1:12" ht="14.5" x14ac:dyDescent="0.35">
      <c r="A1207" s="45" t="s">
        <v>3799</v>
      </c>
      <c r="B1207" s="45" t="s">
        <v>3799</v>
      </c>
      <c r="C1207" s="55">
        <v>45880</v>
      </c>
      <c r="D1207" s="45" t="s">
        <v>933</v>
      </c>
      <c r="E1207" s="45" t="s">
        <v>3710</v>
      </c>
      <c r="G1207" s="38">
        <v>788.65</v>
      </c>
      <c r="H1207" s="38">
        <v>788.65</v>
      </c>
      <c r="K1207" s="38"/>
      <c r="L1207" s="38">
        <f t="shared" si="18"/>
        <v>0</v>
      </c>
    </row>
    <row r="1208" spans="1:12" ht="14.5" x14ac:dyDescent="0.35">
      <c r="A1208" s="45" t="s">
        <v>3799</v>
      </c>
      <c r="B1208" s="45" t="s">
        <v>3799</v>
      </c>
      <c r="C1208" s="55">
        <v>45880</v>
      </c>
      <c r="D1208" s="45" t="s">
        <v>422</v>
      </c>
      <c r="E1208" s="45" t="s">
        <v>3671</v>
      </c>
      <c r="G1208" s="38">
        <v>313.19000000000011</v>
      </c>
      <c r="H1208" s="38">
        <v>313.19</v>
      </c>
      <c r="K1208" s="38"/>
      <c r="L1208" s="38">
        <f t="shared" ref="L1208:L1271" si="19">G1208-H1208</f>
        <v>0</v>
      </c>
    </row>
    <row r="1209" spans="1:12" ht="14.5" x14ac:dyDescent="0.35">
      <c r="A1209" s="45" t="s">
        <v>3799</v>
      </c>
      <c r="B1209" s="45" t="s">
        <v>3799</v>
      </c>
      <c r="C1209" s="55">
        <v>45880</v>
      </c>
      <c r="D1209" s="45" t="s">
        <v>422</v>
      </c>
      <c r="E1209" s="45" t="s">
        <v>3711</v>
      </c>
      <c r="G1209" s="38">
        <v>173</v>
      </c>
      <c r="H1209" s="38">
        <v>173</v>
      </c>
      <c r="K1209" s="38"/>
      <c r="L1209" s="38">
        <f t="shared" si="19"/>
        <v>0</v>
      </c>
    </row>
    <row r="1210" spans="1:12" ht="14.5" x14ac:dyDescent="0.35">
      <c r="A1210" s="45" t="s">
        <v>3799</v>
      </c>
      <c r="B1210" s="45" t="s">
        <v>3799</v>
      </c>
      <c r="C1210" s="55">
        <v>45880</v>
      </c>
      <c r="D1210" s="45" t="s">
        <v>422</v>
      </c>
      <c r="E1210" s="45" t="s">
        <v>3672</v>
      </c>
      <c r="G1210" s="38">
        <v>314</v>
      </c>
      <c r="H1210" s="38">
        <v>314</v>
      </c>
      <c r="K1210" s="38"/>
      <c r="L1210" s="38">
        <f t="shared" si="19"/>
        <v>0</v>
      </c>
    </row>
    <row r="1211" spans="1:12" ht="14.5" x14ac:dyDescent="0.35">
      <c r="A1211" s="45" t="s">
        <v>3799</v>
      </c>
      <c r="B1211" s="45" t="s">
        <v>3799</v>
      </c>
      <c r="C1211" s="55">
        <v>45880</v>
      </c>
      <c r="D1211" s="45" t="s">
        <v>422</v>
      </c>
      <c r="E1211" s="45" t="s">
        <v>525</v>
      </c>
      <c r="G1211" s="38">
        <v>43</v>
      </c>
      <c r="H1211" s="38">
        <v>43</v>
      </c>
      <c r="K1211" s="38"/>
      <c r="L1211" s="38">
        <f t="shared" si="19"/>
        <v>0</v>
      </c>
    </row>
    <row r="1212" spans="1:12" ht="14.5" x14ac:dyDescent="0.35">
      <c r="A1212" s="45" t="s">
        <v>3799</v>
      </c>
      <c r="B1212" s="45" t="s">
        <v>3799</v>
      </c>
      <c r="C1212" s="55">
        <v>45880</v>
      </c>
      <c r="D1212" s="45" t="s">
        <v>422</v>
      </c>
      <c r="E1212" s="45" t="s">
        <v>3714</v>
      </c>
      <c r="G1212" s="38">
        <v>173.44</v>
      </c>
      <c r="H1212" s="38">
        <v>173.44</v>
      </c>
      <c r="K1212" s="38"/>
      <c r="L1212" s="38">
        <f t="shared" si="19"/>
        <v>0</v>
      </c>
    </row>
    <row r="1213" spans="1:12" ht="14.5" x14ac:dyDescent="0.35">
      <c r="A1213" s="45" t="s">
        <v>3799</v>
      </c>
      <c r="B1213" s="45" t="s">
        <v>3799</v>
      </c>
      <c r="C1213" s="55">
        <v>45880</v>
      </c>
      <c r="D1213" s="45" t="s">
        <v>66</v>
      </c>
      <c r="E1213" s="45" t="s">
        <v>3911</v>
      </c>
      <c r="G1213" s="38">
        <v>204.8</v>
      </c>
      <c r="H1213" s="38">
        <v>204.8</v>
      </c>
      <c r="K1213" s="38"/>
      <c r="L1213" s="38">
        <f t="shared" si="19"/>
        <v>0</v>
      </c>
    </row>
    <row r="1214" spans="1:12" ht="14.5" x14ac:dyDescent="0.35">
      <c r="A1214" s="45" t="s">
        <v>3799</v>
      </c>
      <c r="B1214" s="45" t="s">
        <v>3799</v>
      </c>
      <c r="C1214" s="55">
        <v>45880</v>
      </c>
      <c r="D1214" s="45" t="s">
        <v>422</v>
      </c>
      <c r="E1214" s="45" t="s">
        <v>3716</v>
      </c>
      <c r="G1214" s="38">
        <v>173.44</v>
      </c>
      <c r="H1214" s="38">
        <v>173.44</v>
      </c>
      <c r="K1214" s="38"/>
      <c r="L1214" s="38">
        <f t="shared" si="19"/>
        <v>0</v>
      </c>
    </row>
    <row r="1215" spans="1:12" ht="14.5" x14ac:dyDescent="0.35">
      <c r="A1215" s="45" t="s">
        <v>3799</v>
      </c>
      <c r="B1215" s="45" t="s">
        <v>3799</v>
      </c>
      <c r="C1215" s="55">
        <v>45880</v>
      </c>
      <c r="D1215" s="45" t="s">
        <v>422</v>
      </c>
      <c r="E1215" s="45" t="s">
        <v>3717</v>
      </c>
      <c r="G1215" s="38">
        <v>174.44</v>
      </c>
      <c r="H1215" s="38">
        <v>174.44</v>
      </c>
      <c r="K1215" s="38"/>
      <c r="L1215" s="38">
        <f t="shared" si="19"/>
        <v>0</v>
      </c>
    </row>
    <row r="1216" spans="1:12" ht="14.5" x14ac:dyDescent="0.35">
      <c r="A1216" s="45" t="s">
        <v>3799</v>
      </c>
      <c r="B1216" s="45" t="s">
        <v>3799</v>
      </c>
      <c r="C1216" s="55">
        <v>45880</v>
      </c>
      <c r="D1216" s="45" t="s">
        <v>422</v>
      </c>
      <c r="E1216" s="45" t="s">
        <v>3718</v>
      </c>
      <c r="G1216" s="38">
        <v>43</v>
      </c>
      <c r="H1216" s="38">
        <v>43</v>
      </c>
      <c r="K1216" s="38"/>
      <c r="L1216" s="38">
        <f t="shared" si="19"/>
        <v>0</v>
      </c>
    </row>
    <row r="1217" spans="1:12" ht="14.5" x14ac:dyDescent="0.35">
      <c r="A1217" s="45" t="s">
        <v>3799</v>
      </c>
      <c r="B1217" s="45" t="s">
        <v>3799</v>
      </c>
      <c r="C1217" s="55">
        <v>45880</v>
      </c>
      <c r="D1217" s="45" t="s">
        <v>422</v>
      </c>
      <c r="E1217" s="45" t="s">
        <v>3674</v>
      </c>
      <c r="G1217" s="38">
        <v>167</v>
      </c>
      <c r="H1217" s="38">
        <v>167</v>
      </c>
      <c r="K1217" s="38"/>
      <c r="L1217" s="38">
        <f t="shared" si="19"/>
        <v>0</v>
      </c>
    </row>
    <row r="1218" spans="1:12" ht="14.5" x14ac:dyDescent="0.35">
      <c r="A1218" s="45" t="s">
        <v>3799</v>
      </c>
      <c r="B1218" s="45" t="s">
        <v>3799</v>
      </c>
      <c r="C1218" s="55">
        <v>45880</v>
      </c>
      <c r="D1218" s="45" t="s">
        <v>422</v>
      </c>
      <c r="E1218" s="45" t="s">
        <v>3677</v>
      </c>
      <c r="G1218" s="38">
        <v>313.19000000000005</v>
      </c>
      <c r="H1218" s="38">
        <v>313.19</v>
      </c>
      <c r="K1218" s="38"/>
      <c r="L1218" s="38">
        <f t="shared" si="19"/>
        <v>0</v>
      </c>
    </row>
    <row r="1219" spans="1:12" ht="14.5" x14ac:dyDescent="0.35">
      <c r="A1219" s="45" t="s">
        <v>3799</v>
      </c>
      <c r="B1219" s="45" t="s">
        <v>3799</v>
      </c>
      <c r="C1219" s="55">
        <v>45880</v>
      </c>
      <c r="D1219" s="45" t="s">
        <v>422</v>
      </c>
      <c r="E1219" s="45" t="s">
        <v>3678</v>
      </c>
      <c r="G1219" s="38">
        <v>162.99999999999997</v>
      </c>
      <c r="H1219" s="38">
        <v>163</v>
      </c>
      <c r="K1219" s="38"/>
      <c r="L1219" s="38">
        <f t="shared" si="19"/>
        <v>0</v>
      </c>
    </row>
    <row r="1220" spans="1:12" ht="14.5" x14ac:dyDescent="0.35">
      <c r="A1220" s="45" t="s">
        <v>3799</v>
      </c>
      <c r="B1220" s="45" t="s">
        <v>3799</v>
      </c>
      <c r="C1220" s="55">
        <v>45880</v>
      </c>
      <c r="D1220" s="45" t="s">
        <v>422</v>
      </c>
      <c r="E1220" s="45" t="s">
        <v>523</v>
      </c>
      <c r="G1220" s="38">
        <v>314</v>
      </c>
      <c r="H1220" s="38">
        <v>314</v>
      </c>
      <c r="K1220" s="38"/>
      <c r="L1220" s="38">
        <f t="shared" si="19"/>
        <v>0</v>
      </c>
    </row>
    <row r="1221" spans="1:12" ht="14.5" x14ac:dyDescent="0.35">
      <c r="A1221" s="45" t="s">
        <v>3799</v>
      </c>
      <c r="B1221" s="45" t="s">
        <v>3799</v>
      </c>
      <c r="C1221" s="55">
        <v>45880</v>
      </c>
      <c r="D1221" s="45" t="s">
        <v>422</v>
      </c>
      <c r="E1221" s="45" t="s">
        <v>3724</v>
      </c>
      <c r="G1221" s="38">
        <v>174.44</v>
      </c>
      <c r="H1221" s="38">
        <v>174.44</v>
      </c>
      <c r="K1221" s="38"/>
      <c r="L1221" s="38">
        <f t="shared" si="19"/>
        <v>0</v>
      </c>
    </row>
    <row r="1222" spans="1:12" ht="14.5" x14ac:dyDescent="0.35">
      <c r="A1222" s="45" t="s">
        <v>3799</v>
      </c>
      <c r="B1222" s="45" t="s">
        <v>3799</v>
      </c>
      <c r="C1222" s="55">
        <v>45880</v>
      </c>
      <c r="D1222" s="45" t="s">
        <v>66</v>
      </c>
      <c r="E1222" s="45" t="s">
        <v>3912</v>
      </c>
      <c r="G1222" s="38">
        <v>204.80000000000007</v>
      </c>
      <c r="H1222" s="38">
        <v>204.8</v>
      </c>
      <c r="K1222" s="38"/>
      <c r="L1222" s="38">
        <f t="shared" si="19"/>
        <v>0</v>
      </c>
    </row>
    <row r="1223" spans="1:12" ht="14.5" x14ac:dyDescent="0.35">
      <c r="A1223" s="45" t="s">
        <v>3799</v>
      </c>
      <c r="B1223" s="45" t="s">
        <v>3799</v>
      </c>
      <c r="C1223" s="55">
        <v>45880</v>
      </c>
      <c r="D1223" s="45" t="s">
        <v>422</v>
      </c>
      <c r="E1223" s="45" t="s">
        <v>3726</v>
      </c>
      <c r="G1223" s="38">
        <v>173.43999999999997</v>
      </c>
      <c r="H1223" s="38">
        <v>173.44</v>
      </c>
      <c r="K1223" s="38"/>
      <c r="L1223" s="38">
        <f t="shared" si="19"/>
        <v>0</v>
      </c>
    </row>
    <row r="1224" spans="1:12" ht="14.5" x14ac:dyDescent="0.35">
      <c r="A1224" s="45" t="s">
        <v>3799</v>
      </c>
      <c r="B1224" s="45" t="s">
        <v>3799</v>
      </c>
      <c r="C1224" s="55">
        <v>45880</v>
      </c>
      <c r="D1224" s="45" t="s">
        <v>422</v>
      </c>
      <c r="E1224" s="45" t="s">
        <v>3681</v>
      </c>
      <c r="G1224" s="38">
        <v>313.18999999999988</v>
      </c>
      <c r="H1224" s="38">
        <v>313.19</v>
      </c>
      <c r="K1224" s="38"/>
      <c r="L1224" s="38">
        <f t="shared" si="19"/>
        <v>0</v>
      </c>
    </row>
    <row r="1225" spans="1:12" ht="14.5" x14ac:dyDescent="0.35">
      <c r="A1225" s="45" t="s">
        <v>3799</v>
      </c>
      <c r="B1225" s="45" t="s">
        <v>3799</v>
      </c>
      <c r="C1225" s="55">
        <v>45880</v>
      </c>
      <c r="D1225" s="45" t="s">
        <v>422</v>
      </c>
      <c r="E1225" s="45" t="s">
        <v>3728</v>
      </c>
      <c r="G1225" s="38">
        <v>172.99999999999997</v>
      </c>
      <c r="H1225" s="38">
        <v>173</v>
      </c>
      <c r="K1225" s="38"/>
      <c r="L1225" s="38">
        <f t="shared" si="19"/>
        <v>0</v>
      </c>
    </row>
    <row r="1226" spans="1:12" ht="14.5" x14ac:dyDescent="0.35">
      <c r="A1226" s="45" t="s">
        <v>3799</v>
      </c>
      <c r="B1226" s="45" t="s">
        <v>3799</v>
      </c>
      <c r="C1226" s="55">
        <v>45880</v>
      </c>
      <c r="D1226" s="45" t="s">
        <v>422</v>
      </c>
      <c r="E1226" s="45" t="s">
        <v>3913</v>
      </c>
      <c r="G1226" s="38">
        <v>170</v>
      </c>
      <c r="H1226" s="38">
        <v>170</v>
      </c>
      <c r="K1226" s="38"/>
      <c r="L1226" s="38">
        <f t="shared" si="19"/>
        <v>0</v>
      </c>
    </row>
    <row r="1227" spans="1:12" ht="14.5" x14ac:dyDescent="0.35">
      <c r="A1227" s="45" t="s">
        <v>3799</v>
      </c>
      <c r="B1227" s="45" t="s">
        <v>3799</v>
      </c>
      <c r="C1227" s="55">
        <v>45880</v>
      </c>
      <c r="D1227" s="45" t="s">
        <v>422</v>
      </c>
      <c r="E1227" s="45" t="s">
        <v>3619</v>
      </c>
      <c r="G1227" s="38">
        <v>218</v>
      </c>
      <c r="H1227" s="38">
        <v>218</v>
      </c>
      <c r="K1227" s="38"/>
      <c r="L1227" s="38">
        <f t="shared" si="19"/>
        <v>0</v>
      </c>
    </row>
    <row r="1228" spans="1:12" ht="14.5" x14ac:dyDescent="0.35">
      <c r="A1228" s="45" t="s">
        <v>3799</v>
      </c>
      <c r="B1228" s="45" t="s">
        <v>3799</v>
      </c>
      <c r="C1228" s="55">
        <v>45880</v>
      </c>
      <c r="D1228" s="45" t="s">
        <v>66</v>
      </c>
      <c r="E1228" s="45" t="s">
        <v>3914</v>
      </c>
      <c r="G1228" s="38">
        <v>204.8</v>
      </c>
      <c r="H1228" s="38">
        <v>204.8</v>
      </c>
      <c r="K1228" s="38"/>
      <c r="L1228" s="38">
        <f t="shared" si="19"/>
        <v>0</v>
      </c>
    </row>
    <row r="1229" spans="1:12" ht="14.5" x14ac:dyDescent="0.35">
      <c r="A1229" s="45" t="s">
        <v>3799</v>
      </c>
      <c r="B1229" s="45" t="s">
        <v>3799</v>
      </c>
      <c r="C1229" s="55">
        <v>45880</v>
      </c>
      <c r="D1229" s="45" t="s">
        <v>422</v>
      </c>
      <c r="E1229" s="45" t="s">
        <v>3915</v>
      </c>
      <c r="G1229" s="38">
        <v>127.5</v>
      </c>
      <c r="H1229" s="38">
        <v>127.5</v>
      </c>
      <c r="K1229" s="38"/>
      <c r="L1229" s="38">
        <f t="shared" si="19"/>
        <v>0</v>
      </c>
    </row>
    <row r="1230" spans="1:12" ht="14.5" x14ac:dyDescent="0.35">
      <c r="A1230" s="45" t="s">
        <v>3799</v>
      </c>
      <c r="B1230" s="45" t="s">
        <v>3799</v>
      </c>
      <c r="C1230" s="55">
        <v>45880</v>
      </c>
      <c r="D1230" s="45" t="s">
        <v>422</v>
      </c>
      <c r="E1230" s="45" t="s">
        <v>3729</v>
      </c>
      <c r="G1230" s="38">
        <v>337</v>
      </c>
      <c r="H1230" s="38">
        <v>337</v>
      </c>
      <c r="K1230" s="38"/>
      <c r="L1230" s="38">
        <f t="shared" si="19"/>
        <v>0</v>
      </c>
    </row>
    <row r="1231" spans="1:12" ht="14.5" x14ac:dyDescent="0.35">
      <c r="A1231" s="45" t="s">
        <v>3799</v>
      </c>
      <c r="B1231" s="45" t="s">
        <v>3799</v>
      </c>
      <c r="C1231" s="55">
        <v>45880</v>
      </c>
      <c r="D1231" s="45" t="s">
        <v>422</v>
      </c>
      <c r="E1231" s="45" t="s">
        <v>3730</v>
      </c>
      <c r="G1231" s="38">
        <v>43</v>
      </c>
      <c r="H1231" s="38">
        <v>43</v>
      </c>
      <c r="K1231" s="38"/>
      <c r="L1231" s="38">
        <f t="shared" si="19"/>
        <v>0</v>
      </c>
    </row>
    <row r="1232" spans="1:12" ht="14.5" x14ac:dyDescent="0.35">
      <c r="A1232" s="45" t="s">
        <v>3799</v>
      </c>
      <c r="B1232" s="45" t="s">
        <v>3799</v>
      </c>
      <c r="C1232" s="55">
        <v>45880</v>
      </c>
      <c r="D1232" s="45" t="s">
        <v>422</v>
      </c>
      <c r="E1232" s="45" t="s">
        <v>3759</v>
      </c>
      <c r="G1232" s="38">
        <v>237.50000000000003</v>
      </c>
      <c r="H1232" s="38">
        <v>237.5</v>
      </c>
      <c r="K1232" s="38"/>
      <c r="L1232" s="38">
        <f t="shared" si="19"/>
        <v>0</v>
      </c>
    </row>
    <row r="1233" spans="1:12" ht="14.5" x14ac:dyDescent="0.35">
      <c r="A1233" s="45" t="s">
        <v>3799</v>
      </c>
      <c r="B1233" s="45" t="s">
        <v>3799</v>
      </c>
      <c r="C1233" s="55">
        <v>45880</v>
      </c>
      <c r="D1233" s="45" t="s">
        <v>66</v>
      </c>
      <c r="E1233" s="45" t="s">
        <v>3916</v>
      </c>
      <c r="G1233" s="38">
        <v>204.8</v>
      </c>
      <c r="H1233" s="38">
        <v>204.8</v>
      </c>
      <c r="K1233" s="38"/>
      <c r="L1233" s="38">
        <f t="shared" si="19"/>
        <v>0</v>
      </c>
    </row>
    <row r="1234" spans="1:12" ht="14.5" x14ac:dyDescent="0.35">
      <c r="A1234" s="45" t="s">
        <v>3799</v>
      </c>
      <c r="B1234" s="45" t="s">
        <v>3799</v>
      </c>
      <c r="C1234" s="55">
        <v>45880</v>
      </c>
      <c r="D1234" s="45" t="s">
        <v>66</v>
      </c>
      <c r="E1234" s="45" t="s">
        <v>3917</v>
      </c>
      <c r="G1234" s="38">
        <v>204.79999999999998</v>
      </c>
      <c r="H1234" s="38">
        <v>204.8</v>
      </c>
      <c r="K1234" s="38"/>
      <c r="L1234" s="38">
        <f t="shared" si="19"/>
        <v>0</v>
      </c>
    </row>
    <row r="1235" spans="1:12" ht="14.5" x14ac:dyDescent="0.35">
      <c r="A1235" s="45" t="s">
        <v>3799</v>
      </c>
      <c r="B1235" s="45" t="s">
        <v>3799</v>
      </c>
      <c r="C1235" s="55">
        <v>45880</v>
      </c>
      <c r="D1235" s="45" t="s">
        <v>422</v>
      </c>
      <c r="E1235" s="45" t="s">
        <v>3731</v>
      </c>
      <c r="G1235" s="38">
        <v>192</v>
      </c>
      <c r="H1235" s="38">
        <v>192</v>
      </c>
      <c r="K1235" s="38"/>
      <c r="L1235" s="38">
        <f t="shared" si="19"/>
        <v>0</v>
      </c>
    </row>
    <row r="1236" spans="1:12" ht="14.5" x14ac:dyDescent="0.35">
      <c r="A1236" s="45" t="s">
        <v>3799</v>
      </c>
      <c r="B1236" s="45" t="s">
        <v>3799</v>
      </c>
      <c r="C1236" s="55">
        <v>45880</v>
      </c>
      <c r="D1236" s="45" t="s">
        <v>422</v>
      </c>
      <c r="E1236" s="45" t="s">
        <v>3732</v>
      </c>
      <c r="G1236" s="38">
        <v>173.44</v>
      </c>
      <c r="H1236" s="38">
        <v>173.44</v>
      </c>
      <c r="K1236" s="38"/>
      <c r="L1236" s="38">
        <f t="shared" si="19"/>
        <v>0</v>
      </c>
    </row>
    <row r="1237" spans="1:12" ht="14.5" x14ac:dyDescent="0.35">
      <c r="A1237" s="45" t="s">
        <v>3799</v>
      </c>
      <c r="B1237" s="45" t="s">
        <v>3799</v>
      </c>
      <c r="C1237" s="55">
        <v>45880</v>
      </c>
      <c r="D1237" s="45" t="s">
        <v>422</v>
      </c>
      <c r="E1237" s="45" t="s">
        <v>3683</v>
      </c>
      <c r="G1237" s="38">
        <v>174.44</v>
      </c>
      <c r="H1237" s="38">
        <v>174.44</v>
      </c>
      <c r="K1237" s="38"/>
      <c r="L1237" s="38">
        <f t="shared" si="19"/>
        <v>0</v>
      </c>
    </row>
    <row r="1238" spans="1:12" ht="14.5" x14ac:dyDescent="0.35">
      <c r="A1238" s="45" t="s">
        <v>3799</v>
      </c>
      <c r="B1238" s="45" t="s">
        <v>3799</v>
      </c>
      <c r="C1238" s="55">
        <v>45880</v>
      </c>
      <c r="D1238" s="45" t="s">
        <v>422</v>
      </c>
      <c r="E1238" s="45" t="s">
        <v>3733</v>
      </c>
      <c r="G1238" s="38">
        <v>173.44</v>
      </c>
      <c r="H1238" s="38">
        <v>173.44</v>
      </c>
      <c r="K1238" s="38"/>
      <c r="L1238" s="38">
        <f t="shared" si="19"/>
        <v>0</v>
      </c>
    </row>
    <row r="1239" spans="1:12" ht="14.5" x14ac:dyDescent="0.35">
      <c r="A1239" s="45" t="s">
        <v>3799</v>
      </c>
      <c r="B1239" s="45" t="s">
        <v>3799</v>
      </c>
      <c r="C1239" s="55">
        <v>45880</v>
      </c>
      <c r="D1239" s="45" t="s">
        <v>422</v>
      </c>
      <c r="E1239" s="45" t="s">
        <v>3734</v>
      </c>
      <c r="G1239" s="38">
        <v>86</v>
      </c>
      <c r="H1239" s="38">
        <v>86</v>
      </c>
      <c r="K1239" s="38"/>
      <c r="L1239" s="38">
        <f t="shared" si="19"/>
        <v>0</v>
      </c>
    </row>
    <row r="1240" spans="1:12" ht="14.5" x14ac:dyDescent="0.35">
      <c r="A1240" s="45" t="s">
        <v>3799</v>
      </c>
      <c r="B1240" s="45" t="s">
        <v>3799</v>
      </c>
      <c r="C1240" s="55">
        <v>45880</v>
      </c>
      <c r="D1240" s="45" t="s">
        <v>422</v>
      </c>
      <c r="E1240" s="45" t="s">
        <v>3735</v>
      </c>
      <c r="G1240" s="38">
        <v>173</v>
      </c>
      <c r="H1240" s="38">
        <v>173</v>
      </c>
      <c r="K1240" s="38"/>
      <c r="L1240" s="38">
        <f t="shared" si="19"/>
        <v>0</v>
      </c>
    </row>
    <row r="1241" spans="1:12" ht="14.5" x14ac:dyDescent="0.35">
      <c r="A1241" s="45" t="s">
        <v>3799</v>
      </c>
      <c r="B1241" s="45" t="s">
        <v>3799</v>
      </c>
      <c r="C1241" s="55">
        <v>45880</v>
      </c>
      <c r="D1241" s="45" t="s">
        <v>66</v>
      </c>
      <c r="E1241" s="45" t="s">
        <v>3918</v>
      </c>
      <c r="G1241" s="38">
        <v>409.59999999999997</v>
      </c>
      <c r="H1241" s="38">
        <v>409.6</v>
      </c>
      <c r="K1241" s="38"/>
      <c r="L1241" s="38">
        <f t="shared" si="19"/>
        <v>0</v>
      </c>
    </row>
    <row r="1242" spans="1:12" ht="14.5" x14ac:dyDescent="0.35">
      <c r="A1242" s="45" t="s">
        <v>3799</v>
      </c>
      <c r="B1242" s="45" t="s">
        <v>3799</v>
      </c>
      <c r="C1242" s="55">
        <v>45880</v>
      </c>
      <c r="D1242" s="45" t="s">
        <v>422</v>
      </c>
      <c r="E1242" s="45" t="s">
        <v>3736</v>
      </c>
      <c r="G1242" s="38">
        <v>173</v>
      </c>
      <c r="H1242" s="38">
        <v>173</v>
      </c>
      <c r="K1242" s="38"/>
      <c r="L1242" s="38">
        <f t="shared" si="19"/>
        <v>0</v>
      </c>
    </row>
    <row r="1243" spans="1:12" ht="14.5" x14ac:dyDescent="0.35">
      <c r="A1243" s="45" t="s">
        <v>3799</v>
      </c>
      <c r="B1243" s="45" t="s">
        <v>3799</v>
      </c>
      <c r="C1243" s="55">
        <v>45880</v>
      </c>
      <c r="D1243" s="45" t="s">
        <v>933</v>
      </c>
      <c r="E1243" s="45" t="s">
        <v>946</v>
      </c>
      <c r="G1243" s="38">
        <v>788.74999999999989</v>
      </c>
      <c r="H1243" s="38">
        <v>788.75</v>
      </c>
      <c r="K1243" s="38"/>
      <c r="L1243" s="38">
        <f t="shared" si="19"/>
        <v>0</v>
      </c>
    </row>
    <row r="1244" spans="1:12" ht="14.5" x14ac:dyDescent="0.35">
      <c r="A1244" s="45" t="s">
        <v>3799</v>
      </c>
      <c r="B1244" s="45" t="s">
        <v>3799</v>
      </c>
      <c r="C1244" s="55">
        <v>45880</v>
      </c>
      <c r="D1244" s="45" t="s">
        <v>422</v>
      </c>
      <c r="E1244" s="45" t="s">
        <v>3738</v>
      </c>
      <c r="G1244" s="38">
        <v>173.43999999999997</v>
      </c>
      <c r="H1244" s="38">
        <v>173.44</v>
      </c>
      <c r="K1244" s="38"/>
      <c r="L1244" s="38">
        <f t="shared" si="19"/>
        <v>0</v>
      </c>
    </row>
    <row r="1245" spans="1:12" ht="14.5" x14ac:dyDescent="0.35">
      <c r="A1245" s="45" t="s">
        <v>3799</v>
      </c>
      <c r="B1245" s="45" t="s">
        <v>3799</v>
      </c>
      <c r="C1245" s="55">
        <v>45880</v>
      </c>
      <c r="D1245" s="45" t="s">
        <v>422</v>
      </c>
      <c r="E1245" s="45" t="s">
        <v>3919</v>
      </c>
      <c r="G1245" s="38">
        <v>67.78</v>
      </c>
      <c r="H1245" s="38">
        <v>67.78</v>
      </c>
      <c r="K1245" s="38"/>
      <c r="L1245" s="38">
        <f t="shared" si="19"/>
        <v>0</v>
      </c>
    </row>
    <row r="1246" spans="1:12" ht="14.5" x14ac:dyDescent="0.35">
      <c r="A1246" s="45" t="s">
        <v>3799</v>
      </c>
      <c r="B1246" s="45" t="s">
        <v>3799</v>
      </c>
      <c r="C1246" s="55">
        <v>45880</v>
      </c>
      <c r="D1246" s="45" t="s">
        <v>422</v>
      </c>
      <c r="E1246" s="45" t="s">
        <v>3621</v>
      </c>
      <c r="G1246" s="38">
        <v>114.78</v>
      </c>
      <c r="H1246" s="38">
        <v>114.78</v>
      </c>
      <c r="K1246" s="38"/>
      <c r="L1246" s="38">
        <f t="shared" si="19"/>
        <v>0</v>
      </c>
    </row>
    <row r="1247" spans="1:12" ht="14.5" x14ac:dyDescent="0.35">
      <c r="A1247" s="45" t="s">
        <v>3799</v>
      </c>
      <c r="B1247" s="45" t="s">
        <v>3799</v>
      </c>
      <c r="C1247" s="55">
        <v>45880</v>
      </c>
      <c r="D1247" s="45" t="s">
        <v>422</v>
      </c>
      <c r="E1247" s="45" t="s">
        <v>3740</v>
      </c>
      <c r="G1247" s="38">
        <v>174.44</v>
      </c>
      <c r="H1247" s="38">
        <v>174.44</v>
      </c>
      <c r="K1247" s="38"/>
      <c r="L1247" s="38">
        <f t="shared" si="19"/>
        <v>0</v>
      </c>
    </row>
    <row r="1248" spans="1:12" ht="14.5" x14ac:dyDescent="0.35">
      <c r="A1248" s="45" t="s">
        <v>3799</v>
      </c>
      <c r="B1248" s="45" t="s">
        <v>3799</v>
      </c>
      <c r="C1248" s="55">
        <v>45880</v>
      </c>
      <c r="D1248" s="45" t="s">
        <v>422</v>
      </c>
      <c r="E1248" s="45" t="s">
        <v>573</v>
      </c>
      <c r="G1248" s="38">
        <v>67.759999999999991</v>
      </c>
      <c r="H1248" s="38">
        <v>67.760000000000005</v>
      </c>
      <c r="K1248" s="38"/>
      <c r="L1248" s="38">
        <f t="shared" si="19"/>
        <v>0</v>
      </c>
    </row>
    <row r="1249" spans="1:12" ht="14.5" x14ac:dyDescent="0.35">
      <c r="A1249" s="45" t="s">
        <v>3799</v>
      </c>
      <c r="B1249" s="45" t="s">
        <v>3799</v>
      </c>
      <c r="C1249" s="55">
        <v>45880</v>
      </c>
      <c r="D1249" s="45" t="s">
        <v>422</v>
      </c>
      <c r="E1249" s="45" t="s">
        <v>3920</v>
      </c>
      <c r="G1249" s="38">
        <v>67.78</v>
      </c>
      <c r="H1249" s="38">
        <v>67.78</v>
      </c>
      <c r="K1249" s="38"/>
      <c r="L1249" s="38">
        <f t="shared" si="19"/>
        <v>0</v>
      </c>
    </row>
    <row r="1250" spans="1:12" ht="14.5" x14ac:dyDescent="0.35">
      <c r="A1250" s="45" t="s">
        <v>3799</v>
      </c>
      <c r="B1250" s="45" t="s">
        <v>3799</v>
      </c>
      <c r="C1250" s="55">
        <v>45880</v>
      </c>
      <c r="D1250" s="45" t="s">
        <v>422</v>
      </c>
      <c r="E1250" s="45" t="s">
        <v>3921</v>
      </c>
      <c r="G1250" s="38">
        <v>67.78</v>
      </c>
      <c r="H1250" s="38">
        <v>67.78</v>
      </c>
      <c r="K1250" s="38"/>
      <c r="L1250" s="38">
        <f t="shared" si="19"/>
        <v>0</v>
      </c>
    </row>
    <row r="1251" spans="1:12" ht="14.5" x14ac:dyDescent="0.35">
      <c r="A1251" s="45" t="s">
        <v>3799</v>
      </c>
      <c r="B1251" s="45" t="s">
        <v>3799</v>
      </c>
      <c r="C1251" s="55">
        <v>45880</v>
      </c>
      <c r="D1251" s="45" t="s">
        <v>66</v>
      </c>
      <c r="E1251" s="45" t="s">
        <v>3922</v>
      </c>
      <c r="G1251" s="38">
        <v>853.62000000000035</v>
      </c>
      <c r="H1251" s="38">
        <v>853.62</v>
      </c>
      <c r="K1251" s="38"/>
      <c r="L1251" s="38">
        <f t="shared" si="19"/>
        <v>0</v>
      </c>
    </row>
    <row r="1252" spans="1:12" ht="14.5" x14ac:dyDescent="0.35">
      <c r="A1252" s="45" t="s">
        <v>3799</v>
      </c>
      <c r="B1252" s="45" t="s">
        <v>3799</v>
      </c>
      <c r="C1252" s="55">
        <v>45880</v>
      </c>
      <c r="D1252" s="45" t="s">
        <v>66</v>
      </c>
      <c r="E1252" s="45" t="s">
        <v>3923</v>
      </c>
      <c r="G1252" s="38">
        <v>855.48</v>
      </c>
      <c r="H1252" s="38">
        <v>855.48</v>
      </c>
      <c r="K1252" s="38"/>
      <c r="L1252" s="38">
        <f t="shared" si="19"/>
        <v>0</v>
      </c>
    </row>
    <row r="1253" spans="1:12" ht="14.5" x14ac:dyDescent="0.35">
      <c r="A1253" s="45" t="s">
        <v>3799</v>
      </c>
      <c r="B1253" s="45" t="s">
        <v>3799</v>
      </c>
      <c r="C1253" s="55">
        <v>45880</v>
      </c>
      <c r="D1253" s="45" t="s">
        <v>422</v>
      </c>
      <c r="E1253" s="45" t="s">
        <v>3749</v>
      </c>
      <c r="G1253" s="38">
        <v>173.44</v>
      </c>
      <c r="H1253" s="38">
        <v>173.44</v>
      </c>
      <c r="K1253" s="38"/>
      <c r="L1253" s="38">
        <f t="shared" si="19"/>
        <v>0</v>
      </c>
    </row>
    <row r="1254" spans="1:12" ht="14.5" x14ac:dyDescent="0.35">
      <c r="A1254" s="45" t="s">
        <v>3799</v>
      </c>
      <c r="B1254" s="45" t="s">
        <v>3799</v>
      </c>
      <c r="C1254" s="55">
        <v>45880</v>
      </c>
      <c r="D1254" s="45" t="s">
        <v>422</v>
      </c>
      <c r="E1254" s="45" t="s">
        <v>3752</v>
      </c>
      <c r="G1254" s="38">
        <v>173</v>
      </c>
      <c r="H1254" s="38">
        <v>173</v>
      </c>
      <c r="K1254" s="38"/>
      <c r="L1254" s="38">
        <f t="shared" si="19"/>
        <v>0</v>
      </c>
    </row>
    <row r="1255" spans="1:12" ht="14.5" x14ac:dyDescent="0.35">
      <c r="A1255" s="45" t="s">
        <v>3799</v>
      </c>
      <c r="B1255" s="45" t="s">
        <v>3799</v>
      </c>
      <c r="C1255" s="55">
        <v>45880</v>
      </c>
      <c r="D1255" s="45" t="s">
        <v>422</v>
      </c>
      <c r="E1255" s="45" t="s">
        <v>3924</v>
      </c>
      <c r="G1255" s="38">
        <v>67.78</v>
      </c>
      <c r="H1255" s="38">
        <v>67.78</v>
      </c>
      <c r="K1255" s="38"/>
      <c r="L1255" s="38">
        <f t="shared" si="19"/>
        <v>0</v>
      </c>
    </row>
    <row r="1256" spans="1:12" ht="14.5" x14ac:dyDescent="0.35">
      <c r="A1256" s="45" t="s">
        <v>3799</v>
      </c>
      <c r="B1256" s="45" t="s">
        <v>3799</v>
      </c>
      <c r="C1256" s="55">
        <v>45880</v>
      </c>
      <c r="D1256" s="45" t="s">
        <v>422</v>
      </c>
      <c r="E1256" s="45" t="s">
        <v>3925</v>
      </c>
      <c r="G1256" s="38">
        <v>67.78</v>
      </c>
      <c r="H1256" s="38">
        <v>67.78</v>
      </c>
      <c r="K1256" s="38"/>
      <c r="L1256" s="38">
        <f t="shared" si="19"/>
        <v>0</v>
      </c>
    </row>
    <row r="1257" spans="1:12" ht="14.5" x14ac:dyDescent="0.35">
      <c r="A1257" s="45" t="s">
        <v>3799</v>
      </c>
      <c r="B1257" s="45" t="s">
        <v>3799</v>
      </c>
      <c r="C1257" s="55">
        <v>45880</v>
      </c>
      <c r="D1257" s="45" t="s">
        <v>422</v>
      </c>
      <c r="E1257" s="45" t="s">
        <v>3755</v>
      </c>
      <c r="G1257" s="38">
        <v>173.44</v>
      </c>
      <c r="H1257" s="38">
        <v>173.44</v>
      </c>
      <c r="K1257" s="38"/>
      <c r="L1257" s="38">
        <f t="shared" si="19"/>
        <v>0</v>
      </c>
    </row>
    <row r="1258" spans="1:12" ht="14.5" x14ac:dyDescent="0.35">
      <c r="A1258" s="45" t="s">
        <v>3799</v>
      </c>
      <c r="B1258" s="45" t="s">
        <v>3799</v>
      </c>
      <c r="C1258" s="55">
        <v>45880</v>
      </c>
      <c r="D1258" s="45" t="s">
        <v>422</v>
      </c>
      <c r="E1258" s="45" t="s">
        <v>3926</v>
      </c>
      <c r="G1258" s="38">
        <v>305.56</v>
      </c>
      <c r="H1258" s="38">
        <v>305.56</v>
      </c>
      <c r="K1258" s="38"/>
      <c r="L1258" s="38">
        <f t="shared" si="19"/>
        <v>0</v>
      </c>
    </row>
    <row r="1259" spans="1:12" ht="14.5" x14ac:dyDescent="0.35">
      <c r="A1259" s="45" t="s">
        <v>3799</v>
      </c>
      <c r="B1259" s="45" t="s">
        <v>3799</v>
      </c>
      <c r="C1259" s="55">
        <v>45880</v>
      </c>
      <c r="D1259" s="45" t="s">
        <v>422</v>
      </c>
      <c r="E1259" s="45" t="s">
        <v>3688</v>
      </c>
      <c r="G1259" s="38">
        <v>313.19</v>
      </c>
      <c r="H1259" s="38">
        <v>313.19</v>
      </c>
      <c r="K1259" s="38"/>
      <c r="L1259" s="38">
        <f t="shared" si="19"/>
        <v>0</v>
      </c>
    </row>
    <row r="1260" spans="1:12" ht="14.5" x14ac:dyDescent="0.35">
      <c r="A1260" s="45" t="s">
        <v>3799</v>
      </c>
      <c r="B1260" s="45" t="s">
        <v>3799</v>
      </c>
      <c r="C1260" s="55">
        <v>45880</v>
      </c>
      <c r="D1260" s="45" t="s">
        <v>422</v>
      </c>
      <c r="E1260" s="45" t="s">
        <v>3756</v>
      </c>
      <c r="G1260" s="38">
        <v>173.00000000000003</v>
      </c>
      <c r="H1260" s="38">
        <v>173</v>
      </c>
      <c r="K1260" s="38"/>
      <c r="L1260" s="38">
        <f t="shared" si="19"/>
        <v>0</v>
      </c>
    </row>
    <row r="1261" spans="1:12" ht="14.5" x14ac:dyDescent="0.35">
      <c r="A1261" s="45" t="s">
        <v>3799</v>
      </c>
      <c r="B1261" s="45" t="s">
        <v>3799</v>
      </c>
      <c r="C1261" s="55">
        <v>45880</v>
      </c>
      <c r="D1261" s="45" t="s">
        <v>422</v>
      </c>
      <c r="E1261" s="45" t="s">
        <v>3757</v>
      </c>
      <c r="G1261" s="38">
        <v>43</v>
      </c>
      <c r="H1261" s="38">
        <v>43</v>
      </c>
      <c r="K1261" s="38"/>
      <c r="L1261" s="38">
        <f t="shared" si="19"/>
        <v>0</v>
      </c>
    </row>
    <row r="1262" spans="1:12" ht="14.5" x14ac:dyDescent="0.35">
      <c r="A1262" s="45" t="s">
        <v>3799</v>
      </c>
      <c r="B1262" s="45" t="s">
        <v>3799</v>
      </c>
      <c r="C1262" s="55">
        <v>45880</v>
      </c>
      <c r="D1262" s="45" t="s">
        <v>66</v>
      </c>
      <c r="E1262" s="45" t="s">
        <v>3927</v>
      </c>
      <c r="G1262" s="38">
        <v>1705</v>
      </c>
      <c r="H1262" s="38">
        <v>1705</v>
      </c>
      <c r="K1262" s="38"/>
      <c r="L1262" s="38">
        <f t="shared" si="19"/>
        <v>0</v>
      </c>
    </row>
    <row r="1263" spans="1:12" ht="14.5" x14ac:dyDescent="0.35">
      <c r="A1263" s="45" t="s">
        <v>3799</v>
      </c>
      <c r="B1263" s="45" t="s">
        <v>3799</v>
      </c>
      <c r="C1263" s="55">
        <v>45880</v>
      </c>
      <c r="D1263" s="45" t="s">
        <v>422</v>
      </c>
      <c r="E1263" s="45" t="s">
        <v>3764</v>
      </c>
      <c r="G1263" s="38">
        <v>173</v>
      </c>
      <c r="H1263" s="38">
        <v>173</v>
      </c>
      <c r="K1263" s="38"/>
      <c r="L1263" s="38">
        <f t="shared" si="19"/>
        <v>0</v>
      </c>
    </row>
    <row r="1264" spans="1:12" ht="14.5" x14ac:dyDescent="0.35">
      <c r="A1264" s="45" t="s">
        <v>3799</v>
      </c>
      <c r="B1264" s="45" t="s">
        <v>3799</v>
      </c>
      <c r="C1264" s="55">
        <v>45880</v>
      </c>
      <c r="D1264" s="45" t="s">
        <v>422</v>
      </c>
      <c r="E1264" s="45" t="s">
        <v>3689</v>
      </c>
      <c r="G1264" s="38">
        <v>163</v>
      </c>
      <c r="H1264" s="38">
        <v>163</v>
      </c>
      <c r="K1264" s="38"/>
      <c r="L1264" s="38">
        <f t="shared" si="19"/>
        <v>0</v>
      </c>
    </row>
    <row r="1265" spans="1:12" ht="14.5" x14ac:dyDescent="0.35">
      <c r="A1265" s="45" t="s">
        <v>3799</v>
      </c>
      <c r="B1265" s="45" t="s">
        <v>3799</v>
      </c>
      <c r="C1265" s="55">
        <v>45880</v>
      </c>
      <c r="D1265" s="45" t="s">
        <v>422</v>
      </c>
      <c r="E1265" s="45" t="s">
        <v>3772</v>
      </c>
      <c r="G1265" s="38">
        <v>173</v>
      </c>
      <c r="H1265" s="38">
        <v>173</v>
      </c>
      <c r="K1265" s="38"/>
      <c r="L1265" s="38">
        <f t="shared" si="19"/>
        <v>0</v>
      </c>
    </row>
    <row r="1266" spans="1:12" ht="14.5" x14ac:dyDescent="0.35">
      <c r="A1266" s="45" t="s">
        <v>3799</v>
      </c>
      <c r="B1266" s="45" t="s">
        <v>3799</v>
      </c>
      <c r="C1266" s="55">
        <v>45880</v>
      </c>
      <c r="D1266" s="45" t="s">
        <v>422</v>
      </c>
      <c r="E1266" s="45" t="s">
        <v>3690</v>
      </c>
      <c r="G1266" s="38">
        <v>176.52</v>
      </c>
      <c r="H1266" s="38">
        <v>176.52</v>
      </c>
      <c r="K1266" s="38"/>
      <c r="L1266" s="38">
        <f t="shared" si="19"/>
        <v>0</v>
      </c>
    </row>
    <row r="1267" spans="1:12" ht="14.5" x14ac:dyDescent="0.35">
      <c r="A1267" s="45" t="s">
        <v>3799</v>
      </c>
      <c r="B1267" s="45" t="s">
        <v>3799</v>
      </c>
      <c r="C1267" s="55">
        <v>45880</v>
      </c>
      <c r="D1267" s="45" t="s">
        <v>422</v>
      </c>
      <c r="E1267" s="45" t="s">
        <v>3778</v>
      </c>
      <c r="G1267" s="38">
        <v>48</v>
      </c>
      <c r="H1267" s="38">
        <v>48</v>
      </c>
      <c r="K1267" s="38"/>
      <c r="L1267" s="38">
        <f t="shared" si="19"/>
        <v>0</v>
      </c>
    </row>
    <row r="1268" spans="1:12" ht="14.5" x14ac:dyDescent="0.35">
      <c r="A1268" s="45" t="s">
        <v>3799</v>
      </c>
      <c r="B1268" s="45" t="s">
        <v>3799</v>
      </c>
      <c r="C1268" s="55">
        <v>45880</v>
      </c>
      <c r="D1268" s="45" t="s">
        <v>324</v>
      </c>
      <c r="E1268" s="45" t="s">
        <v>3928</v>
      </c>
      <c r="G1268" s="38">
        <v>130.09</v>
      </c>
      <c r="H1268" s="38">
        <v>0</v>
      </c>
      <c r="K1268" s="38"/>
      <c r="L1268" s="38">
        <f t="shared" si="19"/>
        <v>130.09</v>
      </c>
    </row>
    <row r="1269" spans="1:12" ht="14.5" x14ac:dyDescent="0.35">
      <c r="A1269" s="45" t="s">
        <v>3799</v>
      </c>
      <c r="B1269" s="45" t="s">
        <v>3799</v>
      </c>
      <c r="C1269" s="55">
        <v>45881</v>
      </c>
      <c r="D1269" s="45" t="s">
        <v>803</v>
      </c>
      <c r="E1269" s="45" t="s">
        <v>3655</v>
      </c>
      <c r="G1269" s="38">
        <v>5079.0799999999981</v>
      </c>
      <c r="H1269" s="38">
        <v>5001</v>
      </c>
      <c r="K1269" s="38"/>
      <c r="L1269" s="38">
        <f t="shared" si="19"/>
        <v>78.079999999998108</v>
      </c>
    </row>
    <row r="1270" spans="1:12" ht="14.5" x14ac:dyDescent="0.35">
      <c r="A1270" s="45" t="s">
        <v>3799</v>
      </c>
      <c r="B1270" s="45" t="s">
        <v>3799</v>
      </c>
      <c r="C1270" s="55">
        <v>45881</v>
      </c>
      <c r="D1270" s="45" t="s">
        <v>3929</v>
      </c>
      <c r="E1270" s="45" t="s">
        <v>3930</v>
      </c>
      <c r="G1270" s="38">
        <v>195</v>
      </c>
      <c r="H1270" s="38">
        <v>195</v>
      </c>
      <c r="K1270" s="38"/>
      <c r="L1270" s="38">
        <f t="shared" si="19"/>
        <v>0</v>
      </c>
    </row>
    <row r="1271" spans="1:12" ht="14.5" x14ac:dyDescent="0.35">
      <c r="A1271" s="45" t="s">
        <v>3799</v>
      </c>
      <c r="B1271" s="45" t="s">
        <v>3799</v>
      </c>
      <c r="C1271" s="55">
        <v>45881</v>
      </c>
      <c r="D1271" s="45" t="s">
        <v>421</v>
      </c>
      <c r="E1271" s="45" t="s">
        <v>3931</v>
      </c>
      <c r="G1271" s="38">
        <v>262.5</v>
      </c>
      <c r="H1271" s="38">
        <v>262.5</v>
      </c>
      <c r="K1271" s="38"/>
      <c r="L1271" s="38">
        <f t="shared" si="19"/>
        <v>0</v>
      </c>
    </row>
    <row r="1272" spans="1:12" ht="14.5" x14ac:dyDescent="0.35">
      <c r="A1272" s="45" t="s">
        <v>3799</v>
      </c>
      <c r="B1272" s="45" t="s">
        <v>3799</v>
      </c>
      <c r="C1272" s="55">
        <v>45881</v>
      </c>
      <c r="D1272" s="45" t="s">
        <v>96</v>
      </c>
      <c r="E1272" s="45" t="s">
        <v>3605</v>
      </c>
      <c r="G1272" s="38">
        <v>902.69999999999993</v>
      </c>
      <c r="H1272" s="38">
        <v>902.7</v>
      </c>
      <c r="K1272" s="38"/>
      <c r="L1272" s="38">
        <f t="shared" ref="L1272:L1335" si="20">G1272-H1272</f>
        <v>0</v>
      </c>
    </row>
    <row r="1273" spans="1:12" ht="14.5" x14ac:dyDescent="0.35">
      <c r="A1273" s="45" t="s">
        <v>3799</v>
      </c>
      <c r="B1273" s="45" t="s">
        <v>3799</v>
      </c>
      <c r="C1273" s="55">
        <v>45881</v>
      </c>
      <c r="D1273" s="45" t="s">
        <v>421</v>
      </c>
      <c r="E1273" s="45" t="s">
        <v>3932</v>
      </c>
      <c r="G1273" s="38">
        <v>150</v>
      </c>
      <c r="H1273" s="38">
        <v>150</v>
      </c>
      <c r="K1273" s="38"/>
      <c r="L1273" s="38">
        <f t="shared" si="20"/>
        <v>0</v>
      </c>
    </row>
    <row r="1274" spans="1:12" ht="14.5" x14ac:dyDescent="0.35">
      <c r="A1274" s="45" t="s">
        <v>3799</v>
      </c>
      <c r="B1274" s="45" t="s">
        <v>3799</v>
      </c>
      <c r="C1274" s="55">
        <v>45881</v>
      </c>
      <c r="D1274" s="45" t="s">
        <v>96</v>
      </c>
      <c r="E1274" s="45" t="s">
        <v>3713</v>
      </c>
      <c r="G1274" s="38">
        <v>104.6</v>
      </c>
      <c r="H1274" s="38">
        <v>104.6</v>
      </c>
      <c r="K1274" s="38"/>
      <c r="L1274" s="38">
        <f t="shared" si="20"/>
        <v>0</v>
      </c>
    </row>
    <row r="1275" spans="1:12" ht="14.5" x14ac:dyDescent="0.35">
      <c r="A1275" s="45" t="s">
        <v>3799</v>
      </c>
      <c r="B1275" s="45" t="s">
        <v>3799</v>
      </c>
      <c r="C1275" s="55">
        <v>45881</v>
      </c>
      <c r="D1275" s="45" t="s">
        <v>882</v>
      </c>
      <c r="E1275" s="45">
        <v>72500017</v>
      </c>
      <c r="G1275" s="38">
        <v>105.1</v>
      </c>
      <c r="H1275" s="38">
        <v>105.1</v>
      </c>
      <c r="K1275" s="38"/>
      <c r="L1275" s="38">
        <f t="shared" si="20"/>
        <v>0</v>
      </c>
    </row>
    <row r="1276" spans="1:12" ht="14.5" x14ac:dyDescent="0.35">
      <c r="A1276" s="45" t="s">
        <v>3799</v>
      </c>
      <c r="B1276" s="45" t="s">
        <v>3799</v>
      </c>
      <c r="C1276" s="55">
        <v>45881</v>
      </c>
      <c r="D1276" s="45" t="s">
        <v>422</v>
      </c>
      <c r="E1276" s="45" t="s">
        <v>554</v>
      </c>
      <c r="G1276" s="38">
        <v>16.71</v>
      </c>
      <c r="H1276" s="38">
        <v>16.71</v>
      </c>
      <c r="K1276" s="38"/>
      <c r="L1276" s="38">
        <f t="shared" si="20"/>
        <v>0</v>
      </c>
    </row>
    <row r="1277" spans="1:12" ht="14.5" x14ac:dyDescent="0.35">
      <c r="A1277" s="45" t="s">
        <v>3799</v>
      </c>
      <c r="B1277" s="45" t="s">
        <v>3799</v>
      </c>
      <c r="C1277" s="55">
        <v>45881</v>
      </c>
      <c r="D1277" s="45" t="s">
        <v>3607</v>
      </c>
      <c r="E1277" s="45" t="s">
        <v>3608</v>
      </c>
      <c r="G1277" s="38">
        <v>1614.17</v>
      </c>
      <c r="H1277" s="38">
        <v>1614.17</v>
      </c>
      <c r="K1277" s="38"/>
      <c r="L1277" s="38">
        <f t="shared" si="20"/>
        <v>0</v>
      </c>
    </row>
    <row r="1278" spans="1:12" ht="14.5" x14ac:dyDescent="0.35">
      <c r="A1278" s="45" t="s">
        <v>3799</v>
      </c>
      <c r="B1278" s="45" t="s">
        <v>3799</v>
      </c>
      <c r="C1278" s="55">
        <v>45881</v>
      </c>
      <c r="D1278" s="45" t="s">
        <v>422</v>
      </c>
      <c r="E1278" s="45" t="s">
        <v>3933</v>
      </c>
      <c r="G1278" s="38">
        <v>16</v>
      </c>
      <c r="H1278" s="38">
        <v>16</v>
      </c>
      <c r="K1278" s="38"/>
      <c r="L1278" s="38">
        <f t="shared" si="20"/>
        <v>0</v>
      </c>
    </row>
    <row r="1279" spans="1:12" ht="14.5" x14ac:dyDescent="0.35">
      <c r="A1279" s="45" t="s">
        <v>3799</v>
      </c>
      <c r="B1279" s="45" t="s">
        <v>3799</v>
      </c>
      <c r="C1279" s="55">
        <v>45881</v>
      </c>
      <c r="D1279" s="45" t="s">
        <v>422</v>
      </c>
      <c r="E1279" s="45" t="s">
        <v>3934</v>
      </c>
      <c r="G1279" s="38">
        <v>15</v>
      </c>
      <c r="H1279" s="38">
        <v>15</v>
      </c>
      <c r="K1279" s="38"/>
      <c r="L1279" s="38">
        <f t="shared" si="20"/>
        <v>0</v>
      </c>
    </row>
    <row r="1280" spans="1:12" ht="14.5" x14ac:dyDescent="0.35">
      <c r="A1280" s="45" t="s">
        <v>3799</v>
      </c>
      <c r="B1280" s="45" t="s">
        <v>3799</v>
      </c>
      <c r="C1280" s="55">
        <v>45881</v>
      </c>
      <c r="D1280" s="45" t="s">
        <v>324</v>
      </c>
      <c r="E1280" s="45" t="s">
        <v>338</v>
      </c>
      <c r="G1280" s="38">
        <v>875.7</v>
      </c>
      <c r="H1280" s="38">
        <v>0</v>
      </c>
      <c r="K1280" s="38"/>
      <c r="L1280" s="38">
        <f t="shared" si="20"/>
        <v>875.7</v>
      </c>
    </row>
    <row r="1281" spans="1:12" ht="14.5" x14ac:dyDescent="0.35">
      <c r="A1281" s="45" t="s">
        <v>3799</v>
      </c>
      <c r="B1281" s="45" t="s">
        <v>3799</v>
      </c>
      <c r="C1281" s="55">
        <v>45881</v>
      </c>
      <c r="D1281" s="45" t="s">
        <v>324</v>
      </c>
      <c r="E1281" s="45" t="s">
        <v>3935</v>
      </c>
      <c r="G1281" s="38">
        <v>677.67000000000007</v>
      </c>
      <c r="H1281" s="38">
        <v>0</v>
      </c>
      <c r="K1281" s="38"/>
      <c r="L1281" s="38">
        <f t="shared" si="20"/>
        <v>677.67000000000007</v>
      </c>
    </row>
    <row r="1282" spans="1:12" ht="14.5" x14ac:dyDescent="0.35">
      <c r="A1282" s="45" t="s">
        <v>3799</v>
      </c>
      <c r="B1282" s="45" t="s">
        <v>3799</v>
      </c>
      <c r="C1282" s="55">
        <v>45881</v>
      </c>
      <c r="D1282" s="45" t="s">
        <v>324</v>
      </c>
      <c r="E1282" s="45" t="s">
        <v>3936</v>
      </c>
      <c r="G1282" s="38">
        <v>243</v>
      </c>
      <c r="H1282" s="38">
        <v>0</v>
      </c>
      <c r="K1282" s="38"/>
      <c r="L1282" s="38">
        <f t="shared" si="20"/>
        <v>243</v>
      </c>
    </row>
    <row r="1283" spans="1:12" ht="14.5" x14ac:dyDescent="0.35">
      <c r="A1283" s="45" t="s">
        <v>3799</v>
      </c>
      <c r="B1283" s="45" t="s">
        <v>3799</v>
      </c>
      <c r="C1283" s="55">
        <v>45881</v>
      </c>
      <c r="D1283" s="45" t="s">
        <v>324</v>
      </c>
      <c r="E1283" s="45" t="s">
        <v>3595</v>
      </c>
      <c r="G1283" s="38">
        <v>45</v>
      </c>
      <c r="H1283" s="38">
        <v>0</v>
      </c>
      <c r="K1283" s="38"/>
      <c r="L1283" s="38">
        <f t="shared" si="20"/>
        <v>45</v>
      </c>
    </row>
    <row r="1284" spans="1:12" ht="14.5" x14ac:dyDescent="0.35">
      <c r="A1284" s="45" t="s">
        <v>3799</v>
      </c>
      <c r="B1284" s="45" t="s">
        <v>3799</v>
      </c>
      <c r="C1284" s="55">
        <v>45881</v>
      </c>
      <c r="D1284" s="45" t="s">
        <v>324</v>
      </c>
      <c r="E1284" s="45" t="s">
        <v>3937</v>
      </c>
      <c r="G1284" s="38">
        <v>259.07</v>
      </c>
      <c r="H1284" s="38">
        <v>259.07</v>
      </c>
      <c r="K1284" s="38"/>
      <c r="L1284" s="38">
        <f t="shared" si="20"/>
        <v>0</v>
      </c>
    </row>
    <row r="1285" spans="1:12" ht="14.5" x14ac:dyDescent="0.35">
      <c r="A1285" s="45" t="s">
        <v>3799</v>
      </c>
      <c r="B1285" s="45" t="s">
        <v>3799</v>
      </c>
      <c r="C1285" s="55">
        <v>45882</v>
      </c>
      <c r="D1285" s="45" t="s">
        <v>422</v>
      </c>
      <c r="E1285" s="45" t="s">
        <v>3938</v>
      </c>
      <c r="G1285" s="38">
        <v>6.44</v>
      </c>
      <c r="H1285" s="38">
        <v>6.44</v>
      </c>
      <c r="K1285" s="38"/>
      <c r="L1285" s="38">
        <f t="shared" si="20"/>
        <v>0</v>
      </c>
    </row>
    <row r="1286" spans="1:12" ht="14.5" x14ac:dyDescent="0.35">
      <c r="A1286" s="45" t="s">
        <v>3799</v>
      </c>
      <c r="B1286" s="45" t="s">
        <v>3799</v>
      </c>
      <c r="C1286" s="55">
        <v>45882</v>
      </c>
      <c r="D1286" s="45" t="s">
        <v>422</v>
      </c>
      <c r="E1286" s="45" t="s">
        <v>3939</v>
      </c>
      <c r="G1286" s="38">
        <v>5.0000000000000009</v>
      </c>
      <c r="H1286" s="38">
        <v>5</v>
      </c>
      <c r="K1286" s="38"/>
      <c r="L1286" s="38">
        <f t="shared" si="20"/>
        <v>0</v>
      </c>
    </row>
    <row r="1287" spans="1:12" ht="14.5" x14ac:dyDescent="0.35">
      <c r="A1287" s="45" t="s">
        <v>3799</v>
      </c>
      <c r="B1287" s="45" t="s">
        <v>3799</v>
      </c>
      <c r="C1287" s="55">
        <v>45882</v>
      </c>
      <c r="D1287" s="45" t="s">
        <v>422</v>
      </c>
      <c r="E1287" s="45" t="s">
        <v>3940</v>
      </c>
      <c r="G1287" s="38">
        <v>5</v>
      </c>
      <c r="H1287" s="38">
        <v>5</v>
      </c>
      <c r="K1287" s="38"/>
      <c r="L1287" s="38">
        <f t="shared" si="20"/>
        <v>0</v>
      </c>
    </row>
    <row r="1288" spans="1:12" ht="14.5" x14ac:dyDescent="0.35">
      <c r="A1288" s="45" t="s">
        <v>3799</v>
      </c>
      <c r="B1288" s="45" t="s">
        <v>3799</v>
      </c>
      <c r="C1288" s="55">
        <v>45882</v>
      </c>
      <c r="D1288" s="45" t="s">
        <v>109</v>
      </c>
      <c r="E1288" s="45" t="s">
        <v>273</v>
      </c>
      <c r="G1288" s="38">
        <v>555</v>
      </c>
      <c r="H1288" s="38">
        <v>555</v>
      </c>
      <c r="K1288" s="38"/>
      <c r="L1288" s="38">
        <f t="shared" si="20"/>
        <v>0</v>
      </c>
    </row>
    <row r="1289" spans="1:12" ht="14.5" x14ac:dyDescent="0.35">
      <c r="A1289" s="45" t="s">
        <v>3799</v>
      </c>
      <c r="B1289" s="45" t="s">
        <v>3799</v>
      </c>
      <c r="C1289" s="55">
        <v>45882</v>
      </c>
      <c r="D1289" s="45" t="s">
        <v>422</v>
      </c>
      <c r="E1289" s="45" t="s">
        <v>3941</v>
      </c>
      <c r="G1289" s="38">
        <v>5</v>
      </c>
      <c r="H1289" s="38">
        <v>5</v>
      </c>
      <c r="K1289" s="38"/>
      <c r="L1289" s="38">
        <f t="shared" si="20"/>
        <v>0</v>
      </c>
    </row>
    <row r="1290" spans="1:12" ht="14.5" x14ac:dyDescent="0.35">
      <c r="A1290" s="45" t="s">
        <v>3799</v>
      </c>
      <c r="B1290" s="45" t="s">
        <v>3799</v>
      </c>
      <c r="C1290" s="55">
        <v>45882</v>
      </c>
      <c r="D1290" s="45" t="s">
        <v>422</v>
      </c>
      <c r="E1290" s="45" t="s">
        <v>3942</v>
      </c>
      <c r="G1290" s="38">
        <v>5</v>
      </c>
      <c r="H1290" s="38">
        <v>5</v>
      </c>
      <c r="K1290" s="38"/>
      <c r="L1290" s="38">
        <f t="shared" si="20"/>
        <v>0</v>
      </c>
    </row>
    <row r="1291" spans="1:12" ht="14.5" x14ac:dyDescent="0.35">
      <c r="A1291" s="45" t="s">
        <v>3799</v>
      </c>
      <c r="B1291" s="45" t="s">
        <v>3799</v>
      </c>
      <c r="C1291" s="55">
        <v>45882</v>
      </c>
      <c r="D1291" s="45" t="s">
        <v>422</v>
      </c>
      <c r="E1291" s="45" t="s">
        <v>3943</v>
      </c>
      <c r="G1291" s="38">
        <v>5</v>
      </c>
      <c r="H1291" s="38">
        <v>5</v>
      </c>
      <c r="K1291" s="38"/>
      <c r="L1291" s="38">
        <f t="shared" si="20"/>
        <v>0</v>
      </c>
    </row>
    <row r="1292" spans="1:12" ht="14.5" x14ac:dyDescent="0.35">
      <c r="A1292" s="45" t="s">
        <v>3799</v>
      </c>
      <c r="B1292" s="45" t="s">
        <v>3799</v>
      </c>
      <c r="C1292" s="55">
        <v>45882</v>
      </c>
      <c r="D1292" s="45" t="s">
        <v>422</v>
      </c>
      <c r="E1292" s="45" t="s">
        <v>3944</v>
      </c>
      <c r="G1292" s="38">
        <v>5</v>
      </c>
      <c r="H1292" s="38">
        <v>5</v>
      </c>
      <c r="K1292" s="38"/>
      <c r="L1292" s="38">
        <f t="shared" si="20"/>
        <v>0</v>
      </c>
    </row>
    <row r="1293" spans="1:12" ht="14.5" x14ac:dyDescent="0.35">
      <c r="A1293" s="45" t="s">
        <v>3799</v>
      </c>
      <c r="B1293" s="45" t="s">
        <v>3799</v>
      </c>
      <c r="C1293" s="55">
        <v>45882</v>
      </c>
      <c r="D1293" s="45" t="s">
        <v>422</v>
      </c>
      <c r="E1293" s="45" t="s">
        <v>3667</v>
      </c>
      <c r="G1293" s="38">
        <v>305.44000000000005</v>
      </c>
      <c r="H1293" s="38">
        <v>305.44</v>
      </c>
      <c r="K1293" s="38"/>
      <c r="L1293" s="38">
        <f t="shared" si="20"/>
        <v>0</v>
      </c>
    </row>
    <row r="1294" spans="1:12" ht="14.5" x14ac:dyDescent="0.35">
      <c r="A1294" s="45" t="s">
        <v>3799</v>
      </c>
      <c r="B1294" s="45" t="s">
        <v>3799</v>
      </c>
      <c r="C1294" s="55">
        <v>45882</v>
      </c>
      <c r="D1294" s="45" t="s">
        <v>422</v>
      </c>
      <c r="E1294" s="45" t="s">
        <v>3668</v>
      </c>
      <c r="G1294" s="38">
        <v>23.000000000000004</v>
      </c>
      <c r="H1294" s="38">
        <v>23</v>
      </c>
      <c r="K1294" s="38"/>
      <c r="L1294" s="38">
        <f t="shared" si="20"/>
        <v>0</v>
      </c>
    </row>
    <row r="1295" spans="1:12" ht="14.5" x14ac:dyDescent="0.35">
      <c r="A1295" s="45" t="s">
        <v>3799</v>
      </c>
      <c r="B1295" s="45" t="s">
        <v>3799</v>
      </c>
      <c r="C1295" s="55">
        <v>45882</v>
      </c>
      <c r="D1295" s="45" t="s">
        <v>422</v>
      </c>
      <c r="E1295" s="45" t="s">
        <v>550</v>
      </c>
      <c r="G1295" s="38">
        <v>15.129999999999976</v>
      </c>
      <c r="H1295" s="38">
        <v>15.129999999999999</v>
      </c>
      <c r="K1295" s="38"/>
      <c r="L1295" s="38">
        <f t="shared" si="20"/>
        <v>-2.3092638912203256E-14</v>
      </c>
    </row>
    <row r="1296" spans="1:12" ht="14.5" x14ac:dyDescent="0.35">
      <c r="A1296" s="45" t="s">
        <v>3799</v>
      </c>
      <c r="B1296" s="45" t="s">
        <v>3799</v>
      </c>
      <c r="C1296" s="55">
        <v>45882</v>
      </c>
      <c r="D1296" s="45" t="s">
        <v>422</v>
      </c>
      <c r="E1296" s="45" t="s">
        <v>543</v>
      </c>
      <c r="G1296" s="38">
        <v>148</v>
      </c>
      <c r="H1296" s="38">
        <v>148</v>
      </c>
      <c r="K1296" s="38"/>
      <c r="L1296" s="38">
        <f t="shared" si="20"/>
        <v>0</v>
      </c>
    </row>
    <row r="1297" spans="1:12" ht="14.5" x14ac:dyDescent="0.35">
      <c r="A1297" s="45" t="s">
        <v>3799</v>
      </c>
      <c r="B1297" s="45" t="s">
        <v>3799</v>
      </c>
      <c r="C1297" s="55">
        <v>45882</v>
      </c>
      <c r="D1297" s="45" t="s">
        <v>422</v>
      </c>
      <c r="E1297" s="45" t="s">
        <v>3945</v>
      </c>
      <c r="G1297" s="38">
        <v>10</v>
      </c>
      <c r="H1297" s="38">
        <v>10</v>
      </c>
      <c r="K1297" s="38"/>
      <c r="L1297" s="38">
        <f t="shared" si="20"/>
        <v>0</v>
      </c>
    </row>
    <row r="1298" spans="1:12" ht="14.5" x14ac:dyDescent="0.35">
      <c r="A1298" s="45" t="s">
        <v>3799</v>
      </c>
      <c r="B1298" s="45" t="s">
        <v>3799</v>
      </c>
      <c r="C1298" s="55">
        <v>45882</v>
      </c>
      <c r="D1298" s="45" t="s">
        <v>422</v>
      </c>
      <c r="E1298" s="45" t="s">
        <v>3946</v>
      </c>
      <c r="G1298" s="38">
        <v>10</v>
      </c>
      <c r="H1298" s="38">
        <v>10</v>
      </c>
      <c r="K1298" s="38"/>
      <c r="L1298" s="38">
        <f t="shared" si="20"/>
        <v>0</v>
      </c>
    </row>
    <row r="1299" spans="1:12" ht="14.5" x14ac:dyDescent="0.35">
      <c r="A1299" s="45" t="s">
        <v>3799</v>
      </c>
      <c r="B1299" s="45" t="s">
        <v>3799</v>
      </c>
      <c r="C1299" s="55">
        <v>45882</v>
      </c>
      <c r="D1299" s="45" t="s">
        <v>422</v>
      </c>
      <c r="E1299" s="45" t="s">
        <v>3947</v>
      </c>
      <c r="G1299" s="38">
        <v>9</v>
      </c>
      <c r="H1299" s="38">
        <v>9</v>
      </c>
      <c r="K1299" s="38"/>
      <c r="L1299" s="38">
        <f t="shared" si="20"/>
        <v>0</v>
      </c>
    </row>
    <row r="1300" spans="1:12" ht="14.5" x14ac:dyDescent="0.35">
      <c r="A1300" s="45" t="s">
        <v>3799</v>
      </c>
      <c r="B1300" s="45" t="s">
        <v>3799</v>
      </c>
      <c r="C1300" s="55">
        <v>45882</v>
      </c>
      <c r="D1300" s="45" t="s">
        <v>422</v>
      </c>
      <c r="E1300" s="45" t="s">
        <v>3948</v>
      </c>
      <c r="G1300" s="38">
        <v>9</v>
      </c>
      <c r="H1300" s="38">
        <v>9</v>
      </c>
      <c r="K1300" s="38"/>
      <c r="L1300" s="38">
        <f t="shared" si="20"/>
        <v>0</v>
      </c>
    </row>
    <row r="1301" spans="1:12" ht="14.5" x14ac:dyDescent="0.35">
      <c r="A1301" s="45" t="s">
        <v>3799</v>
      </c>
      <c r="B1301" s="45" t="s">
        <v>3799</v>
      </c>
      <c r="C1301" s="55">
        <v>45882</v>
      </c>
      <c r="D1301" s="45" t="s">
        <v>422</v>
      </c>
      <c r="E1301" s="45" t="s">
        <v>3949</v>
      </c>
      <c r="G1301" s="38">
        <v>9</v>
      </c>
      <c r="H1301" s="38">
        <v>9</v>
      </c>
      <c r="K1301" s="38"/>
      <c r="L1301" s="38">
        <f t="shared" si="20"/>
        <v>0</v>
      </c>
    </row>
    <row r="1302" spans="1:12" ht="14.5" x14ac:dyDescent="0.35">
      <c r="A1302" s="45" t="s">
        <v>3799</v>
      </c>
      <c r="B1302" s="45" t="s">
        <v>3799</v>
      </c>
      <c r="C1302" s="55">
        <v>45882</v>
      </c>
      <c r="D1302" s="45" t="s">
        <v>422</v>
      </c>
      <c r="E1302" s="45" t="s">
        <v>544</v>
      </c>
      <c r="G1302" s="38">
        <v>6</v>
      </c>
      <c r="H1302" s="38">
        <v>6</v>
      </c>
      <c r="K1302" s="38"/>
      <c r="L1302" s="38">
        <f t="shared" si="20"/>
        <v>0</v>
      </c>
    </row>
    <row r="1303" spans="1:12" ht="14.5" x14ac:dyDescent="0.35">
      <c r="A1303" s="45" t="s">
        <v>3799</v>
      </c>
      <c r="B1303" s="45" t="s">
        <v>3799</v>
      </c>
      <c r="C1303" s="55">
        <v>45882</v>
      </c>
      <c r="D1303" s="45" t="s">
        <v>422</v>
      </c>
      <c r="E1303" s="45" t="s">
        <v>545</v>
      </c>
      <c r="G1303" s="38">
        <v>4</v>
      </c>
      <c r="H1303" s="38">
        <v>4</v>
      </c>
      <c r="K1303" s="38"/>
      <c r="L1303" s="38">
        <f t="shared" si="20"/>
        <v>0</v>
      </c>
    </row>
    <row r="1304" spans="1:12" ht="14.5" x14ac:dyDescent="0.35">
      <c r="A1304" s="45" t="s">
        <v>3799</v>
      </c>
      <c r="B1304" s="45" t="s">
        <v>3799</v>
      </c>
      <c r="C1304" s="55">
        <v>45882</v>
      </c>
      <c r="D1304" s="45" t="s">
        <v>422</v>
      </c>
      <c r="E1304" s="45" t="s">
        <v>3950</v>
      </c>
      <c r="G1304" s="38">
        <v>9</v>
      </c>
      <c r="H1304" s="38">
        <v>9</v>
      </c>
      <c r="K1304" s="38"/>
      <c r="L1304" s="38">
        <f t="shared" si="20"/>
        <v>0</v>
      </c>
    </row>
    <row r="1305" spans="1:12" ht="14.5" x14ac:dyDescent="0.35">
      <c r="A1305" s="45" t="s">
        <v>3799</v>
      </c>
      <c r="B1305" s="45" t="s">
        <v>3799</v>
      </c>
      <c r="C1305" s="55">
        <v>45882</v>
      </c>
      <c r="D1305" s="45" t="s">
        <v>66</v>
      </c>
      <c r="E1305" s="45" t="s">
        <v>3680</v>
      </c>
      <c r="G1305" s="38">
        <v>387.40000000000003</v>
      </c>
      <c r="H1305" s="38">
        <v>387.4</v>
      </c>
      <c r="K1305" s="38"/>
      <c r="L1305" s="38">
        <f t="shared" si="20"/>
        <v>0</v>
      </c>
    </row>
    <row r="1306" spans="1:12" ht="14.5" x14ac:dyDescent="0.35">
      <c r="A1306" s="45" t="s">
        <v>3799</v>
      </c>
      <c r="B1306" s="45" t="s">
        <v>3799</v>
      </c>
      <c r="C1306" s="55">
        <v>45882</v>
      </c>
      <c r="D1306" s="45" t="s">
        <v>3951</v>
      </c>
      <c r="E1306" s="45" t="s">
        <v>3952</v>
      </c>
      <c r="G1306" s="38">
        <v>139.41999999999999</v>
      </c>
      <c r="H1306" s="38">
        <v>139.41999999999999</v>
      </c>
      <c r="K1306" s="38"/>
      <c r="L1306" s="38">
        <f t="shared" si="20"/>
        <v>0</v>
      </c>
    </row>
    <row r="1307" spans="1:12" ht="14.5" x14ac:dyDescent="0.35">
      <c r="A1307" s="45" t="s">
        <v>3799</v>
      </c>
      <c r="B1307" s="45" t="s">
        <v>3799</v>
      </c>
      <c r="C1307" s="55">
        <v>45882</v>
      </c>
      <c r="D1307" s="45" t="s">
        <v>422</v>
      </c>
      <c r="E1307" s="45" t="s">
        <v>3953</v>
      </c>
      <c r="G1307" s="38">
        <v>5</v>
      </c>
      <c r="H1307" s="38">
        <v>5</v>
      </c>
      <c r="K1307" s="38"/>
      <c r="L1307" s="38">
        <f t="shared" si="20"/>
        <v>0</v>
      </c>
    </row>
    <row r="1308" spans="1:12" ht="14.5" x14ac:dyDescent="0.35">
      <c r="A1308" s="45" t="s">
        <v>3799</v>
      </c>
      <c r="B1308" s="45" t="s">
        <v>3799</v>
      </c>
      <c r="C1308" s="55">
        <v>45882</v>
      </c>
      <c r="D1308" s="45" t="s">
        <v>66</v>
      </c>
      <c r="E1308" s="45" t="s">
        <v>3684</v>
      </c>
      <c r="G1308" s="38">
        <v>387.4</v>
      </c>
      <c r="H1308" s="38">
        <v>387.4</v>
      </c>
      <c r="K1308" s="38"/>
      <c r="L1308" s="38">
        <f t="shared" si="20"/>
        <v>0</v>
      </c>
    </row>
    <row r="1309" spans="1:12" ht="14.5" x14ac:dyDescent="0.35">
      <c r="A1309" s="45" t="s">
        <v>3799</v>
      </c>
      <c r="B1309" s="45" t="s">
        <v>3799</v>
      </c>
      <c r="C1309" s="55">
        <v>45882</v>
      </c>
      <c r="D1309" s="45" t="s">
        <v>422</v>
      </c>
      <c r="E1309" s="45" t="s">
        <v>3954</v>
      </c>
      <c r="G1309" s="38">
        <v>10</v>
      </c>
      <c r="H1309" s="38">
        <v>10</v>
      </c>
      <c r="K1309" s="38"/>
      <c r="L1309" s="38">
        <f t="shared" si="20"/>
        <v>0</v>
      </c>
    </row>
    <row r="1310" spans="1:12" ht="14.5" x14ac:dyDescent="0.35">
      <c r="A1310" s="45" t="s">
        <v>3799</v>
      </c>
      <c r="B1310" s="45" t="s">
        <v>3799</v>
      </c>
      <c r="C1310" s="55">
        <v>45882</v>
      </c>
      <c r="D1310" s="45" t="s">
        <v>66</v>
      </c>
      <c r="E1310" s="45" t="s">
        <v>3685</v>
      </c>
      <c r="G1310" s="38">
        <v>387.4</v>
      </c>
      <c r="H1310" s="38">
        <v>387.4</v>
      </c>
      <c r="K1310" s="38"/>
      <c r="L1310" s="38">
        <f t="shared" si="20"/>
        <v>0</v>
      </c>
    </row>
    <row r="1311" spans="1:12" ht="14.5" x14ac:dyDescent="0.35">
      <c r="A1311" s="45" t="s">
        <v>3799</v>
      </c>
      <c r="B1311" s="45" t="s">
        <v>3799</v>
      </c>
      <c r="C1311" s="55">
        <v>45882</v>
      </c>
      <c r="D1311" s="45" t="s">
        <v>819</v>
      </c>
      <c r="E1311" s="45" t="s">
        <v>3955</v>
      </c>
      <c r="G1311" s="38">
        <v>61.680000000000007</v>
      </c>
      <c r="H1311" s="38">
        <v>61.68</v>
      </c>
      <c r="K1311" s="38"/>
      <c r="L1311" s="38">
        <f t="shared" si="20"/>
        <v>0</v>
      </c>
    </row>
    <row r="1312" spans="1:12" ht="14.5" x14ac:dyDescent="0.35">
      <c r="A1312" s="45" t="s">
        <v>3799</v>
      </c>
      <c r="B1312" s="45" t="s">
        <v>3799</v>
      </c>
      <c r="C1312" s="55">
        <v>45882</v>
      </c>
      <c r="D1312" s="45" t="s">
        <v>66</v>
      </c>
      <c r="E1312" s="45" t="s">
        <v>3686</v>
      </c>
      <c r="G1312" s="38">
        <v>387.40000000000003</v>
      </c>
      <c r="H1312" s="38">
        <v>387.4</v>
      </c>
      <c r="K1312" s="38"/>
      <c r="L1312" s="38">
        <f t="shared" si="20"/>
        <v>0</v>
      </c>
    </row>
    <row r="1313" spans="1:12" ht="14.5" x14ac:dyDescent="0.35">
      <c r="A1313" s="45" t="s">
        <v>3799</v>
      </c>
      <c r="B1313" s="45" t="s">
        <v>3799</v>
      </c>
      <c r="C1313" s="55">
        <v>45882</v>
      </c>
      <c r="D1313" s="45" t="s">
        <v>66</v>
      </c>
      <c r="E1313" s="45" t="s">
        <v>3687</v>
      </c>
      <c r="G1313" s="38">
        <v>387.4</v>
      </c>
      <c r="H1313" s="38">
        <v>387.4</v>
      </c>
      <c r="K1313" s="38"/>
      <c r="L1313" s="38">
        <f t="shared" si="20"/>
        <v>0</v>
      </c>
    </row>
    <row r="1314" spans="1:12" ht="14.5" x14ac:dyDescent="0.35">
      <c r="A1314" s="45" t="s">
        <v>3799</v>
      </c>
      <c r="B1314" s="45" t="s">
        <v>3799</v>
      </c>
      <c r="C1314" s="55">
        <v>45882</v>
      </c>
      <c r="D1314" s="45" t="s">
        <v>66</v>
      </c>
      <c r="E1314" s="45" t="s">
        <v>67</v>
      </c>
      <c r="G1314" s="38">
        <v>387.4</v>
      </c>
      <c r="H1314" s="38">
        <v>387.4</v>
      </c>
      <c r="K1314" s="38"/>
      <c r="L1314" s="38">
        <f t="shared" si="20"/>
        <v>0</v>
      </c>
    </row>
    <row r="1315" spans="1:12" ht="14.5" x14ac:dyDescent="0.35">
      <c r="A1315" s="45" t="s">
        <v>3799</v>
      </c>
      <c r="B1315" s="45" t="s">
        <v>3799</v>
      </c>
      <c r="C1315" s="55">
        <v>45882</v>
      </c>
      <c r="D1315" s="45" t="s">
        <v>422</v>
      </c>
      <c r="E1315" s="45" t="s">
        <v>3956</v>
      </c>
      <c r="G1315" s="38">
        <v>50.99</v>
      </c>
      <c r="H1315" s="38">
        <v>0</v>
      </c>
      <c r="K1315" s="38"/>
      <c r="L1315" s="38">
        <f t="shared" si="20"/>
        <v>50.99</v>
      </c>
    </row>
    <row r="1316" spans="1:12" ht="14.5" x14ac:dyDescent="0.35">
      <c r="A1316" s="45" t="s">
        <v>3799</v>
      </c>
      <c r="B1316" s="45" t="s">
        <v>3799</v>
      </c>
      <c r="C1316" s="55">
        <v>45882</v>
      </c>
      <c r="D1316" s="45" t="s">
        <v>933</v>
      </c>
      <c r="E1316" s="45" t="s">
        <v>3957</v>
      </c>
      <c r="G1316" s="38">
        <v>763.35999999999956</v>
      </c>
      <c r="H1316" s="38">
        <v>763.36</v>
      </c>
      <c r="K1316" s="38"/>
      <c r="L1316" s="38">
        <f t="shared" si="20"/>
        <v>0</v>
      </c>
    </row>
    <row r="1317" spans="1:12" ht="14.5" x14ac:dyDescent="0.35">
      <c r="A1317" s="45" t="s">
        <v>3799</v>
      </c>
      <c r="B1317" s="45" t="s">
        <v>3799</v>
      </c>
      <c r="C1317" s="55">
        <v>45882</v>
      </c>
      <c r="D1317" s="45" t="s">
        <v>422</v>
      </c>
      <c r="E1317" s="45" t="s">
        <v>541</v>
      </c>
      <c r="G1317" s="38">
        <v>10</v>
      </c>
      <c r="H1317" s="38">
        <v>10</v>
      </c>
      <c r="K1317" s="38"/>
      <c r="L1317" s="38">
        <f t="shared" si="20"/>
        <v>0</v>
      </c>
    </row>
    <row r="1318" spans="1:12" ht="14.5" x14ac:dyDescent="0.35">
      <c r="A1318" s="45" t="s">
        <v>3799</v>
      </c>
      <c r="B1318" s="45" t="s">
        <v>3799</v>
      </c>
      <c r="C1318" s="55">
        <v>45882</v>
      </c>
      <c r="D1318" s="45" t="s">
        <v>422</v>
      </c>
      <c r="E1318" s="45" t="s">
        <v>3958</v>
      </c>
      <c r="G1318" s="38">
        <v>5</v>
      </c>
      <c r="H1318" s="38">
        <v>5</v>
      </c>
      <c r="K1318" s="38"/>
      <c r="L1318" s="38">
        <f t="shared" si="20"/>
        <v>0</v>
      </c>
    </row>
    <row r="1319" spans="1:12" ht="14.5" x14ac:dyDescent="0.35">
      <c r="A1319" s="45" t="s">
        <v>3799</v>
      </c>
      <c r="B1319" s="45" t="s">
        <v>3799</v>
      </c>
      <c r="C1319" s="55">
        <v>45882</v>
      </c>
      <c r="D1319" s="45" t="s">
        <v>819</v>
      </c>
      <c r="E1319" s="45" t="s">
        <v>3959</v>
      </c>
      <c r="G1319" s="38">
        <v>75.419999999999987</v>
      </c>
      <c r="H1319" s="38">
        <v>75.42</v>
      </c>
      <c r="K1319" s="38"/>
      <c r="L1319" s="38">
        <f t="shared" si="20"/>
        <v>0</v>
      </c>
    </row>
    <row r="1320" spans="1:12" ht="14.5" x14ac:dyDescent="0.35">
      <c r="A1320" s="45" t="s">
        <v>3799</v>
      </c>
      <c r="B1320" s="45" t="s">
        <v>3799</v>
      </c>
      <c r="C1320" s="55">
        <v>45882</v>
      </c>
      <c r="D1320" s="45" t="s">
        <v>422</v>
      </c>
      <c r="E1320" s="45" t="s">
        <v>3960</v>
      </c>
      <c r="G1320" s="38">
        <v>153.51</v>
      </c>
      <c r="H1320" s="38">
        <v>0</v>
      </c>
      <c r="K1320" s="38"/>
      <c r="L1320" s="38">
        <f t="shared" si="20"/>
        <v>153.51</v>
      </c>
    </row>
    <row r="1321" spans="1:12" ht="14.5" x14ac:dyDescent="0.35">
      <c r="A1321" s="45" t="s">
        <v>3799</v>
      </c>
      <c r="B1321" s="45" t="s">
        <v>3799</v>
      </c>
      <c r="C1321" s="55">
        <v>45882</v>
      </c>
      <c r="D1321" s="45" t="s">
        <v>3593</v>
      </c>
      <c r="E1321" s="45" t="s">
        <v>3775</v>
      </c>
      <c r="G1321" s="38">
        <v>75.42</v>
      </c>
      <c r="H1321" s="38">
        <v>75.42</v>
      </c>
      <c r="K1321" s="38"/>
      <c r="L1321" s="38">
        <f t="shared" si="20"/>
        <v>0</v>
      </c>
    </row>
    <row r="1322" spans="1:12" ht="14.5" x14ac:dyDescent="0.35">
      <c r="A1322" s="45" t="s">
        <v>3799</v>
      </c>
      <c r="B1322" s="45" t="s">
        <v>3799</v>
      </c>
      <c r="C1322" s="55">
        <v>45882</v>
      </c>
      <c r="D1322" s="45" t="s">
        <v>66</v>
      </c>
      <c r="E1322" s="45" t="s">
        <v>75</v>
      </c>
      <c r="G1322" s="38">
        <v>2659.95</v>
      </c>
      <c r="H1322" s="38">
        <v>60</v>
      </c>
      <c r="K1322" s="38"/>
      <c r="L1322" s="38">
        <f t="shared" si="20"/>
        <v>2599.9499999999998</v>
      </c>
    </row>
    <row r="1323" spans="1:12" ht="14.5" x14ac:dyDescent="0.35">
      <c r="A1323" s="45" t="s">
        <v>3799</v>
      </c>
      <c r="B1323" s="45" t="s">
        <v>3799</v>
      </c>
      <c r="C1323" s="55">
        <v>45882</v>
      </c>
      <c r="D1323" s="45" t="s">
        <v>66</v>
      </c>
      <c r="E1323" s="45" t="s">
        <v>77</v>
      </c>
      <c r="G1323" s="38">
        <v>120.00000000000001</v>
      </c>
      <c r="H1323" s="38">
        <v>120</v>
      </c>
      <c r="K1323" s="38"/>
      <c r="L1323" s="38">
        <f t="shared" si="20"/>
        <v>0</v>
      </c>
    </row>
    <row r="1324" spans="1:12" ht="14.5" x14ac:dyDescent="0.35">
      <c r="A1324" s="45" t="s">
        <v>3799</v>
      </c>
      <c r="B1324" s="45" t="s">
        <v>3799</v>
      </c>
      <c r="C1324" s="55">
        <v>45882</v>
      </c>
      <c r="D1324" s="45" t="s">
        <v>819</v>
      </c>
      <c r="E1324" s="45" t="s">
        <v>3783</v>
      </c>
      <c r="G1324" s="38">
        <v>60</v>
      </c>
      <c r="H1324" s="38">
        <v>60</v>
      </c>
      <c r="K1324" s="38"/>
      <c r="L1324" s="38">
        <f t="shared" si="20"/>
        <v>0</v>
      </c>
    </row>
    <row r="1325" spans="1:12" ht="14.5" x14ac:dyDescent="0.35">
      <c r="A1325" s="45" t="s">
        <v>3799</v>
      </c>
      <c r="B1325" s="45" t="s">
        <v>3799</v>
      </c>
      <c r="C1325" s="55">
        <v>45882</v>
      </c>
      <c r="D1325" s="45" t="s">
        <v>422</v>
      </c>
      <c r="E1325" s="45" t="s">
        <v>3961</v>
      </c>
      <c r="G1325" s="38">
        <v>100.45</v>
      </c>
      <c r="H1325" s="38">
        <v>0</v>
      </c>
      <c r="K1325" s="38"/>
      <c r="L1325" s="38">
        <f t="shared" si="20"/>
        <v>100.45</v>
      </c>
    </row>
    <row r="1326" spans="1:12" ht="14.5" x14ac:dyDescent="0.35">
      <c r="A1326" s="45" t="s">
        <v>3799</v>
      </c>
      <c r="B1326" s="45" t="s">
        <v>3799</v>
      </c>
      <c r="C1326" s="55">
        <v>45882</v>
      </c>
      <c r="D1326" s="45" t="s">
        <v>819</v>
      </c>
      <c r="E1326" s="45" t="s">
        <v>842</v>
      </c>
      <c r="G1326" s="38">
        <v>37.710000000000015</v>
      </c>
      <c r="H1326" s="38">
        <v>37.71</v>
      </c>
      <c r="K1326" s="38"/>
      <c r="L1326" s="38">
        <f t="shared" si="20"/>
        <v>0</v>
      </c>
    </row>
    <row r="1327" spans="1:12" ht="14.5" x14ac:dyDescent="0.35">
      <c r="A1327" s="45" t="s">
        <v>3799</v>
      </c>
      <c r="B1327" s="45" t="s">
        <v>3799</v>
      </c>
      <c r="C1327" s="55">
        <v>45883</v>
      </c>
      <c r="D1327" s="45" t="s">
        <v>422</v>
      </c>
      <c r="E1327" s="45" t="s">
        <v>3962</v>
      </c>
      <c r="G1327" s="38">
        <v>19</v>
      </c>
      <c r="H1327" s="38">
        <v>19</v>
      </c>
      <c r="K1327" s="38"/>
      <c r="L1327" s="38">
        <f t="shared" si="20"/>
        <v>0</v>
      </c>
    </row>
    <row r="1328" spans="1:12" ht="14.5" x14ac:dyDescent="0.35">
      <c r="A1328" s="45" t="s">
        <v>3799</v>
      </c>
      <c r="B1328" s="45" t="s">
        <v>3799</v>
      </c>
      <c r="C1328" s="55">
        <v>45883</v>
      </c>
      <c r="D1328" s="45" t="s">
        <v>422</v>
      </c>
      <c r="E1328" s="45" t="s">
        <v>3963</v>
      </c>
      <c r="G1328" s="38">
        <v>19.000000000000004</v>
      </c>
      <c r="H1328" s="38">
        <v>19</v>
      </c>
      <c r="K1328" s="38"/>
      <c r="L1328" s="38">
        <f t="shared" si="20"/>
        <v>0</v>
      </c>
    </row>
    <row r="1329" spans="1:12" ht="14.5" x14ac:dyDescent="0.35">
      <c r="A1329" s="45" t="s">
        <v>3799</v>
      </c>
      <c r="B1329" s="45" t="s">
        <v>3799</v>
      </c>
      <c r="C1329" s="55">
        <v>45883</v>
      </c>
      <c r="D1329" s="45" t="s">
        <v>422</v>
      </c>
      <c r="E1329" s="45" t="s">
        <v>613</v>
      </c>
      <c r="G1329" s="38">
        <v>175.42</v>
      </c>
      <c r="H1329" s="38">
        <v>175.42000000000002</v>
      </c>
      <c r="K1329" s="38"/>
      <c r="L1329" s="38">
        <f t="shared" si="20"/>
        <v>0</v>
      </c>
    </row>
    <row r="1330" spans="1:12" ht="14.5" x14ac:dyDescent="0.35">
      <c r="A1330" s="45" t="s">
        <v>3799</v>
      </c>
      <c r="B1330" s="45" t="s">
        <v>3799</v>
      </c>
      <c r="C1330" s="55">
        <v>45883</v>
      </c>
      <c r="D1330" s="45" t="s">
        <v>422</v>
      </c>
      <c r="E1330" s="45" t="s">
        <v>609</v>
      </c>
      <c r="G1330" s="38">
        <v>16</v>
      </c>
      <c r="H1330" s="38">
        <v>16</v>
      </c>
      <c r="K1330" s="38"/>
      <c r="L1330" s="38">
        <f t="shared" si="20"/>
        <v>0</v>
      </c>
    </row>
    <row r="1331" spans="1:12" ht="14.5" x14ac:dyDescent="0.35">
      <c r="A1331" s="45" t="s">
        <v>3799</v>
      </c>
      <c r="B1331" s="45" t="s">
        <v>3799</v>
      </c>
      <c r="C1331" s="55">
        <v>45883</v>
      </c>
      <c r="D1331" s="45" t="s">
        <v>422</v>
      </c>
      <c r="E1331" s="45" t="s">
        <v>3794</v>
      </c>
      <c r="G1331" s="38">
        <v>111.99999999999994</v>
      </c>
      <c r="H1331" s="38">
        <v>112</v>
      </c>
      <c r="K1331" s="38"/>
      <c r="L1331" s="38">
        <f t="shared" si="20"/>
        <v>0</v>
      </c>
    </row>
    <row r="1332" spans="1:12" ht="14.5" x14ac:dyDescent="0.35">
      <c r="A1332" s="45" t="s">
        <v>3799</v>
      </c>
      <c r="B1332" s="45" t="s">
        <v>3799</v>
      </c>
      <c r="C1332" s="55">
        <v>45883</v>
      </c>
      <c r="D1332" s="45" t="s">
        <v>422</v>
      </c>
      <c r="E1332" s="45" t="s">
        <v>614</v>
      </c>
      <c r="G1332" s="38">
        <v>15.42</v>
      </c>
      <c r="H1332" s="38">
        <v>15.42</v>
      </c>
      <c r="K1332" s="38"/>
      <c r="L1332" s="38">
        <f t="shared" si="20"/>
        <v>0</v>
      </c>
    </row>
    <row r="1333" spans="1:12" ht="14.5" x14ac:dyDescent="0.35">
      <c r="A1333" s="45" t="s">
        <v>3799</v>
      </c>
      <c r="B1333" s="45" t="s">
        <v>3799</v>
      </c>
      <c r="C1333" s="55">
        <v>45883</v>
      </c>
      <c r="D1333" s="45" t="s">
        <v>66</v>
      </c>
      <c r="E1333" s="45" t="s">
        <v>78</v>
      </c>
      <c r="G1333" s="38">
        <v>3950.1899999999987</v>
      </c>
      <c r="H1333" s="38">
        <v>3950.19</v>
      </c>
      <c r="K1333" s="38"/>
      <c r="L1333" s="38">
        <f t="shared" si="20"/>
        <v>0</v>
      </c>
    </row>
    <row r="1334" spans="1:12" ht="14.5" x14ac:dyDescent="0.35">
      <c r="A1334" s="45" t="s">
        <v>3799</v>
      </c>
      <c r="B1334" s="45" t="s">
        <v>3799</v>
      </c>
      <c r="C1334" s="55">
        <v>45883</v>
      </c>
      <c r="D1334" s="45" t="s">
        <v>422</v>
      </c>
      <c r="E1334" s="45" t="s">
        <v>3795</v>
      </c>
      <c r="G1334" s="38">
        <v>16</v>
      </c>
      <c r="H1334" s="38">
        <v>16</v>
      </c>
      <c r="K1334" s="38"/>
      <c r="L1334" s="38">
        <f t="shared" si="20"/>
        <v>0</v>
      </c>
    </row>
    <row r="1335" spans="1:12" ht="14.5" x14ac:dyDescent="0.35">
      <c r="A1335" s="45" t="s">
        <v>3799</v>
      </c>
      <c r="B1335" s="45" t="s">
        <v>3799</v>
      </c>
      <c r="C1335" s="55">
        <v>45883</v>
      </c>
      <c r="D1335" s="45" t="s">
        <v>422</v>
      </c>
      <c r="E1335" s="45" t="s">
        <v>3796</v>
      </c>
      <c r="G1335" s="38">
        <v>16</v>
      </c>
      <c r="H1335" s="38">
        <v>16</v>
      </c>
      <c r="K1335" s="38"/>
      <c r="L1335" s="38">
        <f t="shared" si="20"/>
        <v>0</v>
      </c>
    </row>
    <row r="1336" spans="1:12" ht="14.5" x14ac:dyDescent="0.35">
      <c r="A1336" s="45" t="s">
        <v>3799</v>
      </c>
      <c r="B1336" s="45" t="s">
        <v>3799</v>
      </c>
      <c r="C1336" s="55">
        <v>45884</v>
      </c>
      <c r="D1336" s="45" t="s">
        <v>96</v>
      </c>
      <c r="E1336" s="45" t="s">
        <v>97</v>
      </c>
      <c r="G1336" s="38">
        <v>370</v>
      </c>
      <c r="H1336" s="38">
        <v>370</v>
      </c>
      <c r="K1336" s="38"/>
      <c r="L1336" s="38">
        <f t="shared" ref="L1336:L1399" si="21">G1336-H1336</f>
        <v>0</v>
      </c>
    </row>
    <row r="1337" spans="1:12" ht="14.5" x14ac:dyDescent="0.35">
      <c r="A1337" s="45" t="s">
        <v>3799</v>
      </c>
      <c r="B1337" s="45" t="s">
        <v>3799</v>
      </c>
      <c r="C1337" s="55">
        <v>45884</v>
      </c>
      <c r="D1337" s="45" t="s">
        <v>3593</v>
      </c>
      <c r="E1337" s="45" t="s">
        <v>3594</v>
      </c>
      <c r="G1337" s="38">
        <v>5905.3899999999994</v>
      </c>
      <c r="H1337" s="38">
        <v>2615</v>
      </c>
      <c r="K1337" s="38"/>
      <c r="L1337" s="38">
        <f t="shared" si="21"/>
        <v>3290.3899999999994</v>
      </c>
    </row>
    <row r="1338" spans="1:12" ht="14.5" x14ac:dyDescent="0.35">
      <c r="A1338" s="45" t="s">
        <v>3799</v>
      </c>
      <c r="B1338" s="45" t="s">
        <v>3799</v>
      </c>
      <c r="C1338" s="55">
        <v>45885</v>
      </c>
      <c r="D1338" s="45" t="s">
        <v>422</v>
      </c>
      <c r="E1338" s="45" t="s">
        <v>489</v>
      </c>
      <c r="G1338" s="38">
        <v>9</v>
      </c>
      <c r="H1338" s="38">
        <v>9</v>
      </c>
      <c r="K1338" s="38"/>
      <c r="L1338" s="38">
        <f t="shared" si="21"/>
        <v>0</v>
      </c>
    </row>
    <row r="1339" spans="1:12" ht="14.5" x14ac:dyDescent="0.35">
      <c r="A1339" s="45" t="s">
        <v>3799</v>
      </c>
      <c r="B1339" s="45" t="s">
        <v>3799</v>
      </c>
      <c r="C1339" s="55">
        <v>45885</v>
      </c>
      <c r="D1339" s="45" t="s">
        <v>422</v>
      </c>
      <c r="E1339" s="45" t="s">
        <v>3964</v>
      </c>
      <c r="G1339" s="38">
        <v>10</v>
      </c>
      <c r="H1339" s="38">
        <v>10</v>
      </c>
      <c r="K1339" s="38"/>
      <c r="L1339" s="38">
        <f t="shared" si="21"/>
        <v>0</v>
      </c>
    </row>
    <row r="1340" spans="1:12" ht="14.5" x14ac:dyDescent="0.35">
      <c r="A1340" s="45" t="s">
        <v>3799</v>
      </c>
      <c r="B1340" s="45" t="s">
        <v>3799</v>
      </c>
      <c r="C1340" s="55">
        <v>45885</v>
      </c>
      <c r="D1340" s="45" t="s">
        <v>422</v>
      </c>
      <c r="E1340" s="45" t="s">
        <v>3965</v>
      </c>
      <c r="G1340" s="38">
        <v>10</v>
      </c>
      <c r="H1340" s="38">
        <v>10</v>
      </c>
      <c r="K1340" s="38"/>
      <c r="L1340" s="38">
        <f t="shared" si="21"/>
        <v>0</v>
      </c>
    </row>
    <row r="1341" spans="1:12" ht="14.5" x14ac:dyDescent="0.35">
      <c r="A1341" s="45" t="s">
        <v>3799</v>
      </c>
      <c r="B1341" s="45" t="s">
        <v>3799</v>
      </c>
      <c r="C1341" s="55">
        <v>45885</v>
      </c>
      <c r="D1341" s="45" t="s">
        <v>422</v>
      </c>
      <c r="E1341" s="45" t="s">
        <v>3966</v>
      </c>
      <c r="G1341" s="38">
        <v>9</v>
      </c>
      <c r="H1341" s="38">
        <v>9</v>
      </c>
      <c r="K1341" s="38"/>
      <c r="L1341" s="38">
        <f t="shared" si="21"/>
        <v>0</v>
      </c>
    </row>
    <row r="1342" spans="1:12" ht="14.5" x14ac:dyDescent="0.35">
      <c r="A1342" s="45" t="s">
        <v>3799</v>
      </c>
      <c r="B1342" s="45" t="s">
        <v>3799</v>
      </c>
      <c r="C1342" s="55">
        <v>45885</v>
      </c>
      <c r="D1342" s="45" t="s">
        <v>66</v>
      </c>
      <c r="E1342" s="45" t="s">
        <v>3779</v>
      </c>
      <c r="G1342" s="38">
        <v>433.00000000000006</v>
      </c>
      <c r="H1342" s="38">
        <v>433</v>
      </c>
      <c r="K1342" s="38"/>
      <c r="L1342" s="38">
        <f t="shared" si="21"/>
        <v>0</v>
      </c>
    </row>
    <row r="1343" spans="1:12" ht="14.5" x14ac:dyDescent="0.35">
      <c r="A1343" s="45" t="s">
        <v>3799</v>
      </c>
      <c r="B1343" s="45" t="s">
        <v>3799</v>
      </c>
      <c r="C1343" s="55">
        <v>45885</v>
      </c>
      <c r="D1343" s="45" t="s">
        <v>422</v>
      </c>
      <c r="E1343" s="45" t="s">
        <v>3620</v>
      </c>
      <c r="G1343" s="38">
        <v>47</v>
      </c>
      <c r="H1343" s="38">
        <v>47</v>
      </c>
      <c r="K1343" s="38"/>
      <c r="L1343" s="38">
        <f t="shared" si="21"/>
        <v>0</v>
      </c>
    </row>
    <row r="1344" spans="1:12" ht="14.5" x14ac:dyDescent="0.35">
      <c r="A1344" s="45" t="s">
        <v>3799</v>
      </c>
      <c r="B1344" s="45" t="s">
        <v>3799</v>
      </c>
      <c r="C1344" s="55">
        <v>45885</v>
      </c>
      <c r="D1344" s="45" t="s">
        <v>422</v>
      </c>
      <c r="E1344" s="45" t="s">
        <v>3967</v>
      </c>
      <c r="G1344" s="38">
        <v>9.42</v>
      </c>
      <c r="H1344" s="38">
        <v>9.42</v>
      </c>
      <c r="K1344" s="38"/>
      <c r="L1344" s="38">
        <f t="shared" si="21"/>
        <v>0</v>
      </c>
    </row>
    <row r="1345" spans="1:12" ht="14.5" x14ac:dyDescent="0.35">
      <c r="A1345" s="45" t="s">
        <v>3799</v>
      </c>
      <c r="B1345" s="45" t="s">
        <v>3799</v>
      </c>
      <c r="C1345" s="55">
        <v>45885</v>
      </c>
      <c r="D1345" s="45" t="s">
        <v>422</v>
      </c>
      <c r="E1345" s="45" t="s">
        <v>3968</v>
      </c>
      <c r="G1345" s="38">
        <v>10</v>
      </c>
      <c r="H1345" s="38">
        <v>10</v>
      </c>
      <c r="K1345" s="38"/>
      <c r="L1345" s="38">
        <f t="shared" si="21"/>
        <v>0</v>
      </c>
    </row>
    <row r="1346" spans="1:12" ht="14.5" x14ac:dyDescent="0.35">
      <c r="A1346" s="45" t="s">
        <v>3799</v>
      </c>
      <c r="B1346" s="45" t="s">
        <v>3799</v>
      </c>
      <c r="C1346" s="55">
        <v>45885</v>
      </c>
      <c r="D1346" s="45" t="s">
        <v>422</v>
      </c>
      <c r="E1346" s="45" t="s">
        <v>3747</v>
      </c>
      <c r="G1346" s="38">
        <v>118</v>
      </c>
      <c r="H1346" s="38">
        <v>118</v>
      </c>
      <c r="K1346" s="38"/>
      <c r="L1346" s="38">
        <f t="shared" si="21"/>
        <v>0</v>
      </c>
    </row>
    <row r="1347" spans="1:12" ht="14.5" x14ac:dyDescent="0.35">
      <c r="A1347" s="45" t="s">
        <v>3799</v>
      </c>
      <c r="B1347" s="45" t="s">
        <v>3799</v>
      </c>
      <c r="C1347" s="55">
        <v>45885</v>
      </c>
      <c r="D1347" s="45" t="s">
        <v>422</v>
      </c>
      <c r="E1347" s="45" t="s">
        <v>3625</v>
      </c>
      <c r="G1347" s="38">
        <v>48</v>
      </c>
      <c r="H1347" s="38">
        <v>48</v>
      </c>
      <c r="K1347" s="38"/>
      <c r="L1347" s="38">
        <f t="shared" si="21"/>
        <v>0</v>
      </c>
    </row>
    <row r="1348" spans="1:12" ht="14.5" x14ac:dyDescent="0.35">
      <c r="A1348" s="45" t="s">
        <v>3799</v>
      </c>
      <c r="B1348" s="45" t="s">
        <v>3799</v>
      </c>
      <c r="C1348" s="55">
        <v>45885</v>
      </c>
      <c r="D1348" s="45" t="s">
        <v>66</v>
      </c>
      <c r="E1348" s="45" t="s">
        <v>3780</v>
      </c>
      <c r="G1348" s="38">
        <v>542</v>
      </c>
      <c r="H1348" s="38">
        <v>542</v>
      </c>
      <c r="K1348" s="38"/>
      <c r="L1348" s="38">
        <f t="shared" si="21"/>
        <v>0</v>
      </c>
    </row>
    <row r="1349" spans="1:12" ht="14.5" x14ac:dyDescent="0.35">
      <c r="A1349" s="45" t="s">
        <v>3799</v>
      </c>
      <c r="B1349" s="45" t="s">
        <v>3799</v>
      </c>
      <c r="C1349" s="55">
        <v>45885</v>
      </c>
      <c r="D1349" s="45" t="s">
        <v>422</v>
      </c>
      <c r="E1349" s="45" t="s">
        <v>3628</v>
      </c>
      <c r="G1349" s="38">
        <v>48</v>
      </c>
      <c r="H1349" s="38">
        <v>48</v>
      </c>
      <c r="K1349" s="38"/>
      <c r="L1349" s="38">
        <f t="shared" si="21"/>
        <v>0</v>
      </c>
    </row>
    <row r="1350" spans="1:12" ht="14.5" x14ac:dyDescent="0.35">
      <c r="A1350" s="45" t="s">
        <v>3799</v>
      </c>
      <c r="B1350" s="45" t="s">
        <v>3799</v>
      </c>
      <c r="C1350" s="55">
        <v>45885</v>
      </c>
      <c r="D1350" s="45" t="s">
        <v>422</v>
      </c>
      <c r="E1350" s="45" t="s">
        <v>3969</v>
      </c>
      <c r="G1350" s="38">
        <v>9</v>
      </c>
      <c r="H1350" s="38">
        <v>9</v>
      </c>
      <c r="K1350" s="38"/>
      <c r="L1350" s="38">
        <f t="shared" si="21"/>
        <v>0</v>
      </c>
    </row>
    <row r="1351" spans="1:12" ht="14.5" x14ac:dyDescent="0.35">
      <c r="A1351" s="45" t="s">
        <v>3799</v>
      </c>
      <c r="B1351" s="45" t="s">
        <v>3799</v>
      </c>
      <c r="C1351" s="55">
        <v>45885</v>
      </c>
      <c r="D1351" s="45" t="s">
        <v>716</v>
      </c>
      <c r="E1351" s="45" t="s">
        <v>724</v>
      </c>
      <c r="G1351" s="38">
        <v>990</v>
      </c>
      <c r="H1351" s="38">
        <v>990</v>
      </c>
      <c r="K1351" s="38"/>
      <c r="L1351" s="38">
        <f t="shared" si="21"/>
        <v>0</v>
      </c>
    </row>
    <row r="1352" spans="1:12" ht="14.5" x14ac:dyDescent="0.35">
      <c r="A1352" s="45" t="s">
        <v>3799</v>
      </c>
      <c r="B1352" s="45" t="s">
        <v>3799</v>
      </c>
      <c r="C1352" s="55">
        <v>45885</v>
      </c>
      <c r="D1352" s="45" t="s">
        <v>66</v>
      </c>
      <c r="E1352" s="45" t="s">
        <v>3782</v>
      </c>
      <c r="G1352" s="38">
        <v>325</v>
      </c>
      <c r="H1352" s="38">
        <v>325</v>
      </c>
      <c r="K1352" s="38"/>
      <c r="L1352" s="38">
        <f t="shared" si="21"/>
        <v>0</v>
      </c>
    </row>
    <row r="1353" spans="1:12" ht="14.5" x14ac:dyDescent="0.35">
      <c r="A1353" s="45" t="s">
        <v>3799</v>
      </c>
      <c r="B1353" s="45" t="s">
        <v>3799</v>
      </c>
      <c r="C1353" s="55">
        <v>45887</v>
      </c>
      <c r="D1353" s="45" t="s">
        <v>422</v>
      </c>
      <c r="E1353" s="45" t="s">
        <v>3691</v>
      </c>
      <c r="G1353" s="38">
        <v>121</v>
      </c>
      <c r="H1353" s="38">
        <v>121</v>
      </c>
      <c r="K1353" s="38"/>
      <c r="L1353" s="38">
        <f t="shared" si="21"/>
        <v>0</v>
      </c>
    </row>
    <row r="1354" spans="1:12" ht="14.5" x14ac:dyDescent="0.35">
      <c r="A1354" s="45" t="s">
        <v>3799</v>
      </c>
      <c r="B1354" s="45" t="s">
        <v>3799</v>
      </c>
      <c r="C1354" s="55">
        <v>45887</v>
      </c>
      <c r="D1354" s="45" t="s">
        <v>422</v>
      </c>
      <c r="E1354" s="45" t="s">
        <v>3612</v>
      </c>
      <c r="G1354" s="38">
        <v>109</v>
      </c>
      <c r="H1354" s="38">
        <v>241</v>
      </c>
      <c r="K1354" s="38"/>
      <c r="L1354" s="38">
        <f t="shared" si="21"/>
        <v>-132</v>
      </c>
    </row>
    <row r="1355" spans="1:12" ht="14.5" x14ac:dyDescent="0.35">
      <c r="A1355" s="45" t="s">
        <v>3799</v>
      </c>
      <c r="B1355" s="45" t="s">
        <v>3799</v>
      </c>
      <c r="C1355" s="55">
        <v>45887</v>
      </c>
      <c r="D1355" s="45" t="s">
        <v>422</v>
      </c>
      <c r="E1355" s="45" t="s">
        <v>3692</v>
      </c>
      <c r="G1355" s="38">
        <v>110</v>
      </c>
      <c r="H1355" s="38">
        <v>110</v>
      </c>
      <c r="K1355" s="38"/>
      <c r="L1355" s="38">
        <f t="shared" si="21"/>
        <v>0</v>
      </c>
    </row>
    <row r="1356" spans="1:12" ht="14.5" x14ac:dyDescent="0.35">
      <c r="A1356" s="45" t="s">
        <v>3799</v>
      </c>
      <c r="B1356" s="45" t="s">
        <v>3799</v>
      </c>
      <c r="C1356" s="55">
        <v>45887</v>
      </c>
      <c r="D1356" s="45" t="s">
        <v>422</v>
      </c>
      <c r="E1356" s="45" t="s">
        <v>3693</v>
      </c>
      <c r="G1356" s="38">
        <v>109</v>
      </c>
      <c r="H1356" s="38">
        <v>109</v>
      </c>
      <c r="K1356" s="38"/>
      <c r="L1356" s="38">
        <f t="shared" si="21"/>
        <v>0</v>
      </c>
    </row>
    <row r="1357" spans="1:12" ht="14.5" x14ac:dyDescent="0.35">
      <c r="A1357" s="45" t="s">
        <v>3799</v>
      </c>
      <c r="B1357" s="45" t="s">
        <v>3799</v>
      </c>
      <c r="C1357" s="55">
        <v>45887</v>
      </c>
      <c r="D1357" s="45" t="s">
        <v>422</v>
      </c>
      <c r="E1357" s="45" t="s">
        <v>3694</v>
      </c>
      <c r="G1357" s="38">
        <v>109</v>
      </c>
      <c r="H1357" s="38">
        <v>109</v>
      </c>
      <c r="K1357" s="38"/>
      <c r="L1357" s="38">
        <f t="shared" si="21"/>
        <v>0</v>
      </c>
    </row>
    <row r="1358" spans="1:12" ht="14.5" x14ac:dyDescent="0.35">
      <c r="A1358" s="45" t="s">
        <v>3799</v>
      </c>
      <c r="B1358" s="45" t="s">
        <v>3799</v>
      </c>
      <c r="C1358" s="55">
        <v>45887</v>
      </c>
      <c r="D1358" s="45" t="s">
        <v>422</v>
      </c>
      <c r="E1358" s="45" t="s">
        <v>483</v>
      </c>
      <c r="G1358" s="38">
        <v>109</v>
      </c>
      <c r="H1358" s="38">
        <v>109</v>
      </c>
      <c r="K1358" s="38"/>
      <c r="L1358" s="38">
        <f t="shared" si="21"/>
        <v>0</v>
      </c>
    </row>
    <row r="1359" spans="1:12" ht="14.5" x14ac:dyDescent="0.35">
      <c r="A1359" s="45" t="s">
        <v>3799</v>
      </c>
      <c r="B1359" s="45" t="s">
        <v>3799</v>
      </c>
      <c r="C1359" s="55">
        <v>45887</v>
      </c>
      <c r="D1359" s="45" t="s">
        <v>422</v>
      </c>
      <c r="E1359" s="45" t="s">
        <v>3702</v>
      </c>
      <c r="G1359" s="38">
        <v>109.99999999999999</v>
      </c>
      <c r="H1359" s="38">
        <v>110</v>
      </c>
      <c r="K1359" s="38"/>
      <c r="L1359" s="38">
        <f t="shared" si="21"/>
        <v>0</v>
      </c>
    </row>
    <row r="1360" spans="1:12" ht="14.5" x14ac:dyDescent="0.35">
      <c r="A1360" s="45" t="s">
        <v>3799</v>
      </c>
      <c r="B1360" s="45" t="s">
        <v>3799</v>
      </c>
      <c r="C1360" s="55">
        <v>45887</v>
      </c>
      <c r="D1360" s="45" t="s">
        <v>422</v>
      </c>
      <c r="E1360" s="45" t="s">
        <v>3704</v>
      </c>
      <c r="G1360" s="38">
        <v>137.75</v>
      </c>
      <c r="H1360" s="38">
        <v>137.75</v>
      </c>
      <c r="K1360" s="38"/>
      <c r="L1360" s="38">
        <f t="shared" si="21"/>
        <v>0</v>
      </c>
    </row>
    <row r="1361" spans="1:12" ht="14.5" x14ac:dyDescent="0.35">
      <c r="A1361" s="45" t="s">
        <v>3799</v>
      </c>
      <c r="B1361" s="45" t="s">
        <v>3799</v>
      </c>
      <c r="C1361" s="55">
        <v>45887</v>
      </c>
      <c r="D1361" s="45" t="s">
        <v>422</v>
      </c>
      <c r="E1361" s="45" t="s">
        <v>3709</v>
      </c>
      <c r="G1361" s="38">
        <v>137.75</v>
      </c>
      <c r="H1361" s="38">
        <v>137.75</v>
      </c>
      <c r="K1361" s="38"/>
      <c r="L1361" s="38">
        <f t="shared" si="21"/>
        <v>0</v>
      </c>
    </row>
    <row r="1362" spans="1:12" ht="14.5" x14ac:dyDescent="0.35">
      <c r="A1362" s="45" t="s">
        <v>3799</v>
      </c>
      <c r="B1362" s="45" t="s">
        <v>3799</v>
      </c>
      <c r="C1362" s="55">
        <v>45887</v>
      </c>
      <c r="D1362" s="45" t="s">
        <v>422</v>
      </c>
      <c r="E1362" s="45" t="s">
        <v>3712</v>
      </c>
      <c r="G1362" s="38">
        <v>121</v>
      </c>
      <c r="H1362" s="38">
        <v>121</v>
      </c>
      <c r="K1362" s="38"/>
      <c r="L1362" s="38">
        <f t="shared" si="21"/>
        <v>0</v>
      </c>
    </row>
    <row r="1363" spans="1:12" ht="14.5" x14ac:dyDescent="0.35">
      <c r="A1363" s="45" t="s">
        <v>3799</v>
      </c>
      <c r="B1363" s="45" t="s">
        <v>3799</v>
      </c>
      <c r="C1363" s="55">
        <v>45887</v>
      </c>
      <c r="D1363" s="45" t="s">
        <v>422</v>
      </c>
      <c r="E1363" s="45" t="s">
        <v>3719</v>
      </c>
      <c r="G1363" s="38">
        <v>120</v>
      </c>
      <c r="H1363" s="38">
        <v>120</v>
      </c>
      <c r="K1363" s="38"/>
      <c r="L1363" s="38">
        <f t="shared" si="21"/>
        <v>0</v>
      </c>
    </row>
    <row r="1364" spans="1:12" ht="14.5" x14ac:dyDescent="0.35">
      <c r="A1364" s="45" t="s">
        <v>3799</v>
      </c>
      <c r="B1364" s="45" t="s">
        <v>3799</v>
      </c>
      <c r="C1364" s="55">
        <v>45887</v>
      </c>
      <c r="D1364" s="45" t="s">
        <v>422</v>
      </c>
      <c r="E1364" s="45" t="s">
        <v>3720</v>
      </c>
      <c r="G1364" s="38">
        <v>137.75</v>
      </c>
      <c r="H1364" s="38">
        <v>137.75</v>
      </c>
      <c r="K1364" s="38"/>
      <c r="L1364" s="38">
        <f t="shared" si="21"/>
        <v>0</v>
      </c>
    </row>
    <row r="1365" spans="1:12" ht="14.5" x14ac:dyDescent="0.35">
      <c r="A1365" s="45" t="s">
        <v>3799</v>
      </c>
      <c r="B1365" s="45" t="s">
        <v>3799</v>
      </c>
      <c r="C1365" s="55">
        <v>45887</v>
      </c>
      <c r="D1365" s="45" t="s">
        <v>422</v>
      </c>
      <c r="E1365" s="45" t="s">
        <v>3722</v>
      </c>
      <c r="G1365" s="38">
        <v>137.75</v>
      </c>
      <c r="H1365" s="38">
        <v>137.75</v>
      </c>
      <c r="K1365" s="38"/>
      <c r="L1365" s="38">
        <f t="shared" si="21"/>
        <v>0</v>
      </c>
    </row>
    <row r="1366" spans="1:12" ht="14.5" x14ac:dyDescent="0.35">
      <c r="A1366" s="45" t="s">
        <v>3799</v>
      </c>
      <c r="B1366" s="45" t="s">
        <v>3799</v>
      </c>
      <c r="C1366" s="55">
        <v>45887</v>
      </c>
      <c r="D1366" s="45" t="s">
        <v>422</v>
      </c>
      <c r="E1366" s="45" t="s">
        <v>600</v>
      </c>
      <c r="G1366" s="38">
        <v>121</v>
      </c>
      <c r="H1366" s="38">
        <v>121</v>
      </c>
      <c r="K1366" s="38"/>
      <c r="L1366" s="38">
        <f t="shared" si="21"/>
        <v>0</v>
      </c>
    </row>
    <row r="1367" spans="1:12" ht="14.5" x14ac:dyDescent="0.35">
      <c r="A1367" s="45" t="s">
        <v>3799</v>
      </c>
      <c r="B1367" s="45" t="s">
        <v>3799</v>
      </c>
      <c r="C1367" s="55">
        <v>45887</v>
      </c>
      <c r="D1367" s="45" t="s">
        <v>422</v>
      </c>
      <c r="E1367" s="45" t="s">
        <v>596</v>
      </c>
      <c r="G1367" s="38">
        <v>1365</v>
      </c>
      <c r="H1367" s="38">
        <v>1365</v>
      </c>
      <c r="K1367" s="38"/>
      <c r="L1367" s="38">
        <f t="shared" si="21"/>
        <v>0</v>
      </c>
    </row>
    <row r="1368" spans="1:12" ht="14.5" x14ac:dyDescent="0.35">
      <c r="A1368" s="45" t="s">
        <v>3799</v>
      </c>
      <c r="B1368" s="45" t="s">
        <v>3799</v>
      </c>
      <c r="C1368" s="55">
        <v>45887</v>
      </c>
      <c r="D1368" s="45" t="s">
        <v>422</v>
      </c>
      <c r="E1368" s="45" t="s">
        <v>3725</v>
      </c>
      <c r="G1368" s="38">
        <v>275.49999999999994</v>
      </c>
      <c r="H1368" s="38">
        <v>275.5</v>
      </c>
      <c r="K1368" s="38"/>
      <c r="L1368" s="38">
        <f t="shared" si="21"/>
        <v>0</v>
      </c>
    </row>
    <row r="1369" spans="1:12" ht="14.5" x14ac:dyDescent="0.35">
      <c r="A1369" s="45" t="s">
        <v>3799</v>
      </c>
      <c r="B1369" s="45" t="s">
        <v>3799</v>
      </c>
      <c r="C1369" s="55">
        <v>45887</v>
      </c>
      <c r="D1369" s="45" t="s">
        <v>422</v>
      </c>
      <c r="E1369" s="45" t="s">
        <v>3737</v>
      </c>
      <c r="G1369" s="38">
        <v>351</v>
      </c>
      <c r="H1369" s="38">
        <v>351</v>
      </c>
      <c r="K1369" s="38"/>
      <c r="L1369" s="38">
        <f t="shared" si="21"/>
        <v>0</v>
      </c>
    </row>
    <row r="1370" spans="1:12" ht="14.5" x14ac:dyDescent="0.35">
      <c r="A1370" s="45" t="s">
        <v>3799</v>
      </c>
      <c r="B1370" s="45" t="s">
        <v>3799</v>
      </c>
      <c r="C1370" s="55">
        <v>45887</v>
      </c>
      <c r="D1370" s="45" t="s">
        <v>422</v>
      </c>
      <c r="E1370" s="45" t="s">
        <v>3739</v>
      </c>
      <c r="G1370" s="38">
        <v>218</v>
      </c>
      <c r="H1370" s="38">
        <v>218</v>
      </c>
      <c r="K1370" s="38"/>
      <c r="L1370" s="38">
        <f t="shared" si="21"/>
        <v>0</v>
      </c>
    </row>
    <row r="1371" spans="1:12" ht="14.5" x14ac:dyDescent="0.35">
      <c r="A1371" s="45" t="s">
        <v>3799</v>
      </c>
      <c r="B1371" s="45" t="s">
        <v>3799</v>
      </c>
      <c r="C1371" s="55">
        <v>45887</v>
      </c>
      <c r="D1371" s="45" t="s">
        <v>422</v>
      </c>
      <c r="E1371" s="45" t="s">
        <v>3741</v>
      </c>
      <c r="G1371" s="38">
        <v>121</v>
      </c>
      <c r="H1371" s="38">
        <v>121</v>
      </c>
      <c r="K1371" s="38"/>
      <c r="L1371" s="38">
        <f t="shared" si="21"/>
        <v>0</v>
      </c>
    </row>
    <row r="1372" spans="1:12" ht="14.5" x14ac:dyDescent="0.35">
      <c r="A1372" s="45" t="s">
        <v>3799</v>
      </c>
      <c r="B1372" s="45" t="s">
        <v>3799</v>
      </c>
      <c r="C1372" s="55">
        <v>45887</v>
      </c>
      <c r="D1372" s="45" t="s">
        <v>422</v>
      </c>
      <c r="E1372" s="45" t="s">
        <v>3742</v>
      </c>
      <c r="G1372" s="38">
        <v>137.75</v>
      </c>
      <c r="H1372" s="38">
        <v>137.75</v>
      </c>
      <c r="K1372" s="38"/>
      <c r="L1372" s="38">
        <f t="shared" si="21"/>
        <v>0</v>
      </c>
    </row>
    <row r="1373" spans="1:12" ht="14.5" x14ac:dyDescent="0.35">
      <c r="A1373" s="45" t="s">
        <v>3799</v>
      </c>
      <c r="B1373" s="45" t="s">
        <v>3799</v>
      </c>
      <c r="C1373" s="55">
        <v>45887</v>
      </c>
      <c r="D1373" s="45" t="s">
        <v>422</v>
      </c>
      <c r="E1373" s="45" t="s">
        <v>3743</v>
      </c>
      <c r="G1373" s="38">
        <v>120</v>
      </c>
      <c r="H1373" s="38">
        <v>120</v>
      </c>
      <c r="K1373" s="38"/>
      <c r="L1373" s="38">
        <f t="shared" si="21"/>
        <v>0</v>
      </c>
    </row>
    <row r="1374" spans="1:12" ht="14.5" x14ac:dyDescent="0.35">
      <c r="A1374" s="45" t="s">
        <v>3799</v>
      </c>
      <c r="B1374" s="45" t="s">
        <v>3799</v>
      </c>
      <c r="C1374" s="55">
        <v>45887</v>
      </c>
      <c r="D1374" s="45" t="s">
        <v>422</v>
      </c>
      <c r="E1374" s="45" t="s">
        <v>3744</v>
      </c>
      <c r="G1374" s="38">
        <v>137.75</v>
      </c>
      <c r="H1374" s="38">
        <v>137.75</v>
      </c>
      <c r="K1374" s="38"/>
      <c r="L1374" s="38">
        <f t="shared" si="21"/>
        <v>0</v>
      </c>
    </row>
    <row r="1375" spans="1:12" ht="14.5" x14ac:dyDescent="0.35">
      <c r="A1375" s="45" t="s">
        <v>3799</v>
      </c>
      <c r="B1375" s="45" t="s">
        <v>3799</v>
      </c>
      <c r="C1375" s="55">
        <v>45887</v>
      </c>
      <c r="D1375" s="45" t="s">
        <v>422</v>
      </c>
      <c r="E1375" s="45" t="s">
        <v>3745</v>
      </c>
      <c r="G1375" s="38">
        <v>109</v>
      </c>
      <c r="H1375" s="38">
        <v>109</v>
      </c>
      <c r="K1375" s="38"/>
      <c r="L1375" s="38">
        <f t="shared" si="21"/>
        <v>0</v>
      </c>
    </row>
    <row r="1376" spans="1:12" ht="14.5" x14ac:dyDescent="0.35">
      <c r="A1376" s="45" t="s">
        <v>3799</v>
      </c>
      <c r="B1376" s="45" t="s">
        <v>3799</v>
      </c>
      <c r="C1376" s="55">
        <v>45887</v>
      </c>
      <c r="D1376" s="45" t="s">
        <v>422</v>
      </c>
      <c r="E1376" s="45" t="s">
        <v>3746</v>
      </c>
      <c r="G1376" s="38">
        <v>110</v>
      </c>
      <c r="H1376" s="38">
        <v>110</v>
      </c>
      <c r="K1376" s="38"/>
      <c r="L1376" s="38">
        <f t="shared" si="21"/>
        <v>0</v>
      </c>
    </row>
    <row r="1377" spans="1:12" ht="14.5" x14ac:dyDescent="0.35">
      <c r="A1377" s="45" t="s">
        <v>3799</v>
      </c>
      <c r="B1377" s="45" t="s">
        <v>3799</v>
      </c>
      <c r="C1377" s="55">
        <v>45887</v>
      </c>
      <c r="D1377" s="45" t="s">
        <v>422</v>
      </c>
      <c r="E1377" s="45" t="s">
        <v>3748</v>
      </c>
      <c r="G1377" s="38">
        <v>109</v>
      </c>
      <c r="H1377" s="38">
        <v>109</v>
      </c>
      <c r="K1377" s="38"/>
      <c r="L1377" s="38">
        <f t="shared" si="21"/>
        <v>0</v>
      </c>
    </row>
    <row r="1378" spans="1:12" ht="14.5" x14ac:dyDescent="0.35">
      <c r="A1378" s="45" t="s">
        <v>3799</v>
      </c>
      <c r="B1378" s="45" t="s">
        <v>3799</v>
      </c>
      <c r="C1378" s="55">
        <v>45887</v>
      </c>
      <c r="D1378" s="45" t="s">
        <v>422</v>
      </c>
      <c r="E1378" s="45" t="s">
        <v>3750</v>
      </c>
      <c r="G1378" s="38">
        <v>137.75</v>
      </c>
      <c r="H1378" s="38">
        <v>137.75</v>
      </c>
      <c r="K1378" s="38"/>
      <c r="L1378" s="38">
        <f t="shared" si="21"/>
        <v>0</v>
      </c>
    </row>
    <row r="1379" spans="1:12" ht="14.5" x14ac:dyDescent="0.35">
      <c r="A1379" s="45" t="s">
        <v>3799</v>
      </c>
      <c r="B1379" s="45" t="s">
        <v>3799</v>
      </c>
      <c r="C1379" s="55">
        <v>45887</v>
      </c>
      <c r="D1379" s="45" t="s">
        <v>422</v>
      </c>
      <c r="E1379" s="45" t="s">
        <v>3753</v>
      </c>
      <c r="G1379" s="38">
        <v>137.75</v>
      </c>
      <c r="H1379" s="38">
        <v>137.75</v>
      </c>
      <c r="K1379" s="38"/>
      <c r="L1379" s="38">
        <f t="shared" si="21"/>
        <v>0</v>
      </c>
    </row>
    <row r="1380" spans="1:12" ht="14.5" x14ac:dyDescent="0.35">
      <c r="A1380" s="45" t="s">
        <v>3799</v>
      </c>
      <c r="B1380" s="45" t="s">
        <v>3799</v>
      </c>
      <c r="C1380" s="55">
        <v>45887</v>
      </c>
      <c r="D1380" s="45" t="s">
        <v>422</v>
      </c>
      <c r="E1380" s="45" t="s">
        <v>3754</v>
      </c>
      <c r="G1380" s="38">
        <v>109</v>
      </c>
      <c r="H1380" s="38">
        <v>109</v>
      </c>
      <c r="K1380" s="38"/>
      <c r="L1380" s="38">
        <f t="shared" si="21"/>
        <v>0</v>
      </c>
    </row>
    <row r="1381" spans="1:12" ht="14.5" x14ac:dyDescent="0.35">
      <c r="A1381" s="45" t="s">
        <v>3799</v>
      </c>
      <c r="B1381" s="45" t="s">
        <v>3799</v>
      </c>
      <c r="C1381" s="55">
        <v>45887</v>
      </c>
      <c r="D1381" s="45" t="s">
        <v>422</v>
      </c>
      <c r="E1381" s="45" t="s">
        <v>3758</v>
      </c>
      <c r="G1381" s="38">
        <v>121</v>
      </c>
      <c r="H1381" s="38">
        <v>121</v>
      </c>
      <c r="K1381" s="38"/>
      <c r="L1381" s="38">
        <f t="shared" si="21"/>
        <v>0</v>
      </c>
    </row>
    <row r="1382" spans="1:12" ht="14.5" x14ac:dyDescent="0.35">
      <c r="A1382" s="45" t="s">
        <v>3799</v>
      </c>
      <c r="B1382" s="45" t="s">
        <v>3799</v>
      </c>
      <c r="C1382" s="55">
        <v>45887</v>
      </c>
      <c r="D1382" s="45" t="s">
        <v>422</v>
      </c>
      <c r="E1382" s="45" t="s">
        <v>628</v>
      </c>
      <c r="G1382" s="38">
        <v>229</v>
      </c>
      <c r="H1382" s="38">
        <v>229</v>
      </c>
      <c r="K1382" s="38"/>
      <c r="L1382" s="38">
        <f t="shared" si="21"/>
        <v>0</v>
      </c>
    </row>
    <row r="1383" spans="1:12" ht="14.5" x14ac:dyDescent="0.35">
      <c r="A1383" s="45" t="s">
        <v>3799</v>
      </c>
      <c r="B1383" s="45" t="s">
        <v>3799</v>
      </c>
      <c r="C1383" s="55">
        <v>45887</v>
      </c>
      <c r="D1383" s="45" t="s">
        <v>422</v>
      </c>
      <c r="E1383" s="45" t="s">
        <v>3761</v>
      </c>
      <c r="G1383" s="38">
        <v>137.75</v>
      </c>
      <c r="H1383" s="38">
        <v>137.75</v>
      </c>
      <c r="K1383" s="38"/>
      <c r="L1383" s="38">
        <f t="shared" si="21"/>
        <v>0</v>
      </c>
    </row>
    <row r="1384" spans="1:12" ht="14.5" x14ac:dyDescent="0.35">
      <c r="A1384" s="45" t="s">
        <v>3799</v>
      </c>
      <c r="B1384" s="45" t="s">
        <v>3799</v>
      </c>
      <c r="C1384" s="55">
        <v>45887</v>
      </c>
      <c r="D1384" s="45" t="s">
        <v>422</v>
      </c>
      <c r="E1384" s="45" t="s">
        <v>3762</v>
      </c>
      <c r="G1384" s="38">
        <v>137.75000000000003</v>
      </c>
      <c r="H1384" s="38">
        <v>137.75</v>
      </c>
      <c r="K1384" s="38"/>
      <c r="L1384" s="38">
        <f t="shared" si="21"/>
        <v>0</v>
      </c>
    </row>
    <row r="1385" spans="1:12" ht="14.5" x14ac:dyDescent="0.35">
      <c r="A1385" s="45" t="s">
        <v>3799</v>
      </c>
      <c r="B1385" s="45" t="s">
        <v>3799</v>
      </c>
      <c r="C1385" s="55">
        <v>45887</v>
      </c>
      <c r="D1385" s="45" t="s">
        <v>422</v>
      </c>
      <c r="E1385" s="45" t="s">
        <v>551</v>
      </c>
      <c r="G1385" s="38">
        <v>109</v>
      </c>
      <c r="H1385" s="38">
        <v>109</v>
      </c>
      <c r="K1385" s="38"/>
      <c r="L1385" s="38">
        <f t="shared" si="21"/>
        <v>0</v>
      </c>
    </row>
    <row r="1386" spans="1:12" ht="14.5" x14ac:dyDescent="0.35">
      <c r="A1386" s="45" t="s">
        <v>3799</v>
      </c>
      <c r="B1386" s="45" t="s">
        <v>3799</v>
      </c>
      <c r="C1386" s="55">
        <v>45887</v>
      </c>
      <c r="D1386" s="45" t="s">
        <v>422</v>
      </c>
      <c r="E1386" s="45" t="s">
        <v>3763</v>
      </c>
      <c r="G1386" s="38">
        <v>120</v>
      </c>
      <c r="H1386" s="38">
        <v>120</v>
      </c>
      <c r="K1386" s="38"/>
      <c r="L1386" s="38">
        <f t="shared" si="21"/>
        <v>0</v>
      </c>
    </row>
    <row r="1387" spans="1:12" ht="14.5" x14ac:dyDescent="0.35">
      <c r="A1387" s="45" t="s">
        <v>3799</v>
      </c>
      <c r="B1387" s="45" t="s">
        <v>3799</v>
      </c>
      <c r="C1387" s="55">
        <v>45887</v>
      </c>
      <c r="D1387" s="45" t="s">
        <v>422</v>
      </c>
      <c r="E1387" s="45" t="s">
        <v>3765</v>
      </c>
      <c r="G1387" s="38">
        <v>120</v>
      </c>
      <c r="H1387" s="38">
        <v>120</v>
      </c>
      <c r="K1387" s="38"/>
      <c r="L1387" s="38">
        <f t="shared" si="21"/>
        <v>0</v>
      </c>
    </row>
    <row r="1388" spans="1:12" ht="14.5" x14ac:dyDescent="0.35">
      <c r="A1388" s="45" t="s">
        <v>3799</v>
      </c>
      <c r="B1388" s="45" t="s">
        <v>3799</v>
      </c>
      <c r="C1388" s="55">
        <v>45887</v>
      </c>
      <c r="D1388" s="45" t="s">
        <v>422</v>
      </c>
      <c r="E1388" s="45" t="s">
        <v>3766</v>
      </c>
      <c r="G1388" s="38">
        <v>137.75</v>
      </c>
      <c r="H1388" s="38">
        <v>137.75</v>
      </c>
      <c r="K1388" s="38"/>
      <c r="L1388" s="38">
        <f t="shared" si="21"/>
        <v>0</v>
      </c>
    </row>
    <row r="1389" spans="1:12" ht="14.5" x14ac:dyDescent="0.35">
      <c r="A1389" s="45" t="s">
        <v>3799</v>
      </c>
      <c r="B1389" s="45" t="s">
        <v>3799</v>
      </c>
      <c r="C1389" s="55">
        <v>45887</v>
      </c>
      <c r="D1389" s="45" t="s">
        <v>422</v>
      </c>
      <c r="E1389" s="45" t="s">
        <v>3767</v>
      </c>
      <c r="G1389" s="38">
        <v>109</v>
      </c>
      <c r="H1389" s="38">
        <v>109</v>
      </c>
      <c r="K1389" s="38"/>
      <c r="L1389" s="38">
        <f t="shared" si="21"/>
        <v>0</v>
      </c>
    </row>
    <row r="1390" spans="1:12" ht="14.5" x14ac:dyDescent="0.35">
      <c r="A1390" s="45" t="s">
        <v>3799</v>
      </c>
      <c r="B1390" s="45" t="s">
        <v>3799</v>
      </c>
      <c r="C1390" s="55">
        <v>45887</v>
      </c>
      <c r="D1390" s="45" t="s">
        <v>422</v>
      </c>
      <c r="E1390" s="45" t="s">
        <v>3768</v>
      </c>
      <c r="G1390" s="38">
        <v>120</v>
      </c>
      <c r="H1390" s="38">
        <v>120</v>
      </c>
      <c r="K1390" s="38"/>
      <c r="L1390" s="38">
        <f t="shared" si="21"/>
        <v>0</v>
      </c>
    </row>
    <row r="1391" spans="1:12" ht="14.5" x14ac:dyDescent="0.35">
      <c r="A1391" s="45" t="s">
        <v>3799</v>
      </c>
      <c r="B1391" s="45" t="s">
        <v>3799</v>
      </c>
      <c r="C1391" s="55">
        <v>45887</v>
      </c>
      <c r="D1391" s="45" t="s">
        <v>422</v>
      </c>
      <c r="E1391" s="45" t="s">
        <v>3769</v>
      </c>
      <c r="G1391" s="38">
        <v>120</v>
      </c>
      <c r="H1391" s="38">
        <v>120</v>
      </c>
      <c r="K1391" s="38"/>
      <c r="L1391" s="38">
        <f t="shared" si="21"/>
        <v>0</v>
      </c>
    </row>
    <row r="1392" spans="1:12" ht="14.5" x14ac:dyDescent="0.35">
      <c r="A1392" s="45" t="s">
        <v>3799</v>
      </c>
      <c r="B1392" s="45" t="s">
        <v>3799</v>
      </c>
      <c r="C1392" s="55">
        <v>45887</v>
      </c>
      <c r="D1392" s="45" t="s">
        <v>422</v>
      </c>
      <c r="E1392" s="45" t="s">
        <v>3770</v>
      </c>
      <c r="G1392" s="38">
        <v>120</v>
      </c>
      <c r="H1392" s="38">
        <v>120</v>
      </c>
      <c r="K1392" s="38"/>
      <c r="L1392" s="38">
        <f t="shared" si="21"/>
        <v>0</v>
      </c>
    </row>
    <row r="1393" spans="1:12" ht="14.5" x14ac:dyDescent="0.35">
      <c r="A1393" s="45" t="s">
        <v>3799</v>
      </c>
      <c r="B1393" s="45" t="s">
        <v>3799</v>
      </c>
      <c r="C1393" s="55">
        <v>45887</v>
      </c>
      <c r="D1393" s="45" t="s">
        <v>422</v>
      </c>
      <c r="E1393" s="45" t="s">
        <v>3771</v>
      </c>
      <c r="G1393" s="38">
        <v>230</v>
      </c>
      <c r="H1393" s="38">
        <v>230</v>
      </c>
      <c r="K1393" s="38"/>
      <c r="L1393" s="38">
        <f t="shared" si="21"/>
        <v>0</v>
      </c>
    </row>
    <row r="1394" spans="1:12" ht="14.5" x14ac:dyDescent="0.35">
      <c r="A1394" s="45" t="s">
        <v>3799</v>
      </c>
      <c r="B1394" s="45" t="s">
        <v>3799</v>
      </c>
      <c r="C1394" s="55">
        <v>45887</v>
      </c>
      <c r="D1394" s="45" t="s">
        <v>422</v>
      </c>
      <c r="E1394" s="45" t="s">
        <v>3773</v>
      </c>
      <c r="G1394" s="38">
        <v>120</v>
      </c>
      <c r="H1394" s="38">
        <v>120</v>
      </c>
      <c r="K1394" s="38"/>
      <c r="L1394" s="38">
        <f t="shared" si="21"/>
        <v>0</v>
      </c>
    </row>
    <row r="1395" spans="1:12" ht="14.5" x14ac:dyDescent="0.35">
      <c r="A1395" s="45" t="s">
        <v>3799</v>
      </c>
      <c r="B1395" s="45" t="s">
        <v>3799</v>
      </c>
      <c r="C1395" s="55">
        <v>45887</v>
      </c>
      <c r="D1395" s="45" t="s">
        <v>422</v>
      </c>
      <c r="E1395" s="45" t="s">
        <v>3774</v>
      </c>
      <c r="G1395" s="38">
        <v>137.75</v>
      </c>
      <c r="H1395" s="38">
        <v>137.75</v>
      </c>
      <c r="K1395" s="38"/>
      <c r="L1395" s="38">
        <f t="shared" si="21"/>
        <v>0</v>
      </c>
    </row>
    <row r="1396" spans="1:12" ht="14.5" x14ac:dyDescent="0.35">
      <c r="A1396" s="45" t="s">
        <v>3799</v>
      </c>
      <c r="B1396" s="45" t="s">
        <v>3799</v>
      </c>
      <c r="C1396" s="55">
        <v>45887</v>
      </c>
      <c r="D1396" s="45" t="s">
        <v>422</v>
      </c>
      <c r="E1396" s="45" t="s">
        <v>3777</v>
      </c>
      <c r="G1396" s="38">
        <v>120</v>
      </c>
      <c r="H1396" s="38">
        <v>120</v>
      </c>
      <c r="K1396" s="38"/>
      <c r="L1396" s="38">
        <f t="shared" si="21"/>
        <v>0</v>
      </c>
    </row>
    <row r="1397" spans="1:12" ht="14.5" x14ac:dyDescent="0.35">
      <c r="A1397" s="45" t="s">
        <v>3799</v>
      </c>
      <c r="B1397" s="45" t="s">
        <v>3799</v>
      </c>
      <c r="C1397" s="55">
        <v>45887</v>
      </c>
      <c r="D1397" s="45" t="s">
        <v>66</v>
      </c>
      <c r="E1397" s="45" t="s">
        <v>76</v>
      </c>
      <c r="G1397" s="38">
        <v>856.73000000000013</v>
      </c>
      <c r="H1397" s="38">
        <v>52.5</v>
      </c>
      <c r="K1397" s="38"/>
      <c r="L1397" s="38">
        <f t="shared" si="21"/>
        <v>804.23000000000013</v>
      </c>
    </row>
    <row r="1398" spans="1:12" ht="14.5" x14ac:dyDescent="0.35">
      <c r="A1398" s="45" t="s">
        <v>3799</v>
      </c>
      <c r="B1398" s="45" t="s">
        <v>3799</v>
      </c>
      <c r="C1398" s="55">
        <v>45888</v>
      </c>
      <c r="D1398" s="45" t="s">
        <v>96</v>
      </c>
      <c r="E1398" s="45" t="s">
        <v>3970</v>
      </c>
      <c r="G1398" s="38">
        <v>110</v>
      </c>
      <c r="H1398" s="38">
        <v>110</v>
      </c>
      <c r="K1398" s="38"/>
      <c r="L1398" s="38">
        <f t="shared" si="21"/>
        <v>0</v>
      </c>
    </row>
    <row r="1399" spans="1:12" ht="14.5" x14ac:dyDescent="0.35">
      <c r="A1399" s="45" t="s">
        <v>3799</v>
      </c>
      <c r="B1399" s="45" t="s">
        <v>3799</v>
      </c>
      <c r="C1399" s="55">
        <v>45888</v>
      </c>
      <c r="D1399" s="45" t="s">
        <v>96</v>
      </c>
      <c r="E1399" s="45" t="s">
        <v>3971</v>
      </c>
      <c r="G1399" s="38">
        <v>210</v>
      </c>
      <c r="H1399" s="38">
        <v>210</v>
      </c>
      <c r="K1399" s="38"/>
      <c r="L1399" s="38">
        <f t="shared" si="21"/>
        <v>0</v>
      </c>
    </row>
    <row r="1400" spans="1:12" ht="14.5" x14ac:dyDescent="0.35">
      <c r="A1400" s="45" t="s">
        <v>3799</v>
      </c>
      <c r="B1400" s="45" t="s">
        <v>3799</v>
      </c>
      <c r="C1400" s="55">
        <v>45889</v>
      </c>
      <c r="D1400" s="45" t="s">
        <v>716</v>
      </c>
      <c r="E1400" s="45" t="s">
        <v>3972</v>
      </c>
      <c r="G1400" s="38">
        <v>0</v>
      </c>
      <c r="H1400" s="38">
        <v>0.2</v>
      </c>
      <c r="K1400" s="38"/>
      <c r="L1400" s="38">
        <f t="shared" ref="L1400:L1463" si="22">G1400-H1400</f>
        <v>-0.2</v>
      </c>
    </row>
    <row r="1401" spans="1:12" ht="14.5" x14ac:dyDescent="0.35">
      <c r="A1401" s="45" t="s">
        <v>3799</v>
      </c>
      <c r="B1401" s="45" t="s">
        <v>3799</v>
      </c>
      <c r="C1401" s="55">
        <v>45890</v>
      </c>
      <c r="D1401" s="45" t="s">
        <v>819</v>
      </c>
      <c r="E1401" s="45" t="s">
        <v>3973</v>
      </c>
      <c r="G1401" s="38">
        <v>200</v>
      </c>
      <c r="H1401" s="38">
        <v>200</v>
      </c>
      <c r="K1401" s="38"/>
      <c r="L1401" s="38">
        <f t="shared" si="22"/>
        <v>0</v>
      </c>
    </row>
    <row r="1402" spans="1:12" ht="14.5" x14ac:dyDescent="0.35">
      <c r="A1402" s="45" t="s">
        <v>3799</v>
      </c>
      <c r="B1402" s="45" t="s">
        <v>3799</v>
      </c>
      <c r="C1402" s="55">
        <v>45890</v>
      </c>
      <c r="D1402" s="45" t="s">
        <v>324</v>
      </c>
      <c r="E1402" s="45" t="s">
        <v>3974</v>
      </c>
      <c r="G1402" s="38">
        <v>446.48</v>
      </c>
      <c r="H1402" s="38">
        <v>0</v>
      </c>
      <c r="K1402" s="38"/>
      <c r="L1402" s="38">
        <f t="shared" si="22"/>
        <v>446.48</v>
      </c>
    </row>
    <row r="1403" spans="1:12" ht="14.5" x14ac:dyDescent="0.35">
      <c r="A1403" s="45" t="s">
        <v>3799</v>
      </c>
      <c r="B1403" s="45" t="s">
        <v>3799</v>
      </c>
      <c r="C1403" s="55">
        <v>45890</v>
      </c>
      <c r="D1403" s="45" t="s">
        <v>324</v>
      </c>
      <c r="E1403" s="45" t="s">
        <v>3975</v>
      </c>
      <c r="G1403" s="38">
        <v>264.45</v>
      </c>
      <c r="H1403" s="38">
        <v>264.45</v>
      </c>
      <c r="K1403" s="38"/>
      <c r="L1403" s="38">
        <f t="shared" si="22"/>
        <v>0</v>
      </c>
    </row>
    <row r="1404" spans="1:12" ht="14.5" x14ac:dyDescent="0.35">
      <c r="A1404" s="45" t="s">
        <v>3799</v>
      </c>
      <c r="B1404" s="45" t="s">
        <v>3799</v>
      </c>
      <c r="C1404" s="55">
        <v>45890</v>
      </c>
      <c r="D1404" s="45" t="s">
        <v>422</v>
      </c>
      <c r="E1404" s="45" t="s">
        <v>3976</v>
      </c>
      <c r="G1404" s="38">
        <v>0</v>
      </c>
      <c r="H1404" s="38">
        <v>101.4</v>
      </c>
      <c r="K1404" s="38"/>
      <c r="L1404" s="38">
        <f t="shared" si="22"/>
        <v>-101.4</v>
      </c>
    </row>
    <row r="1405" spans="1:12" ht="14.5" x14ac:dyDescent="0.35">
      <c r="A1405" s="45" t="s">
        <v>3799</v>
      </c>
      <c r="B1405" s="45" t="s">
        <v>3799</v>
      </c>
      <c r="C1405" s="55">
        <v>45890</v>
      </c>
      <c r="D1405" s="45" t="s">
        <v>324</v>
      </c>
      <c r="E1405" s="45" t="s">
        <v>3977</v>
      </c>
      <c r="G1405" s="38">
        <v>738.63</v>
      </c>
      <c r="H1405" s="38">
        <v>0</v>
      </c>
      <c r="K1405" s="38"/>
      <c r="L1405" s="38">
        <f t="shared" si="22"/>
        <v>738.63</v>
      </c>
    </row>
    <row r="1406" spans="1:12" ht="14.5" x14ac:dyDescent="0.35">
      <c r="A1406" s="45" t="s">
        <v>3799</v>
      </c>
      <c r="B1406" s="45" t="s">
        <v>3799</v>
      </c>
      <c r="C1406" s="55">
        <v>45890</v>
      </c>
      <c r="D1406" s="45" t="s">
        <v>324</v>
      </c>
      <c r="E1406" s="45" t="s">
        <v>3978</v>
      </c>
      <c r="G1406" s="38">
        <v>573.75</v>
      </c>
      <c r="H1406" s="38">
        <v>0</v>
      </c>
      <c r="K1406" s="38"/>
      <c r="L1406" s="38">
        <f t="shared" si="22"/>
        <v>573.75</v>
      </c>
    </row>
    <row r="1407" spans="1:12" ht="14.5" x14ac:dyDescent="0.35">
      <c r="A1407" s="45" t="s">
        <v>3799</v>
      </c>
      <c r="B1407" s="45" t="s">
        <v>3799</v>
      </c>
      <c r="C1407" s="55">
        <v>45893</v>
      </c>
      <c r="D1407" s="45" t="s">
        <v>324</v>
      </c>
      <c r="E1407" s="45" t="s">
        <v>3611</v>
      </c>
      <c r="G1407" s="38">
        <v>0</v>
      </c>
      <c r="H1407" s="38">
        <v>14666.45</v>
      </c>
      <c r="K1407" s="38"/>
      <c r="L1407" s="38">
        <f t="shared" si="22"/>
        <v>-14666.45</v>
      </c>
    </row>
    <row r="1408" spans="1:12" ht="14.5" x14ac:dyDescent="0.35">
      <c r="A1408" s="45" t="s">
        <v>3799</v>
      </c>
      <c r="B1408" s="45" t="s">
        <v>3799</v>
      </c>
      <c r="C1408" s="55">
        <v>45894</v>
      </c>
      <c r="D1408" s="45" t="s">
        <v>716</v>
      </c>
      <c r="E1408" s="45" t="s">
        <v>729</v>
      </c>
      <c r="G1408" s="38">
        <v>3582.92</v>
      </c>
      <c r="H1408" s="38">
        <v>3582.92</v>
      </c>
      <c r="K1408" s="38"/>
      <c r="L1408" s="38">
        <f t="shared" si="22"/>
        <v>0</v>
      </c>
    </row>
    <row r="1409" spans="1:12" ht="14.5" x14ac:dyDescent="0.35">
      <c r="A1409" s="45" t="s">
        <v>3799</v>
      </c>
      <c r="B1409" s="45" t="s">
        <v>3799</v>
      </c>
      <c r="C1409" s="55">
        <v>45894</v>
      </c>
      <c r="D1409" s="45" t="s">
        <v>716</v>
      </c>
      <c r="E1409" s="45" t="s">
        <v>730</v>
      </c>
      <c r="G1409" s="38">
        <v>3583.9999999999982</v>
      </c>
      <c r="H1409" s="38">
        <v>3584</v>
      </c>
      <c r="K1409" s="38"/>
      <c r="L1409" s="38">
        <f t="shared" si="22"/>
        <v>0</v>
      </c>
    </row>
    <row r="1410" spans="1:12" ht="14.5" x14ac:dyDescent="0.35">
      <c r="A1410" s="45" t="s">
        <v>3799</v>
      </c>
      <c r="B1410" s="45" t="s">
        <v>3799</v>
      </c>
      <c r="C1410" s="55">
        <v>45894</v>
      </c>
      <c r="D1410" s="45" t="s">
        <v>819</v>
      </c>
      <c r="E1410" s="45" t="s">
        <v>845</v>
      </c>
      <c r="G1410" s="38">
        <v>4950.0000000000009</v>
      </c>
      <c r="H1410" s="38">
        <v>4950</v>
      </c>
      <c r="K1410" s="38"/>
      <c r="L1410" s="38">
        <f t="shared" si="22"/>
        <v>0</v>
      </c>
    </row>
    <row r="1411" spans="1:12" ht="14.5" x14ac:dyDescent="0.35">
      <c r="A1411" s="45" t="s">
        <v>3799</v>
      </c>
      <c r="B1411" s="45" t="s">
        <v>3799</v>
      </c>
      <c r="C1411" s="55">
        <v>45894</v>
      </c>
      <c r="D1411" s="45" t="s">
        <v>34</v>
      </c>
      <c r="E1411" s="45" t="s">
        <v>3979</v>
      </c>
      <c r="G1411" s="38">
        <v>4697</v>
      </c>
      <c r="H1411" s="38">
        <v>4697</v>
      </c>
      <c r="K1411" s="38"/>
      <c r="L1411" s="38">
        <f t="shared" si="22"/>
        <v>0</v>
      </c>
    </row>
    <row r="1412" spans="1:12" ht="14.5" x14ac:dyDescent="0.35">
      <c r="A1412" s="45" t="s">
        <v>3799</v>
      </c>
      <c r="B1412" s="45" t="s">
        <v>3799</v>
      </c>
      <c r="C1412" s="55">
        <v>45894</v>
      </c>
      <c r="D1412" s="45" t="s">
        <v>82</v>
      </c>
      <c r="E1412" s="45" t="s">
        <v>84</v>
      </c>
      <c r="G1412" s="38">
        <v>5512.0000000000036</v>
      </c>
      <c r="H1412" s="38">
        <v>5512</v>
      </c>
      <c r="K1412" s="38"/>
      <c r="L1412" s="38">
        <f t="shared" si="22"/>
        <v>0</v>
      </c>
    </row>
    <row r="1413" spans="1:12" ht="14.5" x14ac:dyDescent="0.35">
      <c r="A1413" s="45" t="s">
        <v>3799</v>
      </c>
      <c r="B1413" s="45" t="s">
        <v>3799</v>
      </c>
      <c r="C1413" s="55">
        <v>45894</v>
      </c>
      <c r="D1413" s="45" t="s">
        <v>716</v>
      </c>
      <c r="E1413" s="45" t="s">
        <v>731</v>
      </c>
      <c r="G1413" s="38">
        <v>14982.4</v>
      </c>
      <c r="H1413" s="38">
        <v>4482</v>
      </c>
      <c r="K1413" s="38"/>
      <c r="L1413" s="38">
        <f t="shared" si="22"/>
        <v>10500.4</v>
      </c>
    </row>
    <row r="1414" spans="1:12" ht="14.5" x14ac:dyDescent="0.35">
      <c r="A1414" s="45" t="s">
        <v>3799</v>
      </c>
      <c r="B1414" s="45" t="s">
        <v>3799</v>
      </c>
      <c r="C1414" s="55">
        <v>45894</v>
      </c>
      <c r="D1414" s="45" t="s">
        <v>34</v>
      </c>
      <c r="E1414" s="45" t="s">
        <v>47</v>
      </c>
      <c r="G1414" s="38">
        <v>9704.7900000000009</v>
      </c>
      <c r="H1414" s="38">
        <v>4650.6100000000006</v>
      </c>
      <c r="K1414" s="38"/>
      <c r="L1414" s="38">
        <f t="shared" si="22"/>
        <v>5054.18</v>
      </c>
    </row>
    <row r="1415" spans="1:12" ht="14.5" x14ac:dyDescent="0.35">
      <c r="A1415" s="45" t="s">
        <v>3799</v>
      </c>
      <c r="B1415" s="45" t="s">
        <v>3799</v>
      </c>
      <c r="C1415" s="55">
        <v>45894</v>
      </c>
      <c r="D1415" s="45" t="s">
        <v>34</v>
      </c>
      <c r="E1415" s="45" t="s">
        <v>45</v>
      </c>
      <c r="G1415" s="38">
        <v>4602</v>
      </c>
      <c r="H1415" s="38">
        <v>4602</v>
      </c>
      <c r="K1415" s="38"/>
      <c r="L1415" s="38">
        <f t="shared" si="22"/>
        <v>0</v>
      </c>
    </row>
    <row r="1416" spans="1:12" ht="14.5" x14ac:dyDescent="0.35">
      <c r="A1416" s="45" t="s">
        <v>3799</v>
      </c>
      <c r="B1416" s="45" t="s">
        <v>3799</v>
      </c>
      <c r="C1416" s="55">
        <v>45894</v>
      </c>
      <c r="D1416" s="45" t="s">
        <v>34</v>
      </c>
      <c r="E1416" s="45" t="s">
        <v>40</v>
      </c>
      <c r="G1416" s="38">
        <v>14309.02</v>
      </c>
      <c r="H1416" s="38">
        <v>2348</v>
      </c>
      <c r="K1416" s="38"/>
      <c r="L1416" s="38">
        <f t="shared" si="22"/>
        <v>11961.02</v>
      </c>
    </row>
    <row r="1417" spans="1:12" ht="14.5" x14ac:dyDescent="0.35">
      <c r="A1417" s="45" t="s">
        <v>3799</v>
      </c>
      <c r="B1417" s="45" t="s">
        <v>3799</v>
      </c>
      <c r="C1417" s="55">
        <v>45895</v>
      </c>
      <c r="D1417" s="45" t="s">
        <v>422</v>
      </c>
      <c r="E1417" s="45" t="s">
        <v>3663</v>
      </c>
      <c r="G1417" s="38">
        <v>135</v>
      </c>
      <c r="H1417" s="38">
        <v>135</v>
      </c>
      <c r="K1417" s="38"/>
      <c r="L1417" s="38">
        <f t="shared" si="22"/>
        <v>0</v>
      </c>
    </row>
    <row r="1418" spans="1:12" ht="14.5" x14ac:dyDescent="0.35">
      <c r="A1418" s="45" t="s">
        <v>3799</v>
      </c>
      <c r="B1418" s="45" t="s">
        <v>3799</v>
      </c>
      <c r="C1418" s="55">
        <v>45895</v>
      </c>
      <c r="D1418" s="45" t="s">
        <v>3929</v>
      </c>
      <c r="E1418" s="45" t="s">
        <v>3980</v>
      </c>
      <c r="G1418" s="38">
        <v>7249.2500000000009</v>
      </c>
      <c r="H1418" s="38">
        <v>0</v>
      </c>
      <c r="K1418" s="38"/>
      <c r="L1418" s="38">
        <f t="shared" si="22"/>
        <v>7249.2500000000009</v>
      </c>
    </row>
    <row r="1419" spans="1:12" ht="14.5" x14ac:dyDescent="0.35">
      <c r="A1419" s="45" t="s">
        <v>3799</v>
      </c>
      <c r="B1419" s="45" t="s">
        <v>3799</v>
      </c>
      <c r="C1419" s="55">
        <v>45895</v>
      </c>
      <c r="D1419" s="45" t="s">
        <v>422</v>
      </c>
      <c r="E1419" s="45" t="s">
        <v>3981</v>
      </c>
      <c r="G1419" s="38">
        <v>198</v>
      </c>
      <c r="H1419" s="38">
        <v>198</v>
      </c>
      <c r="K1419" s="38"/>
      <c r="L1419" s="38">
        <f t="shared" si="22"/>
        <v>0</v>
      </c>
    </row>
    <row r="1420" spans="1:12" ht="14.5" x14ac:dyDescent="0.35">
      <c r="A1420" s="45" t="s">
        <v>3799</v>
      </c>
      <c r="B1420" s="45" t="s">
        <v>3799</v>
      </c>
      <c r="C1420" s="55">
        <v>45895</v>
      </c>
      <c r="D1420" s="45" t="s">
        <v>422</v>
      </c>
      <c r="E1420" s="45" t="s">
        <v>3715</v>
      </c>
      <c r="G1420" s="38">
        <v>199</v>
      </c>
      <c r="H1420" s="38">
        <v>199</v>
      </c>
      <c r="K1420" s="38"/>
      <c r="L1420" s="38">
        <f t="shared" si="22"/>
        <v>0</v>
      </c>
    </row>
    <row r="1421" spans="1:12" ht="14.5" x14ac:dyDescent="0.35">
      <c r="A1421" s="45" t="s">
        <v>3799</v>
      </c>
      <c r="B1421" s="45" t="s">
        <v>3799</v>
      </c>
      <c r="C1421" s="55">
        <v>45895</v>
      </c>
      <c r="D1421" s="45" t="s">
        <v>422</v>
      </c>
      <c r="E1421" s="45" t="s">
        <v>3675</v>
      </c>
      <c r="G1421" s="38">
        <v>136</v>
      </c>
      <c r="H1421" s="38">
        <v>136</v>
      </c>
      <c r="K1421" s="38"/>
      <c r="L1421" s="38">
        <f t="shared" si="22"/>
        <v>0</v>
      </c>
    </row>
    <row r="1422" spans="1:12" ht="14.5" x14ac:dyDescent="0.35">
      <c r="A1422" s="45" t="s">
        <v>3799</v>
      </c>
      <c r="B1422" s="45" t="s">
        <v>3799</v>
      </c>
      <c r="C1422" s="55">
        <v>45895</v>
      </c>
      <c r="D1422" s="45" t="s">
        <v>422</v>
      </c>
      <c r="E1422" s="45" t="s">
        <v>3676</v>
      </c>
      <c r="G1422" s="38">
        <v>135.5</v>
      </c>
      <c r="H1422" s="38">
        <v>135.5</v>
      </c>
      <c r="K1422" s="38"/>
      <c r="L1422" s="38">
        <f t="shared" si="22"/>
        <v>0</v>
      </c>
    </row>
    <row r="1423" spans="1:12" ht="14.5" x14ac:dyDescent="0.35">
      <c r="A1423" s="45" t="s">
        <v>3799</v>
      </c>
      <c r="B1423" s="45" t="s">
        <v>3799</v>
      </c>
      <c r="C1423" s="55">
        <v>45895</v>
      </c>
      <c r="D1423" s="45" t="s">
        <v>422</v>
      </c>
      <c r="E1423" s="45" t="s">
        <v>3679</v>
      </c>
      <c r="G1423" s="38">
        <v>136</v>
      </c>
      <c r="H1423" s="38">
        <v>136</v>
      </c>
      <c r="K1423" s="38"/>
      <c r="L1423" s="38">
        <f t="shared" si="22"/>
        <v>0</v>
      </c>
    </row>
    <row r="1424" spans="1:12" ht="14.5" x14ac:dyDescent="0.35">
      <c r="A1424" s="45" t="s">
        <v>3799</v>
      </c>
      <c r="B1424" s="45" t="s">
        <v>3799</v>
      </c>
      <c r="C1424" s="55">
        <v>45895</v>
      </c>
      <c r="D1424" s="45" t="s">
        <v>422</v>
      </c>
      <c r="E1424" s="45" t="s">
        <v>3982</v>
      </c>
      <c r="G1424" s="38">
        <v>198.99999999999997</v>
      </c>
      <c r="H1424" s="38">
        <v>199</v>
      </c>
      <c r="K1424" s="38"/>
      <c r="L1424" s="38">
        <f t="shared" si="22"/>
        <v>0</v>
      </c>
    </row>
    <row r="1425" spans="1:12" ht="14.5" x14ac:dyDescent="0.35">
      <c r="A1425" s="45" t="s">
        <v>3799</v>
      </c>
      <c r="B1425" s="45" t="s">
        <v>3799</v>
      </c>
      <c r="C1425" s="55">
        <v>45895</v>
      </c>
      <c r="D1425" s="45" t="s">
        <v>96</v>
      </c>
      <c r="E1425" s="45" t="s">
        <v>98</v>
      </c>
      <c r="G1425" s="38">
        <v>3650.62</v>
      </c>
      <c r="H1425" s="38">
        <v>0</v>
      </c>
      <c r="K1425" s="38"/>
      <c r="L1425" s="38">
        <f t="shared" si="22"/>
        <v>3650.62</v>
      </c>
    </row>
    <row r="1426" spans="1:12" ht="14.5" x14ac:dyDescent="0.35">
      <c r="A1426" s="45" t="s">
        <v>3799</v>
      </c>
      <c r="B1426" s="45" t="s">
        <v>3799</v>
      </c>
      <c r="C1426" s="55">
        <v>45895</v>
      </c>
      <c r="D1426" s="45" t="s">
        <v>422</v>
      </c>
      <c r="E1426" s="45" t="s">
        <v>3751</v>
      </c>
      <c r="G1426" s="38">
        <v>65</v>
      </c>
      <c r="H1426" s="38">
        <v>65</v>
      </c>
      <c r="K1426" s="38"/>
      <c r="L1426" s="38">
        <f t="shared" si="22"/>
        <v>0</v>
      </c>
    </row>
    <row r="1427" spans="1:12" ht="14.5" x14ac:dyDescent="0.35">
      <c r="A1427" s="45" t="s">
        <v>3799</v>
      </c>
      <c r="B1427" s="45" t="s">
        <v>3799</v>
      </c>
      <c r="C1427" s="55">
        <v>45895</v>
      </c>
      <c r="D1427" s="45" t="s">
        <v>17</v>
      </c>
      <c r="E1427" s="45">
        <v>20250414</v>
      </c>
      <c r="G1427" s="38">
        <v>3785.09</v>
      </c>
      <c r="H1427" s="38">
        <v>0</v>
      </c>
      <c r="K1427" s="38"/>
      <c r="L1427" s="38">
        <f t="shared" si="22"/>
        <v>3785.09</v>
      </c>
    </row>
    <row r="1428" spans="1:12" ht="14.5" x14ac:dyDescent="0.35">
      <c r="A1428" s="45" t="s">
        <v>3799</v>
      </c>
      <c r="B1428" s="45" t="s">
        <v>3799</v>
      </c>
      <c r="C1428" s="55">
        <v>45895</v>
      </c>
      <c r="D1428" s="45" t="s">
        <v>96</v>
      </c>
      <c r="E1428" s="45" t="s">
        <v>3983</v>
      </c>
      <c r="G1428" s="38">
        <v>108.55000000000001</v>
      </c>
      <c r="H1428" s="38">
        <v>0</v>
      </c>
      <c r="K1428" s="38"/>
      <c r="L1428" s="38">
        <f t="shared" si="22"/>
        <v>108.55000000000001</v>
      </c>
    </row>
    <row r="1429" spans="1:12" ht="14.5" x14ac:dyDescent="0.35">
      <c r="A1429" s="45" t="s">
        <v>3799</v>
      </c>
      <c r="B1429" s="45" t="s">
        <v>3799</v>
      </c>
      <c r="C1429" s="55">
        <v>45896</v>
      </c>
      <c r="D1429" s="45" t="s">
        <v>422</v>
      </c>
      <c r="E1429" s="45" t="s">
        <v>3984</v>
      </c>
      <c r="G1429" s="38">
        <v>421</v>
      </c>
      <c r="H1429" s="38">
        <v>421</v>
      </c>
      <c r="K1429" s="38"/>
      <c r="L1429" s="38">
        <f t="shared" si="22"/>
        <v>0</v>
      </c>
    </row>
    <row r="1430" spans="1:12" ht="14.5" x14ac:dyDescent="0.35">
      <c r="A1430" s="45" t="s">
        <v>3799</v>
      </c>
      <c r="B1430" s="45" t="s">
        <v>3799</v>
      </c>
      <c r="C1430" s="55">
        <v>45896</v>
      </c>
      <c r="D1430" s="45" t="s">
        <v>422</v>
      </c>
      <c r="E1430" s="45" t="s">
        <v>3985</v>
      </c>
      <c r="G1430" s="38">
        <v>500.99999999999994</v>
      </c>
      <c r="H1430" s="38">
        <v>501</v>
      </c>
      <c r="K1430" s="38"/>
      <c r="L1430" s="38">
        <f t="shared" si="22"/>
        <v>0</v>
      </c>
    </row>
    <row r="1431" spans="1:12" ht="14.5" x14ac:dyDescent="0.35">
      <c r="A1431" s="45" t="s">
        <v>3799</v>
      </c>
      <c r="B1431" s="45" t="s">
        <v>3799</v>
      </c>
      <c r="C1431" s="55">
        <v>45896</v>
      </c>
      <c r="D1431" s="45" t="s">
        <v>422</v>
      </c>
      <c r="E1431" s="45" t="s">
        <v>3986</v>
      </c>
      <c r="G1431" s="38">
        <v>421</v>
      </c>
      <c r="H1431" s="38">
        <v>421</v>
      </c>
      <c r="K1431" s="38"/>
      <c r="L1431" s="38">
        <f t="shared" si="22"/>
        <v>0</v>
      </c>
    </row>
    <row r="1432" spans="1:12" ht="14.5" x14ac:dyDescent="0.35">
      <c r="A1432" s="45" t="s">
        <v>3799</v>
      </c>
      <c r="B1432" s="45" t="s">
        <v>3799</v>
      </c>
      <c r="C1432" s="55">
        <v>45896</v>
      </c>
      <c r="D1432" s="45" t="s">
        <v>422</v>
      </c>
      <c r="E1432" s="45" t="s">
        <v>3987</v>
      </c>
      <c r="G1432" s="38">
        <v>422</v>
      </c>
      <c r="H1432" s="38">
        <v>422</v>
      </c>
      <c r="K1432" s="38"/>
      <c r="L1432" s="38">
        <f t="shared" si="22"/>
        <v>0</v>
      </c>
    </row>
    <row r="1433" spans="1:12" ht="14.5" x14ac:dyDescent="0.35">
      <c r="A1433" s="45" t="s">
        <v>3799</v>
      </c>
      <c r="B1433" s="45" t="s">
        <v>3799</v>
      </c>
      <c r="C1433" s="55">
        <v>45896</v>
      </c>
      <c r="D1433" s="45" t="s">
        <v>422</v>
      </c>
      <c r="E1433" s="45" t="s">
        <v>665</v>
      </c>
      <c r="G1433" s="38">
        <v>422</v>
      </c>
      <c r="H1433" s="38">
        <v>422</v>
      </c>
      <c r="K1433" s="38"/>
      <c r="L1433" s="38">
        <f t="shared" si="22"/>
        <v>0</v>
      </c>
    </row>
    <row r="1434" spans="1:12" ht="14.5" x14ac:dyDescent="0.35">
      <c r="A1434" s="45" t="s">
        <v>3799</v>
      </c>
      <c r="B1434" s="45" t="s">
        <v>3799</v>
      </c>
      <c r="C1434" s="55">
        <v>45897</v>
      </c>
      <c r="D1434" s="45" t="s">
        <v>422</v>
      </c>
      <c r="E1434" s="45" t="s">
        <v>474</v>
      </c>
      <c r="G1434" s="38">
        <v>0</v>
      </c>
      <c r="H1434" s="38">
        <v>1901.47</v>
      </c>
      <c r="K1434" s="38"/>
      <c r="L1434" s="38">
        <f t="shared" si="22"/>
        <v>-1901.47</v>
      </c>
    </row>
    <row r="1435" spans="1:12" ht="14.5" x14ac:dyDescent="0.35">
      <c r="A1435" s="45" t="s">
        <v>3799</v>
      </c>
      <c r="B1435" s="45" t="s">
        <v>3799</v>
      </c>
      <c r="C1435" s="55">
        <v>45897</v>
      </c>
      <c r="D1435" s="45" t="s">
        <v>933</v>
      </c>
      <c r="E1435" s="45" t="s">
        <v>3598</v>
      </c>
      <c r="G1435" s="38">
        <v>0</v>
      </c>
      <c r="H1435" s="38">
        <v>3801.3999999999996</v>
      </c>
      <c r="K1435" s="38"/>
      <c r="L1435" s="38">
        <f t="shared" si="22"/>
        <v>-3801.3999999999996</v>
      </c>
    </row>
    <row r="1436" spans="1:12" ht="14.5" x14ac:dyDescent="0.35">
      <c r="A1436" s="45" t="s">
        <v>3799</v>
      </c>
      <c r="B1436" s="45" t="s">
        <v>3799</v>
      </c>
      <c r="C1436" s="55">
        <v>45898</v>
      </c>
      <c r="D1436" s="45" t="s">
        <v>793</v>
      </c>
      <c r="E1436" s="45" t="s">
        <v>3988</v>
      </c>
      <c r="G1436" s="38">
        <v>0</v>
      </c>
      <c r="H1436" s="38">
        <v>204.96000000000006</v>
      </c>
      <c r="K1436" s="38"/>
      <c r="L1436" s="38">
        <f t="shared" si="22"/>
        <v>-204.96000000000006</v>
      </c>
    </row>
    <row r="1437" spans="1:12" ht="14.5" x14ac:dyDescent="0.35">
      <c r="A1437" s="45" t="s">
        <v>3799</v>
      </c>
      <c r="B1437" s="45" t="s">
        <v>3799</v>
      </c>
      <c r="C1437" s="55">
        <v>45898</v>
      </c>
      <c r="D1437" s="45" t="s">
        <v>793</v>
      </c>
      <c r="E1437" s="45" t="s">
        <v>3989</v>
      </c>
      <c r="G1437" s="38">
        <v>0</v>
      </c>
      <c r="H1437" s="38">
        <v>17.89</v>
      </c>
      <c r="K1437" s="38"/>
      <c r="L1437" s="38">
        <f t="shared" si="22"/>
        <v>-17.89</v>
      </c>
    </row>
    <row r="1438" spans="1:12" ht="14.5" x14ac:dyDescent="0.35">
      <c r="A1438" s="45" t="s">
        <v>3799</v>
      </c>
      <c r="B1438" s="45" t="s">
        <v>3799</v>
      </c>
      <c r="C1438" s="55">
        <v>45898</v>
      </c>
      <c r="D1438" s="45" t="s">
        <v>736</v>
      </c>
      <c r="E1438" s="45" t="s">
        <v>3990</v>
      </c>
      <c r="G1438" s="38">
        <v>0</v>
      </c>
      <c r="H1438" s="38">
        <v>200</v>
      </c>
      <c r="K1438" s="38"/>
      <c r="L1438" s="38">
        <f t="shared" si="22"/>
        <v>-200</v>
      </c>
    </row>
    <row r="1439" spans="1:12" ht="14.5" x14ac:dyDescent="0.35">
      <c r="A1439" s="45" t="s">
        <v>3799</v>
      </c>
      <c r="B1439" s="45" t="s">
        <v>3799</v>
      </c>
      <c r="C1439" s="55">
        <v>45898</v>
      </c>
      <c r="D1439" s="45" t="s">
        <v>793</v>
      </c>
      <c r="E1439" s="45" t="s">
        <v>3991</v>
      </c>
      <c r="G1439" s="38">
        <v>0</v>
      </c>
      <c r="H1439" s="38">
        <v>156.19</v>
      </c>
      <c r="K1439" s="38"/>
      <c r="L1439" s="38">
        <f t="shared" si="22"/>
        <v>-156.19</v>
      </c>
    </row>
    <row r="1440" spans="1:12" ht="14.5" x14ac:dyDescent="0.35">
      <c r="A1440" s="45" t="s">
        <v>3799</v>
      </c>
      <c r="B1440" s="45" t="s">
        <v>3799</v>
      </c>
      <c r="C1440" s="55">
        <v>45898</v>
      </c>
      <c r="D1440" s="45" t="s">
        <v>863</v>
      </c>
      <c r="E1440" s="45" t="s">
        <v>3992</v>
      </c>
      <c r="G1440" s="38">
        <v>0</v>
      </c>
      <c r="H1440" s="38">
        <v>5402</v>
      </c>
      <c r="K1440" s="38"/>
      <c r="L1440" s="38">
        <f t="shared" si="22"/>
        <v>-5402</v>
      </c>
    </row>
    <row r="1441" spans="1:12" ht="14.5" x14ac:dyDescent="0.35">
      <c r="A1441" s="45" t="s">
        <v>3799</v>
      </c>
      <c r="B1441" s="45" t="s">
        <v>3799</v>
      </c>
      <c r="C1441" s="55">
        <v>45898</v>
      </c>
      <c r="D1441" s="45" t="s">
        <v>422</v>
      </c>
      <c r="E1441" s="45" t="s">
        <v>3993</v>
      </c>
      <c r="G1441" s="38">
        <v>80</v>
      </c>
      <c r="H1441" s="38">
        <v>80</v>
      </c>
      <c r="K1441" s="38"/>
      <c r="L1441" s="38">
        <f t="shared" si="22"/>
        <v>0</v>
      </c>
    </row>
    <row r="1442" spans="1:12" ht="14.5" x14ac:dyDescent="0.35">
      <c r="A1442" s="45" t="s">
        <v>3799</v>
      </c>
      <c r="B1442" s="45" t="s">
        <v>3799</v>
      </c>
      <c r="C1442" s="55">
        <v>45898</v>
      </c>
      <c r="D1442" s="45" t="s">
        <v>422</v>
      </c>
      <c r="E1442" s="45" t="s">
        <v>3994</v>
      </c>
      <c r="G1442" s="38">
        <v>80</v>
      </c>
      <c r="H1442" s="38">
        <v>80</v>
      </c>
      <c r="K1442" s="38"/>
      <c r="L1442" s="38">
        <f t="shared" si="22"/>
        <v>0</v>
      </c>
    </row>
    <row r="1443" spans="1:12" ht="14.5" x14ac:dyDescent="0.35">
      <c r="A1443" s="45" t="s">
        <v>3799</v>
      </c>
      <c r="B1443" s="45" t="s">
        <v>3799</v>
      </c>
      <c r="C1443" s="55">
        <v>45898</v>
      </c>
      <c r="D1443" s="45" t="s">
        <v>422</v>
      </c>
      <c r="E1443" s="45">
        <v>8302025</v>
      </c>
      <c r="G1443" s="38">
        <v>15330.109999999999</v>
      </c>
      <c r="H1443" s="38">
        <v>15330.109999999999</v>
      </c>
      <c r="K1443" s="38"/>
      <c r="L1443" s="38">
        <f t="shared" si="22"/>
        <v>0</v>
      </c>
    </row>
    <row r="1444" spans="1:12" ht="14.5" x14ac:dyDescent="0.35">
      <c r="A1444" s="45" t="s">
        <v>3799</v>
      </c>
      <c r="B1444" s="45" t="s">
        <v>3799</v>
      </c>
      <c r="C1444" s="55">
        <v>45898</v>
      </c>
      <c r="D1444" s="45" t="s">
        <v>874</v>
      </c>
      <c r="E1444" s="45">
        <v>25013074</v>
      </c>
      <c r="G1444" s="38">
        <v>4095</v>
      </c>
      <c r="H1444" s="38">
        <v>4095</v>
      </c>
      <c r="K1444" s="38"/>
      <c r="L1444" s="38">
        <f t="shared" si="22"/>
        <v>0</v>
      </c>
    </row>
    <row r="1445" spans="1:12" ht="14.5" x14ac:dyDescent="0.35">
      <c r="A1445" s="45" t="s">
        <v>3799</v>
      </c>
      <c r="B1445" s="45" t="s">
        <v>3799</v>
      </c>
      <c r="C1445" s="55">
        <v>45898</v>
      </c>
      <c r="D1445" s="45" t="s">
        <v>874</v>
      </c>
      <c r="E1445" s="45">
        <v>25013566</v>
      </c>
      <c r="G1445" s="38">
        <v>455</v>
      </c>
      <c r="H1445" s="38">
        <v>455</v>
      </c>
      <c r="K1445" s="38"/>
      <c r="L1445" s="38">
        <f t="shared" si="22"/>
        <v>0</v>
      </c>
    </row>
    <row r="1446" spans="1:12" ht="14.5" x14ac:dyDescent="0.35">
      <c r="A1446" s="45" t="s">
        <v>3799</v>
      </c>
      <c r="B1446" s="45" t="s">
        <v>3799</v>
      </c>
      <c r="C1446" s="55">
        <v>45899</v>
      </c>
      <c r="D1446" s="45" t="s">
        <v>422</v>
      </c>
      <c r="E1446" s="45" t="s">
        <v>3995</v>
      </c>
      <c r="G1446" s="38">
        <v>0</v>
      </c>
      <c r="H1446" s="38">
        <v>40.76</v>
      </c>
      <c r="K1446" s="38"/>
      <c r="L1446" s="38">
        <f t="shared" si="22"/>
        <v>-40.76</v>
      </c>
    </row>
    <row r="1447" spans="1:12" ht="14.5" x14ac:dyDescent="0.35">
      <c r="A1447" s="45" t="s">
        <v>3799</v>
      </c>
      <c r="B1447" s="45" t="s">
        <v>3799</v>
      </c>
      <c r="C1447" s="55">
        <v>45899</v>
      </c>
      <c r="D1447" s="45" t="s">
        <v>705</v>
      </c>
      <c r="E1447" s="45" t="s">
        <v>3996</v>
      </c>
      <c r="G1447" s="38">
        <v>0</v>
      </c>
      <c r="H1447" s="38">
        <v>130.5</v>
      </c>
      <c r="K1447" s="38"/>
      <c r="L1447" s="38">
        <f t="shared" si="22"/>
        <v>-130.5</v>
      </c>
    </row>
    <row r="1448" spans="1:12" ht="14.5" x14ac:dyDescent="0.35">
      <c r="A1448" s="45" t="s">
        <v>3799</v>
      </c>
      <c r="B1448" s="45" t="s">
        <v>3799</v>
      </c>
      <c r="C1448" s="55">
        <v>45899</v>
      </c>
      <c r="D1448" s="45" t="s">
        <v>705</v>
      </c>
      <c r="E1448" s="45" t="s">
        <v>709</v>
      </c>
      <c r="G1448" s="38">
        <v>0</v>
      </c>
      <c r="H1448" s="38">
        <v>915</v>
      </c>
      <c r="K1448" s="38"/>
      <c r="L1448" s="38">
        <f t="shared" si="22"/>
        <v>-915</v>
      </c>
    </row>
    <row r="1449" spans="1:12" ht="14.5" x14ac:dyDescent="0.35">
      <c r="A1449" s="45" t="s">
        <v>3799</v>
      </c>
      <c r="B1449" s="45" t="s">
        <v>3799</v>
      </c>
      <c r="C1449" s="55">
        <v>45899</v>
      </c>
      <c r="D1449" s="45" t="s">
        <v>3997</v>
      </c>
      <c r="E1449" s="45">
        <v>540748</v>
      </c>
      <c r="G1449" s="38">
        <v>0</v>
      </c>
      <c r="H1449" s="38">
        <v>149.33000000000001</v>
      </c>
      <c r="K1449" s="38"/>
      <c r="L1449" s="38">
        <f t="shared" si="22"/>
        <v>-149.33000000000001</v>
      </c>
    </row>
    <row r="1450" spans="1:12" ht="14.5" x14ac:dyDescent="0.35">
      <c r="A1450" s="45" t="s">
        <v>3799</v>
      </c>
      <c r="B1450" s="45" t="s">
        <v>3799</v>
      </c>
      <c r="C1450" s="55">
        <v>45899</v>
      </c>
      <c r="D1450" s="45" t="s">
        <v>705</v>
      </c>
      <c r="E1450" s="45" t="s">
        <v>3998</v>
      </c>
      <c r="G1450" s="38">
        <v>0</v>
      </c>
      <c r="H1450" s="38">
        <v>1101.83</v>
      </c>
      <c r="K1450" s="38"/>
      <c r="L1450" s="38">
        <f t="shared" si="22"/>
        <v>-1101.83</v>
      </c>
    </row>
    <row r="1451" spans="1:12" ht="14.5" x14ac:dyDescent="0.35">
      <c r="A1451" s="45" t="s">
        <v>3799</v>
      </c>
      <c r="B1451" s="45" t="s">
        <v>3799</v>
      </c>
      <c r="C1451" s="55">
        <v>45899</v>
      </c>
      <c r="D1451" s="45" t="s">
        <v>34</v>
      </c>
      <c r="E1451" s="45" t="s">
        <v>3999</v>
      </c>
      <c r="G1451" s="38">
        <v>0</v>
      </c>
      <c r="H1451" s="38">
        <v>505</v>
      </c>
      <c r="K1451" s="38"/>
      <c r="L1451" s="38">
        <f t="shared" si="22"/>
        <v>-505</v>
      </c>
    </row>
    <row r="1452" spans="1:12" ht="14.5" x14ac:dyDescent="0.35">
      <c r="A1452" s="45" t="s">
        <v>3799</v>
      </c>
      <c r="B1452" s="45" t="s">
        <v>3799</v>
      </c>
      <c r="C1452" s="55">
        <v>45899</v>
      </c>
      <c r="D1452" s="45" t="s">
        <v>422</v>
      </c>
      <c r="E1452" s="45" t="s">
        <v>4000</v>
      </c>
      <c r="G1452" s="38">
        <v>0</v>
      </c>
      <c r="H1452" s="38">
        <v>2781.67</v>
      </c>
      <c r="K1452" s="38"/>
      <c r="L1452" s="38">
        <f t="shared" si="22"/>
        <v>-2781.67</v>
      </c>
    </row>
    <row r="1453" spans="1:12" ht="14.5" x14ac:dyDescent="0.35">
      <c r="A1453" s="45" t="s">
        <v>3799</v>
      </c>
      <c r="B1453" s="45" t="s">
        <v>3799</v>
      </c>
      <c r="C1453" s="55">
        <v>45899</v>
      </c>
      <c r="D1453" s="45" t="s">
        <v>422</v>
      </c>
      <c r="E1453" s="45" t="s">
        <v>4001</v>
      </c>
      <c r="G1453" s="38">
        <v>0</v>
      </c>
      <c r="H1453" s="38">
        <v>180.5</v>
      </c>
      <c r="K1453" s="38"/>
      <c r="L1453" s="38">
        <f t="shared" si="22"/>
        <v>-180.5</v>
      </c>
    </row>
    <row r="1454" spans="1:12" ht="14.5" x14ac:dyDescent="0.35">
      <c r="A1454" s="45" t="s">
        <v>3799</v>
      </c>
      <c r="B1454" s="45" t="s">
        <v>3799</v>
      </c>
      <c r="C1454" s="55">
        <v>45899</v>
      </c>
      <c r="D1454" s="45" t="s">
        <v>3820</v>
      </c>
      <c r="E1454" s="45" t="s">
        <v>3821</v>
      </c>
      <c r="G1454" s="38">
        <v>0</v>
      </c>
      <c r="H1454" s="38">
        <v>240.00000000000009</v>
      </c>
      <c r="K1454" s="38"/>
      <c r="L1454" s="38">
        <f t="shared" si="22"/>
        <v>-240.00000000000009</v>
      </c>
    </row>
    <row r="1455" spans="1:12" ht="14.5" x14ac:dyDescent="0.35">
      <c r="A1455" s="45" t="s">
        <v>3799</v>
      </c>
      <c r="B1455" s="45" t="s">
        <v>3799</v>
      </c>
      <c r="C1455" s="55">
        <v>45899</v>
      </c>
      <c r="D1455" s="45" t="s">
        <v>3820</v>
      </c>
      <c r="E1455" s="45" t="s">
        <v>3822</v>
      </c>
      <c r="G1455" s="38">
        <v>0</v>
      </c>
      <c r="H1455" s="38">
        <v>39</v>
      </c>
      <c r="K1455" s="38"/>
      <c r="L1455" s="38">
        <f t="shared" si="22"/>
        <v>-39</v>
      </c>
    </row>
    <row r="1456" spans="1:12" ht="14.5" x14ac:dyDescent="0.35">
      <c r="A1456" s="45" t="s">
        <v>3799</v>
      </c>
      <c r="B1456" s="45" t="s">
        <v>3799</v>
      </c>
      <c r="C1456" s="55">
        <v>45899</v>
      </c>
      <c r="D1456" s="45" t="s">
        <v>3820</v>
      </c>
      <c r="E1456" s="45" t="s">
        <v>3823</v>
      </c>
      <c r="G1456" s="38">
        <v>0</v>
      </c>
      <c r="H1456" s="38">
        <v>159.99999999999997</v>
      </c>
      <c r="K1456" s="38"/>
      <c r="L1456" s="38">
        <f t="shared" si="22"/>
        <v>-159.99999999999997</v>
      </c>
    </row>
    <row r="1457" spans="1:12" ht="14.5" x14ac:dyDescent="0.35">
      <c r="A1457" s="45" t="s">
        <v>3799</v>
      </c>
      <c r="B1457" s="45" t="s">
        <v>3799</v>
      </c>
      <c r="C1457" s="55">
        <v>45899</v>
      </c>
      <c r="D1457" s="45" t="s">
        <v>884</v>
      </c>
      <c r="E1457" s="45">
        <v>24015762</v>
      </c>
      <c r="G1457" s="38">
        <v>0</v>
      </c>
      <c r="H1457" s="38">
        <v>1900</v>
      </c>
      <c r="K1457" s="38"/>
      <c r="L1457" s="38">
        <f t="shared" si="22"/>
        <v>-1900</v>
      </c>
    </row>
    <row r="1458" spans="1:12" ht="14.5" x14ac:dyDescent="0.35">
      <c r="A1458" s="45" t="s">
        <v>3799</v>
      </c>
      <c r="B1458" s="45" t="s">
        <v>3799</v>
      </c>
      <c r="C1458" s="55">
        <v>45899</v>
      </c>
      <c r="D1458" s="45" t="s">
        <v>50</v>
      </c>
      <c r="E1458" s="45" t="s">
        <v>53</v>
      </c>
      <c r="G1458" s="38">
        <v>0</v>
      </c>
      <c r="H1458" s="38">
        <v>551</v>
      </c>
      <c r="K1458" s="38"/>
      <c r="L1458" s="38">
        <f t="shared" si="22"/>
        <v>-551</v>
      </c>
    </row>
    <row r="1459" spans="1:12" ht="14.5" x14ac:dyDescent="0.35">
      <c r="A1459" s="45" t="s">
        <v>3799</v>
      </c>
      <c r="B1459" s="45" t="s">
        <v>3799</v>
      </c>
      <c r="C1459" s="55">
        <v>45899</v>
      </c>
      <c r="D1459" s="45" t="s">
        <v>422</v>
      </c>
      <c r="E1459" s="45" t="s">
        <v>4002</v>
      </c>
      <c r="G1459" s="38">
        <v>0</v>
      </c>
      <c r="H1459" s="38">
        <v>360</v>
      </c>
      <c r="K1459" s="38"/>
      <c r="L1459" s="38">
        <f t="shared" si="22"/>
        <v>-360</v>
      </c>
    </row>
    <row r="1460" spans="1:12" ht="14.5" x14ac:dyDescent="0.35">
      <c r="A1460" s="45" t="s">
        <v>3799</v>
      </c>
      <c r="B1460" s="45" t="s">
        <v>3799</v>
      </c>
      <c r="C1460" s="55">
        <v>45899</v>
      </c>
      <c r="D1460" s="45" t="s">
        <v>927</v>
      </c>
      <c r="E1460" s="45" t="s">
        <v>4003</v>
      </c>
      <c r="G1460" s="38">
        <v>0</v>
      </c>
      <c r="H1460" s="38">
        <v>75</v>
      </c>
      <c r="K1460" s="38"/>
      <c r="L1460" s="38">
        <f t="shared" si="22"/>
        <v>-75</v>
      </c>
    </row>
    <row r="1461" spans="1:12" ht="14.5" x14ac:dyDescent="0.35">
      <c r="A1461" s="45" t="s">
        <v>3799</v>
      </c>
      <c r="B1461" s="45" t="s">
        <v>3799</v>
      </c>
      <c r="C1461" s="55">
        <v>45899</v>
      </c>
      <c r="D1461" s="45" t="s">
        <v>422</v>
      </c>
      <c r="E1461" s="45" t="s">
        <v>4004</v>
      </c>
      <c r="G1461" s="38">
        <v>0</v>
      </c>
      <c r="H1461" s="38">
        <v>21553.23</v>
      </c>
      <c r="K1461" s="38"/>
      <c r="L1461" s="38">
        <f t="shared" si="22"/>
        <v>-21553.23</v>
      </c>
    </row>
    <row r="1462" spans="1:12" ht="14.5" x14ac:dyDescent="0.35">
      <c r="A1462" s="45" t="s">
        <v>3799</v>
      </c>
      <c r="B1462" s="45" t="s">
        <v>3799</v>
      </c>
      <c r="C1462" s="55">
        <v>45899</v>
      </c>
      <c r="D1462" s="45" t="s">
        <v>4005</v>
      </c>
      <c r="E1462" s="45" t="s">
        <v>4006</v>
      </c>
      <c r="G1462" s="38">
        <v>0</v>
      </c>
      <c r="H1462" s="38">
        <v>283.42</v>
      </c>
      <c r="K1462" s="38"/>
      <c r="L1462" s="38">
        <f t="shared" si="22"/>
        <v>-283.42</v>
      </c>
    </row>
    <row r="1463" spans="1:12" ht="14.5" x14ac:dyDescent="0.35">
      <c r="A1463" s="45" t="s">
        <v>3799</v>
      </c>
      <c r="B1463" s="45" t="s">
        <v>3799</v>
      </c>
      <c r="C1463" s="55">
        <v>45899</v>
      </c>
      <c r="D1463" s="45" t="s">
        <v>698</v>
      </c>
      <c r="E1463" s="45" t="s">
        <v>4007</v>
      </c>
      <c r="G1463" s="38">
        <v>0</v>
      </c>
      <c r="H1463" s="38">
        <v>282.83000000000004</v>
      </c>
      <c r="K1463" s="38"/>
      <c r="L1463" s="38">
        <f t="shared" si="22"/>
        <v>-282.83000000000004</v>
      </c>
    </row>
    <row r="1464" spans="1:12" ht="14.5" x14ac:dyDescent="0.35">
      <c r="A1464" s="45" t="s">
        <v>3799</v>
      </c>
      <c r="B1464" s="45" t="s">
        <v>3799</v>
      </c>
      <c r="C1464" s="55">
        <v>45899</v>
      </c>
      <c r="D1464" s="45" t="s">
        <v>422</v>
      </c>
      <c r="E1464" s="45" t="s">
        <v>4008</v>
      </c>
      <c r="G1464" s="38">
        <v>0</v>
      </c>
      <c r="H1464" s="38">
        <v>75</v>
      </c>
      <c r="K1464" s="38"/>
      <c r="L1464" s="38">
        <f t="shared" ref="L1464:L1501" si="23">G1464-H1464</f>
        <v>-75</v>
      </c>
    </row>
    <row r="1465" spans="1:12" ht="14.5" x14ac:dyDescent="0.35">
      <c r="A1465" s="45" t="s">
        <v>3799</v>
      </c>
      <c r="B1465" s="45" t="s">
        <v>3799</v>
      </c>
      <c r="C1465" s="55">
        <v>45899</v>
      </c>
      <c r="D1465" s="45" t="s">
        <v>819</v>
      </c>
      <c r="E1465" s="45" t="s">
        <v>4009</v>
      </c>
      <c r="G1465" s="38">
        <v>2200</v>
      </c>
      <c r="H1465" s="38">
        <v>0</v>
      </c>
      <c r="K1465" s="38"/>
      <c r="L1465" s="38">
        <f t="shared" si="23"/>
        <v>2200</v>
      </c>
    </row>
    <row r="1466" spans="1:12" ht="14.5" x14ac:dyDescent="0.35">
      <c r="A1466" s="45" t="s">
        <v>3799</v>
      </c>
      <c r="B1466" s="45" t="s">
        <v>3799</v>
      </c>
      <c r="C1466" s="55">
        <v>45899</v>
      </c>
      <c r="D1466" s="45" t="s">
        <v>879</v>
      </c>
      <c r="E1466" s="45" t="s">
        <v>4010</v>
      </c>
      <c r="G1466" s="38">
        <v>0</v>
      </c>
      <c r="H1466" s="38">
        <v>1402</v>
      </c>
      <c r="K1466" s="38"/>
      <c r="L1466" s="38">
        <f t="shared" si="23"/>
        <v>-1402</v>
      </c>
    </row>
    <row r="1467" spans="1:12" ht="14.5" x14ac:dyDescent="0.35">
      <c r="A1467" s="45" t="s">
        <v>3799</v>
      </c>
      <c r="B1467" s="45" t="s">
        <v>3799</v>
      </c>
      <c r="C1467" s="55">
        <v>45899</v>
      </c>
      <c r="D1467" s="45" t="s">
        <v>879</v>
      </c>
      <c r="E1467" s="45" t="s">
        <v>4011</v>
      </c>
      <c r="G1467" s="38">
        <v>0</v>
      </c>
      <c r="H1467" s="38">
        <v>1897.0000000000002</v>
      </c>
      <c r="K1467" s="38"/>
      <c r="L1467" s="38">
        <f t="shared" si="23"/>
        <v>-1897.0000000000002</v>
      </c>
    </row>
    <row r="1468" spans="1:12" ht="14.5" x14ac:dyDescent="0.35">
      <c r="A1468" s="45" t="s">
        <v>3799</v>
      </c>
      <c r="B1468" s="45" t="s">
        <v>3799</v>
      </c>
      <c r="C1468" s="55">
        <v>45899</v>
      </c>
      <c r="D1468" s="45" t="s">
        <v>422</v>
      </c>
      <c r="E1468" s="45" t="s">
        <v>540</v>
      </c>
      <c r="G1468" s="38">
        <v>0</v>
      </c>
      <c r="H1468" s="38">
        <v>608.66</v>
      </c>
      <c r="K1468" s="38"/>
      <c r="L1468" s="38">
        <f t="shared" si="23"/>
        <v>-608.66</v>
      </c>
    </row>
    <row r="1469" spans="1:12" ht="14.5" x14ac:dyDescent="0.35">
      <c r="A1469" s="45" t="s">
        <v>3799</v>
      </c>
      <c r="B1469" s="45" t="s">
        <v>3799</v>
      </c>
      <c r="C1469" s="55">
        <v>45899</v>
      </c>
      <c r="D1469" s="45" t="s">
        <v>879</v>
      </c>
      <c r="E1469" s="45" t="s">
        <v>4012</v>
      </c>
      <c r="G1469" s="38">
        <v>0</v>
      </c>
      <c r="H1469" s="38">
        <v>269.87</v>
      </c>
      <c r="K1469" s="38"/>
      <c r="L1469" s="38">
        <f t="shared" si="23"/>
        <v>-269.87</v>
      </c>
    </row>
    <row r="1470" spans="1:12" ht="14.5" x14ac:dyDescent="0.35">
      <c r="A1470" s="45" t="s">
        <v>3799</v>
      </c>
      <c r="B1470" s="45" t="s">
        <v>3799</v>
      </c>
      <c r="C1470" s="55">
        <v>45899</v>
      </c>
      <c r="D1470" s="45" t="s">
        <v>422</v>
      </c>
      <c r="E1470" s="45" t="s">
        <v>4013</v>
      </c>
      <c r="G1470" s="38">
        <v>0</v>
      </c>
      <c r="H1470" s="38">
        <v>1690.38</v>
      </c>
      <c r="K1470" s="38"/>
      <c r="L1470" s="38">
        <f t="shared" si="23"/>
        <v>-1690.38</v>
      </c>
    </row>
    <row r="1471" spans="1:12" ht="14.5" x14ac:dyDescent="0.35">
      <c r="A1471" s="45" t="s">
        <v>3799</v>
      </c>
      <c r="B1471" s="45" t="s">
        <v>3799</v>
      </c>
      <c r="C1471" s="55">
        <v>45899</v>
      </c>
      <c r="D1471" s="45" t="s">
        <v>790</v>
      </c>
      <c r="E1471" s="45">
        <v>880</v>
      </c>
      <c r="G1471" s="38">
        <v>3760</v>
      </c>
      <c r="H1471" s="38">
        <v>3760</v>
      </c>
      <c r="K1471" s="38"/>
      <c r="L1471" s="38">
        <f t="shared" si="23"/>
        <v>0</v>
      </c>
    </row>
    <row r="1472" spans="1:12" ht="14.5" x14ac:dyDescent="0.35">
      <c r="A1472" s="45" t="s">
        <v>3799</v>
      </c>
      <c r="B1472" s="45" t="s">
        <v>3799</v>
      </c>
      <c r="C1472" s="55">
        <v>45899</v>
      </c>
      <c r="D1472" s="45" t="s">
        <v>790</v>
      </c>
      <c r="E1472" s="45">
        <v>881</v>
      </c>
      <c r="G1472" s="38">
        <v>3760</v>
      </c>
      <c r="H1472" s="38">
        <v>3760</v>
      </c>
      <c r="K1472" s="38"/>
      <c r="L1472" s="38">
        <f t="shared" si="23"/>
        <v>0</v>
      </c>
    </row>
    <row r="1473" spans="1:12" ht="14.5" x14ac:dyDescent="0.35">
      <c r="A1473" s="45" t="s">
        <v>3799</v>
      </c>
      <c r="B1473" s="45" t="s">
        <v>3799</v>
      </c>
      <c r="C1473" s="55">
        <v>45899</v>
      </c>
      <c r="D1473" s="45" t="s">
        <v>422</v>
      </c>
      <c r="E1473" s="45" t="s">
        <v>538</v>
      </c>
      <c r="G1473" s="38">
        <v>0</v>
      </c>
      <c r="H1473" s="38">
        <v>150.6</v>
      </c>
      <c r="K1473" s="38"/>
      <c r="L1473" s="38">
        <f t="shared" si="23"/>
        <v>-150.6</v>
      </c>
    </row>
    <row r="1474" spans="1:12" ht="14.5" x14ac:dyDescent="0.35">
      <c r="A1474" s="45" t="s">
        <v>3799</v>
      </c>
      <c r="B1474" s="45" t="s">
        <v>3799</v>
      </c>
      <c r="C1474" s="55">
        <v>45899</v>
      </c>
      <c r="D1474" s="45" t="s">
        <v>907</v>
      </c>
      <c r="E1474" s="45">
        <v>4162025</v>
      </c>
      <c r="G1474" s="38">
        <v>0</v>
      </c>
      <c r="H1474" s="38">
        <v>288.06</v>
      </c>
      <c r="K1474" s="38"/>
      <c r="L1474" s="38">
        <f t="shared" si="23"/>
        <v>-288.06</v>
      </c>
    </row>
    <row r="1475" spans="1:12" ht="14.5" x14ac:dyDescent="0.35">
      <c r="A1475" s="45" t="s">
        <v>3799</v>
      </c>
      <c r="B1475" s="45" t="s">
        <v>3799</v>
      </c>
      <c r="C1475" s="55">
        <v>45899</v>
      </c>
      <c r="D1475" s="45" t="s">
        <v>716</v>
      </c>
      <c r="E1475" s="45" t="s">
        <v>732</v>
      </c>
      <c r="G1475" s="38">
        <v>3922</v>
      </c>
      <c r="H1475" s="38">
        <v>3922</v>
      </c>
      <c r="K1475" s="38"/>
      <c r="L1475" s="38">
        <f t="shared" si="23"/>
        <v>0</v>
      </c>
    </row>
    <row r="1476" spans="1:12" ht="14.5" x14ac:dyDescent="0.35">
      <c r="A1476" s="45" t="s">
        <v>3799</v>
      </c>
      <c r="B1476" s="45" t="s">
        <v>3799</v>
      </c>
      <c r="C1476" s="55">
        <v>45899</v>
      </c>
      <c r="D1476" s="45" t="s">
        <v>422</v>
      </c>
      <c r="E1476" s="45" t="s">
        <v>4014</v>
      </c>
      <c r="G1476" s="38">
        <v>0</v>
      </c>
      <c r="H1476" s="38">
        <v>300.72000000000003</v>
      </c>
      <c r="K1476" s="38"/>
      <c r="L1476" s="38">
        <f t="shared" si="23"/>
        <v>-300.72000000000003</v>
      </c>
    </row>
    <row r="1477" spans="1:12" ht="14.5" x14ac:dyDescent="0.35">
      <c r="A1477" s="45" t="s">
        <v>3799</v>
      </c>
      <c r="B1477" s="45" t="s">
        <v>3799</v>
      </c>
      <c r="C1477" s="55">
        <v>45899</v>
      </c>
      <c r="D1477" s="45" t="s">
        <v>34</v>
      </c>
      <c r="E1477" s="45" t="s">
        <v>42</v>
      </c>
      <c r="G1477" s="38">
        <v>2878</v>
      </c>
      <c r="H1477" s="38">
        <v>2878</v>
      </c>
      <c r="K1477" s="38"/>
      <c r="L1477" s="38">
        <f t="shared" si="23"/>
        <v>0</v>
      </c>
    </row>
    <row r="1478" spans="1:12" ht="14.5" x14ac:dyDescent="0.35">
      <c r="A1478" s="45" t="s">
        <v>3799</v>
      </c>
      <c r="B1478" s="45" t="s">
        <v>3799</v>
      </c>
      <c r="C1478" s="55">
        <v>45899</v>
      </c>
      <c r="D1478" s="45" t="s">
        <v>34</v>
      </c>
      <c r="E1478" s="45" t="s">
        <v>44</v>
      </c>
      <c r="G1478" s="38">
        <v>2879</v>
      </c>
      <c r="H1478" s="38">
        <v>2879</v>
      </c>
      <c r="K1478" s="38"/>
      <c r="L1478" s="38">
        <f t="shared" si="23"/>
        <v>0</v>
      </c>
    </row>
    <row r="1479" spans="1:12" ht="14.5" x14ac:dyDescent="0.35">
      <c r="A1479" s="45" t="s">
        <v>3799</v>
      </c>
      <c r="B1479" s="45" t="s">
        <v>3799</v>
      </c>
      <c r="C1479" s="55">
        <v>45899</v>
      </c>
      <c r="D1479" s="45" t="s">
        <v>34</v>
      </c>
      <c r="E1479" s="45" t="s">
        <v>43</v>
      </c>
      <c r="G1479" s="38">
        <v>2879</v>
      </c>
      <c r="H1479" s="38">
        <v>2879</v>
      </c>
      <c r="K1479" s="38"/>
      <c r="L1479" s="38">
        <f t="shared" si="23"/>
        <v>0</v>
      </c>
    </row>
    <row r="1480" spans="1:12" ht="14.5" x14ac:dyDescent="0.35">
      <c r="A1480" s="45" t="s">
        <v>3799</v>
      </c>
      <c r="B1480" s="45" t="s">
        <v>3799</v>
      </c>
      <c r="C1480" s="55">
        <v>45899</v>
      </c>
      <c r="D1480" s="45" t="s">
        <v>34</v>
      </c>
      <c r="E1480" s="45" t="s">
        <v>48</v>
      </c>
      <c r="G1480" s="38">
        <v>3102</v>
      </c>
      <c r="H1480" s="38">
        <v>3102</v>
      </c>
      <c r="K1480" s="38"/>
      <c r="L1480" s="38">
        <f t="shared" si="23"/>
        <v>0</v>
      </c>
    </row>
    <row r="1481" spans="1:12" ht="14.5" x14ac:dyDescent="0.35">
      <c r="A1481" s="45" t="s">
        <v>3799</v>
      </c>
      <c r="B1481" s="45" t="s">
        <v>3799</v>
      </c>
      <c r="C1481" s="55">
        <v>45899</v>
      </c>
      <c r="D1481" s="45" t="s">
        <v>422</v>
      </c>
      <c r="E1481" s="45" t="s">
        <v>634</v>
      </c>
      <c r="G1481" s="38">
        <v>0</v>
      </c>
      <c r="H1481" s="38">
        <v>641.98</v>
      </c>
      <c r="K1481" s="38"/>
      <c r="L1481" s="38">
        <f t="shared" si="23"/>
        <v>-641.98</v>
      </c>
    </row>
    <row r="1482" spans="1:12" ht="14.5" x14ac:dyDescent="0.35">
      <c r="A1482" s="45" t="s">
        <v>3799</v>
      </c>
      <c r="B1482" s="45" t="s">
        <v>3799</v>
      </c>
      <c r="C1482" s="55">
        <v>45899</v>
      </c>
      <c r="D1482" s="45" t="s">
        <v>50</v>
      </c>
      <c r="E1482" s="45" t="s">
        <v>4015</v>
      </c>
      <c r="G1482" s="38">
        <v>0</v>
      </c>
      <c r="H1482" s="38">
        <v>3072.86</v>
      </c>
      <c r="K1482" s="38"/>
      <c r="L1482" s="38">
        <f t="shared" si="23"/>
        <v>-3072.86</v>
      </c>
    </row>
    <row r="1483" spans="1:12" ht="14.5" x14ac:dyDescent="0.35">
      <c r="A1483" s="45" t="s">
        <v>3799</v>
      </c>
      <c r="B1483" s="45" t="s">
        <v>3799</v>
      </c>
      <c r="C1483" s="55">
        <v>45899</v>
      </c>
      <c r="D1483" s="45" t="s">
        <v>819</v>
      </c>
      <c r="E1483" s="45" t="s">
        <v>852</v>
      </c>
      <c r="G1483" s="38">
        <v>1578.69</v>
      </c>
      <c r="H1483" s="38">
        <v>0</v>
      </c>
      <c r="K1483" s="38"/>
      <c r="L1483" s="38">
        <f t="shared" si="23"/>
        <v>1578.69</v>
      </c>
    </row>
    <row r="1484" spans="1:12" ht="14.5" x14ac:dyDescent="0.35">
      <c r="A1484" s="45" t="s">
        <v>3799</v>
      </c>
      <c r="B1484" s="45" t="s">
        <v>3799</v>
      </c>
      <c r="C1484" s="55">
        <v>45899</v>
      </c>
      <c r="D1484" s="45" t="s">
        <v>422</v>
      </c>
      <c r="E1484" s="45" t="s">
        <v>651</v>
      </c>
      <c r="G1484" s="38">
        <v>0</v>
      </c>
      <c r="H1484" s="38">
        <v>424.99</v>
      </c>
      <c r="K1484" s="38"/>
      <c r="L1484" s="38">
        <f t="shared" si="23"/>
        <v>-424.99</v>
      </c>
    </row>
    <row r="1485" spans="1:12" ht="14.5" x14ac:dyDescent="0.35">
      <c r="A1485" s="45" t="s">
        <v>3799</v>
      </c>
      <c r="B1485" s="45" t="s">
        <v>3799</v>
      </c>
      <c r="C1485" s="55">
        <v>45899</v>
      </c>
      <c r="D1485" s="45" t="s">
        <v>3824</v>
      </c>
      <c r="E1485" s="45">
        <v>4102025</v>
      </c>
      <c r="G1485" s="38">
        <v>0</v>
      </c>
      <c r="H1485" s="38">
        <v>438.67999999999995</v>
      </c>
      <c r="K1485" s="38"/>
      <c r="L1485" s="38">
        <f t="shared" si="23"/>
        <v>-438.67999999999995</v>
      </c>
    </row>
    <row r="1486" spans="1:12" ht="14.5" x14ac:dyDescent="0.35">
      <c r="A1486" s="45" t="s">
        <v>3799</v>
      </c>
      <c r="B1486" s="45" t="s">
        <v>3799</v>
      </c>
      <c r="C1486" s="55">
        <v>45900</v>
      </c>
      <c r="D1486" s="45" t="s">
        <v>913</v>
      </c>
      <c r="E1486" s="45" t="s">
        <v>4016</v>
      </c>
      <c r="G1486" s="38">
        <v>30</v>
      </c>
      <c r="H1486" s="38">
        <v>30</v>
      </c>
      <c r="K1486" s="38"/>
      <c r="L1486" s="38">
        <f t="shared" si="23"/>
        <v>0</v>
      </c>
    </row>
    <row r="1487" spans="1:12" ht="14.5" x14ac:dyDescent="0.35">
      <c r="A1487" s="45" t="s">
        <v>3799</v>
      </c>
      <c r="B1487" s="45" t="s">
        <v>3799</v>
      </c>
      <c r="C1487" s="55">
        <v>45900</v>
      </c>
      <c r="D1487" s="45" t="s">
        <v>714</v>
      </c>
      <c r="E1487" s="45">
        <v>7240</v>
      </c>
      <c r="G1487" s="38">
        <v>0</v>
      </c>
      <c r="H1487" s="38">
        <v>94.17</v>
      </c>
      <c r="K1487" s="38"/>
      <c r="L1487" s="38">
        <f t="shared" si="23"/>
        <v>-94.17</v>
      </c>
    </row>
    <row r="1488" spans="1:12" ht="14.5" x14ac:dyDescent="0.35">
      <c r="A1488" s="45" t="s">
        <v>3799</v>
      </c>
      <c r="B1488" s="45" t="s">
        <v>3799</v>
      </c>
      <c r="C1488" s="55">
        <v>45900</v>
      </c>
      <c r="D1488" s="45" t="s">
        <v>714</v>
      </c>
      <c r="E1488" s="45">
        <v>6122023</v>
      </c>
      <c r="G1488" s="38">
        <v>0</v>
      </c>
      <c r="H1488" s="38">
        <v>98.17</v>
      </c>
      <c r="K1488" s="38"/>
      <c r="L1488" s="38">
        <f t="shared" si="23"/>
        <v>-98.17</v>
      </c>
    </row>
    <row r="1489" spans="1:12" ht="14.5" x14ac:dyDescent="0.35">
      <c r="A1489" s="45" t="s">
        <v>3799</v>
      </c>
      <c r="B1489" s="45" t="s">
        <v>3799</v>
      </c>
      <c r="C1489" s="55">
        <v>45900</v>
      </c>
      <c r="D1489" s="45" t="s">
        <v>869</v>
      </c>
      <c r="E1489" s="45" t="s">
        <v>4017</v>
      </c>
      <c r="G1489" s="38">
        <v>0</v>
      </c>
      <c r="H1489" s="38">
        <v>217.46</v>
      </c>
      <c r="K1489" s="38"/>
      <c r="L1489" s="38">
        <f t="shared" si="23"/>
        <v>-217.46</v>
      </c>
    </row>
    <row r="1490" spans="1:12" ht="14.5" x14ac:dyDescent="0.35">
      <c r="A1490" s="45" t="s">
        <v>3799</v>
      </c>
      <c r="B1490" s="45" t="s">
        <v>3799</v>
      </c>
      <c r="C1490" s="55">
        <v>45900</v>
      </c>
      <c r="D1490" s="45" t="s">
        <v>346</v>
      </c>
      <c r="E1490" s="45" t="s">
        <v>3825</v>
      </c>
      <c r="G1490" s="38">
        <v>0</v>
      </c>
      <c r="H1490" s="38">
        <v>624.99999999999989</v>
      </c>
      <c r="K1490" s="38"/>
      <c r="L1490" s="38">
        <f t="shared" si="23"/>
        <v>-624.99999999999989</v>
      </c>
    </row>
    <row r="1491" spans="1:12" ht="14.5" x14ac:dyDescent="0.35">
      <c r="A1491" s="45" t="s">
        <v>3799</v>
      </c>
      <c r="B1491" s="45" t="s">
        <v>3799</v>
      </c>
      <c r="C1491" s="55">
        <v>45900</v>
      </c>
      <c r="D1491" s="45" t="s">
        <v>879</v>
      </c>
      <c r="E1491" s="45" t="s">
        <v>4018</v>
      </c>
      <c r="G1491" s="38">
        <v>0</v>
      </c>
      <c r="H1491" s="38">
        <v>624.77</v>
      </c>
      <c r="K1491" s="38"/>
      <c r="L1491" s="38">
        <f t="shared" si="23"/>
        <v>-624.77</v>
      </c>
    </row>
    <row r="1492" spans="1:12" ht="14.5" x14ac:dyDescent="0.35">
      <c r="A1492" s="45" t="s">
        <v>3799</v>
      </c>
      <c r="B1492" s="45" t="s">
        <v>3799</v>
      </c>
      <c r="C1492" s="55">
        <v>45900</v>
      </c>
      <c r="D1492" s="45" t="s">
        <v>3826</v>
      </c>
      <c r="E1492" s="45" t="s">
        <v>3827</v>
      </c>
      <c r="G1492" s="38">
        <v>0</v>
      </c>
      <c r="H1492" s="38">
        <v>770</v>
      </c>
      <c r="K1492" s="38"/>
      <c r="L1492" s="38">
        <f t="shared" si="23"/>
        <v>-770</v>
      </c>
    </row>
    <row r="1493" spans="1:12" ht="14.5" x14ac:dyDescent="0.35">
      <c r="A1493" s="45" t="s">
        <v>3799</v>
      </c>
      <c r="B1493" s="45" t="s">
        <v>3799</v>
      </c>
      <c r="C1493" s="55">
        <v>45900</v>
      </c>
      <c r="D1493" s="45" t="s">
        <v>714</v>
      </c>
      <c r="E1493" s="45">
        <v>14658649</v>
      </c>
      <c r="G1493" s="38">
        <v>0</v>
      </c>
      <c r="H1493" s="38">
        <v>96.75</v>
      </c>
      <c r="K1493" s="38"/>
      <c r="L1493" s="38">
        <f t="shared" si="23"/>
        <v>-96.75</v>
      </c>
    </row>
    <row r="1494" spans="1:12" ht="14.5" x14ac:dyDescent="0.35">
      <c r="A1494" s="45" t="s">
        <v>3799</v>
      </c>
      <c r="B1494" s="45" t="s">
        <v>3799</v>
      </c>
      <c r="C1494" s="55">
        <v>45900</v>
      </c>
      <c r="D1494" s="45" t="s">
        <v>422</v>
      </c>
      <c r="E1494" s="45">
        <v>8312025</v>
      </c>
      <c r="G1494" s="38">
        <v>981</v>
      </c>
      <c r="H1494" s="38">
        <v>981</v>
      </c>
      <c r="K1494" s="38"/>
      <c r="L1494" s="38">
        <f t="shared" si="23"/>
        <v>0</v>
      </c>
    </row>
    <row r="1495" spans="1:12" ht="14.5" x14ac:dyDescent="0.35">
      <c r="A1495" s="45" t="s">
        <v>3799</v>
      </c>
      <c r="B1495" s="45" t="s">
        <v>3799</v>
      </c>
      <c r="C1495" s="55">
        <v>45900</v>
      </c>
      <c r="D1495" s="45" t="s">
        <v>422</v>
      </c>
      <c r="E1495" s="45" t="s">
        <v>4019</v>
      </c>
      <c r="G1495" s="38">
        <v>0</v>
      </c>
      <c r="H1495" s="38">
        <v>0</v>
      </c>
      <c r="K1495" s="38"/>
      <c r="L1495" s="38">
        <f t="shared" si="23"/>
        <v>0</v>
      </c>
    </row>
    <row r="1496" spans="1:12" ht="14.5" x14ac:dyDescent="0.35">
      <c r="A1496" s="45" t="s">
        <v>3799</v>
      </c>
      <c r="B1496" s="45" t="s">
        <v>3799</v>
      </c>
      <c r="C1496" s="55">
        <v>45900</v>
      </c>
      <c r="D1496" s="45" t="s">
        <v>4020</v>
      </c>
      <c r="E1496" s="45" t="s">
        <v>4021</v>
      </c>
      <c r="G1496" s="38">
        <v>0</v>
      </c>
      <c r="H1496" s="38">
        <v>65.099999999999994</v>
      </c>
      <c r="K1496" s="38"/>
      <c r="L1496" s="38">
        <f t="shared" si="23"/>
        <v>-65.099999999999994</v>
      </c>
    </row>
    <row r="1497" spans="1:12" ht="14.5" x14ac:dyDescent="0.35">
      <c r="A1497" s="45" t="s">
        <v>3799</v>
      </c>
      <c r="B1497" s="45" t="s">
        <v>3799</v>
      </c>
      <c r="C1497" s="55">
        <v>45900</v>
      </c>
      <c r="D1497" s="45" t="s">
        <v>698</v>
      </c>
      <c r="E1497" s="45" t="s">
        <v>3788</v>
      </c>
      <c r="G1497" s="38">
        <v>2535</v>
      </c>
      <c r="H1497" s="38">
        <v>2535</v>
      </c>
      <c r="K1497" s="38"/>
      <c r="L1497" s="38">
        <f t="shared" si="23"/>
        <v>0</v>
      </c>
    </row>
    <row r="1498" spans="1:12" ht="14.5" x14ac:dyDescent="0.35">
      <c r="A1498" s="45" t="s">
        <v>3799</v>
      </c>
      <c r="B1498" s="45" t="s">
        <v>3799</v>
      </c>
      <c r="C1498" s="55">
        <v>45900</v>
      </c>
      <c r="D1498" s="45" t="s">
        <v>879</v>
      </c>
      <c r="E1498" s="45" t="s">
        <v>4022</v>
      </c>
      <c r="G1498" s="38">
        <v>0</v>
      </c>
      <c r="H1498" s="38">
        <v>305.58999999999997</v>
      </c>
      <c r="K1498" s="38"/>
      <c r="L1498" s="38">
        <f t="shared" si="23"/>
        <v>-305.58999999999997</v>
      </c>
    </row>
    <row r="1499" spans="1:12" ht="14.5" x14ac:dyDescent="0.35">
      <c r="A1499" s="45" t="s">
        <v>3799</v>
      </c>
      <c r="B1499" s="45" t="s">
        <v>3799</v>
      </c>
      <c r="C1499" s="55">
        <v>45900</v>
      </c>
      <c r="D1499" s="45" t="s">
        <v>34</v>
      </c>
      <c r="E1499" s="45" t="s">
        <v>4023</v>
      </c>
      <c r="G1499" s="38">
        <v>0</v>
      </c>
      <c r="H1499" s="38">
        <v>9.1999999999999993</v>
      </c>
      <c r="K1499" s="38"/>
      <c r="L1499" s="38">
        <f t="shared" si="23"/>
        <v>-9.1999999999999993</v>
      </c>
    </row>
    <row r="1500" spans="1:12" ht="14.5" x14ac:dyDescent="0.35">
      <c r="A1500" s="45" t="s">
        <v>3799</v>
      </c>
      <c r="B1500" s="45" t="s">
        <v>3799</v>
      </c>
      <c r="C1500" s="55">
        <v>45900</v>
      </c>
      <c r="D1500" s="45" t="s">
        <v>422</v>
      </c>
      <c r="E1500" s="45" t="s">
        <v>4024</v>
      </c>
      <c r="G1500" s="38">
        <v>63.64</v>
      </c>
      <c r="H1500" s="38">
        <v>63.64</v>
      </c>
      <c r="K1500" s="38"/>
      <c r="L1500" s="38">
        <f t="shared" si="23"/>
        <v>0</v>
      </c>
    </row>
    <row r="1501" spans="1:12" ht="14.5" x14ac:dyDescent="0.35">
      <c r="A1501" s="45" t="s">
        <v>3799</v>
      </c>
      <c r="B1501" s="45" t="s">
        <v>3799</v>
      </c>
      <c r="C1501" s="55">
        <v>45900</v>
      </c>
      <c r="D1501" s="45" t="s">
        <v>8</v>
      </c>
      <c r="E1501" s="45" t="s">
        <v>4025</v>
      </c>
      <c r="G1501" s="38">
        <v>711</v>
      </c>
      <c r="H1501" s="38">
        <v>711</v>
      </c>
      <c r="K1501" s="38"/>
      <c r="L1501" s="38">
        <f t="shared" si="23"/>
        <v>0</v>
      </c>
    </row>
    <row r="1502" spans="1:12" ht="14.5" x14ac:dyDescent="0.35">
      <c r="A1502" s="45" t="s">
        <v>3802</v>
      </c>
      <c r="G1502" s="38">
        <v>75569.009999999995</v>
      </c>
      <c r="K1502" s="38"/>
      <c r="L1502" s="38"/>
    </row>
    <row r="1503" spans="1:12" ht="14.5" x14ac:dyDescent="0.35">
      <c r="K1503" s="38"/>
      <c r="L1503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E9C1-FB0E-408A-9C56-DD16A3B54018}">
  <dimension ref="A1:M3025"/>
  <sheetViews>
    <sheetView tabSelected="1" topLeftCell="B2799" workbookViewId="0">
      <selection activeCell="C2989" sqref="A2989:XFD2989"/>
    </sheetView>
  </sheetViews>
  <sheetFormatPr defaultRowHeight="14" x14ac:dyDescent="0.3"/>
  <cols>
    <col min="1" max="1" width="35.08203125" style="44" customWidth="1"/>
    <col min="2" max="2" width="37" style="44" customWidth="1"/>
    <col min="3" max="3" width="17.6640625" customWidth="1"/>
    <col min="4" max="4" width="29.83203125" customWidth="1"/>
    <col min="5" max="5" width="14.33203125" customWidth="1"/>
    <col min="6" max="6" width="21" customWidth="1"/>
    <col min="7" max="7" width="16" customWidth="1"/>
    <col min="8" max="8" width="14" customWidth="1"/>
    <col min="11" max="11" width="13.9140625" customWidth="1"/>
    <col min="12" max="12" width="11.9140625" customWidth="1"/>
  </cols>
  <sheetData>
    <row r="1" spans="1:13" ht="14.5" x14ac:dyDescent="0.35">
      <c r="G1" s="38">
        <f>SUM(G4:G3025)</f>
        <v>7366892.1000000127</v>
      </c>
      <c r="H1" s="38">
        <f>SUM(H4:H3025)</f>
        <v>7366892.1000000127</v>
      </c>
      <c r="I1" s="38"/>
      <c r="J1" s="38"/>
      <c r="K1" s="56">
        <f>SUM(K4:K1013)</f>
        <v>6874146.0599999921</v>
      </c>
      <c r="L1" s="56">
        <f>SUM(L4:L2408)</f>
        <v>247450.24000000005</v>
      </c>
      <c r="M1" s="43" t="s">
        <v>4029</v>
      </c>
    </row>
    <row r="2" spans="1:13" ht="18.649999999999999" customHeight="1" x14ac:dyDescent="0.35">
      <c r="A2" s="20" t="s">
        <v>2635</v>
      </c>
      <c r="B2" s="20" t="s">
        <v>3580</v>
      </c>
      <c r="C2" s="39" t="s">
        <v>2545</v>
      </c>
      <c r="D2" s="39" t="s">
        <v>948</v>
      </c>
      <c r="E2" s="40" t="s">
        <v>949</v>
      </c>
      <c r="F2" s="40" t="s">
        <v>3803</v>
      </c>
      <c r="G2" t="s">
        <v>2635</v>
      </c>
      <c r="H2" s="20" t="s">
        <v>3580</v>
      </c>
      <c r="K2" s="43" t="s">
        <v>3818</v>
      </c>
      <c r="L2" s="43" t="s">
        <v>3819</v>
      </c>
    </row>
    <row r="3" spans="1:13" ht="14.5" x14ac:dyDescent="0.35">
      <c r="A3" s="20" t="s">
        <v>3582</v>
      </c>
      <c r="B3" s="20" t="s">
        <v>3581</v>
      </c>
      <c r="K3" s="11" t="s">
        <v>3817</v>
      </c>
      <c r="L3" s="11" t="s">
        <v>3817</v>
      </c>
    </row>
    <row r="4" spans="1:13" ht="14.5" x14ac:dyDescent="0.35">
      <c r="A4" s="45" t="s">
        <v>3588</v>
      </c>
      <c r="B4" s="46"/>
      <c r="C4" s="36">
        <v>45870</v>
      </c>
      <c r="D4" s="36" t="s">
        <v>1263</v>
      </c>
      <c r="E4" s="37" t="s">
        <v>2637</v>
      </c>
      <c r="F4" s="37" t="s">
        <v>4026</v>
      </c>
      <c r="G4" s="38">
        <v>45093.1</v>
      </c>
      <c r="H4" s="38"/>
      <c r="I4" s="37"/>
      <c r="J4" s="37"/>
      <c r="K4" s="38">
        <f>G4-H4</f>
        <v>45093.1</v>
      </c>
      <c r="L4" s="38"/>
    </row>
    <row r="5" spans="1:13" ht="14.5" x14ac:dyDescent="0.35">
      <c r="A5" s="45" t="s">
        <v>3588</v>
      </c>
      <c r="B5" s="46"/>
      <c r="C5" s="36">
        <v>45870</v>
      </c>
      <c r="D5" s="36" t="s">
        <v>702</v>
      </c>
      <c r="E5" s="37">
        <v>41188101</v>
      </c>
      <c r="F5" s="37" t="s">
        <v>4026</v>
      </c>
      <c r="G5" s="38">
        <v>113.4</v>
      </c>
      <c r="H5" s="38"/>
      <c r="I5" s="37"/>
      <c r="J5" s="37"/>
      <c r="K5" s="38">
        <f t="shared" ref="K5:K68" si="0">G5-H5</f>
        <v>113.4</v>
      </c>
      <c r="L5" s="38"/>
    </row>
    <row r="6" spans="1:13" ht="14.5" x14ac:dyDescent="0.35">
      <c r="A6" s="45" t="s">
        <v>3588</v>
      </c>
      <c r="B6" s="46"/>
      <c r="C6" s="36">
        <v>45873</v>
      </c>
      <c r="D6" s="36" t="s">
        <v>1475</v>
      </c>
      <c r="E6" s="37" t="s">
        <v>2638</v>
      </c>
      <c r="F6" s="37" t="s">
        <v>4026</v>
      </c>
      <c r="G6" s="38">
        <v>21564.59</v>
      </c>
      <c r="H6" s="38"/>
      <c r="I6" s="37"/>
      <c r="J6" s="37"/>
      <c r="K6" s="38">
        <f t="shared" si="0"/>
        <v>21564.59</v>
      </c>
      <c r="L6" s="38"/>
    </row>
    <row r="7" spans="1:13" ht="14.5" x14ac:dyDescent="0.35">
      <c r="A7" s="45" t="s">
        <v>3588</v>
      </c>
      <c r="B7" s="46"/>
      <c r="C7" s="36">
        <v>45873</v>
      </c>
      <c r="D7" s="36" t="s">
        <v>2644</v>
      </c>
      <c r="E7" s="37">
        <v>38633</v>
      </c>
      <c r="F7" s="37" t="s">
        <v>4026</v>
      </c>
      <c r="G7" s="38">
        <v>996.55</v>
      </c>
      <c r="H7" s="38"/>
      <c r="I7" s="37"/>
      <c r="J7" s="37"/>
      <c r="K7" s="38">
        <f t="shared" si="0"/>
        <v>996.55</v>
      </c>
      <c r="L7" s="38"/>
    </row>
    <row r="8" spans="1:13" ht="14.5" x14ac:dyDescent="0.35">
      <c r="A8" s="45" t="s">
        <v>3588</v>
      </c>
      <c r="B8" s="46"/>
      <c r="C8" s="36">
        <v>45874</v>
      </c>
      <c r="D8" s="36" t="s">
        <v>1582</v>
      </c>
      <c r="E8" s="37" t="s">
        <v>2639</v>
      </c>
      <c r="F8" s="37" t="s">
        <v>4026</v>
      </c>
      <c r="G8" s="38">
        <v>14077.810000000001</v>
      </c>
      <c r="H8" s="38"/>
      <c r="I8" s="37"/>
      <c r="J8" s="37"/>
      <c r="K8" s="38">
        <f t="shared" si="0"/>
        <v>14077.810000000001</v>
      </c>
      <c r="L8" s="38"/>
    </row>
    <row r="9" spans="1:13" ht="14.5" x14ac:dyDescent="0.35">
      <c r="A9" s="45" t="s">
        <v>3588</v>
      </c>
      <c r="B9" s="46"/>
      <c r="C9" s="36">
        <v>45874</v>
      </c>
      <c r="D9" s="36" t="s">
        <v>2628</v>
      </c>
      <c r="E9" s="37" t="s">
        <v>2640</v>
      </c>
      <c r="F9" s="37" t="s">
        <v>4026</v>
      </c>
      <c r="G9" s="38">
        <v>11730.059999999998</v>
      </c>
      <c r="H9" s="38"/>
      <c r="I9" s="37"/>
      <c r="J9" s="37"/>
      <c r="K9" s="38">
        <f t="shared" si="0"/>
        <v>11730.059999999998</v>
      </c>
      <c r="L9" s="38"/>
    </row>
    <row r="10" spans="1:13" ht="14.5" x14ac:dyDescent="0.35">
      <c r="A10" s="45" t="s">
        <v>3588</v>
      </c>
      <c r="B10" s="46"/>
      <c r="C10" s="36">
        <v>45874</v>
      </c>
      <c r="D10" s="36" t="s">
        <v>2628</v>
      </c>
      <c r="E10" s="37" t="s">
        <v>2641</v>
      </c>
      <c r="F10" s="37" t="s">
        <v>4026</v>
      </c>
      <c r="G10" s="38">
        <v>7314.78</v>
      </c>
      <c r="H10" s="38"/>
      <c r="I10" s="37"/>
      <c r="J10" s="37"/>
      <c r="K10" s="38">
        <f t="shared" si="0"/>
        <v>7314.78</v>
      </c>
      <c r="L10" s="38"/>
    </row>
    <row r="11" spans="1:13" ht="14.5" x14ac:dyDescent="0.35">
      <c r="A11" s="45" t="s">
        <v>3588</v>
      </c>
      <c r="B11" s="46"/>
      <c r="C11" s="36">
        <v>45874</v>
      </c>
      <c r="D11" s="36" t="s">
        <v>2628</v>
      </c>
      <c r="E11" s="37" t="s">
        <v>2642</v>
      </c>
      <c r="F11" s="37" t="s">
        <v>4026</v>
      </c>
      <c r="G11" s="38">
        <v>1256.79</v>
      </c>
      <c r="H11" s="38"/>
      <c r="I11" s="37"/>
      <c r="J11" s="37"/>
      <c r="K11" s="38">
        <f t="shared" si="0"/>
        <v>1256.79</v>
      </c>
      <c r="L11" s="38"/>
    </row>
    <row r="12" spans="1:13" ht="14.5" x14ac:dyDescent="0.35">
      <c r="A12" s="45" t="s">
        <v>3588</v>
      </c>
      <c r="B12" s="46"/>
      <c r="C12" s="36">
        <v>45876</v>
      </c>
      <c r="D12" s="36" t="s">
        <v>1263</v>
      </c>
      <c r="E12" s="37">
        <v>37687</v>
      </c>
      <c r="F12" s="37" t="s">
        <v>4026</v>
      </c>
      <c r="G12" s="38">
        <v>222.07</v>
      </c>
      <c r="H12" s="38"/>
      <c r="I12" s="37"/>
      <c r="J12" s="37"/>
      <c r="K12" s="38">
        <f t="shared" si="0"/>
        <v>222.07</v>
      </c>
      <c r="L12" s="38"/>
    </row>
    <row r="13" spans="1:13" ht="14.5" x14ac:dyDescent="0.35">
      <c r="A13" s="45" t="s">
        <v>3588</v>
      </c>
      <c r="B13" s="46"/>
      <c r="C13" s="36">
        <v>45876</v>
      </c>
      <c r="D13" s="36" t="s">
        <v>1263</v>
      </c>
      <c r="E13" s="37" t="s">
        <v>2643</v>
      </c>
      <c r="F13" s="37" t="s">
        <v>4026</v>
      </c>
      <c r="G13" s="38">
        <v>708.57</v>
      </c>
      <c r="H13" s="38"/>
      <c r="I13" s="37"/>
      <c r="J13" s="37"/>
      <c r="K13" s="38">
        <f t="shared" si="0"/>
        <v>708.57</v>
      </c>
      <c r="L13" s="38"/>
    </row>
    <row r="14" spans="1:13" ht="14.5" x14ac:dyDescent="0.35">
      <c r="A14" s="45" t="s">
        <v>3588</v>
      </c>
      <c r="B14" s="46"/>
      <c r="C14" s="36">
        <v>45876</v>
      </c>
      <c r="D14" s="36" t="s">
        <v>2650</v>
      </c>
      <c r="E14" s="37">
        <v>38661</v>
      </c>
      <c r="F14" s="37" t="s">
        <v>4026</v>
      </c>
      <c r="G14" s="38">
        <v>2966.73</v>
      </c>
      <c r="H14" s="38"/>
      <c r="I14" s="37"/>
      <c r="J14" s="37"/>
      <c r="K14" s="38">
        <f t="shared" si="0"/>
        <v>2966.73</v>
      </c>
      <c r="L14" s="38"/>
    </row>
    <row r="15" spans="1:13" ht="14.5" x14ac:dyDescent="0.35">
      <c r="A15" s="45" t="s">
        <v>3588</v>
      </c>
      <c r="B15" s="46"/>
      <c r="C15" s="36">
        <v>45877</v>
      </c>
      <c r="D15" s="36" t="s">
        <v>1839</v>
      </c>
      <c r="E15" s="37">
        <v>36248</v>
      </c>
      <c r="F15" s="37" t="s">
        <v>4026</v>
      </c>
      <c r="G15" s="38">
        <v>20</v>
      </c>
      <c r="H15" s="38"/>
      <c r="I15" s="37"/>
      <c r="J15" s="37"/>
      <c r="K15" s="38">
        <f t="shared" si="0"/>
        <v>20</v>
      </c>
      <c r="L15" s="38"/>
    </row>
    <row r="16" spans="1:13" ht="14.5" x14ac:dyDescent="0.35">
      <c r="A16" s="45" t="s">
        <v>3588</v>
      </c>
      <c r="B16" s="46"/>
      <c r="C16" s="36">
        <v>45877</v>
      </c>
      <c r="D16" s="36" t="s">
        <v>1839</v>
      </c>
      <c r="E16" s="37">
        <v>36250</v>
      </c>
      <c r="F16" s="37" t="s">
        <v>4026</v>
      </c>
      <c r="G16" s="38">
        <v>7206.6299999999992</v>
      </c>
      <c r="H16" s="38"/>
      <c r="I16" s="37"/>
      <c r="J16" s="37"/>
      <c r="K16" s="38">
        <f t="shared" si="0"/>
        <v>7206.6299999999992</v>
      </c>
      <c r="L16" s="38"/>
    </row>
    <row r="17" spans="1:12" ht="14.5" x14ac:dyDescent="0.35">
      <c r="A17" s="45" t="s">
        <v>3588</v>
      </c>
      <c r="B17" s="46"/>
      <c r="C17" s="36">
        <v>45877</v>
      </c>
      <c r="D17" s="36" t="s">
        <v>1035</v>
      </c>
      <c r="E17" s="37" t="s">
        <v>2645</v>
      </c>
      <c r="F17" s="37" t="s">
        <v>4026</v>
      </c>
      <c r="G17" s="38">
        <v>708.07999999999993</v>
      </c>
      <c r="H17" s="38"/>
      <c r="I17" s="37"/>
      <c r="J17" s="37"/>
      <c r="K17" s="38">
        <f t="shared" si="0"/>
        <v>708.07999999999993</v>
      </c>
      <c r="L17" s="38"/>
    </row>
    <row r="18" spans="1:12" ht="14.5" x14ac:dyDescent="0.35">
      <c r="A18" s="45" t="s">
        <v>3588</v>
      </c>
      <c r="B18" s="46"/>
      <c r="C18" s="36">
        <v>45877</v>
      </c>
      <c r="D18" s="36" t="s">
        <v>2662</v>
      </c>
      <c r="E18" s="37">
        <v>38292</v>
      </c>
      <c r="F18" s="37" t="s">
        <v>4026</v>
      </c>
      <c r="G18" s="38">
        <v>24766.760000000002</v>
      </c>
      <c r="H18" s="38"/>
      <c r="I18" s="37"/>
      <c r="J18" s="37"/>
      <c r="K18" s="38">
        <f t="shared" si="0"/>
        <v>24766.760000000002</v>
      </c>
      <c r="L18" s="38"/>
    </row>
    <row r="19" spans="1:12" ht="14.5" x14ac:dyDescent="0.35">
      <c r="A19" s="45" t="s">
        <v>3588</v>
      </c>
      <c r="B19" s="46"/>
      <c r="C19" s="36">
        <v>45877</v>
      </c>
      <c r="D19" s="36" t="s">
        <v>2662</v>
      </c>
      <c r="E19" s="37" t="s">
        <v>2646</v>
      </c>
      <c r="F19" s="37" t="s">
        <v>4026</v>
      </c>
      <c r="G19" s="38">
        <v>9768.7000000000007</v>
      </c>
      <c r="H19" s="38"/>
      <c r="I19" s="37"/>
      <c r="J19" s="37"/>
      <c r="K19" s="38">
        <f t="shared" si="0"/>
        <v>9768.7000000000007</v>
      </c>
      <c r="L19" s="38"/>
    </row>
    <row r="20" spans="1:12" ht="14.5" x14ac:dyDescent="0.35">
      <c r="A20" s="45" t="s">
        <v>3588</v>
      </c>
      <c r="B20" s="46"/>
      <c r="C20" s="36">
        <v>45880</v>
      </c>
      <c r="D20" s="36" t="s">
        <v>1179</v>
      </c>
      <c r="E20" s="37" t="s">
        <v>2647</v>
      </c>
      <c r="F20" s="37" t="s">
        <v>4026</v>
      </c>
      <c r="G20" s="38">
        <v>566.78</v>
      </c>
      <c r="H20" s="38"/>
      <c r="I20" s="37"/>
      <c r="J20" s="37"/>
      <c r="K20" s="38">
        <f t="shared" si="0"/>
        <v>566.78</v>
      </c>
      <c r="L20" s="38"/>
    </row>
    <row r="21" spans="1:12" ht="14.5" x14ac:dyDescent="0.35">
      <c r="A21" s="45" t="s">
        <v>3588</v>
      </c>
      <c r="B21" s="46"/>
      <c r="C21" s="36">
        <v>45880</v>
      </c>
      <c r="D21" s="36" t="s">
        <v>2677</v>
      </c>
      <c r="E21" s="37">
        <v>38259</v>
      </c>
      <c r="F21" s="37" t="s">
        <v>4026</v>
      </c>
      <c r="G21" s="38">
        <v>365.65</v>
      </c>
      <c r="H21" s="38"/>
      <c r="I21" s="37"/>
      <c r="J21" s="37"/>
      <c r="K21" s="38">
        <f t="shared" si="0"/>
        <v>365.65</v>
      </c>
      <c r="L21" s="38"/>
    </row>
    <row r="22" spans="1:12" ht="14.5" x14ac:dyDescent="0.35">
      <c r="A22" s="45" t="s">
        <v>3588</v>
      </c>
      <c r="B22" s="46"/>
      <c r="C22" s="36">
        <v>45880</v>
      </c>
      <c r="D22" s="36" t="s">
        <v>2677</v>
      </c>
      <c r="E22" s="37">
        <v>38260</v>
      </c>
      <c r="F22" s="37" t="s">
        <v>4026</v>
      </c>
      <c r="G22" s="38">
        <v>6467.3200000000006</v>
      </c>
      <c r="H22" s="38"/>
      <c r="I22" s="37"/>
      <c r="J22" s="37"/>
      <c r="K22" s="38">
        <f t="shared" si="0"/>
        <v>6467.3200000000006</v>
      </c>
      <c r="L22" s="38"/>
    </row>
    <row r="23" spans="1:12" ht="14.5" x14ac:dyDescent="0.35">
      <c r="A23" s="45" t="s">
        <v>3588</v>
      </c>
      <c r="B23" s="46"/>
      <c r="C23" s="36">
        <v>45880</v>
      </c>
      <c r="D23" s="36" t="s">
        <v>2205</v>
      </c>
      <c r="E23" s="37">
        <v>38579</v>
      </c>
      <c r="F23" s="37" t="s">
        <v>4026</v>
      </c>
      <c r="G23" s="38">
        <v>990.31</v>
      </c>
      <c r="H23" s="38"/>
      <c r="I23" s="37"/>
      <c r="J23" s="37"/>
      <c r="K23" s="38">
        <f t="shared" si="0"/>
        <v>990.31</v>
      </c>
      <c r="L23" s="38"/>
    </row>
    <row r="24" spans="1:12" ht="14.5" x14ac:dyDescent="0.35">
      <c r="A24" s="45" t="s">
        <v>3588</v>
      </c>
      <c r="B24" s="46"/>
      <c r="C24" s="36">
        <v>45881</v>
      </c>
      <c r="D24" s="36" t="s">
        <v>1179</v>
      </c>
      <c r="E24" s="37" t="s">
        <v>2648</v>
      </c>
      <c r="F24" s="37" t="s">
        <v>4026</v>
      </c>
      <c r="G24" s="38">
        <v>0</v>
      </c>
      <c r="H24" s="38">
        <v>147.47999999999999</v>
      </c>
      <c r="I24" s="37"/>
      <c r="J24" s="37"/>
      <c r="K24" s="38">
        <f t="shared" si="0"/>
        <v>-147.47999999999999</v>
      </c>
      <c r="L24" s="38"/>
    </row>
    <row r="25" spans="1:12" ht="14.5" x14ac:dyDescent="0.35">
      <c r="A25" s="45" t="s">
        <v>3588</v>
      </c>
      <c r="B25" s="46"/>
      <c r="C25" s="36">
        <v>45881</v>
      </c>
      <c r="D25" s="36" t="s">
        <v>1179</v>
      </c>
      <c r="E25" s="37" t="s">
        <v>2649</v>
      </c>
      <c r="F25" s="37" t="s">
        <v>4026</v>
      </c>
      <c r="G25" s="38">
        <v>0</v>
      </c>
      <c r="H25" s="38">
        <v>2222.38</v>
      </c>
      <c r="I25" s="37"/>
      <c r="J25" s="37"/>
      <c r="K25" s="38">
        <f t="shared" si="0"/>
        <v>-2222.38</v>
      </c>
      <c r="L25" s="38"/>
    </row>
    <row r="26" spans="1:12" ht="14.5" x14ac:dyDescent="0.35">
      <c r="A26" s="45" t="s">
        <v>3588</v>
      </c>
      <c r="B26" s="46"/>
      <c r="C26" s="36">
        <v>45881</v>
      </c>
      <c r="D26" s="36" t="s">
        <v>1004</v>
      </c>
      <c r="E26" s="37" t="s">
        <v>2651</v>
      </c>
      <c r="F26" s="37" t="s">
        <v>4026</v>
      </c>
      <c r="G26" s="38">
        <v>838.15</v>
      </c>
      <c r="H26" s="38"/>
      <c r="I26" s="37"/>
      <c r="J26" s="37"/>
      <c r="K26" s="38">
        <f t="shared" si="0"/>
        <v>838.15</v>
      </c>
      <c r="L26" s="38"/>
    </row>
    <row r="27" spans="1:12" ht="14.5" x14ac:dyDescent="0.35">
      <c r="A27" s="45" t="s">
        <v>3588</v>
      </c>
      <c r="B27" s="46"/>
      <c r="C27" s="36">
        <v>45881</v>
      </c>
      <c r="D27" s="36" t="s">
        <v>1004</v>
      </c>
      <c r="E27" s="37" t="s">
        <v>2652</v>
      </c>
      <c r="F27" s="37" t="s">
        <v>4026</v>
      </c>
      <c r="G27" s="38">
        <v>6753.3600000000006</v>
      </c>
      <c r="H27" s="38"/>
      <c r="I27" s="37"/>
      <c r="J27" s="37"/>
      <c r="K27" s="38">
        <f t="shared" si="0"/>
        <v>6753.3600000000006</v>
      </c>
      <c r="L27" s="38"/>
    </row>
    <row r="28" spans="1:12" ht="14.5" x14ac:dyDescent="0.35">
      <c r="A28" s="45" t="s">
        <v>3588</v>
      </c>
      <c r="B28" s="46"/>
      <c r="C28" s="36">
        <v>45881</v>
      </c>
      <c r="D28" s="36" t="s">
        <v>1004</v>
      </c>
      <c r="E28" s="37" t="s">
        <v>2653</v>
      </c>
      <c r="F28" s="37" t="s">
        <v>4026</v>
      </c>
      <c r="G28" s="38">
        <v>9522.3900000000012</v>
      </c>
      <c r="H28" s="38"/>
      <c r="I28" s="37"/>
      <c r="J28" s="37"/>
      <c r="K28" s="38">
        <f t="shared" si="0"/>
        <v>9522.3900000000012</v>
      </c>
      <c r="L28" s="38"/>
    </row>
    <row r="29" spans="1:12" ht="14.5" x14ac:dyDescent="0.35">
      <c r="A29" s="45" t="s">
        <v>3588</v>
      </c>
      <c r="B29" s="46"/>
      <c r="C29" s="36">
        <v>45881</v>
      </c>
      <c r="D29" s="36" t="s">
        <v>1263</v>
      </c>
      <c r="E29" s="37" t="s">
        <v>2654</v>
      </c>
      <c r="F29" s="37" t="s">
        <v>4026</v>
      </c>
      <c r="G29" s="38">
        <v>20317.560000000001</v>
      </c>
      <c r="H29" s="38"/>
      <c r="I29" s="37"/>
      <c r="J29" s="37"/>
      <c r="K29" s="38">
        <f t="shared" si="0"/>
        <v>20317.560000000001</v>
      </c>
      <c r="L29" s="38"/>
    </row>
    <row r="30" spans="1:12" ht="14.5" x14ac:dyDescent="0.35">
      <c r="A30" s="45" t="s">
        <v>3588</v>
      </c>
      <c r="B30" s="46"/>
      <c r="C30" s="36">
        <v>45881</v>
      </c>
      <c r="D30" s="36" t="s">
        <v>1263</v>
      </c>
      <c r="E30" s="37" t="s">
        <v>2655</v>
      </c>
      <c r="F30" s="37" t="s">
        <v>4026</v>
      </c>
      <c r="G30" s="38">
        <v>1973.79</v>
      </c>
      <c r="H30" s="38"/>
      <c r="I30" s="37"/>
      <c r="J30" s="37"/>
      <c r="K30" s="38">
        <f t="shared" si="0"/>
        <v>1973.79</v>
      </c>
      <c r="L30" s="38"/>
    </row>
    <row r="31" spans="1:12" ht="14.5" x14ac:dyDescent="0.35">
      <c r="A31" s="45" t="s">
        <v>3588</v>
      </c>
      <c r="B31" s="46"/>
      <c r="C31" s="36">
        <v>45881</v>
      </c>
      <c r="D31" s="36" t="s">
        <v>1263</v>
      </c>
      <c r="E31" s="37" t="s">
        <v>2656</v>
      </c>
      <c r="F31" s="37" t="s">
        <v>4026</v>
      </c>
      <c r="G31" s="38">
        <v>1232.29</v>
      </c>
      <c r="H31" s="38"/>
      <c r="I31" s="37"/>
      <c r="J31" s="37"/>
      <c r="K31" s="38">
        <f t="shared" si="0"/>
        <v>1232.29</v>
      </c>
      <c r="L31" s="38"/>
    </row>
    <row r="32" spans="1:12" ht="14.5" x14ac:dyDescent="0.35">
      <c r="A32" s="45" t="s">
        <v>3588</v>
      </c>
      <c r="B32" s="46"/>
      <c r="C32" s="36">
        <v>45881</v>
      </c>
      <c r="D32" s="36" t="s">
        <v>1263</v>
      </c>
      <c r="E32" s="37" t="s">
        <v>2657</v>
      </c>
      <c r="F32" s="37" t="s">
        <v>4026</v>
      </c>
      <c r="G32" s="38">
        <v>34212.080000000002</v>
      </c>
      <c r="H32" s="38"/>
      <c r="I32" s="37"/>
      <c r="J32" s="37"/>
      <c r="K32" s="38">
        <f t="shared" si="0"/>
        <v>34212.080000000002</v>
      </c>
      <c r="L32" s="38"/>
    </row>
    <row r="33" spans="1:12" ht="14.5" x14ac:dyDescent="0.35">
      <c r="A33" s="45" t="s">
        <v>3588</v>
      </c>
      <c r="B33" s="46"/>
      <c r="C33" s="36">
        <v>45881</v>
      </c>
      <c r="D33" s="36" t="s">
        <v>1263</v>
      </c>
      <c r="E33" s="37" t="s">
        <v>2658</v>
      </c>
      <c r="F33" s="37" t="s">
        <v>4026</v>
      </c>
      <c r="G33" s="38">
        <v>29639.670000000002</v>
      </c>
      <c r="H33" s="38"/>
      <c r="I33" s="37"/>
      <c r="J33" s="37"/>
      <c r="K33" s="38">
        <f t="shared" si="0"/>
        <v>29639.670000000002</v>
      </c>
      <c r="L33" s="38"/>
    </row>
    <row r="34" spans="1:12" ht="14.5" x14ac:dyDescent="0.35">
      <c r="A34" s="45" t="s">
        <v>3588</v>
      </c>
      <c r="B34" s="46"/>
      <c r="C34" s="36">
        <v>45881</v>
      </c>
      <c r="D34" s="36" t="s">
        <v>1263</v>
      </c>
      <c r="E34" s="37" t="s">
        <v>2659</v>
      </c>
      <c r="F34" s="37" t="s">
        <v>4026</v>
      </c>
      <c r="G34" s="38">
        <v>1750.49</v>
      </c>
      <c r="H34" s="38"/>
      <c r="I34" s="37"/>
      <c r="J34" s="37"/>
      <c r="K34" s="38">
        <f t="shared" si="0"/>
        <v>1750.49</v>
      </c>
      <c r="L34" s="38"/>
    </row>
    <row r="35" spans="1:12" ht="14.5" x14ac:dyDescent="0.35">
      <c r="A35" s="45" t="s">
        <v>3588</v>
      </c>
      <c r="B35" s="46"/>
      <c r="C35" s="36">
        <v>45881</v>
      </c>
      <c r="D35" s="36" t="s">
        <v>1263</v>
      </c>
      <c r="E35" s="37" t="s">
        <v>2660</v>
      </c>
      <c r="F35" s="37" t="s">
        <v>4026</v>
      </c>
      <c r="G35" s="38">
        <v>12495.009999999998</v>
      </c>
      <c r="H35" s="38"/>
      <c r="I35" s="37"/>
      <c r="J35" s="37"/>
      <c r="K35" s="38">
        <f t="shared" si="0"/>
        <v>12495.009999999998</v>
      </c>
      <c r="L35" s="38"/>
    </row>
    <row r="36" spans="1:12" ht="14.5" x14ac:dyDescent="0.35">
      <c r="A36" s="45" t="s">
        <v>3588</v>
      </c>
      <c r="B36" s="46"/>
      <c r="C36" s="36">
        <v>45881</v>
      </c>
      <c r="D36" s="36" t="s">
        <v>1263</v>
      </c>
      <c r="E36" s="37" t="s">
        <v>2661</v>
      </c>
      <c r="F36" s="37" t="s">
        <v>4026</v>
      </c>
      <c r="G36" s="38">
        <v>25083.95</v>
      </c>
      <c r="H36" s="38"/>
      <c r="I36" s="37"/>
      <c r="J36" s="37"/>
      <c r="K36" s="38">
        <f t="shared" si="0"/>
        <v>25083.95</v>
      </c>
      <c r="L36" s="38"/>
    </row>
    <row r="37" spans="1:12" ht="14.5" x14ac:dyDescent="0.35">
      <c r="A37" s="45" t="s">
        <v>3588</v>
      </c>
      <c r="B37" s="46"/>
      <c r="C37" s="36">
        <v>45881</v>
      </c>
      <c r="D37" s="36" t="s">
        <v>1263</v>
      </c>
      <c r="E37" s="37" t="s">
        <v>2663</v>
      </c>
      <c r="F37" s="37" t="s">
        <v>4026</v>
      </c>
      <c r="G37" s="38">
        <v>136.87</v>
      </c>
      <c r="H37" s="38"/>
      <c r="I37" s="37"/>
      <c r="J37" s="37"/>
      <c r="K37" s="38">
        <f t="shared" si="0"/>
        <v>136.87</v>
      </c>
      <c r="L37" s="38"/>
    </row>
    <row r="38" spans="1:12" ht="14.5" x14ac:dyDescent="0.35">
      <c r="A38" s="45" t="s">
        <v>3588</v>
      </c>
      <c r="B38" s="46"/>
      <c r="C38" s="36">
        <v>45881</v>
      </c>
      <c r="D38" s="36" t="s">
        <v>1263</v>
      </c>
      <c r="E38" s="37" t="s">
        <v>2664</v>
      </c>
      <c r="F38" s="37" t="s">
        <v>4026</v>
      </c>
      <c r="G38" s="38">
        <v>2454.7399999999998</v>
      </c>
      <c r="H38" s="38"/>
      <c r="I38" s="37"/>
      <c r="J38" s="37"/>
      <c r="K38" s="38">
        <f t="shared" si="0"/>
        <v>2454.7399999999998</v>
      </c>
      <c r="L38" s="38"/>
    </row>
    <row r="39" spans="1:12" ht="14.5" x14ac:dyDescent="0.35">
      <c r="A39" s="45" t="s">
        <v>3588</v>
      </c>
      <c r="B39" s="46"/>
      <c r="C39" s="36">
        <v>45881</v>
      </c>
      <c r="D39" s="36" t="s">
        <v>2677</v>
      </c>
      <c r="E39" s="37" t="s">
        <v>2665</v>
      </c>
      <c r="F39" s="37" t="s">
        <v>4026</v>
      </c>
      <c r="G39" s="38">
        <v>7343.21</v>
      </c>
      <c r="H39" s="38"/>
      <c r="I39" s="37"/>
      <c r="J39" s="37"/>
      <c r="K39" s="38">
        <f t="shared" si="0"/>
        <v>7343.21</v>
      </c>
      <c r="L39" s="38"/>
    </row>
    <row r="40" spans="1:12" ht="14.5" x14ac:dyDescent="0.35">
      <c r="A40" s="45" t="s">
        <v>3588</v>
      </c>
      <c r="B40" s="46"/>
      <c r="C40" s="36">
        <v>45881</v>
      </c>
      <c r="D40" s="36" t="s">
        <v>2677</v>
      </c>
      <c r="E40" s="37" t="s">
        <v>2666</v>
      </c>
      <c r="F40" s="37" t="s">
        <v>4026</v>
      </c>
      <c r="G40" s="38">
        <v>493.75</v>
      </c>
      <c r="H40" s="38"/>
      <c r="I40" s="37"/>
      <c r="J40" s="37"/>
      <c r="K40" s="38">
        <f t="shared" si="0"/>
        <v>493.75</v>
      </c>
      <c r="L40" s="38"/>
    </row>
    <row r="41" spans="1:12" ht="14.5" x14ac:dyDescent="0.35">
      <c r="A41" s="45" t="s">
        <v>3588</v>
      </c>
      <c r="B41" s="46"/>
      <c r="C41" s="36">
        <v>45881</v>
      </c>
      <c r="D41" s="36" t="s">
        <v>2677</v>
      </c>
      <c r="E41" s="37" t="s">
        <v>2667</v>
      </c>
      <c r="F41" s="37" t="s">
        <v>4026</v>
      </c>
      <c r="G41" s="38">
        <v>6729.76</v>
      </c>
      <c r="H41" s="38"/>
      <c r="I41" s="37"/>
      <c r="J41" s="37"/>
      <c r="K41" s="38">
        <f t="shared" si="0"/>
        <v>6729.76</v>
      </c>
      <c r="L41" s="38"/>
    </row>
    <row r="42" spans="1:12" ht="14.5" x14ac:dyDescent="0.35">
      <c r="A42" s="45" t="s">
        <v>3588</v>
      </c>
      <c r="B42" s="46"/>
      <c r="C42" s="36">
        <v>45881</v>
      </c>
      <c r="D42" s="36" t="s">
        <v>2677</v>
      </c>
      <c r="E42" s="37" t="s">
        <v>2668</v>
      </c>
      <c r="F42" s="37" t="s">
        <v>4026</v>
      </c>
      <c r="G42" s="38">
        <v>17550.43</v>
      </c>
      <c r="H42" s="38"/>
      <c r="I42" s="37"/>
      <c r="J42" s="37"/>
      <c r="K42" s="38">
        <f t="shared" si="0"/>
        <v>17550.43</v>
      </c>
      <c r="L42" s="38"/>
    </row>
    <row r="43" spans="1:12" ht="14.5" x14ac:dyDescent="0.35">
      <c r="A43" s="45" t="s">
        <v>3588</v>
      </c>
      <c r="B43" s="46"/>
      <c r="C43" s="36">
        <v>45881</v>
      </c>
      <c r="D43" s="36" t="s">
        <v>2677</v>
      </c>
      <c r="E43" s="37">
        <v>38256</v>
      </c>
      <c r="F43" s="37" t="s">
        <v>4026</v>
      </c>
      <c r="G43" s="38">
        <v>4568.0200000000004</v>
      </c>
      <c r="H43" s="38"/>
      <c r="I43" s="37"/>
      <c r="J43" s="37"/>
      <c r="K43" s="38">
        <f t="shared" si="0"/>
        <v>4568.0200000000004</v>
      </c>
      <c r="L43" s="38"/>
    </row>
    <row r="44" spans="1:12" ht="14.5" x14ac:dyDescent="0.35">
      <c r="A44" s="45" t="s">
        <v>3588</v>
      </c>
      <c r="B44" s="46"/>
      <c r="C44" s="36">
        <v>45881</v>
      </c>
      <c r="D44" s="36" t="s">
        <v>2677</v>
      </c>
      <c r="E44" s="37">
        <v>38257</v>
      </c>
      <c r="F44" s="37" t="s">
        <v>4026</v>
      </c>
      <c r="G44" s="38">
        <v>2555.48</v>
      </c>
      <c r="H44" s="38"/>
      <c r="I44" s="37"/>
      <c r="J44" s="37"/>
      <c r="K44" s="38">
        <f t="shared" si="0"/>
        <v>2555.48</v>
      </c>
      <c r="L44" s="38"/>
    </row>
    <row r="45" spans="1:12" ht="14.5" x14ac:dyDescent="0.35">
      <c r="A45" s="45" t="s">
        <v>3588</v>
      </c>
      <c r="B45" s="46"/>
      <c r="C45" s="36">
        <v>45881</v>
      </c>
      <c r="D45" s="36" t="s">
        <v>2677</v>
      </c>
      <c r="E45" s="37">
        <v>38268</v>
      </c>
      <c r="F45" s="37" t="s">
        <v>4026</v>
      </c>
      <c r="G45" s="38">
        <v>427.87</v>
      </c>
      <c r="H45" s="38"/>
      <c r="I45" s="37"/>
      <c r="J45" s="37"/>
      <c r="K45" s="38">
        <f t="shared" si="0"/>
        <v>427.87</v>
      </c>
      <c r="L45" s="38"/>
    </row>
    <row r="46" spans="1:12" ht="14.5" x14ac:dyDescent="0.35">
      <c r="A46" s="45" t="s">
        <v>3588</v>
      </c>
      <c r="B46" s="46"/>
      <c r="C46" s="36">
        <v>45881</v>
      </c>
      <c r="D46" s="36" t="s">
        <v>2629</v>
      </c>
      <c r="E46" s="37">
        <v>38331</v>
      </c>
      <c r="F46" s="37" t="s">
        <v>4026</v>
      </c>
      <c r="G46" s="38">
        <v>4247.3600000000006</v>
      </c>
      <c r="H46" s="38"/>
      <c r="I46" s="37"/>
      <c r="J46" s="37"/>
      <c r="K46" s="38">
        <f t="shared" si="0"/>
        <v>4247.3600000000006</v>
      </c>
      <c r="L46" s="38"/>
    </row>
    <row r="47" spans="1:12" ht="14.5" x14ac:dyDescent="0.35">
      <c r="A47" s="45" t="s">
        <v>3588</v>
      </c>
      <c r="B47" s="46"/>
      <c r="C47" s="36">
        <v>45881</v>
      </c>
      <c r="D47" s="36" t="s">
        <v>2677</v>
      </c>
      <c r="E47" s="37">
        <v>38375</v>
      </c>
      <c r="F47" s="37" t="s">
        <v>4026</v>
      </c>
      <c r="G47" s="38">
        <v>682.08999999999992</v>
      </c>
      <c r="H47" s="38"/>
      <c r="I47" s="37"/>
      <c r="J47" s="37"/>
      <c r="K47" s="38">
        <f t="shared" si="0"/>
        <v>682.08999999999992</v>
      </c>
      <c r="L47" s="38"/>
    </row>
    <row r="48" spans="1:12" ht="14.5" x14ac:dyDescent="0.35">
      <c r="A48" s="45" t="s">
        <v>3588</v>
      </c>
      <c r="B48" s="46"/>
      <c r="C48" s="36">
        <v>45882</v>
      </c>
      <c r="D48" s="36" t="s">
        <v>2020</v>
      </c>
      <c r="E48" s="37" t="s">
        <v>2669</v>
      </c>
      <c r="F48" s="37" t="s">
        <v>4026</v>
      </c>
      <c r="G48" s="38">
        <v>30.74</v>
      </c>
      <c r="H48" s="38"/>
      <c r="I48" s="37"/>
      <c r="J48" s="37"/>
      <c r="K48" s="38">
        <f t="shared" si="0"/>
        <v>30.74</v>
      </c>
      <c r="L48" s="38"/>
    </row>
    <row r="49" spans="1:12" ht="14.5" x14ac:dyDescent="0.35">
      <c r="A49" s="45" t="s">
        <v>3588</v>
      </c>
      <c r="B49" s="46"/>
      <c r="C49" s="36">
        <v>45882</v>
      </c>
      <c r="D49" s="36" t="s">
        <v>2020</v>
      </c>
      <c r="E49" s="37" t="s">
        <v>2670</v>
      </c>
      <c r="F49" s="37" t="s">
        <v>4026</v>
      </c>
      <c r="G49" s="38">
        <v>240.54</v>
      </c>
      <c r="H49" s="38"/>
      <c r="I49" s="37"/>
      <c r="J49" s="37"/>
      <c r="K49" s="38">
        <f t="shared" si="0"/>
        <v>240.54</v>
      </c>
      <c r="L49" s="38"/>
    </row>
    <row r="50" spans="1:12" ht="14.5" x14ac:dyDescent="0.35">
      <c r="A50" s="45" t="s">
        <v>3588</v>
      </c>
      <c r="B50" s="46"/>
      <c r="C50" s="36">
        <v>45882</v>
      </c>
      <c r="D50" s="36" t="s">
        <v>1263</v>
      </c>
      <c r="E50" s="37" t="s">
        <v>2671</v>
      </c>
      <c r="F50" s="37" t="s">
        <v>4026</v>
      </c>
      <c r="G50" s="38">
        <v>716.95</v>
      </c>
      <c r="H50" s="38"/>
      <c r="I50" s="37"/>
      <c r="J50" s="37"/>
      <c r="K50" s="38">
        <f t="shared" si="0"/>
        <v>716.95</v>
      </c>
      <c r="L50" s="38"/>
    </row>
    <row r="51" spans="1:12" ht="14.5" x14ac:dyDescent="0.35">
      <c r="A51" s="45" t="s">
        <v>3588</v>
      </c>
      <c r="B51" s="46"/>
      <c r="C51" s="36">
        <v>45882</v>
      </c>
      <c r="D51" s="36" t="s">
        <v>2626</v>
      </c>
      <c r="E51" s="37" t="s">
        <v>2672</v>
      </c>
      <c r="F51" s="37" t="s">
        <v>4026</v>
      </c>
      <c r="G51" s="38">
        <v>4807.8500000000004</v>
      </c>
      <c r="H51" s="38"/>
      <c r="I51" s="37"/>
      <c r="J51" s="37"/>
      <c r="K51" s="38">
        <f t="shared" si="0"/>
        <v>4807.8500000000004</v>
      </c>
      <c r="L51" s="38"/>
    </row>
    <row r="52" spans="1:12" ht="14.5" x14ac:dyDescent="0.35">
      <c r="A52" s="45" t="s">
        <v>3588</v>
      </c>
      <c r="B52" s="46"/>
      <c r="C52" s="36">
        <v>45887</v>
      </c>
      <c r="D52" s="36" t="s">
        <v>2769</v>
      </c>
      <c r="E52" s="37">
        <v>38857</v>
      </c>
      <c r="F52" s="37" t="s">
        <v>4026</v>
      </c>
      <c r="G52" s="38">
        <v>8947.15</v>
      </c>
      <c r="H52" s="38"/>
      <c r="I52" s="37"/>
      <c r="J52" s="37"/>
      <c r="K52" s="38">
        <f t="shared" si="0"/>
        <v>8947.15</v>
      </c>
      <c r="L52" s="38"/>
    </row>
    <row r="53" spans="1:12" ht="14.5" x14ac:dyDescent="0.35">
      <c r="A53" s="45" t="s">
        <v>3588</v>
      </c>
      <c r="B53" s="46"/>
      <c r="C53" s="36">
        <v>45890</v>
      </c>
      <c r="D53" s="36" t="s">
        <v>1475</v>
      </c>
      <c r="E53" s="37" t="s">
        <v>2673</v>
      </c>
      <c r="F53" s="37" t="s">
        <v>4026</v>
      </c>
      <c r="G53" s="38">
        <v>33567.360000000001</v>
      </c>
      <c r="H53" s="38"/>
      <c r="I53" s="37"/>
      <c r="J53" s="37"/>
      <c r="K53" s="38">
        <f t="shared" si="0"/>
        <v>33567.360000000001</v>
      </c>
      <c r="L53" s="38"/>
    </row>
    <row r="54" spans="1:12" ht="14.5" x14ac:dyDescent="0.35">
      <c r="A54" s="45" t="s">
        <v>3588</v>
      </c>
      <c r="B54" s="46"/>
      <c r="C54" s="36">
        <v>45892</v>
      </c>
      <c r="D54" s="36" t="s">
        <v>1269</v>
      </c>
      <c r="E54" s="37" t="s">
        <v>2674</v>
      </c>
      <c r="F54" s="37" t="s">
        <v>4026</v>
      </c>
      <c r="G54" s="38">
        <v>34804.400000000001</v>
      </c>
      <c r="H54" s="38"/>
      <c r="I54" s="37"/>
      <c r="J54" s="37"/>
      <c r="K54" s="38">
        <f t="shared" si="0"/>
        <v>34804.400000000001</v>
      </c>
      <c r="L54" s="38"/>
    </row>
    <row r="55" spans="1:12" ht="14.5" x14ac:dyDescent="0.35">
      <c r="A55" s="45" t="s">
        <v>3588</v>
      </c>
      <c r="B55" s="46"/>
      <c r="C55" s="36">
        <v>45894</v>
      </c>
      <c r="D55" s="36" t="s">
        <v>2020</v>
      </c>
      <c r="E55" s="37" t="s">
        <v>2675</v>
      </c>
      <c r="F55" s="37" t="s">
        <v>4026</v>
      </c>
      <c r="G55" s="38">
        <v>5718.97</v>
      </c>
      <c r="H55" s="38"/>
      <c r="I55" s="37"/>
      <c r="J55" s="37"/>
      <c r="K55" s="38">
        <f t="shared" si="0"/>
        <v>5718.97</v>
      </c>
      <c r="L55" s="38"/>
    </row>
    <row r="56" spans="1:12" ht="14.5" x14ac:dyDescent="0.35">
      <c r="A56" s="45" t="s">
        <v>3588</v>
      </c>
      <c r="B56" s="46"/>
      <c r="C56" s="36">
        <v>45894</v>
      </c>
      <c r="D56" s="36" t="s">
        <v>2020</v>
      </c>
      <c r="E56" s="37" t="s">
        <v>2676</v>
      </c>
      <c r="F56" s="37" t="s">
        <v>4026</v>
      </c>
      <c r="G56" s="38">
        <v>4424.8500000000004</v>
      </c>
      <c r="H56" s="38"/>
      <c r="I56" s="37"/>
      <c r="J56" s="37"/>
      <c r="K56" s="38">
        <f t="shared" si="0"/>
        <v>4424.8500000000004</v>
      </c>
      <c r="L56" s="38"/>
    </row>
    <row r="57" spans="1:12" ht="14.5" x14ac:dyDescent="0.35">
      <c r="A57" s="45" t="s">
        <v>3588</v>
      </c>
      <c r="B57" s="46"/>
      <c r="C57" s="36">
        <v>45894</v>
      </c>
      <c r="D57" s="36" t="s">
        <v>2020</v>
      </c>
      <c r="E57" s="37" t="s">
        <v>2678</v>
      </c>
      <c r="F57" s="37" t="s">
        <v>4026</v>
      </c>
      <c r="G57" s="38">
        <v>200.4</v>
      </c>
      <c r="H57" s="38"/>
      <c r="I57" s="37"/>
      <c r="J57" s="37"/>
      <c r="K57" s="38">
        <f t="shared" si="0"/>
        <v>200.4</v>
      </c>
      <c r="L57" s="38"/>
    </row>
    <row r="58" spans="1:12" ht="14.5" x14ac:dyDescent="0.35">
      <c r="A58" s="45" t="s">
        <v>3588</v>
      </c>
      <c r="B58" s="46"/>
      <c r="C58" s="36">
        <v>45894</v>
      </c>
      <c r="D58" s="36" t="s">
        <v>2020</v>
      </c>
      <c r="E58" s="37" t="s">
        <v>2679</v>
      </c>
      <c r="F58" s="37" t="s">
        <v>4026</v>
      </c>
      <c r="G58" s="38">
        <v>442.6</v>
      </c>
      <c r="H58" s="38"/>
      <c r="I58" s="37"/>
      <c r="J58" s="37"/>
      <c r="K58" s="38">
        <f t="shared" si="0"/>
        <v>442.6</v>
      </c>
      <c r="L58" s="38"/>
    </row>
    <row r="59" spans="1:12" ht="14.5" x14ac:dyDescent="0.35">
      <c r="A59" s="45" t="s">
        <v>3588</v>
      </c>
      <c r="B59" s="46"/>
      <c r="C59" s="36">
        <v>45894</v>
      </c>
      <c r="D59" s="36" t="s">
        <v>2020</v>
      </c>
      <c r="E59" s="37" t="s">
        <v>2680</v>
      </c>
      <c r="F59" s="37" t="s">
        <v>4026</v>
      </c>
      <c r="G59" s="38">
        <v>21347.89</v>
      </c>
      <c r="H59" s="38"/>
      <c r="I59" s="37"/>
      <c r="J59" s="37"/>
      <c r="K59" s="38">
        <f t="shared" si="0"/>
        <v>21347.89</v>
      </c>
      <c r="L59" s="38"/>
    </row>
    <row r="60" spans="1:12" ht="14.5" x14ac:dyDescent="0.35">
      <c r="A60" s="45" t="s">
        <v>3588</v>
      </c>
      <c r="B60" s="46"/>
      <c r="C60" s="36">
        <v>45894</v>
      </c>
      <c r="D60" s="36" t="s">
        <v>2020</v>
      </c>
      <c r="E60" s="37" t="s">
        <v>2681</v>
      </c>
      <c r="F60" s="37" t="s">
        <v>4026</v>
      </c>
      <c r="G60" s="38">
        <v>35534.570000000007</v>
      </c>
      <c r="H60" s="38"/>
      <c r="I60" s="37"/>
      <c r="J60" s="37"/>
      <c r="K60" s="38">
        <f t="shared" si="0"/>
        <v>35534.570000000007</v>
      </c>
      <c r="L60" s="38"/>
    </row>
    <row r="61" spans="1:12" ht="14.5" x14ac:dyDescent="0.35">
      <c r="A61" s="45" t="s">
        <v>3588</v>
      </c>
      <c r="B61" s="46"/>
      <c r="C61" s="36">
        <v>45894</v>
      </c>
      <c r="D61" s="36" t="s">
        <v>2020</v>
      </c>
      <c r="E61" s="37">
        <v>33571</v>
      </c>
      <c r="F61" s="37" t="s">
        <v>4026</v>
      </c>
      <c r="G61" s="38">
        <v>1368.69</v>
      </c>
      <c r="H61" s="38"/>
      <c r="I61" s="37"/>
      <c r="J61" s="37"/>
      <c r="K61" s="38">
        <f t="shared" si="0"/>
        <v>1368.69</v>
      </c>
      <c r="L61" s="38"/>
    </row>
    <row r="62" spans="1:12" ht="14.5" x14ac:dyDescent="0.35">
      <c r="A62" s="45" t="s">
        <v>3588</v>
      </c>
      <c r="B62" s="46"/>
      <c r="C62" s="36">
        <v>45894</v>
      </c>
      <c r="D62" s="36" t="s">
        <v>2020</v>
      </c>
      <c r="E62" s="37" t="s">
        <v>2682</v>
      </c>
      <c r="F62" s="37" t="s">
        <v>4026</v>
      </c>
      <c r="G62" s="38">
        <v>46390.27</v>
      </c>
      <c r="H62" s="38"/>
      <c r="I62" s="37"/>
      <c r="J62" s="37"/>
      <c r="K62" s="38">
        <f t="shared" si="0"/>
        <v>46390.27</v>
      </c>
      <c r="L62" s="38"/>
    </row>
    <row r="63" spans="1:12" ht="14.5" x14ac:dyDescent="0.35">
      <c r="A63" s="45" t="s">
        <v>3588</v>
      </c>
      <c r="B63" s="46"/>
      <c r="C63" s="36">
        <v>45894</v>
      </c>
      <c r="D63" s="36" t="s">
        <v>2020</v>
      </c>
      <c r="E63" s="37" t="s">
        <v>2683</v>
      </c>
      <c r="F63" s="37" t="s">
        <v>4026</v>
      </c>
      <c r="G63" s="38">
        <v>736.03</v>
      </c>
      <c r="H63" s="38"/>
      <c r="I63" s="37"/>
      <c r="J63" s="37"/>
      <c r="K63" s="38">
        <f t="shared" si="0"/>
        <v>736.03</v>
      </c>
      <c r="L63" s="38"/>
    </row>
    <row r="64" spans="1:12" ht="14.5" x14ac:dyDescent="0.35">
      <c r="A64" s="45" t="s">
        <v>3588</v>
      </c>
      <c r="B64" s="46"/>
      <c r="C64" s="36">
        <v>45894</v>
      </c>
      <c r="D64" s="36" t="s">
        <v>2020</v>
      </c>
      <c r="E64" s="37" t="s">
        <v>2684</v>
      </c>
      <c r="F64" s="37" t="s">
        <v>4026</v>
      </c>
      <c r="G64" s="38">
        <v>15799.1</v>
      </c>
      <c r="H64" s="38"/>
      <c r="I64" s="37"/>
      <c r="J64" s="37"/>
      <c r="K64" s="38">
        <f t="shared" si="0"/>
        <v>15799.1</v>
      </c>
      <c r="L64" s="38"/>
    </row>
    <row r="65" spans="1:12" ht="14.5" x14ac:dyDescent="0.35">
      <c r="A65" s="45" t="s">
        <v>3588</v>
      </c>
      <c r="B65" s="46"/>
      <c r="C65" s="36">
        <v>45894</v>
      </c>
      <c r="D65" s="36" t="s">
        <v>2020</v>
      </c>
      <c r="E65" s="37" t="s">
        <v>2685</v>
      </c>
      <c r="F65" s="37" t="s">
        <v>4026</v>
      </c>
      <c r="G65" s="38">
        <v>3652.1400000000003</v>
      </c>
      <c r="H65" s="38"/>
      <c r="I65" s="37"/>
      <c r="J65" s="37"/>
      <c r="K65" s="38">
        <f t="shared" si="0"/>
        <v>3652.1400000000003</v>
      </c>
      <c r="L65" s="38"/>
    </row>
    <row r="66" spans="1:12" ht="14.5" x14ac:dyDescent="0.35">
      <c r="A66" s="45" t="s">
        <v>3588</v>
      </c>
      <c r="B66" s="46"/>
      <c r="C66" s="36">
        <v>45894</v>
      </c>
      <c r="D66" s="36" t="s">
        <v>2020</v>
      </c>
      <c r="E66" s="37">
        <v>33950</v>
      </c>
      <c r="F66" s="37" t="s">
        <v>4026</v>
      </c>
      <c r="G66" s="38">
        <v>492.94</v>
      </c>
      <c r="H66" s="38"/>
      <c r="I66" s="37"/>
      <c r="J66" s="37"/>
      <c r="K66" s="38">
        <f t="shared" si="0"/>
        <v>492.94</v>
      </c>
      <c r="L66" s="38"/>
    </row>
    <row r="67" spans="1:12" ht="14.5" x14ac:dyDescent="0.35">
      <c r="A67" s="45" t="s">
        <v>3588</v>
      </c>
      <c r="B67" s="46"/>
      <c r="C67" s="36">
        <v>45894</v>
      </c>
      <c r="D67" s="36" t="s">
        <v>2020</v>
      </c>
      <c r="E67" s="37" t="s">
        <v>2686</v>
      </c>
      <c r="F67" s="37" t="s">
        <v>4026</v>
      </c>
      <c r="G67" s="38">
        <v>93.02</v>
      </c>
      <c r="H67" s="38"/>
      <c r="I67" s="37"/>
      <c r="J67" s="37"/>
      <c r="K67" s="38">
        <f t="shared" si="0"/>
        <v>93.02</v>
      </c>
      <c r="L67" s="38"/>
    </row>
    <row r="68" spans="1:12" ht="14.5" x14ac:dyDescent="0.35">
      <c r="A68" s="45" t="s">
        <v>3588</v>
      </c>
      <c r="B68" s="46"/>
      <c r="C68" s="36">
        <v>45894</v>
      </c>
      <c r="D68" s="36" t="s">
        <v>2020</v>
      </c>
      <c r="E68" s="37" t="s">
        <v>2687</v>
      </c>
      <c r="F68" s="37" t="s">
        <v>4026</v>
      </c>
      <c r="G68" s="38">
        <v>455.18</v>
      </c>
      <c r="H68" s="38"/>
      <c r="I68" s="37"/>
      <c r="J68" s="37"/>
      <c r="K68" s="38">
        <f t="shared" si="0"/>
        <v>455.18</v>
      </c>
      <c r="L68" s="38"/>
    </row>
    <row r="69" spans="1:12" ht="14.5" x14ac:dyDescent="0.35">
      <c r="A69" s="45" t="s">
        <v>3588</v>
      </c>
      <c r="B69" s="46"/>
      <c r="C69" s="36">
        <v>45894</v>
      </c>
      <c r="D69" s="36" t="s">
        <v>2020</v>
      </c>
      <c r="E69" s="37" t="s">
        <v>2688</v>
      </c>
      <c r="F69" s="37" t="s">
        <v>4026</v>
      </c>
      <c r="G69" s="38">
        <v>1122.45</v>
      </c>
      <c r="H69" s="38"/>
      <c r="I69" s="37"/>
      <c r="J69" s="37"/>
      <c r="K69" s="38">
        <f t="shared" ref="K69:K132" si="1">G69-H69</f>
        <v>1122.45</v>
      </c>
      <c r="L69" s="38"/>
    </row>
    <row r="70" spans="1:12" ht="14.5" x14ac:dyDescent="0.35">
      <c r="A70" s="45" t="s">
        <v>3588</v>
      </c>
      <c r="B70" s="46"/>
      <c r="C70" s="36">
        <v>45894</v>
      </c>
      <c r="D70" s="36" t="s">
        <v>2020</v>
      </c>
      <c r="E70" s="37" t="s">
        <v>2689</v>
      </c>
      <c r="F70" s="37" t="s">
        <v>4026</v>
      </c>
      <c r="G70" s="38">
        <v>7346.5899999999992</v>
      </c>
      <c r="H70" s="38"/>
      <c r="I70" s="37"/>
      <c r="J70" s="37"/>
      <c r="K70" s="38">
        <f t="shared" si="1"/>
        <v>7346.5899999999992</v>
      </c>
      <c r="L70" s="38"/>
    </row>
    <row r="71" spans="1:12" ht="14.5" x14ac:dyDescent="0.35">
      <c r="A71" s="45" t="s">
        <v>3588</v>
      </c>
      <c r="B71" s="46"/>
      <c r="C71" s="36">
        <v>45894</v>
      </c>
      <c r="D71" s="36" t="s">
        <v>2020</v>
      </c>
      <c r="E71" s="37" t="s">
        <v>2690</v>
      </c>
      <c r="F71" s="37" t="s">
        <v>4026</v>
      </c>
      <c r="G71" s="38">
        <v>11782.909999999998</v>
      </c>
      <c r="H71" s="38"/>
      <c r="I71" s="37"/>
      <c r="J71" s="37"/>
      <c r="K71" s="38">
        <f t="shared" si="1"/>
        <v>11782.909999999998</v>
      </c>
      <c r="L71" s="38"/>
    </row>
    <row r="72" spans="1:12" ht="14.5" x14ac:dyDescent="0.35">
      <c r="A72" s="45" t="s">
        <v>3588</v>
      </c>
      <c r="B72" s="46"/>
      <c r="C72" s="36">
        <v>45894</v>
      </c>
      <c r="D72" s="36" t="s">
        <v>2831</v>
      </c>
      <c r="E72" s="37" t="s">
        <v>2691</v>
      </c>
      <c r="F72" s="37" t="s">
        <v>4026</v>
      </c>
      <c r="G72" s="38">
        <v>3338</v>
      </c>
      <c r="H72" s="38"/>
      <c r="I72" s="37"/>
      <c r="J72" s="37"/>
      <c r="K72" s="38">
        <f t="shared" si="1"/>
        <v>3338</v>
      </c>
      <c r="L72" s="38"/>
    </row>
    <row r="73" spans="1:12" ht="14.5" x14ac:dyDescent="0.35">
      <c r="A73" s="45" t="s">
        <v>3588</v>
      </c>
      <c r="B73" s="46"/>
      <c r="C73" s="36">
        <v>45894</v>
      </c>
      <c r="D73" s="36" t="s">
        <v>1272</v>
      </c>
      <c r="E73" s="37">
        <v>36943</v>
      </c>
      <c r="F73" s="37" t="s">
        <v>4026</v>
      </c>
      <c r="G73" s="38">
        <v>3983</v>
      </c>
      <c r="H73" s="38"/>
      <c r="I73" s="37"/>
      <c r="J73" s="37"/>
      <c r="K73" s="38">
        <f t="shared" si="1"/>
        <v>3983</v>
      </c>
      <c r="L73" s="38"/>
    </row>
    <row r="74" spans="1:12" ht="14.5" x14ac:dyDescent="0.35">
      <c r="A74" s="45" t="s">
        <v>3588</v>
      </c>
      <c r="B74" s="46"/>
      <c r="C74" s="36">
        <v>45894</v>
      </c>
      <c r="D74" s="36" t="s">
        <v>1269</v>
      </c>
      <c r="E74" s="37" t="s">
        <v>2692</v>
      </c>
      <c r="F74" s="37" t="s">
        <v>4026</v>
      </c>
      <c r="G74" s="38">
        <v>6832.57</v>
      </c>
      <c r="H74" s="38"/>
      <c r="I74" s="37"/>
      <c r="J74" s="37"/>
      <c r="K74" s="38">
        <f t="shared" si="1"/>
        <v>6832.57</v>
      </c>
      <c r="L74" s="38"/>
    </row>
    <row r="75" spans="1:12" ht="14.5" x14ac:dyDescent="0.35">
      <c r="A75" s="45" t="s">
        <v>3588</v>
      </c>
      <c r="B75" s="46"/>
      <c r="C75" s="36">
        <v>45895</v>
      </c>
      <c r="D75" s="36" t="s">
        <v>2020</v>
      </c>
      <c r="E75" s="37" t="s">
        <v>2693</v>
      </c>
      <c r="F75" s="37" t="s">
        <v>4026</v>
      </c>
      <c r="G75" s="38">
        <v>0</v>
      </c>
      <c r="H75" s="38"/>
      <c r="I75" s="37"/>
      <c r="J75" s="37"/>
      <c r="K75" s="38">
        <f t="shared" si="1"/>
        <v>0</v>
      </c>
      <c r="L75" s="38"/>
    </row>
    <row r="76" spans="1:12" ht="14.5" x14ac:dyDescent="0.35">
      <c r="A76" s="45" t="s">
        <v>3588</v>
      </c>
      <c r="B76" s="46"/>
      <c r="C76" s="36">
        <v>45895</v>
      </c>
      <c r="D76" s="36" t="s">
        <v>2846</v>
      </c>
      <c r="E76" s="37" t="s">
        <v>2694</v>
      </c>
      <c r="F76" s="37" t="s">
        <v>4026</v>
      </c>
      <c r="G76" s="38">
        <v>1716.1300000000003</v>
      </c>
      <c r="H76" s="38"/>
      <c r="I76" s="37"/>
      <c r="J76" s="37"/>
      <c r="K76" s="38">
        <f t="shared" si="1"/>
        <v>1716.1300000000003</v>
      </c>
      <c r="L76" s="38"/>
    </row>
    <row r="77" spans="1:12" ht="14.5" x14ac:dyDescent="0.35">
      <c r="A77" s="45" t="s">
        <v>3588</v>
      </c>
      <c r="B77" s="46"/>
      <c r="C77" s="36">
        <v>45896</v>
      </c>
      <c r="D77" s="36" t="s">
        <v>1035</v>
      </c>
      <c r="E77" s="37" t="s">
        <v>2695</v>
      </c>
      <c r="F77" s="37" t="s">
        <v>4026</v>
      </c>
      <c r="G77" s="38">
        <v>350.73</v>
      </c>
      <c r="H77" s="38"/>
      <c r="I77" s="37"/>
      <c r="J77" s="37"/>
      <c r="K77" s="38">
        <f t="shared" si="1"/>
        <v>350.73</v>
      </c>
      <c r="L77" s="38"/>
    </row>
    <row r="78" spans="1:12" ht="14.5" x14ac:dyDescent="0.35">
      <c r="A78" s="45" t="s">
        <v>3588</v>
      </c>
      <c r="B78" s="46"/>
      <c r="C78" s="36">
        <v>45897</v>
      </c>
      <c r="D78" s="36" t="s">
        <v>2854</v>
      </c>
      <c r="E78" s="37" t="s">
        <v>2696</v>
      </c>
      <c r="F78" s="37" t="s">
        <v>4026</v>
      </c>
      <c r="G78" s="38">
        <v>5458.24</v>
      </c>
      <c r="H78" s="38"/>
      <c r="I78" s="37"/>
      <c r="J78" s="37"/>
      <c r="K78" s="38">
        <f t="shared" si="1"/>
        <v>5458.24</v>
      </c>
      <c r="L78" s="38"/>
    </row>
    <row r="79" spans="1:12" ht="14.5" x14ac:dyDescent="0.35">
      <c r="A79" s="45" t="s">
        <v>3588</v>
      </c>
      <c r="B79" s="46"/>
      <c r="C79" s="36">
        <v>45898</v>
      </c>
      <c r="D79" s="36" t="s">
        <v>2020</v>
      </c>
      <c r="E79" s="37" t="s">
        <v>2697</v>
      </c>
      <c r="F79" s="37" t="s">
        <v>4026</v>
      </c>
      <c r="G79" s="38">
        <v>142.41999999999999</v>
      </c>
      <c r="H79" s="38"/>
      <c r="I79" s="37"/>
      <c r="J79" s="37"/>
      <c r="K79" s="38">
        <f t="shared" si="1"/>
        <v>142.41999999999999</v>
      </c>
      <c r="L79" s="38"/>
    </row>
    <row r="80" spans="1:12" ht="14.5" x14ac:dyDescent="0.35">
      <c r="A80" s="45" t="s">
        <v>3588</v>
      </c>
      <c r="B80" s="46"/>
      <c r="C80" s="36">
        <v>45898</v>
      </c>
      <c r="D80" s="36" t="s">
        <v>2846</v>
      </c>
      <c r="E80" s="37" t="s">
        <v>2698</v>
      </c>
      <c r="F80" s="37" t="s">
        <v>4026</v>
      </c>
      <c r="G80" s="38">
        <v>643.68000000000006</v>
      </c>
      <c r="H80" s="38"/>
      <c r="I80" s="37"/>
      <c r="J80" s="37"/>
      <c r="K80" s="38">
        <f t="shared" si="1"/>
        <v>643.68000000000006</v>
      </c>
      <c r="L80" s="38"/>
    </row>
    <row r="81" spans="1:12" ht="14.5" x14ac:dyDescent="0.35">
      <c r="A81" s="45" t="s">
        <v>3588</v>
      </c>
      <c r="B81" s="46"/>
      <c r="C81" s="36">
        <v>45898</v>
      </c>
      <c r="D81" s="36" t="s">
        <v>1223</v>
      </c>
      <c r="E81" s="37" t="s">
        <v>2699</v>
      </c>
      <c r="F81" s="37" t="s">
        <v>4026</v>
      </c>
      <c r="G81" s="38">
        <v>1619.4799999999998</v>
      </c>
      <c r="H81" s="38"/>
      <c r="I81" s="37"/>
      <c r="J81" s="37"/>
      <c r="K81" s="38">
        <f t="shared" si="1"/>
        <v>1619.4799999999998</v>
      </c>
      <c r="L81" s="38"/>
    </row>
    <row r="82" spans="1:12" ht="14.5" x14ac:dyDescent="0.35">
      <c r="A82" s="45" t="s">
        <v>3588</v>
      </c>
      <c r="B82" s="46"/>
      <c r="C82" s="36">
        <v>45898</v>
      </c>
      <c r="D82" s="36" t="s">
        <v>1684</v>
      </c>
      <c r="E82" s="37" t="s">
        <v>2700</v>
      </c>
      <c r="F82" s="37" t="s">
        <v>4026</v>
      </c>
      <c r="G82" s="38">
        <v>2580.7000000000003</v>
      </c>
      <c r="H82" s="38"/>
      <c r="I82" s="37"/>
      <c r="J82" s="37"/>
      <c r="K82" s="38">
        <f t="shared" si="1"/>
        <v>2580.7000000000003</v>
      </c>
      <c r="L82" s="38"/>
    </row>
    <row r="83" spans="1:12" ht="14.5" x14ac:dyDescent="0.35">
      <c r="A83" s="45" t="s">
        <v>3588</v>
      </c>
      <c r="B83" s="46"/>
      <c r="C83" s="36">
        <v>45898</v>
      </c>
      <c r="D83" s="36" t="s">
        <v>1085</v>
      </c>
      <c r="E83" s="37" t="s">
        <v>2701</v>
      </c>
      <c r="F83" s="37" t="s">
        <v>4026</v>
      </c>
      <c r="G83" s="38">
        <v>109.08</v>
      </c>
      <c r="H83" s="38"/>
      <c r="I83" s="37"/>
      <c r="J83" s="37"/>
      <c r="K83" s="38">
        <f t="shared" si="1"/>
        <v>109.08</v>
      </c>
      <c r="L83" s="38"/>
    </row>
    <row r="84" spans="1:12" ht="14.5" x14ac:dyDescent="0.35">
      <c r="A84" s="45" t="s">
        <v>3588</v>
      </c>
      <c r="B84" s="46"/>
      <c r="C84" s="36">
        <v>45898</v>
      </c>
      <c r="D84" s="36" t="s">
        <v>2626</v>
      </c>
      <c r="E84" s="37">
        <v>38185</v>
      </c>
      <c r="F84" s="37" t="s">
        <v>4026</v>
      </c>
      <c r="G84" s="38">
        <v>45494.929999999993</v>
      </c>
      <c r="H84" s="38"/>
      <c r="I84" s="37"/>
      <c r="J84" s="37"/>
      <c r="K84" s="38">
        <f t="shared" si="1"/>
        <v>45494.929999999993</v>
      </c>
      <c r="L84" s="38"/>
    </row>
    <row r="85" spans="1:12" ht="14.5" x14ac:dyDescent="0.35">
      <c r="A85" s="45" t="s">
        <v>3588</v>
      </c>
      <c r="B85" s="46"/>
      <c r="C85" s="36">
        <v>45898</v>
      </c>
      <c r="D85" s="36" t="s">
        <v>2626</v>
      </c>
      <c r="E85" s="37">
        <v>38199</v>
      </c>
      <c r="F85" s="37" t="s">
        <v>4026</v>
      </c>
      <c r="G85" s="38">
        <v>44628.06</v>
      </c>
      <c r="H85" s="38"/>
      <c r="I85" s="37"/>
      <c r="J85" s="37"/>
      <c r="K85" s="38">
        <f t="shared" si="1"/>
        <v>44628.06</v>
      </c>
      <c r="L85" s="38"/>
    </row>
    <row r="86" spans="1:12" ht="14.5" x14ac:dyDescent="0.35">
      <c r="A86" s="45" t="s">
        <v>3588</v>
      </c>
      <c r="B86" s="46"/>
      <c r="C86" s="36">
        <v>45898</v>
      </c>
      <c r="D86" s="36" t="s">
        <v>2626</v>
      </c>
      <c r="E86" s="37" t="s">
        <v>2702</v>
      </c>
      <c r="F86" s="37" t="s">
        <v>4026</v>
      </c>
      <c r="G86" s="38">
        <v>26511.03</v>
      </c>
      <c r="H86" s="38"/>
      <c r="I86" s="37"/>
      <c r="J86" s="37"/>
      <c r="K86" s="38">
        <f t="shared" si="1"/>
        <v>26511.03</v>
      </c>
      <c r="L86" s="38"/>
    </row>
    <row r="87" spans="1:12" ht="14.5" x14ac:dyDescent="0.35">
      <c r="A87" s="45" t="s">
        <v>3588</v>
      </c>
      <c r="B87" s="46"/>
      <c r="C87" s="36">
        <v>45898</v>
      </c>
      <c r="D87" s="36" t="s">
        <v>2631</v>
      </c>
      <c r="E87" s="37" t="s">
        <v>2703</v>
      </c>
      <c r="F87" s="37" t="s">
        <v>4026</v>
      </c>
      <c r="G87" s="38">
        <v>284.68</v>
      </c>
      <c r="H87" s="38"/>
      <c r="I87" s="37"/>
      <c r="J87" s="37"/>
      <c r="K87" s="38">
        <f t="shared" si="1"/>
        <v>284.68</v>
      </c>
      <c r="L87" s="38"/>
    </row>
    <row r="88" spans="1:12" ht="14.5" x14ac:dyDescent="0.35">
      <c r="A88" s="45" t="s">
        <v>3588</v>
      </c>
      <c r="B88" s="46"/>
      <c r="C88" s="36">
        <v>45898</v>
      </c>
      <c r="D88" s="36" t="s">
        <v>2662</v>
      </c>
      <c r="E88" s="37">
        <v>38832</v>
      </c>
      <c r="F88" s="37" t="s">
        <v>4026</v>
      </c>
      <c r="G88" s="38">
        <v>1305.43</v>
      </c>
      <c r="H88" s="38"/>
      <c r="I88" s="37"/>
      <c r="J88" s="37"/>
      <c r="K88" s="38">
        <f t="shared" si="1"/>
        <v>1305.43</v>
      </c>
      <c r="L88" s="38"/>
    </row>
    <row r="89" spans="1:12" ht="14.5" x14ac:dyDescent="0.35">
      <c r="A89" s="45" t="s">
        <v>3588</v>
      </c>
      <c r="B89" s="46"/>
      <c r="C89" s="36">
        <v>45898</v>
      </c>
      <c r="D89" s="36" t="s">
        <v>2892</v>
      </c>
      <c r="E89" s="37">
        <v>38851</v>
      </c>
      <c r="F89" s="37" t="s">
        <v>4026</v>
      </c>
      <c r="G89" s="38">
        <v>1780.67</v>
      </c>
      <c r="H89" s="38"/>
      <c r="I89" s="37"/>
      <c r="J89" s="37"/>
      <c r="K89" s="38">
        <f t="shared" si="1"/>
        <v>1780.67</v>
      </c>
      <c r="L89" s="38"/>
    </row>
    <row r="90" spans="1:12" ht="14.5" x14ac:dyDescent="0.35">
      <c r="A90" s="45" t="s">
        <v>3588</v>
      </c>
      <c r="B90" s="46"/>
      <c r="C90" s="36">
        <v>45898</v>
      </c>
      <c r="D90" s="36" t="s">
        <v>2894</v>
      </c>
      <c r="E90" s="37">
        <v>38881</v>
      </c>
      <c r="F90" s="37" t="s">
        <v>4026</v>
      </c>
      <c r="G90" s="38">
        <v>440</v>
      </c>
      <c r="H90" s="38"/>
      <c r="I90" s="37"/>
      <c r="J90" s="37"/>
      <c r="K90" s="38">
        <f t="shared" si="1"/>
        <v>440</v>
      </c>
      <c r="L90" s="38"/>
    </row>
    <row r="91" spans="1:12" ht="14.5" x14ac:dyDescent="0.35">
      <c r="A91" s="45" t="s">
        <v>3588</v>
      </c>
      <c r="B91" s="46"/>
      <c r="C91" s="36">
        <v>45898</v>
      </c>
      <c r="D91" s="36" t="s">
        <v>2894</v>
      </c>
      <c r="E91" s="37">
        <v>38893</v>
      </c>
      <c r="F91" s="37" t="s">
        <v>4026</v>
      </c>
      <c r="G91" s="38">
        <v>413.33000000000004</v>
      </c>
      <c r="H91" s="38"/>
      <c r="I91" s="37"/>
      <c r="J91" s="37"/>
      <c r="K91" s="38">
        <f t="shared" si="1"/>
        <v>413.33000000000004</v>
      </c>
      <c r="L91" s="38"/>
    </row>
    <row r="92" spans="1:12" ht="14.5" x14ac:dyDescent="0.35">
      <c r="A92" s="45" t="s">
        <v>3588</v>
      </c>
      <c r="B92" s="46"/>
      <c r="C92" s="36">
        <v>45898</v>
      </c>
      <c r="D92" s="36" t="s">
        <v>874</v>
      </c>
      <c r="E92" s="37">
        <v>25013074</v>
      </c>
      <c r="F92" s="37" t="s">
        <v>4026</v>
      </c>
      <c r="G92" s="38">
        <v>3942.61</v>
      </c>
      <c r="H92" s="38"/>
      <c r="I92" s="37"/>
      <c r="J92" s="37"/>
      <c r="K92" s="38">
        <f t="shared" si="1"/>
        <v>3942.61</v>
      </c>
      <c r="L92" s="38"/>
    </row>
    <row r="93" spans="1:12" ht="14.5" x14ac:dyDescent="0.35">
      <c r="A93" s="45" t="s">
        <v>3588</v>
      </c>
      <c r="B93" s="46"/>
      <c r="C93" s="36">
        <v>45898</v>
      </c>
      <c r="D93" s="36" t="s">
        <v>874</v>
      </c>
      <c r="E93" s="37">
        <v>25013566</v>
      </c>
      <c r="F93" s="37" t="s">
        <v>4026</v>
      </c>
      <c r="G93" s="38">
        <v>438.07</v>
      </c>
      <c r="H93" s="38"/>
      <c r="I93" s="37"/>
      <c r="J93" s="37"/>
      <c r="K93" s="38">
        <f t="shared" si="1"/>
        <v>438.07</v>
      </c>
      <c r="L93" s="38"/>
    </row>
    <row r="94" spans="1:12" ht="14.5" x14ac:dyDescent="0.35">
      <c r="A94" s="45" t="s">
        <v>3588</v>
      </c>
      <c r="B94" s="46"/>
      <c r="C94" s="36">
        <v>45899</v>
      </c>
      <c r="D94" s="36" t="s">
        <v>2575</v>
      </c>
      <c r="E94" s="37" t="s">
        <v>2704</v>
      </c>
      <c r="F94" s="37" t="s">
        <v>4026</v>
      </c>
      <c r="G94" s="38">
        <v>300</v>
      </c>
      <c r="H94" s="38"/>
      <c r="I94" s="37"/>
      <c r="J94" s="37"/>
      <c r="K94" s="38">
        <f t="shared" si="1"/>
        <v>300</v>
      </c>
      <c r="L94" s="38"/>
    </row>
    <row r="95" spans="1:12" ht="14.5" x14ac:dyDescent="0.35">
      <c r="A95" s="45" t="s">
        <v>3588</v>
      </c>
      <c r="B95" s="46"/>
      <c r="C95" s="36">
        <v>45899</v>
      </c>
      <c r="D95" s="36" t="s">
        <v>2462</v>
      </c>
      <c r="E95" s="37" t="s">
        <v>2705</v>
      </c>
      <c r="F95" s="37" t="s">
        <v>4026</v>
      </c>
      <c r="G95" s="38">
        <v>17875.93</v>
      </c>
      <c r="H95" s="38"/>
      <c r="I95" s="37"/>
      <c r="J95" s="37"/>
      <c r="K95" s="38">
        <f t="shared" si="1"/>
        <v>17875.93</v>
      </c>
      <c r="L95" s="38"/>
    </row>
    <row r="96" spans="1:12" ht="14.5" x14ac:dyDescent="0.35">
      <c r="A96" s="45" t="s">
        <v>3588</v>
      </c>
      <c r="B96" s="46"/>
      <c r="C96" s="36">
        <v>45899</v>
      </c>
      <c r="D96" s="36" t="s">
        <v>2462</v>
      </c>
      <c r="E96" s="37" t="s">
        <v>2706</v>
      </c>
      <c r="F96" s="37" t="s">
        <v>4026</v>
      </c>
      <c r="G96" s="38">
        <v>72339.86</v>
      </c>
      <c r="H96" s="38"/>
      <c r="I96" s="37"/>
      <c r="J96" s="37"/>
      <c r="K96" s="38">
        <f t="shared" si="1"/>
        <v>72339.86</v>
      </c>
      <c r="L96" s="38"/>
    </row>
    <row r="97" spans="1:12" ht="14.5" x14ac:dyDescent="0.35">
      <c r="A97" s="45" t="s">
        <v>3588</v>
      </c>
      <c r="B97" s="46"/>
      <c r="C97" s="36">
        <v>45899</v>
      </c>
      <c r="D97" s="36" t="s">
        <v>2547</v>
      </c>
      <c r="E97" s="37" t="s">
        <v>2707</v>
      </c>
      <c r="F97" s="37" t="s">
        <v>4026</v>
      </c>
      <c r="G97" s="38">
        <v>0</v>
      </c>
      <c r="H97" s="38"/>
      <c r="I97" s="37"/>
      <c r="J97" s="37"/>
      <c r="K97" s="38">
        <f t="shared" si="1"/>
        <v>0</v>
      </c>
      <c r="L97" s="38"/>
    </row>
    <row r="98" spans="1:12" ht="14.5" x14ac:dyDescent="0.35">
      <c r="A98" s="45" t="s">
        <v>3588</v>
      </c>
      <c r="B98" s="46"/>
      <c r="C98" s="36">
        <v>45899</v>
      </c>
      <c r="D98" s="36" t="s">
        <v>2904</v>
      </c>
      <c r="E98" s="37" t="s">
        <v>2708</v>
      </c>
      <c r="F98" s="37" t="s">
        <v>4026</v>
      </c>
      <c r="G98" s="38">
        <v>306</v>
      </c>
      <c r="H98" s="38"/>
      <c r="I98" s="37"/>
      <c r="J98" s="37"/>
      <c r="K98" s="38">
        <f t="shared" si="1"/>
        <v>306</v>
      </c>
      <c r="L98" s="38"/>
    </row>
    <row r="99" spans="1:12" ht="14.5" x14ac:dyDescent="0.35">
      <c r="A99" s="45" t="s">
        <v>3588</v>
      </c>
      <c r="B99" s="46"/>
      <c r="C99" s="36">
        <v>45899</v>
      </c>
      <c r="D99" s="36" t="s">
        <v>2906</v>
      </c>
      <c r="E99" s="37" t="s">
        <v>2709</v>
      </c>
      <c r="F99" s="37" t="s">
        <v>4026</v>
      </c>
      <c r="G99" s="38">
        <v>259.33</v>
      </c>
      <c r="H99" s="38"/>
      <c r="I99" s="37"/>
      <c r="J99" s="37"/>
      <c r="K99" s="38">
        <f t="shared" si="1"/>
        <v>259.33</v>
      </c>
      <c r="L99" s="38"/>
    </row>
    <row r="100" spans="1:12" ht="14.5" x14ac:dyDescent="0.35">
      <c r="A100" s="45" t="s">
        <v>3588</v>
      </c>
      <c r="B100" s="46"/>
      <c r="C100" s="36">
        <v>45899</v>
      </c>
      <c r="D100" s="36" t="s">
        <v>301</v>
      </c>
      <c r="E100" s="37" t="s">
        <v>2710</v>
      </c>
      <c r="F100" s="37" t="s">
        <v>4026</v>
      </c>
      <c r="G100" s="38">
        <v>200.38</v>
      </c>
      <c r="H100" s="38"/>
      <c r="I100" s="37"/>
      <c r="J100" s="37"/>
      <c r="K100" s="38">
        <f t="shared" si="1"/>
        <v>200.38</v>
      </c>
      <c r="L100" s="38"/>
    </row>
    <row r="101" spans="1:12" ht="14.5" x14ac:dyDescent="0.35">
      <c r="A101" s="45" t="s">
        <v>3588</v>
      </c>
      <c r="B101" s="46"/>
      <c r="C101" s="36">
        <v>45899</v>
      </c>
      <c r="D101" s="36" t="s">
        <v>301</v>
      </c>
      <c r="E101" s="37" t="s">
        <v>2711</v>
      </c>
      <c r="F101" s="37" t="s">
        <v>4026</v>
      </c>
      <c r="G101" s="38">
        <v>1966</v>
      </c>
      <c r="H101" s="38"/>
      <c r="I101" s="37"/>
      <c r="J101" s="37"/>
      <c r="K101" s="38">
        <f t="shared" si="1"/>
        <v>1966</v>
      </c>
      <c r="L101" s="38"/>
    </row>
    <row r="102" spans="1:12" ht="14.5" x14ac:dyDescent="0.35">
      <c r="A102" s="45" t="s">
        <v>3588</v>
      </c>
      <c r="B102" s="46"/>
      <c r="C102" s="36">
        <v>45899</v>
      </c>
      <c r="D102" s="36" t="s">
        <v>301</v>
      </c>
      <c r="E102" s="37" t="s">
        <v>2712</v>
      </c>
      <c r="F102" s="37" t="s">
        <v>4026</v>
      </c>
      <c r="G102" s="38">
        <v>85</v>
      </c>
      <c r="H102" s="38"/>
      <c r="I102" s="37"/>
      <c r="J102" s="37"/>
      <c r="K102" s="38">
        <f t="shared" si="1"/>
        <v>85</v>
      </c>
      <c r="L102" s="38"/>
    </row>
    <row r="103" spans="1:12" ht="14.5" x14ac:dyDescent="0.35">
      <c r="A103" s="45" t="s">
        <v>3588</v>
      </c>
      <c r="B103" s="46"/>
      <c r="C103" s="36">
        <v>45899</v>
      </c>
      <c r="D103" s="36" t="s">
        <v>1484</v>
      </c>
      <c r="E103" s="37" t="s">
        <v>2713</v>
      </c>
      <c r="F103" s="37" t="s">
        <v>4026</v>
      </c>
      <c r="G103" s="38">
        <v>3427.91</v>
      </c>
      <c r="H103" s="38"/>
      <c r="I103" s="37"/>
      <c r="J103" s="37"/>
      <c r="K103" s="38">
        <f t="shared" si="1"/>
        <v>3427.91</v>
      </c>
      <c r="L103" s="38"/>
    </row>
    <row r="104" spans="1:12" ht="14.5" x14ac:dyDescent="0.35">
      <c r="A104" s="45" t="s">
        <v>3588</v>
      </c>
      <c r="B104" s="46"/>
      <c r="C104" s="36">
        <v>45899</v>
      </c>
      <c r="D104" s="36" t="s">
        <v>1251</v>
      </c>
      <c r="E104" s="37" t="s">
        <v>2714</v>
      </c>
      <c r="F104" s="37" t="s">
        <v>4026</v>
      </c>
      <c r="G104" s="38">
        <v>126.68</v>
      </c>
      <c r="H104" s="38"/>
      <c r="I104" s="37"/>
      <c r="J104" s="37"/>
      <c r="K104" s="38">
        <f t="shared" si="1"/>
        <v>126.68</v>
      </c>
      <c r="L104" s="38"/>
    </row>
    <row r="105" spans="1:12" ht="14.5" x14ac:dyDescent="0.35">
      <c r="A105" s="45" t="s">
        <v>3588</v>
      </c>
      <c r="B105" s="46"/>
      <c r="C105" s="36">
        <v>45899</v>
      </c>
      <c r="D105" s="36" t="s">
        <v>2921</v>
      </c>
      <c r="E105" s="37" t="s">
        <v>2715</v>
      </c>
      <c r="F105" s="37" t="s">
        <v>4026</v>
      </c>
      <c r="G105" s="38">
        <v>790.5</v>
      </c>
      <c r="H105" s="38"/>
      <c r="I105" s="37"/>
      <c r="J105" s="37"/>
      <c r="K105" s="38">
        <f t="shared" si="1"/>
        <v>790.5</v>
      </c>
      <c r="L105" s="38"/>
    </row>
    <row r="106" spans="1:12" ht="14.5" x14ac:dyDescent="0.35">
      <c r="A106" s="45" t="s">
        <v>3588</v>
      </c>
      <c r="B106" s="46"/>
      <c r="C106" s="36">
        <v>45899</v>
      </c>
      <c r="D106" s="36" t="s">
        <v>2923</v>
      </c>
      <c r="E106" s="37" t="s">
        <v>2716</v>
      </c>
      <c r="F106" s="37" t="s">
        <v>4026</v>
      </c>
      <c r="G106" s="38">
        <v>18.37</v>
      </c>
      <c r="H106" s="38"/>
      <c r="I106" s="37"/>
      <c r="J106" s="37"/>
      <c r="K106" s="38">
        <f t="shared" si="1"/>
        <v>18.37</v>
      </c>
      <c r="L106" s="38"/>
    </row>
    <row r="107" spans="1:12" ht="14.5" x14ac:dyDescent="0.35">
      <c r="A107" s="45" t="s">
        <v>3588</v>
      </c>
      <c r="B107" s="46"/>
      <c r="C107" s="36">
        <v>45899</v>
      </c>
      <c r="D107" s="36" t="s">
        <v>2067</v>
      </c>
      <c r="E107" s="37" t="s">
        <v>2717</v>
      </c>
      <c r="F107" s="37" t="s">
        <v>4026</v>
      </c>
      <c r="G107" s="38">
        <v>6207.380000000001</v>
      </c>
      <c r="H107" s="38"/>
      <c r="I107" s="37"/>
      <c r="J107" s="37"/>
      <c r="K107" s="38">
        <f t="shared" si="1"/>
        <v>6207.380000000001</v>
      </c>
      <c r="L107" s="38"/>
    </row>
    <row r="108" spans="1:12" ht="14.5" x14ac:dyDescent="0.35">
      <c r="A108" s="45" t="s">
        <v>3588</v>
      </c>
      <c r="B108" s="46"/>
      <c r="C108" s="36">
        <v>45899</v>
      </c>
      <c r="D108" s="36" t="s">
        <v>2926</v>
      </c>
      <c r="E108" s="37" t="s">
        <v>2718</v>
      </c>
      <c r="F108" s="37" t="s">
        <v>4026</v>
      </c>
      <c r="G108" s="38">
        <v>265.72000000000003</v>
      </c>
      <c r="H108" s="38"/>
      <c r="I108" s="37"/>
      <c r="J108" s="37"/>
      <c r="K108" s="38">
        <f t="shared" si="1"/>
        <v>265.72000000000003</v>
      </c>
      <c r="L108" s="38"/>
    </row>
    <row r="109" spans="1:12" ht="14.5" x14ac:dyDescent="0.35">
      <c r="A109" s="45" t="s">
        <v>3588</v>
      </c>
      <c r="B109" s="46"/>
      <c r="C109" s="36">
        <v>45899</v>
      </c>
      <c r="D109" s="36" t="s">
        <v>2926</v>
      </c>
      <c r="E109" s="37" t="s">
        <v>2719</v>
      </c>
      <c r="F109" s="37" t="s">
        <v>4026</v>
      </c>
      <c r="G109" s="38">
        <v>627.87</v>
      </c>
      <c r="H109" s="38"/>
      <c r="I109" s="37"/>
      <c r="J109" s="37"/>
      <c r="K109" s="38">
        <f t="shared" si="1"/>
        <v>627.87</v>
      </c>
      <c r="L109" s="38"/>
    </row>
    <row r="110" spans="1:12" ht="14.5" x14ac:dyDescent="0.35">
      <c r="A110" s="45" t="s">
        <v>3588</v>
      </c>
      <c r="B110" s="46"/>
      <c r="C110" s="36">
        <v>45899</v>
      </c>
      <c r="D110" s="36" t="s">
        <v>2462</v>
      </c>
      <c r="E110" s="37" t="s">
        <v>2720</v>
      </c>
      <c r="F110" s="37" t="s">
        <v>4026</v>
      </c>
      <c r="G110" s="38">
        <v>2352.48</v>
      </c>
      <c r="H110" s="38"/>
      <c r="I110" s="37"/>
      <c r="J110" s="37"/>
      <c r="K110" s="38">
        <f t="shared" si="1"/>
        <v>2352.48</v>
      </c>
      <c r="L110" s="38"/>
    </row>
    <row r="111" spans="1:12" ht="14.5" x14ac:dyDescent="0.35">
      <c r="A111" s="45" t="s">
        <v>3588</v>
      </c>
      <c r="B111" s="46"/>
      <c r="C111" s="36">
        <v>45899</v>
      </c>
      <c r="D111" s="36" t="s">
        <v>2931</v>
      </c>
      <c r="E111" s="37">
        <v>32888</v>
      </c>
      <c r="F111" s="37" t="s">
        <v>4026</v>
      </c>
      <c r="G111" s="38">
        <v>17594.259999999998</v>
      </c>
      <c r="H111" s="38"/>
      <c r="I111" s="37"/>
      <c r="J111" s="37"/>
      <c r="K111" s="38">
        <f t="shared" si="1"/>
        <v>17594.259999999998</v>
      </c>
      <c r="L111" s="38"/>
    </row>
    <row r="112" spans="1:12" ht="14.5" x14ac:dyDescent="0.35">
      <c r="A112" s="45" t="s">
        <v>3588</v>
      </c>
      <c r="B112" s="46"/>
      <c r="C112" s="36">
        <v>45899</v>
      </c>
      <c r="D112" s="36" t="s">
        <v>2931</v>
      </c>
      <c r="E112" s="37" t="s">
        <v>2721</v>
      </c>
      <c r="F112" s="37" t="s">
        <v>4026</v>
      </c>
      <c r="G112" s="38">
        <v>29.89</v>
      </c>
      <c r="H112" s="38"/>
      <c r="I112" s="37"/>
      <c r="J112" s="37"/>
      <c r="K112" s="38">
        <f t="shared" si="1"/>
        <v>29.89</v>
      </c>
      <c r="L112" s="38"/>
    </row>
    <row r="113" spans="1:12" ht="14.5" x14ac:dyDescent="0.35">
      <c r="A113" s="45" t="s">
        <v>3588</v>
      </c>
      <c r="C113" s="36">
        <v>45899</v>
      </c>
      <c r="D113" s="36" t="s">
        <v>2970</v>
      </c>
      <c r="E113" s="37" t="s">
        <v>2722</v>
      </c>
      <c r="F113" s="37" t="s">
        <v>4026</v>
      </c>
      <c r="G113" s="38">
        <v>1325.98</v>
      </c>
      <c r="H113" s="38"/>
      <c r="I113" s="37"/>
      <c r="J113" s="37"/>
      <c r="K113" s="38">
        <f t="shared" si="1"/>
        <v>1325.98</v>
      </c>
      <c r="L113" s="38"/>
    </row>
    <row r="114" spans="1:12" ht="14.5" x14ac:dyDescent="0.35">
      <c r="A114" s="45" t="s">
        <v>3588</v>
      </c>
      <c r="C114" s="36">
        <v>45899</v>
      </c>
      <c r="D114" s="36" t="s">
        <v>2970</v>
      </c>
      <c r="E114" s="37" t="s">
        <v>2723</v>
      </c>
      <c r="F114" s="37" t="s">
        <v>4026</v>
      </c>
      <c r="G114" s="38">
        <v>80.23</v>
      </c>
      <c r="H114" s="38"/>
      <c r="I114" s="37"/>
      <c r="J114" s="37"/>
      <c r="K114" s="38">
        <f t="shared" si="1"/>
        <v>80.23</v>
      </c>
      <c r="L114" s="38"/>
    </row>
    <row r="115" spans="1:12" ht="14.5" x14ac:dyDescent="0.35">
      <c r="A115" s="45" t="s">
        <v>3588</v>
      </c>
      <c r="C115" s="36">
        <v>45899</v>
      </c>
      <c r="D115" s="36" t="s">
        <v>2973</v>
      </c>
      <c r="E115" s="37" t="s">
        <v>2724</v>
      </c>
      <c r="F115" s="37" t="s">
        <v>4026</v>
      </c>
      <c r="G115" s="38">
        <v>942.76</v>
      </c>
      <c r="H115" s="38"/>
      <c r="I115" s="37"/>
      <c r="J115" s="37"/>
      <c r="K115" s="38">
        <f t="shared" si="1"/>
        <v>942.76</v>
      </c>
      <c r="L115" s="38"/>
    </row>
    <row r="116" spans="1:12" ht="14.5" x14ac:dyDescent="0.35">
      <c r="A116" s="45" t="s">
        <v>3588</v>
      </c>
      <c r="C116" s="36">
        <v>45899</v>
      </c>
      <c r="D116" s="36" t="s">
        <v>2973</v>
      </c>
      <c r="E116" s="37" t="s">
        <v>2725</v>
      </c>
      <c r="F116" s="37" t="s">
        <v>4026</v>
      </c>
      <c r="G116" s="38">
        <v>6697.87</v>
      </c>
      <c r="H116" s="38"/>
      <c r="I116" s="37"/>
      <c r="J116" s="37"/>
      <c r="K116" s="38">
        <f t="shared" si="1"/>
        <v>6697.87</v>
      </c>
      <c r="L116" s="38"/>
    </row>
    <row r="117" spans="1:12" ht="14.5" x14ac:dyDescent="0.35">
      <c r="A117" s="45" t="s">
        <v>3588</v>
      </c>
      <c r="C117" s="36">
        <v>45899</v>
      </c>
      <c r="D117" s="36" t="s">
        <v>2575</v>
      </c>
      <c r="E117" s="37" t="s">
        <v>2726</v>
      </c>
      <c r="F117" s="37" t="s">
        <v>4026</v>
      </c>
      <c r="G117" s="38">
        <v>218.71</v>
      </c>
      <c r="H117" s="38"/>
      <c r="I117" s="37"/>
      <c r="J117" s="37"/>
      <c r="K117" s="38">
        <f t="shared" si="1"/>
        <v>218.71</v>
      </c>
      <c r="L117" s="38"/>
    </row>
    <row r="118" spans="1:12" ht="14.5" x14ac:dyDescent="0.35">
      <c r="A118" s="45" t="s">
        <v>3588</v>
      </c>
      <c r="C118" s="36">
        <v>45899</v>
      </c>
      <c r="D118" s="36" t="s">
        <v>1283</v>
      </c>
      <c r="E118" s="37" t="s">
        <v>2727</v>
      </c>
      <c r="F118" s="37" t="s">
        <v>4026</v>
      </c>
      <c r="G118" s="38">
        <v>1374.3700000000001</v>
      </c>
      <c r="H118" s="38"/>
      <c r="I118" s="37"/>
      <c r="J118" s="37"/>
      <c r="K118" s="38">
        <f t="shared" si="1"/>
        <v>1374.3700000000001</v>
      </c>
      <c r="L118" s="38"/>
    </row>
    <row r="119" spans="1:12" ht="14.5" x14ac:dyDescent="0.35">
      <c r="A119" s="45" t="s">
        <v>3588</v>
      </c>
      <c r="C119" s="36">
        <v>45899</v>
      </c>
      <c r="D119" s="36" t="s">
        <v>1283</v>
      </c>
      <c r="E119" s="37" t="s">
        <v>2728</v>
      </c>
      <c r="F119" s="37" t="s">
        <v>4026</v>
      </c>
      <c r="G119" s="38">
        <v>843.92000000000007</v>
      </c>
      <c r="H119" s="38"/>
      <c r="I119" s="37"/>
      <c r="J119" s="37"/>
      <c r="K119" s="38">
        <f t="shared" si="1"/>
        <v>843.92000000000007</v>
      </c>
      <c r="L119" s="38"/>
    </row>
    <row r="120" spans="1:12" ht="14.5" x14ac:dyDescent="0.35">
      <c r="A120" s="45" t="s">
        <v>3588</v>
      </c>
      <c r="C120" s="36">
        <v>45899</v>
      </c>
      <c r="D120" s="36" t="s">
        <v>1283</v>
      </c>
      <c r="E120" s="37" t="s">
        <v>2729</v>
      </c>
      <c r="F120" s="37" t="s">
        <v>4026</v>
      </c>
      <c r="G120" s="38">
        <v>55.88</v>
      </c>
      <c r="H120" s="38"/>
      <c r="I120" s="37"/>
      <c r="J120" s="37"/>
      <c r="K120" s="38">
        <f t="shared" si="1"/>
        <v>55.88</v>
      </c>
      <c r="L120" s="38"/>
    </row>
    <row r="121" spans="1:12" ht="14.5" x14ac:dyDescent="0.35">
      <c r="A121" s="45" t="s">
        <v>3588</v>
      </c>
      <c r="C121" s="36">
        <v>45899</v>
      </c>
      <c r="D121" s="36" t="s">
        <v>1283</v>
      </c>
      <c r="E121" s="37" t="s">
        <v>2730</v>
      </c>
      <c r="F121" s="37" t="s">
        <v>4026</v>
      </c>
      <c r="G121" s="38">
        <v>181.61</v>
      </c>
      <c r="H121" s="38"/>
      <c r="I121" s="37"/>
      <c r="J121" s="37"/>
      <c r="K121" s="38">
        <f t="shared" si="1"/>
        <v>181.61</v>
      </c>
      <c r="L121" s="38"/>
    </row>
    <row r="122" spans="1:12" ht="14.5" x14ac:dyDescent="0.35">
      <c r="A122" s="45" t="s">
        <v>3588</v>
      </c>
      <c r="C122" s="36">
        <v>45899</v>
      </c>
      <c r="D122" s="36" t="s">
        <v>1283</v>
      </c>
      <c r="E122" s="37" t="s">
        <v>2731</v>
      </c>
      <c r="F122" s="37" t="s">
        <v>4026</v>
      </c>
      <c r="G122" s="38">
        <v>3933.1800000000003</v>
      </c>
      <c r="H122" s="38"/>
      <c r="I122" s="37"/>
      <c r="J122" s="37"/>
      <c r="K122" s="38">
        <f t="shared" si="1"/>
        <v>3933.1800000000003</v>
      </c>
      <c r="L122" s="38"/>
    </row>
    <row r="123" spans="1:12" ht="14.5" x14ac:dyDescent="0.35">
      <c r="A123" s="45" t="s">
        <v>3588</v>
      </c>
      <c r="C123" s="36">
        <v>45899</v>
      </c>
      <c r="D123" s="36" t="s">
        <v>2092</v>
      </c>
      <c r="E123" s="37" t="s">
        <v>2732</v>
      </c>
      <c r="F123" s="37" t="s">
        <v>4026</v>
      </c>
      <c r="G123" s="38">
        <v>26.73</v>
      </c>
      <c r="H123" s="38"/>
      <c r="I123" s="37"/>
      <c r="J123" s="37"/>
      <c r="K123" s="38">
        <f t="shared" si="1"/>
        <v>26.73</v>
      </c>
      <c r="L123" s="38"/>
    </row>
    <row r="124" spans="1:12" ht="14.5" x14ac:dyDescent="0.35">
      <c r="A124" s="45" t="s">
        <v>3588</v>
      </c>
      <c r="C124" s="36">
        <v>45899</v>
      </c>
      <c r="D124" s="36" t="s">
        <v>2144</v>
      </c>
      <c r="E124" s="37" t="s">
        <v>2733</v>
      </c>
      <c r="F124" s="37" t="s">
        <v>4026</v>
      </c>
      <c r="G124" s="38">
        <v>1759.9</v>
      </c>
      <c r="H124" s="38"/>
      <c r="I124" s="37"/>
      <c r="J124" s="37"/>
      <c r="K124" s="38">
        <f t="shared" si="1"/>
        <v>1759.9</v>
      </c>
      <c r="L124" s="38"/>
    </row>
    <row r="125" spans="1:12" ht="14.5" x14ac:dyDescent="0.35">
      <c r="A125" s="45" t="s">
        <v>3588</v>
      </c>
      <c r="C125" s="36">
        <v>45899</v>
      </c>
      <c r="D125" s="36" t="s">
        <v>2144</v>
      </c>
      <c r="E125" s="37" t="s">
        <v>2734</v>
      </c>
      <c r="F125" s="37" t="s">
        <v>4026</v>
      </c>
      <c r="G125" s="38">
        <v>933.4</v>
      </c>
      <c r="H125" s="38"/>
      <c r="I125" s="37"/>
      <c r="J125" s="37"/>
      <c r="K125" s="38">
        <f t="shared" si="1"/>
        <v>933.4</v>
      </c>
      <c r="L125" s="38"/>
    </row>
    <row r="126" spans="1:12" ht="14.5" x14ac:dyDescent="0.35">
      <c r="A126" s="45" t="s">
        <v>3588</v>
      </c>
      <c r="C126" s="36">
        <v>45899</v>
      </c>
      <c r="D126" s="36" t="s">
        <v>2189</v>
      </c>
      <c r="E126" s="37" t="s">
        <v>2735</v>
      </c>
      <c r="F126" s="37" t="s">
        <v>4026</v>
      </c>
      <c r="G126" s="38">
        <v>4.66</v>
      </c>
      <c r="H126" s="38"/>
      <c r="I126" s="37"/>
      <c r="J126" s="37"/>
      <c r="K126" s="38">
        <f t="shared" si="1"/>
        <v>4.66</v>
      </c>
      <c r="L126" s="38"/>
    </row>
    <row r="127" spans="1:12" ht="14.5" x14ac:dyDescent="0.35">
      <c r="A127" s="45" t="s">
        <v>3588</v>
      </c>
      <c r="C127" s="36">
        <v>45899</v>
      </c>
      <c r="D127" s="36" t="s">
        <v>2189</v>
      </c>
      <c r="E127" s="37" t="s">
        <v>2736</v>
      </c>
      <c r="F127" s="37" t="s">
        <v>4026</v>
      </c>
      <c r="G127" s="38">
        <v>239</v>
      </c>
      <c r="H127" s="38"/>
      <c r="I127" s="37"/>
      <c r="J127" s="37"/>
      <c r="K127" s="38">
        <f t="shared" si="1"/>
        <v>239</v>
      </c>
      <c r="L127" s="38"/>
    </row>
    <row r="128" spans="1:12" ht="14.5" x14ac:dyDescent="0.35">
      <c r="A128" s="45" t="s">
        <v>3588</v>
      </c>
      <c r="C128" s="36">
        <v>45899</v>
      </c>
      <c r="D128" s="36" t="s">
        <v>2987</v>
      </c>
      <c r="E128" s="37" t="s">
        <v>2737</v>
      </c>
      <c r="F128" s="37" t="s">
        <v>4026</v>
      </c>
      <c r="G128" s="38">
        <v>279.52999999999997</v>
      </c>
      <c r="H128" s="38"/>
      <c r="I128" s="37"/>
      <c r="J128" s="37"/>
      <c r="K128" s="38">
        <f t="shared" si="1"/>
        <v>279.52999999999997</v>
      </c>
      <c r="L128" s="38"/>
    </row>
    <row r="129" spans="1:12" ht="14.5" x14ac:dyDescent="0.35">
      <c r="A129" s="45" t="s">
        <v>3588</v>
      </c>
      <c r="C129" s="36">
        <v>45899</v>
      </c>
      <c r="D129" s="36" t="s">
        <v>2989</v>
      </c>
      <c r="E129" s="37" t="s">
        <v>2738</v>
      </c>
      <c r="F129" s="37" t="s">
        <v>4026</v>
      </c>
      <c r="G129" s="38">
        <v>23.89</v>
      </c>
      <c r="H129" s="38"/>
      <c r="I129" s="37"/>
      <c r="J129" s="37"/>
      <c r="K129" s="38">
        <f t="shared" si="1"/>
        <v>23.89</v>
      </c>
      <c r="L129" s="38"/>
    </row>
    <row r="130" spans="1:12" ht="14.5" x14ac:dyDescent="0.35">
      <c r="A130" s="45" t="s">
        <v>3588</v>
      </c>
      <c r="C130" s="36">
        <v>45899</v>
      </c>
      <c r="D130" s="36" t="s">
        <v>2989</v>
      </c>
      <c r="E130" s="37" t="s">
        <v>2739</v>
      </c>
      <c r="F130" s="37" t="s">
        <v>4026</v>
      </c>
      <c r="G130" s="38">
        <v>222.58</v>
      </c>
      <c r="H130" s="38"/>
      <c r="I130" s="37"/>
      <c r="J130" s="37"/>
      <c r="K130" s="38">
        <f t="shared" si="1"/>
        <v>222.58</v>
      </c>
      <c r="L130" s="38"/>
    </row>
    <row r="131" spans="1:12" ht="14.5" x14ac:dyDescent="0.35">
      <c r="A131" s="45" t="s">
        <v>3588</v>
      </c>
      <c r="C131" s="36">
        <v>45899</v>
      </c>
      <c r="D131" s="36" t="s">
        <v>2197</v>
      </c>
      <c r="E131" s="37" t="s">
        <v>2740</v>
      </c>
      <c r="F131" s="37" t="s">
        <v>4026</v>
      </c>
      <c r="G131" s="38">
        <v>25931.250000000007</v>
      </c>
      <c r="H131" s="38"/>
      <c r="I131" s="37"/>
      <c r="J131" s="37"/>
      <c r="K131" s="38">
        <f t="shared" si="1"/>
        <v>25931.250000000007</v>
      </c>
      <c r="L131" s="38"/>
    </row>
    <row r="132" spans="1:12" ht="14.5" x14ac:dyDescent="0.35">
      <c r="A132" s="45" t="s">
        <v>3588</v>
      </c>
      <c r="C132" s="36">
        <v>45899</v>
      </c>
      <c r="D132" s="36" t="s">
        <v>2555</v>
      </c>
      <c r="E132" s="37" t="s">
        <v>2741</v>
      </c>
      <c r="F132" s="37" t="s">
        <v>4026</v>
      </c>
      <c r="G132" s="38">
        <v>1716.66</v>
      </c>
      <c r="H132" s="38"/>
      <c r="I132" s="37"/>
      <c r="J132" s="37"/>
      <c r="K132" s="38">
        <f t="shared" si="1"/>
        <v>1716.66</v>
      </c>
      <c r="L132" s="38"/>
    </row>
    <row r="133" spans="1:12" ht="14.5" x14ac:dyDescent="0.35">
      <c r="A133" s="45" t="s">
        <v>3588</v>
      </c>
      <c r="C133" s="36">
        <v>45899</v>
      </c>
      <c r="D133" s="36" t="s">
        <v>2555</v>
      </c>
      <c r="E133" s="37" t="s">
        <v>2742</v>
      </c>
      <c r="F133" s="37" t="s">
        <v>4026</v>
      </c>
      <c r="G133" s="38">
        <v>588</v>
      </c>
      <c r="H133" s="38"/>
      <c r="I133" s="37"/>
      <c r="J133" s="37"/>
      <c r="K133" s="38">
        <f t="shared" ref="K133:K196" si="2">G133-H133</f>
        <v>588</v>
      </c>
      <c r="L133" s="38"/>
    </row>
    <row r="134" spans="1:12" ht="14.5" x14ac:dyDescent="0.35">
      <c r="A134" s="45" t="s">
        <v>3588</v>
      </c>
      <c r="C134" s="36">
        <v>45899</v>
      </c>
      <c r="D134" s="36" t="s">
        <v>2555</v>
      </c>
      <c r="E134" s="37" t="s">
        <v>2743</v>
      </c>
      <c r="F134" s="37" t="s">
        <v>4026</v>
      </c>
      <c r="G134" s="38">
        <v>80.75</v>
      </c>
      <c r="H134" s="38"/>
      <c r="I134" s="37"/>
      <c r="J134" s="37"/>
      <c r="K134" s="38">
        <f t="shared" si="2"/>
        <v>80.75</v>
      </c>
      <c r="L134" s="38"/>
    </row>
    <row r="135" spans="1:12" ht="14.5" x14ac:dyDescent="0.35">
      <c r="A135" s="45" t="s">
        <v>3588</v>
      </c>
      <c r="C135" s="36">
        <v>45899</v>
      </c>
      <c r="D135" s="36" t="s">
        <v>2555</v>
      </c>
      <c r="E135" s="37" t="s">
        <v>2744</v>
      </c>
      <c r="F135" s="37" t="s">
        <v>4026</v>
      </c>
      <c r="G135" s="38">
        <v>973.43</v>
      </c>
      <c r="H135" s="38"/>
      <c r="I135" s="37"/>
      <c r="J135" s="37"/>
      <c r="K135" s="38">
        <f t="shared" si="2"/>
        <v>973.43</v>
      </c>
      <c r="L135" s="38"/>
    </row>
    <row r="136" spans="1:12" ht="14.5" x14ac:dyDescent="0.35">
      <c r="A136" s="45" t="s">
        <v>3588</v>
      </c>
      <c r="C136" s="36">
        <v>45899</v>
      </c>
      <c r="D136" s="36" t="s">
        <v>2020</v>
      </c>
      <c r="E136" s="37" t="s">
        <v>2745</v>
      </c>
      <c r="F136" s="37" t="s">
        <v>4026</v>
      </c>
      <c r="G136" s="38">
        <v>1.71</v>
      </c>
      <c r="H136" s="38"/>
      <c r="I136" s="37"/>
      <c r="J136" s="37"/>
      <c r="K136" s="38">
        <f t="shared" si="2"/>
        <v>1.71</v>
      </c>
      <c r="L136" s="38"/>
    </row>
    <row r="137" spans="1:12" ht="14.5" x14ac:dyDescent="0.35">
      <c r="A137" s="45" t="s">
        <v>3588</v>
      </c>
      <c r="C137" s="36">
        <v>45899</v>
      </c>
      <c r="D137" s="36" t="s">
        <v>1283</v>
      </c>
      <c r="E137" s="37" t="s">
        <v>2746</v>
      </c>
      <c r="F137" s="37" t="s">
        <v>4026</v>
      </c>
      <c r="G137" s="38">
        <v>5439.72</v>
      </c>
      <c r="H137" s="38"/>
      <c r="I137" s="37"/>
      <c r="J137" s="37"/>
      <c r="K137" s="38">
        <f t="shared" si="2"/>
        <v>5439.72</v>
      </c>
      <c r="L137" s="38"/>
    </row>
    <row r="138" spans="1:12" ht="14.5" x14ac:dyDescent="0.35">
      <c r="A138" s="45" t="s">
        <v>3588</v>
      </c>
      <c r="C138" s="36">
        <v>45899</v>
      </c>
      <c r="D138" s="36" t="s">
        <v>2132</v>
      </c>
      <c r="E138" s="37" t="s">
        <v>2747</v>
      </c>
      <c r="F138" s="37" t="s">
        <v>4026</v>
      </c>
      <c r="G138" s="38">
        <v>462.6</v>
      </c>
      <c r="H138" s="38"/>
      <c r="I138" s="37"/>
      <c r="J138" s="37"/>
      <c r="K138" s="38">
        <f t="shared" si="2"/>
        <v>462.6</v>
      </c>
      <c r="L138" s="38"/>
    </row>
    <row r="139" spans="1:12" ht="14.5" x14ac:dyDescent="0.35">
      <c r="A139" s="45" t="s">
        <v>3588</v>
      </c>
      <c r="C139" s="36">
        <v>45899</v>
      </c>
      <c r="D139" s="36" t="s">
        <v>996</v>
      </c>
      <c r="E139" s="37" t="s">
        <v>2748</v>
      </c>
      <c r="F139" s="37" t="s">
        <v>4026</v>
      </c>
      <c r="G139" s="38">
        <v>2635.2900000000004</v>
      </c>
      <c r="H139" s="38"/>
      <c r="I139" s="37"/>
      <c r="J139" s="37"/>
      <c r="K139" s="38">
        <f t="shared" si="2"/>
        <v>2635.2900000000004</v>
      </c>
      <c r="L139" s="38"/>
    </row>
    <row r="140" spans="1:12" ht="14.5" x14ac:dyDescent="0.35">
      <c r="A140" s="45" t="s">
        <v>3588</v>
      </c>
      <c r="C140" s="36">
        <v>45899</v>
      </c>
      <c r="D140" s="36" t="s">
        <v>3025</v>
      </c>
      <c r="E140" s="37" t="s">
        <v>2749</v>
      </c>
      <c r="F140" s="37" t="s">
        <v>4026</v>
      </c>
      <c r="G140" s="38">
        <v>2157.7800000000002</v>
      </c>
      <c r="H140" s="38"/>
      <c r="I140" s="37"/>
      <c r="J140" s="37"/>
      <c r="K140" s="38">
        <f t="shared" si="2"/>
        <v>2157.7800000000002</v>
      </c>
      <c r="L140" s="38"/>
    </row>
    <row r="141" spans="1:12" ht="14.5" x14ac:dyDescent="0.35">
      <c r="A141" s="45" t="s">
        <v>3588</v>
      </c>
      <c r="C141" s="36">
        <v>45899</v>
      </c>
      <c r="D141" s="36" t="s">
        <v>2547</v>
      </c>
      <c r="E141" s="37" t="s">
        <v>2750</v>
      </c>
      <c r="F141" s="37" t="s">
        <v>4026</v>
      </c>
      <c r="G141" s="38">
        <v>333.92</v>
      </c>
      <c r="H141" s="38"/>
      <c r="I141" s="37"/>
      <c r="J141" s="37"/>
      <c r="K141" s="38">
        <f t="shared" si="2"/>
        <v>333.92</v>
      </c>
      <c r="L141" s="38"/>
    </row>
    <row r="142" spans="1:12" ht="14.5" x14ac:dyDescent="0.35">
      <c r="A142" s="45" t="s">
        <v>3588</v>
      </c>
      <c r="C142" s="36">
        <v>45899</v>
      </c>
      <c r="D142" s="36" t="s">
        <v>301</v>
      </c>
      <c r="E142" s="37" t="s">
        <v>2751</v>
      </c>
      <c r="F142" s="37" t="s">
        <v>4026</v>
      </c>
      <c r="G142" s="38">
        <v>147</v>
      </c>
      <c r="H142" s="38"/>
      <c r="I142" s="37"/>
      <c r="J142" s="37"/>
      <c r="K142" s="38">
        <f t="shared" si="2"/>
        <v>147</v>
      </c>
      <c r="L142" s="38"/>
    </row>
    <row r="143" spans="1:12" ht="14.5" x14ac:dyDescent="0.35">
      <c r="A143" s="45" t="s">
        <v>3588</v>
      </c>
      <c r="C143" s="36">
        <v>45899</v>
      </c>
      <c r="D143" s="36" t="s">
        <v>2020</v>
      </c>
      <c r="E143" s="37" t="s">
        <v>2752</v>
      </c>
      <c r="F143" s="37" t="s">
        <v>4026</v>
      </c>
      <c r="G143" s="38">
        <v>81.03</v>
      </c>
      <c r="H143" s="38"/>
      <c r="I143" s="37"/>
      <c r="J143" s="37"/>
      <c r="K143" s="38">
        <f t="shared" si="2"/>
        <v>81.03</v>
      </c>
      <c r="L143" s="38"/>
    </row>
    <row r="144" spans="1:12" ht="14.5" x14ac:dyDescent="0.35">
      <c r="A144" s="45" t="s">
        <v>3588</v>
      </c>
      <c r="C144" s="36">
        <v>45899</v>
      </c>
      <c r="D144" s="36" t="s">
        <v>2020</v>
      </c>
      <c r="E144" s="37" t="s">
        <v>2753</v>
      </c>
      <c r="F144" s="37" t="s">
        <v>4026</v>
      </c>
      <c r="G144" s="38">
        <v>641.17000000000007</v>
      </c>
      <c r="H144" s="38"/>
      <c r="I144" s="37"/>
      <c r="J144" s="37"/>
      <c r="K144" s="38">
        <f t="shared" si="2"/>
        <v>641.17000000000007</v>
      </c>
      <c r="L144" s="38"/>
    </row>
    <row r="145" spans="1:12" ht="14.5" x14ac:dyDescent="0.35">
      <c r="A145" s="45" t="s">
        <v>3588</v>
      </c>
      <c r="C145" s="36">
        <v>45899</v>
      </c>
      <c r="D145" s="36" t="s">
        <v>2020</v>
      </c>
      <c r="E145" s="37" t="s">
        <v>2754</v>
      </c>
      <c r="F145" s="37" t="s">
        <v>4026</v>
      </c>
      <c r="G145" s="38">
        <v>24.68</v>
      </c>
      <c r="H145" s="38"/>
      <c r="I145" s="37"/>
      <c r="J145" s="37"/>
      <c r="K145" s="38">
        <f t="shared" si="2"/>
        <v>24.68</v>
      </c>
      <c r="L145" s="38"/>
    </row>
    <row r="146" spans="1:12" ht="14.5" x14ac:dyDescent="0.35">
      <c r="A146" s="45" t="s">
        <v>3588</v>
      </c>
      <c r="C146" s="36">
        <v>45899</v>
      </c>
      <c r="D146" s="36" t="s">
        <v>2020</v>
      </c>
      <c r="E146" s="37" t="s">
        <v>2755</v>
      </c>
      <c r="F146" s="37" t="s">
        <v>4026</v>
      </c>
      <c r="G146" s="38">
        <v>64.540000000000006</v>
      </c>
      <c r="H146" s="38"/>
      <c r="I146" s="37"/>
      <c r="J146" s="37"/>
      <c r="K146" s="38">
        <f t="shared" si="2"/>
        <v>64.540000000000006</v>
      </c>
      <c r="L146" s="38"/>
    </row>
    <row r="147" spans="1:12" ht="14.5" x14ac:dyDescent="0.35">
      <c r="A147" s="45" t="s">
        <v>3588</v>
      </c>
      <c r="C147" s="36">
        <v>45899</v>
      </c>
      <c r="D147" s="36" t="s">
        <v>2020</v>
      </c>
      <c r="E147" s="37" t="s">
        <v>2756</v>
      </c>
      <c r="F147" s="37" t="s">
        <v>4026</v>
      </c>
      <c r="G147" s="38">
        <v>152.85</v>
      </c>
      <c r="H147" s="38"/>
      <c r="I147" s="37"/>
      <c r="J147" s="37"/>
      <c r="K147" s="38">
        <f t="shared" si="2"/>
        <v>152.85</v>
      </c>
      <c r="L147" s="38"/>
    </row>
    <row r="148" spans="1:12" ht="14.5" x14ac:dyDescent="0.35">
      <c r="A148" s="45" t="s">
        <v>3588</v>
      </c>
      <c r="C148" s="36">
        <v>45899</v>
      </c>
      <c r="D148" s="36" t="s">
        <v>2020</v>
      </c>
      <c r="E148" s="37" t="s">
        <v>2757</v>
      </c>
      <c r="F148" s="37" t="s">
        <v>4026</v>
      </c>
      <c r="G148" s="38">
        <v>1211.03</v>
      </c>
      <c r="H148" s="38"/>
      <c r="I148" s="37"/>
      <c r="J148" s="37"/>
      <c r="K148" s="38">
        <f t="shared" si="2"/>
        <v>1211.03</v>
      </c>
      <c r="L148" s="38"/>
    </row>
    <row r="149" spans="1:12" ht="14.5" x14ac:dyDescent="0.35">
      <c r="A149" s="45" t="s">
        <v>3588</v>
      </c>
      <c r="C149" s="36">
        <v>45899</v>
      </c>
      <c r="D149" s="36" t="s">
        <v>301</v>
      </c>
      <c r="E149" s="37" t="s">
        <v>2758</v>
      </c>
      <c r="F149" s="37" t="s">
        <v>4026</v>
      </c>
      <c r="G149" s="38">
        <v>270.76</v>
      </c>
      <c r="H149" s="38"/>
      <c r="I149" s="37"/>
      <c r="J149" s="37"/>
      <c r="K149" s="38">
        <f t="shared" si="2"/>
        <v>270.76</v>
      </c>
      <c r="L149" s="38"/>
    </row>
    <row r="150" spans="1:12" ht="14.5" x14ac:dyDescent="0.35">
      <c r="A150" s="45" t="s">
        <v>3588</v>
      </c>
      <c r="C150" s="36">
        <v>45899</v>
      </c>
      <c r="D150" s="36" t="s">
        <v>3037</v>
      </c>
      <c r="E150" s="37" t="s">
        <v>2759</v>
      </c>
      <c r="F150" s="37" t="s">
        <v>4026</v>
      </c>
      <c r="G150" s="38">
        <v>761.29</v>
      </c>
      <c r="H150" s="38"/>
      <c r="I150" s="37"/>
      <c r="J150" s="37"/>
      <c r="K150" s="38">
        <f t="shared" si="2"/>
        <v>761.29</v>
      </c>
      <c r="L150" s="38"/>
    </row>
    <row r="151" spans="1:12" ht="14.5" x14ac:dyDescent="0.35">
      <c r="A151" s="45" t="s">
        <v>3588</v>
      </c>
      <c r="C151" s="36">
        <v>45899</v>
      </c>
      <c r="D151" s="36" t="s">
        <v>2033</v>
      </c>
      <c r="E151" s="37" t="s">
        <v>2760</v>
      </c>
      <c r="F151" s="37" t="s">
        <v>4026</v>
      </c>
      <c r="G151" s="38">
        <v>708.77</v>
      </c>
      <c r="H151" s="38"/>
      <c r="I151" s="37"/>
      <c r="J151" s="37"/>
      <c r="K151" s="38">
        <f t="shared" si="2"/>
        <v>708.77</v>
      </c>
      <c r="L151" s="38"/>
    </row>
    <row r="152" spans="1:12" ht="14.5" x14ac:dyDescent="0.35">
      <c r="A152" s="45" t="s">
        <v>3588</v>
      </c>
      <c r="C152" s="36">
        <v>45899</v>
      </c>
      <c r="D152" s="36" t="s">
        <v>2033</v>
      </c>
      <c r="E152" s="37" t="s">
        <v>2761</v>
      </c>
      <c r="F152" s="37" t="s">
        <v>4026</v>
      </c>
      <c r="G152" s="38">
        <v>0</v>
      </c>
      <c r="H152" s="38"/>
      <c r="I152" s="37"/>
      <c r="J152" s="37"/>
      <c r="K152" s="38">
        <f t="shared" si="2"/>
        <v>0</v>
      </c>
      <c r="L152" s="38"/>
    </row>
    <row r="153" spans="1:12" ht="14.5" x14ac:dyDescent="0.35">
      <c r="A153" s="45" t="s">
        <v>3588</v>
      </c>
      <c r="C153" s="36">
        <v>45899</v>
      </c>
      <c r="D153" s="36" t="s">
        <v>2033</v>
      </c>
      <c r="E153" s="37" t="s">
        <v>2762</v>
      </c>
      <c r="F153" s="37" t="s">
        <v>4026</v>
      </c>
      <c r="G153" s="38">
        <v>498.78</v>
      </c>
      <c r="H153" s="38"/>
      <c r="I153" s="37"/>
      <c r="J153" s="37"/>
      <c r="K153" s="38">
        <f t="shared" si="2"/>
        <v>498.78</v>
      </c>
      <c r="L153" s="38"/>
    </row>
    <row r="154" spans="1:12" ht="14.5" x14ac:dyDescent="0.35">
      <c r="A154" s="45" t="s">
        <v>3588</v>
      </c>
      <c r="C154" s="36">
        <v>45899</v>
      </c>
      <c r="D154" s="36" t="s">
        <v>1608</v>
      </c>
      <c r="E154" s="37" t="s">
        <v>2763</v>
      </c>
      <c r="F154" s="37" t="s">
        <v>4026</v>
      </c>
      <c r="G154" s="38">
        <v>1287</v>
      </c>
      <c r="H154" s="38"/>
      <c r="I154" s="37"/>
      <c r="J154" s="37"/>
      <c r="K154" s="38">
        <f t="shared" si="2"/>
        <v>1287</v>
      </c>
      <c r="L154" s="38"/>
    </row>
    <row r="155" spans="1:12" ht="14.5" x14ac:dyDescent="0.35">
      <c r="A155" s="45" t="s">
        <v>3588</v>
      </c>
      <c r="C155" s="36">
        <v>45899</v>
      </c>
      <c r="D155" s="36" t="s">
        <v>2077</v>
      </c>
      <c r="E155" s="37" t="s">
        <v>2764</v>
      </c>
      <c r="F155" s="37" t="s">
        <v>4026</v>
      </c>
      <c r="G155" s="38">
        <v>726</v>
      </c>
      <c r="H155" s="38"/>
      <c r="I155" s="37"/>
      <c r="J155" s="37"/>
      <c r="K155" s="38">
        <f t="shared" si="2"/>
        <v>726</v>
      </c>
      <c r="L155" s="38"/>
    </row>
    <row r="156" spans="1:12" ht="14.5" x14ac:dyDescent="0.35">
      <c r="A156" s="45" t="s">
        <v>3588</v>
      </c>
      <c r="C156" s="36">
        <v>45899</v>
      </c>
      <c r="D156" s="36" t="s">
        <v>1251</v>
      </c>
      <c r="E156" s="37" t="s">
        <v>2765</v>
      </c>
      <c r="F156" s="37" t="s">
        <v>4026</v>
      </c>
      <c r="G156" s="38">
        <v>193.41</v>
      </c>
      <c r="H156" s="38"/>
      <c r="I156" s="37"/>
      <c r="J156" s="37"/>
      <c r="K156" s="38">
        <f t="shared" si="2"/>
        <v>193.41</v>
      </c>
      <c r="L156" s="38"/>
    </row>
    <row r="157" spans="1:12" ht="14.5" x14ac:dyDescent="0.35">
      <c r="A157" s="45" t="s">
        <v>3588</v>
      </c>
      <c r="C157" s="36">
        <v>45899</v>
      </c>
      <c r="D157" s="36" t="s">
        <v>2033</v>
      </c>
      <c r="E157" s="37" t="s">
        <v>2766</v>
      </c>
      <c r="F157" s="37" t="s">
        <v>4026</v>
      </c>
      <c r="G157" s="38">
        <v>5884</v>
      </c>
      <c r="H157" s="38"/>
      <c r="I157" s="37"/>
      <c r="J157" s="37"/>
      <c r="K157" s="38">
        <f t="shared" si="2"/>
        <v>5884</v>
      </c>
      <c r="L157" s="38"/>
    </row>
    <row r="158" spans="1:12" ht="14.5" x14ac:dyDescent="0.35">
      <c r="A158" s="45" t="s">
        <v>3588</v>
      </c>
      <c r="C158" s="36">
        <v>45899</v>
      </c>
      <c r="D158" s="36" t="s">
        <v>2144</v>
      </c>
      <c r="E158" s="37" t="s">
        <v>2767</v>
      </c>
      <c r="F158" s="37" t="s">
        <v>4026</v>
      </c>
      <c r="G158" s="38">
        <v>2723.44</v>
      </c>
      <c r="H158" s="38"/>
      <c r="I158" s="37"/>
      <c r="J158" s="37"/>
      <c r="K158" s="38">
        <f t="shared" si="2"/>
        <v>2723.44</v>
      </c>
      <c r="L158" s="38"/>
    </row>
    <row r="159" spans="1:12" ht="14.5" x14ac:dyDescent="0.35">
      <c r="A159" s="45" t="s">
        <v>3588</v>
      </c>
      <c r="C159" s="36">
        <v>45899</v>
      </c>
      <c r="D159" s="36" t="s">
        <v>2144</v>
      </c>
      <c r="E159" s="37" t="s">
        <v>2768</v>
      </c>
      <c r="F159" s="37" t="s">
        <v>4026</v>
      </c>
      <c r="G159" s="38">
        <v>4616.3999999999996</v>
      </c>
      <c r="H159" s="38"/>
      <c r="I159" s="37"/>
      <c r="J159" s="37"/>
      <c r="K159" s="38">
        <f t="shared" si="2"/>
        <v>4616.3999999999996</v>
      </c>
      <c r="L159" s="38"/>
    </row>
    <row r="160" spans="1:12" ht="14.5" x14ac:dyDescent="0.35">
      <c r="A160" s="45" t="s">
        <v>3588</v>
      </c>
      <c r="C160" s="36">
        <v>45899</v>
      </c>
      <c r="D160" s="36" t="s">
        <v>2144</v>
      </c>
      <c r="E160" s="37" t="s">
        <v>2770</v>
      </c>
      <c r="F160" s="37" t="s">
        <v>4026</v>
      </c>
      <c r="G160" s="38">
        <v>0</v>
      </c>
      <c r="H160" s="38"/>
      <c r="I160" s="37"/>
      <c r="J160" s="37"/>
      <c r="K160" s="38">
        <f t="shared" si="2"/>
        <v>0</v>
      </c>
      <c r="L160" s="38"/>
    </row>
    <row r="161" spans="1:12" ht="14.5" x14ac:dyDescent="0.35">
      <c r="A161" s="45" t="s">
        <v>3588</v>
      </c>
      <c r="C161" s="36">
        <v>45899</v>
      </c>
      <c r="D161" s="36" t="s">
        <v>2144</v>
      </c>
      <c r="E161" s="37" t="s">
        <v>2771</v>
      </c>
      <c r="F161" s="37" t="s">
        <v>4026</v>
      </c>
      <c r="G161" s="38">
        <v>2412.39</v>
      </c>
      <c r="H161" s="38"/>
      <c r="I161" s="37"/>
      <c r="J161" s="37"/>
      <c r="K161" s="38">
        <f t="shared" si="2"/>
        <v>2412.39</v>
      </c>
      <c r="L161" s="38"/>
    </row>
    <row r="162" spans="1:12" ht="14.5" x14ac:dyDescent="0.35">
      <c r="A162" s="45" t="s">
        <v>3588</v>
      </c>
      <c r="C162" s="36">
        <v>45899</v>
      </c>
      <c r="D162" s="36" t="s">
        <v>2144</v>
      </c>
      <c r="E162" s="37" t="s">
        <v>2772</v>
      </c>
      <c r="F162" s="37" t="s">
        <v>4026</v>
      </c>
      <c r="G162" s="38">
        <v>3421.46</v>
      </c>
      <c r="H162" s="38"/>
      <c r="I162" s="37"/>
      <c r="J162" s="37"/>
      <c r="K162" s="38">
        <f t="shared" si="2"/>
        <v>3421.46</v>
      </c>
      <c r="L162" s="38"/>
    </row>
    <row r="163" spans="1:12" ht="14.5" x14ac:dyDescent="0.35">
      <c r="A163" s="45" t="s">
        <v>3588</v>
      </c>
      <c r="C163" s="36">
        <v>45899</v>
      </c>
      <c r="D163" s="36" t="s">
        <v>2575</v>
      </c>
      <c r="E163" s="37" t="s">
        <v>2773</v>
      </c>
      <c r="F163" s="37" t="s">
        <v>4026</v>
      </c>
      <c r="G163" s="38">
        <v>11.2</v>
      </c>
      <c r="H163" s="38"/>
      <c r="I163" s="37"/>
      <c r="J163" s="37"/>
      <c r="K163" s="38">
        <f t="shared" si="2"/>
        <v>11.2</v>
      </c>
      <c r="L163" s="38"/>
    </row>
    <row r="164" spans="1:12" ht="14.5" x14ac:dyDescent="0.35">
      <c r="A164" s="45" t="s">
        <v>3588</v>
      </c>
      <c r="C164" s="36">
        <v>45899</v>
      </c>
      <c r="D164" s="36" t="s">
        <v>3061</v>
      </c>
      <c r="E164" s="37" t="s">
        <v>2774</v>
      </c>
      <c r="F164" s="37" t="s">
        <v>4026</v>
      </c>
      <c r="G164" s="38">
        <v>3718.3</v>
      </c>
      <c r="H164" s="38"/>
      <c r="I164" s="37"/>
      <c r="J164" s="37"/>
      <c r="K164" s="38">
        <f t="shared" si="2"/>
        <v>3718.3</v>
      </c>
      <c r="L164" s="38"/>
    </row>
    <row r="165" spans="1:12" ht="14.5" x14ac:dyDescent="0.35">
      <c r="A165" s="45" t="s">
        <v>3588</v>
      </c>
      <c r="C165" s="36">
        <v>45899</v>
      </c>
      <c r="D165" s="36" t="s">
        <v>3061</v>
      </c>
      <c r="E165" s="37" t="s">
        <v>2775</v>
      </c>
      <c r="F165" s="37" t="s">
        <v>4026</v>
      </c>
      <c r="G165" s="38">
        <v>10819.11</v>
      </c>
      <c r="H165" s="38"/>
      <c r="I165" s="37"/>
      <c r="J165" s="37"/>
      <c r="K165" s="38">
        <f t="shared" si="2"/>
        <v>10819.11</v>
      </c>
      <c r="L165" s="38"/>
    </row>
    <row r="166" spans="1:12" ht="14.5" x14ac:dyDescent="0.35">
      <c r="A166" s="45" t="s">
        <v>3588</v>
      </c>
      <c r="C166" s="36">
        <v>45899</v>
      </c>
      <c r="D166" s="36" t="s">
        <v>2846</v>
      </c>
      <c r="E166" s="37" t="s">
        <v>2776</v>
      </c>
      <c r="F166" s="37" t="s">
        <v>4026</v>
      </c>
      <c r="G166" s="38">
        <v>40.409999999999997</v>
      </c>
      <c r="H166" s="38"/>
      <c r="I166" s="37"/>
      <c r="J166" s="37"/>
      <c r="K166" s="38">
        <f t="shared" si="2"/>
        <v>40.409999999999997</v>
      </c>
      <c r="L166" s="38"/>
    </row>
    <row r="167" spans="1:12" ht="14.5" x14ac:dyDescent="0.35">
      <c r="A167" s="45" t="s">
        <v>3588</v>
      </c>
      <c r="C167" s="36">
        <v>45899</v>
      </c>
      <c r="D167" s="36" t="s">
        <v>2846</v>
      </c>
      <c r="E167" s="37" t="s">
        <v>2777</v>
      </c>
      <c r="F167" s="37" t="s">
        <v>4026</v>
      </c>
      <c r="G167" s="38">
        <v>167.28000000000003</v>
      </c>
      <c r="H167" s="38"/>
      <c r="I167" s="37"/>
      <c r="J167" s="37"/>
      <c r="K167" s="38">
        <f t="shared" si="2"/>
        <v>167.28000000000003</v>
      </c>
      <c r="L167" s="38"/>
    </row>
    <row r="168" spans="1:12" ht="14.5" x14ac:dyDescent="0.35">
      <c r="A168" s="45" t="s">
        <v>3588</v>
      </c>
      <c r="C168" s="36">
        <v>45899</v>
      </c>
      <c r="D168" s="36" t="s">
        <v>2396</v>
      </c>
      <c r="E168" s="37" t="s">
        <v>2778</v>
      </c>
      <c r="F168" s="37" t="s">
        <v>4026</v>
      </c>
      <c r="G168" s="38">
        <v>361.42</v>
      </c>
      <c r="H168" s="38"/>
      <c r="I168" s="37"/>
      <c r="J168" s="37"/>
      <c r="K168" s="38">
        <f t="shared" si="2"/>
        <v>361.42</v>
      </c>
      <c r="L168" s="38"/>
    </row>
    <row r="169" spans="1:12" ht="14.5" x14ac:dyDescent="0.35">
      <c r="A169" s="45" t="s">
        <v>3588</v>
      </c>
      <c r="C169" s="36">
        <v>45899</v>
      </c>
      <c r="D169" s="36" t="s">
        <v>2396</v>
      </c>
      <c r="E169" s="37" t="s">
        <v>2779</v>
      </c>
      <c r="F169" s="37" t="s">
        <v>4026</v>
      </c>
      <c r="G169" s="38">
        <v>591.04</v>
      </c>
      <c r="H169" s="38"/>
      <c r="I169" s="37"/>
      <c r="J169" s="37"/>
      <c r="K169" s="38">
        <f t="shared" si="2"/>
        <v>591.04</v>
      </c>
      <c r="L169" s="38"/>
    </row>
    <row r="170" spans="1:12" ht="14.5" x14ac:dyDescent="0.35">
      <c r="A170" s="45" t="s">
        <v>3588</v>
      </c>
      <c r="C170" s="36">
        <v>45899</v>
      </c>
      <c r="D170" s="36" t="s">
        <v>2396</v>
      </c>
      <c r="E170" s="37" t="s">
        <v>2780</v>
      </c>
      <c r="F170" s="37" t="s">
        <v>4026</v>
      </c>
      <c r="G170" s="38">
        <v>6010.7199999999993</v>
      </c>
      <c r="H170" s="38"/>
      <c r="I170" s="37"/>
      <c r="J170" s="37"/>
      <c r="K170" s="38">
        <f t="shared" si="2"/>
        <v>6010.7199999999993</v>
      </c>
      <c r="L170" s="38"/>
    </row>
    <row r="171" spans="1:12" ht="14.5" x14ac:dyDescent="0.35">
      <c r="A171" s="45" t="s">
        <v>3588</v>
      </c>
      <c r="C171" s="36">
        <v>45899</v>
      </c>
      <c r="D171" s="36" t="s">
        <v>2396</v>
      </c>
      <c r="E171" s="37" t="s">
        <v>2781</v>
      </c>
      <c r="F171" s="37" t="s">
        <v>4026</v>
      </c>
      <c r="G171" s="38">
        <v>1005.74</v>
      </c>
      <c r="H171" s="38"/>
      <c r="I171" s="37"/>
      <c r="J171" s="37"/>
      <c r="K171" s="38">
        <f t="shared" si="2"/>
        <v>1005.74</v>
      </c>
      <c r="L171" s="38"/>
    </row>
    <row r="172" spans="1:12" ht="14.5" x14ac:dyDescent="0.35">
      <c r="A172" s="45" t="s">
        <v>3588</v>
      </c>
      <c r="C172" s="36">
        <v>45899</v>
      </c>
      <c r="D172" s="36" t="s">
        <v>2396</v>
      </c>
      <c r="E172" s="37" t="s">
        <v>2782</v>
      </c>
      <c r="F172" s="37" t="s">
        <v>4026</v>
      </c>
      <c r="G172" s="38">
        <v>14376.23</v>
      </c>
      <c r="H172" s="38"/>
      <c r="I172" s="37"/>
      <c r="J172" s="37"/>
      <c r="K172" s="38">
        <f t="shared" si="2"/>
        <v>14376.23</v>
      </c>
      <c r="L172" s="38"/>
    </row>
    <row r="173" spans="1:12" ht="14.5" x14ac:dyDescent="0.35">
      <c r="A173" s="45" t="s">
        <v>3588</v>
      </c>
      <c r="C173" s="36">
        <v>45899</v>
      </c>
      <c r="D173" s="36" t="s">
        <v>1724</v>
      </c>
      <c r="E173" s="37" t="s">
        <v>2783</v>
      </c>
      <c r="F173" s="37" t="s">
        <v>4026</v>
      </c>
      <c r="G173" s="38">
        <v>26117.839999999997</v>
      </c>
      <c r="H173" s="38"/>
      <c r="I173" s="37"/>
      <c r="J173" s="37"/>
      <c r="K173" s="38">
        <f t="shared" si="2"/>
        <v>26117.839999999997</v>
      </c>
      <c r="L173" s="38"/>
    </row>
    <row r="174" spans="1:12" ht="14.5" x14ac:dyDescent="0.35">
      <c r="A174" s="45" t="s">
        <v>3588</v>
      </c>
      <c r="C174" s="36">
        <v>45899</v>
      </c>
      <c r="D174" s="36" t="s">
        <v>1724</v>
      </c>
      <c r="E174" s="37" t="s">
        <v>2784</v>
      </c>
      <c r="F174" s="37" t="s">
        <v>4026</v>
      </c>
      <c r="G174" s="38">
        <v>3776.83</v>
      </c>
      <c r="H174" s="38"/>
      <c r="I174" s="37"/>
      <c r="J174" s="37"/>
      <c r="K174" s="38">
        <f t="shared" si="2"/>
        <v>3776.83</v>
      </c>
      <c r="L174" s="38"/>
    </row>
    <row r="175" spans="1:12" ht="14.5" x14ac:dyDescent="0.35">
      <c r="A175" s="45" t="s">
        <v>3588</v>
      </c>
      <c r="C175" s="36">
        <v>45899</v>
      </c>
      <c r="D175" s="36" t="s">
        <v>2447</v>
      </c>
      <c r="E175" s="37" t="s">
        <v>2785</v>
      </c>
      <c r="F175" s="37" t="s">
        <v>4026</v>
      </c>
      <c r="G175" s="38">
        <v>52732.729999999996</v>
      </c>
      <c r="H175" s="38"/>
      <c r="I175" s="37"/>
      <c r="J175" s="37"/>
      <c r="K175" s="38">
        <f t="shared" si="2"/>
        <v>52732.729999999996</v>
      </c>
      <c r="L175" s="38"/>
    </row>
    <row r="176" spans="1:12" ht="14.5" x14ac:dyDescent="0.35">
      <c r="A176" s="45" t="s">
        <v>3588</v>
      </c>
      <c r="C176" s="36">
        <v>45899</v>
      </c>
      <c r="D176" s="36" t="s">
        <v>2447</v>
      </c>
      <c r="E176" s="37" t="s">
        <v>2786</v>
      </c>
      <c r="F176" s="37" t="s">
        <v>4026</v>
      </c>
      <c r="G176" s="38">
        <v>2330.04</v>
      </c>
      <c r="H176" s="38"/>
      <c r="I176" s="37"/>
      <c r="J176" s="37"/>
      <c r="K176" s="38">
        <f t="shared" si="2"/>
        <v>2330.04</v>
      </c>
      <c r="L176" s="38"/>
    </row>
    <row r="177" spans="1:12" ht="14.5" x14ac:dyDescent="0.35">
      <c r="A177" s="45" t="s">
        <v>3588</v>
      </c>
      <c r="C177" s="36">
        <v>45899</v>
      </c>
      <c r="D177" s="36" t="s">
        <v>1782</v>
      </c>
      <c r="E177" s="37" t="s">
        <v>2787</v>
      </c>
      <c r="F177" s="37" t="s">
        <v>4026</v>
      </c>
      <c r="G177" s="38">
        <v>3545.1899999999996</v>
      </c>
      <c r="H177" s="38"/>
      <c r="I177" s="37"/>
      <c r="J177" s="37"/>
      <c r="K177" s="38">
        <f t="shared" si="2"/>
        <v>3545.1899999999996</v>
      </c>
      <c r="L177" s="38"/>
    </row>
    <row r="178" spans="1:12" ht="14.5" x14ac:dyDescent="0.35">
      <c r="A178" s="45" t="s">
        <v>3588</v>
      </c>
      <c r="C178" s="36">
        <v>45899</v>
      </c>
      <c r="D178" s="36" t="s">
        <v>1782</v>
      </c>
      <c r="E178" s="37" t="s">
        <v>2788</v>
      </c>
      <c r="F178" s="37" t="s">
        <v>4026</v>
      </c>
      <c r="G178" s="38">
        <v>4550.32</v>
      </c>
      <c r="H178" s="38"/>
      <c r="I178" s="37"/>
      <c r="J178" s="37"/>
      <c r="K178" s="38">
        <f t="shared" si="2"/>
        <v>4550.32</v>
      </c>
      <c r="L178" s="38"/>
    </row>
    <row r="179" spans="1:12" ht="14.5" x14ac:dyDescent="0.35">
      <c r="A179" s="45" t="s">
        <v>3588</v>
      </c>
      <c r="C179" s="36">
        <v>45899</v>
      </c>
      <c r="D179" s="36" t="s">
        <v>1587</v>
      </c>
      <c r="E179" s="37" t="s">
        <v>2789</v>
      </c>
      <c r="F179" s="37" t="s">
        <v>4026</v>
      </c>
      <c r="G179" s="38">
        <v>56.51</v>
      </c>
      <c r="H179" s="38"/>
      <c r="I179" s="37"/>
      <c r="J179" s="37"/>
      <c r="K179" s="38">
        <f t="shared" si="2"/>
        <v>56.51</v>
      </c>
      <c r="L179" s="38"/>
    </row>
    <row r="180" spans="1:12" ht="14.5" x14ac:dyDescent="0.35">
      <c r="A180" s="45" t="s">
        <v>3588</v>
      </c>
      <c r="C180" s="36">
        <v>45899</v>
      </c>
      <c r="D180" s="36" t="s">
        <v>1587</v>
      </c>
      <c r="E180" s="37" t="s">
        <v>2790</v>
      </c>
      <c r="F180" s="37" t="s">
        <v>4026</v>
      </c>
      <c r="G180" s="38">
        <v>217.56</v>
      </c>
      <c r="H180" s="38"/>
      <c r="I180" s="37"/>
      <c r="J180" s="37"/>
      <c r="K180" s="38">
        <f t="shared" si="2"/>
        <v>217.56</v>
      </c>
      <c r="L180" s="38"/>
    </row>
    <row r="181" spans="1:12" ht="14.5" x14ac:dyDescent="0.35">
      <c r="A181" s="45" t="s">
        <v>3588</v>
      </c>
      <c r="C181" s="36">
        <v>45899</v>
      </c>
      <c r="D181" s="36" t="s">
        <v>1587</v>
      </c>
      <c r="E181" s="37" t="s">
        <v>2791</v>
      </c>
      <c r="F181" s="37" t="s">
        <v>4026</v>
      </c>
      <c r="G181" s="38">
        <v>1465.92</v>
      </c>
      <c r="H181" s="38"/>
      <c r="I181" s="37"/>
      <c r="J181" s="37"/>
      <c r="K181" s="38">
        <f t="shared" si="2"/>
        <v>1465.92</v>
      </c>
      <c r="L181" s="38"/>
    </row>
    <row r="182" spans="1:12" ht="14.5" x14ac:dyDescent="0.35">
      <c r="A182" s="45" t="s">
        <v>3588</v>
      </c>
      <c r="C182" s="36">
        <v>45899</v>
      </c>
      <c r="D182" s="36" t="s">
        <v>1587</v>
      </c>
      <c r="E182" s="37" t="s">
        <v>2792</v>
      </c>
      <c r="F182" s="37" t="s">
        <v>4026</v>
      </c>
      <c r="G182" s="38">
        <v>118.02000000000001</v>
      </c>
      <c r="H182" s="38"/>
      <c r="I182" s="37"/>
      <c r="J182" s="37"/>
      <c r="K182" s="38">
        <f t="shared" si="2"/>
        <v>118.02000000000001</v>
      </c>
      <c r="L182" s="38"/>
    </row>
    <row r="183" spans="1:12" ht="14.5" x14ac:dyDescent="0.35">
      <c r="A183" s="45" t="s">
        <v>3588</v>
      </c>
      <c r="C183" s="36">
        <v>45899</v>
      </c>
      <c r="D183" s="36" t="s">
        <v>1587</v>
      </c>
      <c r="E183" s="37" t="s">
        <v>2793</v>
      </c>
      <c r="F183" s="37" t="s">
        <v>4026</v>
      </c>
      <c r="G183" s="38">
        <v>306.81</v>
      </c>
      <c r="H183" s="38"/>
      <c r="I183" s="37"/>
      <c r="J183" s="37"/>
      <c r="K183" s="38">
        <f t="shared" si="2"/>
        <v>306.81</v>
      </c>
      <c r="L183" s="38"/>
    </row>
    <row r="184" spans="1:12" ht="14.5" x14ac:dyDescent="0.35">
      <c r="A184" s="45" t="s">
        <v>3588</v>
      </c>
      <c r="C184" s="36">
        <v>45899</v>
      </c>
      <c r="D184" s="36" t="s">
        <v>1334</v>
      </c>
      <c r="E184" s="37" t="s">
        <v>2794</v>
      </c>
      <c r="F184" s="37" t="s">
        <v>4026</v>
      </c>
      <c r="G184" s="38">
        <v>193.07</v>
      </c>
      <c r="H184" s="38"/>
      <c r="I184" s="37"/>
      <c r="J184" s="37"/>
      <c r="K184" s="38">
        <f t="shared" si="2"/>
        <v>193.07</v>
      </c>
      <c r="L184" s="38"/>
    </row>
    <row r="185" spans="1:12" ht="14.5" x14ac:dyDescent="0.35">
      <c r="A185" s="45" t="s">
        <v>3588</v>
      </c>
      <c r="C185" s="36">
        <v>45899</v>
      </c>
      <c r="D185" s="36" t="s">
        <v>1334</v>
      </c>
      <c r="E185" s="37" t="s">
        <v>2795</v>
      </c>
      <c r="F185" s="37" t="s">
        <v>4026</v>
      </c>
      <c r="G185" s="38">
        <v>21.76</v>
      </c>
      <c r="H185" s="38"/>
      <c r="I185" s="37"/>
      <c r="J185" s="37"/>
      <c r="K185" s="38">
        <f t="shared" si="2"/>
        <v>21.76</v>
      </c>
      <c r="L185" s="38"/>
    </row>
    <row r="186" spans="1:12" ht="14.5" x14ac:dyDescent="0.35">
      <c r="A186" s="45" t="s">
        <v>3588</v>
      </c>
      <c r="C186" s="36">
        <v>45899</v>
      </c>
      <c r="D186" s="36" t="s">
        <v>1334</v>
      </c>
      <c r="E186" s="37" t="s">
        <v>2796</v>
      </c>
      <c r="F186" s="37" t="s">
        <v>4026</v>
      </c>
      <c r="G186" s="38">
        <v>833.29</v>
      </c>
      <c r="H186" s="38"/>
      <c r="I186" s="37"/>
      <c r="J186" s="37"/>
      <c r="K186" s="38">
        <f t="shared" si="2"/>
        <v>833.29</v>
      </c>
      <c r="L186" s="38"/>
    </row>
    <row r="187" spans="1:12" ht="14.5" x14ac:dyDescent="0.35">
      <c r="A187" s="45" t="s">
        <v>3588</v>
      </c>
      <c r="C187" s="36">
        <v>45899</v>
      </c>
      <c r="D187" s="36" t="s">
        <v>3093</v>
      </c>
      <c r="E187" s="37" t="s">
        <v>2797</v>
      </c>
      <c r="F187" s="37" t="s">
        <v>4026</v>
      </c>
      <c r="G187" s="38">
        <v>3.9</v>
      </c>
      <c r="H187" s="38"/>
      <c r="I187" s="37"/>
      <c r="J187" s="37"/>
      <c r="K187" s="38">
        <f t="shared" si="2"/>
        <v>3.9</v>
      </c>
      <c r="L187" s="38"/>
    </row>
    <row r="188" spans="1:12" ht="14.5" x14ac:dyDescent="0.35">
      <c r="A188" s="45" t="s">
        <v>3588</v>
      </c>
      <c r="C188" s="36">
        <v>45899</v>
      </c>
      <c r="D188" s="36" t="s">
        <v>3095</v>
      </c>
      <c r="E188" s="37" t="s">
        <v>2798</v>
      </c>
      <c r="F188" s="37" t="s">
        <v>4026</v>
      </c>
      <c r="G188" s="38">
        <v>0.05</v>
      </c>
      <c r="H188" s="38"/>
      <c r="I188" s="37"/>
      <c r="J188" s="37"/>
      <c r="K188" s="38">
        <f t="shared" si="2"/>
        <v>0.05</v>
      </c>
      <c r="L188" s="38"/>
    </row>
    <row r="189" spans="1:12" ht="14.5" x14ac:dyDescent="0.35">
      <c r="A189" s="45" t="s">
        <v>3588</v>
      </c>
      <c r="C189" s="36">
        <v>45899</v>
      </c>
      <c r="D189" s="36" t="s">
        <v>2396</v>
      </c>
      <c r="E189" s="37" t="s">
        <v>2799</v>
      </c>
      <c r="F189" s="37" t="s">
        <v>4026</v>
      </c>
      <c r="G189" s="38">
        <v>2162</v>
      </c>
      <c r="H189" s="38"/>
      <c r="I189" s="37"/>
      <c r="J189" s="37"/>
      <c r="K189" s="38">
        <f t="shared" si="2"/>
        <v>2162</v>
      </c>
      <c r="L189" s="38"/>
    </row>
    <row r="190" spans="1:12" ht="14.5" x14ac:dyDescent="0.35">
      <c r="A190" s="45" t="s">
        <v>3588</v>
      </c>
      <c r="C190" s="36">
        <v>45899</v>
      </c>
      <c r="D190" s="36" t="s">
        <v>2396</v>
      </c>
      <c r="E190" s="37" t="s">
        <v>2800</v>
      </c>
      <c r="F190" s="37" t="s">
        <v>4026</v>
      </c>
      <c r="G190" s="38">
        <v>17661.96</v>
      </c>
      <c r="H190" s="38"/>
      <c r="I190" s="37"/>
      <c r="J190" s="37"/>
      <c r="K190" s="38">
        <f t="shared" si="2"/>
        <v>17661.96</v>
      </c>
      <c r="L190" s="38"/>
    </row>
    <row r="191" spans="1:12" ht="14.5" x14ac:dyDescent="0.35">
      <c r="A191" s="45" t="s">
        <v>3588</v>
      </c>
      <c r="C191" s="36">
        <v>45899</v>
      </c>
      <c r="D191" s="36" t="s">
        <v>2396</v>
      </c>
      <c r="E191" s="37" t="s">
        <v>2801</v>
      </c>
      <c r="F191" s="37" t="s">
        <v>4026</v>
      </c>
      <c r="G191" s="38">
        <v>546.29999999999995</v>
      </c>
      <c r="H191" s="38"/>
      <c r="I191" s="37"/>
      <c r="J191" s="37"/>
      <c r="K191" s="38">
        <f t="shared" si="2"/>
        <v>546.29999999999995</v>
      </c>
      <c r="L191" s="38"/>
    </row>
    <row r="192" spans="1:12" ht="14.5" x14ac:dyDescent="0.35">
      <c r="A192" s="45" t="s">
        <v>3588</v>
      </c>
      <c r="C192" s="36">
        <v>45899</v>
      </c>
      <c r="D192" s="36" t="s">
        <v>2396</v>
      </c>
      <c r="E192" s="37" t="s">
        <v>2802</v>
      </c>
      <c r="F192" s="37" t="s">
        <v>4026</v>
      </c>
      <c r="G192" s="38">
        <v>401.45</v>
      </c>
      <c r="H192" s="38"/>
      <c r="I192" s="37"/>
      <c r="J192" s="37"/>
      <c r="K192" s="38">
        <f t="shared" si="2"/>
        <v>401.45</v>
      </c>
      <c r="L192" s="38"/>
    </row>
    <row r="193" spans="1:12" ht="14.5" x14ac:dyDescent="0.35">
      <c r="A193" s="45" t="s">
        <v>3588</v>
      </c>
      <c r="C193" s="36">
        <v>45899</v>
      </c>
      <c r="D193" s="36" t="s">
        <v>2396</v>
      </c>
      <c r="E193" s="37" t="s">
        <v>2803</v>
      </c>
      <c r="F193" s="37" t="s">
        <v>4026</v>
      </c>
      <c r="G193" s="38">
        <v>1312.14</v>
      </c>
      <c r="H193" s="38"/>
      <c r="I193" s="37"/>
      <c r="J193" s="37"/>
      <c r="K193" s="38">
        <f t="shared" si="2"/>
        <v>1312.14</v>
      </c>
      <c r="L193" s="38"/>
    </row>
    <row r="194" spans="1:12" ht="14.5" x14ac:dyDescent="0.35">
      <c r="A194" s="45" t="s">
        <v>3588</v>
      </c>
      <c r="C194" s="36">
        <v>45899</v>
      </c>
      <c r="D194" s="36" t="s">
        <v>2396</v>
      </c>
      <c r="E194" s="37" t="s">
        <v>2804</v>
      </c>
      <c r="F194" s="37" t="s">
        <v>4026</v>
      </c>
      <c r="G194" s="38">
        <v>211.33</v>
      </c>
      <c r="H194" s="38"/>
      <c r="I194" s="37"/>
      <c r="J194" s="37"/>
      <c r="K194" s="38">
        <f t="shared" si="2"/>
        <v>211.33</v>
      </c>
      <c r="L194" s="38"/>
    </row>
    <row r="195" spans="1:12" ht="14.5" x14ac:dyDescent="0.35">
      <c r="A195" s="45" t="s">
        <v>3588</v>
      </c>
      <c r="C195" s="36">
        <v>45899</v>
      </c>
      <c r="D195" s="36" t="s">
        <v>1277</v>
      </c>
      <c r="E195" s="37">
        <v>34675</v>
      </c>
      <c r="F195" s="37" t="s">
        <v>4026</v>
      </c>
      <c r="G195" s="38">
        <v>1685.53</v>
      </c>
      <c r="H195" s="38"/>
      <c r="I195" s="37"/>
      <c r="J195" s="37"/>
      <c r="K195" s="38">
        <f t="shared" si="2"/>
        <v>1685.53</v>
      </c>
      <c r="L195" s="38"/>
    </row>
    <row r="196" spans="1:12" ht="14.5" x14ac:dyDescent="0.35">
      <c r="A196" s="45" t="s">
        <v>3588</v>
      </c>
      <c r="C196" s="36">
        <v>45899</v>
      </c>
      <c r="D196" s="36" t="s">
        <v>1179</v>
      </c>
      <c r="E196" s="37" t="s">
        <v>2805</v>
      </c>
      <c r="F196" s="37" t="s">
        <v>4026</v>
      </c>
      <c r="G196" s="38">
        <v>85.27</v>
      </c>
      <c r="H196" s="38"/>
      <c r="I196" s="37"/>
      <c r="J196" s="37"/>
      <c r="K196" s="38">
        <f t="shared" si="2"/>
        <v>85.27</v>
      </c>
      <c r="L196" s="38"/>
    </row>
    <row r="197" spans="1:12" ht="14.5" x14ac:dyDescent="0.35">
      <c r="A197" s="45" t="s">
        <v>3588</v>
      </c>
      <c r="C197" s="36">
        <v>45899</v>
      </c>
      <c r="D197" s="36" t="s">
        <v>1179</v>
      </c>
      <c r="E197" s="37" t="s">
        <v>2806</v>
      </c>
      <c r="F197" s="37" t="s">
        <v>4026</v>
      </c>
      <c r="G197" s="38">
        <v>405.91</v>
      </c>
      <c r="H197" s="38"/>
      <c r="I197" s="37"/>
      <c r="J197" s="37"/>
      <c r="K197" s="38">
        <f t="shared" ref="K197:K260" si="3">G197-H197</f>
        <v>405.91</v>
      </c>
      <c r="L197" s="38"/>
    </row>
    <row r="198" spans="1:12" ht="14.5" x14ac:dyDescent="0.35">
      <c r="A198" s="45" t="s">
        <v>3588</v>
      </c>
      <c r="C198" s="36">
        <v>45899</v>
      </c>
      <c r="D198" s="36" t="s">
        <v>1179</v>
      </c>
      <c r="E198" s="37" t="s">
        <v>2807</v>
      </c>
      <c r="F198" s="37" t="s">
        <v>4026</v>
      </c>
      <c r="G198" s="38">
        <v>64.16</v>
      </c>
      <c r="H198" s="38"/>
      <c r="I198" s="37"/>
      <c r="J198" s="37"/>
      <c r="K198" s="38">
        <f t="shared" si="3"/>
        <v>64.16</v>
      </c>
      <c r="L198" s="38"/>
    </row>
    <row r="199" spans="1:12" ht="14.5" x14ac:dyDescent="0.35">
      <c r="A199" s="45" t="s">
        <v>3588</v>
      </c>
      <c r="C199" s="36">
        <v>45899</v>
      </c>
      <c r="D199" s="36" t="s">
        <v>1179</v>
      </c>
      <c r="E199" s="37" t="s">
        <v>2808</v>
      </c>
      <c r="F199" s="37" t="s">
        <v>4026</v>
      </c>
      <c r="G199" s="38">
        <v>265</v>
      </c>
      <c r="H199" s="38"/>
      <c r="I199" s="37"/>
      <c r="J199" s="37"/>
      <c r="K199" s="38">
        <f t="shared" si="3"/>
        <v>265</v>
      </c>
      <c r="L199" s="38"/>
    </row>
    <row r="200" spans="1:12" ht="14.5" x14ac:dyDescent="0.35">
      <c r="A200" s="45" t="s">
        <v>3588</v>
      </c>
      <c r="C200" s="36">
        <v>45899</v>
      </c>
      <c r="D200" s="36" t="s">
        <v>1179</v>
      </c>
      <c r="E200" s="37" t="s">
        <v>2809</v>
      </c>
      <c r="F200" s="37" t="s">
        <v>4026</v>
      </c>
      <c r="G200" s="38">
        <v>11</v>
      </c>
      <c r="H200" s="38"/>
      <c r="I200" s="37"/>
      <c r="J200" s="37"/>
      <c r="K200" s="38">
        <f t="shared" si="3"/>
        <v>11</v>
      </c>
      <c r="L200" s="38"/>
    </row>
    <row r="201" spans="1:12" ht="14.5" x14ac:dyDescent="0.35">
      <c r="A201" s="45" t="s">
        <v>3588</v>
      </c>
      <c r="C201" s="36">
        <v>45899</v>
      </c>
      <c r="D201" s="36" t="s">
        <v>1179</v>
      </c>
      <c r="E201" s="37" t="s">
        <v>2810</v>
      </c>
      <c r="F201" s="37" t="s">
        <v>4026</v>
      </c>
      <c r="G201" s="38">
        <v>10.02</v>
      </c>
      <c r="H201" s="38"/>
      <c r="I201" s="37"/>
      <c r="J201" s="37"/>
      <c r="K201" s="38">
        <f t="shared" si="3"/>
        <v>10.02</v>
      </c>
      <c r="L201" s="38"/>
    </row>
    <row r="202" spans="1:12" ht="14.5" x14ac:dyDescent="0.35">
      <c r="A202" s="45" t="s">
        <v>3588</v>
      </c>
      <c r="C202" s="36">
        <v>45899</v>
      </c>
      <c r="D202" s="36" t="s">
        <v>1179</v>
      </c>
      <c r="E202" s="37" t="s">
        <v>2811</v>
      </c>
      <c r="F202" s="37" t="s">
        <v>4026</v>
      </c>
      <c r="G202" s="38">
        <v>335.77</v>
      </c>
      <c r="H202" s="38"/>
      <c r="I202" s="37"/>
      <c r="J202" s="37"/>
      <c r="K202" s="38">
        <f t="shared" si="3"/>
        <v>335.77</v>
      </c>
      <c r="L202" s="38"/>
    </row>
    <row r="203" spans="1:12" ht="14.5" x14ac:dyDescent="0.35">
      <c r="A203" s="45" t="s">
        <v>3588</v>
      </c>
      <c r="C203" s="36">
        <v>45899</v>
      </c>
      <c r="D203" s="36" t="s">
        <v>1179</v>
      </c>
      <c r="E203" s="37" t="s">
        <v>2812</v>
      </c>
      <c r="F203" s="37" t="s">
        <v>4026</v>
      </c>
      <c r="G203" s="38">
        <v>799.03</v>
      </c>
      <c r="H203" s="38"/>
      <c r="I203" s="37"/>
      <c r="J203" s="37"/>
      <c r="K203" s="38">
        <f t="shared" si="3"/>
        <v>799.03</v>
      </c>
      <c r="L203" s="38"/>
    </row>
    <row r="204" spans="1:12" ht="14.5" x14ac:dyDescent="0.35">
      <c r="A204" s="45" t="s">
        <v>3588</v>
      </c>
      <c r="C204" s="36">
        <v>45899</v>
      </c>
      <c r="D204" s="36" t="s">
        <v>1179</v>
      </c>
      <c r="E204" s="37" t="s">
        <v>2813</v>
      </c>
      <c r="F204" s="37" t="s">
        <v>4026</v>
      </c>
      <c r="G204" s="38">
        <v>129.88999999999999</v>
      </c>
      <c r="H204" s="38"/>
      <c r="I204" s="37"/>
      <c r="J204" s="37"/>
      <c r="K204" s="38">
        <f t="shared" si="3"/>
        <v>129.88999999999999</v>
      </c>
      <c r="L204" s="38"/>
    </row>
    <row r="205" spans="1:12" ht="14.5" x14ac:dyDescent="0.35">
      <c r="A205" s="45" t="s">
        <v>3588</v>
      </c>
      <c r="C205" s="36">
        <v>45899</v>
      </c>
      <c r="D205" s="36" t="s">
        <v>3115</v>
      </c>
      <c r="E205" s="37" t="s">
        <v>2814</v>
      </c>
      <c r="F205" s="37" t="s">
        <v>4026</v>
      </c>
      <c r="G205" s="38">
        <v>1541.94</v>
      </c>
      <c r="H205" s="38"/>
      <c r="I205" s="37"/>
      <c r="J205" s="37"/>
      <c r="K205" s="38">
        <f t="shared" si="3"/>
        <v>1541.94</v>
      </c>
      <c r="L205" s="38"/>
    </row>
    <row r="206" spans="1:12" ht="14.5" x14ac:dyDescent="0.35">
      <c r="A206" s="45" t="s">
        <v>3588</v>
      </c>
      <c r="C206" s="36">
        <v>45899</v>
      </c>
      <c r="D206" s="36" t="s">
        <v>2530</v>
      </c>
      <c r="E206" s="37" t="s">
        <v>2815</v>
      </c>
      <c r="F206" s="37" t="s">
        <v>4026</v>
      </c>
      <c r="G206" s="38">
        <v>884.36</v>
      </c>
      <c r="H206" s="38"/>
      <c r="I206" s="37"/>
      <c r="J206" s="37"/>
      <c r="K206" s="38">
        <f t="shared" si="3"/>
        <v>884.36</v>
      </c>
      <c r="L206" s="38"/>
    </row>
    <row r="207" spans="1:12" ht="14.5" x14ac:dyDescent="0.35">
      <c r="A207" s="45" t="s">
        <v>3588</v>
      </c>
      <c r="C207" s="36">
        <v>45899</v>
      </c>
      <c r="D207" s="36" t="s">
        <v>301</v>
      </c>
      <c r="E207" s="37" t="s">
        <v>2816</v>
      </c>
      <c r="F207" s="37" t="s">
        <v>4026</v>
      </c>
      <c r="G207" s="38">
        <v>566.08000000000004</v>
      </c>
      <c r="H207" s="38"/>
      <c r="I207" s="37"/>
      <c r="J207" s="37"/>
      <c r="K207" s="38">
        <f t="shared" si="3"/>
        <v>566.08000000000004</v>
      </c>
      <c r="L207" s="38"/>
    </row>
    <row r="208" spans="1:12" ht="14.5" x14ac:dyDescent="0.35">
      <c r="A208" s="45" t="s">
        <v>3588</v>
      </c>
      <c r="C208" s="36">
        <v>45899</v>
      </c>
      <c r="D208" s="36" t="s">
        <v>301</v>
      </c>
      <c r="E208" s="37" t="s">
        <v>2817</v>
      </c>
      <c r="F208" s="37" t="s">
        <v>4026</v>
      </c>
      <c r="G208" s="38">
        <v>410.37</v>
      </c>
      <c r="H208" s="38"/>
      <c r="I208" s="37"/>
      <c r="J208" s="37"/>
      <c r="K208" s="38">
        <f t="shared" si="3"/>
        <v>410.37</v>
      </c>
      <c r="L208" s="38"/>
    </row>
    <row r="209" spans="1:12" ht="14.5" x14ac:dyDescent="0.35">
      <c r="A209" s="45" t="s">
        <v>3588</v>
      </c>
      <c r="C209" s="36">
        <v>45899</v>
      </c>
      <c r="D209" s="36" t="s">
        <v>1932</v>
      </c>
      <c r="E209" s="37" t="s">
        <v>2818</v>
      </c>
      <c r="F209" s="37" t="s">
        <v>4026</v>
      </c>
      <c r="G209" s="38">
        <v>26.6</v>
      </c>
      <c r="H209" s="38"/>
      <c r="I209" s="37"/>
      <c r="J209" s="37"/>
      <c r="K209" s="38">
        <f t="shared" si="3"/>
        <v>26.6</v>
      </c>
      <c r="L209" s="38"/>
    </row>
    <row r="210" spans="1:12" ht="14.5" x14ac:dyDescent="0.35">
      <c r="A210" s="45" t="s">
        <v>3588</v>
      </c>
      <c r="C210" s="36">
        <v>45899</v>
      </c>
      <c r="D210" s="36" t="s">
        <v>1932</v>
      </c>
      <c r="E210" s="37" t="s">
        <v>2819</v>
      </c>
      <c r="F210" s="37" t="s">
        <v>4026</v>
      </c>
      <c r="G210" s="38">
        <v>382.5</v>
      </c>
      <c r="H210" s="38"/>
      <c r="I210" s="37"/>
      <c r="J210" s="37"/>
      <c r="K210" s="38">
        <f t="shared" si="3"/>
        <v>382.5</v>
      </c>
      <c r="L210" s="38"/>
    </row>
    <row r="211" spans="1:12" ht="14.5" x14ac:dyDescent="0.35">
      <c r="A211" s="45" t="s">
        <v>3588</v>
      </c>
      <c r="C211" s="36">
        <v>45899</v>
      </c>
      <c r="D211" s="36" t="s">
        <v>1932</v>
      </c>
      <c r="E211" s="37" t="s">
        <v>2820</v>
      </c>
      <c r="F211" s="37" t="s">
        <v>4026</v>
      </c>
      <c r="G211" s="38">
        <v>116.48</v>
      </c>
      <c r="H211" s="38"/>
      <c r="I211" s="37"/>
      <c r="J211" s="37"/>
      <c r="K211" s="38">
        <f t="shared" si="3"/>
        <v>116.48</v>
      </c>
      <c r="L211" s="38"/>
    </row>
    <row r="212" spans="1:12" ht="14.5" x14ac:dyDescent="0.35">
      <c r="A212" s="45" t="s">
        <v>3588</v>
      </c>
      <c r="C212" s="36">
        <v>45899</v>
      </c>
      <c r="D212" s="36" t="s">
        <v>2424</v>
      </c>
      <c r="E212" s="37" t="s">
        <v>2821</v>
      </c>
      <c r="F212" s="37" t="s">
        <v>4026</v>
      </c>
      <c r="G212" s="38">
        <v>53.2</v>
      </c>
      <c r="H212" s="38"/>
      <c r="I212" s="37"/>
      <c r="J212" s="37"/>
      <c r="K212" s="38">
        <f t="shared" si="3"/>
        <v>53.2</v>
      </c>
      <c r="L212" s="38"/>
    </row>
    <row r="213" spans="1:12" ht="14.5" x14ac:dyDescent="0.35">
      <c r="A213" s="45" t="s">
        <v>3588</v>
      </c>
      <c r="C213" s="36">
        <v>45899</v>
      </c>
      <c r="D213" s="36" t="s">
        <v>1782</v>
      </c>
      <c r="E213" s="37" t="s">
        <v>2822</v>
      </c>
      <c r="F213" s="37" t="s">
        <v>4026</v>
      </c>
      <c r="G213" s="38">
        <v>105.54</v>
      </c>
      <c r="H213" s="38"/>
      <c r="I213" s="37"/>
      <c r="J213" s="37"/>
      <c r="K213" s="38">
        <f t="shared" si="3"/>
        <v>105.54</v>
      </c>
      <c r="L213" s="38"/>
    </row>
    <row r="214" spans="1:12" ht="14.5" x14ac:dyDescent="0.35">
      <c r="A214" s="45" t="s">
        <v>3588</v>
      </c>
      <c r="C214" s="36">
        <v>45899</v>
      </c>
      <c r="D214" s="36" t="s">
        <v>1782</v>
      </c>
      <c r="E214" s="37" t="s">
        <v>2823</v>
      </c>
      <c r="F214" s="37" t="s">
        <v>4026</v>
      </c>
      <c r="G214" s="38">
        <v>1639.76</v>
      </c>
      <c r="H214" s="38"/>
      <c r="I214" s="37"/>
      <c r="J214" s="37"/>
      <c r="K214" s="38">
        <f t="shared" si="3"/>
        <v>1639.76</v>
      </c>
      <c r="L214" s="38"/>
    </row>
    <row r="215" spans="1:12" ht="14.5" x14ac:dyDescent="0.35">
      <c r="A215" s="45" t="s">
        <v>3588</v>
      </c>
      <c r="C215" s="36">
        <v>45899</v>
      </c>
      <c r="D215" s="36" t="s">
        <v>2520</v>
      </c>
      <c r="E215" s="37" t="s">
        <v>2824</v>
      </c>
      <c r="F215" s="37" t="s">
        <v>4026</v>
      </c>
      <c r="G215" s="38">
        <v>711.17</v>
      </c>
      <c r="H215" s="38"/>
      <c r="I215" s="37"/>
      <c r="J215" s="37"/>
      <c r="K215" s="38">
        <f t="shared" si="3"/>
        <v>711.17</v>
      </c>
      <c r="L215" s="38"/>
    </row>
    <row r="216" spans="1:12" ht="14.5" x14ac:dyDescent="0.35">
      <c r="A216" s="45" t="s">
        <v>3588</v>
      </c>
      <c r="C216" s="36">
        <v>45899</v>
      </c>
      <c r="D216" s="36" t="s">
        <v>2520</v>
      </c>
      <c r="E216" s="37" t="s">
        <v>2825</v>
      </c>
      <c r="F216" s="37" t="s">
        <v>4026</v>
      </c>
      <c r="G216" s="38">
        <v>2051.9</v>
      </c>
      <c r="H216" s="38"/>
      <c r="I216" s="37"/>
      <c r="J216" s="37"/>
      <c r="K216" s="38">
        <f t="shared" si="3"/>
        <v>2051.9</v>
      </c>
      <c r="L216" s="38"/>
    </row>
    <row r="217" spans="1:12" ht="14.5" x14ac:dyDescent="0.35">
      <c r="A217" s="45" t="s">
        <v>3588</v>
      </c>
      <c r="C217" s="36">
        <v>45899</v>
      </c>
      <c r="D217" s="36" t="s">
        <v>1283</v>
      </c>
      <c r="E217" s="37">
        <v>34959</v>
      </c>
      <c r="F217" s="37" t="s">
        <v>4026</v>
      </c>
      <c r="G217" s="38">
        <v>206.57</v>
      </c>
      <c r="H217" s="38"/>
      <c r="I217" s="37"/>
      <c r="J217" s="37"/>
      <c r="K217" s="38">
        <f t="shared" si="3"/>
        <v>206.57</v>
      </c>
      <c r="L217" s="38"/>
    </row>
    <row r="218" spans="1:12" ht="14.5" x14ac:dyDescent="0.35">
      <c r="A218" s="45" t="s">
        <v>3588</v>
      </c>
      <c r="C218" s="36">
        <v>45899</v>
      </c>
      <c r="D218" s="36" t="s">
        <v>2079</v>
      </c>
      <c r="E218" s="37" t="s">
        <v>2826</v>
      </c>
      <c r="F218" s="37" t="s">
        <v>4026</v>
      </c>
      <c r="G218" s="38">
        <v>28.55</v>
      </c>
      <c r="H218" s="38"/>
      <c r="I218" s="37"/>
      <c r="J218" s="37"/>
      <c r="K218" s="38">
        <f t="shared" si="3"/>
        <v>28.55</v>
      </c>
      <c r="L218" s="38"/>
    </row>
    <row r="219" spans="1:12" ht="14.5" x14ac:dyDescent="0.35">
      <c r="A219" s="45" t="s">
        <v>3588</v>
      </c>
      <c r="C219" s="36">
        <v>45899</v>
      </c>
      <c r="D219" s="36" t="s">
        <v>1724</v>
      </c>
      <c r="E219" s="37" t="s">
        <v>2827</v>
      </c>
      <c r="F219" s="37" t="s">
        <v>4026</v>
      </c>
      <c r="G219" s="38">
        <v>102.87</v>
      </c>
      <c r="H219" s="38"/>
      <c r="I219" s="37"/>
      <c r="J219" s="37"/>
      <c r="K219" s="38">
        <f t="shared" si="3"/>
        <v>102.87</v>
      </c>
      <c r="L219" s="38"/>
    </row>
    <row r="220" spans="1:12" ht="14.5" x14ac:dyDescent="0.35">
      <c r="A220" s="45" t="s">
        <v>3588</v>
      </c>
      <c r="C220" s="36">
        <v>45899</v>
      </c>
      <c r="D220" s="36" t="s">
        <v>3132</v>
      </c>
      <c r="E220" s="37" t="s">
        <v>2828</v>
      </c>
      <c r="F220" s="37" t="s">
        <v>4026</v>
      </c>
      <c r="G220" s="38">
        <v>39.15</v>
      </c>
      <c r="H220" s="38"/>
      <c r="I220" s="37"/>
      <c r="J220" s="37"/>
      <c r="K220" s="38">
        <f t="shared" si="3"/>
        <v>39.15</v>
      </c>
      <c r="L220" s="38"/>
    </row>
    <row r="221" spans="1:12" ht="14.5" x14ac:dyDescent="0.35">
      <c r="A221" s="45" t="s">
        <v>3588</v>
      </c>
      <c r="C221" s="36">
        <v>45899</v>
      </c>
      <c r="D221" s="36" t="s">
        <v>1724</v>
      </c>
      <c r="E221" s="37" t="s">
        <v>2829</v>
      </c>
      <c r="F221" s="37" t="s">
        <v>4026</v>
      </c>
      <c r="G221" s="38">
        <v>1165.3400000000001</v>
      </c>
      <c r="H221" s="38"/>
      <c r="I221" s="37"/>
      <c r="J221" s="37"/>
      <c r="K221" s="38">
        <f t="shared" si="3"/>
        <v>1165.3400000000001</v>
      </c>
      <c r="L221" s="38"/>
    </row>
    <row r="222" spans="1:12" ht="14.5" x14ac:dyDescent="0.35">
      <c r="A222" s="45" t="s">
        <v>3588</v>
      </c>
      <c r="C222" s="36">
        <v>45899</v>
      </c>
      <c r="D222" s="36" t="s">
        <v>1724</v>
      </c>
      <c r="E222" s="37" t="s">
        <v>2830</v>
      </c>
      <c r="F222" s="37" t="s">
        <v>4026</v>
      </c>
      <c r="G222" s="38">
        <v>2395.5</v>
      </c>
      <c r="H222" s="38"/>
      <c r="I222" s="37"/>
      <c r="J222" s="37"/>
      <c r="K222" s="38">
        <f t="shared" si="3"/>
        <v>2395.5</v>
      </c>
      <c r="L222" s="38"/>
    </row>
    <row r="223" spans="1:12" ht="14.5" x14ac:dyDescent="0.35">
      <c r="A223" s="45" t="s">
        <v>3588</v>
      </c>
      <c r="C223" s="36">
        <v>45899</v>
      </c>
      <c r="D223" s="36" t="s">
        <v>1608</v>
      </c>
      <c r="E223" s="37" t="s">
        <v>2832</v>
      </c>
      <c r="F223" s="37" t="s">
        <v>4026</v>
      </c>
      <c r="G223" s="38">
        <v>293.52999999999997</v>
      </c>
      <c r="H223" s="38"/>
      <c r="I223" s="37"/>
      <c r="J223" s="37"/>
      <c r="K223" s="38">
        <f t="shared" si="3"/>
        <v>293.52999999999997</v>
      </c>
      <c r="L223" s="38"/>
    </row>
    <row r="224" spans="1:12" ht="14.5" x14ac:dyDescent="0.35">
      <c r="A224" s="45" t="s">
        <v>3588</v>
      </c>
      <c r="C224" s="36">
        <v>45899</v>
      </c>
      <c r="D224" s="36" t="s">
        <v>3139</v>
      </c>
      <c r="E224" s="37" t="s">
        <v>2833</v>
      </c>
      <c r="F224" s="37" t="s">
        <v>4026</v>
      </c>
      <c r="G224" s="38">
        <v>7045.86</v>
      </c>
      <c r="H224" s="38"/>
      <c r="I224" s="37"/>
      <c r="J224" s="37"/>
      <c r="K224" s="38">
        <f t="shared" si="3"/>
        <v>7045.86</v>
      </c>
      <c r="L224" s="38"/>
    </row>
    <row r="225" spans="1:12" ht="14.5" x14ac:dyDescent="0.35">
      <c r="A225" s="45" t="s">
        <v>3588</v>
      </c>
      <c r="C225" s="36">
        <v>45899</v>
      </c>
      <c r="D225" s="36" t="s">
        <v>3139</v>
      </c>
      <c r="E225" s="37" t="s">
        <v>2834</v>
      </c>
      <c r="F225" s="37" t="s">
        <v>4026</v>
      </c>
      <c r="G225" s="38">
        <v>48239.519999999997</v>
      </c>
      <c r="H225" s="38"/>
      <c r="I225" s="37"/>
      <c r="J225" s="37"/>
      <c r="K225" s="38">
        <f t="shared" si="3"/>
        <v>48239.519999999997</v>
      </c>
      <c r="L225" s="38"/>
    </row>
    <row r="226" spans="1:12" ht="14.5" x14ac:dyDescent="0.35">
      <c r="A226" s="45" t="s">
        <v>3588</v>
      </c>
      <c r="C226" s="36">
        <v>45899</v>
      </c>
      <c r="D226" s="36" t="s">
        <v>3144</v>
      </c>
      <c r="E226" s="37" t="s">
        <v>2835</v>
      </c>
      <c r="F226" s="37" t="s">
        <v>4026</v>
      </c>
      <c r="G226" s="38">
        <v>156</v>
      </c>
      <c r="H226" s="38"/>
      <c r="I226" s="37"/>
      <c r="J226" s="37"/>
      <c r="K226" s="38">
        <f t="shared" si="3"/>
        <v>156</v>
      </c>
      <c r="L226" s="38"/>
    </row>
    <row r="227" spans="1:12" ht="14.5" x14ac:dyDescent="0.35">
      <c r="A227" s="45" t="s">
        <v>3588</v>
      </c>
      <c r="C227" s="36">
        <v>45899</v>
      </c>
      <c r="D227" s="36" t="s">
        <v>3146</v>
      </c>
      <c r="E227" s="37" t="s">
        <v>2836</v>
      </c>
      <c r="F227" s="37" t="s">
        <v>4026</v>
      </c>
      <c r="G227" s="38">
        <v>189.2</v>
      </c>
      <c r="H227" s="38"/>
      <c r="I227" s="37"/>
      <c r="J227" s="37"/>
      <c r="K227" s="38">
        <f t="shared" si="3"/>
        <v>189.2</v>
      </c>
      <c r="L227" s="38"/>
    </row>
    <row r="228" spans="1:12" ht="14.5" x14ac:dyDescent="0.35">
      <c r="A228" s="45" t="s">
        <v>3588</v>
      </c>
      <c r="C228" s="36">
        <v>45899</v>
      </c>
      <c r="D228" s="36" t="s">
        <v>3148</v>
      </c>
      <c r="E228" s="37" t="s">
        <v>2837</v>
      </c>
      <c r="F228" s="37" t="s">
        <v>4026</v>
      </c>
      <c r="G228" s="38">
        <v>8.14</v>
      </c>
      <c r="H228" s="38"/>
      <c r="I228" s="37"/>
      <c r="J228" s="37"/>
      <c r="K228" s="38">
        <f t="shared" si="3"/>
        <v>8.14</v>
      </c>
      <c r="L228" s="38"/>
    </row>
    <row r="229" spans="1:12" ht="14.5" x14ac:dyDescent="0.35">
      <c r="A229" s="45" t="s">
        <v>3588</v>
      </c>
      <c r="C229" s="36">
        <v>45899</v>
      </c>
      <c r="D229" s="36" t="s">
        <v>3150</v>
      </c>
      <c r="E229" s="37" t="s">
        <v>2838</v>
      </c>
      <c r="F229" s="37" t="s">
        <v>4026</v>
      </c>
      <c r="G229" s="38">
        <v>16.55</v>
      </c>
      <c r="H229" s="38"/>
      <c r="I229" s="37"/>
      <c r="J229" s="37"/>
      <c r="K229" s="38">
        <f t="shared" si="3"/>
        <v>16.55</v>
      </c>
      <c r="L229" s="38"/>
    </row>
    <row r="230" spans="1:12" ht="14.5" x14ac:dyDescent="0.35">
      <c r="A230" s="45" t="s">
        <v>3588</v>
      </c>
      <c r="C230" s="36">
        <v>45899</v>
      </c>
      <c r="D230" s="36" t="s">
        <v>3153</v>
      </c>
      <c r="E230" s="37" t="s">
        <v>2839</v>
      </c>
      <c r="F230" s="37" t="s">
        <v>4026</v>
      </c>
      <c r="G230" s="38">
        <v>70.75</v>
      </c>
      <c r="H230" s="38"/>
      <c r="I230" s="37"/>
      <c r="J230" s="37"/>
      <c r="K230" s="38">
        <f t="shared" si="3"/>
        <v>70.75</v>
      </c>
      <c r="L230" s="38"/>
    </row>
    <row r="231" spans="1:12" ht="14.5" x14ac:dyDescent="0.35">
      <c r="A231" s="45" t="s">
        <v>3588</v>
      </c>
      <c r="C231" s="36">
        <v>45899</v>
      </c>
      <c r="D231" s="36" t="s">
        <v>3154</v>
      </c>
      <c r="E231" s="37" t="s">
        <v>2840</v>
      </c>
      <c r="F231" s="37" t="s">
        <v>4026</v>
      </c>
      <c r="G231" s="38">
        <v>12743.609999999999</v>
      </c>
      <c r="H231" s="38"/>
      <c r="I231" s="37"/>
      <c r="J231" s="37"/>
      <c r="K231" s="38">
        <f t="shared" si="3"/>
        <v>12743.609999999999</v>
      </c>
      <c r="L231" s="38"/>
    </row>
    <row r="232" spans="1:12" ht="14.5" x14ac:dyDescent="0.35">
      <c r="A232" s="45" t="s">
        <v>3588</v>
      </c>
      <c r="C232" s="36">
        <v>45899</v>
      </c>
      <c r="D232" s="36" t="s">
        <v>1920</v>
      </c>
      <c r="E232" s="37" t="s">
        <v>2841</v>
      </c>
      <c r="F232" s="37" t="s">
        <v>4026</v>
      </c>
      <c r="G232" s="38">
        <v>695.48</v>
      </c>
      <c r="H232" s="38"/>
      <c r="I232" s="37"/>
      <c r="J232" s="37"/>
      <c r="K232" s="38">
        <f t="shared" si="3"/>
        <v>695.48</v>
      </c>
      <c r="L232" s="38"/>
    </row>
    <row r="233" spans="1:12" ht="14.5" x14ac:dyDescent="0.35">
      <c r="A233" s="45" t="s">
        <v>3588</v>
      </c>
      <c r="C233" s="36">
        <v>45899</v>
      </c>
      <c r="D233" s="36" t="s">
        <v>1920</v>
      </c>
      <c r="E233" s="37" t="s">
        <v>2842</v>
      </c>
      <c r="F233" s="37" t="s">
        <v>4026</v>
      </c>
      <c r="G233" s="38">
        <v>1187.8799999999999</v>
      </c>
      <c r="H233" s="38"/>
      <c r="I233" s="37"/>
      <c r="J233" s="37"/>
      <c r="K233" s="38">
        <f t="shared" si="3"/>
        <v>1187.8799999999999</v>
      </c>
      <c r="L233" s="38"/>
    </row>
    <row r="234" spans="1:12" ht="14.5" x14ac:dyDescent="0.35">
      <c r="A234" s="45" t="s">
        <v>3588</v>
      </c>
      <c r="C234" s="36">
        <v>45899</v>
      </c>
      <c r="D234" s="36" t="s">
        <v>1920</v>
      </c>
      <c r="E234" s="37" t="s">
        <v>2843</v>
      </c>
      <c r="F234" s="37" t="s">
        <v>4026</v>
      </c>
      <c r="G234" s="38">
        <v>5.24</v>
      </c>
      <c r="H234" s="38"/>
      <c r="I234" s="37"/>
      <c r="J234" s="37"/>
      <c r="K234" s="38">
        <f t="shared" si="3"/>
        <v>5.24</v>
      </c>
      <c r="L234" s="38"/>
    </row>
    <row r="235" spans="1:12" ht="14.5" x14ac:dyDescent="0.35">
      <c r="A235" s="45" t="s">
        <v>3588</v>
      </c>
      <c r="C235" s="36">
        <v>45899</v>
      </c>
      <c r="D235" s="36" t="s">
        <v>1920</v>
      </c>
      <c r="E235" s="37" t="s">
        <v>2847</v>
      </c>
      <c r="F235" s="37" t="s">
        <v>4026</v>
      </c>
      <c r="G235" s="38">
        <v>80.02</v>
      </c>
      <c r="H235" s="38"/>
      <c r="I235" s="37"/>
      <c r="J235" s="37"/>
      <c r="K235" s="38">
        <f t="shared" si="3"/>
        <v>80.02</v>
      </c>
      <c r="L235" s="38"/>
    </row>
    <row r="236" spans="1:12" ht="14.5" x14ac:dyDescent="0.35">
      <c r="A236" s="45" t="s">
        <v>3588</v>
      </c>
      <c r="C236" s="36">
        <v>45899</v>
      </c>
      <c r="D236" s="36" t="s">
        <v>301</v>
      </c>
      <c r="E236" s="37" t="s">
        <v>2848</v>
      </c>
      <c r="F236" s="37" t="s">
        <v>4026</v>
      </c>
      <c r="G236" s="38">
        <v>324.33</v>
      </c>
      <c r="H236" s="38"/>
      <c r="I236" s="37"/>
      <c r="J236" s="37"/>
      <c r="K236" s="38">
        <f t="shared" si="3"/>
        <v>324.33</v>
      </c>
      <c r="L236" s="38"/>
    </row>
    <row r="237" spans="1:12" ht="14.5" x14ac:dyDescent="0.35">
      <c r="A237" s="45" t="s">
        <v>3588</v>
      </c>
      <c r="C237" s="36">
        <v>45899</v>
      </c>
      <c r="D237" s="36" t="s">
        <v>301</v>
      </c>
      <c r="E237" s="37" t="s">
        <v>2849</v>
      </c>
      <c r="F237" s="37" t="s">
        <v>4026</v>
      </c>
      <c r="G237" s="38">
        <v>139.4</v>
      </c>
      <c r="H237" s="38"/>
      <c r="I237" s="37"/>
      <c r="J237" s="37"/>
      <c r="K237" s="38">
        <f t="shared" si="3"/>
        <v>139.4</v>
      </c>
      <c r="L237" s="38"/>
    </row>
    <row r="238" spans="1:12" ht="14.5" x14ac:dyDescent="0.35">
      <c r="A238" s="45" t="s">
        <v>3588</v>
      </c>
      <c r="C238" s="36">
        <v>45899</v>
      </c>
      <c r="D238" s="36" t="s">
        <v>1782</v>
      </c>
      <c r="E238" s="37" t="s">
        <v>2850</v>
      </c>
      <c r="F238" s="37" t="s">
        <v>4026</v>
      </c>
      <c r="G238" s="38">
        <v>2960.2999999999997</v>
      </c>
      <c r="H238" s="38"/>
      <c r="I238" s="37"/>
      <c r="J238" s="37"/>
      <c r="K238" s="38">
        <f t="shared" si="3"/>
        <v>2960.2999999999997</v>
      </c>
      <c r="L238" s="38"/>
    </row>
    <row r="239" spans="1:12" ht="14.5" x14ac:dyDescent="0.35">
      <c r="A239" s="45" t="s">
        <v>3588</v>
      </c>
      <c r="C239" s="36">
        <v>45899</v>
      </c>
      <c r="D239" s="36" t="s">
        <v>1223</v>
      </c>
      <c r="E239" s="37" t="s">
        <v>2851</v>
      </c>
      <c r="F239" s="37" t="s">
        <v>4026</v>
      </c>
      <c r="G239" s="38">
        <v>277.94</v>
      </c>
      <c r="H239" s="38"/>
      <c r="I239" s="37"/>
      <c r="J239" s="37"/>
      <c r="K239" s="38">
        <f t="shared" si="3"/>
        <v>277.94</v>
      </c>
      <c r="L239" s="38"/>
    </row>
    <row r="240" spans="1:12" ht="14.5" x14ac:dyDescent="0.35">
      <c r="A240" s="45" t="s">
        <v>3588</v>
      </c>
      <c r="C240" s="36">
        <v>45899</v>
      </c>
      <c r="D240" s="36" t="s">
        <v>1035</v>
      </c>
      <c r="E240" s="37" t="s">
        <v>2852</v>
      </c>
      <c r="F240" s="37" t="s">
        <v>4026</v>
      </c>
      <c r="G240" s="38">
        <v>119.31</v>
      </c>
      <c r="H240" s="38"/>
      <c r="I240" s="37"/>
      <c r="J240" s="37"/>
      <c r="K240" s="38">
        <f t="shared" si="3"/>
        <v>119.31</v>
      </c>
      <c r="L240" s="38"/>
    </row>
    <row r="241" spans="1:12" ht="14.5" x14ac:dyDescent="0.35">
      <c r="A241" s="45" t="s">
        <v>3588</v>
      </c>
      <c r="C241" s="36">
        <v>45899</v>
      </c>
      <c r="D241" s="36" t="s">
        <v>1035</v>
      </c>
      <c r="E241" s="37" t="s">
        <v>2853</v>
      </c>
      <c r="F241" s="37" t="s">
        <v>4026</v>
      </c>
      <c r="G241" s="38">
        <v>362.45000000000005</v>
      </c>
      <c r="H241" s="38"/>
      <c r="I241" s="37"/>
      <c r="J241" s="37"/>
      <c r="K241" s="38">
        <f t="shared" si="3"/>
        <v>362.45000000000005</v>
      </c>
      <c r="L241" s="38"/>
    </row>
    <row r="242" spans="1:12" ht="14.5" x14ac:dyDescent="0.35">
      <c r="A242" s="45" t="s">
        <v>3588</v>
      </c>
      <c r="C242" s="36">
        <v>45899</v>
      </c>
      <c r="D242" s="36" t="s">
        <v>1343</v>
      </c>
      <c r="E242" s="37" t="s">
        <v>2855</v>
      </c>
      <c r="F242" s="37" t="s">
        <v>4026</v>
      </c>
      <c r="G242" s="38">
        <v>2904.92</v>
      </c>
      <c r="H242" s="38"/>
      <c r="I242" s="37"/>
      <c r="J242" s="37"/>
      <c r="K242" s="38">
        <f t="shared" si="3"/>
        <v>2904.92</v>
      </c>
      <c r="L242" s="38"/>
    </row>
    <row r="243" spans="1:12" ht="14.5" x14ac:dyDescent="0.35">
      <c r="A243" s="45" t="s">
        <v>3588</v>
      </c>
      <c r="C243" s="36">
        <v>45899</v>
      </c>
      <c r="D243" s="36" t="s">
        <v>1343</v>
      </c>
      <c r="E243" s="37" t="s">
        <v>2856</v>
      </c>
      <c r="F243" s="37" t="s">
        <v>4026</v>
      </c>
      <c r="G243" s="38">
        <v>558.23</v>
      </c>
      <c r="H243" s="38"/>
      <c r="I243" s="37"/>
      <c r="J243" s="37"/>
      <c r="K243" s="38">
        <f t="shared" si="3"/>
        <v>558.23</v>
      </c>
      <c r="L243" s="38"/>
    </row>
    <row r="244" spans="1:12" ht="14.5" x14ac:dyDescent="0.35">
      <c r="A244" s="45" t="s">
        <v>3588</v>
      </c>
      <c r="C244" s="36">
        <v>45899</v>
      </c>
      <c r="D244" s="36" t="s">
        <v>1343</v>
      </c>
      <c r="E244" s="37" t="s">
        <v>2857</v>
      </c>
      <c r="F244" s="37" t="s">
        <v>4026</v>
      </c>
      <c r="G244" s="38">
        <v>110</v>
      </c>
      <c r="H244" s="38"/>
      <c r="I244" s="37"/>
      <c r="J244" s="37"/>
      <c r="K244" s="38">
        <f t="shared" si="3"/>
        <v>110</v>
      </c>
      <c r="L244" s="38"/>
    </row>
    <row r="245" spans="1:12" ht="14.5" x14ac:dyDescent="0.35">
      <c r="A245" s="45" t="s">
        <v>3588</v>
      </c>
      <c r="C245" s="36">
        <v>45899</v>
      </c>
      <c r="D245" s="36" t="s">
        <v>1223</v>
      </c>
      <c r="E245" s="37" t="s">
        <v>2858</v>
      </c>
      <c r="F245" s="37" t="s">
        <v>4026</v>
      </c>
      <c r="G245" s="38">
        <v>8451.82</v>
      </c>
      <c r="H245" s="38"/>
      <c r="I245" s="37"/>
      <c r="J245" s="37"/>
      <c r="K245" s="38">
        <f t="shared" si="3"/>
        <v>8451.82</v>
      </c>
      <c r="L245" s="38"/>
    </row>
    <row r="246" spans="1:12" ht="14.5" x14ac:dyDescent="0.35">
      <c r="A246" s="45" t="s">
        <v>3588</v>
      </c>
      <c r="C246" s="36">
        <v>45899</v>
      </c>
      <c r="D246" s="36" t="s">
        <v>1223</v>
      </c>
      <c r="E246" s="37" t="s">
        <v>2859</v>
      </c>
      <c r="F246" s="37" t="s">
        <v>4026</v>
      </c>
      <c r="G246" s="38">
        <v>805.98</v>
      </c>
      <c r="H246" s="38"/>
      <c r="I246" s="37"/>
      <c r="J246" s="37"/>
      <c r="K246" s="38">
        <f t="shared" si="3"/>
        <v>805.98</v>
      </c>
      <c r="L246" s="38"/>
    </row>
    <row r="247" spans="1:12" ht="14.5" x14ac:dyDescent="0.35">
      <c r="A247" s="45" t="s">
        <v>3588</v>
      </c>
      <c r="C247" s="36">
        <v>45899</v>
      </c>
      <c r="D247" s="36" t="s">
        <v>1663</v>
      </c>
      <c r="E247" s="37" t="s">
        <v>2860</v>
      </c>
      <c r="F247" s="37" t="s">
        <v>4026</v>
      </c>
      <c r="G247" s="38">
        <v>20.96</v>
      </c>
      <c r="H247" s="38"/>
      <c r="I247" s="37"/>
      <c r="J247" s="37"/>
      <c r="K247" s="38">
        <f t="shared" si="3"/>
        <v>20.96</v>
      </c>
      <c r="L247" s="38"/>
    </row>
    <row r="248" spans="1:12" ht="14.5" x14ac:dyDescent="0.35">
      <c r="A248" s="45" t="s">
        <v>3588</v>
      </c>
      <c r="C248" s="36">
        <v>45899</v>
      </c>
      <c r="D248" s="36" t="s">
        <v>1663</v>
      </c>
      <c r="E248" s="37" t="s">
        <v>2861</v>
      </c>
      <c r="F248" s="37" t="s">
        <v>4026</v>
      </c>
      <c r="G248" s="38">
        <v>4040.3199999999997</v>
      </c>
      <c r="H248" s="38"/>
      <c r="I248" s="37"/>
      <c r="J248" s="37"/>
      <c r="K248" s="38">
        <f t="shared" si="3"/>
        <v>4040.3199999999997</v>
      </c>
      <c r="L248" s="38"/>
    </row>
    <row r="249" spans="1:12" ht="14.5" x14ac:dyDescent="0.35">
      <c r="A249" s="45" t="s">
        <v>3588</v>
      </c>
      <c r="C249" s="36">
        <v>45899</v>
      </c>
      <c r="D249" s="36" t="s">
        <v>1757</v>
      </c>
      <c r="E249" s="37" t="s">
        <v>2862</v>
      </c>
      <c r="F249" s="37" t="s">
        <v>4026</v>
      </c>
      <c r="G249" s="38">
        <v>368.56</v>
      </c>
      <c r="H249" s="38"/>
      <c r="I249" s="37"/>
      <c r="J249" s="37"/>
      <c r="K249" s="38">
        <f t="shared" si="3"/>
        <v>368.56</v>
      </c>
      <c r="L249" s="38"/>
    </row>
    <row r="250" spans="1:12" ht="14.5" x14ac:dyDescent="0.35">
      <c r="A250" s="45" t="s">
        <v>3588</v>
      </c>
      <c r="C250" s="36">
        <v>45899</v>
      </c>
      <c r="D250" s="36" t="s">
        <v>1757</v>
      </c>
      <c r="E250" s="37" t="s">
        <v>2863</v>
      </c>
      <c r="F250" s="37" t="s">
        <v>4026</v>
      </c>
      <c r="G250" s="38">
        <v>2280.8000000000002</v>
      </c>
      <c r="H250" s="38"/>
      <c r="I250" s="37"/>
      <c r="J250" s="37"/>
      <c r="K250" s="38">
        <f t="shared" si="3"/>
        <v>2280.8000000000002</v>
      </c>
      <c r="L250" s="38"/>
    </row>
    <row r="251" spans="1:12" ht="14.5" x14ac:dyDescent="0.35">
      <c r="A251" s="45" t="s">
        <v>3588</v>
      </c>
      <c r="C251" s="36">
        <v>45899</v>
      </c>
      <c r="D251" s="36" t="s">
        <v>1757</v>
      </c>
      <c r="E251" s="37" t="s">
        <v>2864</v>
      </c>
      <c r="F251" s="37" t="s">
        <v>4026</v>
      </c>
      <c r="G251" s="38">
        <v>1367.21</v>
      </c>
      <c r="H251" s="38"/>
      <c r="I251" s="37"/>
      <c r="J251" s="37"/>
      <c r="K251" s="38">
        <f t="shared" si="3"/>
        <v>1367.21</v>
      </c>
      <c r="L251" s="38"/>
    </row>
    <row r="252" spans="1:12" ht="14.5" x14ac:dyDescent="0.35">
      <c r="A252" s="45" t="s">
        <v>3588</v>
      </c>
      <c r="C252" s="36">
        <v>45899</v>
      </c>
      <c r="D252" s="36" t="s">
        <v>1757</v>
      </c>
      <c r="E252" s="37" t="s">
        <v>2865</v>
      </c>
      <c r="F252" s="37" t="s">
        <v>4026</v>
      </c>
      <c r="G252" s="38">
        <v>2133.9500000000003</v>
      </c>
      <c r="H252" s="38"/>
      <c r="I252" s="37"/>
      <c r="J252" s="37"/>
      <c r="K252" s="38">
        <f t="shared" si="3"/>
        <v>2133.9500000000003</v>
      </c>
      <c r="L252" s="38"/>
    </row>
    <row r="253" spans="1:12" ht="14.5" x14ac:dyDescent="0.35">
      <c r="A253" s="45" t="s">
        <v>3588</v>
      </c>
      <c r="C253" s="36">
        <v>45899</v>
      </c>
      <c r="D253" s="36" t="s">
        <v>1757</v>
      </c>
      <c r="E253" s="37" t="s">
        <v>2866</v>
      </c>
      <c r="F253" s="37" t="s">
        <v>4026</v>
      </c>
      <c r="G253" s="38">
        <v>3159.84</v>
      </c>
      <c r="H253" s="38"/>
      <c r="I253" s="37"/>
      <c r="J253" s="37"/>
      <c r="K253" s="38">
        <f t="shared" si="3"/>
        <v>3159.84</v>
      </c>
      <c r="L253" s="38"/>
    </row>
    <row r="254" spans="1:12" ht="14.5" x14ac:dyDescent="0.35">
      <c r="A254" s="45" t="s">
        <v>3588</v>
      </c>
      <c r="C254" s="36">
        <v>45899</v>
      </c>
      <c r="D254" s="36" t="s">
        <v>1757</v>
      </c>
      <c r="E254" s="37" t="s">
        <v>2867</v>
      </c>
      <c r="F254" s="37" t="s">
        <v>4026</v>
      </c>
      <c r="G254" s="38">
        <v>126.34</v>
      </c>
      <c r="H254" s="38"/>
      <c r="I254" s="37"/>
      <c r="J254" s="37"/>
      <c r="K254" s="38">
        <f t="shared" si="3"/>
        <v>126.34</v>
      </c>
      <c r="L254" s="38"/>
    </row>
    <row r="255" spans="1:12" ht="14.5" x14ac:dyDescent="0.35">
      <c r="A255" s="45" t="s">
        <v>3588</v>
      </c>
      <c r="C255" s="36">
        <v>45899</v>
      </c>
      <c r="D255" s="36" t="s">
        <v>3212</v>
      </c>
      <c r="E255" s="37" t="s">
        <v>2868</v>
      </c>
      <c r="F255" s="37" t="s">
        <v>4026</v>
      </c>
      <c r="G255" s="38">
        <v>122.01</v>
      </c>
      <c r="H255" s="38"/>
      <c r="I255" s="37"/>
      <c r="J255" s="37"/>
      <c r="K255" s="38">
        <f t="shared" si="3"/>
        <v>122.01</v>
      </c>
      <c r="L255" s="38"/>
    </row>
    <row r="256" spans="1:12" ht="14.5" x14ac:dyDescent="0.35">
      <c r="A256" s="45" t="s">
        <v>3588</v>
      </c>
      <c r="C256" s="36">
        <v>45899</v>
      </c>
      <c r="D256" s="36" t="s">
        <v>3218</v>
      </c>
      <c r="E256" s="37" t="s">
        <v>2869</v>
      </c>
      <c r="F256" s="37" t="s">
        <v>4026</v>
      </c>
      <c r="G256" s="38">
        <v>24</v>
      </c>
      <c r="H256" s="38"/>
      <c r="I256" s="37"/>
      <c r="J256" s="37"/>
      <c r="K256" s="38">
        <f t="shared" si="3"/>
        <v>24</v>
      </c>
      <c r="L256" s="38"/>
    </row>
    <row r="257" spans="1:12" ht="14.5" x14ac:dyDescent="0.35">
      <c r="A257" s="45" t="s">
        <v>3588</v>
      </c>
      <c r="C257" s="36">
        <v>45899</v>
      </c>
      <c r="D257" s="36" t="s">
        <v>3218</v>
      </c>
      <c r="E257" s="37" t="s">
        <v>2870</v>
      </c>
      <c r="F257" s="37" t="s">
        <v>4026</v>
      </c>
      <c r="G257" s="38">
        <v>71.790000000000006</v>
      </c>
      <c r="H257" s="38"/>
      <c r="I257" s="37"/>
      <c r="J257" s="37"/>
      <c r="K257" s="38">
        <f t="shared" si="3"/>
        <v>71.790000000000006</v>
      </c>
      <c r="L257" s="38"/>
    </row>
    <row r="258" spans="1:12" ht="14.5" x14ac:dyDescent="0.35">
      <c r="A258" s="45" t="s">
        <v>3588</v>
      </c>
      <c r="C258" s="36">
        <v>45899</v>
      </c>
      <c r="D258" s="36" t="s">
        <v>2926</v>
      </c>
      <c r="E258" s="37" t="s">
        <v>2871</v>
      </c>
      <c r="F258" s="37" t="s">
        <v>4026</v>
      </c>
      <c r="G258" s="38">
        <v>1631.5</v>
      </c>
      <c r="H258" s="38"/>
      <c r="I258" s="37"/>
      <c r="J258" s="37"/>
      <c r="K258" s="38">
        <f t="shared" si="3"/>
        <v>1631.5</v>
      </c>
      <c r="L258" s="38"/>
    </row>
    <row r="259" spans="1:12" ht="14.5" x14ac:dyDescent="0.35">
      <c r="A259" s="45" t="s">
        <v>3588</v>
      </c>
      <c r="C259" s="36">
        <v>45899</v>
      </c>
      <c r="D259" s="36" t="s">
        <v>2514</v>
      </c>
      <c r="E259" s="37" t="s">
        <v>2872</v>
      </c>
      <c r="F259" s="37" t="s">
        <v>4026</v>
      </c>
      <c r="G259" s="38">
        <v>330.3</v>
      </c>
      <c r="H259" s="38"/>
      <c r="I259" s="37"/>
      <c r="J259" s="37"/>
      <c r="K259" s="38">
        <f t="shared" si="3"/>
        <v>330.3</v>
      </c>
      <c r="L259" s="38"/>
    </row>
    <row r="260" spans="1:12" ht="14.5" x14ac:dyDescent="0.35">
      <c r="A260" s="45" t="s">
        <v>3588</v>
      </c>
      <c r="C260" s="36">
        <v>45899</v>
      </c>
      <c r="D260" s="36" t="s">
        <v>1035</v>
      </c>
      <c r="E260" s="37" t="s">
        <v>2873</v>
      </c>
      <c r="F260" s="37" t="s">
        <v>4026</v>
      </c>
      <c r="G260" s="38">
        <v>2.9</v>
      </c>
      <c r="H260" s="38"/>
      <c r="I260" s="37"/>
      <c r="J260" s="37"/>
      <c r="K260" s="38">
        <f t="shared" si="3"/>
        <v>2.9</v>
      </c>
      <c r="L260" s="38"/>
    </row>
    <row r="261" spans="1:12" ht="14.5" x14ac:dyDescent="0.35">
      <c r="A261" s="45" t="s">
        <v>3588</v>
      </c>
      <c r="C261" s="36">
        <v>45899</v>
      </c>
      <c r="D261" s="36" t="s">
        <v>1035</v>
      </c>
      <c r="E261" s="37" t="s">
        <v>2874</v>
      </c>
      <c r="F261" s="37" t="s">
        <v>4026</v>
      </c>
      <c r="G261" s="38">
        <v>729.03</v>
      </c>
      <c r="H261" s="38"/>
      <c r="I261" s="37"/>
      <c r="J261" s="37"/>
      <c r="K261" s="38">
        <f t="shared" ref="K261:K324" si="4">G261-H261</f>
        <v>729.03</v>
      </c>
      <c r="L261" s="38"/>
    </row>
    <row r="262" spans="1:12" ht="14.5" x14ac:dyDescent="0.35">
      <c r="A262" s="45" t="s">
        <v>3588</v>
      </c>
      <c r="C262" s="36">
        <v>45899</v>
      </c>
      <c r="D262" s="36" t="s">
        <v>1035</v>
      </c>
      <c r="E262" s="37" t="s">
        <v>2875</v>
      </c>
      <c r="F262" s="37" t="s">
        <v>4026</v>
      </c>
      <c r="G262" s="38">
        <v>48.72</v>
      </c>
      <c r="H262" s="38"/>
      <c r="I262" s="37"/>
      <c r="J262" s="37"/>
      <c r="K262" s="38">
        <f t="shared" si="4"/>
        <v>48.72</v>
      </c>
      <c r="L262" s="38"/>
    </row>
    <row r="263" spans="1:12" ht="14.5" x14ac:dyDescent="0.35">
      <c r="A263" s="45" t="s">
        <v>3588</v>
      </c>
      <c r="C263" s="36">
        <v>45899</v>
      </c>
      <c r="D263" s="36" t="s">
        <v>1035</v>
      </c>
      <c r="E263" s="37" t="s">
        <v>2876</v>
      </c>
      <c r="F263" s="37" t="s">
        <v>4026</v>
      </c>
      <c r="G263" s="38">
        <v>0</v>
      </c>
      <c r="H263" s="38"/>
      <c r="I263" s="37"/>
      <c r="J263" s="37"/>
      <c r="K263" s="38">
        <f t="shared" si="4"/>
        <v>0</v>
      </c>
      <c r="L263" s="38"/>
    </row>
    <row r="264" spans="1:12" ht="14.5" x14ac:dyDescent="0.35">
      <c r="A264" s="45" t="s">
        <v>3588</v>
      </c>
      <c r="C264" s="36">
        <v>45899</v>
      </c>
      <c r="D264" s="36" t="s">
        <v>1035</v>
      </c>
      <c r="E264" s="37" t="s">
        <v>2877</v>
      </c>
      <c r="F264" s="37" t="s">
        <v>4026</v>
      </c>
      <c r="G264" s="38">
        <v>806.86</v>
      </c>
      <c r="H264" s="38"/>
      <c r="I264" s="37"/>
      <c r="J264" s="37"/>
      <c r="K264" s="38">
        <f t="shared" si="4"/>
        <v>806.86</v>
      </c>
      <c r="L264" s="38"/>
    </row>
    <row r="265" spans="1:12" ht="14.5" x14ac:dyDescent="0.35">
      <c r="A265" s="45" t="s">
        <v>3588</v>
      </c>
      <c r="C265" s="36">
        <v>45899</v>
      </c>
      <c r="D265" s="36" t="s">
        <v>1035</v>
      </c>
      <c r="E265" s="37" t="s">
        <v>2878</v>
      </c>
      <c r="F265" s="37" t="s">
        <v>4026</v>
      </c>
      <c r="G265" s="38">
        <v>1220.3399999999999</v>
      </c>
      <c r="H265" s="38"/>
      <c r="I265" s="37"/>
      <c r="J265" s="37"/>
      <c r="K265" s="38">
        <f t="shared" si="4"/>
        <v>1220.3399999999999</v>
      </c>
      <c r="L265" s="38"/>
    </row>
    <row r="266" spans="1:12" ht="14.5" x14ac:dyDescent="0.35">
      <c r="A266" s="45" t="s">
        <v>3588</v>
      </c>
      <c r="C266" s="36">
        <v>45899</v>
      </c>
      <c r="D266" s="36" t="s">
        <v>1035</v>
      </c>
      <c r="E266" s="37" t="s">
        <v>2879</v>
      </c>
      <c r="F266" s="37" t="s">
        <v>4026</v>
      </c>
      <c r="G266" s="38">
        <v>16.5</v>
      </c>
      <c r="H266" s="38"/>
      <c r="I266" s="37"/>
      <c r="J266" s="37"/>
      <c r="K266" s="38">
        <f t="shared" si="4"/>
        <v>16.5</v>
      </c>
      <c r="L266" s="38"/>
    </row>
    <row r="267" spans="1:12" ht="14.5" x14ac:dyDescent="0.35">
      <c r="A267" s="45" t="s">
        <v>3588</v>
      </c>
      <c r="C267" s="36">
        <v>45899</v>
      </c>
      <c r="D267" s="36" t="s">
        <v>1035</v>
      </c>
      <c r="E267" s="37" t="s">
        <v>2880</v>
      </c>
      <c r="F267" s="37" t="s">
        <v>4026</v>
      </c>
      <c r="G267" s="38">
        <v>417.88</v>
      </c>
      <c r="H267" s="38"/>
      <c r="I267" s="37"/>
      <c r="J267" s="37"/>
      <c r="K267" s="38">
        <f t="shared" si="4"/>
        <v>417.88</v>
      </c>
      <c r="L267" s="38"/>
    </row>
    <row r="268" spans="1:12" ht="14.5" x14ac:dyDescent="0.35">
      <c r="A268" s="45" t="s">
        <v>3588</v>
      </c>
      <c r="C268" s="36">
        <v>45899</v>
      </c>
      <c r="D268" s="36" t="s">
        <v>1035</v>
      </c>
      <c r="E268" s="37" t="s">
        <v>2881</v>
      </c>
      <c r="F268" s="37" t="s">
        <v>4026</v>
      </c>
      <c r="G268" s="38">
        <v>228.91</v>
      </c>
      <c r="H268" s="38"/>
      <c r="I268" s="37"/>
      <c r="J268" s="37"/>
      <c r="K268" s="38">
        <f t="shared" si="4"/>
        <v>228.91</v>
      </c>
      <c r="L268" s="38"/>
    </row>
    <row r="269" spans="1:12" ht="14.5" x14ac:dyDescent="0.35">
      <c r="A269" s="45" t="s">
        <v>3588</v>
      </c>
      <c r="C269" s="36">
        <v>45899</v>
      </c>
      <c r="D269" s="36" t="s">
        <v>3230</v>
      </c>
      <c r="E269" s="37" t="s">
        <v>2882</v>
      </c>
      <c r="F269" s="37" t="s">
        <v>4026</v>
      </c>
      <c r="G269" s="38">
        <v>6338.43</v>
      </c>
      <c r="H269" s="38"/>
      <c r="I269" s="37"/>
      <c r="J269" s="37"/>
      <c r="K269" s="38">
        <f t="shared" si="4"/>
        <v>6338.43</v>
      </c>
      <c r="L269" s="38"/>
    </row>
    <row r="270" spans="1:12" ht="14.5" x14ac:dyDescent="0.35">
      <c r="A270" s="45" t="s">
        <v>3588</v>
      </c>
      <c r="C270" s="36">
        <v>45899</v>
      </c>
      <c r="D270" s="36" t="s">
        <v>2144</v>
      </c>
      <c r="E270" s="37" t="s">
        <v>2883</v>
      </c>
      <c r="F270" s="37" t="s">
        <v>4026</v>
      </c>
      <c r="G270" s="38">
        <v>45615.44</v>
      </c>
      <c r="H270" s="38"/>
      <c r="I270" s="37"/>
      <c r="J270" s="37"/>
      <c r="K270" s="38">
        <f t="shared" si="4"/>
        <v>45615.44</v>
      </c>
      <c r="L270" s="38"/>
    </row>
    <row r="271" spans="1:12" ht="14.5" x14ac:dyDescent="0.35">
      <c r="A271" s="45" t="s">
        <v>3588</v>
      </c>
      <c r="C271" s="36">
        <v>45899</v>
      </c>
      <c r="D271" s="36" t="s">
        <v>2144</v>
      </c>
      <c r="E271" s="37" t="s">
        <v>2884</v>
      </c>
      <c r="F271" s="37" t="s">
        <v>4026</v>
      </c>
      <c r="G271" s="38">
        <v>383774.34000000026</v>
      </c>
      <c r="H271" s="38"/>
      <c r="I271" s="37"/>
      <c r="J271" s="37"/>
      <c r="K271" s="38">
        <f t="shared" si="4"/>
        <v>383774.34000000026</v>
      </c>
      <c r="L271" s="38"/>
    </row>
    <row r="272" spans="1:12" ht="14.5" x14ac:dyDescent="0.35">
      <c r="A272" s="45" t="s">
        <v>3588</v>
      </c>
      <c r="C272" s="36">
        <v>45899</v>
      </c>
      <c r="D272" s="36" t="s">
        <v>2144</v>
      </c>
      <c r="E272" s="37" t="s">
        <v>2885</v>
      </c>
      <c r="F272" s="37" t="s">
        <v>4026</v>
      </c>
      <c r="G272" s="38">
        <v>33736.89</v>
      </c>
      <c r="H272" s="38"/>
      <c r="I272" s="37"/>
      <c r="J272" s="37"/>
      <c r="K272" s="38">
        <f t="shared" si="4"/>
        <v>33736.89</v>
      </c>
      <c r="L272" s="38"/>
    </row>
    <row r="273" spans="1:12" ht="14.5" x14ac:dyDescent="0.35">
      <c r="A273" s="45" t="s">
        <v>3588</v>
      </c>
      <c r="C273" s="36">
        <v>45899</v>
      </c>
      <c r="D273" s="36" t="s">
        <v>2144</v>
      </c>
      <c r="E273" s="37" t="s">
        <v>2886</v>
      </c>
      <c r="F273" s="37" t="s">
        <v>4026</v>
      </c>
      <c r="G273" s="38">
        <v>25299.780000000002</v>
      </c>
      <c r="H273" s="38"/>
      <c r="I273" s="37"/>
      <c r="J273" s="37"/>
      <c r="K273" s="38">
        <f t="shared" si="4"/>
        <v>25299.780000000002</v>
      </c>
      <c r="L273" s="38"/>
    </row>
    <row r="274" spans="1:12" ht="14.5" x14ac:dyDescent="0.35">
      <c r="A274" s="45" t="s">
        <v>3588</v>
      </c>
      <c r="C274" s="36">
        <v>45899</v>
      </c>
      <c r="D274" s="36" t="s">
        <v>2144</v>
      </c>
      <c r="E274" s="37" t="s">
        <v>2887</v>
      </c>
      <c r="F274" s="37" t="s">
        <v>4026</v>
      </c>
      <c r="G274" s="38">
        <v>30410.11</v>
      </c>
      <c r="H274" s="38"/>
      <c r="I274" s="37"/>
      <c r="J274" s="37"/>
      <c r="K274" s="38">
        <f t="shared" si="4"/>
        <v>30410.11</v>
      </c>
      <c r="L274" s="38"/>
    </row>
    <row r="275" spans="1:12" ht="14.5" x14ac:dyDescent="0.35">
      <c r="A275" s="45" t="s">
        <v>3588</v>
      </c>
      <c r="C275" s="36">
        <v>45899</v>
      </c>
      <c r="D275" s="36" t="s">
        <v>2539</v>
      </c>
      <c r="E275" s="37" t="s">
        <v>2888</v>
      </c>
      <c r="F275" s="37" t="s">
        <v>4026</v>
      </c>
      <c r="G275" s="38">
        <v>2091.7599999999998</v>
      </c>
      <c r="H275" s="38"/>
      <c r="I275" s="37"/>
      <c r="J275" s="37"/>
      <c r="K275" s="38">
        <f t="shared" si="4"/>
        <v>2091.7599999999998</v>
      </c>
      <c r="L275" s="38"/>
    </row>
    <row r="276" spans="1:12" ht="14.5" x14ac:dyDescent="0.35">
      <c r="A276" s="45" t="s">
        <v>3588</v>
      </c>
      <c r="C276" s="36">
        <v>45899</v>
      </c>
      <c r="D276" s="36" t="s">
        <v>2539</v>
      </c>
      <c r="E276" s="37" t="s">
        <v>2889</v>
      </c>
      <c r="F276" s="37" t="s">
        <v>4026</v>
      </c>
      <c r="G276" s="38">
        <v>342.8</v>
      </c>
      <c r="H276" s="38"/>
      <c r="I276" s="37"/>
      <c r="J276" s="37"/>
      <c r="K276" s="38">
        <f t="shared" si="4"/>
        <v>342.8</v>
      </c>
      <c r="L276" s="38"/>
    </row>
    <row r="277" spans="1:12" ht="14.5" x14ac:dyDescent="0.35">
      <c r="A277" s="45" t="s">
        <v>3588</v>
      </c>
      <c r="C277" s="36">
        <v>45899</v>
      </c>
      <c r="D277" s="36" t="s">
        <v>2539</v>
      </c>
      <c r="E277" s="37" t="s">
        <v>2890</v>
      </c>
      <c r="F277" s="37" t="s">
        <v>4026</v>
      </c>
      <c r="G277" s="38">
        <v>34.32</v>
      </c>
      <c r="H277" s="38"/>
      <c r="I277" s="37"/>
      <c r="J277" s="37"/>
      <c r="K277" s="38">
        <f t="shared" si="4"/>
        <v>34.32</v>
      </c>
      <c r="L277" s="38"/>
    </row>
    <row r="278" spans="1:12" ht="14.5" x14ac:dyDescent="0.35">
      <c r="A278" s="45" t="s">
        <v>3588</v>
      </c>
      <c r="C278" s="36">
        <v>45899</v>
      </c>
      <c r="D278" s="36" t="s">
        <v>1071</v>
      </c>
      <c r="E278" s="37" t="s">
        <v>2891</v>
      </c>
      <c r="F278" s="37" t="s">
        <v>4026</v>
      </c>
      <c r="G278" s="38">
        <v>28.8</v>
      </c>
      <c r="H278" s="38"/>
      <c r="I278" s="37"/>
      <c r="J278" s="37"/>
      <c r="K278" s="38">
        <f t="shared" si="4"/>
        <v>28.8</v>
      </c>
      <c r="L278" s="38"/>
    </row>
    <row r="279" spans="1:12" ht="14.5" x14ac:dyDescent="0.35">
      <c r="A279" s="45" t="s">
        <v>3588</v>
      </c>
      <c r="C279" s="36">
        <v>45899</v>
      </c>
      <c r="D279" s="36" t="s">
        <v>1060</v>
      </c>
      <c r="E279" s="37" t="s">
        <v>2893</v>
      </c>
      <c r="F279" s="37" t="s">
        <v>4026</v>
      </c>
      <c r="G279" s="38">
        <v>440</v>
      </c>
      <c r="H279" s="38"/>
      <c r="I279" s="37"/>
      <c r="J279" s="37"/>
      <c r="K279" s="38">
        <f t="shared" si="4"/>
        <v>440</v>
      </c>
      <c r="L279" s="38"/>
    </row>
    <row r="280" spans="1:12" ht="14.5" x14ac:dyDescent="0.35">
      <c r="A280" s="45" t="s">
        <v>3588</v>
      </c>
      <c r="C280" s="36">
        <v>45899</v>
      </c>
      <c r="D280" s="36" t="s">
        <v>2144</v>
      </c>
      <c r="E280" s="37" t="s">
        <v>2895</v>
      </c>
      <c r="F280" s="37" t="s">
        <v>4026</v>
      </c>
      <c r="G280" s="38">
        <v>103.8</v>
      </c>
      <c r="H280" s="38"/>
      <c r="I280" s="37"/>
      <c r="J280" s="37"/>
      <c r="K280" s="38">
        <f t="shared" si="4"/>
        <v>103.8</v>
      </c>
      <c r="L280" s="38"/>
    </row>
    <row r="281" spans="1:12" ht="14.5" x14ac:dyDescent="0.35">
      <c r="A281" s="45" t="s">
        <v>3588</v>
      </c>
      <c r="C281" s="36">
        <v>45899</v>
      </c>
      <c r="D281" s="36" t="s">
        <v>1060</v>
      </c>
      <c r="E281" s="37" t="s">
        <v>2896</v>
      </c>
      <c r="F281" s="37" t="s">
        <v>4026</v>
      </c>
      <c r="G281" s="38">
        <v>430.56</v>
      </c>
      <c r="H281" s="38"/>
      <c r="I281" s="37"/>
      <c r="J281" s="37"/>
      <c r="K281" s="38">
        <f t="shared" si="4"/>
        <v>430.56</v>
      </c>
      <c r="L281" s="38"/>
    </row>
    <row r="282" spans="1:12" ht="14.5" x14ac:dyDescent="0.35">
      <c r="A282" s="45" t="s">
        <v>3588</v>
      </c>
      <c r="C282" s="36">
        <v>45899</v>
      </c>
      <c r="D282" s="36" t="s">
        <v>1999</v>
      </c>
      <c r="E282" s="37" t="s">
        <v>2897</v>
      </c>
      <c r="F282" s="37" t="s">
        <v>4026</v>
      </c>
      <c r="G282" s="38">
        <v>22788.969999999998</v>
      </c>
      <c r="H282" s="38"/>
      <c r="I282" s="37"/>
      <c r="J282" s="37"/>
      <c r="K282" s="38">
        <f t="shared" si="4"/>
        <v>22788.969999999998</v>
      </c>
      <c r="L282" s="38"/>
    </row>
    <row r="283" spans="1:12" ht="14.5" x14ac:dyDescent="0.35">
      <c r="A283" s="45" t="s">
        <v>3588</v>
      </c>
      <c r="C283" s="36">
        <v>45899</v>
      </c>
      <c r="D283" s="36" t="s">
        <v>1999</v>
      </c>
      <c r="E283" s="37" t="s">
        <v>2898</v>
      </c>
      <c r="F283" s="37" t="s">
        <v>4026</v>
      </c>
      <c r="G283" s="38">
        <v>650.68000000000006</v>
      </c>
      <c r="H283" s="38"/>
      <c r="I283" s="37"/>
      <c r="J283" s="37"/>
      <c r="K283" s="38">
        <f t="shared" si="4"/>
        <v>650.68000000000006</v>
      </c>
      <c r="L283" s="38"/>
    </row>
    <row r="284" spans="1:12" ht="14.5" x14ac:dyDescent="0.35">
      <c r="A284" s="45" t="s">
        <v>3588</v>
      </c>
      <c r="C284" s="36">
        <v>45899</v>
      </c>
      <c r="D284" s="36" t="s">
        <v>1999</v>
      </c>
      <c r="E284" s="37" t="s">
        <v>2899</v>
      </c>
      <c r="F284" s="37" t="s">
        <v>4026</v>
      </c>
      <c r="G284" s="38">
        <v>4202.9399999999996</v>
      </c>
      <c r="H284" s="38"/>
      <c r="I284" s="37"/>
      <c r="J284" s="37"/>
      <c r="K284" s="38">
        <f t="shared" si="4"/>
        <v>4202.9399999999996</v>
      </c>
      <c r="L284" s="38"/>
    </row>
    <row r="285" spans="1:12" ht="14.5" x14ac:dyDescent="0.35">
      <c r="A285" s="45" t="s">
        <v>3588</v>
      </c>
      <c r="C285" s="36">
        <v>45899</v>
      </c>
      <c r="D285" s="36" t="s">
        <v>2396</v>
      </c>
      <c r="E285" s="37" t="s">
        <v>2900</v>
      </c>
      <c r="F285" s="37" t="s">
        <v>4026</v>
      </c>
      <c r="G285" s="38">
        <v>53761.64</v>
      </c>
      <c r="H285" s="38"/>
      <c r="I285" s="37"/>
      <c r="J285" s="37"/>
      <c r="K285" s="38">
        <f t="shared" si="4"/>
        <v>53761.64</v>
      </c>
      <c r="L285" s="38"/>
    </row>
    <row r="286" spans="1:12" ht="14.5" x14ac:dyDescent="0.35">
      <c r="A286" s="45" t="s">
        <v>3588</v>
      </c>
      <c r="C286" s="36">
        <v>45899</v>
      </c>
      <c r="D286" s="36" t="s">
        <v>2348</v>
      </c>
      <c r="E286" s="37" t="s">
        <v>2901</v>
      </c>
      <c r="F286" s="37" t="s">
        <v>4026</v>
      </c>
      <c r="G286" s="38">
        <v>263.62</v>
      </c>
      <c r="H286" s="38"/>
      <c r="I286" s="37"/>
      <c r="J286" s="37"/>
      <c r="K286" s="38">
        <f t="shared" si="4"/>
        <v>263.62</v>
      </c>
      <c r="L286" s="38"/>
    </row>
    <row r="287" spans="1:12" ht="14.5" x14ac:dyDescent="0.35">
      <c r="A287" s="45" t="s">
        <v>3588</v>
      </c>
      <c r="C287" s="36">
        <v>45899</v>
      </c>
      <c r="D287" s="36" t="s">
        <v>1475</v>
      </c>
      <c r="E287" s="37" t="s">
        <v>2902</v>
      </c>
      <c r="F287" s="37" t="s">
        <v>4026</v>
      </c>
      <c r="G287" s="38">
        <v>3353.54</v>
      </c>
      <c r="H287" s="38"/>
      <c r="I287" s="37"/>
      <c r="J287" s="37"/>
      <c r="K287" s="38">
        <f t="shared" si="4"/>
        <v>3353.54</v>
      </c>
      <c r="L287" s="38"/>
    </row>
    <row r="288" spans="1:12" ht="14.5" x14ac:dyDescent="0.35">
      <c r="A288" s="45" t="s">
        <v>3588</v>
      </c>
      <c r="C288" s="36">
        <v>45899</v>
      </c>
      <c r="D288" s="36" t="s">
        <v>1475</v>
      </c>
      <c r="E288" s="37" t="s">
        <v>2903</v>
      </c>
      <c r="F288" s="37" t="s">
        <v>4026</v>
      </c>
      <c r="G288" s="38">
        <v>397.96</v>
      </c>
      <c r="H288" s="38"/>
      <c r="I288" s="37"/>
      <c r="J288" s="37"/>
      <c r="K288" s="38">
        <f t="shared" si="4"/>
        <v>397.96</v>
      </c>
      <c r="L288" s="38"/>
    </row>
    <row r="289" spans="1:12" ht="14.5" x14ac:dyDescent="0.35">
      <c r="A289" s="45" t="s">
        <v>3588</v>
      </c>
      <c r="C289" s="36">
        <v>45899</v>
      </c>
      <c r="D289" s="36" t="s">
        <v>1475</v>
      </c>
      <c r="E289" s="37" t="s">
        <v>2905</v>
      </c>
      <c r="F289" s="37" t="s">
        <v>4026</v>
      </c>
      <c r="G289" s="38">
        <v>2697.03</v>
      </c>
      <c r="H289" s="38"/>
      <c r="I289" s="37"/>
      <c r="J289" s="37"/>
      <c r="K289" s="38">
        <f t="shared" si="4"/>
        <v>2697.03</v>
      </c>
      <c r="L289" s="38"/>
    </row>
    <row r="290" spans="1:12" ht="14.5" x14ac:dyDescent="0.35">
      <c r="A290" s="45" t="s">
        <v>3588</v>
      </c>
      <c r="C290" s="36">
        <v>45899</v>
      </c>
      <c r="D290" s="36" t="s">
        <v>1475</v>
      </c>
      <c r="E290" s="37" t="s">
        <v>2907</v>
      </c>
      <c r="F290" s="37" t="s">
        <v>4026</v>
      </c>
      <c r="G290" s="38">
        <v>5880</v>
      </c>
      <c r="H290" s="38"/>
      <c r="I290" s="37"/>
      <c r="J290" s="37"/>
      <c r="K290" s="38">
        <f t="shared" si="4"/>
        <v>5880</v>
      </c>
      <c r="L290" s="38"/>
    </row>
    <row r="291" spans="1:12" ht="14.5" x14ac:dyDescent="0.35">
      <c r="A291" s="45" t="s">
        <v>3588</v>
      </c>
      <c r="C291" s="36">
        <v>45899</v>
      </c>
      <c r="D291" s="36" t="s">
        <v>1475</v>
      </c>
      <c r="E291" s="37" t="s">
        <v>2908</v>
      </c>
      <c r="F291" s="37" t="s">
        <v>4026</v>
      </c>
      <c r="G291" s="38">
        <v>3137.74</v>
      </c>
      <c r="H291" s="38"/>
      <c r="I291" s="37"/>
      <c r="J291" s="37"/>
      <c r="K291" s="38">
        <f t="shared" si="4"/>
        <v>3137.74</v>
      </c>
      <c r="L291" s="38"/>
    </row>
    <row r="292" spans="1:12" ht="14.5" x14ac:dyDescent="0.35">
      <c r="A292" s="45" t="s">
        <v>3588</v>
      </c>
      <c r="C292" s="36">
        <v>45899</v>
      </c>
      <c r="D292" s="36" t="s">
        <v>1475</v>
      </c>
      <c r="E292" s="37" t="s">
        <v>2909</v>
      </c>
      <c r="F292" s="37" t="s">
        <v>4026</v>
      </c>
      <c r="G292" s="38">
        <v>4757.88</v>
      </c>
      <c r="H292" s="38"/>
      <c r="I292" s="37"/>
      <c r="J292" s="37"/>
      <c r="K292" s="38">
        <f t="shared" si="4"/>
        <v>4757.88</v>
      </c>
      <c r="L292" s="38"/>
    </row>
    <row r="293" spans="1:12" ht="14.5" x14ac:dyDescent="0.35">
      <c r="A293" s="45" t="s">
        <v>3588</v>
      </c>
      <c r="C293" s="36">
        <v>45899</v>
      </c>
      <c r="D293" s="36" t="s">
        <v>1475</v>
      </c>
      <c r="E293" s="37" t="s">
        <v>2910</v>
      </c>
      <c r="F293" s="37" t="s">
        <v>4026</v>
      </c>
      <c r="G293" s="38">
        <v>6503.2</v>
      </c>
      <c r="H293" s="38"/>
      <c r="I293" s="37"/>
      <c r="J293" s="37"/>
      <c r="K293" s="38">
        <f t="shared" si="4"/>
        <v>6503.2</v>
      </c>
      <c r="L293" s="38"/>
    </row>
    <row r="294" spans="1:12" ht="14.5" x14ac:dyDescent="0.35">
      <c r="A294" s="45" t="s">
        <v>3588</v>
      </c>
      <c r="C294" s="36">
        <v>45899</v>
      </c>
      <c r="D294" s="36" t="s">
        <v>1475</v>
      </c>
      <c r="E294" s="37" t="s">
        <v>2911</v>
      </c>
      <c r="F294" s="37" t="s">
        <v>4026</v>
      </c>
      <c r="G294" s="38">
        <v>13181.989999999998</v>
      </c>
      <c r="H294" s="38"/>
      <c r="I294" s="37"/>
      <c r="J294" s="37"/>
      <c r="K294" s="38">
        <f t="shared" si="4"/>
        <v>13181.989999999998</v>
      </c>
      <c r="L294" s="38"/>
    </row>
    <row r="295" spans="1:12" ht="14.5" x14ac:dyDescent="0.35">
      <c r="A295" s="45" t="s">
        <v>3588</v>
      </c>
      <c r="C295" s="36">
        <v>45899</v>
      </c>
      <c r="D295" s="36" t="s">
        <v>1475</v>
      </c>
      <c r="E295" s="37" t="s">
        <v>2912</v>
      </c>
      <c r="F295" s="37" t="s">
        <v>4026</v>
      </c>
      <c r="G295" s="38">
        <v>111.87</v>
      </c>
      <c r="H295" s="38"/>
      <c r="I295" s="37"/>
      <c r="J295" s="37"/>
      <c r="K295" s="38">
        <f t="shared" si="4"/>
        <v>111.87</v>
      </c>
      <c r="L295" s="38"/>
    </row>
    <row r="296" spans="1:12" ht="14.5" x14ac:dyDescent="0.35">
      <c r="A296" s="45" t="s">
        <v>3588</v>
      </c>
      <c r="C296" s="36">
        <v>45899</v>
      </c>
      <c r="D296" s="36" t="s">
        <v>1475</v>
      </c>
      <c r="E296" s="37" t="s">
        <v>2913</v>
      </c>
      <c r="F296" s="37" t="s">
        <v>4026</v>
      </c>
      <c r="G296" s="38">
        <v>1572</v>
      </c>
      <c r="H296" s="38"/>
      <c r="I296" s="37"/>
      <c r="J296" s="37"/>
      <c r="K296" s="38">
        <f t="shared" si="4"/>
        <v>1572</v>
      </c>
      <c r="L296" s="38"/>
    </row>
    <row r="297" spans="1:12" ht="14.5" x14ac:dyDescent="0.35">
      <c r="A297" s="45" t="s">
        <v>3588</v>
      </c>
      <c r="C297" s="36">
        <v>45899</v>
      </c>
      <c r="D297" s="36" t="s">
        <v>1475</v>
      </c>
      <c r="E297" s="37" t="s">
        <v>2914</v>
      </c>
      <c r="F297" s="37" t="s">
        <v>4026</v>
      </c>
      <c r="G297" s="38">
        <v>195.2</v>
      </c>
      <c r="H297" s="38"/>
      <c r="I297" s="37"/>
      <c r="J297" s="37"/>
      <c r="K297" s="38">
        <f t="shared" si="4"/>
        <v>195.2</v>
      </c>
      <c r="L297" s="38"/>
    </row>
    <row r="298" spans="1:12" ht="14.5" x14ac:dyDescent="0.35">
      <c r="A298" s="45" t="s">
        <v>3588</v>
      </c>
      <c r="C298" s="36">
        <v>45899</v>
      </c>
      <c r="D298" s="36" t="s">
        <v>1475</v>
      </c>
      <c r="E298" s="37" t="s">
        <v>2915</v>
      </c>
      <c r="F298" s="37" t="s">
        <v>4026</v>
      </c>
      <c r="G298" s="38">
        <v>536.79999999999995</v>
      </c>
      <c r="H298" s="38"/>
      <c r="I298" s="37"/>
      <c r="J298" s="37"/>
      <c r="K298" s="38">
        <f t="shared" si="4"/>
        <v>536.79999999999995</v>
      </c>
      <c r="L298" s="38"/>
    </row>
    <row r="299" spans="1:12" ht="14.5" x14ac:dyDescent="0.35">
      <c r="A299" s="45" t="s">
        <v>3588</v>
      </c>
      <c r="C299" s="36">
        <v>45899</v>
      </c>
      <c r="D299" s="36" t="s">
        <v>1475</v>
      </c>
      <c r="E299" s="37" t="s">
        <v>2916</v>
      </c>
      <c r="F299" s="37" t="s">
        <v>4026</v>
      </c>
      <c r="G299" s="38">
        <v>538.29999999999995</v>
      </c>
      <c r="H299" s="38"/>
      <c r="I299" s="37"/>
      <c r="J299" s="37"/>
      <c r="K299" s="38">
        <f t="shared" si="4"/>
        <v>538.29999999999995</v>
      </c>
      <c r="L299" s="38"/>
    </row>
    <row r="300" spans="1:12" ht="14.5" x14ac:dyDescent="0.35">
      <c r="A300" s="45" t="s">
        <v>3588</v>
      </c>
      <c r="C300" s="36">
        <v>45899</v>
      </c>
      <c r="D300" s="36" t="s">
        <v>1475</v>
      </c>
      <c r="E300" s="37" t="s">
        <v>2917</v>
      </c>
      <c r="F300" s="37" t="s">
        <v>4026</v>
      </c>
      <c r="G300" s="38">
        <v>230</v>
      </c>
      <c r="H300" s="38"/>
      <c r="I300" s="37"/>
      <c r="J300" s="37"/>
      <c r="K300" s="38">
        <f t="shared" si="4"/>
        <v>230</v>
      </c>
      <c r="L300" s="38"/>
    </row>
    <row r="301" spans="1:12" ht="14.5" x14ac:dyDescent="0.35">
      <c r="A301" s="45" t="s">
        <v>3588</v>
      </c>
      <c r="C301" s="36">
        <v>45899</v>
      </c>
      <c r="D301" s="36" t="s">
        <v>1475</v>
      </c>
      <c r="E301" s="37" t="s">
        <v>2918</v>
      </c>
      <c r="F301" s="37" t="s">
        <v>4026</v>
      </c>
      <c r="G301" s="38">
        <v>7800.04</v>
      </c>
      <c r="H301" s="38"/>
      <c r="I301" s="37"/>
      <c r="J301" s="37"/>
      <c r="K301" s="38">
        <f t="shared" si="4"/>
        <v>7800.04</v>
      </c>
      <c r="L301" s="38"/>
    </row>
    <row r="302" spans="1:12" ht="14.5" x14ac:dyDescent="0.35">
      <c r="A302" s="45" t="s">
        <v>3588</v>
      </c>
      <c r="C302" s="36">
        <v>45899</v>
      </c>
      <c r="D302" s="36" t="s">
        <v>1475</v>
      </c>
      <c r="E302" s="37" t="s">
        <v>2919</v>
      </c>
      <c r="F302" s="37" t="s">
        <v>4026</v>
      </c>
      <c r="G302" s="38">
        <v>37.49</v>
      </c>
      <c r="H302" s="38"/>
      <c r="I302" s="37"/>
      <c r="J302" s="37"/>
      <c r="K302" s="38">
        <f t="shared" si="4"/>
        <v>37.49</v>
      </c>
      <c r="L302" s="38"/>
    </row>
    <row r="303" spans="1:12" ht="14.5" x14ac:dyDescent="0.35">
      <c r="A303" s="45" t="s">
        <v>3588</v>
      </c>
      <c r="C303" s="36">
        <v>45899</v>
      </c>
      <c r="D303" s="36" t="s">
        <v>1475</v>
      </c>
      <c r="E303" s="37" t="s">
        <v>2920</v>
      </c>
      <c r="F303" s="37" t="s">
        <v>4026</v>
      </c>
      <c r="G303" s="38">
        <v>1129.8900000000001</v>
      </c>
      <c r="H303" s="38"/>
      <c r="I303" s="37"/>
      <c r="J303" s="37"/>
      <c r="K303" s="38">
        <f t="shared" si="4"/>
        <v>1129.8900000000001</v>
      </c>
      <c r="L303" s="38"/>
    </row>
    <row r="304" spans="1:12" ht="14.5" x14ac:dyDescent="0.35">
      <c r="A304" s="45" t="s">
        <v>3588</v>
      </c>
      <c r="C304" s="36">
        <v>45899</v>
      </c>
      <c r="D304" s="36" t="s">
        <v>1475</v>
      </c>
      <c r="E304" s="37" t="s">
        <v>2922</v>
      </c>
      <c r="F304" s="37" t="s">
        <v>4026</v>
      </c>
      <c r="G304" s="38">
        <v>611.6</v>
      </c>
      <c r="H304" s="38"/>
      <c r="I304" s="37"/>
      <c r="J304" s="37"/>
      <c r="K304" s="38">
        <f t="shared" si="4"/>
        <v>611.6</v>
      </c>
      <c r="L304" s="38"/>
    </row>
    <row r="305" spans="1:12" ht="14.5" x14ac:dyDescent="0.35">
      <c r="A305" s="45" t="s">
        <v>3588</v>
      </c>
      <c r="C305" s="36">
        <v>45899</v>
      </c>
      <c r="D305" s="36" t="s">
        <v>1475</v>
      </c>
      <c r="E305" s="37" t="s">
        <v>2924</v>
      </c>
      <c r="F305" s="37" t="s">
        <v>4026</v>
      </c>
      <c r="G305" s="38">
        <v>15.600000000000001</v>
      </c>
      <c r="H305" s="38"/>
      <c r="I305" s="37"/>
      <c r="J305" s="37"/>
      <c r="K305" s="38">
        <f t="shared" si="4"/>
        <v>15.600000000000001</v>
      </c>
      <c r="L305" s="38"/>
    </row>
    <row r="306" spans="1:12" ht="14.5" x14ac:dyDescent="0.35">
      <c r="A306" s="45" t="s">
        <v>3588</v>
      </c>
      <c r="C306" s="36">
        <v>45899</v>
      </c>
      <c r="D306" s="36" t="s">
        <v>1475</v>
      </c>
      <c r="E306" s="37" t="s">
        <v>2925</v>
      </c>
      <c r="F306" s="37" t="s">
        <v>4026</v>
      </c>
      <c r="G306" s="38">
        <v>326.93</v>
      </c>
      <c r="H306" s="38"/>
      <c r="I306" s="37"/>
      <c r="J306" s="37"/>
      <c r="K306" s="38">
        <f t="shared" si="4"/>
        <v>326.93</v>
      </c>
      <c r="L306" s="38"/>
    </row>
    <row r="307" spans="1:12" ht="14.5" x14ac:dyDescent="0.35">
      <c r="A307" s="45" t="s">
        <v>3588</v>
      </c>
      <c r="C307" s="36">
        <v>45899</v>
      </c>
      <c r="D307" s="36" t="s">
        <v>1277</v>
      </c>
      <c r="E307" s="37">
        <v>35818</v>
      </c>
      <c r="F307" s="37" t="s">
        <v>4026</v>
      </c>
      <c r="G307" s="38">
        <v>5048.58</v>
      </c>
      <c r="H307" s="38"/>
      <c r="I307" s="37"/>
      <c r="J307" s="37"/>
      <c r="K307" s="38">
        <f t="shared" si="4"/>
        <v>5048.58</v>
      </c>
      <c r="L307" s="38"/>
    </row>
    <row r="308" spans="1:12" ht="14.5" x14ac:dyDescent="0.35">
      <c r="A308" s="45" t="s">
        <v>3588</v>
      </c>
      <c r="C308" s="36">
        <v>45899</v>
      </c>
      <c r="D308" s="36" t="s">
        <v>1277</v>
      </c>
      <c r="E308" s="37" t="s">
        <v>2927</v>
      </c>
      <c r="F308" s="37" t="s">
        <v>4026</v>
      </c>
      <c r="G308" s="38">
        <v>12446.470000000001</v>
      </c>
      <c r="H308" s="38"/>
      <c r="I308" s="37"/>
      <c r="J308" s="37"/>
      <c r="K308" s="38">
        <f t="shared" si="4"/>
        <v>12446.470000000001</v>
      </c>
      <c r="L308" s="38"/>
    </row>
    <row r="309" spans="1:12" ht="14.5" x14ac:dyDescent="0.35">
      <c r="A309" s="45" t="s">
        <v>3588</v>
      </c>
      <c r="C309" s="36">
        <v>45899</v>
      </c>
      <c r="D309" s="36" t="s">
        <v>1947</v>
      </c>
      <c r="E309" s="37" t="s">
        <v>2928</v>
      </c>
      <c r="F309" s="37" t="s">
        <v>4026</v>
      </c>
      <c r="G309" s="38">
        <v>243.83</v>
      </c>
      <c r="H309" s="38"/>
      <c r="I309" s="37"/>
      <c r="J309" s="37"/>
      <c r="K309" s="38">
        <f t="shared" si="4"/>
        <v>243.83</v>
      </c>
      <c r="L309" s="38"/>
    </row>
    <row r="310" spans="1:12" ht="14.5" x14ac:dyDescent="0.35">
      <c r="A310" s="45" t="s">
        <v>3588</v>
      </c>
      <c r="C310" s="36">
        <v>45899</v>
      </c>
      <c r="D310" s="36" t="s">
        <v>1947</v>
      </c>
      <c r="E310" s="37" t="s">
        <v>2929</v>
      </c>
      <c r="F310" s="37" t="s">
        <v>4026</v>
      </c>
      <c r="G310" s="38">
        <v>400</v>
      </c>
      <c r="H310" s="38"/>
      <c r="I310" s="37"/>
      <c r="J310" s="37"/>
      <c r="K310" s="38">
        <f t="shared" si="4"/>
        <v>400</v>
      </c>
      <c r="L310" s="38"/>
    </row>
    <row r="311" spans="1:12" ht="14.5" x14ac:dyDescent="0.35">
      <c r="A311" s="45" t="s">
        <v>3588</v>
      </c>
      <c r="C311" s="36">
        <v>45899</v>
      </c>
      <c r="D311" s="36" t="s">
        <v>1947</v>
      </c>
      <c r="E311" s="37" t="s">
        <v>2930</v>
      </c>
      <c r="F311" s="37" t="s">
        <v>4026</v>
      </c>
      <c r="G311" s="38">
        <v>818.46</v>
      </c>
      <c r="H311" s="38"/>
      <c r="I311" s="37"/>
      <c r="J311" s="37"/>
      <c r="K311" s="38">
        <f t="shared" si="4"/>
        <v>818.46</v>
      </c>
      <c r="L311" s="38"/>
    </row>
    <row r="312" spans="1:12" ht="14.5" x14ac:dyDescent="0.35">
      <c r="A312" s="45" t="s">
        <v>3588</v>
      </c>
      <c r="C312" s="36">
        <v>45899</v>
      </c>
      <c r="D312" s="36" t="s">
        <v>1947</v>
      </c>
      <c r="E312" s="37" t="s">
        <v>2932</v>
      </c>
      <c r="F312" s="37" t="s">
        <v>4026</v>
      </c>
      <c r="G312" s="38">
        <v>257.77</v>
      </c>
      <c r="H312" s="38"/>
      <c r="I312" s="37"/>
      <c r="J312" s="37"/>
      <c r="K312" s="38">
        <f t="shared" si="4"/>
        <v>257.77</v>
      </c>
      <c r="L312" s="38"/>
    </row>
    <row r="313" spans="1:12" ht="14.5" x14ac:dyDescent="0.35">
      <c r="A313" s="45" t="s">
        <v>3588</v>
      </c>
      <c r="C313" s="36">
        <v>45899</v>
      </c>
      <c r="D313" s="36" t="s">
        <v>1947</v>
      </c>
      <c r="E313" s="37" t="s">
        <v>2933</v>
      </c>
      <c r="F313" s="37" t="s">
        <v>4026</v>
      </c>
      <c r="G313" s="38">
        <v>30.95</v>
      </c>
      <c r="H313" s="38"/>
      <c r="I313" s="37"/>
      <c r="J313" s="37"/>
      <c r="K313" s="38">
        <f t="shared" si="4"/>
        <v>30.95</v>
      </c>
      <c r="L313" s="38"/>
    </row>
    <row r="314" spans="1:12" ht="14.5" x14ac:dyDescent="0.35">
      <c r="A314" s="45" t="s">
        <v>3588</v>
      </c>
      <c r="C314" s="36">
        <v>45899</v>
      </c>
      <c r="D314" s="36" t="s">
        <v>1947</v>
      </c>
      <c r="E314" s="37" t="s">
        <v>2934</v>
      </c>
      <c r="F314" s="37" t="s">
        <v>4026</v>
      </c>
      <c r="G314" s="38">
        <v>4960.3</v>
      </c>
      <c r="H314" s="38"/>
      <c r="I314" s="37"/>
      <c r="J314" s="37"/>
      <c r="K314" s="38">
        <f t="shared" si="4"/>
        <v>4960.3</v>
      </c>
      <c r="L314" s="38"/>
    </row>
    <row r="315" spans="1:12" ht="14.5" x14ac:dyDescent="0.35">
      <c r="A315" s="45" t="s">
        <v>3588</v>
      </c>
      <c r="C315" s="36">
        <v>45899</v>
      </c>
      <c r="D315" s="36" t="s">
        <v>2086</v>
      </c>
      <c r="E315" s="37" t="s">
        <v>2935</v>
      </c>
      <c r="F315" s="37" t="s">
        <v>4026</v>
      </c>
      <c r="G315" s="38">
        <v>130.69999999999999</v>
      </c>
      <c r="H315" s="38"/>
      <c r="I315" s="37"/>
      <c r="J315" s="37"/>
      <c r="K315" s="38">
        <f t="shared" si="4"/>
        <v>130.69999999999999</v>
      </c>
      <c r="L315" s="38"/>
    </row>
    <row r="316" spans="1:12" ht="14.5" x14ac:dyDescent="0.35">
      <c r="A316" s="45" t="s">
        <v>3588</v>
      </c>
      <c r="C316" s="36">
        <v>45899</v>
      </c>
      <c r="D316" s="36" t="s">
        <v>2086</v>
      </c>
      <c r="E316" s="37" t="s">
        <v>2936</v>
      </c>
      <c r="F316" s="37" t="s">
        <v>4026</v>
      </c>
      <c r="G316" s="38">
        <v>134.66</v>
      </c>
      <c r="H316" s="38"/>
      <c r="I316" s="37"/>
      <c r="J316" s="37"/>
      <c r="K316" s="38">
        <f t="shared" si="4"/>
        <v>134.66</v>
      </c>
      <c r="L316" s="38"/>
    </row>
    <row r="317" spans="1:12" ht="14.5" x14ac:dyDescent="0.35">
      <c r="A317" s="45" t="s">
        <v>3588</v>
      </c>
      <c r="C317" s="36">
        <v>45899</v>
      </c>
      <c r="D317" s="36" t="s">
        <v>2424</v>
      </c>
      <c r="E317" s="37" t="s">
        <v>2937</v>
      </c>
      <c r="F317" s="37" t="s">
        <v>4026</v>
      </c>
      <c r="G317" s="38">
        <v>726.72</v>
      </c>
      <c r="H317" s="38"/>
      <c r="I317" s="37"/>
      <c r="J317" s="37"/>
      <c r="K317" s="38">
        <f t="shared" si="4"/>
        <v>726.72</v>
      </c>
      <c r="L317" s="38"/>
    </row>
    <row r="318" spans="1:12" ht="14.5" x14ac:dyDescent="0.35">
      <c r="A318" s="45" t="s">
        <v>3588</v>
      </c>
      <c r="C318" s="36">
        <v>45899</v>
      </c>
      <c r="D318" s="36" t="s">
        <v>2424</v>
      </c>
      <c r="E318" s="37" t="s">
        <v>2938</v>
      </c>
      <c r="F318" s="37" t="s">
        <v>4026</v>
      </c>
      <c r="G318" s="38">
        <v>1920.77</v>
      </c>
      <c r="H318" s="38"/>
      <c r="I318" s="37"/>
      <c r="J318" s="37"/>
      <c r="K318" s="38">
        <f t="shared" si="4"/>
        <v>1920.77</v>
      </c>
      <c r="L318" s="38"/>
    </row>
    <row r="319" spans="1:12" ht="14.5" x14ac:dyDescent="0.35">
      <c r="A319" s="45" t="s">
        <v>3588</v>
      </c>
      <c r="C319" s="36">
        <v>45899</v>
      </c>
      <c r="D319" s="36" t="s">
        <v>2424</v>
      </c>
      <c r="E319" s="37" t="s">
        <v>2940</v>
      </c>
      <c r="F319" s="37" t="s">
        <v>4026</v>
      </c>
      <c r="G319" s="38">
        <v>899.78</v>
      </c>
      <c r="H319" s="38"/>
      <c r="I319" s="37"/>
      <c r="J319" s="37"/>
      <c r="K319" s="38">
        <f t="shared" si="4"/>
        <v>899.78</v>
      </c>
      <c r="L319" s="38"/>
    </row>
    <row r="320" spans="1:12" ht="14.5" x14ac:dyDescent="0.35">
      <c r="A320" s="45" t="s">
        <v>3588</v>
      </c>
      <c r="C320" s="36">
        <v>45899</v>
      </c>
      <c r="D320" s="36" t="s">
        <v>2424</v>
      </c>
      <c r="E320" s="37" t="s">
        <v>2941</v>
      </c>
      <c r="F320" s="37" t="s">
        <v>4026</v>
      </c>
      <c r="G320" s="38">
        <v>152.97</v>
      </c>
      <c r="H320" s="38"/>
      <c r="I320" s="37"/>
      <c r="J320" s="37"/>
      <c r="K320" s="38">
        <f t="shared" si="4"/>
        <v>152.97</v>
      </c>
      <c r="L320" s="38"/>
    </row>
    <row r="321" spans="1:12" ht="14.5" x14ac:dyDescent="0.35">
      <c r="A321" s="45" t="s">
        <v>3588</v>
      </c>
      <c r="C321" s="36">
        <v>45899</v>
      </c>
      <c r="D321" s="36" t="s">
        <v>2424</v>
      </c>
      <c r="E321" s="37" t="s">
        <v>2942</v>
      </c>
      <c r="F321" s="37" t="s">
        <v>4026</v>
      </c>
      <c r="G321" s="38">
        <v>166.37</v>
      </c>
      <c r="H321" s="38"/>
      <c r="I321" s="37"/>
      <c r="J321" s="37"/>
      <c r="K321" s="38">
        <f t="shared" si="4"/>
        <v>166.37</v>
      </c>
      <c r="L321" s="38"/>
    </row>
    <row r="322" spans="1:12" ht="14.5" x14ac:dyDescent="0.35">
      <c r="A322" s="45" t="s">
        <v>3588</v>
      </c>
      <c r="C322" s="36">
        <v>45899</v>
      </c>
      <c r="D322" s="36" t="s">
        <v>3356</v>
      </c>
      <c r="E322" s="37" t="s">
        <v>2944</v>
      </c>
      <c r="F322" s="37" t="s">
        <v>4026</v>
      </c>
      <c r="G322" s="38">
        <v>129.94</v>
      </c>
      <c r="H322" s="38"/>
      <c r="I322" s="37"/>
      <c r="J322" s="37"/>
      <c r="K322" s="38">
        <f t="shared" si="4"/>
        <v>129.94</v>
      </c>
      <c r="L322" s="38"/>
    </row>
    <row r="323" spans="1:12" ht="14.5" x14ac:dyDescent="0.35">
      <c r="A323" s="45" t="s">
        <v>3588</v>
      </c>
      <c r="C323" s="36">
        <v>45899</v>
      </c>
      <c r="D323" s="36" t="s">
        <v>2462</v>
      </c>
      <c r="E323" s="37" t="s">
        <v>2945</v>
      </c>
      <c r="F323" s="37" t="s">
        <v>4026</v>
      </c>
      <c r="G323" s="38">
        <v>1558.54</v>
      </c>
      <c r="H323" s="38"/>
      <c r="I323" s="37"/>
      <c r="J323" s="37"/>
      <c r="K323" s="38">
        <f t="shared" si="4"/>
        <v>1558.54</v>
      </c>
      <c r="L323" s="38"/>
    </row>
    <row r="324" spans="1:12" ht="14.5" x14ac:dyDescent="0.35">
      <c r="A324" s="45" t="s">
        <v>3588</v>
      </c>
      <c r="C324" s="36">
        <v>45899</v>
      </c>
      <c r="D324" s="36" t="s">
        <v>2462</v>
      </c>
      <c r="E324" s="37" t="s">
        <v>2946</v>
      </c>
      <c r="F324" s="37" t="s">
        <v>4026</v>
      </c>
      <c r="G324" s="38">
        <v>1074.75</v>
      </c>
      <c r="H324" s="38"/>
      <c r="I324" s="37"/>
      <c r="J324" s="37"/>
      <c r="K324" s="38">
        <f t="shared" si="4"/>
        <v>1074.75</v>
      </c>
      <c r="L324" s="38"/>
    </row>
    <row r="325" spans="1:12" ht="14.5" x14ac:dyDescent="0.35">
      <c r="A325" s="45" t="s">
        <v>3588</v>
      </c>
      <c r="C325" s="36">
        <v>45899</v>
      </c>
      <c r="D325" s="36" t="s">
        <v>2541</v>
      </c>
      <c r="E325" s="37" t="s">
        <v>2947</v>
      </c>
      <c r="F325" s="37" t="s">
        <v>4026</v>
      </c>
      <c r="G325" s="38">
        <v>414.2</v>
      </c>
      <c r="H325" s="38"/>
      <c r="I325" s="37"/>
      <c r="J325" s="37"/>
      <c r="K325" s="38">
        <f t="shared" ref="K325:K388" si="5">G325-H325</f>
        <v>414.2</v>
      </c>
      <c r="L325" s="38"/>
    </row>
    <row r="326" spans="1:12" ht="14.5" x14ac:dyDescent="0.35">
      <c r="A326" s="45" t="s">
        <v>3588</v>
      </c>
      <c r="C326" s="36">
        <v>45899</v>
      </c>
      <c r="D326" s="36" t="s">
        <v>2541</v>
      </c>
      <c r="E326" s="37" t="s">
        <v>2948</v>
      </c>
      <c r="F326" s="37" t="s">
        <v>4026</v>
      </c>
      <c r="G326" s="38">
        <v>3.8</v>
      </c>
      <c r="H326" s="38"/>
      <c r="I326" s="37"/>
      <c r="J326" s="37"/>
      <c r="K326" s="38">
        <f t="shared" si="5"/>
        <v>3.8</v>
      </c>
      <c r="L326" s="38"/>
    </row>
    <row r="327" spans="1:12" ht="14.5" x14ac:dyDescent="0.35">
      <c r="A327" s="45" t="s">
        <v>3588</v>
      </c>
      <c r="C327" s="36">
        <v>45899</v>
      </c>
      <c r="D327" s="36" t="s">
        <v>2541</v>
      </c>
      <c r="E327" s="37" t="s">
        <v>2949</v>
      </c>
      <c r="F327" s="37" t="s">
        <v>4026</v>
      </c>
      <c r="G327" s="38">
        <v>56.75</v>
      </c>
      <c r="H327" s="38"/>
      <c r="I327" s="37"/>
      <c r="J327" s="37"/>
      <c r="K327" s="38">
        <f t="shared" si="5"/>
        <v>56.75</v>
      </c>
      <c r="L327" s="38"/>
    </row>
    <row r="328" spans="1:12" ht="14.5" x14ac:dyDescent="0.35">
      <c r="A328" s="45" t="s">
        <v>3588</v>
      </c>
      <c r="C328" s="36">
        <v>45899</v>
      </c>
      <c r="D328" s="36" t="s">
        <v>3148</v>
      </c>
      <c r="E328" s="37" t="s">
        <v>2950</v>
      </c>
      <c r="F328" s="37" t="s">
        <v>4026</v>
      </c>
      <c r="G328" s="38">
        <v>1379.68</v>
      </c>
      <c r="H328" s="38"/>
      <c r="I328" s="37"/>
      <c r="J328" s="37"/>
      <c r="K328" s="38">
        <f t="shared" si="5"/>
        <v>1379.68</v>
      </c>
      <c r="L328" s="38"/>
    </row>
    <row r="329" spans="1:12" ht="14.5" x14ac:dyDescent="0.35">
      <c r="A329" s="45" t="s">
        <v>3588</v>
      </c>
      <c r="C329" s="36">
        <v>45899</v>
      </c>
      <c r="D329" s="36" t="s">
        <v>3148</v>
      </c>
      <c r="E329" s="37" t="s">
        <v>2951</v>
      </c>
      <c r="F329" s="37" t="s">
        <v>4026</v>
      </c>
      <c r="G329" s="38">
        <v>56.94</v>
      </c>
      <c r="H329" s="38"/>
      <c r="I329" s="37"/>
      <c r="J329" s="37"/>
      <c r="K329" s="38">
        <f t="shared" si="5"/>
        <v>56.94</v>
      </c>
      <c r="L329" s="38"/>
    </row>
    <row r="330" spans="1:12" ht="14.5" x14ac:dyDescent="0.35">
      <c r="A330" s="45" t="s">
        <v>3588</v>
      </c>
      <c r="C330" s="36">
        <v>45899</v>
      </c>
      <c r="D330" s="36" t="s">
        <v>2462</v>
      </c>
      <c r="E330" s="37" t="s">
        <v>2952</v>
      </c>
      <c r="F330" s="37" t="s">
        <v>4026</v>
      </c>
      <c r="G330" s="38">
        <v>44.82</v>
      </c>
      <c r="H330" s="38"/>
      <c r="I330" s="37"/>
      <c r="J330" s="37"/>
      <c r="K330" s="38">
        <f t="shared" si="5"/>
        <v>44.82</v>
      </c>
      <c r="L330" s="38"/>
    </row>
    <row r="331" spans="1:12" ht="14.5" x14ac:dyDescent="0.35">
      <c r="A331" s="45" t="s">
        <v>3588</v>
      </c>
      <c r="C331" s="36">
        <v>45899</v>
      </c>
      <c r="D331" s="36" t="s">
        <v>3359</v>
      </c>
      <c r="E331" s="37" t="s">
        <v>2953</v>
      </c>
      <c r="F331" s="37" t="s">
        <v>4026</v>
      </c>
      <c r="G331" s="38">
        <v>4734.3999999999996</v>
      </c>
      <c r="H331" s="38"/>
      <c r="I331" s="37"/>
      <c r="J331" s="37"/>
      <c r="K331" s="38">
        <f t="shared" si="5"/>
        <v>4734.3999999999996</v>
      </c>
      <c r="L331" s="38"/>
    </row>
    <row r="332" spans="1:12" ht="14.5" x14ac:dyDescent="0.35">
      <c r="A332" s="45" t="s">
        <v>3588</v>
      </c>
      <c r="C332" s="36">
        <v>45899</v>
      </c>
      <c r="D332" s="36" t="s">
        <v>3359</v>
      </c>
      <c r="E332" s="37" t="s">
        <v>2954</v>
      </c>
      <c r="F332" s="37" t="s">
        <v>4026</v>
      </c>
      <c r="G332" s="38">
        <v>1273.8</v>
      </c>
      <c r="H332" s="38"/>
      <c r="I332" s="37"/>
      <c r="J332" s="37"/>
      <c r="K332" s="38">
        <f t="shared" si="5"/>
        <v>1273.8</v>
      </c>
      <c r="L332" s="38"/>
    </row>
    <row r="333" spans="1:12" ht="14.5" x14ac:dyDescent="0.35">
      <c r="A333" s="45" t="s">
        <v>3588</v>
      </c>
      <c r="C333" s="36">
        <v>45899</v>
      </c>
      <c r="D333" s="36" t="s">
        <v>3359</v>
      </c>
      <c r="E333" s="37" t="s">
        <v>2955</v>
      </c>
      <c r="F333" s="37" t="s">
        <v>4026</v>
      </c>
      <c r="G333" s="38">
        <v>764.38</v>
      </c>
      <c r="H333" s="38"/>
      <c r="I333" s="37"/>
      <c r="J333" s="37"/>
      <c r="K333" s="38">
        <f t="shared" si="5"/>
        <v>764.38</v>
      </c>
      <c r="L333" s="38"/>
    </row>
    <row r="334" spans="1:12" ht="14.5" x14ac:dyDescent="0.35">
      <c r="A334" s="45" t="s">
        <v>3588</v>
      </c>
      <c r="C334" s="36">
        <v>45899</v>
      </c>
      <c r="D334" s="36" t="s">
        <v>3359</v>
      </c>
      <c r="E334" s="37" t="s">
        <v>2956</v>
      </c>
      <c r="F334" s="37" t="s">
        <v>4026</v>
      </c>
      <c r="G334" s="38">
        <v>1574.8799999999999</v>
      </c>
      <c r="H334" s="38"/>
      <c r="I334" s="37"/>
      <c r="J334" s="37"/>
      <c r="K334" s="38">
        <f t="shared" si="5"/>
        <v>1574.8799999999999</v>
      </c>
      <c r="L334" s="38"/>
    </row>
    <row r="335" spans="1:12" ht="14.5" x14ac:dyDescent="0.35">
      <c r="A335" s="45" t="s">
        <v>3588</v>
      </c>
      <c r="C335" s="36">
        <v>45899</v>
      </c>
      <c r="D335" s="36" t="s">
        <v>2487</v>
      </c>
      <c r="E335" s="37" t="s">
        <v>2957</v>
      </c>
      <c r="F335" s="37" t="s">
        <v>4026</v>
      </c>
      <c r="G335" s="38">
        <v>2816</v>
      </c>
      <c r="H335" s="38"/>
      <c r="I335" s="37"/>
      <c r="J335" s="37"/>
      <c r="K335" s="38">
        <f t="shared" si="5"/>
        <v>2816</v>
      </c>
      <c r="L335" s="38"/>
    </row>
    <row r="336" spans="1:12" ht="14.5" x14ac:dyDescent="0.35">
      <c r="A336" s="45" t="s">
        <v>3588</v>
      </c>
      <c r="C336" s="36">
        <v>45899</v>
      </c>
      <c r="D336" s="36" t="s">
        <v>301</v>
      </c>
      <c r="E336" s="37" t="s">
        <v>2958</v>
      </c>
      <c r="F336" s="37" t="s">
        <v>4026</v>
      </c>
      <c r="G336" s="38">
        <v>0</v>
      </c>
      <c r="H336" s="38"/>
      <c r="I336" s="37"/>
      <c r="J336" s="37"/>
      <c r="K336" s="38">
        <f t="shared" si="5"/>
        <v>0</v>
      </c>
      <c r="L336" s="38"/>
    </row>
    <row r="337" spans="1:12" ht="14.5" x14ac:dyDescent="0.35">
      <c r="A337" s="45" t="s">
        <v>3588</v>
      </c>
      <c r="C337" s="36">
        <v>45899</v>
      </c>
      <c r="D337" s="36" t="s">
        <v>301</v>
      </c>
      <c r="E337" s="37" t="s">
        <v>2959</v>
      </c>
      <c r="F337" s="37" t="s">
        <v>4026</v>
      </c>
      <c r="G337" s="38">
        <v>0</v>
      </c>
      <c r="H337" s="38"/>
      <c r="I337" s="37"/>
      <c r="J337" s="37"/>
      <c r="K337" s="38">
        <f t="shared" si="5"/>
        <v>0</v>
      </c>
      <c r="L337" s="38"/>
    </row>
    <row r="338" spans="1:12" ht="14.5" x14ac:dyDescent="0.35">
      <c r="A338" s="45" t="s">
        <v>3588</v>
      </c>
      <c r="C338" s="36">
        <v>45899</v>
      </c>
      <c r="D338" s="36" t="s">
        <v>301</v>
      </c>
      <c r="E338" s="37" t="s">
        <v>2960</v>
      </c>
      <c r="F338" s="37" t="s">
        <v>4026</v>
      </c>
      <c r="G338" s="38">
        <v>25.32</v>
      </c>
      <c r="H338" s="38"/>
      <c r="I338" s="37"/>
      <c r="J338" s="37"/>
      <c r="K338" s="38">
        <f t="shared" si="5"/>
        <v>25.32</v>
      </c>
      <c r="L338" s="38"/>
    </row>
    <row r="339" spans="1:12" ht="14.5" x14ac:dyDescent="0.35">
      <c r="A339" s="45" t="s">
        <v>3588</v>
      </c>
      <c r="C339" s="36">
        <v>45899</v>
      </c>
      <c r="D339" s="36" t="s">
        <v>301</v>
      </c>
      <c r="E339" s="37" t="s">
        <v>2961</v>
      </c>
      <c r="F339" s="37" t="s">
        <v>4026</v>
      </c>
      <c r="G339" s="38">
        <v>1470.86</v>
      </c>
      <c r="H339" s="38"/>
      <c r="I339" s="37"/>
      <c r="J339" s="37"/>
      <c r="K339" s="38">
        <f t="shared" si="5"/>
        <v>1470.86</v>
      </c>
      <c r="L339" s="38"/>
    </row>
    <row r="340" spans="1:12" ht="14.5" x14ac:dyDescent="0.35">
      <c r="A340" s="45" t="s">
        <v>3588</v>
      </c>
      <c r="C340" s="36">
        <v>45899</v>
      </c>
      <c r="D340" s="36" t="s">
        <v>3369</v>
      </c>
      <c r="E340" s="37" t="s">
        <v>2962</v>
      </c>
      <c r="F340" s="37" t="s">
        <v>4026</v>
      </c>
      <c r="G340" s="38">
        <v>80.66</v>
      </c>
      <c r="H340" s="38"/>
      <c r="I340" s="37"/>
      <c r="J340" s="37"/>
      <c r="K340" s="38">
        <f t="shared" si="5"/>
        <v>80.66</v>
      </c>
      <c r="L340" s="38"/>
    </row>
    <row r="341" spans="1:12" ht="14.5" x14ac:dyDescent="0.35">
      <c r="A341" s="45" t="s">
        <v>3588</v>
      </c>
      <c r="C341" s="36">
        <v>45899</v>
      </c>
      <c r="D341" s="36" t="s">
        <v>3371</v>
      </c>
      <c r="E341" s="37" t="s">
        <v>2963</v>
      </c>
      <c r="F341" s="37" t="s">
        <v>4026</v>
      </c>
      <c r="G341" s="38">
        <v>320.12</v>
      </c>
      <c r="H341" s="38"/>
      <c r="I341" s="37"/>
      <c r="J341" s="37"/>
      <c r="K341" s="38">
        <f t="shared" si="5"/>
        <v>320.12</v>
      </c>
      <c r="L341" s="38"/>
    </row>
    <row r="342" spans="1:12" ht="14.5" x14ac:dyDescent="0.35">
      <c r="A342" s="45" t="s">
        <v>3588</v>
      </c>
      <c r="C342" s="36">
        <v>45899</v>
      </c>
      <c r="D342" s="36" t="s">
        <v>1757</v>
      </c>
      <c r="E342" s="37" t="s">
        <v>2964</v>
      </c>
      <c r="F342" s="37" t="s">
        <v>4026</v>
      </c>
      <c r="G342" s="38">
        <v>103.93</v>
      </c>
      <c r="H342" s="38"/>
      <c r="I342" s="37"/>
      <c r="J342" s="37"/>
      <c r="K342" s="38">
        <f t="shared" si="5"/>
        <v>103.93</v>
      </c>
      <c r="L342" s="38"/>
    </row>
    <row r="343" spans="1:12" ht="14.5" x14ac:dyDescent="0.35">
      <c r="A343" s="45" t="s">
        <v>3588</v>
      </c>
      <c r="C343" s="36">
        <v>45899</v>
      </c>
      <c r="D343" s="36" t="s">
        <v>1757</v>
      </c>
      <c r="E343" s="37" t="s">
        <v>2965</v>
      </c>
      <c r="F343" s="37" t="s">
        <v>4026</v>
      </c>
      <c r="G343" s="38">
        <v>89.91</v>
      </c>
      <c r="H343" s="38"/>
      <c r="I343" s="37"/>
      <c r="J343" s="37"/>
      <c r="K343" s="38">
        <f t="shared" si="5"/>
        <v>89.91</v>
      </c>
      <c r="L343" s="38"/>
    </row>
    <row r="344" spans="1:12" ht="14.5" x14ac:dyDescent="0.35">
      <c r="A344" s="45" t="s">
        <v>3588</v>
      </c>
      <c r="C344" s="36">
        <v>45899</v>
      </c>
      <c r="D344" s="36" t="s">
        <v>1839</v>
      </c>
      <c r="E344" s="37" t="s">
        <v>2966</v>
      </c>
      <c r="F344" s="37" t="s">
        <v>4026</v>
      </c>
      <c r="G344" s="38">
        <v>0</v>
      </c>
      <c r="H344" s="38"/>
      <c r="I344" s="37"/>
      <c r="J344" s="37"/>
      <c r="K344" s="38">
        <f t="shared" si="5"/>
        <v>0</v>
      </c>
      <c r="L344" s="38"/>
    </row>
    <row r="345" spans="1:12" ht="14.5" x14ac:dyDescent="0.35">
      <c r="A345" s="45" t="s">
        <v>3588</v>
      </c>
      <c r="C345" s="36">
        <v>45899</v>
      </c>
      <c r="D345" s="36" t="s">
        <v>1839</v>
      </c>
      <c r="E345" s="37" t="s">
        <v>2967</v>
      </c>
      <c r="F345" s="37" t="s">
        <v>4026</v>
      </c>
      <c r="G345" s="38">
        <v>0</v>
      </c>
      <c r="H345" s="38"/>
      <c r="I345" s="37"/>
      <c r="J345" s="37"/>
      <c r="K345" s="38">
        <f t="shared" si="5"/>
        <v>0</v>
      </c>
      <c r="L345" s="38"/>
    </row>
    <row r="346" spans="1:12" ht="14.5" x14ac:dyDescent="0.35">
      <c r="A346" s="45" t="s">
        <v>3588</v>
      </c>
      <c r="C346" s="36">
        <v>45899</v>
      </c>
      <c r="D346" s="36" t="s">
        <v>1839</v>
      </c>
      <c r="E346" s="37" t="s">
        <v>2968</v>
      </c>
      <c r="F346" s="37" t="s">
        <v>4026</v>
      </c>
      <c r="G346" s="38">
        <v>0</v>
      </c>
      <c r="H346" s="38"/>
      <c r="I346" s="37"/>
      <c r="J346" s="37"/>
      <c r="K346" s="38">
        <f t="shared" si="5"/>
        <v>0</v>
      </c>
      <c r="L346" s="38"/>
    </row>
    <row r="347" spans="1:12" ht="14.5" x14ac:dyDescent="0.35">
      <c r="A347" s="45" t="s">
        <v>3588</v>
      </c>
      <c r="C347" s="36">
        <v>45899</v>
      </c>
      <c r="D347" s="36" t="s">
        <v>1839</v>
      </c>
      <c r="E347" s="37" t="s">
        <v>2969</v>
      </c>
      <c r="F347" s="37" t="s">
        <v>4026</v>
      </c>
      <c r="G347" s="38">
        <v>370.73</v>
      </c>
      <c r="H347" s="38"/>
      <c r="I347" s="37"/>
      <c r="J347" s="37"/>
      <c r="K347" s="38">
        <f t="shared" si="5"/>
        <v>370.73</v>
      </c>
      <c r="L347" s="38"/>
    </row>
    <row r="348" spans="1:12" ht="14.5" x14ac:dyDescent="0.35">
      <c r="A348" s="45" t="s">
        <v>3588</v>
      </c>
      <c r="C348" s="36">
        <v>45899</v>
      </c>
      <c r="D348" s="36" t="s">
        <v>1839</v>
      </c>
      <c r="E348" s="37" t="s">
        <v>2971</v>
      </c>
      <c r="F348" s="37" t="s">
        <v>4026</v>
      </c>
      <c r="G348" s="38">
        <v>30.35</v>
      </c>
      <c r="H348" s="38"/>
      <c r="I348" s="37"/>
      <c r="J348" s="37"/>
      <c r="K348" s="38">
        <f t="shared" si="5"/>
        <v>30.35</v>
      </c>
      <c r="L348" s="38"/>
    </row>
    <row r="349" spans="1:12" ht="14.5" x14ac:dyDescent="0.35">
      <c r="A349" s="45" t="s">
        <v>3588</v>
      </c>
      <c r="C349" s="36">
        <v>45899</v>
      </c>
      <c r="D349" s="36" t="s">
        <v>1839</v>
      </c>
      <c r="E349" s="37" t="s">
        <v>2972</v>
      </c>
      <c r="F349" s="37" t="s">
        <v>4026</v>
      </c>
      <c r="G349" s="38">
        <v>98.52</v>
      </c>
      <c r="H349" s="38"/>
      <c r="I349" s="37"/>
      <c r="J349" s="37"/>
      <c r="K349" s="38">
        <f t="shared" si="5"/>
        <v>98.52</v>
      </c>
      <c r="L349" s="38"/>
    </row>
    <row r="350" spans="1:12" ht="14.5" x14ac:dyDescent="0.35">
      <c r="A350" s="45" t="s">
        <v>3588</v>
      </c>
      <c r="C350" s="36">
        <v>45899</v>
      </c>
      <c r="D350" s="36" t="s">
        <v>2027</v>
      </c>
      <c r="E350" s="37" t="s">
        <v>2974</v>
      </c>
      <c r="F350" s="37" t="s">
        <v>4026</v>
      </c>
      <c r="G350" s="38">
        <v>2144.6799999999998</v>
      </c>
      <c r="H350" s="38"/>
      <c r="I350" s="37"/>
      <c r="J350" s="37"/>
      <c r="K350" s="38">
        <f t="shared" si="5"/>
        <v>2144.6799999999998</v>
      </c>
      <c r="L350" s="38"/>
    </row>
    <row r="351" spans="1:12" ht="14.5" x14ac:dyDescent="0.35">
      <c r="A351" s="45" t="s">
        <v>3588</v>
      </c>
      <c r="C351" s="36">
        <v>45899</v>
      </c>
      <c r="D351" s="36" t="s">
        <v>2027</v>
      </c>
      <c r="E351" s="37" t="s">
        <v>2975</v>
      </c>
      <c r="F351" s="37" t="s">
        <v>4026</v>
      </c>
      <c r="G351" s="38">
        <v>369.57</v>
      </c>
      <c r="H351" s="38"/>
      <c r="I351" s="37"/>
      <c r="J351" s="37"/>
      <c r="K351" s="38">
        <f t="shared" si="5"/>
        <v>369.57</v>
      </c>
      <c r="L351" s="38"/>
    </row>
    <row r="352" spans="1:12" ht="14.5" x14ac:dyDescent="0.35">
      <c r="A352" s="45" t="s">
        <v>3588</v>
      </c>
      <c r="C352" s="36">
        <v>45899</v>
      </c>
      <c r="D352" s="36" t="s">
        <v>2027</v>
      </c>
      <c r="E352" s="37" t="s">
        <v>2976</v>
      </c>
      <c r="F352" s="37" t="s">
        <v>4026</v>
      </c>
      <c r="G352" s="38">
        <v>165.23</v>
      </c>
      <c r="H352" s="38"/>
      <c r="I352" s="37"/>
      <c r="J352" s="37"/>
      <c r="K352" s="38">
        <f t="shared" si="5"/>
        <v>165.23</v>
      </c>
      <c r="L352" s="38"/>
    </row>
    <row r="353" spans="1:12" ht="14.5" x14ac:dyDescent="0.35">
      <c r="A353" s="45" t="s">
        <v>3588</v>
      </c>
      <c r="C353" s="36">
        <v>45899</v>
      </c>
      <c r="D353" s="36" t="s">
        <v>2027</v>
      </c>
      <c r="E353" s="37" t="s">
        <v>2977</v>
      </c>
      <c r="F353" s="37" t="s">
        <v>4026</v>
      </c>
      <c r="G353" s="38">
        <v>2023.82</v>
      </c>
      <c r="H353" s="38"/>
      <c r="I353" s="37"/>
      <c r="J353" s="37"/>
      <c r="K353" s="38">
        <f t="shared" si="5"/>
        <v>2023.82</v>
      </c>
      <c r="L353" s="38"/>
    </row>
    <row r="354" spans="1:12" ht="14.5" x14ac:dyDescent="0.35">
      <c r="A354" s="45" t="s">
        <v>3588</v>
      </c>
      <c r="C354" s="36">
        <v>45899</v>
      </c>
      <c r="D354" s="36" t="s">
        <v>2027</v>
      </c>
      <c r="E354" s="37" t="s">
        <v>2978</v>
      </c>
      <c r="F354" s="37" t="s">
        <v>4026</v>
      </c>
      <c r="G354" s="38">
        <v>15.04</v>
      </c>
      <c r="H354" s="38"/>
      <c r="I354" s="37"/>
      <c r="J354" s="37"/>
      <c r="K354" s="38">
        <f t="shared" si="5"/>
        <v>15.04</v>
      </c>
      <c r="L354" s="38"/>
    </row>
    <row r="355" spans="1:12" ht="14.5" x14ac:dyDescent="0.35">
      <c r="A355" s="45" t="s">
        <v>3588</v>
      </c>
      <c r="C355" s="36">
        <v>45899</v>
      </c>
      <c r="D355" s="36" t="s">
        <v>2027</v>
      </c>
      <c r="E355" s="37" t="s">
        <v>2979</v>
      </c>
      <c r="F355" s="37" t="s">
        <v>4026</v>
      </c>
      <c r="G355" s="38">
        <v>742.59</v>
      </c>
      <c r="H355" s="38"/>
      <c r="I355" s="37"/>
      <c r="J355" s="37"/>
      <c r="K355" s="38">
        <f t="shared" si="5"/>
        <v>742.59</v>
      </c>
      <c r="L355" s="38"/>
    </row>
    <row r="356" spans="1:12" ht="14.5" x14ac:dyDescent="0.35">
      <c r="A356" s="45" t="s">
        <v>3588</v>
      </c>
      <c r="C356" s="36">
        <v>45899</v>
      </c>
      <c r="D356" s="36" t="s">
        <v>1568</v>
      </c>
      <c r="E356" s="37" t="s">
        <v>2980</v>
      </c>
      <c r="F356" s="37" t="s">
        <v>4026</v>
      </c>
      <c r="G356" s="38">
        <v>4272</v>
      </c>
      <c r="H356" s="38"/>
      <c r="I356" s="37"/>
      <c r="J356" s="37"/>
      <c r="K356" s="38">
        <f t="shared" si="5"/>
        <v>4272</v>
      </c>
      <c r="L356" s="38"/>
    </row>
    <row r="357" spans="1:12" ht="14.5" x14ac:dyDescent="0.35">
      <c r="A357" s="45" t="s">
        <v>3588</v>
      </c>
      <c r="C357" s="36">
        <v>45899</v>
      </c>
      <c r="D357" s="36" t="s">
        <v>1568</v>
      </c>
      <c r="E357" s="37" t="s">
        <v>2981</v>
      </c>
      <c r="F357" s="37" t="s">
        <v>4026</v>
      </c>
      <c r="G357" s="38">
        <v>618.39</v>
      </c>
      <c r="H357" s="38"/>
      <c r="I357" s="37"/>
      <c r="J357" s="37"/>
      <c r="K357" s="38">
        <f t="shared" si="5"/>
        <v>618.39</v>
      </c>
      <c r="L357" s="38"/>
    </row>
    <row r="358" spans="1:12" ht="14.5" x14ac:dyDescent="0.35">
      <c r="A358" s="45" t="s">
        <v>3588</v>
      </c>
      <c r="C358" s="36">
        <v>45899</v>
      </c>
      <c r="D358" s="36" t="s">
        <v>1568</v>
      </c>
      <c r="E358" s="37" t="s">
        <v>2982</v>
      </c>
      <c r="F358" s="37" t="s">
        <v>4026</v>
      </c>
      <c r="G358" s="38">
        <v>1874.22</v>
      </c>
      <c r="H358" s="38"/>
      <c r="I358" s="37"/>
      <c r="J358" s="37"/>
      <c r="K358" s="38">
        <f t="shared" si="5"/>
        <v>1874.22</v>
      </c>
      <c r="L358" s="38"/>
    </row>
    <row r="359" spans="1:12" ht="14.5" x14ac:dyDescent="0.35">
      <c r="A359" s="45" t="s">
        <v>3588</v>
      </c>
      <c r="C359" s="36">
        <v>45899</v>
      </c>
      <c r="D359" s="36" t="s">
        <v>1371</v>
      </c>
      <c r="E359" s="37" t="s">
        <v>2983</v>
      </c>
      <c r="F359" s="37" t="s">
        <v>4026</v>
      </c>
      <c r="G359" s="38">
        <v>1325.37</v>
      </c>
      <c r="H359" s="38"/>
      <c r="I359" s="37"/>
      <c r="J359" s="37"/>
      <c r="K359" s="38">
        <f t="shared" si="5"/>
        <v>1325.37</v>
      </c>
      <c r="L359" s="38"/>
    </row>
    <row r="360" spans="1:12" ht="14.5" x14ac:dyDescent="0.35">
      <c r="A360" s="45" t="s">
        <v>3588</v>
      </c>
      <c r="C360" s="36">
        <v>45899</v>
      </c>
      <c r="D360" s="36" t="s">
        <v>1371</v>
      </c>
      <c r="E360" s="37" t="s">
        <v>2984</v>
      </c>
      <c r="F360" s="37" t="s">
        <v>4026</v>
      </c>
      <c r="G360" s="38">
        <v>30.06</v>
      </c>
      <c r="H360" s="38"/>
      <c r="I360" s="37"/>
      <c r="J360" s="37"/>
      <c r="K360" s="38">
        <f t="shared" si="5"/>
        <v>30.06</v>
      </c>
      <c r="L360" s="38"/>
    </row>
    <row r="361" spans="1:12" ht="14.5" x14ac:dyDescent="0.35">
      <c r="A361" s="45" t="s">
        <v>3588</v>
      </c>
      <c r="C361" s="36">
        <v>45899</v>
      </c>
      <c r="D361" s="36" t="s">
        <v>2831</v>
      </c>
      <c r="E361" s="37" t="s">
        <v>2985</v>
      </c>
      <c r="F361" s="37" t="s">
        <v>4026</v>
      </c>
      <c r="G361" s="38">
        <v>510.14</v>
      </c>
      <c r="H361" s="38"/>
      <c r="I361" s="37"/>
      <c r="J361" s="37"/>
      <c r="K361" s="38">
        <f t="shared" si="5"/>
        <v>510.14</v>
      </c>
      <c r="L361" s="38"/>
    </row>
    <row r="362" spans="1:12" ht="14.5" x14ac:dyDescent="0.35">
      <c r="A362" s="45" t="s">
        <v>3588</v>
      </c>
      <c r="C362" s="36">
        <v>45899</v>
      </c>
      <c r="D362" s="36" t="s">
        <v>3393</v>
      </c>
      <c r="E362" s="37" t="s">
        <v>2986</v>
      </c>
      <c r="F362" s="37" t="s">
        <v>4026</v>
      </c>
      <c r="G362" s="38">
        <v>1624.32</v>
      </c>
      <c r="H362" s="38"/>
      <c r="I362" s="37"/>
      <c r="J362" s="37"/>
      <c r="K362" s="38">
        <f t="shared" si="5"/>
        <v>1624.32</v>
      </c>
      <c r="L362" s="38"/>
    </row>
    <row r="363" spans="1:12" ht="14.5" x14ac:dyDescent="0.35">
      <c r="A363" s="45" t="s">
        <v>3588</v>
      </c>
      <c r="C363" s="36">
        <v>45899</v>
      </c>
      <c r="D363" s="36" t="s">
        <v>3393</v>
      </c>
      <c r="E363" s="37" t="s">
        <v>2988</v>
      </c>
      <c r="F363" s="37" t="s">
        <v>4026</v>
      </c>
      <c r="G363" s="38">
        <v>28.45</v>
      </c>
      <c r="H363" s="38"/>
      <c r="I363" s="37"/>
      <c r="J363" s="37"/>
      <c r="K363" s="38">
        <f t="shared" si="5"/>
        <v>28.45</v>
      </c>
      <c r="L363" s="38"/>
    </row>
    <row r="364" spans="1:12" ht="14.5" x14ac:dyDescent="0.35">
      <c r="A364" s="45" t="s">
        <v>3588</v>
      </c>
      <c r="C364" s="36">
        <v>45899</v>
      </c>
      <c r="D364" s="36" t="s">
        <v>3393</v>
      </c>
      <c r="E364" s="37" t="s">
        <v>2990</v>
      </c>
      <c r="F364" s="37" t="s">
        <v>4026</v>
      </c>
      <c r="G364" s="38">
        <v>1344.51</v>
      </c>
      <c r="H364" s="38"/>
      <c r="I364" s="37"/>
      <c r="J364" s="37"/>
      <c r="K364" s="38">
        <f t="shared" si="5"/>
        <v>1344.51</v>
      </c>
      <c r="L364" s="38"/>
    </row>
    <row r="365" spans="1:12" ht="14.5" x14ac:dyDescent="0.35">
      <c r="A365" s="45" t="s">
        <v>3588</v>
      </c>
      <c r="C365" s="36">
        <v>45899</v>
      </c>
      <c r="D365" s="36" t="s">
        <v>2079</v>
      </c>
      <c r="E365" s="37" t="s">
        <v>2991</v>
      </c>
      <c r="F365" s="37" t="s">
        <v>4026</v>
      </c>
      <c r="G365" s="38">
        <v>1517.28</v>
      </c>
      <c r="H365" s="38"/>
      <c r="I365" s="37"/>
      <c r="J365" s="37"/>
      <c r="K365" s="38">
        <f t="shared" si="5"/>
        <v>1517.28</v>
      </c>
      <c r="L365" s="38"/>
    </row>
    <row r="366" spans="1:12" ht="14.5" x14ac:dyDescent="0.35">
      <c r="A366" s="45" t="s">
        <v>3588</v>
      </c>
      <c r="C366" s="36">
        <v>45899</v>
      </c>
      <c r="D366" s="36" t="s">
        <v>2079</v>
      </c>
      <c r="E366" s="37" t="s">
        <v>2992</v>
      </c>
      <c r="F366" s="37" t="s">
        <v>4026</v>
      </c>
      <c r="G366" s="38">
        <v>12.09</v>
      </c>
      <c r="H366" s="38"/>
      <c r="I366" s="37"/>
      <c r="J366" s="37"/>
      <c r="K366" s="38">
        <f t="shared" si="5"/>
        <v>12.09</v>
      </c>
      <c r="L366" s="38"/>
    </row>
    <row r="367" spans="1:12" ht="14.5" x14ac:dyDescent="0.35">
      <c r="A367" s="45" t="s">
        <v>3588</v>
      </c>
      <c r="C367" s="36">
        <v>45899</v>
      </c>
      <c r="D367" s="36" t="s">
        <v>2027</v>
      </c>
      <c r="E367" s="37" t="s">
        <v>2993</v>
      </c>
      <c r="F367" s="37" t="s">
        <v>4026</v>
      </c>
      <c r="G367" s="38">
        <v>3363.9300000000003</v>
      </c>
      <c r="H367" s="38"/>
      <c r="I367" s="37"/>
      <c r="J367" s="37"/>
      <c r="K367" s="38">
        <f t="shared" si="5"/>
        <v>3363.9300000000003</v>
      </c>
      <c r="L367" s="38"/>
    </row>
    <row r="368" spans="1:12" ht="14.5" x14ac:dyDescent="0.35">
      <c r="A368" s="45" t="s">
        <v>3588</v>
      </c>
      <c r="C368" s="36">
        <v>45899</v>
      </c>
      <c r="D368" s="36" t="s">
        <v>1639</v>
      </c>
      <c r="E368" s="37" t="s">
        <v>2994</v>
      </c>
      <c r="F368" s="37" t="s">
        <v>4026</v>
      </c>
      <c r="G368" s="38">
        <v>793.71999999999991</v>
      </c>
      <c r="H368" s="38"/>
      <c r="I368" s="37"/>
      <c r="J368" s="37"/>
      <c r="K368" s="38">
        <f t="shared" si="5"/>
        <v>793.71999999999991</v>
      </c>
      <c r="L368" s="38"/>
    </row>
    <row r="369" spans="1:12" ht="14.5" x14ac:dyDescent="0.35">
      <c r="A369" s="45" t="s">
        <v>3588</v>
      </c>
      <c r="C369" s="36">
        <v>45899</v>
      </c>
      <c r="D369" s="36" t="s">
        <v>1639</v>
      </c>
      <c r="E369" s="37" t="s">
        <v>2995</v>
      </c>
      <c r="F369" s="37" t="s">
        <v>4026</v>
      </c>
      <c r="G369" s="38">
        <v>5276.2</v>
      </c>
      <c r="H369" s="38"/>
      <c r="I369" s="37"/>
      <c r="J369" s="37"/>
      <c r="K369" s="38">
        <f t="shared" si="5"/>
        <v>5276.2</v>
      </c>
      <c r="L369" s="38"/>
    </row>
    <row r="370" spans="1:12" ht="14.5" x14ac:dyDescent="0.35">
      <c r="A370" s="45" t="s">
        <v>3588</v>
      </c>
      <c r="C370" s="36">
        <v>45899</v>
      </c>
      <c r="D370" s="36" t="s">
        <v>1639</v>
      </c>
      <c r="E370" s="37" t="s">
        <v>2996</v>
      </c>
      <c r="F370" s="37" t="s">
        <v>4026</v>
      </c>
      <c r="G370" s="38">
        <v>2089.1899999999996</v>
      </c>
      <c r="H370" s="38"/>
      <c r="I370" s="37"/>
      <c r="J370" s="37"/>
      <c r="K370" s="38">
        <f t="shared" si="5"/>
        <v>2089.1899999999996</v>
      </c>
      <c r="L370" s="38"/>
    </row>
    <row r="371" spans="1:12" ht="14.5" x14ac:dyDescent="0.35">
      <c r="A371" s="45" t="s">
        <v>3588</v>
      </c>
      <c r="C371" s="36">
        <v>45899</v>
      </c>
      <c r="D371" s="36" t="s">
        <v>1639</v>
      </c>
      <c r="E371" s="37" t="s">
        <v>2997</v>
      </c>
      <c r="F371" s="37" t="s">
        <v>4026</v>
      </c>
      <c r="G371" s="38">
        <v>736.61</v>
      </c>
      <c r="H371" s="38"/>
      <c r="I371" s="37"/>
      <c r="J371" s="37"/>
      <c r="K371" s="38">
        <f t="shared" si="5"/>
        <v>736.61</v>
      </c>
      <c r="L371" s="38"/>
    </row>
    <row r="372" spans="1:12" ht="14.5" x14ac:dyDescent="0.35">
      <c r="A372" s="45" t="s">
        <v>3588</v>
      </c>
      <c r="C372" s="36">
        <v>45899</v>
      </c>
      <c r="D372" s="36" t="s">
        <v>1639</v>
      </c>
      <c r="E372" s="37" t="s">
        <v>2998</v>
      </c>
      <c r="F372" s="37" t="s">
        <v>4026</v>
      </c>
      <c r="G372" s="38">
        <v>27.01</v>
      </c>
      <c r="H372" s="38"/>
      <c r="I372" s="37"/>
      <c r="J372" s="37"/>
      <c r="K372" s="38">
        <f t="shared" si="5"/>
        <v>27.01</v>
      </c>
      <c r="L372" s="38"/>
    </row>
    <row r="373" spans="1:12" ht="14.5" x14ac:dyDescent="0.35">
      <c r="A373" s="45" t="s">
        <v>3588</v>
      </c>
      <c r="C373" s="36">
        <v>45899</v>
      </c>
      <c r="D373" s="36" t="s">
        <v>2231</v>
      </c>
      <c r="E373" s="37">
        <v>36512</v>
      </c>
      <c r="F373" s="37" t="s">
        <v>4026</v>
      </c>
      <c r="G373" s="38">
        <v>8303.93</v>
      </c>
      <c r="H373" s="38"/>
      <c r="I373" s="37"/>
      <c r="J373" s="37"/>
      <c r="K373" s="38">
        <f t="shared" si="5"/>
        <v>8303.93</v>
      </c>
      <c r="L373" s="38"/>
    </row>
    <row r="374" spans="1:12" ht="14.5" x14ac:dyDescent="0.35">
      <c r="A374" s="45" t="s">
        <v>3588</v>
      </c>
      <c r="C374" s="36">
        <v>45899</v>
      </c>
      <c r="D374" s="36" t="s">
        <v>2487</v>
      </c>
      <c r="E374" s="37" t="s">
        <v>2999</v>
      </c>
      <c r="F374" s="37" t="s">
        <v>4026</v>
      </c>
      <c r="G374" s="38">
        <v>65.73</v>
      </c>
      <c r="H374" s="38"/>
      <c r="I374" s="37"/>
      <c r="J374" s="37"/>
      <c r="K374" s="38">
        <f t="shared" si="5"/>
        <v>65.73</v>
      </c>
      <c r="L374" s="38"/>
    </row>
    <row r="375" spans="1:12" ht="14.5" x14ac:dyDescent="0.35">
      <c r="A375" s="45" t="s">
        <v>3588</v>
      </c>
      <c r="C375" s="36">
        <v>45899</v>
      </c>
      <c r="D375" s="36" t="s">
        <v>2291</v>
      </c>
      <c r="E375" s="37" t="s">
        <v>3000</v>
      </c>
      <c r="F375" s="37" t="s">
        <v>4026</v>
      </c>
      <c r="G375" s="38">
        <v>1140</v>
      </c>
      <c r="H375" s="38"/>
      <c r="I375" s="37"/>
      <c r="J375" s="37"/>
      <c r="K375" s="38">
        <f t="shared" si="5"/>
        <v>1140</v>
      </c>
      <c r="L375" s="38"/>
    </row>
    <row r="376" spans="1:12" ht="14.5" x14ac:dyDescent="0.35">
      <c r="A376" s="45" t="s">
        <v>3588</v>
      </c>
      <c r="C376" s="36">
        <v>45899</v>
      </c>
      <c r="D376" s="36" t="s">
        <v>2291</v>
      </c>
      <c r="E376" s="37" t="s">
        <v>3001</v>
      </c>
      <c r="F376" s="37" t="s">
        <v>4026</v>
      </c>
      <c r="G376" s="38">
        <v>6.21</v>
      </c>
      <c r="H376" s="38"/>
      <c r="I376" s="37"/>
      <c r="J376" s="37"/>
      <c r="K376" s="38">
        <f t="shared" si="5"/>
        <v>6.21</v>
      </c>
      <c r="L376" s="38"/>
    </row>
    <row r="377" spans="1:12" ht="14.5" x14ac:dyDescent="0.35">
      <c r="A377" s="45" t="s">
        <v>3588</v>
      </c>
      <c r="C377" s="36">
        <v>45899</v>
      </c>
      <c r="D377" s="36" t="s">
        <v>2291</v>
      </c>
      <c r="E377" s="37" t="s">
        <v>3002</v>
      </c>
      <c r="F377" s="37" t="s">
        <v>4026</v>
      </c>
      <c r="G377" s="38">
        <v>5053</v>
      </c>
      <c r="H377" s="38"/>
      <c r="I377" s="37"/>
      <c r="J377" s="37"/>
      <c r="K377" s="38">
        <f t="shared" si="5"/>
        <v>5053</v>
      </c>
      <c r="L377" s="38"/>
    </row>
    <row r="378" spans="1:12" ht="14.5" x14ac:dyDescent="0.35">
      <c r="A378" s="45" t="s">
        <v>3588</v>
      </c>
      <c r="C378" s="36">
        <v>45899</v>
      </c>
      <c r="D378" s="36" t="s">
        <v>2291</v>
      </c>
      <c r="E378" s="37" t="s">
        <v>3003</v>
      </c>
      <c r="F378" s="37" t="s">
        <v>4026</v>
      </c>
      <c r="G378" s="38">
        <v>2065.04</v>
      </c>
      <c r="H378" s="38"/>
      <c r="I378" s="37"/>
      <c r="J378" s="37"/>
      <c r="K378" s="38">
        <f t="shared" si="5"/>
        <v>2065.04</v>
      </c>
      <c r="L378" s="38"/>
    </row>
    <row r="379" spans="1:12" ht="14.5" x14ac:dyDescent="0.35">
      <c r="A379" s="45" t="s">
        <v>3588</v>
      </c>
      <c r="C379" s="36">
        <v>45899</v>
      </c>
      <c r="D379" s="36" t="s">
        <v>2291</v>
      </c>
      <c r="E379" s="37" t="s">
        <v>3004</v>
      </c>
      <c r="F379" s="37" t="s">
        <v>4026</v>
      </c>
      <c r="G379" s="38">
        <v>105.95</v>
      </c>
      <c r="H379" s="38"/>
      <c r="I379" s="37"/>
      <c r="J379" s="37"/>
      <c r="K379" s="38">
        <f t="shared" si="5"/>
        <v>105.95</v>
      </c>
      <c r="L379" s="38"/>
    </row>
    <row r="380" spans="1:12" ht="14.5" x14ac:dyDescent="0.35">
      <c r="A380" s="45" t="s">
        <v>3588</v>
      </c>
      <c r="C380" s="36">
        <v>45899</v>
      </c>
      <c r="D380" s="36" t="s">
        <v>2291</v>
      </c>
      <c r="E380" s="37" t="s">
        <v>3005</v>
      </c>
      <c r="F380" s="37" t="s">
        <v>4026</v>
      </c>
      <c r="G380" s="38">
        <v>46.36</v>
      </c>
      <c r="H380" s="38"/>
      <c r="I380" s="37"/>
      <c r="J380" s="37"/>
      <c r="K380" s="38">
        <f t="shared" si="5"/>
        <v>46.36</v>
      </c>
      <c r="L380" s="38"/>
    </row>
    <row r="381" spans="1:12" ht="14.5" x14ac:dyDescent="0.35">
      <c r="A381" s="45" t="s">
        <v>3588</v>
      </c>
      <c r="C381" s="36">
        <v>45899</v>
      </c>
      <c r="D381" s="36" t="s">
        <v>2291</v>
      </c>
      <c r="E381" s="37" t="s">
        <v>3006</v>
      </c>
      <c r="F381" s="37" t="s">
        <v>4026</v>
      </c>
      <c r="G381" s="38">
        <v>51.34</v>
      </c>
      <c r="H381" s="38"/>
      <c r="I381" s="37"/>
      <c r="J381" s="37"/>
      <c r="K381" s="38">
        <f t="shared" si="5"/>
        <v>51.34</v>
      </c>
      <c r="L381" s="38"/>
    </row>
    <row r="382" spans="1:12" ht="14.5" x14ac:dyDescent="0.35">
      <c r="A382" s="45" t="s">
        <v>3588</v>
      </c>
      <c r="C382" s="36">
        <v>45899</v>
      </c>
      <c r="D382" s="36" t="s">
        <v>2291</v>
      </c>
      <c r="E382" s="37" t="s">
        <v>3007</v>
      </c>
      <c r="F382" s="37" t="s">
        <v>4026</v>
      </c>
      <c r="G382" s="38">
        <v>22.57</v>
      </c>
      <c r="H382" s="38"/>
      <c r="I382" s="37"/>
      <c r="J382" s="37"/>
      <c r="K382" s="38">
        <f t="shared" si="5"/>
        <v>22.57</v>
      </c>
      <c r="L382" s="38"/>
    </row>
    <row r="383" spans="1:12" ht="14.5" x14ac:dyDescent="0.35">
      <c r="A383" s="45" t="s">
        <v>3588</v>
      </c>
      <c r="C383" s="36">
        <v>45899</v>
      </c>
      <c r="D383" s="36" t="s">
        <v>2429</v>
      </c>
      <c r="E383" s="37" t="s">
        <v>3008</v>
      </c>
      <c r="F383" s="37" t="s">
        <v>4026</v>
      </c>
      <c r="G383" s="38">
        <v>2486.4</v>
      </c>
      <c r="H383" s="38"/>
      <c r="I383" s="37"/>
      <c r="J383" s="37"/>
      <c r="K383" s="38">
        <f t="shared" si="5"/>
        <v>2486.4</v>
      </c>
      <c r="L383" s="38"/>
    </row>
    <row r="384" spans="1:12" ht="14.5" x14ac:dyDescent="0.35">
      <c r="A384" s="45" t="s">
        <v>3588</v>
      </c>
      <c r="C384" s="36">
        <v>45899</v>
      </c>
      <c r="D384" s="36" t="s">
        <v>2429</v>
      </c>
      <c r="E384" s="37" t="s">
        <v>3009</v>
      </c>
      <c r="F384" s="37" t="s">
        <v>4026</v>
      </c>
      <c r="G384" s="38">
        <v>4608.1499999999987</v>
      </c>
      <c r="H384" s="38"/>
      <c r="I384" s="37"/>
      <c r="J384" s="37"/>
      <c r="K384" s="38">
        <f t="shared" si="5"/>
        <v>4608.1499999999987</v>
      </c>
      <c r="L384" s="38"/>
    </row>
    <row r="385" spans="1:12" ht="14.5" x14ac:dyDescent="0.35">
      <c r="A385" s="45" t="s">
        <v>3588</v>
      </c>
      <c r="C385" s="36">
        <v>45899</v>
      </c>
      <c r="D385" s="36" t="s">
        <v>2429</v>
      </c>
      <c r="E385" s="37" t="s">
        <v>3010</v>
      </c>
      <c r="F385" s="37" t="s">
        <v>4026</v>
      </c>
      <c r="G385" s="38">
        <v>12.11</v>
      </c>
      <c r="H385" s="38"/>
      <c r="I385" s="37"/>
      <c r="J385" s="37"/>
      <c r="K385" s="38">
        <f t="shared" si="5"/>
        <v>12.11</v>
      </c>
      <c r="L385" s="38"/>
    </row>
    <row r="386" spans="1:12" ht="14.5" x14ac:dyDescent="0.35">
      <c r="A386" s="45" t="s">
        <v>3588</v>
      </c>
      <c r="C386" s="36">
        <v>45899</v>
      </c>
      <c r="D386" s="36" t="s">
        <v>1179</v>
      </c>
      <c r="E386" s="37" t="s">
        <v>3011</v>
      </c>
      <c r="F386" s="37" t="s">
        <v>4026</v>
      </c>
      <c r="G386" s="38">
        <v>2730.26</v>
      </c>
      <c r="H386" s="38"/>
      <c r="I386" s="37"/>
      <c r="J386" s="37"/>
      <c r="K386" s="38">
        <f t="shared" si="5"/>
        <v>2730.26</v>
      </c>
      <c r="L386" s="38"/>
    </row>
    <row r="387" spans="1:12" ht="14.5" x14ac:dyDescent="0.35">
      <c r="A387" s="45" t="s">
        <v>3588</v>
      </c>
      <c r="C387" s="36">
        <v>45899</v>
      </c>
      <c r="D387" s="36" t="s">
        <v>1179</v>
      </c>
      <c r="E387" s="37" t="s">
        <v>3012</v>
      </c>
      <c r="F387" s="37" t="s">
        <v>4026</v>
      </c>
      <c r="G387" s="38">
        <v>6236.43</v>
      </c>
      <c r="H387" s="38"/>
      <c r="I387" s="37"/>
      <c r="J387" s="37"/>
      <c r="K387" s="38">
        <f t="shared" si="5"/>
        <v>6236.43</v>
      </c>
      <c r="L387" s="38"/>
    </row>
    <row r="388" spans="1:12" ht="14.5" x14ac:dyDescent="0.35">
      <c r="A388" s="45" t="s">
        <v>3588</v>
      </c>
      <c r="C388" s="36">
        <v>45899</v>
      </c>
      <c r="D388" s="36" t="s">
        <v>1179</v>
      </c>
      <c r="E388" s="37" t="s">
        <v>3013</v>
      </c>
      <c r="F388" s="37" t="s">
        <v>4026</v>
      </c>
      <c r="G388" s="38">
        <v>85.63</v>
      </c>
      <c r="H388" s="38"/>
      <c r="I388" s="37"/>
      <c r="J388" s="37"/>
      <c r="K388" s="38">
        <f t="shared" si="5"/>
        <v>85.63</v>
      </c>
      <c r="L388" s="38"/>
    </row>
    <row r="389" spans="1:12" ht="14.5" x14ac:dyDescent="0.35">
      <c r="A389" s="45" t="s">
        <v>3588</v>
      </c>
      <c r="C389" s="36">
        <v>45899</v>
      </c>
      <c r="D389" s="36" t="s">
        <v>1179</v>
      </c>
      <c r="E389" s="37" t="s">
        <v>3014</v>
      </c>
      <c r="F389" s="37" t="s">
        <v>4026</v>
      </c>
      <c r="G389" s="38">
        <v>0.53</v>
      </c>
      <c r="H389" s="38"/>
      <c r="I389" s="37"/>
      <c r="J389" s="37"/>
      <c r="K389" s="38">
        <f t="shared" ref="K389:K452" si="6">G389-H389</f>
        <v>0.53</v>
      </c>
      <c r="L389" s="38"/>
    </row>
    <row r="390" spans="1:12" ht="14.5" x14ac:dyDescent="0.35">
      <c r="A390" s="45" t="s">
        <v>3588</v>
      </c>
      <c r="C390" s="36">
        <v>45899</v>
      </c>
      <c r="D390" s="36" t="s">
        <v>1363</v>
      </c>
      <c r="E390" s="37" t="s">
        <v>3015</v>
      </c>
      <c r="F390" s="37" t="s">
        <v>4026</v>
      </c>
      <c r="G390" s="38">
        <v>623.19000000000005</v>
      </c>
      <c r="H390" s="38"/>
      <c r="I390" s="37"/>
      <c r="J390" s="37"/>
      <c r="K390" s="38">
        <f t="shared" si="6"/>
        <v>623.19000000000005</v>
      </c>
      <c r="L390" s="38"/>
    </row>
    <row r="391" spans="1:12" ht="14.5" x14ac:dyDescent="0.35">
      <c r="A391" s="45" t="s">
        <v>3588</v>
      </c>
      <c r="C391" s="36">
        <v>45899</v>
      </c>
      <c r="D391" s="36" t="s">
        <v>1363</v>
      </c>
      <c r="E391" s="37" t="s">
        <v>3016</v>
      </c>
      <c r="F391" s="37" t="s">
        <v>4026</v>
      </c>
      <c r="G391" s="38">
        <v>1364.3700000000001</v>
      </c>
      <c r="H391" s="38"/>
      <c r="I391" s="37"/>
      <c r="J391" s="37"/>
      <c r="K391" s="38">
        <f t="shared" si="6"/>
        <v>1364.3700000000001</v>
      </c>
      <c r="L391" s="38"/>
    </row>
    <row r="392" spans="1:12" ht="14.5" x14ac:dyDescent="0.35">
      <c r="A392" s="45" t="s">
        <v>3588</v>
      </c>
      <c r="C392" s="36">
        <v>45899</v>
      </c>
      <c r="D392" s="36" t="s">
        <v>1426</v>
      </c>
      <c r="E392" s="37" t="s">
        <v>3017</v>
      </c>
      <c r="F392" s="37" t="s">
        <v>4026</v>
      </c>
      <c r="G392" s="38">
        <v>22936.530000000002</v>
      </c>
      <c r="H392" s="38"/>
      <c r="I392" s="37"/>
      <c r="J392" s="37"/>
      <c r="K392" s="38">
        <f t="shared" si="6"/>
        <v>22936.530000000002</v>
      </c>
      <c r="L392" s="38"/>
    </row>
    <row r="393" spans="1:12" ht="14.5" x14ac:dyDescent="0.35">
      <c r="A393" s="45" t="s">
        <v>3588</v>
      </c>
      <c r="C393" s="36">
        <v>45899</v>
      </c>
      <c r="D393" s="36" t="s">
        <v>1426</v>
      </c>
      <c r="E393" s="37" t="s">
        <v>3018</v>
      </c>
      <c r="F393" s="37" t="s">
        <v>4026</v>
      </c>
      <c r="G393" s="38">
        <v>1125.1100000000001</v>
      </c>
      <c r="H393" s="38"/>
      <c r="I393" s="37"/>
      <c r="J393" s="37"/>
      <c r="K393" s="38">
        <f t="shared" si="6"/>
        <v>1125.1100000000001</v>
      </c>
      <c r="L393" s="38"/>
    </row>
    <row r="394" spans="1:12" ht="14.5" x14ac:dyDescent="0.35">
      <c r="A394" s="45" t="s">
        <v>3588</v>
      </c>
      <c r="C394" s="36">
        <v>45899</v>
      </c>
      <c r="D394" s="36" t="s">
        <v>1426</v>
      </c>
      <c r="E394" s="37" t="s">
        <v>3019</v>
      </c>
      <c r="F394" s="37" t="s">
        <v>4026</v>
      </c>
      <c r="G394" s="38">
        <v>400.53</v>
      </c>
      <c r="H394" s="38"/>
      <c r="I394" s="37"/>
      <c r="J394" s="37"/>
      <c r="K394" s="38">
        <f t="shared" si="6"/>
        <v>400.53</v>
      </c>
      <c r="L394" s="38"/>
    </row>
    <row r="395" spans="1:12" ht="14.5" x14ac:dyDescent="0.35">
      <c r="A395" s="45" t="s">
        <v>3588</v>
      </c>
      <c r="C395" s="36">
        <v>45899</v>
      </c>
      <c r="D395" s="36" t="s">
        <v>1426</v>
      </c>
      <c r="E395" s="37" t="s">
        <v>3020</v>
      </c>
      <c r="F395" s="37" t="s">
        <v>4026</v>
      </c>
      <c r="G395" s="38">
        <v>33.26</v>
      </c>
      <c r="H395" s="38"/>
      <c r="I395" s="37"/>
      <c r="J395" s="37"/>
      <c r="K395" s="38">
        <f t="shared" si="6"/>
        <v>33.26</v>
      </c>
      <c r="L395" s="38"/>
    </row>
    <row r="396" spans="1:12" ht="14.5" x14ac:dyDescent="0.35">
      <c r="A396" s="45" t="s">
        <v>3588</v>
      </c>
      <c r="C396" s="36">
        <v>45899</v>
      </c>
      <c r="D396" s="36" t="s">
        <v>1426</v>
      </c>
      <c r="E396" s="37" t="s">
        <v>3021</v>
      </c>
      <c r="F396" s="37" t="s">
        <v>4026</v>
      </c>
      <c r="G396" s="38">
        <v>1023.83</v>
      </c>
      <c r="H396" s="38"/>
      <c r="I396" s="37"/>
      <c r="J396" s="37"/>
      <c r="K396" s="38">
        <f t="shared" si="6"/>
        <v>1023.83</v>
      </c>
      <c r="L396" s="38"/>
    </row>
    <row r="397" spans="1:12" ht="14.5" x14ac:dyDescent="0.35">
      <c r="A397" s="45" t="s">
        <v>3588</v>
      </c>
      <c r="C397" s="36">
        <v>45899</v>
      </c>
      <c r="D397" s="36" t="s">
        <v>1426</v>
      </c>
      <c r="E397" s="37" t="s">
        <v>3022</v>
      </c>
      <c r="F397" s="37" t="s">
        <v>4026</v>
      </c>
      <c r="G397" s="38">
        <v>1056.4599999999998</v>
      </c>
      <c r="H397" s="38"/>
      <c r="I397" s="37"/>
      <c r="J397" s="37"/>
      <c r="K397" s="38">
        <f t="shared" si="6"/>
        <v>1056.4599999999998</v>
      </c>
      <c r="L397" s="38"/>
    </row>
    <row r="398" spans="1:12" ht="14.5" x14ac:dyDescent="0.35">
      <c r="A398" s="45" t="s">
        <v>3588</v>
      </c>
      <c r="C398" s="36">
        <v>45899</v>
      </c>
      <c r="D398" s="36" t="s">
        <v>1426</v>
      </c>
      <c r="E398" s="37" t="s">
        <v>3023</v>
      </c>
      <c r="F398" s="37" t="s">
        <v>4026</v>
      </c>
      <c r="G398" s="38">
        <v>4.82</v>
      </c>
      <c r="H398" s="38"/>
      <c r="I398" s="37"/>
      <c r="J398" s="37"/>
      <c r="K398" s="38">
        <f t="shared" si="6"/>
        <v>4.82</v>
      </c>
      <c r="L398" s="38"/>
    </row>
    <row r="399" spans="1:12" ht="14.5" x14ac:dyDescent="0.35">
      <c r="A399" s="45" t="s">
        <v>3588</v>
      </c>
      <c r="C399" s="36">
        <v>45899</v>
      </c>
      <c r="D399" s="36" t="s">
        <v>1426</v>
      </c>
      <c r="E399" s="37" t="s">
        <v>3024</v>
      </c>
      <c r="F399" s="37" t="s">
        <v>4026</v>
      </c>
      <c r="G399" s="38">
        <v>5567.82</v>
      </c>
      <c r="H399" s="38"/>
      <c r="I399" s="37"/>
      <c r="J399" s="37"/>
      <c r="K399" s="38">
        <f t="shared" si="6"/>
        <v>5567.82</v>
      </c>
      <c r="L399" s="38"/>
    </row>
    <row r="400" spans="1:12" ht="14.5" x14ac:dyDescent="0.35">
      <c r="A400" s="45" t="s">
        <v>3588</v>
      </c>
      <c r="C400" s="36">
        <v>45899</v>
      </c>
      <c r="D400" s="36" t="s">
        <v>1426</v>
      </c>
      <c r="E400" s="37" t="s">
        <v>3026</v>
      </c>
      <c r="F400" s="37" t="s">
        <v>4026</v>
      </c>
      <c r="G400" s="38">
        <v>682.07</v>
      </c>
      <c r="H400" s="38"/>
      <c r="I400" s="37"/>
      <c r="J400" s="37"/>
      <c r="K400" s="38">
        <f t="shared" si="6"/>
        <v>682.07</v>
      </c>
      <c r="L400" s="38"/>
    </row>
    <row r="401" spans="1:12" ht="14.5" x14ac:dyDescent="0.35">
      <c r="A401" s="45" t="s">
        <v>3588</v>
      </c>
      <c r="C401" s="36">
        <v>45899</v>
      </c>
      <c r="D401" s="36" t="s">
        <v>1426</v>
      </c>
      <c r="E401" s="37" t="s">
        <v>3027</v>
      </c>
      <c r="F401" s="37" t="s">
        <v>4026</v>
      </c>
      <c r="G401" s="38">
        <v>5592.1</v>
      </c>
      <c r="H401" s="38"/>
      <c r="I401" s="37"/>
      <c r="J401" s="37"/>
      <c r="K401" s="38">
        <f t="shared" si="6"/>
        <v>5592.1</v>
      </c>
      <c r="L401" s="38"/>
    </row>
    <row r="402" spans="1:12" ht="14.5" x14ac:dyDescent="0.35">
      <c r="A402" s="45" t="s">
        <v>3588</v>
      </c>
      <c r="C402" s="36">
        <v>45899</v>
      </c>
      <c r="D402" s="36" t="s">
        <v>1426</v>
      </c>
      <c r="E402" s="37" t="s">
        <v>3028</v>
      </c>
      <c r="F402" s="37" t="s">
        <v>4026</v>
      </c>
      <c r="G402" s="38">
        <v>270.95000000000005</v>
      </c>
      <c r="H402" s="38"/>
      <c r="I402" s="37"/>
      <c r="J402" s="37"/>
      <c r="K402" s="38">
        <f t="shared" si="6"/>
        <v>270.95000000000005</v>
      </c>
      <c r="L402" s="38"/>
    </row>
    <row r="403" spans="1:12" ht="14.5" x14ac:dyDescent="0.35">
      <c r="A403" s="45" t="s">
        <v>3588</v>
      </c>
      <c r="C403" s="36">
        <v>45899</v>
      </c>
      <c r="D403" s="36" t="s">
        <v>1426</v>
      </c>
      <c r="E403" s="37" t="s">
        <v>3029</v>
      </c>
      <c r="F403" s="37" t="s">
        <v>4026</v>
      </c>
      <c r="G403" s="38">
        <v>0.4</v>
      </c>
      <c r="H403" s="38"/>
      <c r="I403" s="37"/>
      <c r="J403" s="37"/>
      <c r="K403" s="38">
        <f t="shared" si="6"/>
        <v>0.4</v>
      </c>
      <c r="L403" s="38"/>
    </row>
    <row r="404" spans="1:12" ht="14.5" x14ac:dyDescent="0.35">
      <c r="A404" s="45" t="s">
        <v>3588</v>
      </c>
      <c r="C404" s="36">
        <v>45899</v>
      </c>
      <c r="D404" s="36" t="s">
        <v>1426</v>
      </c>
      <c r="E404" s="37" t="s">
        <v>3030</v>
      </c>
      <c r="F404" s="37" t="s">
        <v>4026</v>
      </c>
      <c r="G404" s="38">
        <v>225.61</v>
      </c>
      <c r="H404" s="38"/>
      <c r="I404" s="37"/>
      <c r="J404" s="37"/>
      <c r="K404" s="38">
        <f t="shared" si="6"/>
        <v>225.61</v>
      </c>
      <c r="L404" s="38"/>
    </row>
    <row r="405" spans="1:12" ht="14.5" x14ac:dyDescent="0.35">
      <c r="A405" s="45" t="s">
        <v>3588</v>
      </c>
      <c r="C405" s="36">
        <v>45899</v>
      </c>
      <c r="D405" s="36" t="s">
        <v>1924</v>
      </c>
      <c r="E405" s="37" t="s">
        <v>3031</v>
      </c>
      <c r="F405" s="37" t="s">
        <v>4026</v>
      </c>
      <c r="G405" s="38">
        <v>51.34</v>
      </c>
      <c r="H405" s="38"/>
      <c r="I405" s="37"/>
      <c r="J405" s="37"/>
      <c r="K405" s="38">
        <f t="shared" si="6"/>
        <v>51.34</v>
      </c>
      <c r="L405" s="38"/>
    </row>
    <row r="406" spans="1:12" ht="14.5" x14ac:dyDescent="0.35">
      <c r="A406" s="45" t="s">
        <v>3588</v>
      </c>
      <c r="C406" s="36">
        <v>45899</v>
      </c>
      <c r="D406" s="36" t="s">
        <v>1924</v>
      </c>
      <c r="E406" s="37" t="s">
        <v>3032</v>
      </c>
      <c r="F406" s="37" t="s">
        <v>4026</v>
      </c>
      <c r="G406" s="38">
        <v>183.65</v>
      </c>
      <c r="H406" s="38"/>
      <c r="I406" s="37"/>
      <c r="J406" s="37"/>
      <c r="K406" s="38">
        <f t="shared" si="6"/>
        <v>183.65</v>
      </c>
      <c r="L406" s="38"/>
    </row>
    <row r="407" spans="1:12" ht="14.5" x14ac:dyDescent="0.35">
      <c r="A407" s="45" t="s">
        <v>3588</v>
      </c>
      <c r="C407" s="36">
        <v>45899</v>
      </c>
      <c r="D407" s="36" t="s">
        <v>1924</v>
      </c>
      <c r="E407" s="37" t="s">
        <v>3033</v>
      </c>
      <c r="F407" s="37" t="s">
        <v>4026</v>
      </c>
      <c r="G407" s="38">
        <v>155.03</v>
      </c>
      <c r="H407" s="38"/>
      <c r="I407" s="37"/>
      <c r="J407" s="37"/>
      <c r="K407" s="38">
        <f t="shared" si="6"/>
        <v>155.03</v>
      </c>
      <c r="L407" s="38"/>
    </row>
    <row r="408" spans="1:12" ht="14.5" x14ac:dyDescent="0.35">
      <c r="A408" s="45" t="s">
        <v>3588</v>
      </c>
      <c r="C408" s="36">
        <v>45899</v>
      </c>
      <c r="D408" s="36" t="s">
        <v>1924</v>
      </c>
      <c r="E408" s="37" t="s">
        <v>3034</v>
      </c>
      <c r="F408" s="37" t="s">
        <v>4026</v>
      </c>
      <c r="G408" s="38">
        <v>333.59</v>
      </c>
      <c r="H408" s="38"/>
      <c r="I408" s="37"/>
      <c r="J408" s="37"/>
      <c r="K408" s="38">
        <f t="shared" si="6"/>
        <v>333.59</v>
      </c>
      <c r="L408" s="38"/>
    </row>
    <row r="409" spans="1:12" ht="14.5" x14ac:dyDescent="0.35">
      <c r="A409" s="45" t="s">
        <v>3588</v>
      </c>
      <c r="C409" s="36">
        <v>45899</v>
      </c>
      <c r="D409" s="36" t="s">
        <v>1924</v>
      </c>
      <c r="E409" s="37" t="s">
        <v>3035</v>
      </c>
      <c r="F409" s="37" t="s">
        <v>4026</v>
      </c>
      <c r="G409" s="38">
        <v>4910.16</v>
      </c>
      <c r="H409" s="38"/>
      <c r="I409" s="37"/>
      <c r="J409" s="37"/>
      <c r="K409" s="38">
        <f t="shared" si="6"/>
        <v>4910.16</v>
      </c>
      <c r="L409" s="38"/>
    </row>
    <row r="410" spans="1:12" ht="14.5" x14ac:dyDescent="0.35">
      <c r="A410" s="45" t="s">
        <v>3588</v>
      </c>
      <c r="C410" s="36">
        <v>45899</v>
      </c>
      <c r="D410" s="36" t="s">
        <v>3452</v>
      </c>
      <c r="E410" s="37" t="s">
        <v>3036</v>
      </c>
      <c r="F410" s="37" t="s">
        <v>4026</v>
      </c>
      <c r="G410" s="38">
        <v>45.53</v>
      </c>
      <c r="H410" s="38"/>
      <c r="I410" s="37"/>
      <c r="J410" s="37"/>
      <c r="K410" s="38">
        <f t="shared" si="6"/>
        <v>45.53</v>
      </c>
      <c r="L410" s="38"/>
    </row>
    <row r="411" spans="1:12" ht="14.5" x14ac:dyDescent="0.35">
      <c r="A411" s="45" t="s">
        <v>3588</v>
      </c>
      <c r="C411" s="36">
        <v>45899</v>
      </c>
      <c r="D411" s="36" t="s">
        <v>3452</v>
      </c>
      <c r="E411" s="37" t="s">
        <v>3038</v>
      </c>
      <c r="F411" s="37" t="s">
        <v>4026</v>
      </c>
      <c r="G411" s="38">
        <v>3.83</v>
      </c>
      <c r="H411" s="38"/>
      <c r="I411" s="37"/>
      <c r="J411" s="37"/>
      <c r="K411" s="38">
        <f t="shared" si="6"/>
        <v>3.83</v>
      </c>
      <c r="L411" s="38"/>
    </row>
    <row r="412" spans="1:12" ht="14.5" x14ac:dyDescent="0.35">
      <c r="A412" s="45" t="s">
        <v>3588</v>
      </c>
      <c r="C412" s="36">
        <v>45899</v>
      </c>
      <c r="D412" s="36" t="s">
        <v>1004</v>
      </c>
      <c r="E412" s="37" t="s">
        <v>3039</v>
      </c>
      <c r="F412" s="37" t="s">
        <v>4026</v>
      </c>
      <c r="G412" s="38">
        <v>45.6</v>
      </c>
      <c r="H412" s="38"/>
      <c r="I412" s="37"/>
      <c r="J412" s="37"/>
      <c r="K412" s="38">
        <f t="shared" si="6"/>
        <v>45.6</v>
      </c>
      <c r="L412" s="38"/>
    </row>
    <row r="413" spans="1:12" ht="14.5" x14ac:dyDescent="0.35">
      <c r="A413" s="45" t="s">
        <v>3588</v>
      </c>
      <c r="C413" s="36">
        <v>45899</v>
      </c>
      <c r="D413" s="36" t="s">
        <v>1004</v>
      </c>
      <c r="E413" s="37" t="s">
        <v>3040</v>
      </c>
      <c r="F413" s="37" t="s">
        <v>4026</v>
      </c>
      <c r="G413" s="38">
        <v>1075.21</v>
      </c>
      <c r="H413" s="38"/>
      <c r="I413" s="37"/>
      <c r="J413" s="37"/>
      <c r="K413" s="38">
        <f t="shared" si="6"/>
        <v>1075.21</v>
      </c>
      <c r="L413" s="38"/>
    </row>
    <row r="414" spans="1:12" ht="14.5" x14ac:dyDescent="0.35">
      <c r="A414" s="45" t="s">
        <v>3588</v>
      </c>
      <c r="C414" s="36">
        <v>45899</v>
      </c>
      <c r="D414" s="36" t="s">
        <v>1004</v>
      </c>
      <c r="E414" s="37" t="s">
        <v>3041</v>
      </c>
      <c r="F414" s="37" t="s">
        <v>4026</v>
      </c>
      <c r="G414" s="38">
        <v>5.58</v>
      </c>
      <c r="H414" s="38"/>
      <c r="I414" s="37"/>
      <c r="J414" s="37"/>
      <c r="K414" s="38">
        <f t="shared" si="6"/>
        <v>5.58</v>
      </c>
      <c r="L414" s="38"/>
    </row>
    <row r="415" spans="1:12" ht="14.5" x14ac:dyDescent="0.35">
      <c r="A415" s="45" t="s">
        <v>3588</v>
      </c>
      <c r="C415" s="36">
        <v>45899</v>
      </c>
      <c r="D415" s="36" t="s">
        <v>1684</v>
      </c>
      <c r="E415" s="37" t="s">
        <v>3042</v>
      </c>
      <c r="F415" s="37" t="s">
        <v>4026</v>
      </c>
      <c r="G415" s="38">
        <v>640.16999999999996</v>
      </c>
      <c r="H415" s="38"/>
      <c r="I415" s="37"/>
      <c r="J415" s="37"/>
      <c r="K415" s="38">
        <f t="shared" si="6"/>
        <v>640.16999999999996</v>
      </c>
      <c r="L415" s="38"/>
    </row>
    <row r="416" spans="1:12" ht="14.5" x14ac:dyDescent="0.35">
      <c r="A416" s="45" t="s">
        <v>3588</v>
      </c>
      <c r="C416" s="36">
        <v>45899</v>
      </c>
      <c r="D416" s="36" t="s">
        <v>1684</v>
      </c>
      <c r="E416" s="37" t="s">
        <v>3043</v>
      </c>
      <c r="F416" s="37" t="s">
        <v>4026</v>
      </c>
      <c r="G416" s="38">
        <v>2343.17</v>
      </c>
      <c r="H416" s="38"/>
      <c r="I416" s="37"/>
      <c r="J416" s="37"/>
      <c r="K416" s="38">
        <f t="shared" si="6"/>
        <v>2343.17</v>
      </c>
      <c r="L416" s="38"/>
    </row>
    <row r="417" spans="1:12" ht="14.5" x14ac:dyDescent="0.35">
      <c r="A417" s="45" t="s">
        <v>3588</v>
      </c>
      <c r="C417" s="36">
        <v>45899</v>
      </c>
      <c r="D417" s="36" t="s">
        <v>1684</v>
      </c>
      <c r="E417" s="37" t="s">
        <v>3044</v>
      </c>
      <c r="F417" s="37" t="s">
        <v>4026</v>
      </c>
      <c r="G417" s="38">
        <v>3615.25</v>
      </c>
      <c r="H417" s="38"/>
      <c r="I417" s="37"/>
      <c r="J417" s="37"/>
      <c r="K417" s="38">
        <f t="shared" si="6"/>
        <v>3615.25</v>
      </c>
      <c r="L417" s="38"/>
    </row>
    <row r="418" spans="1:12" ht="14.5" x14ac:dyDescent="0.35">
      <c r="A418" s="45" t="s">
        <v>3588</v>
      </c>
      <c r="C418" s="36">
        <v>45899</v>
      </c>
      <c r="D418" s="36" t="s">
        <v>1358</v>
      </c>
      <c r="E418" s="37" t="s">
        <v>3045</v>
      </c>
      <c r="F418" s="37" t="s">
        <v>4026</v>
      </c>
      <c r="G418" s="38">
        <v>1486.6799999999998</v>
      </c>
      <c r="H418" s="38"/>
      <c r="I418" s="37"/>
      <c r="J418" s="37"/>
      <c r="K418" s="38">
        <f t="shared" si="6"/>
        <v>1486.6799999999998</v>
      </c>
      <c r="L418" s="38"/>
    </row>
    <row r="419" spans="1:12" ht="14.5" x14ac:dyDescent="0.35">
      <c r="A419" s="45" t="s">
        <v>3588</v>
      </c>
      <c r="C419" s="36">
        <v>45899</v>
      </c>
      <c r="D419" s="36" t="s">
        <v>1358</v>
      </c>
      <c r="E419" s="37" t="s">
        <v>3046</v>
      </c>
      <c r="F419" s="37" t="s">
        <v>4026</v>
      </c>
      <c r="G419" s="38">
        <v>92.31</v>
      </c>
      <c r="H419" s="38"/>
      <c r="I419" s="37"/>
      <c r="J419" s="37"/>
      <c r="K419" s="38">
        <f t="shared" si="6"/>
        <v>92.31</v>
      </c>
      <c r="L419" s="38"/>
    </row>
    <row r="420" spans="1:12" ht="14.5" x14ac:dyDescent="0.35">
      <c r="A420" s="45" t="s">
        <v>3588</v>
      </c>
      <c r="C420" s="36">
        <v>45899</v>
      </c>
      <c r="D420" s="36" t="s">
        <v>1358</v>
      </c>
      <c r="E420" s="37" t="s">
        <v>3047</v>
      </c>
      <c r="F420" s="37" t="s">
        <v>4026</v>
      </c>
      <c r="G420" s="38">
        <v>1587.7099999999998</v>
      </c>
      <c r="H420" s="38"/>
      <c r="I420" s="37"/>
      <c r="J420" s="37"/>
      <c r="K420" s="38">
        <f t="shared" si="6"/>
        <v>1587.7099999999998</v>
      </c>
      <c r="L420" s="38"/>
    </row>
    <row r="421" spans="1:12" ht="14.5" x14ac:dyDescent="0.35">
      <c r="A421" s="45" t="s">
        <v>3588</v>
      </c>
      <c r="C421" s="36">
        <v>45899</v>
      </c>
      <c r="D421" s="36" t="s">
        <v>1358</v>
      </c>
      <c r="E421" s="37" t="s">
        <v>3048</v>
      </c>
      <c r="F421" s="37" t="s">
        <v>4026</v>
      </c>
      <c r="G421" s="38">
        <v>613.32000000000005</v>
      </c>
      <c r="H421" s="38"/>
      <c r="I421" s="37"/>
      <c r="J421" s="37"/>
      <c r="K421" s="38">
        <f t="shared" si="6"/>
        <v>613.32000000000005</v>
      </c>
      <c r="L421" s="38"/>
    </row>
    <row r="422" spans="1:12" ht="14.5" x14ac:dyDescent="0.35">
      <c r="A422" s="45" t="s">
        <v>3588</v>
      </c>
      <c r="C422" s="36">
        <v>45899</v>
      </c>
      <c r="D422" s="36" t="s">
        <v>1085</v>
      </c>
      <c r="E422" s="37" t="s">
        <v>3049</v>
      </c>
      <c r="F422" s="37" t="s">
        <v>4026</v>
      </c>
      <c r="G422" s="38">
        <v>400</v>
      </c>
      <c r="H422" s="38"/>
      <c r="I422" s="37"/>
      <c r="J422" s="37"/>
      <c r="K422" s="38">
        <f t="shared" si="6"/>
        <v>400</v>
      </c>
      <c r="L422" s="38"/>
    </row>
    <row r="423" spans="1:12" ht="14.5" x14ac:dyDescent="0.35">
      <c r="A423" s="45" t="s">
        <v>3588</v>
      </c>
      <c r="C423" s="36">
        <v>45899</v>
      </c>
      <c r="D423" s="36" t="s">
        <v>1085</v>
      </c>
      <c r="E423" s="37" t="s">
        <v>3050</v>
      </c>
      <c r="F423" s="37" t="s">
        <v>4026</v>
      </c>
      <c r="G423" s="38">
        <v>40.869999999999997</v>
      </c>
      <c r="H423" s="38"/>
      <c r="I423" s="37"/>
      <c r="J423" s="37"/>
      <c r="K423" s="38">
        <f t="shared" si="6"/>
        <v>40.869999999999997</v>
      </c>
      <c r="L423" s="38"/>
    </row>
    <row r="424" spans="1:12" ht="14.5" x14ac:dyDescent="0.35">
      <c r="A424" s="45" t="s">
        <v>3588</v>
      </c>
      <c r="C424" s="36">
        <v>45899</v>
      </c>
      <c r="D424" s="36" t="s">
        <v>1085</v>
      </c>
      <c r="E424" s="37" t="s">
        <v>3051</v>
      </c>
      <c r="F424" s="37" t="s">
        <v>4026</v>
      </c>
      <c r="G424" s="38">
        <v>2922.76</v>
      </c>
      <c r="H424" s="38"/>
      <c r="I424" s="37"/>
      <c r="J424" s="37"/>
      <c r="K424" s="38">
        <f t="shared" si="6"/>
        <v>2922.76</v>
      </c>
      <c r="L424" s="38"/>
    </row>
    <row r="425" spans="1:12" ht="14.5" x14ac:dyDescent="0.35">
      <c r="A425" s="45" t="s">
        <v>3588</v>
      </c>
      <c r="C425" s="36">
        <v>45899</v>
      </c>
      <c r="D425" s="36" t="s">
        <v>1085</v>
      </c>
      <c r="E425" s="37" t="s">
        <v>3052</v>
      </c>
      <c r="F425" s="37" t="s">
        <v>4026</v>
      </c>
      <c r="G425" s="38">
        <v>492.71999999999997</v>
      </c>
      <c r="H425" s="38"/>
      <c r="I425" s="37"/>
      <c r="J425" s="37"/>
      <c r="K425" s="38">
        <f t="shared" si="6"/>
        <v>492.71999999999997</v>
      </c>
      <c r="L425" s="38"/>
    </row>
    <row r="426" spans="1:12" ht="14.5" x14ac:dyDescent="0.35">
      <c r="A426" s="45" t="s">
        <v>3588</v>
      </c>
      <c r="C426" s="36">
        <v>45899</v>
      </c>
      <c r="D426" s="36" t="s">
        <v>1085</v>
      </c>
      <c r="E426" s="37" t="s">
        <v>3053</v>
      </c>
      <c r="F426" s="37" t="s">
        <v>4026</v>
      </c>
      <c r="G426" s="38">
        <v>3053.22</v>
      </c>
      <c r="H426" s="38"/>
      <c r="I426" s="37"/>
      <c r="J426" s="37"/>
      <c r="K426" s="38">
        <f t="shared" si="6"/>
        <v>3053.22</v>
      </c>
      <c r="L426" s="38"/>
    </row>
    <row r="427" spans="1:12" ht="14.5" x14ac:dyDescent="0.35">
      <c r="A427" s="45" t="s">
        <v>3588</v>
      </c>
      <c r="C427" s="36">
        <v>45899</v>
      </c>
      <c r="D427" s="36" t="s">
        <v>1085</v>
      </c>
      <c r="E427" s="37" t="s">
        <v>3054</v>
      </c>
      <c r="F427" s="37" t="s">
        <v>4026</v>
      </c>
      <c r="G427" s="38">
        <v>470.62</v>
      </c>
      <c r="H427" s="38"/>
      <c r="I427" s="37"/>
      <c r="J427" s="37"/>
      <c r="K427" s="38">
        <f t="shared" si="6"/>
        <v>470.62</v>
      </c>
      <c r="L427" s="38"/>
    </row>
    <row r="428" spans="1:12" ht="14.5" x14ac:dyDescent="0.35">
      <c r="A428" s="45" t="s">
        <v>3588</v>
      </c>
      <c r="C428" s="36">
        <v>45899</v>
      </c>
      <c r="D428" s="36" t="s">
        <v>1085</v>
      </c>
      <c r="E428" s="37" t="s">
        <v>3055</v>
      </c>
      <c r="F428" s="37" t="s">
        <v>4026</v>
      </c>
      <c r="G428" s="38">
        <v>108.74</v>
      </c>
      <c r="H428" s="38"/>
      <c r="I428" s="37"/>
      <c r="J428" s="37"/>
      <c r="K428" s="38">
        <f t="shared" si="6"/>
        <v>108.74</v>
      </c>
      <c r="L428" s="38"/>
    </row>
    <row r="429" spans="1:12" ht="14.5" x14ac:dyDescent="0.35">
      <c r="A429" s="45" t="s">
        <v>3588</v>
      </c>
      <c r="C429" s="36">
        <v>45899</v>
      </c>
      <c r="D429" s="36" t="s">
        <v>1085</v>
      </c>
      <c r="E429" s="37" t="s">
        <v>3056</v>
      </c>
      <c r="F429" s="37" t="s">
        <v>4026</v>
      </c>
      <c r="G429" s="38">
        <v>13.66</v>
      </c>
      <c r="H429" s="38"/>
      <c r="I429" s="37"/>
      <c r="J429" s="37"/>
      <c r="K429" s="38">
        <f t="shared" si="6"/>
        <v>13.66</v>
      </c>
      <c r="L429" s="38"/>
    </row>
    <row r="430" spans="1:12" ht="14.5" x14ac:dyDescent="0.35">
      <c r="A430" s="45" t="s">
        <v>3588</v>
      </c>
      <c r="C430" s="36">
        <v>45899</v>
      </c>
      <c r="D430" s="36" t="s">
        <v>1085</v>
      </c>
      <c r="E430" s="37" t="s">
        <v>3057</v>
      </c>
      <c r="F430" s="37" t="s">
        <v>4026</v>
      </c>
      <c r="G430" s="38">
        <v>25.01</v>
      </c>
      <c r="H430" s="38"/>
      <c r="I430" s="37"/>
      <c r="J430" s="37"/>
      <c r="K430" s="38">
        <f t="shared" si="6"/>
        <v>25.01</v>
      </c>
      <c r="L430" s="38"/>
    </row>
    <row r="431" spans="1:12" ht="14.5" x14ac:dyDescent="0.35">
      <c r="A431" s="45" t="s">
        <v>3588</v>
      </c>
      <c r="C431" s="36">
        <v>45899</v>
      </c>
      <c r="D431" s="36" t="s">
        <v>1085</v>
      </c>
      <c r="E431" s="37" t="s">
        <v>3058</v>
      </c>
      <c r="F431" s="37" t="s">
        <v>4026</v>
      </c>
      <c r="G431" s="38">
        <v>73.319999999999993</v>
      </c>
      <c r="H431" s="38"/>
      <c r="I431" s="37"/>
      <c r="J431" s="37"/>
      <c r="K431" s="38">
        <f t="shared" si="6"/>
        <v>73.319999999999993</v>
      </c>
      <c r="L431" s="38"/>
    </row>
    <row r="432" spans="1:12" ht="14.5" x14ac:dyDescent="0.35">
      <c r="A432" s="45" t="s">
        <v>3588</v>
      </c>
      <c r="C432" s="36">
        <v>45899</v>
      </c>
      <c r="D432" s="36" t="s">
        <v>1272</v>
      </c>
      <c r="E432" s="37" t="s">
        <v>3059</v>
      </c>
      <c r="F432" s="37" t="s">
        <v>4026</v>
      </c>
      <c r="G432" s="38">
        <v>8354.27</v>
      </c>
      <c r="H432" s="38"/>
      <c r="I432" s="37"/>
      <c r="J432" s="37"/>
      <c r="K432" s="38">
        <f t="shared" si="6"/>
        <v>8354.27</v>
      </c>
      <c r="L432" s="38"/>
    </row>
    <row r="433" spans="1:12" ht="14.5" x14ac:dyDescent="0.35">
      <c r="A433" s="45" t="s">
        <v>3588</v>
      </c>
      <c r="C433" s="36">
        <v>45899</v>
      </c>
      <c r="D433" s="36" t="s">
        <v>2247</v>
      </c>
      <c r="E433" s="37" t="s">
        <v>3060</v>
      </c>
      <c r="F433" s="37" t="s">
        <v>4026</v>
      </c>
      <c r="G433" s="38">
        <v>3490.21</v>
      </c>
      <c r="H433" s="38"/>
      <c r="I433" s="37"/>
      <c r="J433" s="37"/>
      <c r="K433" s="38">
        <f t="shared" si="6"/>
        <v>3490.21</v>
      </c>
      <c r="L433" s="38"/>
    </row>
    <row r="434" spans="1:12" ht="14.5" x14ac:dyDescent="0.35">
      <c r="A434" s="45" t="s">
        <v>3588</v>
      </c>
      <c r="C434" s="36">
        <v>45899</v>
      </c>
      <c r="D434" s="36" t="s">
        <v>1426</v>
      </c>
      <c r="E434" s="37" t="s">
        <v>3062</v>
      </c>
      <c r="F434" s="37" t="s">
        <v>4026</v>
      </c>
      <c r="G434" s="38">
        <v>250.1</v>
      </c>
      <c r="H434" s="38"/>
      <c r="I434" s="37"/>
      <c r="J434" s="37"/>
      <c r="K434" s="38">
        <f t="shared" si="6"/>
        <v>250.1</v>
      </c>
      <c r="L434" s="38"/>
    </row>
    <row r="435" spans="1:12" ht="14.5" x14ac:dyDescent="0.35">
      <c r="A435" s="45" t="s">
        <v>3588</v>
      </c>
      <c r="C435" s="36">
        <v>45899</v>
      </c>
      <c r="D435" s="36" t="s">
        <v>1272</v>
      </c>
      <c r="E435" s="37" t="s">
        <v>3063</v>
      </c>
      <c r="F435" s="37" t="s">
        <v>4026</v>
      </c>
      <c r="G435" s="38">
        <v>4246.87</v>
      </c>
      <c r="H435" s="38"/>
      <c r="I435" s="37"/>
      <c r="J435" s="37"/>
      <c r="K435" s="38">
        <f t="shared" si="6"/>
        <v>4246.87</v>
      </c>
      <c r="L435" s="38"/>
    </row>
    <row r="436" spans="1:12" ht="14.5" x14ac:dyDescent="0.35">
      <c r="A436" s="45" t="s">
        <v>3588</v>
      </c>
      <c r="C436" s="36">
        <v>45899</v>
      </c>
      <c r="D436" s="36" t="s">
        <v>2480</v>
      </c>
      <c r="E436" s="37" t="s">
        <v>3064</v>
      </c>
      <c r="F436" s="37" t="s">
        <v>4026</v>
      </c>
      <c r="G436" s="38">
        <v>617.79</v>
      </c>
      <c r="H436" s="38"/>
      <c r="I436" s="37"/>
      <c r="J436" s="37"/>
      <c r="K436" s="38">
        <f t="shared" si="6"/>
        <v>617.79</v>
      </c>
      <c r="L436" s="38"/>
    </row>
    <row r="437" spans="1:12" ht="14.5" x14ac:dyDescent="0.35">
      <c r="A437" s="45" t="s">
        <v>3588</v>
      </c>
      <c r="C437" s="36">
        <v>45899</v>
      </c>
      <c r="D437" s="36" t="s">
        <v>3230</v>
      </c>
      <c r="E437" s="37" t="s">
        <v>3065</v>
      </c>
      <c r="F437" s="37" t="s">
        <v>4026</v>
      </c>
      <c r="G437" s="38">
        <v>603.71</v>
      </c>
      <c r="H437" s="38"/>
      <c r="I437" s="37"/>
      <c r="J437" s="37"/>
      <c r="K437" s="38">
        <f t="shared" si="6"/>
        <v>603.71</v>
      </c>
      <c r="L437" s="38"/>
    </row>
    <row r="438" spans="1:12" ht="14.5" x14ac:dyDescent="0.35">
      <c r="A438" s="45" t="s">
        <v>3588</v>
      </c>
      <c r="C438" s="36">
        <v>45899</v>
      </c>
      <c r="D438" s="36" t="s">
        <v>2631</v>
      </c>
      <c r="E438" s="37" t="s">
        <v>3066</v>
      </c>
      <c r="F438" s="37" t="s">
        <v>4026</v>
      </c>
      <c r="G438" s="38">
        <v>3152.59</v>
      </c>
      <c r="H438" s="38"/>
      <c r="I438" s="37"/>
      <c r="J438" s="37"/>
      <c r="K438" s="38">
        <f t="shared" si="6"/>
        <v>3152.59</v>
      </c>
      <c r="L438" s="38"/>
    </row>
    <row r="439" spans="1:12" ht="14.5" x14ac:dyDescent="0.35">
      <c r="A439" s="45" t="s">
        <v>3588</v>
      </c>
      <c r="C439" s="36">
        <v>45899</v>
      </c>
      <c r="D439" s="36" t="s">
        <v>2631</v>
      </c>
      <c r="E439" s="37" t="s">
        <v>3067</v>
      </c>
      <c r="F439" s="37" t="s">
        <v>4026</v>
      </c>
      <c r="G439" s="38">
        <v>88.64</v>
      </c>
      <c r="H439" s="38"/>
      <c r="I439" s="37"/>
      <c r="J439" s="37"/>
      <c r="K439" s="38">
        <f t="shared" si="6"/>
        <v>88.64</v>
      </c>
      <c r="L439" s="38"/>
    </row>
    <row r="440" spans="1:12" ht="14.5" x14ac:dyDescent="0.35">
      <c r="A440" s="45" t="s">
        <v>3588</v>
      </c>
      <c r="C440" s="36">
        <v>45899</v>
      </c>
      <c r="D440" s="36" t="s">
        <v>2631</v>
      </c>
      <c r="E440" s="37" t="s">
        <v>3068</v>
      </c>
      <c r="F440" s="37" t="s">
        <v>4026</v>
      </c>
      <c r="G440" s="38">
        <v>103.92</v>
      </c>
      <c r="H440" s="38"/>
      <c r="I440" s="37"/>
      <c r="J440" s="37"/>
      <c r="K440" s="38">
        <f t="shared" si="6"/>
        <v>103.92</v>
      </c>
      <c r="L440" s="38"/>
    </row>
    <row r="441" spans="1:12" ht="14.5" x14ac:dyDescent="0.35">
      <c r="A441" s="45" t="s">
        <v>3588</v>
      </c>
      <c r="C441" s="36">
        <v>45899</v>
      </c>
      <c r="D441" s="36" t="s">
        <v>2631</v>
      </c>
      <c r="E441" s="37" t="s">
        <v>3069</v>
      </c>
      <c r="F441" s="37" t="s">
        <v>4026</v>
      </c>
      <c r="G441" s="38">
        <v>126.68</v>
      </c>
      <c r="H441" s="38"/>
      <c r="I441" s="37"/>
      <c r="J441" s="37"/>
      <c r="K441" s="38">
        <f t="shared" si="6"/>
        <v>126.68</v>
      </c>
      <c r="L441" s="38"/>
    </row>
    <row r="442" spans="1:12" ht="14.5" x14ac:dyDescent="0.35">
      <c r="A442" s="45" t="s">
        <v>3588</v>
      </c>
      <c r="C442" s="36">
        <v>45899</v>
      </c>
      <c r="D442" s="36" t="s">
        <v>2631</v>
      </c>
      <c r="E442" s="37" t="s">
        <v>3070</v>
      </c>
      <c r="F442" s="37" t="s">
        <v>4026</v>
      </c>
      <c r="G442" s="38">
        <v>339.36</v>
      </c>
      <c r="H442" s="38"/>
      <c r="I442" s="37"/>
      <c r="J442" s="37"/>
      <c r="K442" s="38">
        <f t="shared" si="6"/>
        <v>339.36</v>
      </c>
      <c r="L442" s="38"/>
    </row>
    <row r="443" spans="1:12" ht="14.5" x14ac:dyDescent="0.35">
      <c r="A443" s="45" t="s">
        <v>3588</v>
      </c>
      <c r="C443" s="36">
        <v>45899</v>
      </c>
      <c r="D443" s="36" t="s">
        <v>2631</v>
      </c>
      <c r="E443" s="37" t="s">
        <v>3071</v>
      </c>
      <c r="F443" s="37" t="s">
        <v>4026</v>
      </c>
      <c r="G443" s="38">
        <v>38.5</v>
      </c>
      <c r="H443" s="38"/>
      <c r="I443" s="37"/>
      <c r="J443" s="37"/>
      <c r="K443" s="38">
        <f t="shared" si="6"/>
        <v>38.5</v>
      </c>
      <c r="L443" s="38"/>
    </row>
    <row r="444" spans="1:12" ht="14.5" x14ac:dyDescent="0.35">
      <c r="A444" s="45" t="s">
        <v>3588</v>
      </c>
      <c r="C444" s="36">
        <v>45899</v>
      </c>
      <c r="D444" s="36" t="s">
        <v>1379</v>
      </c>
      <c r="E444" s="37" t="s">
        <v>3072</v>
      </c>
      <c r="F444" s="37" t="s">
        <v>4026</v>
      </c>
      <c r="G444" s="38">
        <v>91.19</v>
      </c>
      <c r="H444" s="38"/>
      <c r="I444" s="37"/>
      <c r="J444" s="37"/>
      <c r="K444" s="38">
        <f t="shared" si="6"/>
        <v>91.19</v>
      </c>
      <c r="L444" s="38"/>
    </row>
    <row r="445" spans="1:12" ht="14.5" x14ac:dyDescent="0.35">
      <c r="A445" s="45" t="s">
        <v>3588</v>
      </c>
      <c r="C445" s="36">
        <v>45899</v>
      </c>
      <c r="D445" s="36" t="s">
        <v>1379</v>
      </c>
      <c r="E445" s="37" t="s">
        <v>3073</v>
      </c>
      <c r="F445" s="37" t="s">
        <v>4026</v>
      </c>
      <c r="G445" s="38">
        <v>1920.14</v>
      </c>
      <c r="H445" s="38"/>
      <c r="I445" s="37"/>
      <c r="J445" s="37"/>
      <c r="K445" s="38">
        <f t="shared" si="6"/>
        <v>1920.14</v>
      </c>
      <c r="L445" s="38"/>
    </row>
    <row r="446" spans="1:12" ht="14.5" x14ac:dyDescent="0.35">
      <c r="A446" s="45" t="s">
        <v>3588</v>
      </c>
      <c r="C446" s="36">
        <v>45899</v>
      </c>
      <c r="D446" s="36" t="s">
        <v>1379</v>
      </c>
      <c r="E446" s="37" t="s">
        <v>3074</v>
      </c>
      <c r="F446" s="37" t="s">
        <v>4026</v>
      </c>
      <c r="G446" s="38">
        <v>174.56</v>
      </c>
      <c r="H446" s="38"/>
      <c r="I446" s="37"/>
      <c r="J446" s="37"/>
      <c r="K446" s="38">
        <f t="shared" si="6"/>
        <v>174.56</v>
      </c>
      <c r="L446" s="38"/>
    </row>
    <row r="447" spans="1:12" ht="14.5" x14ac:dyDescent="0.35">
      <c r="A447" s="45" t="s">
        <v>3588</v>
      </c>
      <c r="C447" s="36">
        <v>45899</v>
      </c>
      <c r="D447" s="36" t="s">
        <v>1379</v>
      </c>
      <c r="E447" s="37" t="s">
        <v>3075</v>
      </c>
      <c r="F447" s="37" t="s">
        <v>4026</v>
      </c>
      <c r="G447" s="38">
        <v>2.67</v>
      </c>
      <c r="H447" s="38"/>
      <c r="I447" s="37"/>
      <c r="J447" s="37"/>
      <c r="K447" s="38">
        <f t="shared" si="6"/>
        <v>2.67</v>
      </c>
      <c r="L447" s="38"/>
    </row>
    <row r="448" spans="1:12" ht="14.5" x14ac:dyDescent="0.35">
      <c r="A448" s="45" t="s">
        <v>3588</v>
      </c>
      <c r="C448" s="36">
        <v>45899</v>
      </c>
      <c r="D448" s="36" t="s">
        <v>1379</v>
      </c>
      <c r="E448" s="37" t="s">
        <v>3076</v>
      </c>
      <c r="F448" s="37" t="s">
        <v>4026</v>
      </c>
      <c r="G448" s="38">
        <v>1168.29</v>
      </c>
      <c r="H448" s="38"/>
      <c r="I448" s="37"/>
      <c r="J448" s="37"/>
      <c r="K448" s="38">
        <f t="shared" si="6"/>
        <v>1168.29</v>
      </c>
      <c r="L448" s="38"/>
    </row>
    <row r="449" spans="1:12" ht="14.5" x14ac:dyDescent="0.35">
      <c r="A449" s="45" t="s">
        <v>3588</v>
      </c>
      <c r="C449" s="36">
        <v>45899</v>
      </c>
      <c r="D449" s="36" t="s">
        <v>1379</v>
      </c>
      <c r="E449" s="37" t="s">
        <v>3077</v>
      </c>
      <c r="F449" s="37" t="s">
        <v>4026</v>
      </c>
      <c r="G449" s="38">
        <v>700.97</v>
      </c>
      <c r="H449" s="38"/>
      <c r="I449" s="37"/>
      <c r="J449" s="37"/>
      <c r="K449" s="38">
        <f t="shared" si="6"/>
        <v>700.97</v>
      </c>
      <c r="L449" s="38"/>
    </row>
    <row r="450" spans="1:12" ht="14.5" x14ac:dyDescent="0.35">
      <c r="A450" s="45" t="s">
        <v>3588</v>
      </c>
      <c r="C450" s="36">
        <v>45899</v>
      </c>
      <c r="D450" s="36" t="s">
        <v>2212</v>
      </c>
      <c r="E450" s="37" t="s">
        <v>3078</v>
      </c>
      <c r="F450" s="37" t="s">
        <v>4026</v>
      </c>
      <c r="G450" s="38">
        <v>96589.209999999992</v>
      </c>
      <c r="H450" s="38"/>
      <c r="I450" s="37"/>
      <c r="J450" s="37"/>
      <c r="K450" s="38">
        <f t="shared" si="6"/>
        <v>96589.209999999992</v>
      </c>
      <c r="L450" s="38"/>
    </row>
    <row r="451" spans="1:12" ht="14.5" x14ac:dyDescent="0.35">
      <c r="A451" s="45" t="s">
        <v>3588</v>
      </c>
      <c r="C451" s="36">
        <v>45899</v>
      </c>
      <c r="D451" s="36" t="s">
        <v>3468</v>
      </c>
      <c r="E451" s="37" t="s">
        <v>3079</v>
      </c>
      <c r="F451" s="37" t="s">
        <v>4026</v>
      </c>
      <c r="G451" s="38">
        <v>2472.2200000000003</v>
      </c>
      <c r="H451" s="38"/>
      <c r="I451" s="37"/>
      <c r="J451" s="37"/>
      <c r="K451" s="38">
        <f t="shared" si="6"/>
        <v>2472.2200000000003</v>
      </c>
      <c r="L451" s="38"/>
    </row>
    <row r="452" spans="1:12" ht="14.5" x14ac:dyDescent="0.35">
      <c r="A452" s="45" t="s">
        <v>3588</v>
      </c>
      <c r="C452" s="36">
        <v>45899</v>
      </c>
      <c r="D452" s="36" t="s">
        <v>2541</v>
      </c>
      <c r="E452" s="37" t="s">
        <v>3080</v>
      </c>
      <c r="F452" s="37" t="s">
        <v>4026</v>
      </c>
      <c r="G452" s="38">
        <v>824.05</v>
      </c>
      <c r="H452" s="38"/>
      <c r="I452" s="37"/>
      <c r="J452" s="37"/>
      <c r="K452" s="38">
        <f t="shared" si="6"/>
        <v>824.05</v>
      </c>
      <c r="L452" s="38"/>
    </row>
    <row r="453" spans="1:12" ht="14.5" x14ac:dyDescent="0.35">
      <c r="A453" s="45" t="s">
        <v>3588</v>
      </c>
      <c r="C453" s="36">
        <v>45899</v>
      </c>
      <c r="D453" s="36" t="s">
        <v>2846</v>
      </c>
      <c r="E453" s="37" t="s">
        <v>3081</v>
      </c>
      <c r="F453" s="37" t="s">
        <v>4026</v>
      </c>
      <c r="G453" s="38">
        <v>696.63</v>
      </c>
      <c r="H453" s="38"/>
      <c r="I453" s="37"/>
      <c r="J453" s="37"/>
      <c r="K453" s="38">
        <f t="shared" ref="K453:K516" si="7">G453-H453</f>
        <v>696.63</v>
      </c>
      <c r="L453" s="38"/>
    </row>
    <row r="454" spans="1:12" ht="14.5" x14ac:dyDescent="0.35">
      <c r="A454" s="45" t="s">
        <v>3588</v>
      </c>
      <c r="C454" s="36">
        <v>45899</v>
      </c>
      <c r="D454" s="36" t="s">
        <v>1358</v>
      </c>
      <c r="E454" s="37" t="s">
        <v>3082</v>
      </c>
      <c r="F454" s="37" t="s">
        <v>4026</v>
      </c>
      <c r="G454" s="38">
        <v>134.5</v>
      </c>
      <c r="H454" s="38"/>
      <c r="I454" s="37"/>
      <c r="J454" s="37"/>
      <c r="K454" s="38">
        <f t="shared" si="7"/>
        <v>134.5</v>
      </c>
      <c r="L454" s="38"/>
    </row>
    <row r="455" spans="1:12" ht="14.5" x14ac:dyDescent="0.35">
      <c r="A455" s="45" t="s">
        <v>3588</v>
      </c>
      <c r="C455" s="36">
        <v>45899</v>
      </c>
      <c r="D455" s="36" t="s">
        <v>3469</v>
      </c>
      <c r="E455" s="37" t="s">
        <v>3083</v>
      </c>
      <c r="F455" s="37" t="s">
        <v>4026</v>
      </c>
      <c r="G455" s="38">
        <v>2069.4</v>
      </c>
      <c r="H455" s="38"/>
      <c r="I455" s="37"/>
      <c r="J455" s="37"/>
      <c r="K455" s="38">
        <f t="shared" si="7"/>
        <v>2069.4</v>
      </c>
      <c r="L455" s="38"/>
    </row>
    <row r="456" spans="1:12" ht="14.5" x14ac:dyDescent="0.35">
      <c r="A456" s="45" t="s">
        <v>3588</v>
      </c>
      <c r="C456" s="36">
        <v>45899</v>
      </c>
      <c r="D456" s="36" t="s">
        <v>3469</v>
      </c>
      <c r="E456" s="37" t="s">
        <v>3084</v>
      </c>
      <c r="F456" s="37" t="s">
        <v>4026</v>
      </c>
      <c r="G456" s="38">
        <v>3499.1299999999997</v>
      </c>
      <c r="H456" s="38"/>
      <c r="I456" s="37"/>
      <c r="J456" s="37"/>
      <c r="K456" s="38">
        <f t="shared" si="7"/>
        <v>3499.1299999999997</v>
      </c>
      <c r="L456" s="38"/>
    </row>
    <row r="457" spans="1:12" ht="14.5" x14ac:dyDescent="0.35">
      <c r="A457" s="45" t="s">
        <v>3588</v>
      </c>
      <c r="C457" s="36">
        <v>45899</v>
      </c>
      <c r="D457" s="36" t="s">
        <v>3469</v>
      </c>
      <c r="E457" s="37" t="s">
        <v>3085</v>
      </c>
      <c r="F457" s="37" t="s">
        <v>4026</v>
      </c>
      <c r="G457" s="38">
        <v>26.76</v>
      </c>
      <c r="H457" s="38"/>
      <c r="I457" s="37"/>
      <c r="J457" s="37"/>
      <c r="K457" s="38">
        <f t="shared" si="7"/>
        <v>26.76</v>
      </c>
      <c r="L457" s="38"/>
    </row>
    <row r="458" spans="1:12" ht="14.5" x14ac:dyDescent="0.35">
      <c r="A458" s="45" t="s">
        <v>3588</v>
      </c>
      <c r="C458" s="36">
        <v>45899</v>
      </c>
      <c r="D458" s="36" t="s">
        <v>2520</v>
      </c>
      <c r="E458" s="37" t="s">
        <v>3086</v>
      </c>
      <c r="F458" s="37" t="s">
        <v>4026</v>
      </c>
      <c r="G458" s="38">
        <v>2221.1800000000003</v>
      </c>
      <c r="H458" s="38"/>
      <c r="I458" s="37"/>
      <c r="J458" s="37"/>
      <c r="K458" s="38">
        <f t="shared" si="7"/>
        <v>2221.1800000000003</v>
      </c>
      <c r="L458" s="38"/>
    </row>
    <row r="459" spans="1:12" ht="14.5" x14ac:dyDescent="0.35">
      <c r="A459" s="45" t="s">
        <v>3588</v>
      </c>
      <c r="C459" s="36">
        <v>45899</v>
      </c>
      <c r="D459" s="36" t="s">
        <v>3470</v>
      </c>
      <c r="E459" s="37" t="s">
        <v>3087</v>
      </c>
      <c r="F459" s="37" t="s">
        <v>4026</v>
      </c>
      <c r="G459" s="38">
        <v>16327.390000000001</v>
      </c>
      <c r="H459" s="38"/>
      <c r="I459" s="37"/>
      <c r="J459" s="37"/>
      <c r="K459" s="38">
        <f t="shared" si="7"/>
        <v>16327.390000000001</v>
      </c>
      <c r="L459" s="38"/>
    </row>
    <row r="460" spans="1:12" ht="14.5" x14ac:dyDescent="0.35">
      <c r="A460" s="45" t="s">
        <v>3588</v>
      </c>
      <c r="C460" s="36">
        <v>45899</v>
      </c>
      <c r="D460" s="36" t="s">
        <v>1639</v>
      </c>
      <c r="E460" s="37" t="s">
        <v>3088</v>
      </c>
      <c r="F460" s="37" t="s">
        <v>4026</v>
      </c>
      <c r="G460" s="38">
        <v>201.17</v>
      </c>
      <c r="H460" s="38"/>
      <c r="I460" s="37"/>
      <c r="J460" s="37"/>
      <c r="K460" s="38">
        <f t="shared" si="7"/>
        <v>201.17</v>
      </c>
      <c r="L460" s="38"/>
    </row>
    <row r="461" spans="1:12" ht="14.5" x14ac:dyDescent="0.35">
      <c r="A461" s="45" t="s">
        <v>3588</v>
      </c>
      <c r="C461" s="36">
        <v>45899</v>
      </c>
      <c r="D461" s="36" t="s">
        <v>1639</v>
      </c>
      <c r="E461" s="37" t="s">
        <v>3089</v>
      </c>
      <c r="F461" s="37" t="s">
        <v>4026</v>
      </c>
      <c r="G461" s="38">
        <v>232.92</v>
      </c>
      <c r="H461" s="38"/>
      <c r="I461" s="37"/>
      <c r="J461" s="37"/>
      <c r="K461" s="38">
        <f t="shared" si="7"/>
        <v>232.92</v>
      </c>
      <c r="L461" s="38"/>
    </row>
    <row r="462" spans="1:12" ht="14.5" x14ac:dyDescent="0.35">
      <c r="A462" s="45" t="s">
        <v>3588</v>
      </c>
      <c r="C462" s="36">
        <v>45899</v>
      </c>
      <c r="D462" s="36" t="s">
        <v>1639</v>
      </c>
      <c r="E462" s="37" t="s">
        <v>3090</v>
      </c>
      <c r="F462" s="37" t="s">
        <v>4026</v>
      </c>
      <c r="G462" s="38">
        <v>59.92</v>
      </c>
      <c r="H462" s="38"/>
      <c r="I462" s="37"/>
      <c r="J462" s="37"/>
      <c r="K462" s="38">
        <f t="shared" si="7"/>
        <v>59.92</v>
      </c>
      <c r="L462" s="38"/>
    </row>
    <row r="463" spans="1:12" ht="14.5" x14ac:dyDescent="0.35">
      <c r="A463" s="45" t="s">
        <v>3588</v>
      </c>
      <c r="C463" s="36">
        <v>45899</v>
      </c>
      <c r="D463" s="36" t="s">
        <v>1475</v>
      </c>
      <c r="E463" s="37" t="s">
        <v>3091</v>
      </c>
      <c r="F463" s="37" t="s">
        <v>4026</v>
      </c>
      <c r="G463" s="38">
        <v>20.260000000000002</v>
      </c>
      <c r="H463" s="38"/>
      <c r="I463" s="37"/>
      <c r="J463" s="37"/>
      <c r="K463" s="38">
        <f t="shared" si="7"/>
        <v>20.260000000000002</v>
      </c>
      <c r="L463" s="38"/>
    </row>
    <row r="464" spans="1:12" ht="14.5" x14ac:dyDescent="0.35">
      <c r="A464" s="45" t="s">
        <v>3588</v>
      </c>
      <c r="C464" s="36">
        <v>45899</v>
      </c>
      <c r="D464" s="36" t="s">
        <v>1999</v>
      </c>
      <c r="E464" s="37" t="s">
        <v>3092</v>
      </c>
      <c r="F464" s="37" t="s">
        <v>4026</v>
      </c>
      <c r="G464" s="38">
        <v>442.38</v>
      </c>
      <c r="H464" s="38"/>
      <c r="I464" s="37"/>
      <c r="J464" s="37"/>
      <c r="K464" s="38">
        <f t="shared" si="7"/>
        <v>442.38</v>
      </c>
      <c r="L464" s="38"/>
    </row>
    <row r="465" spans="1:12" ht="14.5" x14ac:dyDescent="0.35">
      <c r="A465" s="45" t="s">
        <v>3588</v>
      </c>
      <c r="C465" s="36">
        <v>45899</v>
      </c>
      <c r="D465" s="36" t="s">
        <v>1999</v>
      </c>
      <c r="E465" s="37" t="s">
        <v>3094</v>
      </c>
      <c r="F465" s="37" t="s">
        <v>4026</v>
      </c>
      <c r="G465" s="38">
        <v>672.91000000000008</v>
      </c>
      <c r="H465" s="38"/>
      <c r="I465" s="37"/>
      <c r="J465" s="37"/>
      <c r="K465" s="38">
        <f t="shared" si="7"/>
        <v>672.91000000000008</v>
      </c>
      <c r="L465" s="38"/>
    </row>
    <row r="466" spans="1:12" ht="14.5" x14ac:dyDescent="0.35">
      <c r="A466" s="45" t="s">
        <v>3588</v>
      </c>
      <c r="C466" s="36">
        <v>45899</v>
      </c>
      <c r="D466" s="36" t="s">
        <v>1999</v>
      </c>
      <c r="E466" s="37" t="s">
        <v>3096</v>
      </c>
      <c r="F466" s="37" t="s">
        <v>4026</v>
      </c>
      <c r="G466" s="38">
        <v>159.91999999999999</v>
      </c>
      <c r="H466" s="38"/>
      <c r="I466" s="37"/>
      <c r="J466" s="37"/>
      <c r="K466" s="38">
        <f t="shared" si="7"/>
        <v>159.91999999999999</v>
      </c>
      <c r="L466" s="38"/>
    </row>
    <row r="467" spans="1:12" ht="14.5" x14ac:dyDescent="0.35">
      <c r="A467" s="45" t="s">
        <v>3588</v>
      </c>
      <c r="C467" s="36">
        <v>45899</v>
      </c>
      <c r="D467" s="36" t="s">
        <v>1999</v>
      </c>
      <c r="E467" s="37" t="s">
        <v>3097</v>
      </c>
      <c r="F467" s="37" t="s">
        <v>4026</v>
      </c>
      <c r="G467" s="38">
        <v>172.94</v>
      </c>
      <c r="H467" s="38"/>
      <c r="I467" s="37"/>
      <c r="J467" s="37"/>
      <c r="K467" s="38">
        <f t="shared" si="7"/>
        <v>172.94</v>
      </c>
      <c r="L467" s="38"/>
    </row>
    <row r="468" spans="1:12" ht="14.5" x14ac:dyDescent="0.35">
      <c r="A468" s="45" t="s">
        <v>3588</v>
      </c>
      <c r="C468" s="36">
        <v>45899</v>
      </c>
      <c r="D468" s="36" t="s">
        <v>1999</v>
      </c>
      <c r="E468" s="37" t="s">
        <v>3098</v>
      </c>
      <c r="F468" s="37" t="s">
        <v>4026</v>
      </c>
      <c r="G468" s="38">
        <v>117.14</v>
      </c>
      <c r="H468" s="38"/>
      <c r="I468" s="37"/>
      <c r="J468" s="37"/>
      <c r="K468" s="38">
        <f t="shared" si="7"/>
        <v>117.14</v>
      </c>
      <c r="L468" s="38"/>
    </row>
    <row r="469" spans="1:12" ht="14.5" x14ac:dyDescent="0.35">
      <c r="A469" s="45" t="s">
        <v>3588</v>
      </c>
      <c r="C469" s="36">
        <v>45899</v>
      </c>
      <c r="D469" s="36" t="s">
        <v>2266</v>
      </c>
      <c r="E469" s="37" t="s">
        <v>3099</v>
      </c>
      <c r="F469" s="37" t="s">
        <v>4026</v>
      </c>
      <c r="G469" s="38">
        <v>60.2</v>
      </c>
      <c r="H469" s="38"/>
      <c r="I469" s="37"/>
      <c r="J469" s="37"/>
      <c r="K469" s="38">
        <f t="shared" si="7"/>
        <v>60.2</v>
      </c>
      <c r="L469" s="38"/>
    </row>
    <row r="470" spans="1:12" ht="14.5" x14ac:dyDescent="0.35">
      <c r="A470" s="45" t="s">
        <v>3588</v>
      </c>
      <c r="C470" s="36">
        <v>45899</v>
      </c>
      <c r="D470" s="36" t="s">
        <v>2266</v>
      </c>
      <c r="E470" s="37" t="s">
        <v>3100</v>
      </c>
      <c r="F470" s="37" t="s">
        <v>4026</v>
      </c>
      <c r="G470" s="38">
        <v>53532.140000000007</v>
      </c>
      <c r="H470" s="38"/>
      <c r="I470" s="37"/>
      <c r="J470" s="37"/>
      <c r="K470" s="38">
        <f t="shared" si="7"/>
        <v>53532.140000000007</v>
      </c>
      <c r="L470" s="38"/>
    </row>
    <row r="471" spans="1:12" ht="14.5" x14ac:dyDescent="0.35">
      <c r="A471" s="45" t="s">
        <v>3588</v>
      </c>
      <c r="C471" s="36">
        <v>45899</v>
      </c>
      <c r="D471" s="36" t="s">
        <v>2266</v>
      </c>
      <c r="E471" s="37" t="s">
        <v>3101</v>
      </c>
      <c r="F471" s="37" t="s">
        <v>4026</v>
      </c>
      <c r="G471" s="38">
        <v>125.74</v>
      </c>
      <c r="H471" s="38"/>
      <c r="I471" s="37"/>
      <c r="J471" s="37"/>
      <c r="K471" s="38">
        <f t="shared" si="7"/>
        <v>125.74</v>
      </c>
      <c r="L471" s="38"/>
    </row>
    <row r="472" spans="1:12" ht="14.5" x14ac:dyDescent="0.35">
      <c r="A472" s="45" t="s">
        <v>3588</v>
      </c>
      <c r="C472" s="36">
        <v>45899</v>
      </c>
      <c r="D472" s="36" t="s">
        <v>2677</v>
      </c>
      <c r="E472" s="37" t="s">
        <v>3102</v>
      </c>
      <c r="F472" s="37" t="s">
        <v>4026</v>
      </c>
      <c r="G472" s="38">
        <v>631.21</v>
      </c>
      <c r="H472" s="38"/>
      <c r="I472" s="37"/>
      <c r="J472" s="37"/>
      <c r="K472" s="38">
        <f t="shared" si="7"/>
        <v>631.21</v>
      </c>
      <c r="L472" s="38"/>
    </row>
    <row r="473" spans="1:12" ht="14.5" x14ac:dyDescent="0.35">
      <c r="A473" s="45" t="s">
        <v>3588</v>
      </c>
      <c r="C473" s="36">
        <v>45899</v>
      </c>
      <c r="D473" s="36" t="s">
        <v>2266</v>
      </c>
      <c r="E473" s="37" t="s">
        <v>3103</v>
      </c>
      <c r="F473" s="37" t="s">
        <v>4026</v>
      </c>
      <c r="G473" s="38">
        <v>668.84</v>
      </c>
      <c r="H473" s="38"/>
      <c r="I473" s="37"/>
      <c r="J473" s="37"/>
      <c r="K473" s="38">
        <f t="shared" si="7"/>
        <v>668.84</v>
      </c>
      <c r="L473" s="38"/>
    </row>
    <row r="474" spans="1:12" ht="14.5" x14ac:dyDescent="0.35">
      <c r="A474" s="45" t="s">
        <v>3588</v>
      </c>
      <c r="C474" s="36">
        <v>45899</v>
      </c>
      <c r="D474" s="36" t="s">
        <v>2266</v>
      </c>
      <c r="E474" s="37" t="s">
        <v>3104</v>
      </c>
      <c r="F474" s="37" t="s">
        <v>4026</v>
      </c>
      <c r="G474" s="38">
        <v>81.37</v>
      </c>
      <c r="H474" s="38"/>
      <c r="I474" s="37"/>
      <c r="J474" s="37"/>
      <c r="K474" s="38">
        <f t="shared" si="7"/>
        <v>81.37</v>
      </c>
      <c r="L474" s="38"/>
    </row>
    <row r="475" spans="1:12" ht="14.5" x14ac:dyDescent="0.35">
      <c r="A475" s="45" t="s">
        <v>3588</v>
      </c>
      <c r="C475" s="36">
        <v>45899</v>
      </c>
      <c r="D475" s="36" t="s">
        <v>2266</v>
      </c>
      <c r="E475" s="37" t="s">
        <v>3105</v>
      </c>
      <c r="F475" s="37" t="s">
        <v>4026</v>
      </c>
      <c r="G475" s="38">
        <v>2316.2199999999998</v>
      </c>
      <c r="H475" s="38"/>
      <c r="I475" s="37"/>
      <c r="J475" s="37"/>
      <c r="K475" s="38">
        <f t="shared" si="7"/>
        <v>2316.2199999999998</v>
      </c>
      <c r="L475" s="38"/>
    </row>
    <row r="476" spans="1:12" ht="14.5" x14ac:dyDescent="0.35">
      <c r="A476" s="45" t="s">
        <v>3588</v>
      </c>
      <c r="C476" s="36">
        <v>45899</v>
      </c>
      <c r="D476" s="36" t="s">
        <v>1343</v>
      </c>
      <c r="E476" s="37" t="s">
        <v>3106</v>
      </c>
      <c r="F476" s="37" t="s">
        <v>4026</v>
      </c>
      <c r="G476" s="38">
        <v>2721.01</v>
      </c>
      <c r="H476" s="38"/>
      <c r="I476" s="37"/>
      <c r="J476" s="37"/>
      <c r="K476" s="38">
        <f t="shared" si="7"/>
        <v>2721.01</v>
      </c>
      <c r="L476" s="38"/>
    </row>
    <row r="477" spans="1:12" ht="14.5" x14ac:dyDescent="0.35">
      <c r="A477" s="45" t="s">
        <v>3588</v>
      </c>
      <c r="C477" s="36">
        <v>45899</v>
      </c>
      <c r="D477" s="36" t="s">
        <v>3472</v>
      </c>
      <c r="E477" s="37" t="s">
        <v>3107</v>
      </c>
      <c r="F477" s="37" t="s">
        <v>4026</v>
      </c>
      <c r="G477" s="38">
        <v>20.83</v>
      </c>
      <c r="H477" s="38"/>
      <c r="I477" s="37"/>
      <c r="J477" s="37"/>
      <c r="K477" s="38">
        <f t="shared" si="7"/>
        <v>20.83</v>
      </c>
      <c r="L477" s="38"/>
    </row>
    <row r="478" spans="1:12" ht="14.5" x14ac:dyDescent="0.35">
      <c r="A478" s="45" t="s">
        <v>3588</v>
      </c>
      <c r="C478" s="36">
        <v>45899</v>
      </c>
      <c r="D478" s="36" t="s">
        <v>3472</v>
      </c>
      <c r="E478" s="37" t="s">
        <v>3108</v>
      </c>
      <c r="F478" s="37" t="s">
        <v>4026</v>
      </c>
      <c r="G478" s="38">
        <v>178.24</v>
      </c>
      <c r="H478" s="38"/>
      <c r="I478" s="37"/>
      <c r="J478" s="37"/>
      <c r="K478" s="38">
        <f t="shared" si="7"/>
        <v>178.24</v>
      </c>
      <c r="L478" s="38"/>
    </row>
    <row r="479" spans="1:12" ht="14.5" x14ac:dyDescent="0.35">
      <c r="A479" s="45" t="s">
        <v>3588</v>
      </c>
      <c r="C479" s="36">
        <v>45899</v>
      </c>
      <c r="D479" s="36" t="s">
        <v>3472</v>
      </c>
      <c r="E479" s="37" t="s">
        <v>3109</v>
      </c>
      <c r="F479" s="37" t="s">
        <v>4026</v>
      </c>
      <c r="G479" s="38">
        <v>2127.8200000000002</v>
      </c>
      <c r="H479" s="38"/>
      <c r="I479" s="37"/>
      <c r="J479" s="37"/>
      <c r="K479" s="38">
        <f t="shared" si="7"/>
        <v>2127.8200000000002</v>
      </c>
      <c r="L479" s="38"/>
    </row>
    <row r="480" spans="1:12" ht="14.5" x14ac:dyDescent="0.35">
      <c r="A480" s="45" t="s">
        <v>3588</v>
      </c>
      <c r="C480" s="36">
        <v>45899</v>
      </c>
      <c r="D480" s="36" t="s">
        <v>1071</v>
      </c>
      <c r="E480" s="37" t="s">
        <v>3110</v>
      </c>
      <c r="F480" s="37" t="s">
        <v>4026</v>
      </c>
      <c r="G480" s="38">
        <v>206.32</v>
      </c>
      <c r="H480" s="38"/>
      <c r="I480" s="37"/>
      <c r="J480" s="37"/>
      <c r="K480" s="38">
        <f t="shared" si="7"/>
        <v>206.32</v>
      </c>
      <c r="L480" s="38"/>
    </row>
    <row r="481" spans="1:12" ht="14.5" x14ac:dyDescent="0.35">
      <c r="A481" s="45" t="s">
        <v>3588</v>
      </c>
      <c r="C481" s="36">
        <v>45899</v>
      </c>
      <c r="D481" s="36" t="s">
        <v>2396</v>
      </c>
      <c r="E481" s="37" t="s">
        <v>3111</v>
      </c>
      <c r="F481" s="37" t="s">
        <v>4026</v>
      </c>
      <c r="G481" s="38">
        <v>217.92</v>
      </c>
      <c r="H481" s="38"/>
      <c r="I481" s="37"/>
      <c r="J481" s="37"/>
      <c r="K481" s="38">
        <f t="shared" si="7"/>
        <v>217.92</v>
      </c>
      <c r="L481" s="38"/>
    </row>
    <row r="482" spans="1:12" ht="14.5" x14ac:dyDescent="0.35">
      <c r="A482" s="45" t="s">
        <v>3588</v>
      </c>
      <c r="C482" s="36">
        <v>45899</v>
      </c>
      <c r="D482" s="36" t="s">
        <v>989</v>
      </c>
      <c r="E482" s="37" t="s">
        <v>3112</v>
      </c>
      <c r="F482" s="37" t="s">
        <v>4026</v>
      </c>
      <c r="G482" s="38">
        <v>3360.2200000000003</v>
      </c>
      <c r="H482" s="38"/>
      <c r="I482" s="37"/>
      <c r="J482" s="37"/>
      <c r="K482" s="38">
        <f t="shared" si="7"/>
        <v>3360.2200000000003</v>
      </c>
      <c r="L482" s="38"/>
    </row>
    <row r="483" spans="1:12" ht="14.5" x14ac:dyDescent="0.35">
      <c r="A483" s="45" t="s">
        <v>3588</v>
      </c>
      <c r="C483" s="36">
        <v>45899</v>
      </c>
      <c r="D483" s="36" t="s">
        <v>2429</v>
      </c>
      <c r="E483" s="37" t="s">
        <v>3113</v>
      </c>
      <c r="F483" s="37" t="s">
        <v>4026</v>
      </c>
      <c r="G483" s="38">
        <v>147.96</v>
      </c>
      <c r="H483" s="38"/>
      <c r="I483" s="37"/>
      <c r="J483" s="37"/>
      <c r="K483" s="38">
        <f t="shared" si="7"/>
        <v>147.96</v>
      </c>
      <c r="L483" s="38"/>
    </row>
    <row r="484" spans="1:12" ht="14.5" x14ac:dyDescent="0.35">
      <c r="A484" s="45" t="s">
        <v>3588</v>
      </c>
      <c r="C484" s="36">
        <v>45899</v>
      </c>
      <c r="D484" s="36" t="s">
        <v>2429</v>
      </c>
      <c r="E484" s="37" t="s">
        <v>3114</v>
      </c>
      <c r="F484" s="37" t="s">
        <v>4026</v>
      </c>
      <c r="G484" s="38">
        <v>1047.8400000000001</v>
      </c>
      <c r="H484" s="38"/>
      <c r="I484" s="37"/>
      <c r="J484" s="37"/>
      <c r="K484" s="38">
        <f t="shared" si="7"/>
        <v>1047.8400000000001</v>
      </c>
      <c r="L484" s="38"/>
    </row>
    <row r="485" spans="1:12" ht="14.5" x14ac:dyDescent="0.35">
      <c r="A485" s="45" t="s">
        <v>3588</v>
      </c>
      <c r="C485" s="36">
        <v>45899</v>
      </c>
      <c r="D485" s="36" t="s">
        <v>2429</v>
      </c>
      <c r="E485" s="37" t="s">
        <v>3116</v>
      </c>
      <c r="F485" s="37" t="s">
        <v>4026</v>
      </c>
      <c r="G485" s="38">
        <v>34.76</v>
      </c>
      <c r="H485" s="38"/>
      <c r="I485" s="37"/>
      <c r="J485" s="37"/>
      <c r="K485" s="38">
        <f t="shared" si="7"/>
        <v>34.76</v>
      </c>
      <c r="L485" s="38"/>
    </row>
    <row r="486" spans="1:12" ht="14.5" x14ac:dyDescent="0.35">
      <c r="A486" s="45" t="s">
        <v>3588</v>
      </c>
      <c r="C486" s="36">
        <v>45899</v>
      </c>
      <c r="D486" s="36" t="s">
        <v>2429</v>
      </c>
      <c r="E486" s="37" t="s">
        <v>3117</v>
      </c>
      <c r="F486" s="37" t="s">
        <v>4026</v>
      </c>
      <c r="G486" s="38">
        <v>118.34</v>
      </c>
      <c r="H486" s="38"/>
      <c r="I486" s="37"/>
      <c r="J486" s="37"/>
      <c r="K486" s="38">
        <f t="shared" si="7"/>
        <v>118.34</v>
      </c>
      <c r="L486" s="38"/>
    </row>
    <row r="487" spans="1:12" ht="14.5" x14ac:dyDescent="0.35">
      <c r="A487" s="45" t="s">
        <v>3588</v>
      </c>
      <c r="C487" s="36">
        <v>45899</v>
      </c>
      <c r="D487" s="36" t="s">
        <v>3473</v>
      </c>
      <c r="E487" s="37" t="s">
        <v>3118</v>
      </c>
      <c r="F487" s="37" t="s">
        <v>4026</v>
      </c>
      <c r="G487" s="38">
        <v>675</v>
      </c>
      <c r="H487" s="38"/>
      <c r="I487" s="37"/>
      <c r="J487" s="37"/>
      <c r="K487" s="38">
        <f t="shared" si="7"/>
        <v>675</v>
      </c>
      <c r="L487" s="38"/>
    </row>
    <row r="488" spans="1:12" ht="14.5" x14ac:dyDescent="0.35">
      <c r="A488" s="45" t="s">
        <v>3588</v>
      </c>
      <c r="C488" s="36">
        <v>45899</v>
      </c>
      <c r="D488" s="36" t="s">
        <v>3474</v>
      </c>
      <c r="E488" s="37" t="s">
        <v>3119</v>
      </c>
      <c r="F488" s="37" t="s">
        <v>4026</v>
      </c>
      <c r="G488" s="38">
        <v>2674.63</v>
      </c>
      <c r="H488" s="38"/>
      <c r="I488" s="37"/>
      <c r="J488" s="37"/>
      <c r="K488" s="38">
        <f t="shared" si="7"/>
        <v>2674.63</v>
      </c>
      <c r="L488" s="38"/>
    </row>
    <row r="489" spans="1:12" ht="14.5" x14ac:dyDescent="0.35">
      <c r="A489" s="45" t="s">
        <v>3588</v>
      </c>
      <c r="C489" s="36">
        <v>45899</v>
      </c>
      <c r="D489" s="36" t="s">
        <v>3474</v>
      </c>
      <c r="E489" s="37" t="s">
        <v>3120</v>
      </c>
      <c r="F489" s="37" t="s">
        <v>4026</v>
      </c>
      <c r="G489" s="38">
        <v>257.2</v>
      </c>
      <c r="H489" s="38"/>
      <c r="I489" s="37"/>
      <c r="J489" s="37"/>
      <c r="K489" s="38">
        <f t="shared" si="7"/>
        <v>257.2</v>
      </c>
      <c r="L489" s="38"/>
    </row>
    <row r="490" spans="1:12" ht="14.5" x14ac:dyDescent="0.35">
      <c r="A490" s="45" t="s">
        <v>3588</v>
      </c>
      <c r="C490" s="36">
        <v>45899</v>
      </c>
      <c r="D490" s="36" t="s">
        <v>3474</v>
      </c>
      <c r="E490" s="37" t="s">
        <v>3121</v>
      </c>
      <c r="F490" s="37" t="s">
        <v>4026</v>
      </c>
      <c r="G490" s="38">
        <v>918.79</v>
      </c>
      <c r="H490" s="38"/>
      <c r="I490" s="37"/>
      <c r="J490" s="37"/>
      <c r="K490" s="38">
        <f t="shared" si="7"/>
        <v>918.79</v>
      </c>
      <c r="L490" s="38"/>
    </row>
    <row r="491" spans="1:12" ht="14.5" x14ac:dyDescent="0.35">
      <c r="A491" s="45" t="s">
        <v>3588</v>
      </c>
      <c r="C491" s="36">
        <v>45899</v>
      </c>
      <c r="D491" s="36" t="s">
        <v>3474</v>
      </c>
      <c r="E491" s="37" t="s">
        <v>3122</v>
      </c>
      <c r="F491" s="37" t="s">
        <v>4026</v>
      </c>
      <c r="G491" s="38">
        <v>2300.2300000000005</v>
      </c>
      <c r="H491" s="38"/>
      <c r="I491" s="37"/>
      <c r="J491" s="37"/>
      <c r="K491" s="38">
        <f t="shared" si="7"/>
        <v>2300.2300000000005</v>
      </c>
      <c r="L491" s="38"/>
    </row>
    <row r="492" spans="1:12" ht="14.5" x14ac:dyDescent="0.35">
      <c r="A492" s="45" t="s">
        <v>3588</v>
      </c>
      <c r="C492" s="36">
        <v>45899</v>
      </c>
      <c r="D492" s="36" t="s">
        <v>3472</v>
      </c>
      <c r="E492" s="37" t="s">
        <v>3123</v>
      </c>
      <c r="F492" s="37" t="s">
        <v>4026</v>
      </c>
      <c r="G492" s="38">
        <v>111.39</v>
      </c>
      <c r="H492" s="38"/>
      <c r="I492" s="37"/>
      <c r="J492" s="37"/>
      <c r="K492" s="38">
        <f t="shared" si="7"/>
        <v>111.39</v>
      </c>
      <c r="L492" s="38"/>
    </row>
    <row r="493" spans="1:12" ht="14.5" x14ac:dyDescent="0.35">
      <c r="A493" s="45" t="s">
        <v>3588</v>
      </c>
      <c r="C493" s="36">
        <v>45899</v>
      </c>
      <c r="D493" s="36" t="s">
        <v>3472</v>
      </c>
      <c r="E493" s="37" t="s">
        <v>3124</v>
      </c>
      <c r="F493" s="37" t="s">
        <v>4026</v>
      </c>
      <c r="G493" s="38">
        <v>34.56</v>
      </c>
      <c r="H493" s="38"/>
      <c r="I493" s="37"/>
      <c r="J493" s="37"/>
      <c r="K493" s="38">
        <f t="shared" si="7"/>
        <v>34.56</v>
      </c>
      <c r="L493" s="38"/>
    </row>
    <row r="494" spans="1:12" ht="14.5" x14ac:dyDescent="0.35">
      <c r="A494" s="45" t="s">
        <v>3588</v>
      </c>
      <c r="C494" s="36">
        <v>45899</v>
      </c>
      <c r="D494" s="36" t="s">
        <v>3475</v>
      </c>
      <c r="E494" s="37" t="s">
        <v>3125</v>
      </c>
      <c r="F494" s="37" t="s">
        <v>4026</v>
      </c>
      <c r="G494" s="38">
        <v>237.5</v>
      </c>
      <c r="H494" s="38"/>
      <c r="I494" s="37"/>
      <c r="J494" s="37"/>
      <c r="K494" s="38">
        <f t="shared" si="7"/>
        <v>237.5</v>
      </c>
      <c r="L494" s="38"/>
    </row>
    <row r="495" spans="1:12" ht="14.5" x14ac:dyDescent="0.35">
      <c r="A495" s="45" t="s">
        <v>3588</v>
      </c>
      <c r="C495" s="36">
        <v>45899</v>
      </c>
      <c r="D495" s="36" t="s">
        <v>3475</v>
      </c>
      <c r="E495" s="37" t="s">
        <v>3126</v>
      </c>
      <c r="F495" s="37" t="s">
        <v>4026</v>
      </c>
      <c r="G495" s="38">
        <v>83.72</v>
      </c>
      <c r="H495" s="38"/>
      <c r="I495" s="37"/>
      <c r="J495" s="37"/>
      <c r="K495" s="38">
        <f t="shared" si="7"/>
        <v>83.72</v>
      </c>
      <c r="L495" s="38"/>
    </row>
    <row r="496" spans="1:12" ht="14.5" x14ac:dyDescent="0.35">
      <c r="A496" s="45" t="s">
        <v>3588</v>
      </c>
      <c r="C496" s="36">
        <v>45899</v>
      </c>
      <c r="D496" s="36" t="s">
        <v>1280</v>
      </c>
      <c r="E496" s="37" t="s">
        <v>3127</v>
      </c>
      <c r="F496" s="37" t="s">
        <v>4026</v>
      </c>
      <c r="G496" s="38">
        <v>174</v>
      </c>
      <c r="H496" s="38"/>
      <c r="I496" s="37"/>
      <c r="J496" s="37"/>
      <c r="K496" s="38">
        <f t="shared" si="7"/>
        <v>174</v>
      </c>
      <c r="L496" s="38"/>
    </row>
    <row r="497" spans="1:12" ht="14.5" x14ac:dyDescent="0.35">
      <c r="A497" s="45" t="s">
        <v>3588</v>
      </c>
      <c r="C497" s="36">
        <v>45899</v>
      </c>
      <c r="D497" s="36" t="s">
        <v>3476</v>
      </c>
      <c r="E497" s="37" t="s">
        <v>3128</v>
      </c>
      <c r="F497" s="37" t="s">
        <v>4026</v>
      </c>
      <c r="G497" s="38">
        <v>400</v>
      </c>
      <c r="H497" s="38"/>
      <c r="I497" s="37"/>
      <c r="J497" s="37"/>
      <c r="K497" s="38">
        <f t="shared" si="7"/>
        <v>400</v>
      </c>
      <c r="L497" s="38"/>
    </row>
    <row r="498" spans="1:12" ht="14.5" x14ac:dyDescent="0.35">
      <c r="A498" s="45" t="s">
        <v>3588</v>
      </c>
      <c r="C498" s="36">
        <v>45899</v>
      </c>
      <c r="D498" s="36" t="s">
        <v>1263</v>
      </c>
      <c r="E498" s="37" t="s">
        <v>3129</v>
      </c>
      <c r="F498" s="37" t="s">
        <v>4026</v>
      </c>
      <c r="G498" s="38">
        <v>6602.57</v>
      </c>
      <c r="H498" s="38"/>
      <c r="I498" s="37"/>
      <c r="J498" s="37"/>
      <c r="K498" s="38">
        <f t="shared" si="7"/>
        <v>6602.57</v>
      </c>
      <c r="L498" s="38"/>
    </row>
    <row r="499" spans="1:12" ht="14.5" x14ac:dyDescent="0.35">
      <c r="A499" s="45" t="s">
        <v>3588</v>
      </c>
      <c r="C499" s="36">
        <v>45899</v>
      </c>
      <c r="D499" s="36" t="s">
        <v>1263</v>
      </c>
      <c r="E499" s="37" t="s">
        <v>3130</v>
      </c>
      <c r="F499" s="37" t="s">
        <v>4026</v>
      </c>
      <c r="G499" s="38">
        <v>16623.73</v>
      </c>
      <c r="H499" s="38"/>
      <c r="I499" s="37"/>
      <c r="J499" s="37"/>
      <c r="K499" s="38">
        <f t="shared" si="7"/>
        <v>16623.73</v>
      </c>
      <c r="L499" s="38"/>
    </row>
    <row r="500" spans="1:12" ht="14.5" x14ac:dyDescent="0.35">
      <c r="A500" s="45" t="s">
        <v>3588</v>
      </c>
      <c r="C500" s="36">
        <v>45899</v>
      </c>
      <c r="D500" s="36" t="s">
        <v>1263</v>
      </c>
      <c r="E500" s="37" t="s">
        <v>3131</v>
      </c>
      <c r="F500" s="37" t="s">
        <v>4026</v>
      </c>
      <c r="G500" s="38">
        <v>4.4800000000000004</v>
      </c>
      <c r="H500" s="38"/>
      <c r="I500" s="37"/>
      <c r="J500" s="37"/>
      <c r="K500" s="38">
        <f t="shared" si="7"/>
        <v>4.4800000000000004</v>
      </c>
      <c r="L500" s="38"/>
    </row>
    <row r="501" spans="1:12" ht="14.5" x14ac:dyDescent="0.35">
      <c r="A501" s="45" t="s">
        <v>3588</v>
      </c>
      <c r="C501" s="36">
        <v>45899</v>
      </c>
      <c r="D501" s="36" t="s">
        <v>1263</v>
      </c>
      <c r="E501" s="37" t="s">
        <v>3133</v>
      </c>
      <c r="F501" s="37" t="s">
        <v>4026</v>
      </c>
      <c r="G501" s="38">
        <v>33.950000000000003</v>
      </c>
      <c r="H501" s="38"/>
      <c r="I501" s="37"/>
      <c r="J501" s="37"/>
      <c r="K501" s="38">
        <f t="shared" si="7"/>
        <v>33.950000000000003</v>
      </c>
      <c r="L501" s="38"/>
    </row>
    <row r="502" spans="1:12" ht="14.5" x14ac:dyDescent="0.35">
      <c r="A502" s="45" t="s">
        <v>3588</v>
      </c>
      <c r="C502" s="36">
        <v>45899</v>
      </c>
      <c r="D502" s="36" t="s">
        <v>1263</v>
      </c>
      <c r="E502" s="37" t="s">
        <v>3134</v>
      </c>
      <c r="F502" s="37" t="s">
        <v>4026</v>
      </c>
      <c r="G502" s="38">
        <v>175.35</v>
      </c>
      <c r="H502" s="38"/>
      <c r="I502" s="37"/>
      <c r="J502" s="37"/>
      <c r="K502" s="38">
        <f t="shared" si="7"/>
        <v>175.35</v>
      </c>
      <c r="L502" s="38"/>
    </row>
    <row r="503" spans="1:12" ht="14.5" x14ac:dyDescent="0.35">
      <c r="A503" s="45" t="s">
        <v>3588</v>
      </c>
      <c r="C503" s="36">
        <v>45899</v>
      </c>
      <c r="D503" s="36" t="s">
        <v>1263</v>
      </c>
      <c r="E503" s="37" t="s">
        <v>3135</v>
      </c>
      <c r="F503" s="37" t="s">
        <v>4026</v>
      </c>
      <c r="G503" s="38">
        <v>458.64</v>
      </c>
      <c r="H503" s="38"/>
      <c r="I503" s="37"/>
      <c r="J503" s="37"/>
      <c r="K503" s="38">
        <f t="shared" si="7"/>
        <v>458.64</v>
      </c>
      <c r="L503" s="38"/>
    </row>
    <row r="504" spans="1:12" ht="14.5" x14ac:dyDescent="0.35">
      <c r="A504" s="45" t="s">
        <v>3588</v>
      </c>
      <c r="C504" s="36">
        <v>45899</v>
      </c>
      <c r="D504" s="36" t="s">
        <v>1263</v>
      </c>
      <c r="E504" s="37" t="s">
        <v>3136</v>
      </c>
      <c r="F504" s="37" t="s">
        <v>4026</v>
      </c>
      <c r="G504" s="38">
        <v>78.13000000000001</v>
      </c>
      <c r="H504" s="38"/>
      <c r="I504" s="37"/>
      <c r="J504" s="37"/>
      <c r="K504" s="38">
        <f t="shared" si="7"/>
        <v>78.13000000000001</v>
      </c>
      <c r="L504" s="38"/>
    </row>
    <row r="505" spans="1:12" ht="14.5" x14ac:dyDescent="0.35">
      <c r="A505" s="45" t="s">
        <v>3588</v>
      </c>
      <c r="C505" s="36">
        <v>45899</v>
      </c>
      <c r="D505" s="36" t="s">
        <v>1263</v>
      </c>
      <c r="E505" s="37" t="s">
        <v>3137</v>
      </c>
      <c r="F505" s="37" t="s">
        <v>4026</v>
      </c>
      <c r="G505" s="38">
        <v>3365</v>
      </c>
      <c r="H505" s="38"/>
      <c r="I505" s="37"/>
      <c r="J505" s="37"/>
      <c r="K505" s="38">
        <f t="shared" si="7"/>
        <v>3365</v>
      </c>
      <c r="L505" s="38"/>
    </row>
    <row r="506" spans="1:12" ht="14.5" x14ac:dyDescent="0.35">
      <c r="A506" s="45" t="s">
        <v>3588</v>
      </c>
      <c r="C506" s="36">
        <v>45899</v>
      </c>
      <c r="D506" s="36" t="s">
        <v>1629</v>
      </c>
      <c r="E506" s="37" t="s">
        <v>3138</v>
      </c>
      <c r="F506" s="37" t="s">
        <v>4026</v>
      </c>
      <c r="G506" s="38">
        <v>79.62</v>
      </c>
      <c r="H506" s="38"/>
      <c r="I506" s="37"/>
      <c r="J506" s="37"/>
      <c r="K506" s="38">
        <f t="shared" si="7"/>
        <v>79.62</v>
      </c>
      <c r="L506" s="38"/>
    </row>
    <row r="507" spans="1:12" ht="14.5" x14ac:dyDescent="0.35">
      <c r="A507" s="45" t="s">
        <v>3588</v>
      </c>
      <c r="C507" s="36">
        <v>45899</v>
      </c>
      <c r="D507" s="36" t="s">
        <v>3477</v>
      </c>
      <c r="E507" s="37" t="s">
        <v>3140</v>
      </c>
      <c r="F507" s="37" t="s">
        <v>4026</v>
      </c>
      <c r="G507" s="38">
        <v>116.43</v>
      </c>
      <c r="H507" s="38"/>
      <c r="I507" s="37"/>
      <c r="J507" s="37"/>
      <c r="K507" s="38">
        <f t="shared" si="7"/>
        <v>116.43</v>
      </c>
      <c r="L507" s="38"/>
    </row>
    <row r="508" spans="1:12" ht="14.5" x14ac:dyDescent="0.35">
      <c r="A508" s="45" t="s">
        <v>3588</v>
      </c>
      <c r="C508" s="36">
        <v>45899</v>
      </c>
      <c r="D508" s="36" t="s">
        <v>2313</v>
      </c>
      <c r="E508" s="37" t="s">
        <v>3141</v>
      </c>
      <c r="F508" s="37" t="s">
        <v>4026</v>
      </c>
      <c r="G508" s="38">
        <v>154.57</v>
      </c>
      <c r="H508" s="38"/>
      <c r="I508" s="37"/>
      <c r="J508" s="37"/>
      <c r="K508" s="38">
        <f t="shared" si="7"/>
        <v>154.57</v>
      </c>
      <c r="L508" s="38"/>
    </row>
    <row r="509" spans="1:12" ht="14.5" x14ac:dyDescent="0.35">
      <c r="A509" s="45" t="s">
        <v>3588</v>
      </c>
      <c r="C509" s="36">
        <v>45899</v>
      </c>
      <c r="D509" s="36" t="s">
        <v>2313</v>
      </c>
      <c r="E509" s="37" t="s">
        <v>3142</v>
      </c>
      <c r="F509" s="37" t="s">
        <v>4026</v>
      </c>
      <c r="G509" s="38">
        <v>11.9</v>
      </c>
      <c r="H509" s="38"/>
      <c r="I509" s="37"/>
      <c r="J509" s="37"/>
      <c r="K509" s="38">
        <f t="shared" si="7"/>
        <v>11.9</v>
      </c>
      <c r="L509" s="38"/>
    </row>
    <row r="510" spans="1:12" ht="14.5" x14ac:dyDescent="0.35">
      <c r="A510" s="45" t="s">
        <v>3588</v>
      </c>
      <c r="C510" s="36">
        <v>45899</v>
      </c>
      <c r="D510" s="36" t="s">
        <v>2313</v>
      </c>
      <c r="E510" s="37" t="s">
        <v>3143</v>
      </c>
      <c r="F510" s="37" t="s">
        <v>4026</v>
      </c>
      <c r="G510" s="38">
        <v>41.87</v>
      </c>
      <c r="H510" s="38"/>
      <c r="I510" s="37"/>
      <c r="J510" s="37"/>
      <c r="K510" s="38">
        <f t="shared" si="7"/>
        <v>41.87</v>
      </c>
      <c r="L510" s="38"/>
    </row>
    <row r="511" spans="1:12" ht="14.5" x14ac:dyDescent="0.35">
      <c r="A511" s="45" t="s">
        <v>3588</v>
      </c>
      <c r="C511" s="36">
        <v>45899</v>
      </c>
      <c r="D511" s="36" t="s">
        <v>2313</v>
      </c>
      <c r="E511" s="37" t="s">
        <v>3145</v>
      </c>
      <c r="F511" s="37" t="s">
        <v>4026</v>
      </c>
      <c r="G511" s="38">
        <v>12659.75</v>
      </c>
      <c r="H511" s="38"/>
      <c r="I511" s="37"/>
      <c r="J511" s="37"/>
      <c r="K511" s="38">
        <f t="shared" si="7"/>
        <v>12659.75</v>
      </c>
      <c r="L511" s="38"/>
    </row>
    <row r="512" spans="1:12" ht="14.5" x14ac:dyDescent="0.35">
      <c r="A512" s="45" t="s">
        <v>3588</v>
      </c>
      <c r="C512" s="36">
        <v>45899</v>
      </c>
      <c r="D512" s="36" t="s">
        <v>2313</v>
      </c>
      <c r="E512" s="37" t="s">
        <v>3147</v>
      </c>
      <c r="F512" s="37" t="s">
        <v>4026</v>
      </c>
      <c r="G512" s="38">
        <v>8.81</v>
      </c>
      <c r="H512" s="38"/>
      <c r="I512" s="37"/>
      <c r="J512" s="37"/>
      <c r="K512" s="38">
        <f t="shared" si="7"/>
        <v>8.81</v>
      </c>
      <c r="L512" s="38"/>
    </row>
    <row r="513" spans="1:12" ht="14.5" x14ac:dyDescent="0.35">
      <c r="A513" s="45" t="s">
        <v>3588</v>
      </c>
      <c r="C513" s="36">
        <v>45899</v>
      </c>
      <c r="D513" s="36" t="s">
        <v>2313</v>
      </c>
      <c r="E513" s="37" t="s">
        <v>3149</v>
      </c>
      <c r="F513" s="37" t="s">
        <v>4026</v>
      </c>
      <c r="G513" s="38">
        <v>6042.51</v>
      </c>
      <c r="H513" s="38"/>
      <c r="I513" s="37"/>
      <c r="J513" s="37"/>
      <c r="K513" s="38">
        <f t="shared" si="7"/>
        <v>6042.51</v>
      </c>
      <c r="L513" s="38"/>
    </row>
    <row r="514" spans="1:12" ht="14.5" x14ac:dyDescent="0.35">
      <c r="A514" s="45" t="s">
        <v>3588</v>
      </c>
      <c r="C514" s="36">
        <v>45899</v>
      </c>
      <c r="D514" s="36" t="s">
        <v>2313</v>
      </c>
      <c r="E514" s="37" t="s">
        <v>3151</v>
      </c>
      <c r="F514" s="37" t="s">
        <v>4026</v>
      </c>
      <c r="G514" s="38">
        <v>2428.5500000000002</v>
      </c>
      <c r="H514" s="38"/>
      <c r="I514" s="37"/>
      <c r="J514" s="37"/>
      <c r="K514" s="38">
        <f t="shared" si="7"/>
        <v>2428.5500000000002</v>
      </c>
      <c r="L514" s="38"/>
    </row>
    <row r="515" spans="1:12" ht="14.5" x14ac:dyDescent="0.35">
      <c r="A515" s="45" t="s">
        <v>3588</v>
      </c>
      <c r="C515" s="36">
        <v>45899</v>
      </c>
      <c r="D515" s="36" t="s">
        <v>2313</v>
      </c>
      <c r="E515" s="37" t="s">
        <v>3152</v>
      </c>
      <c r="F515" s="37" t="s">
        <v>4026</v>
      </c>
      <c r="G515" s="38">
        <v>30.22</v>
      </c>
      <c r="H515" s="38"/>
      <c r="I515" s="37"/>
      <c r="J515" s="37"/>
      <c r="K515" s="38">
        <f t="shared" si="7"/>
        <v>30.22</v>
      </c>
      <c r="L515" s="38"/>
    </row>
    <row r="516" spans="1:12" ht="14.5" x14ac:dyDescent="0.35">
      <c r="A516" s="45" t="s">
        <v>3588</v>
      </c>
      <c r="C516" s="36">
        <v>45899</v>
      </c>
      <c r="D516" s="36" t="s">
        <v>301</v>
      </c>
      <c r="E516" s="37">
        <v>37789</v>
      </c>
      <c r="F516" s="37" t="s">
        <v>4026</v>
      </c>
      <c r="G516" s="38">
        <v>64.700000000000017</v>
      </c>
      <c r="H516" s="38"/>
      <c r="I516" s="37"/>
      <c r="J516" s="37"/>
      <c r="K516" s="38">
        <f t="shared" si="7"/>
        <v>64.700000000000017</v>
      </c>
      <c r="L516" s="38"/>
    </row>
    <row r="517" spans="1:12" ht="14.5" x14ac:dyDescent="0.35">
      <c r="A517" s="45" t="s">
        <v>3588</v>
      </c>
      <c r="C517" s="36">
        <v>45899</v>
      </c>
      <c r="D517" s="36" t="s">
        <v>3470</v>
      </c>
      <c r="E517" s="37" t="s">
        <v>3155</v>
      </c>
      <c r="F517" s="37" t="s">
        <v>4026</v>
      </c>
      <c r="G517" s="38">
        <v>1571.7</v>
      </c>
      <c r="H517" s="38"/>
      <c r="I517" s="37"/>
      <c r="J517" s="37"/>
      <c r="K517" s="38">
        <f t="shared" ref="K517:K580" si="8">G517-H517</f>
        <v>1571.7</v>
      </c>
      <c r="L517" s="38"/>
    </row>
    <row r="518" spans="1:12" ht="14.5" x14ac:dyDescent="0.35">
      <c r="A518" s="45" t="s">
        <v>3588</v>
      </c>
      <c r="C518" s="36">
        <v>45899</v>
      </c>
      <c r="D518" s="36" t="s">
        <v>999</v>
      </c>
      <c r="E518" s="37" t="s">
        <v>3156</v>
      </c>
      <c r="F518" s="37" t="s">
        <v>4026</v>
      </c>
      <c r="G518" s="38">
        <v>5071.5899999999992</v>
      </c>
      <c r="H518" s="38"/>
      <c r="I518" s="37"/>
      <c r="J518" s="37"/>
      <c r="K518" s="38">
        <f t="shared" si="8"/>
        <v>5071.5899999999992</v>
      </c>
      <c r="L518" s="38"/>
    </row>
    <row r="519" spans="1:12" ht="14.5" x14ac:dyDescent="0.35">
      <c r="A519" s="45" t="s">
        <v>3588</v>
      </c>
      <c r="C519" s="36">
        <v>45899</v>
      </c>
      <c r="D519" s="36" t="s">
        <v>999</v>
      </c>
      <c r="E519" s="37" t="s">
        <v>3157</v>
      </c>
      <c r="F519" s="37" t="s">
        <v>4026</v>
      </c>
      <c r="G519" s="38">
        <v>8.42</v>
      </c>
      <c r="H519" s="38"/>
      <c r="I519" s="37"/>
      <c r="J519" s="37"/>
      <c r="K519" s="38">
        <f t="shared" si="8"/>
        <v>8.42</v>
      </c>
      <c r="L519" s="38"/>
    </row>
    <row r="520" spans="1:12" ht="14.5" x14ac:dyDescent="0.35">
      <c r="A520" s="45" t="s">
        <v>3588</v>
      </c>
      <c r="C520" s="36">
        <v>45899</v>
      </c>
      <c r="D520" s="36" t="s">
        <v>2449</v>
      </c>
      <c r="E520" s="37" t="s">
        <v>3158</v>
      </c>
      <c r="F520" s="37" t="s">
        <v>4026</v>
      </c>
      <c r="G520" s="38">
        <v>997.51</v>
      </c>
      <c r="H520" s="38"/>
      <c r="I520" s="37"/>
      <c r="J520" s="37"/>
      <c r="K520" s="38">
        <f t="shared" si="8"/>
        <v>997.51</v>
      </c>
      <c r="L520" s="38"/>
    </row>
    <row r="521" spans="1:12" ht="14.5" x14ac:dyDescent="0.35">
      <c r="A521" s="45" t="s">
        <v>3588</v>
      </c>
      <c r="C521" s="36">
        <v>45899</v>
      </c>
      <c r="D521" s="36" t="s">
        <v>2449</v>
      </c>
      <c r="E521" s="37" t="s">
        <v>3159</v>
      </c>
      <c r="F521" s="37" t="s">
        <v>4026</v>
      </c>
      <c r="G521" s="38">
        <v>610.20999999999992</v>
      </c>
      <c r="H521" s="38"/>
      <c r="I521" s="37"/>
      <c r="J521" s="37"/>
      <c r="K521" s="38">
        <f t="shared" si="8"/>
        <v>610.20999999999992</v>
      </c>
      <c r="L521" s="38"/>
    </row>
    <row r="522" spans="1:12" ht="14.5" x14ac:dyDescent="0.35">
      <c r="A522" s="45" t="s">
        <v>3588</v>
      </c>
      <c r="C522" s="36">
        <v>45899</v>
      </c>
      <c r="D522" s="36" t="s">
        <v>3478</v>
      </c>
      <c r="E522" s="37" t="s">
        <v>3160</v>
      </c>
      <c r="F522" s="37" t="s">
        <v>4026</v>
      </c>
      <c r="G522" s="38">
        <v>51.5</v>
      </c>
      <c r="H522" s="38"/>
      <c r="I522" s="37"/>
      <c r="J522" s="37"/>
      <c r="K522" s="38">
        <f t="shared" si="8"/>
        <v>51.5</v>
      </c>
      <c r="L522" s="38"/>
    </row>
    <row r="523" spans="1:12" ht="14.5" x14ac:dyDescent="0.35">
      <c r="A523" s="45" t="s">
        <v>3588</v>
      </c>
      <c r="C523" s="36">
        <v>45899</v>
      </c>
      <c r="D523" s="36" t="s">
        <v>3478</v>
      </c>
      <c r="E523" s="37" t="s">
        <v>3161</v>
      </c>
      <c r="F523" s="37" t="s">
        <v>4026</v>
      </c>
      <c r="G523" s="38">
        <v>2060.11</v>
      </c>
      <c r="H523" s="38"/>
      <c r="I523" s="37"/>
      <c r="J523" s="37"/>
      <c r="K523" s="38">
        <f t="shared" si="8"/>
        <v>2060.11</v>
      </c>
      <c r="L523" s="38"/>
    </row>
    <row r="524" spans="1:12" ht="14.5" x14ac:dyDescent="0.35">
      <c r="A524" s="45" t="s">
        <v>3588</v>
      </c>
      <c r="C524" s="36">
        <v>45899</v>
      </c>
      <c r="D524" s="36" t="s">
        <v>3478</v>
      </c>
      <c r="E524" s="37" t="s">
        <v>3162</v>
      </c>
      <c r="F524" s="37" t="s">
        <v>4026</v>
      </c>
      <c r="G524" s="38">
        <v>433.61</v>
      </c>
      <c r="H524" s="38"/>
      <c r="I524" s="37"/>
      <c r="J524" s="37"/>
      <c r="K524" s="38">
        <f t="shared" si="8"/>
        <v>433.61</v>
      </c>
      <c r="L524" s="38"/>
    </row>
    <row r="525" spans="1:12" ht="14.5" x14ac:dyDescent="0.35">
      <c r="A525" s="45" t="s">
        <v>3588</v>
      </c>
      <c r="C525" s="36">
        <v>45899</v>
      </c>
      <c r="D525" s="36" t="s">
        <v>3478</v>
      </c>
      <c r="E525" s="37" t="s">
        <v>3163</v>
      </c>
      <c r="F525" s="37" t="s">
        <v>4026</v>
      </c>
      <c r="G525" s="38">
        <v>11.63</v>
      </c>
      <c r="H525" s="38"/>
      <c r="I525" s="37"/>
      <c r="J525" s="37"/>
      <c r="K525" s="38">
        <f t="shared" si="8"/>
        <v>11.63</v>
      </c>
      <c r="L525" s="38"/>
    </row>
    <row r="526" spans="1:12" ht="14.5" x14ac:dyDescent="0.35">
      <c r="A526" s="45" t="s">
        <v>3588</v>
      </c>
      <c r="C526" s="36">
        <v>45899</v>
      </c>
      <c r="D526" s="36" t="s">
        <v>3478</v>
      </c>
      <c r="E526" s="37" t="s">
        <v>3164</v>
      </c>
      <c r="F526" s="37" t="s">
        <v>4026</v>
      </c>
      <c r="G526" s="38">
        <v>129.15</v>
      </c>
      <c r="H526" s="38"/>
      <c r="I526" s="37"/>
      <c r="J526" s="37"/>
      <c r="K526" s="38">
        <f t="shared" si="8"/>
        <v>129.15</v>
      </c>
      <c r="L526" s="38"/>
    </row>
    <row r="527" spans="1:12" ht="14.5" x14ac:dyDescent="0.35">
      <c r="A527" s="45" t="s">
        <v>3588</v>
      </c>
      <c r="C527" s="36">
        <v>45899</v>
      </c>
      <c r="D527" s="36" t="s">
        <v>2144</v>
      </c>
      <c r="E527" s="37" t="s">
        <v>3165</v>
      </c>
      <c r="F527" s="37" t="s">
        <v>4026</v>
      </c>
      <c r="G527" s="38">
        <v>3202.08</v>
      </c>
      <c r="H527" s="38"/>
      <c r="I527" s="37"/>
      <c r="J527" s="37"/>
      <c r="K527" s="38">
        <f t="shared" si="8"/>
        <v>3202.08</v>
      </c>
      <c r="L527" s="38"/>
    </row>
    <row r="528" spans="1:12" ht="14.5" x14ac:dyDescent="0.35">
      <c r="A528" s="45" t="s">
        <v>3588</v>
      </c>
      <c r="C528" s="36">
        <v>45899</v>
      </c>
      <c r="D528" s="36" t="s">
        <v>2205</v>
      </c>
      <c r="E528" s="37" t="s">
        <v>3167</v>
      </c>
      <c r="F528" s="37" t="s">
        <v>4026</v>
      </c>
      <c r="G528" s="38">
        <v>32.090000000000003</v>
      </c>
      <c r="H528" s="38"/>
      <c r="I528" s="37"/>
      <c r="J528" s="37"/>
      <c r="K528" s="38">
        <f t="shared" si="8"/>
        <v>32.090000000000003</v>
      </c>
      <c r="L528" s="38"/>
    </row>
    <row r="529" spans="1:12" ht="14.5" x14ac:dyDescent="0.35">
      <c r="A529" s="45" t="s">
        <v>3588</v>
      </c>
      <c r="C529" s="36">
        <v>45899</v>
      </c>
      <c r="D529" s="36" t="s">
        <v>2205</v>
      </c>
      <c r="E529" s="37" t="s">
        <v>3168</v>
      </c>
      <c r="F529" s="37" t="s">
        <v>4026</v>
      </c>
      <c r="G529" s="38">
        <v>132.38</v>
      </c>
      <c r="H529" s="38"/>
      <c r="I529" s="37"/>
      <c r="J529" s="37"/>
      <c r="K529" s="38">
        <f t="shared" si="8"/>
        <v>132.38</v>
      </c>
      <c r="L529" s="38"/>
    </row>
    <row r="530" spans="1:12" ht="14.5" x14ac:dyDescent="0.35">
      <c r="A530" s="45" t="s">
        <v>3588</v>
      </c>
      <c r="C530" s="36">
        <v>45899</v>
      </c>
      <c r="D530" s="36" t="s">
        <v>2392</v>
      </c>
      <c r="E530" s="37" t="s">
        <v>3169</v>
      </c>
      <c r="F530" s="37" t="s">
        <v>4026</v>
      </c>
      <c r="G530" s="38">
        <v>259.06</v>
      </c>
      <c r="H530" s="38"/>
      <c r="I530" s="37"/>
      <c r="J530" s="37"/>
      <c r="K530" s="38">
        <f t="shared" si="8"/>
        <v>259.06</v>
      </c>
      <c r="L530" s="38"/>
    </row>
    <row r="531" spans="1:12" ht="14.5" x14ac:dyDescent="0.35">
      <c r="A531" s="45" t="s">
        <v>3588</v>
      </c>
      <c r="C531" s="36">
        <v>45899</v>
      </c>
      <c r="D531" s="36" t="s">
        <v>2392</v>
      </c>
      <c r="E531" s="37" t="s">
        <v>3170</v>
      </c>
      <c r="F531" s="37" t="s">
        <v>4026</v>
      </c>
      <c r="G531" s="38">
        <v>17.98</v>
      </c>
      <c r="H531" s="38"/>
      <c r="I531" s="37"/>
      <c r="J531" s="37"/>
      <c r="K531" s="38">
        <f t="shared" si="8"/>
        <v>17.98</v>
      </c>
      <c r="L531" s="38"/>
    </row>
    <row r="532" spans="1:12" ht="14.5" x14ac:dyDescent="0.35">
      <c r="A532" s="45" t="s">
        <v>3588</v>
      </c>
      <c r="C532" s="36">
        <v>45899</v>
      </c>
      <c r="D532" s="36" t="s">
        <v>2392</v>
      </c>
      <c r="E532" s="37" t="s">
        <v>3171</v>
      </c>
      <c r="F532" s="37" t="s">
        <v>4026</v>
      </c>
      <c r="G532" s="38">
        <v>20500.099999999999</v>
      </c>
      <c r="H532" s="38"/>
      <c r="I532" s="37"/>
      <c r="J532" s="37"/>
      <c r="K532" s="38">
        <f t="shared" si="8"/>
        <v>20500.099999999999</v>
      </c>
      <c r="L532" s="38"/>
    </row>
    <row r="533" spans="1:12" ht="14.5" x14ac:dyDescent="0.35">
      <c r="A533" s="45" t="s">
        <v>3588</v>
      </c>
      <c r="C533" s="36">
        <v>45899</v>
      </c>
      <c r="D533" s="36" t="s">
        <v>2392</v>
      </c>
      <c r="E533" s="37" t="s">
        <v>3172</v>
      </c>
      <c r="F533" s="37" t="s">
        <v>4026</v>
      </c>
      <c r="G533" s="38">
        <v>5582.97</v>
      </c>
      <c r="H533" s="38"/>
      <c r="I533" s="37"/>
      <c r="J533" s="37"/>
      <c r="K533" s="38">
        <f t="shared" si="8"/>
        <v>5582.97</v>
      </c>
      <c r="L533" s="38"/>
    </row>
    <row r="534" spans="1:12" ht="14.5" x14ac:dyDescent="0.35">
      <c r="A534" s="45" t="s">
        <v>3588</v>
      </c>
      <c r="C534" s="36">
        <v>45899</v>
      </c>
      <c r="D534" s="36" t="s">
        <v>2392</v>
      </c>
      <c r="E534" s="37" t="s">
        <v>3173</v>
      </c>
      <c r="F534" s="37" t="s">
        <v>4026</v>
      </c>
      <c r="G534" s="38">
        <v>78.87</v>
      </c>
      <c r="H534" s="38"/>
      <c r="I534" s="37"/>
      <c r="J534" s="37"/>
      <c r="K534" s="38">
        <f t="shared" si="8"/>
        <v>78.87</v>
      </c>
      <c r="L534" s="38"/>
    </row>
    <row r="535" spans="1:12" ht="14.5" x14ac:dyDescent="0.35">
      <c r="A535" s="45" t="s">
        <v>3588</v>
      </c>
      <c r="C535" s="36">
        <v>45899</v>
      </c>
      <c r="D535" s="36" t="s">
        <v>2392</v>
      </c>
      <c r="E535" s="37" t="s">
        <v>3174</v>
      </c>
      <c r="F535" s="37" t="s">
        <v>4026</v>
      </c>
      <c r="G535" s="38">
        <v>82.68</v>
      </c>
      <c r="H535" s="38"/>
      <c r="I535" s="37"/>
      <c r="J535" s="37"/>
      <c r="K535" s="38">
        <f t="shared" si="8"/>
        <v>82.68</v>
      </c>
      <c r="L535" s="38"/>
    </row>
    <row r="536" spans="1:12" ht="14.5" x14ac:dyDescent="0.35">
      <c r="A536" s="45" t="s">
        <v>3588</v>
      </c>
      <c r="C536" s="36">
        <v>45899</v>
      </c>
      <c r="D536" s="36" t="s">
        <v>2392</v>
      </c>
      <c r="E536" s="37" t="s">
        <v>3175</v>
      </c>
      <c r="F536" s="37" t="s">
        <v>4026</v>
      </c>
      <c r="G536" s="38">
        <v>2858.69</v>
      </c>
      <c r="H536" s="38"/>
      <c r="I536" s="37"/>
      <c r="J536" s="37"/>
      <c r="K536" s="38">
        <f t="shared" si="8"/>
        <v>2858.69</v>
      </c>
      <c r="L536" s="38"/>
    </row>
    <row r="537" spans="1:12" ht="14.5" x14ac:dyDescent="0.35">
      <c r="A537" s="45" t="s">
        <v>3588</v>
      </c>
      <c r="C537" s="36">
        <v>45899</v>
      </c>
      <c r="D537" s="36" t="s">
        <v>2437</v>
      </c>
      <c r="E537" s="37" t="s">
        <v>3176</v>
      </c>
      <c r="F537" s="37" t="s">
        <v>4026</v>
      </c>
      <c r="G537" s="38">
        <v>31617.68</v>
      </c>
      <c r="H537" s="38"/>
      <c r="I537" s="37"/>
      <c r="J537" s="37"/>
      <c r="K537" s="38">
        <f t="shared" si="8"/>
        <v>31617.68</v>
      </c>
      <c r="L537" s="38"/>
    </row>
    <row r="538" spans="1:12" ht="14.5" x14ac:dyDescent="0.35">
      <c r="A538" s="45" t="s">
        <v>3588</v>
      </c>
      <c r="C538" s="36">
        <v>45899</v>
      </c>
      <c r="D538" s="36" t="s">
        <v>3479</v>
      </c>
      <c r="E538" s="37" t="s">
        <v>3177</v>
      </c>
      <c r="F538" s="37" t="s">
        <v>4026</v>
      </c>
      <c r="G538" s="38">
        <v>3125.09</v>
      </c>
      <c r="H538" s="38"/>
      <c r="I538" s="37"/>
      <c r="J538" s="37"/>
      <c r="K538" s="38">
        <f t="shared" si="8"/>
        <v>3125.09</v>
      </c>
      <c r="L538" s="38"/>
    </row>
    <row r="539" spans="1:12" ht="14.5" x14ac:dyDescent="0.35">
      <c r="A539" s="45" t="s">
        <v>3588</v>
      </c>
      <c r="C539" s="36">
        <v>45899</v>
      </c>
      <c r="D539" s="36" t="s">
        <v>3480</v>
      </c>
      <c r="E539" s="37" t="s">
        <v>3178</v>
      </c>
      <c r="F539" s="37" t="s">
        <v>4026</v>
      </c>
      <c r="G539" s="38">
        <v>21111.630000000008</v>
      </c>
      <c r="H539" s="38"/>
      <c r="I539" s="37"/>
      <c r="J539" s="37"/>
      <c r="K539" s="38">
        <f t="shared" si="8"/>
        <v>21111.630000000008</v>
      </c>
      <c r="L539" s="38"/>
    </row>
    <row r="540" spans="1:12" ht="14.5" x14ac:dyDescent="0.35">
      <c r="A540" s="45" t="s">
        <v>3588</v>
      </c>
      <c r="C540" s="36">
        <v>45899</v>
      </c>
      <c r="D540" s="36" t="s">
        <v>2437</v>
      </c>
      <c r="E540" s="37" t="s">
        <v>3179</v>
      </c>
      <c r="F540" s="37" t="s">
        <v>4026</v>
      </c>
      <c r="G540" s="38">
        <v>41736.950000000004</v>
      </c>
      <c r="H540" s="38"/>
      <c r="I540" s="37"/>
      <c r="J540" s="37"/>
      <c r="K540" s="38">
        <f t="shared" si="8"/>
        <v>41736.950000000004</v>
      </c>
      <c r="L540" s="38"/>
    </row>
    <row r="541" spans="1:12" ht="14.5" x14ac:dyDescent="0.35">
      <c r="A541" s="45" t="s">
        <v>3588</v>
      </c>
      <c r="C541" s="36">
        <v>45899</v>
      </c>
      <c r="D541" s="36" t="s">
        <v>2437</v>
      </c>
      <c r="E541" s="37" t="s">
        <v>3180</v>
      </c>
      <c r="F541" s="37" t="s">
        <v>4026</v>
      </c>
      <c r="G541" s="38">
        <v>13301.31</v>
      </c>
      <c r="H541" s="38"/>
      <c r="I541" s="37"/>
      <c r="J541" s="37"/>
      <c r="K541" s="38">
        <f t="shared" si="8"/>
        <v>13301.31</v>
      </c>
      <c r="L541" s="38"/>
    </row>
    <row r="542" spans="1:12" ht="14.5" x14ac:dyDescent="0.35">
      <c r="A542" s="45" t="s">
        <v>3588</v>
      </c>
      <c r="C542" s="36">
        <v>45899</v>
      </c>
      <c r="D542" s="36" t="s">
        <v>2437</v>
      </c>
      <c r="E542" s="37" t="s">
        <v>3181</v>
      </c>
      <c r="F542" s="37" t="s">
        <v>4026</v>
      </c>
      <c r="G542" s="38">
        <v>111.74</v>
      </c>
      <c r="H542" s="38"/>
      <c r="I542" s="37"/>
      <c r="J542" s="37"/>
      <c r="K542" s="38">
        <f t="shared" si="8"/>
        <v>111.74</v>
      </c>
      <c r="L542" s="38"/>
    </row>
    <row r="543" spans="1:12" ht="14.5" x14ac:dyDescent="0.35">
      <c r="A543" s="45" t="s">
        <v>3588</v>
      </c>
      <c r="C543" s="36">
        <v>45899</v>
      </c>
      <c r="D543" s="36" t="s">
        <v>1608</v>
      </c>
      <c r="E543" s="37" t="s">
        <v>3182</v>
      </c>
      <c r="F543" s="37" t="s">
        <v>4026</v>
      </c>
      <c r="G543" s="38">
        <v>130.12</v>
      </c>
      <c r="H543" s="38"/>
      <c r="I543" s="37"/>
      <c r="J543" s="37"/>
      <c r="K543" s="38">
        <f t="shared" si="8"/>
        <v>130.12</v>
      </c>
      <c r="L543" s="38"/>
    </row>
    <row r="544" spans="1:12" ht="14.5" x14ac:dyDescent="0.35">
      <c r="A544" s="45" t="s">
        <v>3588</v>
      </c>
      <c r="C544" s="36">
        <v>45899</v>
      </c>
      <c r="D544" s="36" t="s">
        <v>1608</v>
      </c>
      <c r="E544" s="37" t="s">
        <v>3183</v>
      </c>
      <c r="F544" s="37" t="s">
        <v>4026</v>
      </c>
      <c r="G544" s="38">
        <v>98.43</v>
      </c>
      <c r="H544" s="38"/>
      <c r="I544" s="37"/>
      <c r="J544" s="37"/>
      <c r="K544" s="38">
        <f t="shared" si="8"/>
        <v>98.43</v>
      </c>
      <c r="L544" s="38"/>
    </row>
    <row r="545" spans="1:12" ht="14.5" x14ac:dyDescent="0.35">
      <c r="A545" s="45" t="s">
        <v>3588</v>
      </c>
      <c r="C545" s="36">
        <v>45899</v>
      </c>
      <c r="D545" s="36" t="s">
        <v>1608</v>
      </c>
      <c r="E545" s="37" t="s">
        <v>3184</v>
      </c>
      <c r="F545" s="37" t="s">
        <v>4026</v>
      </c>
      <c r="G545" s="38">
        <v>295.72000000000003</v>
      </c>
      <c r="H545" s="38"/>
      <c r="I545" s="37"/>
      <c r="J545" s="37"/>
      <c r="K545" s="38">
        <f t="shared" si="8"/>
        <v>295.72000000000003</v>
      </c>
      <c r="L545" s="38"/>
    </row>
    <row r="546" spans="1:12" ht="14.5" x14ac:dyDescent="0.35">
      <c r="A546" s="45" t="s">
        <v>3588</v>
      </c>
      <c r="C546" s="36">
        <v>45899</v>
      </c>
      <c r="D546" s="36" t="s">
        <v>3481</v>
      </c>
      <c r="E546" s="37" t="s">
        <v>3185</v>
      </c>
      <c r="F546" s="37" t="s">
        <v>4026</v>
      </c>
      <c r="G546" s="38">
        <v>2.1800000000000002</v>
      </c>
      <c r="H546" s="38"/>
      <c r="I546" s="37"/>
      <c r="J546" s="37"/>
      <c r="K546" s="38">
        <f t="shared" si="8"/>
        <v>2.1800000000000002</v>
      </c>
      <c r="L546" s="38"/>
    </row>
    <row r="547" spans="1:12" ht="14.5" x14ac:dyDescent="0.35">
      <c r="A547" s="45" t="s">
        <v>3588</v>
      </c>
      <c r="C547" s="36">
        <v>45899</v>
      </c>
      <c r="D547" s="36" t="s">
        <v>3481</v>
      </c>
      <c r="E547" s="37" t="s">
        <v>3186</v>
      </c>
      <c r="F547" s="37" t="s">
        <v>4026</v>
      </c>
      <c r="G547" s="38">
        <v>5550.68</v>
      </c>
      <c r="H547" s="38"/>
      <c r="I547" s="37"/>
      <c r="J547" s="37"/>
      <c r="K547" s="38">
        <f t="shared" si="8"/>
        <v>5550.68</v>
      </c>
      <c r="L547" s="38"/>
    </row>
    <row r="548" spans="1:12" ht="14.5" x14ac:dyDescent="0.35">
      <c r="A548" s="45" t="s">
        <v>3588</v>
      </c>
      <c r="C548" s="36">
        <v>45899</v>
      </c>
      <c r="D548" s="36" t="s">
        <v>3481</v>
      </c>
      <c r="E548" s="37" t="s">
        <v>3187</v>
      </c>
      <c r="F548" s="37" t="s">
        <v>4026</v>
      </c>
      <c r="G548" s="38">
        <v>6386.09</v>
      </c>
      <c r="H548" s="38"/>
      <c r="I548" s="37"/>
      <c r="J548" s="37"/>
      <c r="K548" s="38">
        <f t="shared" si="8"/>
        <v>6386.09</v>
      </c>
      <c r="L548" s="38"/>
    </row>
    <row r="549" spans="1:12" ht="14.5" x14ac:dyDescent="0.35">
      <c r="A549" s="45" t="s">
        <v>3588</v>
      </c>
      <c r="C549" s="36">
        <v>45899</v>
      </c>
      <c r="D549" s="36" t="s">
        <v>3482</v>
      </c>
      <c r="E549" s="37" t="s">
        <v>3188</v>
      </c>
      <c r="F549" s="37" t="s">
        <v>4026</v>
      </c>
      <c r="G549" s="38">
        <v>200</v>
      </c>
      <c r="H549" s="38"/>
      <c r="I549" s="37"/>
      <c r="J549" s="37"/>
      <c r="K549" s="38">
        <f t="shared" si="8"/>
        <v>200</v>
      </c>
      <c r="L549" s="38"/>
    </row>
    <row r="550" spans="1:12" ht="14.5" x14ac:dyDescent="0.35">
      <c r="A550" s="45" t="s">
        <v>3588</v>
      </c>
      <c r="C550" s="36">
        <v>45899</v>
      </c>
      <c r="D550" s="36" t="s">
        <v>3483</v>
      </c>
      <c r="E550" s="37">
        <v>38034</v>
      </c>
      <c r="F550" s="37" t="s">
        <v>4026</v>
      </c>
      <c r="G550" s="38">
        <v>2454.73</v>
      </c>
      <c r="H550" s="38"/>
      <c r="I550" s="37"/>
      <c r="J550" s="37"/>
      <c r="K550" s="38">
        <f t="shared" si="8"/>
        <v>2454.73</v>
      </c>
      <c r="L550" s="38"/>
    </row>
    <row r="551" spans="1:12" ht="14.5" x14ac:dyDescent="0.35">
      <c r="A551" s="45" t="s">
        <v>3588</v>
      </c>
      <c r="C551" s="36">
        <v>45899</v>
      </c>
      <c r="D551" s="36" t="s">
        <v>3479</v>
      </c>
      <c r="E551" s="37" t="s">
        <v>3189</v>
      </c>
      <c r="F551" s="37" t="s">
        <v>4026</v>
      </c>
      <c r="G551" s="38">
        <v>8670.8700000000008</v>
      </c>
      <c r="H551" s="38"/>
      <c r="I551" s="37"/>
      <c r="J551" s="37"/>
      <c r="K551" s="38">
        <f t="shared" si="8"/>
        <v>8670.8700000000008</v>
      </c>
      <c r="L551" s="38"/>
    </row>
    <row r="552" spans="1:12" ht="14.5" x14ac:dyDescent="0.35">
      <c r="A552" s="45" t="s">
        <v>3588</v>
      </c>
      <c r="C552" s="36">
        <v>45899</v>
      </c>
      <c r="D552" s="36" t="s">
        <v>2629</v>
      </c>
      <c r="E552" s="37" t="s">
        <v>3190</v>
      </c>
      <c r="F552" s="37" t="s">
        <v>4026</v>
      </c>
      <c r="G552" s="38">
        <v>4601.51</v>
      </c>
      <c r="H552" s="38"/>
      <c r="I552" s="37"/>
      <c r="J552" s="37"/>
      <c r="K552" s="38">
        <f t="shared" si="8"/>
        <v>4601.51</v>
      </c>
      <c r="L552" s="38"/>
    </row>
    <row r="553" spans="1:12" ht="14.5" x14ac:dyDescent="0.35">
      <c r="A553" s="45" t="s">
        <v>3588</v>
      </c>
      <c r="C553" s="36">
        <v>45899</v>
      </c>
      <c r="D553" s="36" t="s">
        <v>2629</v>
      </c>
      <c r="E553" s="37" t="s">
        <v>3191</v>
      </c>
      <c r="F553" s="37" t="s">
        <v>4026</v>
      </c>
      <c r="G553" s="38">
        <v>30.75</v>
      </c>
      <c r="H553" s="38"/>
      <c r="I553" s="37"/>
      <c r="J553" s="37"/>
      <c r="K553" s="38">
        <f t="shared" si="8"/>
        <v>30.75</v>
      </c>
      <c r="L553" s="38"/>
    </row>
    <row r="554" spans="1:12" ht="14.5" x14ac:dyDescent="0.35">
      <c r="A554" s="45" t="s">
        <v>3588</v>
      </c>
      <c r="C554" s="36">
        <v>45899</v>
      </c>
      <c r="D554" s="36" t="s">
        <v>2429</v>
      </c>
      <c r="E554" s="37" t="s">
        <v>3192</v>
      </c>
      <c r="F554" s="37" t="s">
        <v>4026</v>
      </c>
      <c r="G554" s="38">
        <v>1465.8200000000002</v>
      </c>
      <c r="H554" s="38"/>
      <c r="I554" s="37"/>
      <c r="J554" s="37"/>
      <c r="K554" s="38">
        <f t="shared" si="8"/>
        <v>1465.8200000000002</v>
      </c>
      <c r="L554" s="38"/>
    </row>
    <row r="555" spans="1:12" ht="14.5" x14ac:dyDescent="0.35">
      <c r="A555" s="45" t="s">
        <v>3588</v>
      </c>
      <c r="C555" s="36">
        <v>45899</v>
      </c>
      <c r="D555" s="36" t="s">
        <v>2429</v>
      </c>
      <c r="E555" s="37" t="s">
        <v>3193</v>
      </c>
      <c r="F555" s="37" t="s">
        <v>4026</v>
      </c>
      <c r="G555" s="38">
        <v>6.2</v>
      </c>
      <c r="H555" s="38"/>
      <c r="I555" s="37"/>
      <c r="J555" s="37"/>
      <c r="K555" s="38">
        <f t="shared" si="8"/>
        <v>6.2</v>
      </c>
      <c r="L555" s="38"/>
    </row>
    <row r="556" spans="1:12" ht="14.5" x14ac:dyDescent="0.35">
      <c r="A556" s="45" t="s">
        <v>3588</v>
      </c>
      <c r="C556" s="36">
        <v>45899</v>
      </c>
      <c r="D556" s="36" t="s">
        <v>3470</v>
      </c>
      <c r="E556" s="37">
        <v>38051</v>
      </c>
      <c r="F556" s="37" t="s">
        <v>4026</v>
      </c>
      <c r="G556" s="38">
        <v>40200.090000000004</v>
      </c>
      <c r="H556" s="38"/>
      <c r="I556" s="37"/>
      <c r="J556" s="37"/>
      <c r="K556" s="38">
        <f t="shared" si="8"/>
        <v>40200.090000000004</v>
      </c>
      <c r="L556" s="38"/>
    </row>
    <row r="557" spans="1:12" ht="14.5" x14ac:dyDescent="0.35">
      <c r="A557" s="45" t="s">
        <v>3588</v>
      </c>
      <c r="C557" s="36">
        <v>45899</v>
      </c>
      <c r="D557" s="36" t="s">
        <v>1695</v>
      </c>
      <c r="E557" s="37" t="s">
        <v>3194</v>
      </c>
      <c r="F557" s="37" t="s">
        <v>4026</v>
      </c>
      <c r="G557" s="38">
        <v>2046.6000000000001</v>
      </c>
      <c r="H557" s="38"/>
      <c r="I557" s="37"/>
      <c r="J557" s="37"/>
      <c r="K557" s="38">
        <f t="shared" si="8"/>
        <v>2046.6000000000001</v>
      </c>
      <c r="L557" s="38"/>
    </row>
    <row r="558" spans="1:12" ht="14.5" x14ac:dyDescent="0.35">
      <c r="A558" s="45" t="s">
        <v>3588</v>
      </c>
      <c r="C558" s="36">
        <v>45899</v>
      </c>
      <c r="D558" s="36" t="s">
        <v>1695</v>
      </c>
      <c r="E558" s="37" t="s">
        <v>3195</v>
      </c>
      <c r="F558" s="37" t="s">
        <v>4026</v>
      </c>
      <c r="G558" s="38">
        <v>428.77</v>
      </c>
      <c r="H558" s="38"/>
      <c r="I558" s="37"/>
      <c r="J558" s="37"/>
      <c r="K558" s="38">
        <f t="shared" si="8"/>
        <v>428.77</v>
      </c>
      <c r="L558" s="38"/>
    </row>
    <row r="559" spans="1:12" ht="14.5" x14ac:dyDescent="0.35">
      <c r="A559" s="45" t="s">
        <v>3588</v>
      </c>
      <c r="C559" s="36">
        <v>45899</v>
      </c>
      <c r="D559" s="36" t="s">
        <v>1695</v>
      </c>
      <c r="E559" s="37" t="s">
        <v>3196</v>
      </c>
      <c r="F559" s="37" t="s">
        <v>4026</v>
      </c>
      <c r="G559" s="38">
        <v>190.34</v>
      </c>
      <c r="H559" s="38"/>
      <c r="I559" s="37"/>
      <c r="J559" s="37"/>
      <c r="K559" s="38">
        <f t="shared" si="8"/>
        <v>190.34</v>
      </c>
      <c r="L559" s="38"/>
    </row>
    <row r="560" spans="1:12" ht="14.5" x14ac:dyDescent="0.35">
      <c r="A560" s="45" t="s">
        <v>3588</v>
      </c>
      <c r="C560" s="36">
        <v>45899</v>
      </c>
      <c r="D560" s="36" t="s">
        <v>1695</v>
      </c>
      <c r="E560" s="37" t="s">
        <v>3197</v>
      </c>
      <c r="F560" s="37" t="s">
        <v>4026</v>
      </c>
      <c r="G560" s="38">
        <v>893</v>
      </c>
      <c r="H560" s="38"/>
      <c r="I560" s="37"/>
      <c r="J560" s="37"/>
      <c r="K560" s="38">
        <f t="shared" si="8"/>
        <v>893</v>
      </c>
      <c r="L560" s="38"/>
    </row>
    <row r="561" spans="1:12" ht="14.5" x14ac:dyDescent="0.35">
      <c r="A561" s="45" t="s">
        <v>3588</v>
      </c>
      <c r="C561" s="36">
        <v>45899</v>
      </c>
      <c r="D561" s="36" t="s">
        <v>3484</v>
      </c>
      <c r="E561" s="37" t="s">
        <v>3198</v>
      </c>
      <c r="F561" s="37" t="s">
        <v>4026</v>
      </c>
      <c r="G561" s="38">
        <v>0</v>
      </c>
      <c r="H561" s="38"/>
      <c r="I561" s="37"/>
      <c r="J561" s="37"/>
      <c r="K561" s="38">
        <f t="shared" si="8"/>
        <v>0</v>
      </c>
      <c r="L561" s="38"/>
    </row>
    <row r="562" spans="1:12" ht="14.5" x14ac:dyDescent="0.35">
      <c r="A562" s="45" t="s">
        <v>3588</v>
      </c>
      <c r="C562" s="36">
        <v>45899</v>
      </c>
      <c r="D562" s="36" t="s">
        <v>3484</v>
      </c>
      <c r="E562" s="37" t="s">
        <v>3199</v>
      </c>
      <c r="F562" s="37" t="s">
        <v>4026</v>
      </c>
      <c r="G562" s="38">
        <v>0</v>
      </c>
      <c r="H562" s="38"/>
      <c r="I562" s="37"/>
      <c r="J562" s="37"/>
      <c r="K562" s="38">
        <f t="shared" si="8"/>
        <v>0</v>
      </c>
      <c r="L562" s="38"/>
    </row>
    <row r="563" spans="1:12" ht="14.5" x14ac:dyDescent="0.35">
      <c r="A563" s="45" t="s">
        <v>3588</v>
      </c>
      <c r="C563" s="36">
        <v>45899</v>
      </c>
      <c r="D563" s="36" t="s">
        <v>3485</v>
      </c>
      <c r="E563" s="37" t="s">
        <v>3200</v>
      </c>
      <c r="F563" s="37" t="s">
        <v>4026</v>
      </c>
      <c r="G563" s="38">
        <v>0</v>
      </c>
      <c r="H563" s="38"/>
      <c r="I563" s="37"/>
      <c r="J563" s="37"/>
      <c r="K563" s="38">
        <f t="shared" si="8"/>
        <v>0</v>
      </c>
      <c r="L563" s="38"/>
    </row>
    <row r="564" spans="1:12" ht="14.5" x14ac:dyDescent="0.35">
      <c r="A564" s="45" t="s">
        <v>3588</v>
      </c>
      <c r="C564" s="36">
        <v>45899</v>
      </c>
      <c r="D564" s="36" t="s">
        <v>2212</v>
      </c>
      <c r="E564" s="37" t="s">
        <v>3201</v>
      </c>
      <c r="F564" s="37" t="s">
        <v>4026</v>
      </c>
      <c r="G564" s="38">
        <v>44172.3</v>
      </c>
      <c r="H564" s="38"/>
      <c r="I564" s="37"/>
      <c r="J564" s="37"/>
      <c r="K564" s="38">
        <f t="shared" si="8"/>
        <v>44172.3</v>
      </c>
      <c r="L564" s="38"/>
    </row>
    <row r="565" spans="1:12" ht="14.5" x14ac:dyDescent="0.35">
      <c r="A565" s="45" t="s">
        <v>3588</v>
      </c>
      <c r="C565" s="36">
        <v>45899</v>
      </c>
      <c r="D565" s="36" t="s">
        <v>3486</v>
      </c>
      <c r="E565" s="37" t="s">
        <v>3202</v>
      </c>
      <c r="F565" s="37" t="s">
        <v>4026</v>
      </c>
      <c r="G565" s="38">
        <v>3122.2</v>
      </c>
      <c r="H565" s="38"/>
      <c r="I565" s="37"/>
      <c r="J565" s="37"/>
      <c r="K565" s="38">
        <f t="shared" si="8"/>
        <v>3122.2</v>
      </c>
      <c r="L565" s="38"/>
    </row>
    <row r="566" spans="1:12" ht="14.5" x14ac:dyDescent="0.35">
      <c r="A566" s="45" t="s">
        <v>3588</v>
      </c>
      <c r="C566" s="36">
        <v>45899</v>
      </c>
      <c r="D566" s="36" t="s">
        <v>3486</v>
      </c>
      <c r="E566" s="37" t="s">
        <v>3203</v>
      </c>
      <c r="F566" s="37" t="s">
        <v>4026</v>
      </c>
      <c r="G566" s="38">
        <v>152.83000000000001</v>
      </c>
      <c r="H566" s="38"/>
      <c r="I566" s="37"/>
      <c r="J566" s="37"/>
      <c r="K566" s="38">
        <f t="shared" si="8"/>
        <v>152.83000000000001</v>
      </c>
      <c r="L566" s="38"/>
    </row>
    <row r="567" spans="1:12" ht="14.5" x14ac:dyDescent="0.35">
      <c r="A567" s="45" t="s">
        <v>3588</v>
      </c>
      <c r="C567" s="36">
        <v>45899</v>
      </c>
      <c r="D567" s="36" t="s">
        <v>3486</v>
      </c>
      <c r="E567" s="37" t="s">
        <v>3204</v>
      </c>
      <c r="F567" s="37" t="s">
        <v>4026</v>
      </c>
      <c r="G567" s="38">
        <v>13366.08</v>
      </c>
      <c r="H567" s="38"/>
      <c r="I567" s="37"/>
      <c r="J567" s="37"/>
      <c r="K567" s="38">
        <f t="shared" si="8"/>
        <v>13366.08</v>
      </c>
      <c r="L567" s="38"/>
    </row>
    <row r="568" spans="1:12" ht="14.5" x14ac:dyDescent="0.35">
      <c r="A568" s="45" t="s">
        <v>3588</v>
      </c>
      <c r="C568" s="36">
        <v>45899</v>
      </c>
      <c r="D568" s="36" t="s">
        <v>3486</v>
      </c>
      <c r="E568" s="37" t="s">
        <v>3205</v>
      </c>
      <c r="F568" s="37" t="s">
        <v>4026</v>
      </c>
      <c r="G568" s="38">
        <v>832.19</v>
      </c>
      <c r="H568" s="38"/>
      <c r="I568" s="37"/>
      <c r="J568" s="37"/>
      <c r="K568" s="38">
        <f t="shared" si="8"/>
        <v>832.19</v>
      </c>
      <c r="L568" s="38"/>
    </row>
    <row r="569" spans="1:12" ht="14.5" x14ac:dyDescent="0.35">
      <c r="A569" s="45" t="s">
        <v>3588</v>
      </c>
      <c r="C569" s="36">
        <v>45899</v>
      </c>
      <c r="D569" s="36" t="s">
        <v>3486</v>
      </c>
      <c r="E569" s="37" t="s">
        <v>3206</v>
      </c>
      <c r="F569" s="37" t="s">
        <v>4026</v>
      </c>
      <c r="G569" s="38">
        <v>1283.25</v>
      </c>
      <c r="H569" s="38"/>
      <c r="I569" s="37"/>
      <c r="J569" s="37"/>
      <c r="K569" s="38">
        <f t="shared" si="8"/>
        <v>1283.25</v>
      </c>
      <c r="L569" s="38"/>
    </row>
    <row r="570" spans="1:12" ht="14.5" x14ac:dyDescent="0.35">
      <c r="A570" s="45" t="s">
        <v>3588</v>
      </c>
      <c r="C570" s="36">
        <v>45899</v>
      </c>
      <c r="D570" s="36" t="s">
        <v>3486</v>
      </c>
      <c r="E570" s="37" t="s">
        <v>3207</v>
      </c>
      <c r="F570" s="37" t="s">
        <v>4026</v>
      </c>
      <c r="G570" s="38">
        <v>2731.76</v>
      </c>
      <c r="H570" s="38"/>
      <c r="I570" s="37"/>
      <c r="J570" s="37"/>
      <c r="K570" s="38">
        <f t="shared" si="8"/>
        <v>2731.76</v>
      </c>
      <c r="L570" s="38"/>
    </row>
    <row r="571" spans="1:12" ht="14.5" x14ac:dyDescent="0.35">
      <c r="A571" s="45" t="s">
        <v>3588</v>
      </c>
      <c r="C571" s="36">
        <v>45899</v>
      </c>
      <c r="D571" s="36" t="s">
        <v>3486</v>
      </c>
      <c r="E571" s="37" t="s">
        <v>3208</v>
      </c>
      <c r="F571" s="37" t="s">
        <v>4026</v>
      </c>
      <c r="G571" s="38">
        <v>314.25</v>
      </c>
      <c r="H571" s="38"/>
      <c r="I571" s="37"/>
      <c r="J571" s="37"/>
      <c r="K571" s="38">
        <f t="shared" si="8"/>
        <v>314.25</v>
      </c>
      <c r="L571" s="38"/>
    </row>
    <row r="572" spans="1:12" ht="14.5" x14ac:dyDescent="0.35">
      <c r="A572" s="45" t="s">
        <v>3588</v>
      </c>
      <c r="C572" s="36">
        <v>45899</v>
      </c>
      <c r="D572" s="36" t="s">
        <v>3486</v>
      </c>
      <c r="E572" s="37" t="s">
        <v>3209</v>
      </c>
      <c r="F572" s="37" t="s">
        <v>4026</v>
      </c>
      <c r="G572" s="38">
        <v>2943.93</v>
      </c>
      <c r="H572" s="38"/>
      <c r="I572" s="37"/>
      <c r="J572" s="37"/>
      <c r="K572" s="38">
        <f t="shared" si="8"/>
        <v>2943.93</v>
      </c>
      <c r="L572" s="38"/>
    </row>
    <row r="573" spans="1:12" ht="14.5" x14ac:dyDescent="0.35">
      <c r="A573" s="45" t="s">
        <v>3588</v>
      </c>
      <c r="C573" s="36">
        <v>45899</v>
      </c>
      <c r="D573" s="36" t="s">
        <v>3486</v>
      </c>
      <c r="E573" s="37" t="s">
        <v>3210</v>
      </c>
      <c r="F573" s="37" t="s">
        <v>4026</v>
      </c>
      <c r="G573" s="38">
        <v>26683.37</v>
      </c>
      <c r="H573" s="38"/>
      <c r="I573" s="37"/>
      <c r="J573" s="37"/>
      <c r="K573" s="38">
        <f t="shared" si="8"/>
        <v>26683.37</v>
      </c>
      <c r="L573" s="38"/>
    </row>
    <row r="574" spans="1:12" ht="14.5" x14ac:dyDescent="0.35">
      <c r="A574" s="45" t="s">
        <v>3588</v>
      </c>
      <c r="C574" s="36">
        <v>45899</v>
      </c>
      <c r="D574" s="36" t="s">
        <v>2027</v>
      </c>
      <c r="E574" s="37" t="s">
        <v>3211</v>
      </c>
      <c r="F574" s="37" t="s">
        <v>4026</v>
      </c>
      <c r="G574" s="38">
        <v>160.87</v>
      </c>
      <c r="H574" s="38"/>
      <c r="I574" s="37"/>
      <c r="J574" s="37"/>
      <c r="K574" s="38">
        <f t="shared" si="8"/>
        <v>160.87</v>
      </c>
      <c r="L574" s="38"/>
    </row>
    <row r="575" spans="1:12" ht="14.5" x14ac:dyDescent="0.35">
      <c r="A575" s="45" t="s">
        <v>3588</v>
      </c>
      <c r="C575" s="36">
        <v>45899</v>
      </c>
      <c r="D575" s="36" t="s">
        <v>2846</v>
      </c>
      <c r="E575" s="37" t="s">
        <v>3213</v>
      </c>
      <c r="F575" s="37" t="s">
        <v>4026</v>
      </c>
      <c r="G575" s="38">
        <v>7.43</v>
      </c>
      <c r="H575" s="38"/>
      <c r="I575" s="37"/>
      <c r="J575" s="37"/>
      <c r="K575" s="38">
        <f t="shared" si="8"/>
        <v>7.43</v>
      </c>
      <c r="L575" s="38"/>
    </row>
    <row r="576" spans="1:12" ht="14.5" x14ac:dyDescent="0.35">
      <c r="A576" s="45" t="s">
        <v>3588</v>
      </c>
      <c r="C576" s="36">
        <v>45899</v>
      </c>
      <c r="D576" s="36" t="s">
        <v>3154</v>
      </c>
      <c r="E576" s="37" t="s">
        <v>3214</v>
      </c>
      <c r="F576" s="37" t="s">
        <v>4026</v>
      </c>
      <c r="G576" s="38">
        <v>8973.59</v>
      </c>
      <c r="H576" s="38"/>
      <c r="I576" s="37"/>
      <c r="J576" s="37"/>
      <c r="K576" s="38">
        <f t="shared" si="8"/>
        <v>8973.59</v>
      </c>
      <c r="L576" s="38"/>
    </row>
    <row r="577" spans="1:12" ht="14.5" x14ac:dyDescent="0.35">
      <c r="A577" s="45" t="s">
        <v>3588</v>
      </c>
      <c r="C577" s="36">
        <v>45899</v>
      </c>
      <c r="D577" s="36" t="s">
        <v>2442</v>
      </c>
      <c r="E577" s="37" t="s">
        <v>3215</v>
      </c>
      <c r="F577" s="37" t="s">
        <v>4026</v>
      </c>
      <c r="G577" s="38">
        <v>1744.77</v>
      </c>
      <c r="H577" s="38"/>
      <c r="I577" s="37"/>
      <c r="J577" s="37"/>
      <c r="K577" s="38">
        <f t="shared" si="8"/>
        <v>1744.77</v>
      </c>
      <c r="L577" s="38"/>
    </row>
    <row r="578" spans="1:12" ht="14.5" x14ac:dyDescent="0.35">
      <c r="A578" s="45" t="s">
        <v>3588</v>
      </c>
      <c r="C578" s="36">
        <v>45899</v>
      </c>
      <c r="D578" s="36" t="s">
        <v>2442</v>
      </c>
      <c r="E578" s="37" t="s">
        <v>3216</v>
      </c>
      <c r="F578" s="37" t="s">
        <v>4026</v>
      </c>
      <c r="G578" s="38">
        <v>1138.8600000000001</v>
      </c>
      <c r="H578" s="38"/>
      <c r="I578" s="37"/>
      <c r="J578" s="37"/>
      <c r="K578" s="38">
        <f t="shared" si="8"/>
        <v>1138.8600000000001</v>
      </c>
      <c r="L578" s="38"/>
    </row>
    <row r="579" spans="1:12" ht="14.5" x14ac:dyDescent="0.35">
      <c r="A579" s="45" t="s">
        <v>3588</v>
      </c>
      <c r="C579" s="36">
        <v>45899</v>
      </c>
      <c r="D579" s="36" t="s">
        <v>2626</v>
      </c>
      <c r="E579" s="37" t="s">
        <v>3217</v>
      </c>
      <c r="F579" s="37" t="s">
        <v>4026</v>
      </c>
      <c r="G579" s="38">
        <v>20.25</v>
      </c>
      <c r="H579" s="38"/>
      <c r="I579" s="37"/>
      <c r="J579" s="37"/>
      <c r="K579" s="38">
        <f t="shared" si="8"/>
        <v>20.25</v>
      </c>
      <c r="L579" s="38"/>
    </row>
    <row r="580" spans="1:12" ht="14.5" x14ac:dyDescent="0.35">
      <c r="A580" s="45" t="s">
        <v>3588</v>
      </c>
      <c r="C580" s="36">
        <v>45899</v>
      </c>
      <c r="D580" s="36" t="s">
        <v>2626</v>
      </c>
      <c r="E580" s="37" t="s">
        <v>3219</v>
      </c>
      <c r="F580" s="37" t="s">
        <v>4026</v>
      </c>
      <c r="G580" s="38">
        <v>11974.57</v>
      </c>
      <c r="H580" s="38"/>
      <c r="I580" s="37"/>
      <c r="J580" s="37"/>
      <c r="K580" s="38">
        <f t="shared" si="8"/>
        <v>11974.57</v>
      </c>
      <c r="L580" s="38"/>
    </row>
    <row r="581" spans="1:12" ht="14.5" x14ac:dyDescent="0.35">
      <c r="A581" s="45" t="s">
        <v>3588</v>
      </c>
      <c r="C581" s="36">
        <v>45899</v>
      </c>
      <c r="D581" s="36" t="s">
        <v>2626</v>
      </c>
      <c r="E581" s="37" t="s">
        <v>3220</v>
      </c>
      <c r="F581" s="37" t="s">
        <v>4026</v>
      </c>
      <c r="G581" s="38">
        <v>2374.8000000000002</v>
      </c>
      <c r="H581" s="38"/>
      <c r="I581" s="37"/>
      <c r="J581" s="37"/>
      <c r="K581" s="38">
        <f t="shared" ref="K581:K644" si="9">G581-H581</f>
        <v>2374.8000000000002</v>
      </c>
      <c r="L581" s="38"/>
    </row>
    <row r="582" spans="1:12" ht="14.5" x14ac:dyDescent="0.35">
      <c r="A582" s="45" t="s">
        <v>3588</v>
      </c>
      <c r="C582" s="36">
        <v>45899</v>
      </c>
      <c r="D582" s="36" t="s">
        <v>2626</v>
      </c>
      <c r="E582" s="37" t="s">
        <v>3221</v>
      </c>
      <c r="F582" s="37" t="s">
        <v>4026</v>
      </c>
      <c r="G582" s="38">
        <v>35.51</v>
      </c>
      <c r="H582" s="38"/>
      <c r="I582" s="37"/>
      <c r="J582" s="37"/>
      <c r="K582" s="38">
        <f t="shared" si="9"/>
        <v>35.51</v>
      </c>
      <c r="L582" s="38"/>
    </row>
    <row r="583" spans="1:12" ht="14.5" x14ac:dyDescent="0.35">
      <c r="A583" s="45" t="s">
        <v>3588</v>
      </c>
      <c r="C583" s="36">
        <v>45899</v>
      </c>
      <c r="D583" s="36" t="s">
        <v>2626</v>
      </c>
      <c r="E583" s="37" t="s">
        <v>3222</v>
      </c>
      <c r="F583" s="37" t="s">
        <v>4026</v>
      </c>
      <c r="G583" s="38">
        <v>57.13</v>
      </c>
      <c r="H583" s="38"/>
      <c r="I583" s="37"/>
      <c r="J583" s="37"/>
      <c r="K583" s="38">
        <f t="shared" si="9"/>
        <v>57.13</v>
      </c>
      <c r="L583" s="38"/>
    </row>
    <row r="584" spans="1:12" ht="14.5" x14ac:dyDescent="0.35">
      <c r="A584" s="45" t="s">
        <v>3588</v>
      </c>
      <c r="C584" s="36">
        <v>45899</v>
      </c>
      <c r="D584" s="36" t="s">
        <v>3820</v>
      </c>
      <c r="E584" s="37" t="s">
        <v>3821</v>
      </c>
      <c r="F584" s="37" t="s">
        <v>4026</v>
      </c>
      <c r="G584" s="38">
        <v>283.75</v>
      </c>
      <c r="H584" s="38"/>
      <c r="I584" s="37"/>
      <c r="J584" s="37"/>
      <c r="K584" s="38">
        <f t="shared" si="9"/>
        <v>283.75</v>
      </c>
      <c r="L584" s="38"/>
    </row>
    <row r="585" spans="1:12" ht="14.5" x14ac:dyDescent="0.35">
      <c r="A585" s="45" t="s">
        <v>3588</v>
      </c>
      <c r="C585" s="36">
        <v>45899</v>
      </c>
      <c r="D585" s="36" t="s">
        <v>3820</v>
      </c>
      <c r="E585" s="37" t="s">
        <v>3822</v>
      </c>
      <c r="F585" s="37" t="s">
        <v>4026</v>
      </c>
      <c r="G585" s="38">
        <v>94.61</v>
      </c>
      <c r="H585" s="38"/>
      <c r="I585" s="37"/>
      <c r="J585" s="37"/>
      <c r="K585" s="38">
        <f t="shared" si="9"/>
        <v>94.61</v>
      </c>
      <c r="L585" s="38"/>
    </row>
    <row r="586" spans="1:12" ht="14.5" x14ac:dyDescent="0.35">
      <c r="A586" s="45" t="s">
        <v>3588</v>
      </c>
      <c r="C586" s="36">
        <v>45899</v>
      </c>
      <c r="D586" s="36" t="s">
        <v>2392</v>
      </c>
      <c r="E586" s="37" t="s">
        <v>3223</v>
      </c>
      <c r="F586" s="37" t="s">
        <v>4026</v>
      </c>
      <c r="G586" s="38">
        <v>46.239999999999995</v>
      </c>
      <c r="H586" s="38"/>
      <c r="I586" s="37"/>
      <c r="J586" s="37"/>
      <c r="K586" s="38">
        <f t="shared" si="9"/>
        <v>46.239999999999995</v>
      </c>
      <c r="L586" s="38"/>
    </row>
    <row r="587" spans="1:12" ht="14.5" x14ac:dyDescent="0.35">
      <c r="A587" s="45" t="s">
        <v>3588</v>
      </c>
      <c r="C587" s="36">
        <v>45899</v>
      </c>
      <c r="D587" s="36" t="s">
        <v>3820</v>
      </c>
      <c r="E587" s="37" t="s">
        <v>3823</v>
      </c>
      <c r="F587" s="37" t="s">
        <v>4026</v>
      </c>
      <c r="G587" s="38">
        <v>94.61</v>
      </c>
      <c r="H587" s="38"/>
      <c r="I587" s="37"/>
      <c r="J587" s="37"/>
      <c r="K587" s="38">
        <f t="shared" si="9"/>
        <v>94.61</v>
      </c>
      <c r="L587" s="38"/>
    </row>
    <row r="588" spans="1:12" ht="14.5" x14ac:dyDescent="0.35">
      <c r="A588" s="45" t="s">
        <v>3588</v>
      </c>
      <c r="C588" s="36">
        <v>45899</v>
      </c>
      <c r="D588" s="36" t="s">
        <v>1426</v>
      </c>
      <c r="E588" s="37">
        <v>38229</v>
      </c>
      <c r="F588" s="37" t="s">
        <v>4026</v>
      </c>
      <c r="G588" s="38">
        <v>1562.94</v>
      </c>
      <c r="H588" s="38"/>
      <c r="I588" s="37"/>
      <c r="J588" s="37"/>
      <c r="K588" s="38">
        <f t="shared" si="9"/>
        <v>1562.94</v>
      </c>
      <c r="L588" s="38"/>
    </row>
    <row r="589" spans="1:12" ht="14.5" x14ac:dyDescent="0.35">
      <c r="A589" s="45" t="s">
        <v>3588</v>
      </c>
      <c r="C589" s="36">
        <v>45899</v>
      </c>
      <c r="D589" s="36" t="s">
        <v>3487</v>
      </c>
      <c r="E589" s="37">
        <v>38230</v>
      </c>
      <c r="F589" s="37" t="s">
        <v>4026</v>
      </c>
      <c r="G589" s="38">
        <v>16516.95</v>
      </c>
      <c r="H589" s="38"/>
      <c r="I589" s="37"/>
      <c r="J589" s="37"/>
      <c r="K589" s="38">
        <f t="shared" si="9"/>
        <v>16516.95</v>
      </c>
      <c r="L589" s="38"/>
    </row>
    <row r="590" spans="1:12" ht="14.5" x14ac:dyDescent="0.35">
      <c r="A590" s="45" t="s">
        <v>3588</v>
      </c>
      <c r="C590" s="36">
        <v>45899</v>
      </c>
      <c r="D590" s="36" t="s">
        <v>1582</v>
      </c>
      <c r="E590" s="37" t="s">
        <v>3224</v>
      </c>
      <c r="F590" s="37" t="s">
        <v>4026</v>
      </c>
      <c r="G590" s="38">
        <v>230.82</v>
      </c>
      <c r="H590" s="38"/>
      <c r="I590" s="37"/>
      <c r="J590" s="37"/>
      <c r="K590" s="38">
        <f t="shared" si="9"/>
        <v>230.82</v>
      </c>
      <c r="L590" s="38"/>
    </row>
    <row r="591" spans="1:12" ht="14.5" x14ac:dyDescent="0.35">
      <c r="A591" s="45" t="s">
        <v>3588</v>
      </c>
      <c r="C591" s="36">
        <v>45899</v>
      </c>
      <c r="D591" s="36" t="s">
        <v>1582</v>
      </c>
      <c r="E591" s="37" t="s">
        <v>3225</v>
      </c>
      <c r="F591" s="37" t="s">
        <v>4026</v>
      </c>
      <c r="G591" s="38">
        <v>23670.26</v>
      </c>
      <c r="H591" s="38"/>
      <c r="I591" s="37"/>
      <c r="J591" s="37"/>
      <c r="K591" s="38">
        <f t="shared" si="9"/>
        <v>23670.26</v>
      </c>
      <c r="L591" s="38"/>
    </row>
    <row r="592" spans="1:12" ht="14.5" x14ac:dyDescent="0.35">
      <c r="A592" s="45" t="s">
        <v>3588</v>
      </c>
      <c r="C592" s="36">
        <v>45899</v>
      </c>
      <c r="D592" s="36" t="s">
        <v>1582</v>
      </c>
      <c r="E592" s="37" t="s">
        <v>3226</v>
      </c>
      <c r="F592" s="37" t="s">
        <v>4026</v>
      </c>
      <c r="G592" s="38">
        <v>2935.5</v>
      </c>
      <c r="H592" s="38"/>
      <c r="I592" s="37"/>
      <c r="J592" s="37"/>
      <c r="K592" s="38">
        <f t="shared" si="9"/>
        <v>2935.5</v>
      </c>
      <c r="L592" s="38"/>
    </row>
    <row r="593" spans="1:12" ht="14.5" x14ac:dyDescent="0.35">
      <c r="A593" s="45" t="s">
        <v>3588</v>
      </c>
      <c r="C593" s="36">
        <v>45899</v>
      </c>
      <c r="D593" s="36" t="s">
        <v>3488</v>
      </c>
      <c r="E593" s="37" t="s">
        <v>3227</v>
      </c>
      <c r="F593" s="37" t="s">
        <v>4026</v>
      </c>
      <c r="G593" s="38">
        <v>31.53</v>
      </c>
      <c r="H593" s="38"/>
      <c r="I593" s="37"/>
      <c r="J593" s="37"/>
      <c r="K593" s="38">
        <f t="shared" si="9"/>
        <v>31.53</v>
      </c>
      <c r="L593" s="38"/>
    </row>
    <row r="594" spans="1:12" ht="14.5" x14ac:dyDescent="0.35">
      <c r="A594" s="45" t="s">
        <v>3588</v>
      </c>
      <c r="C594" s="36">
        <v>45899</v>
      </c>
      <c r="D594" s="36" t="s">
        <v>2677</v>
      </c>
      <c r="E594" s="37" t="s">
        <v>3228</v>
      </c>
      <c r="F594" s="37" t="s">
        <v>4026</v>
      </c>
      <c r="G594" s="38">
        <v>17480.66</v>
      </c>
      <c r="H594" s="38"/>
      <c r="I594" s="37"/>
      <c r="J594" s="37"/>
      <c r="K594" s="38">
        <f t="shared" si="9"/>
        <v>17480.66</v>
      </c>
      <c r="L594" s="38"/>
    </row>
    <row r="595" spans="1:12" ht="14.5" x14ac:dyDescent="0.35">
      <c r="A595" s="45" t="s">
        <v>3588</v>
      </c>
      <c r="C595" s="36">
        <v>45899</v>
      </c>
      <c r="D595" s="36" t="s">
        <v>2677</v>
      </c>
      <c r="E595" s="37" t="s">
        <v>3229</v>
      </c>
      <c r="F595" s="37" t="s">
        <v>4026</v>
      </c>
      <c r="G595" s="38">
        <v>4048.32</v>
      </c>
      <c r="H595" s="38"/>
      <c r="I595" s="37"/>
      <c r="J595" s="37"/>
      <c r="K595" s="38">
        <f t="shared" si="9"/>
        <v>4048.32</v>
      </c>
      <c r="L595" s="38"/>
    </row>
    <row r="596" spans="1:12" ht="14.5" x14ac:dyDescent="0.35">
      <c r="A596" s="45" t="s">
        <v>3588</v>
      </c>
      <c r="C596" s="36">
        <v>45899</v>
      </c>
      <c r="D596" s="36" t="s">
        <v>2677</v>
      </c>
      <c r="E596" s="37">
        <v>38254</v>
      </c>
      <c r="F596" s="37" t="s">
        <v>4026</v>
      </c>
      <c r="G596" s="38">
        <v>27244.679999999997</v>
      </c>
      <c r="H596" s="38"/>
      <c r="I596" s="37"/>
      <c r="J596" s="37"/>
      <c r="K596" s="38">
        <f t="shared" si="9"/>
        <v>27244.679999999997</v>
      </c>
      <c r="L596" s="38"/>
    </row>
    <row r="597" spans="1:12" ht="14.5" x14ac:dyDescent="0.35">
      <c r="A597" s="45" t="s">
        <v>3588</v>
      </c>
      <c r="C597" s="36">
        <v>45899</v>
      </c>
      <c r="D597" s="36" t="s">
        <v>2677</v>
      </c>
      <c r="E597" s="37" t="s">
        <v>3231</v>
      </c>
      <c r="F597" s="37" t="s">
        <v>4026</v>
      </c>
      <c r="G597" s="38">
        <v>13933.86</v>
      </c>
      <c r="H597" s="38"/>
      <c r="I597" s="37"/>
      <c r="J597" s="37"/>
      <c r="K597" s="38">
        <f t="shared" si="9"/>
        <v>13933.86</v>
      </c>
      <c r="L597" s="38"/>
    </row>
    <row r="598" spans="1:12" ht="14.5" x14ac:dyDescent="0.35">
      <c r="A598" s="45" t="s">
        <v>3588</v>
      </c>
      <c r="C598" s="36">
        <v>45899</v>
      </c>
      <c r="D598" s="36" t="s">
        <v>2677</v>
      </c>
      <c r="E598" s="37" t="s">
        <v>3232</v>
      </c>
      <c r="F598" s="37" t="s">
        <v>4026</v>
      </c>
      <c r="G598" s="38">
        <v>6496.7799999999988</v>
      </c>
      <c r="H598" s="38"/>
      <c r="I598" s="37"/>
      <c r="J598" s="37"/>
      <c r="K598" s="38">
        <f t="shared" si="9"/>
        <v>6496.7799999999988</v>
      </c>
      <c r="L598" s="38"/>
    </row>
    <row r="599" spans="1:12" ht="14.5" x14ac:dyDescent="0.35">
      <c r="A599" s="45" t="s">
        <v>3588</v>
      </c>
      <c r="C599" s="36">
        <v>45899</v>
      </c>
      <c r="D599" s="36" t="s">
        <v>2677</v>
      </c>
      <c r="E599" s="37" t="s">
        <v>3233</v>
      </c>
      <c r="F599" s="37" t="s">
        <v>4026</v>
      </c>
      <c r="G599" s="38">
        <v>63830.270000000004</v>
      </c>
      <c r="H599" s="38"/>
      <c r="I599" s="37"/>
      <c r="J599" s="37"/>
      <c r="K599" s="38">
        <f t="shared" si="9"/>
        <v>63830.270000000004</v>
      </c>
      <c r="L599" s="38"/>
    </row>
    <row r="600" spans="1:12" ht="14.5" x14ac:dyDescent="0.35">
      <c r="A600" s="45" t="s">
        <v>3588</v>
      </c>
      <c r="C600" s="36">
        <v>45899</v>
      </c>
      <c r="D600" s="36" t="s">
        <v>2677</v>
      </c>
      <c r="E600" s="37" t="s">
        <v>3234</v>
      </c>
      <c r="F600" s="37" t="s">
        <v>4026</v>
      </c>
      <c r="G600" s="38">
        <v>242.23999999999998</v>
      </c>
      <c r="H600" s="38"/>
      <c r="I600" s="37"/>
      <c r="J600" s="37"/>
      <c r="K600" s="38">
        <f t="shared" si="9"/>
        <v>242.23999999999998</v>
      </c>
      <c r="L600" s="38"/>
    </row>
    <row r="601" spans="1:12" ht="14.5" x14ac:dyDescent="0.35">
      <c r="A601" s="45" t="s">
        <v>3588</v>
      </c>
      <c r="C601" s="36">
        <v>45899</v>
      </c>
      <c r="D601" s="36" t="s">
        <v>2677</v>
      </c>
      <c r="E601" s="37" t="s">
        <v>3235</v>
      </c>
      <c r="F601" s="37" t="s">
        <v>4026</v>
      </c>
      <c r="G601" s="38">
        <v>1486.85</v>
      </c>
      <c r="H601" s="38"/>
      <c r="I601" s="37"/>
      <c r="J601" s="37"/>
      <c r="K601" s="38">
        <f t="shared" si="9"/>
        <v>1486.85</v>
      </c>
      <c r="L601" s="38"/>
    </row>
    <row r="602" spans="1:12" ht="14.5" x14ac:dyDescent="0.35">
      <c r="A602" s="45" t="s">
        <v>3588</v>
      </c>
      <c r="C602" s="36">
        <v>45899</v>
      </c>
      <c r="D602" s="36" t="s">
        <v>2677</v>
      </c>
      <c r="E602" s="37" t="s">
        <v>3236</v>
      </c>
      <c r="F602" s="37" t="s">
        <v>4026</v>
      </c>
      <c r="G602" s="38">
        <v>289.32</v>
      </c>
      <c r="H602" s="38"/>
      <c r="I602" s="37"/>
      <c r="J602" s="37"/>
      <c r="K602" s="38">
        <f t="shared" si="9"/>
        <v>289.32</v>
      </c>
      <c r="L602" s="38"/>
    </row>
    <row r="603" spans="1:12" ht="14.5" x14ac:dyDescent="0.35">
      <c r="A603" s="45" t="s">
        <v>3588</v>
      </c>
      <c r="C603" s="36">
        <v>45899</v>
      </c>
      <c r="D603" s="36" t="s">
        <v>2677</v>
      </c>
      <c r="E603" s="37">
        <v>38263</v>
      </c>
      <c r="F603" s="37" t="s">
        <v>4026</v>
      </c>
      <c r="G603" s="38">
        <v>937.51</v>
      </c>
      <c r="H603" s="38"/>
      <c r="I603" s="37"/>
      <c r="J603" s="37"/>
      <c r="K603" s="38">
        <f t="shared" si="9"/>
        <v>937.51</v>
      </c>
      <c r="L603" s="38"/>
    </row>
    <row r="604" spans="1:12" ht="14.5" x14ac:dyDescent="0.35">
      <c r="A604" s="45" t="s">
        <v>3588</v>
      </c>
      <c r="C604" s="36">
        <v>45899</v>
      </c>
      <c r="D604" s="36" t="s">
        <v>2677</v>
      </c>
      <c r="E604" s="37" t="s">
        <v>3237</v>
      </c>
      <c r="F604" s="37" t="s">
        <v>4026</v>
      </c>
      <c r="G604" s="38">
        <v>3355.24</v>
      </c>
      <c r="H604" s="38"/>
      <c r="I604" s="37"/>
      <c r="J604" s="37"/>
      <c r="K604" s="38">
        <f t="shared" si="9"/>
        <v>3355.24</v>
      </c>
      <c r="L604" s="38"/>
    </row>
    <row r="605" spans="1:12" ht="14.5" x14ac:dyDescent="0.35">
      <c r="A605" s="45" t="s">
        <v>3588</v>
      </c>
      <c r="C605" s="36">
        <v>45899</v>
      </c>
      <c r="D605" s="36" t="s">
        <v>2677</v>
      </c>
      <c r="E605" s="37" t="s">
        <v>3238</v>
      </c>
      <c r="F605" s="37" t="s">
        <v>4026</v>
      </c>
      <c r="G605" s="38">
        <v>3152.4800000000005</v>
      </c>
      <c r="H605" s="38"/>
      <c r="I605" s="37"/>
      <c r="J605" s="37"/>
      <c r="K605" s="38">
        <f t="shared" si="9"/>
        <v>3152.4800000000005</v>
      </c>
      <c r="L605" s="38"/>
    </row>
    <row r="606" spans="1:12" ht="14.5" x14ac:dyDescent="0.35">
      <c r="A606" s="45" t="s">
        <v>3588</v>
      </c>
      <c r="C606" s="36">
        <v>45899</v>
      </c>
      <c r="D606" s="36" t="s">
        <v>2677</v>
      </c>
      <c r="E606" s="37">
        <v>38265</v>
      </c>
      <c r="F606" s="37" t="s">
        <v>4026</v>
      </c>
      <c r="G606" s="38">
        <v>13787.11</v>
      </c>
      <c r="H606" s="38"/>
      <c r="I606" s="37"/>
      <c r="J606" s="37"/>
      <c r="K606" s="38">
        <f t="shared" si="9"/>
        <v>13787.11</v>
      </c>
      <c r="L606" s="38"/>
    </row>
    <row r="607" spans="1:12" ht="14.5" x14ac:dyDescent="0.35">
      <c r="A607" s="45" t="s">
        <v>3588</v>
      </c>
      <c r="C607" s="36">
        <v>45899</v>
      </c>
      <c r="D607" s="36" t="s">
        <v>2677</v>
      </c>
      <c r="E607" s="37">
        <v>38266</v>
      </c>
      <c r="F607" s="37" t="s">
        <v>4026</v>
      </c>
      <c r="G607" s="38">
        <v>288.96999999999997</v>
      </c>
      <c r="H607" s="38"/>
      <c r="I607" s="37"/>
      <c r="J607" s="37"/>
      <c r="K607" s="38">
        <f t="shared" si="9"/>
        <v>288.96999999999997</v>
      </c>
      <c r="L607" s="38"/>
    </row>
    <row r="608" spans="1:12" ht="14.5" x14ac:dyDescent="0.35">
      <c r="A608" s="45" t="s">
        <v>3588</v>
      </c>
      <c r="C608" s="36">
        <v>45899</v>
      </c>
      <c r="D608" s="36" t="s">
        <v>2144</v>
      </c>
      <c r="E608" s="37" t="s">
        <v>3239</v>
      </c>
      <c r="F608" s="37" t="s">
        <v>4026</v>
      </c>
      <c r="G608" s="38">
        <v>425.78000000000003</v>
      </c>
      <c r="H608" s="38"/>
      <c r="I608" s="37"/>
      <c r="J608" s="37"/>
      <c r="K608" s="38">
        <f t="shared" si="9"/>
        <v>425.78000000000003</v>
      </c>
      <c r="L608" s="38"/>
    </row>
    <row r="609" spans="1:12" ht="14.5" x14ac:dyDescent="0.35">
      <c r="A609" s="45" t="s">
        <v>3588</v>
      </c>
      <c r="C609" s="36">
        <v>45899</v>
      </c>
      <c r="D609" s="36" t="s">
        <v>2144</v>
      </c>
      <c r="E609" s="37" t="s">
        <v>3240</v>
      </c>
      <c r="F609" s="37" t="s">
        <v>4026</v>
      </c>
      <c r="G609" s="38">
        <v>726</v>
      </c>
      <c r="H609" s="38"/>
      <c r="I609" s="37"/>
      <c r="J609" s="37"/>
      <c r="K609" s="38">
        <f t="shared" si="9"/>
        <v>726</v>
      </c>
      <c r="L609" s="38"/>
    </row>
    <row r="610" spans="1:12" ht="14.5" x14ac:dyDescent="0.35">
      <c r="A610" s="45" t="s">
        <v>3588</v>
      </c>
      <c r="C610" s="36">
        <v>45899</v>
      </c>
      <c r="D610" s="36" t="s">
        <v>3489</v>
      </c>
      <c r="E610" s="37" t="s">
        <v>3241</v>
      </c>
      <c r="F610" s="37" t="s">
        <v>4026</v>
      </c>
      <c r="G610" s="38">
        <v>68.53</v>
      </c>
      <c r="H610" s="38"/>
      <c r="I610" s="37"/>
      <c r="J610" s="37"/>
      <c r="K610" s="38">
        <f t="shared" si="9"/>
        <v>68.53</v>
      </c>
      <c r="L610" s="38"/>
    </row>
    <row r="611" spans="1:12" ht="14.5" x14ac:dyDescent="0.35">
      <c r="A611" s="45" t="s">
        <v>3588</v>
      </c>
      <c r="C611" s="36">
        <v>45899</v>
      </c>
      <c r="D611" s="36" t="s">
        <v>1459</v>
      </c>
      <c r="E611" s="37" t="s">
        <v>3242</v>
      </c>
      <c r="F611" s="37" t="s">
        <v>4026</v>
      </c>
      <c r="G611" s="38">
        <v>579.27</v>
      </c>
      <c r="H611" s="38"/>
      <c r="I611" s="37"/>
      <c r="J611" s="37"/>
      <c r="K611" s="38">
        <f t="shared" si="9"/>
        <v>579.27</v>
      </c>
      <c r="L611" s="38"/>
    </row>
    <row r="612" spans="1:12" ht="14.5" x14ac:dyDescent="0.35">
      <c r="A612" s="45" t="s">
        <v>3588</v>
      </c>
      <c r="C612" s="36">
        <v>45899</v>
      </c>
      <c r="D612" s="36" t="s">
        <v>2313</v>
      </c>
      <c r="E612" s="37" t="s">
        <v>3243</v>
      </c>
      <c r="F612" s="37" t="s">
        <v>4026</v>
      </c>
      <c r="G612" s="38">
        <v>14432.8</v>
      </c>
      <c r="H612" s="38"/>
      <c r="I612" s="37"/>
      <c r="J612" s="37"/>
      <c r="K612" s="38">
        <f t="shared" si="9"/>
        <v>14432.8</v>
      </c>
      <c r="L612" s="38"/>
    </row>
    <row r="613" spans="1:12" ht="14.5" x14ac:dyDescent="0.35">
      <c r="A613" s="45" t="s">
        <v>3588</v>
      </c>
      <c r="C613" s="36">
        <v>45899</v>
      </c>
      <c r="D613" s="36" t="s">
        <v>2313</v>
      </c>
      <c r="E613" s="37" t="s">
        <v>3244</v>
      </c>
      <c r="F613" s="37" t="s">
        <v>4026</v>
      </c>
      <c r="G613" s="38">
        <v>33584.74</v>
      </c>
      <c r="H613" s="38"/>
      <c r="I613" s="37"/>
      <c r="J613" s="37"/>
      <c r="K613" s="38">
        <f t="shared" si="9"/>
        <v>33584.74</v>
      </c>
      <c r="L613" s="38"/>
    </row>
    <row r="614" spans="1:12" ht="14.5" x14ac:dyDescent="0.35">
      <c r="A614" s="45" t="s">
        <v>3588</v>
      </c>
      <c r="C614" s="36">
        <v>45899</v>
      </c>
      <c r="D614" s="36" t="s">
        <v>2628</v>
      </c>
      <c r="E614" s="37" t="s">
        <v>3245</v>
      </c>
      <c r="F614" s="37" t="s">
        <v>4026</v>
      </c>
      <c r="G614" s="38">
        <v>4038.05</v>
      </c>
      <c r="H614" s="38"/>
      <c r="I614" s="37"/>
      <c r="J614" s="37"/>
      <c r="K614" s="38">
        <f t="shared" si="9"/>
        <v>4038.05</v>
      </c>
      <c r="L614" s="38"/>
    </row>
    <row r="615" spans="1:12" ht="14.5" x14ac:dyDescent="0.35">
      <c r="A615" s="45" t="s">
        <v>3588</v>
      </c>
      <c r="C615" s="36">
        <v>45899</v>
      </c>
      <c r="D615" s="36" t="s">
        <v>2628</v>
      </c>
      <c r="E615" s="37" t="s">
        <v>3246</v>
      </c>
      <c r="F615" s="37" t="s">
        <v>4026</v>
      </c>
      <c r="G615" s="38">
        <v>100.58</v>
      </c>
      <c r="H615" s="38"/>
      <c r="I615" s="37"/>
      <c r="J615" s="37"/>
      <c r="K615" s="38">
        <f t="shared" si="9"/>
        <v>100.58</v>
      </c>
      <c r="L615" s="38"/>
    </row>
    <row r="616" spans="1:12" ht="14.5" x14ac:dyDescent="0.35">
      <c r="A616" s="45" t="s">
        <v>3588</v>
      </c>
      <c r="C616" s="36">
        <v>45899</v>
      </c>
      <c r="D616" s="36" t="s">
        <v>2628</v>
      </c>
      <c r="E616" s="37" t="s">
        <v>3247</v>
      </c>
      <c r="F616" s="37" t="s">
        <v>4026</v>
      </c>
      <c r="G616" s="38">
        <v>7830.77</v>
      </c>
      <c r="H616" s="38"/>
      <c r="I616" s="37"/>
      <c r="J616" s="37"/>
      <c r="K616" s="38">
        <f t="shared" si="9"/>
        <v>7830.77</v>
      </c>
      <c r="L616" s="38"/>
    </row>
    <row r="617" spans="1:12" ht="14.5" x14ac:dyDescent="0.35">
      <c r="A617" s="45" t="s">
        <v>3588</v>
      </c>
      <c r="C617" s="36">
        <v>45899</v>
      </c>
      <c r="D617" s="36" t="s">
        <v>2628</v>
      </c>
      <c r="E617" s="37" t="s">
        <v>3248</v>
      </c>
      <c r="F617" s="37" t="s">
        <v>4026</v>
      </c>
      <c r="G617" s="38">
        <v>1764.38</v>
      </c>
      <c r="H617" s="38"/>
      <c r="I617" s="37"/>
      <c r="J617" s="37"/>
      <c r="K617" s="38">
        <f t="shared" si="9"/>
        <v>1764.38</v>
      </c>
      <c r="L617" s="38"/>
    </row>
    <row r="618" spans="1:12" ht="14.5" x14ac:dyDescent="0.35">
      <c r="A618" s="45" t="s">
        <v>3588</v>
      </c>
      <c r="C618" s="36">
        <v>45899</v>
      </c>
      <c r="D618" s="36" t="s">
        <v>1371</v>
      </c>
      <c r="E618" s="37" t="s">
        <v>3249</v>
      </c>
      <c r="F618" s="37" t="s">
        <v>4026</v>
      </c>
      <c r="G618" s="38">
        <v>0.51</v>
      </c>
      <c r="H618" s="38"/>
      <c r="I618" s="37"/>
      <c r="J618" s="37"/>
      <c r="K618" s="38">
        <f t="shared" si="9"/>
        <v>0.51</v>
      </c>
      <c r="L618" s="38"/>
    </row>
    <row r="619" spans="1:12" ht="14.5" x14ac:dyDescent="0.35">
      <c r="A619" s="45" t="s">
        <v>3588</v>
      </c>
      <c r="C619" s="36">
        <v>45899</v>
      </c>
      <c r="D619" s="36" t="s">
        <v>2629</v>
      </c>
      <c r="E619" s="37" t="s">
        <v>3250</v>
      </c>
      <c r="F619" s="37" t="s">
        <v>4026</v>
      </c>
      <c r="G619" s="38">
        <v>171.47</v>
      </c>
      <c r="H619" s="38"/>
      <c r="I619" s="37"/>
      <c r="J619" s="37"/>
      <c r="K619" s="38">
        <f t="shared" si="9"/>
        <v>171.47</v>
      </c>
      <c r="L619" s="38"/>
    </row>
    <row r="620" spans="1:12" ht="14.5" x14ac:dyDescent="0.35">
      <c r="A620" s="45" t="s">
        <v>3588</v>
      </c>
      <c r="C620" s="36">
        <v>45899</v>
      </c>
      <c r="D620" s="36" t="s">
        <v>2629</v>
      </c>
      <c r="E620" s="37" t="s">
        <v>3251</v>
      </c>
      <c r="F620" s="37" t="s">
        <v>4026</v>
      </c>
      <c r="G620" s="38">
        <v>35.51</v>
      </c>
      <c r="H620" s="38"/>
      <c r="I620" s="37"/>
      <c r="J620" s="37"/>
      <c r="K620" s="38">
        <f t="shared" si="9"/>
        <v>35.51</v>
      </c>
      <c r="L620" s="38"/>
    </row>
    <row r="621" spans="1:12" ht="14.5" x14ac:dyDescent="0.35">
      <c r="A621" s="45" t="s">
        <v>3588</v>
      </c>
      <c r="C621" s="36">
        <v>45899</v>
      </c>
      <c r="D621" s="36" t="s">
        <v>2629</v>
      </c>
      <c r="E621" s="37" t="s">
        <v>3252</v>
      </c>
      <c r="F621" s="37" t="s">
        <v>4026</v>
      </c>
      <c r="G621" s="38">
        <v>4254.09</v>
      </c>
      <c r="H621" s="38"/>
      <c r="I621" s="37"/>
      <c r="J621" s="37"/>
      <c r="K621" s="38">
        <f t="shared" si="9"/>
        <v>4254.09</v>
      </c>
      <c r="L621" s="38"/>
    </row>
    <row r="622" spans="1:12" ht="14.5" x14ac:dyDescent="0.35">
      <c r="A622" s="45" t="s">
        <v>3588</v>
      </c>
      <c r="C622" s="36">
        <v>45899</v>
      </c>
      <c r="D622" s="36" t="s">
        <v>1223</v>
      </c>
      <c r="E622" s="37" t="s">
        <v>3253</v>
      </c>
      <c r="F622" s="37" t="s">
        <v>4026</v>
      </c>
      <c r="G622" s="38">
        <v>1874.33</v>
      </c>
      <c r="H622" s="38"/>
      <c r="I622" s="37"/>
      <c r="J622" s="37"/>
      <c r="K622" s="38">
        <f t="shared" si="9"/>
        <v>1874.33</v>
      </c>
      <c r="L622" s="38"/>
    </row>
    <row r="623" spans="1:12" ht="14.5" x14ac:dyDescent="0.35">
      <c r="A623" s="45" t="s">
        <v>3588</v>
      </c>
      <c r="C623" s="36">
        <v>45899</v>
      </c>
      <c r="D623" s="36" t="s">
        <v>1223</v>
      </c>
      <c r="E623" s="37" t="s">
        <v>3254</v>
      </c>
      <c r="F623" s="37" t="s">
        <v>4026</v>
      </c>
      <c r="G623" s="38">
        <v>1531.32</v>
      </c>
      <c r="H623" s="38"/>
      <c r="I623" s="37"/>
      <c r="J623" s="37"/>
      <c r="K623" s="38">
        <f t="shared" si="9"/>
        <v>1531.32</v>
      </c>
      <c r="L623" s="38"/>
    </row>
    <row r="624" spans="1:12" ht="14.5" x14ac:dyDescent="0.35">
      <c r="A624" s="45" t="s">
        <v>3588</v>
      </c>
      <c r="C624" s="36">
        <v>45899</v>
      </c>
      <c r="D624" s="36" t="s">
        <v>1223</v>
      </c>
      <c r="E624" s="37" t="s">
        <v>3255</v>
      </c>
      <c r="F624" s="37" t="s">
        <v>4026</v>
      </c>
      <c r="G624" s="38">
        <v>1074.6199999999999</v>
      </c>
      <c r="H624" s="38"/>
      <c r="I624" s="37"/>
      <c r="J624" s="37"/>
      <c r="K624" s="38">
        <f t="shared" si="9"/>
        <v>1074.6199999999999</v>
      </c>
      <c r="L624" s="38"/>
    </row>
    <row r="625" spans="1:12" ht="14.5" x14ac:dyDescent="0.35">
      <c r="A625" s="45" t="s">
        <v>3588</v>
      </c>
      <c r="C625" s="36">
        <v>45899</v>
      </c>
      <c r="D625" s="36" t="s">
        <v>1223</v>
      </c>
      <c r="E625" s="37" t="s">
        <v>3256</v>
      </c>
      <c r="F625" s="37" t="s">
        <v>4026</v>
      </c>
      <c r="G625" s="38">
        <v>44.2</v>
      </c>
      <c r="H625" s="38"/>
      <c r="I625" s="37"/>
      <c r="J625" s="37"/>
      <c r="K625" s="38">
        <f t="shared" si="9"/>
        <v>44.2</v>
      </c>
      <c r="L625" s="38"/>
    </row>
    <row r="626" spans="1:12" ht="14.5" x14ac:dyDescent="0.35">
      <c r="A626" s="45" t="s">
        <v>3588</v>
      </c>
      <c r="C626" s="36">
        <v>45899</v>
      </c>
      <c r="D626" s="36" t="s">
        <v>1060</v>
      </c>
      <c r="E626" s="37" t="s">
        <v>3257</v>
      </c>
      <c r="F626" s="37" t="s">
        <v>4026</v>
      </c>
      <c r="G626" s="38">
        <v>521.4</v>
      </c>
      <c r="H626" s="38"/>
      <c r="I626" s="37"/>
      <c r="J626" s="37"/>
      <c r="K626" s="38">
        <f t="shared" si="9"/>
        <v>521.4</v>
      </c>
      <c r="L626" s="38"/>
    </row>
    <row r="627" spans="1:12" ht="14.5" x14ac:dyDescent="0.35">
      <c r="A627" s="45" t="s">
        <v>3588</v>
      </c>
      <c r="C627" s="36">
        <v>45899</v>
      </c>
      <c r="D627" s="36" t="s">
        <v>1999</v>
      </c>
      <c r="E627" s="37" t="s">
        <v>3258</v>
      </c>
      <c r="F627" s="37" t="s">
        <v>4026</v>
      </c>
      <c r="G627" s="38">
        <v>2445.92</v>
      </c>
      <c r="H627" s="38"/>
      <c r="I627" s="37"/>
      <c r="J627" s="37"/>
      <c r="K627" s="38">
        <f t="shared" si="9"/>
        <v>2445.92</v>
      </c>
      <c r="L627" s="38"/>
    </row>
    <row r="628" spans="1:12" ht="14.5" x14ac:dyDescent="0.35">
      <c r="A628" s="45" t="s">
        <v>3588</v>
      </c>
      <c r="C628" s="36">
        <v>45899</v>
      </c>
      <c r="D628" s="36" t="s">
        <v>1269</v>
      </c>
      <c r="E628" s="37" t="s">
        <v>3259</v>
      </c>
      <c r="F628" s="37" t="s">
        <v>4026</v>
      </c>
      <c r="G628" s="38">
        <v>2.94</v>
      </c>
      <c r="H628" s="38"/>
      <c r="I628" s="37"/>
      <c r="J628" s="37"/>
      <c r="K628" s="38">
        <f t="shared" si="9"/>
        <v>2.94</v>
      </c>
      <c r="L628" s="38"/>
    </row>
    <row r="629" spans="1:12" ht="14.5" x14ac:dyDescent="0.35">
      <c r="A629" s="45" t="s">
        <v>3588</v>
      </c>
      <c r="C629" s="36">
        <v>45899</v>
      </c>
      <c r="D629" s="36" t="s">
        <v>1269</v>
      </c>
      <c r="E629" s="37" t="s">
        <v>3260</v>
      </c>
      <c r="F629" s="37" t="s">
        <v>4026</v>
      </c>
      <c r="G629" s="38">
        <v>4728.37</v>
      </c>
      <c r="H629" s="38"/>
      <c r="I629" s="37"/>
      <c r="J629" s="37"/>
      <c r="K629" s="38">
        <f t="shared" si="9"/>
        <v>4728.37</v>
      </c>
      <c r="L629" s="38"/>
    </row>
    <row r="630" spans="1:12" ht="14.5" x14ac:dyDescent="0.35">
      <c r="A630" s="45" t="s">
        <v>3588</v>
      </c>
      <c r="C630" s="36">
        <v>45899</v>
      </c>
      <c r="D630" s="36" t="s">
        <v>1450</v>
      </c>
      <c r="E630" s="37" t="s">
        <v>3261</v>
      </c>
      <c r="F630" s="37" t="s">
        <v>4026</v>
      </c>
      <c r="G630" s="38">
        <v>1388.39</v>
      </c>
      <c r="H630" s="38"/>
      <c r="I630" s="37"/>
      <c r="J630" s="37"/>
      <c r="K630" s="38">
        <f t="shared" si="9"/>
        <v>1388.39</v>
      </c>
      <c r="L630" s="38"/>
    </row>
    <row r="631" spans="1:12" ht="14.5" x14ac:dyDescent="0.35">
      <c r="A631" s="45" t="s">
        <v>3588</v>
      </c>
      <c r="C631" s="36">
        <v>45899</v>
      </c>
      <c r="D631" s="36" t="s">
        <v>1450</v>
      </c>
      <c r="E631" s="37" t="s">
        <v>3262</v>
      </c>
      <c r="F631" s="37" t="s">
        <v>4026</v>
      </c>
      <c r="G631" s="38">
        <v>2682.4700000000003</v>
      </c>
      <c r="H631" s="38"/>
      <c r="I631" s="37"/>
      <c r="J631" s="37"/>
      <c r="K631" s="38">
        <f t="shared" si="9"/>
        <v>2682.4700000000003</v>
      </c>
      <c r="L631" s="38"/>
    </row>
    <row r="632" spans="1:12" ht="14.5" x14ac:dyDescent="0.35">
      <c r="A632" s="45" t="s">
        <v>3588</v>
      </c>
      <c r="C632" s="36">
        <v>45899</v>
      </c>
      <c r="D632" s="36" t="s">
        <v>1450</v>
      </c>
      <c r="E632" s="37" t="s">
        <v>3263</v>
      </c>
      <c r="F632" s="37" t="s">
        <v>4026</v>
      </c>
      <c r="G632" s="38">
        <v>109.53</v>
      </c>
      <c r="H632" s="38"/>
      <c r="I632" s="37"/>
      <c r="J632" s="37"/>
      <c r="K632" s="38">
        <f t="shared" si="9"/>
        <v>109.53</v>
      </c>
      <c r="L632" s="38"/>
    </row>
    <row r="633" spans="1:12" ht="14.5" x14ac:dyDescent="0.35">
      <c r="A633" s="45" t="s">
        <v>3588</v>
      </c>
      <c r="C633" s="36">
        <v>45899</v>
      </c>
      <c r="D633" s="36" t="s">
        <v>1450</v>
      </c>
      <c r="E633" s="37" t="s">
        <v>3264</v>
      </c>
      <c r="F633" s="37" t="s">
        <v>4026</v>
      </c>
      <c r="G633" s="38">
        <v>21.64</v>
      </c>
      <c r="H633" s="38"/>
      <c r="I633" s="37"/>
      <c r="J633" s="37"/>
      <c r="K633" s="38">
        <f t="shared" si="9"/>
        <v>21.64</v>
      </c>
      <c r="L633" s="38"/>
    </row>
    <row r="634" spans="1:12" ht="14.5" x14ac:dyDescent="0.35">
      <c r="A634" s="45" t="s">
        <v>3588</v>
      </c>
      <c r="C634" s="36">
        <v>45899</v>
      </c>
      <c r="D634" s="36" t="s">
        <v>1450</v>
      </c>
      <c r="E634" s="37" t="s">
        <v>3265</v>
      </c>
      <c r="F634" s="37" t="s">
        <v>4026</v>
      </c>
      <c r="G634" s="38">
        <v>5887.02</v>
      </c>
      <c r="H634" s="38"/>
      <c r="I634" s="37"/>
      <c r="J634" s="37"/>
      <c r="K634" s="38">
        <f t="shared" si="9"/>
        <v>5887.02</v>
      </c>
      <c r="L634" s="38"/>
    </row>
    <row r="635" spans="1:12" ht="14.5" x14ac:dyDescent="0.35">
      <c r="A635" s="45" t="s">
        <v>3588</v>
      </c>
      <c r="C635" s="36">
        <v>45899</v>
      </c>
      <c r="D635" s="36" t="s">
        <v>1450</v>
      </c>
      <c r="E635" s="37" t="s">
        <v>3266</v>
      </c>
      <c r="F635" s="37" t="s">
        <v>4026</v>
      </c>
      <c r="G635" s="38">
        <v>641.34999999999991</v>
      </c>
      <c r="H635" s="38"/>
      <c r="I635" s="37"/>
      <c r="J635" s="37"/>
      <c r="K635" s="38">
        <f t="shared" si="9"/>
        <v>641.34999999999991</v>
      </c>
      <c r="L635" s="38"/>
    </row>
    <row r="636" spans="1:12" ht="14.5" x14ac:dyDescent="0.35">
      <c r="A636" s="45" t="s">
        <v>3588</v>
      </c>
      <c r="C636" s="36">
        <v>45899</v>
      </c>
      <c r="D636" s="36" t="s">
        <v>3490</v>
      </c>
      <c r="E636" s="37" t="s">
        <v>3267</v>
      </c>
      <c r="F636" s="37" t="s">
        <v>4026</v>
      </c>
      <c r="G636" s="38">
        <v>0</v>
      </c>
      <c r="H636" s="38"/>
      <c r="I636" s="37"/>
      <c r="J636" s="37"/>
      <c r="K636" s="38">
        <f t="shared" si="9"/>
        <v>0</v>
      </c>
      <c r="L636" s="38"/>
    </row>
    <row r="637" spans="1:12" ht="14.5" x14ac:dyDescent="0.35">
      <c r="A637" s="45" t="s">
        <v>3588</v>
      </c>
      <c r="C637" s="36">
        <v>45899</v>
      </c>
      <c r="D637" s="36" t="s">
        <v>1608</v>
      </c>
      <c r="E637" s="37" t="s">
        <v>3268</v>
      </c>
      <c r="F637" s="37" t="s">
        <v>4026</v>
      </c>
      <c r="G637" s="38">
        <v>50</v>
      </c>
      <c r="H637" s="38"/>
      <c r="I637" s="37"/>
      <c r="J637" s="37"/>
      <c r="K637" s="38">
        <f t="shared" si="9"/>
        <v>50</v>
      </c>
      <c r="L637" s="38"/>
    </row>
    <row r="638" spans="1:12" ht="14.5" x14ac:dyDescent="0.35">
      <c r="A638" s="45" t="s">
        <v>3588</v>
      </c>
      <c r="C638" s="36">
        <v>45899</v>
      </c>
      <c r="D638" s="36" t="s">
        <v>1223</v>
      </c>
      <c r="E638" s="37" t="s">
        <v>3269</v>
      </c>
      <c r="F638" s="37" t="s">
        <v>4026</v>
      </c>
      <c r="G638" s="38">
        <v>193.79</v>
      </c>
      <c r="H638" s="38"/>
      <c r="I638" s="37"/>
      <c r="J638" s="37"/>
      <c r="K638" s="38">
        <f t="shared" si="9"/>
        <v>193.79</v>
      </c>
      <c r="L638" s="38"/>
    </row>
    <row r="639" spans="1:12" ht="14.5" x14ac:dyDescent="0.35">
      <c r="A639" s="45" t="s">
        <v>3588</v>
      </c>
      <c r="C639" s="36">
        <v>45899</v>
      </c>
      <c r="D639" s="36" t="s">
        <v>3491</v>
      </c>
      <c r="E639" s="37" t="s">
        <v>3270</v>
      </c>
      <c r="F639" s="37" t="s">
        <v>4026</v>
      </c>
      <c r="G639" s="38">
        <v>8740.5500000000011</v>
      </c>
      <c r="H639" s="38"/>
      <c r="I639" s="37"/>
      <c r="J639" s="37"/>
      <c r="K639" s="38">
        <f t="shared" si="9"/>
        <v>8740.5500000000011</v>
      </c>
      <c r="L639" s="38"/>
    </row>
    <row r="640" spans="1:12" ht="14.5" x14ac:dyDescent="0.35">
      <c r="A640" s="45" t="s">
        <v>3588</v>
      </c>
      <c r="C640" s="36">
        <v>45899</v>
      </c>
      <c r="D640" s="36" t="s">
        <v>3485</v>
      </c>
      <c r="E640" s="37" t="s">
        <v>3271</v>
      </c>
      <c r="F640" s="37" t="s">
        <v>4026</v>
      </c>
      <c r="G640" s="38">
        <v>157.93</v>
      </c>
      <c r="H640" s="38"/>
      <c r="I640" s="37"/>
      <c r="J640" s="37"/>
      <c r="K640" s="38">
        <f t="shared" si="9"/>
        <v>157.93</v>
      </c>
      <c r="L640" s="38"/>
    </row>
    <row r="641" spans="1:12" ht="14.5" x14ac:dyDescent="0.35">
      <c r="A641" s="45" t="s">
        <v>3588</v>
      </c>
      <c r="C641" s="36">
        <v>45899</v>
      </c>
      <c r="D641" s="36" t="s">
        <v>2266</v>
      </c>
      <c r="E641" s="37">
        <v>38546</v>
      </c>
      <c r="F641" s="37" t="s">
        <v>4026</v>
      </c>
      <c r="G641" s="38">
        <v>8726.39</v>
      </c>
      <c r="H641" s="38"/>
      <c r="I641" s="37"/>
      <c r="J641" s="37"/>
      <c r="K641" s="38">
        <f t="shared" si="9"/>
        <v>8726.39</v>
      </c>
      <c r="L641" s="38"/>
    </row>
    <row r="642" spans="1:12" ht="14.5" x14ac:dyDescent="0.35">
      <c r="A642" s="45" t="s">
        <v>3588</v>
      </c>
      <c r="C642" s="36">
        <v>45899</v>
      </c>
      <c r="D642" s="36" t="s">
        <v>3492</v>
      </c>
      <c r="E642" s="37" t="s">
        <v>3272</v>
      </c>
      <c r="F642" s="37" t="s">
        <v>4026</v>
      </c>
      <c r="G642" s="38">
        <v>0</v>
      </c>
      <c r="H642" s="38"/>
      <c r="I642" s="37"/>
      <c r="J642" s="37"/>
      <c r="K642" s="38">
        <f t="shared" si="9"/>
        <v>0</v>
      </c>
      <c r="L642" s="38"/>
    </row>
    <row r="643" spans="1:12" ht="14.5" x14ac:dyDescent="0.35">
      <c r="A643" s="45" t="s">
        <v>3588</v>
      </c>
      <c r="C643" s="36">
        <v>45899</v>
      </c>
      <c r="D643" s="36" t="s">
        <v>2205</v>
      </c>
      <c r="E643" s="37" t="s">
        <v>3273</v>
      </c>
      <c r="F643" s="37" t="s">
        <v>4026</v>
      </c>
      <c r="G643" s="38">
        <v>63092.97</v>
      </c>
      <c r="H643" s="38"/>
      <c r="I643" s="37"/>
      <c r="J643" s="37"/>
      <c r="K643" s="38">
        <f t="shared" si="9"/>
        <v>63092.97</v>
      </c>
      <c r="L643" s="38"/>
    </row>
    <row r="644" spans="1:12" ht="14.5" x14ac:dyDescent="0.35">
      <c r="A644" s="45" t="s">
        <v>3588</v>
      </c>
      <c r="C644" s="36">
        <v>45899</v>
      </c>
      <c r="D644" s="36" t="s">
        <v>2205</v>
      </c>
      <c r="E644" s="37" t="s">
        <v>3274</v>
      </c>
      <c r="F644" s="37" t="s">
        <v>4026</v>
      </c>
      <c r="G644" s="38">
        <v>15065.24</v>
      </c>
      <c r="H644" s="38"/>
      <c r="I644" s="37"/>
      <c r="J644" s="37"/>
      <c r="K644" s="38">
        <f t="shared" si="9"/>
        <v>15065.24</v>
      </c>
      <c r="L644" s="38"/>
    </row>
    <row r="645" spans="1:12" ht="14.5" x14ac:dyDescent="0.35">
      <c r="A645" s="45" t="s">
        <v>3588</v>
      </c>
      <c r="C645" s="36">
        <v>45899</v>
      </c>
      <c r="D645" s="36" t="s">
        <v>2205</v>
      </c>
      <c r="E645" s="37" t="s">
        <v>3275</v>
      </c>
      <c r="F645" s="37" t="s">
        <v>4026</v>
      </c>
      <c r="G645" s="38">
        <v>509.68</v>
      </c>
      <c r="H645" s="38"/>
      <c r="I645" s="37"/>
      <c r="J645" s="37"/>
      <c r="K645" s="38">
        <f t="shared" ref="K645:K708" si="10">G645-H645</f>
        <v>509.68</v>
      </c>
      <c r="L645" s="38"/>
    </row>
    <row r="646" spans="1:12" ht="14.5" x14ac:dyDescent="0.35">
      <c r="A646" s="45" t="s">
        <v>3588</v>
      </c>
      <c r="C646" s="36">
        <v>45899</v>
      </c>
      <c r="D646" s="36" t="s">
        <v>2205</v>
      </c>
      <c r="E646" s="37" t="s">
        <v>3276</v>
      </c>
      <c r="F646" s="37" t="s">
        <v>4026</v>
      </c>
      <c r="G646" s="38">
        <v>3477.23</v>
      </c>
      <c r="H646" s="38"/>
      <c r="I646" s="37"/>
      <c r="J646" s="37"/>
      <c r="K646" s="38">
        <f t="shared" si="10"/>
        <v>3477.23</v>
      </c>
      <c r="L646" s="38"/>
    </row>
    <row r="647" spans="1:12" ht="14.5" x14ac:dyDescent="0.35">
      <c r="A647" s="45" t="s">
        <v>3588</v>
      </c>
      <c r="C647" s="36">
        <v>45899</v>
      </c>
      <c r="D647" s="36" t="s">
        <v>2205</v>
      </c>
      <c r="E647" s="37" t="s">
        <v>3277</v>
      </c>
      <c r="F647" s="37" t="s">
        <v>4026</v>
      </c>
      <c r="G647" s="38">
        <v>363.86</v>
      </c>
      <c r="H647" s="38"/>
      <c r="I647" s="37"/>
      <c r="J647" s="37"/>
      <c r="K647" s="38">
        <f t="shared" si="10"/>
        <v>363.86</v>
      </c>
      <c r="L647" s="38"/>
    </row>
    <row r="648" spans="1:12" ht="14.5" x14ac:dyDescent="0.35">
      <c r="A648" s="45" t="s">
        <v>3588</v>
      </c>
      <c r="C648" s="36">
        <v>45899</v>
      </c>
      <c r="D648" s="36" t="s">
        <v>3472</v>
      </c>
      <c r="E648" s="37" t="s">
        <v>3278</v>
      </c>
      <c r="F648" s="37" t="s">
        <v>4026</v>
      </c>
      <c r="G648" s="38">
        <v>1319.76</v>
      </c>
      <c r="H648" s="38"/>
      <c r="I648" s="37"/>
      <c r="J648" s="37"/>
      <c r="K648" s="38">
        <f t="shared" si="10"/>
        <v>1319.76</v>
      </c>
      <c r="L648" s="38"/>
    </row>
    <row r="649" spans="1:12" ht="14.5" x14ac:dyDescent="0.35">
      <c r="A649" s="45" t="s">
        <v>3588</v>
      </c>
      <c r="C649" s="36">
        <v>45899</v>
      </c>
      <c r="D649" s="36" t="s">
        <v>3472</v>
      </c>
      <c r="E649" s="37" t="s">
        <v>3279</v>
      </c>
      <c r="F649" s="37" t="s">
        <v>4026</v>
      </c>
      <c r="G649" s="38">
        <v>87.17</v>
      </c>
      <c r="H649" s="38"/>
      <c r="I649" s="37"/>
      <c r="J649" s="37"/>
      <c r="K649" s="38">
        <f t="shared" si="10"/>
        <v>87.17</v>
      </c>
      <c r="L649" s="38"/>
    </row>
    <row r="650" spans="1:12" ht="14.5" x14ac:dyDescent="0.35">
      <c r="A650" s="45" t="s">
        <v>3588</v>
      </c>
      <c r="C650" s="36">
        <v>45899</v>
      </c>
      <c r="D650" s="36" t="s">
        <v>3148</v>
      </c>
      <c r="E650" s="37" t="s">
        <v>3280</v>
      </c>
      <c r="F650" s="37" t="s">
        <v>4026</v>
      </c>
      <c r="G650" s="38">
        <v>739.96</v>
      </c>
      <c r="H650" s="38"/>
      <c r="I650" s="37"/>
      <c r="J650" s="37"/>
      <c r="K650" s="38">
        <f t="shared" si="10"/>
        <v>739.96</v>
      </c>
      <c r="L650" s="38"/>
    </row>
    <row r="651" spans="1:12" ht="14.5" x14ac:dyDescent="0.35">
      <c r="A651" s="45" t="s">
        <v>3588</v>
      </c>
      <c r="C651" s="36">
        <v>45899</v>
      </c>
      <c r="D651" s="36" t="s">
        <v>3493</v>
      </c>
      <c r="E651" s="37" t="s">
        <v>3281</v>
      </c>
      <c r="F651" s="37" t="s">
        <v>4026</v>
      </c>
      <c r="G651" s="38">
        <v>18.14</v>
      </c>
      <c r="H651" s="38"/>
      <c r="I651" s="37"/>
      <c r="J651" s="37"/>
      <c r="K651" s="38">
        <f t="shared" si="10"/>
        <v>18.14</v>
      </c>
      <c r="L651" s="38"/>
    </row>
    <row r="652" spans="1:12" ht="14.5" x14ac:dyDescent="0.35">
      <c r="A652" s="45" t="s">
        <v>3588</v>
      </c>
      <c r="C652" s="36">
        <v>45899</v>
      </c>
      <c r="D652" s="36" t="s">
        <v>3493</v>
      </c>
      <c r="E652" s="37" t="s">
        <v>3282</v>
      </c>
      <c r="F652" s="37" t="s">
        <v>4026</v>
      </c>
      <c r="G652" s="38">
        <v>359.59</v>
      </c>
      <c r="H652" s="38"/>
      <c r="I652" s="37"/>
      <c r="J652" s="37"/>
      <c r="K652" s="38">
        <f t="shared" si="10"/>
        <v>359.59</v>
      </c>
      <c r="L652" s="38"/>
    </row>
    <row r="653" spans="1:12" ht="14.5" x14ac:dyDescent="0.35">
      <c r="A653" s="45" t="s">
        <v>3588</v>
      </c>
      <c r="C653" s="36">
        <v>45899</v>
      </c>
      <c r="D653" s="36" t="s">
        <v>1223</v>
      </c>
      <c r="E653" s="37" t="s">
        <v>3283</v>
      </c>
      <c r="F653" s="37" t="s">
        <v>4026</v>
      </c>
      <c r="G653" s="38">
        <v>8.17</v>
      </c>
      <c r="H653" s="38"/>
      <c r="I653" s="37"/>
      <c r="J653" s="37"/>
      <c r="K653" s="38">
        <f t="shared" si="10"/>
        <v>8.17</v>
      </c>
      <c r="L653" s="38"/>
    </row>
    <row r="654" spans="1:12" ht="14.5" x14ac:dyDescent="0.35">
      <c r="A654" s="45" t="s">
        <v>3588</v>
      </c>
      <c r="C654" s="36">
        <v>45899</v>
      </c>
      <c r="D654" s="36" t="s">
        <v>1223</v>
      </c>
      <c r="E654" s="37" t="s">
        <v>3284</v>
      </c>
      <c r="F654" s="37" t="s">
        <v>4026</v>
      </c>
      <c r="G654" s="38">
        <v>61.64</v>
      </c>
      <c r="H654" s="38"/>
      <c r="I654" s="37"/>
      <c r="J654" s="37"/>
      <c r="K654" s="38">
        <f t="shared" si="10"/>
        <v>61.64</v>
      </c>
      <c r="L654" s="38"/>
    </row>
    <row r="655" spans="1:12" ht="14.5" x14ac:dyDescent="0.35">
      <c r="A655" s="45" t="s">
        <v>3588</v>
      </c>
      <c r="C655" s="36">
        <v>45899</v>
      </c>
      <c r="D655" s="36" t="s">
        <v>1223</v>
      </c>
      <c r="E655" s="37" t="s">
        <v>3285</v>
      </c>
      <c r="F655" s="37" t="s">
        <v>4026</v>
      </c>
      <c r="G655" s="38">
        <v>597.15</v>
      </c>
      <c r="H655" s="38"/>
      <c r="I655" s="37"/>
      <c r="J655" s="37"/>
      <c r="K655" s="38">
        <f t="shared" si="10"/>
        <v>597.15</v>
      </c>
      <c r="L655" s="38"/>
    </row>
    <row r="656" spans="1:12" ht="14.5" x14ac:dyDescent="0.35">
      <c r="A656" s="45" t="s">
        <v>3588</v>
      </c>
      <c r="C656" s="36">
        <v>45899</v>
      </c>
      <c r="D656" s="36" t="s">
        <v>1223</v>
      </c>
      <c r="E656" s="37" t="s">
        <v>3286</v>
      </c>
      <c r="F656" s="37" t="s">
        <v>4026</v>
      </c>
      <c r="G656" s="38">
        <v>312.07</v>
      </c>
      <c r="H656" s="38"/>
      <c r="I656" s="37"/>
      <c r="J656" s="37"/>
      <c r="K656" s="38">
        <f t="shared" si="10"/>
        <v>312.07</v>
      </c>
      <c r="L656" s="38"/>
    </row>
    <row r="657" spans="1:12" ht="14.5" x14ac:dyDescent="0.35">
      <c r="A657" s="45" t="s">
        <v>3588</v>
      </c>
      <c r="C657" s="36">
        <v>45899</v>
      </c>
      <c r="D657" s="36" t="s">
        <v>3494</v>
      </c>
      <c r="E657" s="37" t="s">
        <v>3287</v>
      </c>
      <c r="F657" s="37" t="s">
        <v>4026</v>
      </c>
      <c r="G657" s="38">
        <v>0</v>
      </c>
      <c r="H657" s="38"/>
      <c r="I657" s="37"/>
      <c r="J657" s="37"/>
      <c r="K657" s="38">
        <f t="shared" si="10"/>
        <v>0</v>
      </c>
      <c r="L657" s="38"/>
    </row>
    <row r="658" spans="1:12" ht="14.5" x14ac:dyDescent="0.35">
      <c r="A658" s="45" t="s">
        <v>3588</v>
      </c>
      <c r="C658" s="36">
        <v>45899</v>
      </c>
      <c r="D658" s="36" t="s">
        <v>1582</v>
      </c>
      <c r="E658" s="37" t="s">
        <v>3288</v>
      </c>
      <c r="F658" s="37" t="s">
        <v>4026</v>
      </c>
      <c r="G658" s="38">
        <v>143777.63000000006</v>
      </c>
      <c r="H658" s="38"/>
      <c r="I658" s="37"/>
      <c r="J658" s="37"/>
      <c r="K658" s="38">
        <f t="shared" si="10"/>
        <v>143777.63000000006</v>
      </c>
      <c r="L658" s="38"/>
    </row>
    <row r="659" spans="1:12" ht="14.5" x14ac:dyDescent="0.35">
      <c r="A659" s="45" t="s">
        <v>3588</v>
      </c>
      <c r="C659" s="36">
        <v>45899</v>
      </c>
      <c r="D659" s="36" t="s">
        <v>2231</v>
      </c>
      <c r="E659" s="37">
        <v>38651</v>
      </c>
      <c r="F659" s="37" t="s">
        <v>4026</v>
      </c>
      <c r="G659" s="38">
        <v>7237.3</v>
      </c>
      <c r="H659" s="38"/>
      <c r="I659" s="37"/>
      <c r="J659" s="37"/>
      <c r="K659" s="38">
        <f t="shared" si="10"/>
        <v>7237.3</v>
      </c>
      <c r="L659" s="38"/>
    </row>
    <row r="660" spans="1:12" ht="14.5" x14ac:dyDescent="0.35">
      <c r="A660" s="45" t="s">
        <v>3588</v>
      </c>
      <c r="C660" s="36">
        <v>45899</v>
      </c>
      <c r="D660" s="36" t="s">
        <v>3495</v>
      </c>
      <c r="E660" s="37" t="s">
        <v>3289</v>
      </c>
      <c r="F660" s="37" t="s">
        <v>4026</v>
      </c>
      <c r="G660" s="38">
        <v>13.5</v>
      </c>
      <c r="H660" s="38"/>
      <c r="I660" s="37"/>
      <c r="J660" s="37"/>
      <c r="K660" s="38">
        <f t="shared" si="10"/>
        <v>13.5</v>
      </c>
      <c r="L660" s="38"/>
    </row>
    <row r="661" spans="1:12" ht="14.5" x14ac:dyDescent="0.35">
      <c r="A661" s="45" t="s">
        <v>3588</v>
      </c>
      <c r="C661" s="36">
        <v>45899</v>
      </c>
      <c r="D661" s="36" t="s">
        <v>2220</v>
      </c>
      <c r="E661" s="37" t="s">
        <v>3290</v>
      </c>
      <c r="F661" s="37" t="s">
        <v>4026</v>
      </c>
      <c r="G661" s="38">
        <v>36169.69999999999</v>
      </c>
      <c r="H661" s="38"/>
      <c r="I661" s="37"/>
      <c r="J661" s="37"/>
      <c r="K661" s="38">
        <f t="shared" si="10"/>
        <v>36169.69999999999</v>
      </c>
      <c r="L661" s="38"/>
    </row>
    <row r="662" spans="1:12" ht="14.5" x14ac:dyDescent="0.35">
      <c r="A662" s="45" t="s">
        <v>3588</v>
      </c>
      <c r="C662" s="36">
        <v>45899</v>
      </c>
      <c r="D662" s="36" t="s">
        <v>2220</v>
      </c>
      <c r="E662" s="37" t="s">
        <v>3291</v>
      </c>
      <c r="F662" s="37" t="s">
        <v>4026</v>
      </c>
      <c r="G662" s="38">
        <v>76.320000000000007</v>
      </c>
      <c r="H662" s="38"/>
      <c r="I662" s="37"/>
      <c r="J662" s="37"/>
      <c r="K662" s="38">
        <f t="shared" si="10"/>
        <v>76.320000000000007</v>
      </c>
      <c r="L662" s="38"/>
    </row>
    <row r="663" spans="1:12" ht="14.5" x14ac:dyDescent="0.35">
      <c r="A663" s="45" t="s">
        <v>3588</v>
      </c>
      <c r="C663" s="36">
        <v>45899</v>
      </c>
      <c r="D663" s="36" t="s">
        <v>2392</v>
      </c>
      <c r="E663" s="37" t="s">
        <v>3292</v>
      </c>
      <c r="F663" s="37" t="s">
        <v>4026</v>
      </c>
      <c r="G663" s="38">
        <v>600</v>
      </c>
      <c r="H663" s="38"/>
      <c r="I663" s="37"/>
      <c r="J663" s="37"/>
      <c r="K663" s="38">
        <f t="shared" si="10"/>
        <v>600</v>
      </c>
      <c r="L663" s="38"/>
    </row>
    <row r="664" spans="1:12" ht="14.5" x14ac:dyDescent="0.35">
      <c r="A664" s="45" t="s">
        <v>3588</v>
      </c>
      <c r="C664" s="36">
        <v>45899</v>
      </c>
      <c r="D664" s="36" t="s">
        <v>2392</v>
      </c>
      <c r="E664" s="37" t="s">
        <v>3293</v>
      </c>
      <c r="F664" s="37" t="s">
        <v>4026</v>
      </c>
      <c r="G664" s="38">
        <v>50.08</v>
      </c>
      <c r="H664" s="38"/>
      <c r="I664" s="37"/>
      <c r="J664" s="37"/>
      <c r="K664" s="38">
        <f t="shared" si="10"/>
        <v>50.08</v>
      </c>
      <c r="L664" s="38"/>
    </row>
    <row r="665" spans="1:12" ht="14.5" x14ac:dyDescent="0.35">
      <c r="A665" s="45" t="s">
        <v>3588</v>
      </c>
      <c r="C665" s="36">
        <v>45899</v>
      </c>
      <c r="D665" s="36" t="s">
        <v>1269</v>
      </c>
      <c r="E665" s="37" t="s">
        <v>3294</v>
      </c>
      <c r="F665" s="37" t="s">
        <v>4026</v>
      </c>
      <c r="G665" s="38">
        <v>907.09999999999991</v>
      </c>
      <c r="H665" s="38"/>
      <c r="I665" s="37"/>
      <c r="J665" s="37"/>
      <c r="K665" s="38">
        <f t="shared" si="10"/>
        <v>907.09999999999991</v>
      </c>
      <c r="L665" s="38"/>
    </row>
    <row r="666" spans="1:12" ht="14.5" x14ac:dyDescent="0.35">
      <c r="A666" s="45" t="s">
        <v>3588</v>
      </c>
      <c r="C666" s="36">
        <v>45899</v>
      </c>
      <c r="D666" s="36" t="s">
        <v>2629</v>
      </c>
      <c r="E666" s="37" t="s">
        <v>3295</v>
      </c>
      <c r="F666" s="37" t="s">
        <v>4026</v>
      </c>
      <c r="G666" s="38">
        <v>200</v>
      </c>
      <c r="H666" s="38"/>
      <c r="I666" s="37"/>
      <c r="J666" s="37"/>
      <c r="K666" s="38">
        <f t="shared" si="10"/>
        <v>200</v>
      </c>
      <c r="L666" s="38"/>
    </row>
    <row r="667" spans="1:12" ht="14.5" x14ac:dyDescent="0.35">
      <c r="A667" s="45" t="s">
        <v>3588</v>
      </c>
      <c r="C667" s="36">
        <v>45899</v>
      </c>
      <c r="D667" s="36" t="s">
        <v>1223</v>
      </c>
      <c r="E667" s="37" t="s">
        <v>3296</v>
      </c>
      <c r="F667" s="37" t="s">
        <v>4026</v>
      </c>
      <c r="G667" s="38">
        <v>2771.9799999999996</v>
      </c>
      <c r="H667" s="38"/>
      <c r="I667" s="37"/>
      <c r="J667" s="37"/>
      <c r="K667" s="38">
        <f t="shared" si="10"/>
        <v>2771.9799999999996</v>
      </c>
      <c r="L667" s="38"/>
    </row>
    <row r="668" spans="1:12" ht="14.5" x14ac:dyDescent="0.35">
      <c r="A668" s="45" t="s">
        <v>3588</v>
      </c>
      <c r="C668" s="36">
        <v>45899</v>
      </c>
      <c r="D668" s="36" t="s">
        <v>1631</v>
      </c>
      <c r="E668" s="37" t="s">
        <v>3297</v>
      </c>
      <c r="F668" s="37" t="s">
        <v>4026</v>
      </c>
      <c r="G668" s="38">
        <v>2205.9300000000003</v>
      </c>
      <c r="H668" s="38"/>
      <c r="I668" s="37"/>
      <c r="J668" s="37"/>
      <c r="K668" s="38">
        <f t="shared" si="10"/>
        <v>2205.9300000000003</v>
      </c>
      <c r="L668" s="38"/>
    </row>
    <row r="669" spans="1:12" ht="14.5" x14ac:dyDescent="0.35">
      <c r="A669" s="45" t="s">
        <v>3588</v>
      </c>
      <c r="C669" s="36">
        <v>45899</v>
      </c>
      <c r="D669" s="36" t="s">
        <v>3492</v>
      </c>
      <c r="E669" s="37" t="s">
        <v>3298</v>
      </c>
      <c r="F669" s="37" t="s">
        <v>4026</v>
      </c>
      <c r="G669" s="38">
        <v>200</v>
      </c>
      <c r="H669" s="38"/>
      <c r="I669" s="37"/>
      <c r="J669" s="37"/>
      <c r="K669" s="38">
        <f t="shared" si="10"/>
        <v>200</v>
      </c>
      <c r="L669" s="38"/>
    </row>
    <row r="670" spans="1:12" ht="14.5" x14ac:dyDescent="0.35">
      <c r="A670" s="45" t="s">
        <v>3588</v>
      </c>
      <c r="C670" s="36">
        <v>45899</v>
      </c>
      <c r="D670" s="36" t="s">
        <v>3496</v>
      </c>
      <c r="E670" s="37">
        <v>38791</v>
      </c>
      <c r="F670" s="37" t="s">
        <v>4026</v>
      </c>
      <c r="G670" s="38">
        <v>1646.32</v>
      </c>
      <c r="H670" s="38"/>
      <c r="I670" s="37"/>
      <c r="J670" s="37"/>
      <c r="K670" s="38">
        <f t="shared" si="10"/>
        <v>1646.32</v>
      </c>
      <c r="L670" s="38"/>
    </row>
    <row r="671" spans="1:12" ht="14.5" x14ac:dyDescent="0.35">
      <c r="A671" s="45" t="s">
        <v>3588</v>
      </c>
      <c r="C671" s="36">
        <v>45899</v>
      </c>
      <c r="D671" s="36" t="s">
        <v>3497</v>
      </c>
      <c r="E671" s="37">
        <v>38806</v>
      </c>
      <c r="F671" s="37" t="s">
        <v>4026</v>
      </c>
      <c r="G671" s="38">
        <v>55524.2</v>
      </c>
      <c r="H671" s="38"/>
      <c r="I671" s="37"/>
      <c r="J671" s="37"/>
      <c r="K671" s="38">
        <f t="shared" si="10"/>
        <v>55524.2</v>
      </c>
      <c r="L671" s="38"/>
    </row>
    <row r="672" spans="1:12" ht="14.5" x14ac:dyDescent="0.35">
      <c r="A672" s="45" t="s">
        <v>3588</v>
      </c>
      <c r="C672" s="36">
        <v>45899</v>
      </c>
      <c r="D672" s="36" t="s">
        <v>3498</v>
      </c>
      <c r="E672" s="37">
        <v>38817</v>
      </c>
      <c r="F672" s="37" t="s">
        <v>4026</v>
      </c>
      <c r="G672" s="38">
        <v>2110.96</v>
      </c>
      <c r="H672" s="38"/>
      <c r="I672" s="37"/>
      <c r="J672" s="37"/>
      <c r="K672" s="38">
        <f t="shared" si="10"/>
        <v>2110.96</v>
      </c>
      <c r="L672" s="38"/>
    </row>
    <row r="673" spans="1:12" ht="14.5" x14ac:dyDescent="0.35">
      <c r="A673" s="45" t="s">
        <v>3588</v>
      </c>
      <c r="C673" s="36">
        <v>45899</v>
      </c>
      <c r="D673" s="36" t="s">
        <v>3499</v>
      </c>
      <c r="E673" s="37">
        <v>38834</v>
      </c>
      <c r="F673" s="37" t="s">
        <v>4026</v>
      </c>
      <c r="G673" s="38">
        <v>22500</v>
      </c>
      <c r="H673" s="38"/>
      <c r="I673" s="37"/>
      <c r="J673" s="37"/>
      <c r="K673" s="38">
        <f t="shared" si="10"/>
        <v>22500</v>
      </c>
      <c r="L673" s="38"/>
    </row>
    <row r="674" spans="1:12" ht="14.5" x14ac:dyDescent="0.35">
      <c r="A674" s="45" t="s">
        <v>3588</v>
      </c>
      <c r="C674" s="36">
        <v>45899</v>
      </c>
      <c r="D674" s="36" t="s">
        <v>3500</v>
      </c>
      <c r="E674" s="37">
        <v>38839</v>
      </c>
      <c r="F674" s="37" t="s">
        <v>4026</v>
      </c>
      <c r="G674" s="38">
        <v>1006.31</v>
      </c>
      <c r="H674" s="38"/>
      <c r="I674" s="37"/>
      <c r="J674" s="37"/>
      <c r="K674" s="38">
        <f t="shared" si="10"/>
        <v>1006.31</v>
      </c>
      <c r="L674" s="38"/>
    </row>
    <row r="675" spans="1:12" ht="14.5" x14ac:dyDescent="0.35">
      <c r="A675" s="45" t="s">
        <v>3588</v>
      </c>
      <c r="C675" s="36">
        <v>45899</v>
      </c>
      <c r="D675" s="36" t="s">
        <v>3501</v>
      </c>
      <c r="E675" s="37">
        <v>38846</v>
      </c>
      <c r="F675" s="37" t="s">
        <v>4026</v>
      </c>
      <c r="G675" s="38">
        <v>2563.0299999999997</v>
      </c>
      <c r="H675" s="38"/>
      <c r="I675" s="37"/>
      <c r="J675" s="37"/>
      <c r="K675" s="38">
        <f t="shared" si="10"/>
        <v>2563.0299999999997</v>
      </c>
      <c r="L675" s="38"/>
    </row>
    <row r="676" spans="1:12" ht="14.5" x14ac:dyDescent="0.35">
      <c r="A676" s="45" t="s">
        <v>3588</v>
      </c>
      <c r="C676" s="36">
        <v>45899</v>
      </c>
      <c r="D676" s="36" t="s">
        <v>2892</v>
      </c>
      <c r="E676" s="37">
        <v>38850</v>
      </c>
      <c r="F676" s="37" t="s">
        <v>4026</v>
      </c>
      <c r="G676" s="38">
        <v>10747.08</v>
      </c>
      <c r="H676" s="38"/>
      <c r="I676" s="37"/>
      <c r="J676" s="37"/>
      <c r="K676" s="38">
        <f t="shared" si="10"/>
        <v>10747.08</v>
      </c>
      <c r="L676" s="38"/>
    </row>
    <row r="677" spans="1:12" ht="14.5" x14ac:dyDescent="0.35">
      <c r="A677" s="45" t="s">
        <v>3588</v>
      </c>
      <c r="C677" s="36">
        <v>45899</v>
      </c>
      <c r="D677" s="36" t="s">
        <v>3502</v>
      </c>
      <c r="E677" s="37">
        <v>38874</v>
      </c>
      <c r="F677" s="37" t="s">
        <v>4026</v>
      </c>
      <c r="G677" s="38">
        <v>346.58</v>
      </c>
      <c r="H677" s="38"/>
      <c r="I677" s="37"/>
      <c r="J677" s="37"/>
      <c r="K677" s="38">
        <f t="shared" si="10"/>
        <v>346.58</v>
      </c>
      <c r="L677" s="38"/>
    </row>
    <row r="678" spans="1:12" ht="14.5" x14ac:dyDescent="0.35">
      <c r="A678" s="45" t="s">
        <v>3588</v>
      </c>
      <c r="C678" s="36">
        <v>45899</v>
      </c>
      <c r="D678" s="36" t="s">
        <v>2629</v>
      </c>
      <c r="E678" s="37">
        <v>38889</v>
      </c>
      <c r="F678" s="37" t="s">
        <v>4026</v>
      </c>
      <c r="G678" s="38">
        <v>3588.28</v>
      </c>
      <c r="H678" s="38"/>
      <c r="I678" s="37"/>
      <c r="J678" s="37"/>
      <c r="K678" s="38">
        <f t="shared" si="10"/>
        <v>3588.28</v>
      </c>
      <c r="L678" s="38"/>
    </row>
    <row r="679" spans="1:12" ht="14.5" x14ac:dyDescent="0.35">
      <c r="A679" s="45" t="s">
        <v>3588</v>
      </c>
      <c r="C679" s="36">
        <v>45899</v>
      </c>
      <c r="D679" s="36" t="s">
        <v>3496</v>
      </c>
      <c r="E679" s="37">
        <v>38953</v>
      </c>
      <c r="F679" s="37" t="s">
        <v>4026</v>
      </c>
      <c r="G679" s="38">
        <v>2346.54</v>
      </c>
      <c r="H679" s="38"/>
      <c r="I679" s="37"/>
      <c r="J679" s="37"/>
      <c r="K679" s="38">
        <f t="shared" si="10"/>
        <v>2346.54</v>
      </c>
      <c r="L679" s="38"/>
    </row>
    <row r="680" spans="1:12" ht="14.5" x14ac:dyDescent="0.35">
      <c r="A680" s="45" t="s">
        <v>3588</v>
      </c>
      <c r="C680" s="36">
        <v>45899</v>
      </c>
      <c r="D680" s="36" t="s">
        <v>3503</v>
      </c>
      <c r="E680" s="37">
        <v>38954</v>
      </c>
      <c r="F680" s="37" t="s">
        <v>4026</v>
      </c>
      <c r="G680" s="38">
        <v>8782.15</v>
      </c>
      <c r="H680" s="38"/>
      <c r="I680" s="37"/>
      <c r="J680" s="37"/>
      <c r="K680" s="38">
        <f t="shared" si="10"/>
        <v>8782.15</v>
      </c>
      <c r="L680" s="38"/>
    </row>
    <row r="681" spans="1:12" ht="14.5" x14ac:dyDescent="0.35">
      <c r="A681" s="45" t="s">
        <v>3588</v>
      </c>
      <c r="C681" s="36">
        <v>45899</v>
      </c>
      <c r="D681" s="36" t="s">
        <v>3504</v>
      </c>
      <c r="E681" s="37">
        <v>38970</v>
      </c>
      <c r="F681" s="37" t="s">
        <v>4026</v>
      </c>
      <c r="G681" s="38">
        <v>66.78</v>
      </c>
      <c r="H681" s="38"/>
      <c r="I681" s="37"/>
      <c r="J681" s="37"/>
      <c r="K681" s="38">
        <f t="shared" si="10"/>
        <v>66.78</v>
      </c>
      <c r="L681" s="38"/>
    </row>
    <row r="682" spans="1:12" ht="14.5" x14ac:dyDescent="0.35">
      <c r="A682" s="45" t="s">
        <v>3588</v>
      </c>
      <c r="C682" s="36">
        <v>45899</v>
      </c>
      <c r="D682" s="36" t="s">
        <v>3496</v>
      </c>
      <c r="E682" s="37">
        <v>38981</v>
      </c>
      <c r="F682" s="37" t="s">
        <v>4026</v>
      </c>
      <c r="G682" s="38">
        <v>631.48</v>
      </c>
      <c r="H682" s="38"/>
      <c r="I682" s="37"/>
      <c r="J682" s="37"/>
      <c r="K682" s="38">
        <f t="shared" si="10"/>
        <v>631.48</v>
      </c>
      <c r="L682" s="38"/>
    </row>
    <row r="683" spans="1:12" ht="14.5" x14ac:dyDescent="0.35">
      <c r="A683" s="45" t="s">
        <v>3588</v>
      </c>
      <c r="C683" s="36">
        <v>45899</v>
      </c>
      <c r="D683" s="36" t="s">
        <v>301</v>
      </c>
      <c r="E683" s="37">
        <v>38983</v>
      </c>
      <c r="F683" s="37" t="s">
        <v>4026</v>
      </c>
      <c r="G683" s="38">
        <v>596.53</v>
      </c>
      <c r="H683" s="38"/>
      <c r="I683" s="37"/>
      <c r="J683" s="37"/>
      <c r="K683" s="38">
        <f t="shared" si="10"/>
        <v>596.53</v>
      </c>
      <c r="L683" s="38"/>
    </row>
    <row r="684" spans="1:12" ht="14.5" x14ac:dyDescent="0.35">
      <c r="A684" s="45" t="s">
        <v>3588</v>
      </c>
      <c r="C684" s="36">
        <v>45899</v>
      </c>
      <c r="D684" s="36" t="s">
        <v>1475</v>
      </c>
      <c r="E684" s="37">
        <v>38993</v>
      </c>
      <c r="F684" s="37" t="s">
        <v>4026</v>
      </c>
      <c r="G684" s="38">
        <v>24852.83</v>
      </c>
      <c r="H684" s="38"/>
      <c r="I684" s="37"/>
      <c r="J684" s="37"/>
      <c r="K684" s="38">
        <f t="shared" si="10"/>
        <v>24852.83</v>
      </c>
      <c r="L684" s="38"/>
    </row>
    <row r="685" spans="1:12" ht="14.5" x14ac:dyDescent="0.35">
      <c r="A685" s="45" t="s">
        <v>3588</v>
      </c>
      <c r="C685" s="36">
        <v>45899</v>
      </c>
      <c r="D685" s="36" t="s">
        <v>1924</v>
      </c>
      <c r="E685" s="37">
        <v>38996</v>
      </c>
      <c r="F685" s="37" t="s">
        <v>4026</v>
      </c>
      <c r="G685" s="38">
        <v>1748.55</v>
      </c>
      <c r="H685" s="38"/>
      <c r="I685" s="37"/>
      <c r="J685" s="37"/>
      <c r="K685" s="38">
        <f t="shared" si="10"/>
        <v>1748.55</v>
      </c>
      <c r="L685" s="38"/>
    </row>
    <row r="686" spans="1:12" ht="14.5" x14ac:dyDescent="0.35">
      <c r="A686" s="45" t="s">
        <v>3588</v>
      </c>
      <c r="C686" s="36">
        <v>45899</v>
      </c>
      <c r="D686" s="36" t="s">
        <v>3505</v>
      </c>
      <c r="E686" s="37">
        <v>39002</v>
      </c>
      <c r="F686" s="37" t="s">
        <v>4026</v>
      </c>
      <c r="G686" s="38">
        <v>18200</v>
      </c>
      <c r="H686" s="38"/>
      <c r="I686" s="37"/>
      <c r="J686" s="37"/>
      <c r="K686" s="38">
        <f t="shared" si="10"/>
        <v>18200</v>
      </c>
      <c r="L686" s="38"/>
    </row>
    <row r="687" spans="1:12" ht="14.5" x14ac:dyDescent="0.35">
      <c r="A687" s="45" t="s">
        <v>3588</v>
      </c>
      <c r="C687" s="36">
        <v>45899</v>
      </c>
      <c r="D687" s="36" t="s">
        <v>3506</v>
      </c>
      <c r="E687" s="37">
        <v>39010</v>
      </c>
      <c r="F687" s="37" t="s">
        <v>4026</v>
      </c>
      <c r="G687" s="38">
        <v>783.92</v>
      </c>
      <c r="H687" s="38"/>
      <c r="I687" s="37"/>
      <c r="J687" s="37"/>
      <c r="K687" s="38">
        <f t="shared" si="10"/>
        <v>783.92</v>
      </c>
      <c r="L687" s="38"/>
    </row>
    <row r="688" spans="1:12" ht="14.5" x14ac:dyDescent="0.35">
      <c r="A688" s="45" t="s">
        <v>3588</v>
      </c>
      <c r="C688" s="36">
        <v>45899</v>
      </c>
      <c r="D688" s="36" t="s">
        <v>2454</v>
      </c>
      <c r="E688" s="37" t="s">
        <v>3299</v>
      </c>
      <c r="F688" s="37" t="s">
        <v>4026</v>
      </c>
      <c r="G688" s="38">
        <v>27.87</v>
      </c>
      <c r="H688" s="38"/>
      <c r="I688" s="37"/>
      <c r="J688" s="37"/>
      <c r="K688" s="38">
        <f t="shared" si="10"/>
        <v>27.87</v>
      </c>
      <c r="L688" s="38"/>
    </row>
    <row r="689" spans="1:12" ht="14.5" x14ac:dyDescent="0.35">
      <c r="A689" s="45" t="s">
        <v>3588</v>
      </c>
      <c r="C689" s="36">
        <v>45899</v>
      </c>
      <c r="D689" s="36" t="s">
        <v>1223</v>
      </c>
      <c r="E689" s="37" t="s">
        <v>3300</v>
      </c>
      <c r="F689" s="37" t="s">
        <v>4026</v>
      </c>
      <c r="G689" s="38">
        <v>686.03</v>
      </c>
      <c r="H689" s="38"/>
      <c r="I689" s="37"/>
      <c r="J689" s="37"/>
      <c r="K689" s="38">
        <f t="shared" si="10"/>
        <v>686.03</v>
      </c>
      <c r="L689" s="38"/>
    </row>
    <row r="690" spans="1:12" ht="14.5" x14ac:dyDescent="0.35">
      <c r="A690" s="45" t="s">
        <v>3588</v>
      </c>
      <c r="C690" s="36">
        <v>45899</v>
      </c>
      <c r="D690" s="36" t="s">
        <v>3507</v>
      </c>
      <c r="E690" s="37">
        <v>39090</v>
      </c>
      <c r="F690" s="37" t="s">
        <v>4026</v>
      </c>
      <c r="G690" s="38">
        <v>661741.42000000016</v>
      </c>
      <c r="H690" s="38"/>
      <c r="I690" s="37"/>
      <c r="J690" s="37"/>
      <c r="K690" s="38">
        <f t="shared" si="10"/>
        <v>661741.42000000016</v>
      </c>
      <c r="L690" s="38"/>
    </row>
    <row r="691" spans="1:12" ht="14.5" x14ac:dyDescent="0.35">
      <c r="A691" s="45" t="s">
        <v>3588</v>
      </c>
      <c r="C691" s="36">
        <v>45899</v>
      </c>
      <c r="D691" s="36" t="s">
        <v>3508</v>
      </c>
      <c r="E691" s="37">
        <v>39123</v>
      </c>
      <c r="F691" s="37" t="s">
        <v>4026</v>
      </c>
      <c r="G691" s="38">
        <v>1814.63</v>
      </c>
      <c r="H691" s="38"/>
      <c r="I691" s="37"/>
      <c r="J691" s="37"/>
      <c r="K691" s="38">
        <f t="shared" si="10"/>
        <v>1814.63</v>
      </c>
      <c r="L691" s="38"/>
    </row>
    <row r="692" spans="1:12" ht="14.5" x14ac:dyDescent="0.35">
      <c r="A692" s="45" t="s">
        <v>3588</v>
      </c>
      <c r="C692" s="36">
        <v>45899</v>
      </c>
      <c r="D692" s="36" t="s">
        <v>884</v>
      </c>
      <c r="E692" s="37">
        <v>24015762</v>
      </c>
      <c r="F692" s="37" t="s">
        <v>4026</v>
      </c>
      <c r="G692" s="38">
        <v>0</v>
      </c>
      <c r="H692" s="38"/>
      <c r="I692" s="37"/>
      <c r="J692" s="37"/>
      <c r="K692" s="38">
        <f t="shared" si="10"/>
        <v>0</v>
      </c>
      <c r="L692" s="38"/>
    </row>
    <row r="693" spans="1:12" ht="14.5" x14ac:dyDescent="0.35">
      <c r="A693" s="45" t="s">
        <v>3588</v>
      </c>
      <c r="C693" s="36">
        <v>45899</v>
      </c>
      <c r="D693" s="36" t="s">
        <v>3824</v>
      </c>
      <c r="E693" s="37">
        <v>4102025</v>
      </c>
      <c r="F693" s="37" t="s">
        <v>4026</v>
      </c>
      <c r="G693" s="38">
        <v>0</v>
      </c>
      <c r="H693" s="38"/>
      <c r="I693" s="37"/>
      <c r="J693" s="37"/>
      <c r="K693" s="38">
        <f t="shared" si="10"/>
        <v>0</v>
      </c>
      <c r="L693" s="38"/>
    </row>
    <row r="694" spans="1:12" ht="14.5" x14ac:dyDescent="0.35">
      <c r="A694" s="45" t="s">
        <v>3588</v>
      </c>
      <c r="C694" s="36">
        <v>45900</v>
      </c>
      <c r="D694" s="36" t="s">
        <v>2603</v>
      </c>
      <c r="E694" s="37" t="s">
        <v>3301</v>
      </c>
      <c r="F694" s="37" t="s">
        <v>4026</v>
      </c>
      <c r="G694" s="38">
        <v>23253.23</v>
      </c>
      <c r="H694" s="38"/>
      <c r="I694" s="37"/>
      <c r="J694" s="37"/>
      <c r="K694" s="38">
        <f t="shared" si="10"/>
        <v>23253.23</v>
      </c>
      <c r="L694" s="38"/>
    </row>
    <row r="695" spans="1:12" ht="14.5" x14ac:dyDescent="0.35">
      <c r="A695" s="45" t="s">
        <v>3588</v>
      </c>
      <c r="C695" s="36">
        <v>45900</v>
      </c>
      <c r="D695" s="36" t="s">
        <v>2474</v>
      </c>
      <c r="E695" s="37" t="s">
        <v>3302</v>
      </c>
      <c r="F695" s="37" t="s">
        <v>4026</v>
      </c>
      <c r="G695" s="38">
        <v>10031.69</v>
      </c>
      <c r="H695" s="38"/>
      <c r="I695" s="37"/>
      <c r="J695" s="37"/>
      <c r="K695" s="38">
        <f t="shared" si="10"/>
        <v>10031.69</v>
      </c>
      <c r="L695" s="38"/>
    </row>
    <row r="696" spans="1:12" ht="14.5" x14ac:dyDescent="0.35">
      <c r="A696" s="45" t="s">
        <v>3588</v>
      </c>
      <c r="C696" s="36">
        <v>45900</v>
      </c>
      <c r="D696" s="36" t="s">
        <v>714</v>
      </c>
      <c r="E696" s="37">
        <v>7240</v>
      </c>
      <c r="F696" s="37" t="s">
        <v>4026</v>
      </c>
      <c r="G696" s="38">
        <v>857.08</v>
      </c>
      <c r="H696" s="38"/>
      <c r="I696" s="37"/>
      <c r="J696" s="37"/>
      <c r="K696" s="38">
        <f t="shared" si="10"/>
        <v>857.08</v>
      </c>
      <c r="L696" s="38"/>
    </row>
    <row r="697" spans="1:12" ht="14.5" x14ac:dyDescent="0.35">
      <c r="A697" s="45" t="s">
        <v>3588</v>
      </c>
      <c r="C697" s="36">
        <v>45900</v>
      </c>
      <c r="D697" s="36" t="s">
        <v>2904</v>
      </c>
      <c r="E697" s="37" t="s">
        <v>3303</v>
      </c>
      <c r="F697" s="37" t="s">
        <v>4026</v>
      </c>
      <c r="G697" s="38">
        <v>1261.3399999999999</v>
      </c>
      <c r="H697" s="38"/>
      <c r="I697" s="37"/>
      <c r="J697" s="37"/>
      <c r="K697" s="38">
        <f t="shared" si="10"/>
        <v>1261.3399999999999</v>
      </c>
      <c r="L697" s="38"/>
    </row>
    <row r="698" spans="1:12" ht="14.5" x14ac:dyDescent="0.35">
      <c r="A698" s="45" t="s">
        <v>3588</v>
      </c>
      <c r="C698" s="36">
        <v>45900</v>
      </c>
      <c r="D698" s="36" t="s">
        <v>1484</v>
      </c>
      <c r="E698" s="37" t="s">
        <v>3304</v>
      </c>
      <c r="F698" s="37" t="s">
        <v>4026</v>
      </c>
      <c r="G698" s="38">
        <v>56286.200000000004</v>
      </c>
      <c r="H698" s="38"/>
      <c r="I698" s="37"/>
      <c r="J698" s="37"/>
      <c r="K698" s="38">
        <f t="shared" si="10"/>
        <v>56286.200000000004</v>
      </c>
      <c r="L698" s="38"/>
    </row>
    <row r="699" spans="1:12" ht="14.5" x14ac:dyDescent="0.35">
      <c r="A699" s="45" t="s">
        <v>3588</v>
      </c>
      <c r="C699" s="36">
        <v>45900</v>
      </c>
      <c r="D699" s="36" t="s">
        <v>1484</v>
      </c>
      <c r="E699" s="37" t="s">
        <v>3305</v>
      </c>
      <c r="F699" s="37" t="s">
        <v>4026</v>
      </c>
      <c r="G699" s="38">
        <v>17123.859999999997</v>
      </c>
      <c r="H699" s="38"/>
      <c r="I699" s="37"/>
      <c r="J699" s="37"/>
      <c r="K699" s="38">
        <f t="shared" si="10"/>
        <v>17123.859999999997</v>
      </c>
      <c r="L699" s="38"/>
    </row>
    <row r="700" spans="1:12" ht="14.5" x14ac:dyDescent="0.35">
      <c r="A700" s="45" t="s">
        <v>3588</v>
      </c>
      <c r="C700" s="36">
        <v>45900</v>
      </c>
      <c r="D700" s="36" t="s">
        <v>1484</v>
      </c>
      <c r="E700" s="37" t="s">
        <v>3306</v>
      </c>
      <c r="F700" s="37" t="s">
        <v>4026</v>
      </c>
      <c r="G700" s="38">
        <v>42976.479999999996</v>
      </c>
      <c r="H700" s="38"/>
      <c r="I700" s="37"/>
      <c r="J700" s="37"/>
      <c r="K700" s="38">
        <f t="shared" si="10"/>
        <v>42976.479999999996</v>
      </c>
      <c r="L700" s="38"/>
    </row>
    <row r="701" spans="1:12" ht="14.5" x14ac:dyDescent="0.35">
      <c r="A701" s="45" t="s">
        <v>3588</v>
      </c>
      <c r="C701" s="36">
        <v>45900</v>
      </c>
      <c r="D701" s="36" t="s">
        <v>1484</v>
      </c>
      <c r="E701" s="37" t="s">
        <v>3307</v>
      </c>
      <c r="F701" s="37" t="s">
        <v>4026</v>
      </c>
      <c r="G701" s="38">
        <v>15447.4</v>
      </c>
      <c r="H701" s="38"/>
      <c r="I701" s="37"/>
      <c r="J701" s="37"/>
      <c r="K701" s="38">
        <f t="shared" si="10"/>
        <v>15447.4</v>
      </c>
      <c r="L701" s="38"/>
    </row>
    <row r="702" spans="1:12" ht="14.5" x14ac:dyDescent="0.35">
      <c r="A702" s="45" t="s">
        <v>3588</v>
      </c>
      <c r="C702" s="36">
        <v>45900</v>
      </c>
      <c r="D702" s="36" t="s">
        <v>301</v>
      </c>
      <c r="E702" s="37" t="s">
        <v>3308</v>
      </c>
      <c r="F702" s="37" t="s">
        <v>4026</v>
      </c>
      <c r="G702" s="38">
        <v>1430.85</v>
      </c>
      <c r="H702" s="38"/>
      <c r="I702" s="37"/>
      <c r="J702" s="37"/>
      <c r="K702" s="38">
        <f t="shared" si="10"/>
        <v>1430.85</v>
      </c>
      <c r="L702" s="38"/>
    </row>
    <row r="703" spans="1:12" ht="14.5" x14ac:dyDescent="0.35">
      <c r="A703" s="45" t="s">
        <v>3588</v>
      </c>
      <c r="C703" s="36">
        <v>45900</v>
      </c>
      <c r="D703" s="36" t="s">
        <v>1484</v>
      </c>
      <c r="E703" s="37">
        <v>32212</v>
      </c>
      <c r="F703" s="37" t="s">
        <v>4026</v>
      </c>
      <c r="G703" s="38">
        <v>16787.199999999997</v>
      </c>
      <c r="H703" s="38"/>
      <c r="I703" s="37"/>
      <c r="J703" s="37"/>
      <c r="K703" s="38">
        <f t="shared" si="10"/>
        <v>16787.199999999997</v>
      </c>
      <c r="L703" s="38"/>
    </row>
    <row r="704" spans="1:12" ht="14.5" x14ac:dyDescent="0.35">
      <c r="A704" s="45" t="s">
        <v>3588</v>
      </c>
      <c r="C704" s="36">
        <v>45900</v>
      </c>
      <c r="D704" s="36" t="s">
        <v>1484</v>
      </c>
      <c r="E704" s="37" t="s">
        <v>3309</v>
      </c>
      <c r="F704" s="37" t="s">
        <v>4026</v>
      </c>
      <c r="G704" s="38">
        <v>1760.7</v>
      </c>
      <c r="H704" s="38"/>
      <c r="I704" s="37"/>
      <c r="J704" s="37"/>
      <c r="K704" s="38">
        <f t="shared" si="10"/>
        <v>1760.7</v>
      </c>
      <c r="L704" s="38"/>
    </row>
    <row r="705" spans="1:12" ht="14.5" x14ac:dyDescent="0.35">
      <c r="A705" s="45" t="s">
        <v>3588</v>
      </c>
      <c r="C705" s="36">
        <v>45900</v>
      </c>
      <c r="D705" s="36" t="s">
        <v>301</v>
      </c>
      <c r="E705" s="37" t="s">
        <v>3311</v>
      </c>
      <c r="F705" s="37" t="s">
        <v>4026</v>
      </c>
      <c r="G705" s="38">
        <v>32850.170000000006</v>
      </c>
      <c r="H705" s="38"/>
      <c r="I705" s="37"/>
      <c r="J705" s="37"/>
      <c r="K705" s="38">
        <f t="shared" si="10"/>
        <v>32850.170000000006</v>
      </c>
      <c r="L705" s="38"/>
    </row>
    <row r="706" spans="1:12" ht="14.5" x14ac:dyDescent="0.35">
      <c r="A706" s="45" t="s">
        <v>3588</v>
      </c>
      <c r="C706" s="36">
        <v>45900</v>
      </c>
      <c r="D706" s="36" t="s">
        <v>301</v>
      </c>
      <c r="E706" s="37" t="s">
        <v>3312</v>
      </c>
      <c r="F706" s="37" t="s">
        <v>4026</v>
      </c>
      <c r="G706" s="38">
        <v>5151.4599999999973</v>
      </c>
      <c r="H706" s="38"/>
      <c r="I706" s="37"/>
      <c r="J706" s="37"/>
      <c r="K706" s="38">
        <f t="shared" si="10"/>
        <v>5151.4599999999973</v>
      </c>
      <c r="L706" s="38"/>
    </row>
    <row r="707" spans="1:12" ht="14.5" x14ac:dyDescent="0.35">
      <c r="A707" s="45" t="s">
        <v>3588</v>
      </c>
      <c r="C707" s="36">
        <v>45900</v>
      </c>
      <c r="D707" s="36" t="s">
        <v>2926</v>
      </c>
      <c r="E707" s="37" t="s">
        <v>3313</v>
      </c>
      <c r="F707" s="37" t="s">
        <v>4026</v>
      </c>
      <c r="G707" s="38">
        <v>243</v>
      </c>
      <c r="H707" s="38"/>
      <c r="I707" s="37"/>
      <c r="J707" s="37"/>
      <c r="K707" s="38">
        <f t="shared" si="10"/>
        <v>243</v>
      </c>
      <c r="L707" s="38"/>
    </row>
    <row r="708" spans="1:12" ht="14.5" x14ac:dyDescent="0.35">
      <c r="A708" s="45" t="s">
        <v>3588</v>
      </c>
      <c r="C708" s="36">
        <v>45900</v>
      </c>
      <c r="D708" s="36" t="s">
        <v>301</v>
      </c>
      <c r="E708" s="37" t="s">
        <v>3314</v>
      </c>
      <c r="F708" s="37" t="s">
        <v>4026</v>
      </c>
      <c r="G708" s="38">
        <v>14034.900000000001</v>
      </c>
      <c r="H708" s="38"/>
      <c r="I708" s="37"/>
      <c r="J708" s="37"/>
      <c r="K708" s="38">
        <f t="shared" si="10"/>
        <v>14034.900000000001</v>
      </c>
      <c r="L708" s="38"/>
    </row>
    <row r="709" spans="1:12" ht="14.5" x14ac:dyDescent="0.35">
      <c r="A709" s="45" t="s">
        <v>3588</v>
      </c>
      <c r="C709" s="36">
        <v>45900</v>
      </c>
      <c r="D709" s="36" t="s">
        <v>2555</v>
      </c>
      <c r="E709" s="37" t="s">
        <v>3315</v>
      </c>
      <c r="F709" s="37" t="s">
        <v>4026</v>
      </c>
      <c r="G709" s="38">
        <v>101.95</v>
      </c>
      <c r="H709" s="38"/>
      <c r="I709" s="37"/>
      <c r="J709" s="37"/>
      <c r="K709" s="38">
        <f t="shared" ref="K709:K772" si="11">G709-H709</f>
        <v>101.95</v>
      </c>
      <c r="L709" s="38"/>
    </row>
    <row r="710" spans="1:12" ht="14.5" x14ac:dyDescent="0.35">
      <c r="A710" s="45" t="s">
        <v>3588</v>
      </c>
      <c r="C710" s="36">
        <v>45900</v>
      </c>
      <c r="D710" s="36" t="s">
        <v>2555</v>
      </c>
      <c r="E710" s="37" t="s">
        <v>3316</v>
      </c>
      <c r="F710" s="37" t="s">
        <v>4026</v>
      </c>
      <c r="G710" s="38">
        <v>1999.1999999999998</v>
      </c>
      <c r="H710" s="38"/>
      <c r="I710" s="37"/>
      <c r="J710" s="37"/>
      <c r="K710" s="38">
        <f t="shared" si="11"/>
        <v>1999.1999999999998</v>
      </c>
      <c r="L710" s="38"/>
    </row>
    <row r="711" spans="1:12" ht="14.5" x14ac:dyDescent="0.35">
      <c r="A711" s="45" t="s">
        <v>3588</v>
      </c>
      <c r="C711" s="36">
        <v>45900</v>
      </c>
      <c r="D711" s="36" t="s">
        <v>2555</v>
      </c>
      <c r="E711" s="37" t="s">
        <v>3317</v>
      </c>
      <c r="F711" s="37" t="s">
        <v>4026</v>
      </c>
      <c r="G711" s="38">
        <v>4311.7700000000004</v>
      </c>
      <c r="H711" s="38"/>
      <c r="I711" s="37"/>
      <c r="J711" s="37"/>
      <c r="K711" s="38">
        <f t="shared" si="11"/>
        <v>4311.7700000000004</v>
      </c>
      <c r="L711" s="38"/>
    </row>
    <row r="712" spans="1:12" ht="14.5" x14ac:dyDescent="0.35">
      <c r="A712" s="45" t="s">
        <v>3588</v>
      </c>
      <c r="C712" s="36">
        <v>45900</v>
      </c>
      <c r="D712" s="36" t="s">
        <v>2555</v>
      </c>
      <c r="E712" s="37" t="s">
        <v>3318</v>
      </c>
      <c r="F712" s="37" t="s">
        <v>4026</v>
      </c>
      <c r="G712" s="38">
        <v>12154.71</v>
      </c>
      <c r="H712" s="38"/>
      <c r="I712" s="37"/>
      <c r="J712" s="37"/>
      <c r="K712" s="38">
        <f t="shared" si="11"/>
        <v>12154.71</v>
      </c>
      <c r="L712" s="38"/>
    </row>
    <row r="713" spans="1:12" ht="14.5" x14ac:dyDescent="0.35">
      <c r="A713" s="45" t="s">
        <v>3588</v>
      </c>
      <c r="C713" s="36">
        <v>45900</v>
      </c>
      <c r="D713" s="36" t="s">
        <v>2555</v>
      </c>
      <c r="E713" s="37" t="s">
        <v>3319</v>
      </c>
      <c r="F713" s="37" t="s">
        <v>4026</v>
      </c>
      <c r="G713" s="38">
        <v>5039.1699999999992</v>
      </c>
      <c r="H713" s="38"/>
      <c r="I713" s="37"/>
      <c r="J713" s="37"/>
      <c r="K713" s="38">
        <f t="shared" si="11"/>
        <v>5039.1699999999992</v>
      </c>
      <c r="L713" s="38"/>
    </row>
    <row r="714" spans="1:12" ht="14.5" x14ac:dyDescent="0.35">
      <c r="A714" s="45" t="s">
        <v>3588</v>
      </c>
      <c r="C714" s="36">
        <v>45900</v>
      </c>
      <c r="D714" s="36" t="s">
        <v>2555</v>
      </c>
      <c r="E714" s="37" t="s">
        <v>3320</v>
      </c>
      <c r="F714" s="37" t="s">
        <v>4026</v>
      </c>
      <c r="G714" s="38">
        <v>2848.18</v>
      </c>
      <c r="H714" s="38"/>
      <c r="I714" s="37"/>
      <c r="J714" s="37"/>
      <c r="K714" s="38">
        <f t="shared" si="11"/>
        <v>2848.18</v>
      </c>
      <c r="L714" s="38"/>
    </row>
    <row r="715" spans="1:12" ht="14.5" x14ac:dyDescent="0.35">
      <c r="A715" s="45" t="s">
        <v>3588</v>
      </c>
      <c r="C715" s="36">
        <v>45900</v>
      </c>
      <c r="D715" s="36" t="s">
        <v>2555</v>
      </c>
      <c r="E715" s="37" t="s">
        <v>3321</v>
      </c>
      <c r="F715" s="37" t="s">
        <v>4026</v>
      </c>
      <c r="G715" s="38">
        <v>2583.4999999999995</v>
      </c>
      <c r="H715" s="38"/>
      <c r="I715" s="37"/>
      <c r="J715" s="37"/>
      <c r="K715" s="38">
        <f t="shared" si="11"/>
        <v>2583.4999999999995</v>
      </c>
      <c r="L715" s="38"/>
    </row>
    <row r="716" spans="1:12" ht="14.5" x14ac:dyDescent="0.35">
      <c r="A716" s="45" t="s">
        <v>3588</v>
      </c>
      <c r="C716" s="36">
        <v>45900</v>
      </c>
      <c r="D716" s="36" t="s">
        <v>2555</v>
      </c>
      <c r="E716" s="37" t="s">
        <v>3322</v>
      </c>
      <c r="F716" s="37" t="s">
        <v>4026</v>
      </c>
      <c r="G716" s="38">
        <v>978.93000000000006</v>
      </c>
      <c r="H716" s="38"/>
      <c r="I716" s="37"/>
      <c r="J716" s="37"/>
      <c r="K716" s="38">
        <f t="shared" si="11"/>
        <v>978.93000000000006</v>
      </c>
      <c r="L716" s="38"/>
    </row>
    <row r="717" spans="1:12" ht="14.5" x14ac:dyDescent="0.35">
      <c r="A717" s="45" t="s">
        <v>3588</v>
      </c>
      <c r="C717" s="36">
        <v>45900</v>
      </c>
      <c r="D717" s="36" t="s">
        <v>301</v>
      </c>
      <c r="E717" s="37" t="s">
        <v>3323</v>
      </c>
      <c r="F717" s="37" t="s">
        <v>4026</v>
      </c>
      <c r="G717" s="38">
        <v>815.11</v>
      </c>
      <c r="H717" s="38"/>
      <c r="I717" s="37"/>
      <c r="J717" s="37"/>
      <c r="K717" s="38">
        <f t="shared" si="11"/>
        <v>815.11</v>
      </c>
      <c r="L717" s="38"/>
    </row>
    <row r="718" spans="1:12" ht="14.5" x14ac:dyDescent="0.35">
      <c r="A718" s="45" t="s">
        <v>3588</v>
      </c>
      <c r="C718" s="36">
        <v>45900</v>
      </c>
      <c r="D718" s="36" t="s">
        <v>301</v>
      </c>
      <c r="E718" s="37" t="s">
        <v>3324</v>
      </c>
      <c r="F718" s="37" t="s">
        <v>4026</v>
      </c>
      <c r="G718" s="38">
        <v>55801.979999999981</v>
      </c>
      <c r="H718" s="38"/>
      <c r="I718" s="37"/>
      <c r="J718" s="37"/>
      <c r="K718" s="38">
        <f t="shared" si="11"/>
        <v>55801.979999999981</v>
      </c>
      <c r="L718" s="38"/>
    </row>
    <row r="719" spans="1:12" ht="14.5" x14ac:dyDescent="0.35">
      <c r="A719" s="45" t="s">
        <v>3588</v>
      </c>
      <c r="C719" s="36">
        <v>45900</v>
      </c>
      <c r="D719" s="36" t="s">
        <v>2132</v>
      </c>
      <c r="E719" s="37" t="s">
        <v>3325</v>
      </c>
      <c r="F719" s="37" t="s">
        <v>4026</v>
      </c>
      <c r="G719" s="38">
        <v>467.11</v>
      </c>
      <c r="H719" s="38"/>
      <c r="I719" s="37"/>
      <c r="J719" s="37"/>
      <c r="K719" s="38">
        <f t="shared" si="11"/>
        <v>467.11</v>
      </c>
      <c r="L719" s="38"/>
    </row>
    <row r="720" spans="1:12" ht="14.5" x14ac:dyDescent="0.35">
      <c r="A720" s="45" t="s">
        <v>3588</v>
      </c>
      <c r="C720" s="36">
        <v>45900</v>
      </c>
      <c r="D720" s="36" t="s">
        <v>301</v>
      </c>
      <c r="E720" s="37">
        <v>33826</v>
      </c>
      <c r="F720" s="37" t="s">
        <v>4026</v>
      </c>
      <c r="G720" s="38">
        <v>14.62</v>
      </c>
      <c r="H720" s="38"/>
      <c r="I720" s="37"/>
      <c r="J720" s="37"/>
      <c r="K720" s="38">
        <f t="shared" si="11"/>
        <v>14.62</v>
      </c>
      <c r="L720" s="38"/>
    </row>
    <row r="721" spans="1:12" ht="14.5" x14ac:dyDescent="0.35">
      <c r="A721" s="45" t="s">
        <v>3588</v>
      </c>
      <c r="C721" s="36">
        <v>45900</v>
      </c>
      <c r="D721" s="36" t="s">
        <v>301</v>
      </c>
      <c r="E721" s="37" t="s">
        <v>3326</v>
      </c>
      <c r="F721" s="37" t="s">
        <v>4026</v>
      </c>
      <c r="G721" s="38">
        <v>6514.0500000000011</v>
      </c>
      <c r="H721" s="38"/>
      <c r="I721" s="37"/>
      <c r="J721" s="37"/>
      <c r="K721" s="38">
        <f t="shared" si="11"/>
        <v>6514.0500000000011</v>
      </c>
      <c r="L721" s="38"/>
    </row>
    <row r="722" spans="1:12" ht="14.5" x14ac:dyDescent="0.35">
      <c r="A722" s="45" t="s">
        <v>3588</v>
      </c>
      <c r="C722" s="36">
        <v>45900</v>
      </c>
      <c r="D722" s="36" t="s">
        <v>301</v>
      </c>
      <c r="E722" s="37" t="s">
        <v>3327</v>
      </c>
      <c r="F722" s="37" t="s">
        <v>4026</v>
      </c>
      <c r="G722" s="38">
        <v>3187.7900000000009</v>
      </c>
      <c r="H722" s="38"/>
      <c r="I722" s="37"/>
      <c r="J722" s="37"/>
      <c r="K722" s="38">
        <f t="shared" si="11"/>
        <v>3187.7900000000009</v>
      </c>
      <c r="L722" s="38"/>
    </row>
    <row r="723" spans="1:12" ht="14.5" x14ac:dyDescent="0.35">
      <c r="A723" s="45" t="s">
        <v>3588</v>
      </c>
      <c r="C723" s="36">
        <v>45900</v>
      </c>
      <c r="D723" s="36" t="s">
        <v>301</v>
      </c>
      <c r="E723" s="37" t="s">
        <v>3328</v>
      </c>
      <c r="F723" s="37" t="s">
        <v>4026</v>
      </c>
      <c r="G723" s="38">
        <v>12661.64</v>
      </c>
      <c r="H723" s="38"/>
      <c r="I723" s="37"/>
      <c r="J723" s="37"/>
      <c r="K723" s="38">
        <f t="shared" si="11"/>
        <v>12661.64</v>
      </c>
      <c r="L723" s="38"/>
    </row>
    <row r="724" spans="1:12" ht="14.5" x14ac:dyDescent="0.35">
      <c r="A724" s="45" t="s">
        <v>3588</v>
      </c>
      <c r="C724" s="36">
        <v>45900</v>
      </c>
      <c r="D724" s="36" t="s">
        <v>301</v>
      </c>
      <c r="E724" s="37" t="s">
        <v>3329</v>
      </c>
      <c r="F724" s="37" t="s">
        <v>4026</v>
      </c>
      <c r="G724" s="38">
        <v>7174.3900000000031</v>
      </c>
      <c r="H724" s="38"/>
      <c r="I724" s="37"/>
      <c r="J724" s="37"/>
      <c r="K724" s="38">
        <f t="shared" si="11"/>
        <v>7174.3900000000031</v>
      </c>
      <c r="L724" s="38"/>
    </row>
    <row r="725" spans="1:12" ht="14.5" x14ac:dyDescent="0.35">
      <c r="A725" s="45" t="s">
        <v>3588</v>
      </c>
      <c r="C725" s="36">
        <v>45900</v>
      </c>
      <c r="D725" s="36" t="s">
        <v>301</v>
      </c>
      <c r="E725" s="37" t="s">
        <v>3330</v>
      </c>
      <c r="F725" s="37" t="s">
        <v>4026</v>
      </c>
      <c r="G725" s="38">
        <v>4597.2600000000011</v>
      </c>
      <c r="H725" s="38"/>
      <c r="I725" s="37"/>
      <c r="J725" s="37"/>
      <c r="K725" s="38">
        <f t="shared" si="11"/>
        <v>4597.2600000000011</v>
      </c>
      <c r="L725" s="38"/>
    </row>
    <row r="726" spans="1:12" ht="14.5" x14ac:dyDescent="0.35">
      <c r="A726" s="45" t="s">
        <v>3588</v>
      </c>
      <c r="C726" s="36">
        <v>45900</v>
      </c>
      <c r="D726" s="36" t="s">
        <v>301</v>
      </c>
      <c r="E726" s="37">
        <v>33967</v>
      </c>
      <c r="F726" s="37" t="s">
        <v>4026</v>
      </c>
      <c r="G726" s="38">
        <v>792.56999999999994</v>
      </c>
      <c r="H726" s="38"/>
      <c r="I726" s="37"/>
      <c r="J726" s="37"/>
      <c r="K726" s="38">
        <f t="shared" si="11"/>
        <v>792.56999999999994</v>
      </c>
      <c r="L726" s="38"/>
    </row>
    <row r="727" spans="1:12" ht="14.5" x14ac:dyDescent="0.35">
      <c r="A727" s="45" t="s">
        <v>3588</v>
      </c>
      <c r="C727" s="36">
        <v>45900</v>
      </c>
      <c r="D727" s="36" t="s">
        <v>301</v>
      </c>
      <c r="E727" s="37">
        <v>33968</v>
      </c>
      <c r="F727" s="37" t="s">
        <v>4026</v>
      </c>
      <c r="G727" s="38">
        <v>22.13</v>
      </c>
      <c r="H727" s="38"/>
      <c r="I727" s="37"/>
      <c r="J727" s="37"/>
      <c r="K727" s="38">
        <f t="shared" si="11"/>
        <v>22.13</v>
      </c>
      <c r="L727" s="38"/>
    </row>
    <row r="728" spans="1:12" ht="14.5" x14ac:dyDescent="0.35">
      <c r="A728" s="45" t="s">
        <v>3588</v>
      </c>
      <c r="C728" s="36">
        <v>45900</v>
      </c>
      <c r="D728" s="36" t="s">
        <v>2033</v>
      </c>
      <c r="E728" s="37" t="s">
        <v>3331</v>
      </c>
      <c r="F728" s="37" t="s">
        <v>4026</v>
      </c>
      <c r="G728" s="38">
        <v>5364</v>
      </c>
      <c r="H728" s="38"/>
      <c r="I728" s="37"/>
      <c r="J728" s="37"/>
      <c r="K728" s="38">
        <f t="shared" si="11"/>
        <v>5364</v>
      </c>
      <c r="L728" s="38"/>
    </row>
    <row r="729" spans="1:12" ht="14.5" x14ac:dyDescent="0.35">
      <c r="A729" s="45" t="s">
        <v>3588</v>
      </c>
      <c r="C729" s="36">
        <v>45900</v>
      </c>
      <c r="D729" s="36" t="s">
        <v>2033</v>
      </c>
      <c r="E729" s="37" t="s">
        <v>3332</v>
      </c>
      <c r="F729" s="37" t="s">
        <v>4026</v>
      </c>
      <c r="G729" s="38">
        <v>868</v>
      </c>
      <c r="H729" s="38"/>
      <c r="I729" s="37"/>
      <c r="J729" s="37"/>
      <c r="K729" s="38">
        <f t="shared" si="11"/>
        <v>868</v>
      </c>
      <c r="L729" s="38"/>
    </row>
    <row r="730" spans="1:12" ht="14.5" x14ac:dyDescent="0.35">
      <c r="A730" s="45" t="s">
        <v>3588</v>
      </c>
      <c r="C730" s="36">
        <v>45900</v>
      </c>
      <c r="D730" s="36" t="s">
        <v>2033</v>
      </c>
      <c r="E730" s="37" t="s">
        <v>3333</v>
      </c>
      <c r="F730" s="37" t="s">
        <v>4026</v>
      </c>
      <c r="G730" s="38">
        <v>11670.6</v>
      </c>
      <c r="H730" s="38"/>
      <c r="I730" s="37"/>
      <c r="J730" s="37"/>
      <c r="K730" s="38">
        <f t="shared" si="11"/>
        <v>11670.6</v>
      </c>
      <c r="L730" s="38"/>
    </row>
    <row r="731" spans="1:12" ht="14.5" x14ac:dyDescent="0.35">
      <c r="A731" s="45" t="s">
        <v>3588</v>
      </c>
      <c r="C731" s="36">
        <v>45900</v>
      </c>
      <c r="D731" s="36" t="s">
        <v>301</v>
      </c>
      <c r="E731" s="37">
        <v>33999</v>
      </c>
      <c r="F731" s="37" t="s">
        <v>4026</v>
      </c>
      <c r="G731" s="38">
        <v>1279.9999999999989</v>
      </c>
      <c r="H731" s="38"/>
      <c r="I731" s="37"/>
      <c r="J731" s="37"/>
      <c r="K731" s="38">
        <f t="shared" si="11"/>
        <v>1279.9999999999989</v>
      </c>
      <c r="L731" s="38"/>
    </row>
    <row r="732" spans="1:12" ht="14.5" x14ac:dyDescent="0.35">
      <c r="A732" s="45" t="s">
        <v>3588</v>
      </c>
      <c r="C732" s="36">
        <v>45900</v>
      </c>
      <c r="D732" s="36" t="s">
        <v>2033</v>
      </c>
      <c r="E732" s="37" t="s">
        <v>3334</v>
      </c>
      <c r="F732" s="37" t="s">
        <v>4026</v>
      </c>
      <c r="G732" s="38">
        <v>9922.7999999999993</v>
      </c>
      <c r="H732" s="38"/>
      <c r="I732" s="37"/>
      <c r="J732" s="37"/>
      <c r="K732" s="38">
        <f t="shared" si="11"/>
        <v>9922.7999999999993</v>
      </c>
      <c r="L732" s="38"/>
    </row>
    <row r="733" spans="1:12" ht="14.5" x14ac:dyDescent="0.35">
      <c r="A733" s="45" t="s">
        <v>3588</v>
      </c>
      <c r="C733" s="36">
        <v>45900</v>
      </c>
      <c r="D733" s="36" t="s">
        <v>2033</v>
      </c>
      <c r="E733" s="37" t="s">
        <v>3335</v>
      </c>
      <c r="F733" s="37" t="s">
        <v>4026</v>
      </c>
      <c r="G733" s="38">
        <v>2154.83</v>
      </c>
      <c r="H733" s="38"/>
      <c r="I733" s="37"/>
      <c r="J733" s="37"/>
      <c r="K733" s="38">
        <f t="shared" si="11"/>
        <v>2154.83</v>
      </c>
      <c r="L733" s="38"/>
    </row>
    <row r="734" spans="1:12" ht="14.5" x14ac:dyDescent="0.35">
      <c r="A734" s="45" t="s">
        <v>3588</v>
      </c>
      <c r="C734" s="36">
        <v>45900</v>
      </c>
      <c r="D734" s="36" t="s">
        <v>301</v>
      </c>
      <c r="E734" s="37">
        <v>34128</v>
      </c>
      <c r="F734" s="37" t="s">
        <v>4026</v>
      </c>
      <c r="G734" s="38">
        <v>70.97</v>
      </c>
      <c r="H734" s="38"/>
      <c r="I734" s="37"/>
      <c r="J734" s="37"/>
      <c r="K734" s="38">
        <f t="shared" si="11"/>
        <v>70.97</v>
      </c>
      <c r="L734" s="38"/>
    </row>
    <row r="735" spans="1:12" ht="14.5" x14ac:dyDescent="0.35">
      <c r="A735" s="45" t="s">
        <v>3588</v>
      </c>
      <c r="C735" s="36">
        <v>45900</v>
      </c>
      <c r="D735" s="36" t="s">
        <v>2467</v>
      </c>
      <c r="E735" s="37" t="s">
        <v>3336</v>
      </c>
      <c r="F735" s="37" t="s">
        <v>4026</v>
      </c>
      <c r="G735" s="38">
        <v>4652.369999999999</v>
      </c>
      <c r="H735" s="38"/>
      <c r="I735" s="37"/>
      <c r="J735" s="37"/>
      <c r="K735" s="38">
        <f t="shared" si="11"/>
        <v>4652.369999999999</v>
      </c>
      <c r="L735" s="38"/>
    </row>
    <row r="736" spans="1:12" ht="14.5" x14ac:dyDescent="0.35">
      <c r="A736" s="45" t="s">
        <v>3588</v>
      </c>
      <c r="C736" s="36">
        <v>45900</v>
      </c>
      <c r="D736" s="36" t="s">
        <v>1724</v>
      </c>
      <c r="E736" s="37" t="s">
        <v>3337</v>
      </c>
      <c r="F736" s="37" t="s">
        <v>4026</v>
      </c>
      <c r="G736" s="38">
        <v>15892.35</v>
      </c>
      <c r="H736" s="38"/>
      <c r="I736" s="37"/>
      <c r="J736" s="37"/>
      <c r="K736" s="38">
        <f t="shared" si="11"/>
        <v>15892.35</v>
      </c>
      <c r="L736" s="38"/>
    </row>
    <row r="737" spans="1:12" ht="14.5" x14ac:dyDescent="0.35">
      <c r="A737" s="45" t="s">
        <v>3588</v>
      </c>
      <c r="C737" s="36">
        <v>45900</v>
      </c>
      <c r="D737" s="36" t="s">
        <v>1782</v>
      </c>
      <c r="E737" s="37" t="s">
        <v>3338</v>
      </c>
      <c r="F737" s="37" t="s">
        <v>4026</v>
      </c>
      <c r="G737" s="38">
        <v>6130.1</v>
      </c>
      <c r="H737" s="38"/>
      <c r="I737" s="37"/>
      <c r="J737" s="37"/>
      <c r="K737" s="38">
        <f t="shared" si="11"/>
        <v>6130.1</v>
      </c>
      <c r="L737" s="38"/>
    </row>
    <row r="738" spans="1:12" ht="14.5" x14ac:dyDescent="0.35">
      <c r="A738" s="45" t="s">
        <v>3588</v>
      </c>
      <c r="C738" s="36">
        <v>45900</v>
      </c>
      <c r="D738" s="36" t="s">
        <v>301</v>
      </c>
      <c r="E738" s="37">
        <v>34529</v>
      </c>
      <c r="F738" s="37" t="s">
        <v>4026</v>
      </c>
      <c r="G738" s="38">
        <v>116.5</v>
      </c>
      <c r="H738" s="38"/>
      <c r="I738" s="37"/>
      <c r="J738" s="37"/>
      <c r="K738" s="38">
        <f t="shared" si="11"/>
        <v>116.5</v>
      </c>
      <c r="L738" s="38"/>
    </row>
    <row r="739" spans="1:12" ht="14.5" x14ac:dyDescent="0.35">
      <c r="A739" s="45" t="s">
        <v>3588</v>
      </c>
      <c r="C739" s="36">
        <v>45900</v>
      </c>
      <c r="D739" s="36" t="s">
        <v>301</v>
      </c>
      <c r="E739" s="37">
        <v>34753</v>
      </c>
      <c r="F739" s="37" t="s">
        <v>4026</v>
      </c>
      <c r="G739" s="38">
        <v>1250</v>
      </c>
      <c r="H739" s="38"/>
      <c r="I739" s="37"/>
      <c r="J739" s="37"/>
      <c r="K739" s="38">
        <f t="shared" si="11"/>
        <v>1250</v>
      </c>
      <c r="L739" s="38"/>
    </row>
    <row r="740" spans="1:12" ht="14.5" x14ac:dyDescent="0.35">
      <c r="A740" s="45" t="s">
        <v>3588</v>
      </c>
      <c r="C740" s="36">
        <v>45900</v>
      </c>
      <c r="D740" s="36" t="s">
        <v>965</v>
      </c>
      <c r="E740" s="37" t="s">
        <v>3339</v>
      </c>
      <c r="F740" s="37" t="s">
        <v>4026</v>
      </c>
      <c r="G740" s="38">
        <v>5738.63</v>
      </c>
      <c r="H740" s="38"/>
      <c r="I740" s="37"/>
      <c r="J740" s="37"/>
      <c r="K740" s="38">
        <f t="shared" si="11"/>
        <v>5738.63</v>
      </c>
      <c r="L740" s="38"/>
    </row>
    <row r="741" spans="1:12" ht="14.5" x14ac:dyDescent="0.35">
      <c r="A741" s="45" t="s">
        <v>3588</v>
      </c>
      <c r="C741" s="36">
        <v>45900</v>
      </c>
      <c r="D741" s="36" t="s">
        <v>301</v>
      </c>
      <c r="E741" s="37" t="s">
        <v>3340</v>
      </c>
      <c r="F741" s="37" t="s">
        <v>4026</v>
      </c>
      <c r="G741" s="38">
        <v>257.38</v>
      </c>
      <c r="H741" s="38"/>
      <c r="I741" s="37"/>
      <c r="J741" s="37"/>
      <c r="K741" s="38">
        <f t="shared" si="11"/>
        <v>257.38</v>
      </c>
      <c r="L741" s="38"/>
    </row>
    <row r="742" spans="1:12" ht="14.5" x14ac:dyDescent="0.35">
      <c r="A742" s="45" t="s">
        <v>3588</v>
      </c>
      <c r="C742" s="36">
        <v>45900</v>
      </c>
      <c r="D742" s="36" t="s">
        <v>301</v>
      </c>
      <c r="E742" s="37">
        <v>34768</v>
      </c>
      <c r="F742" s="37" t="s">
        <v>4026</v>
      </c>
      <c r="G742" s="38">
        <v>0</v>
      </c>
      <c r="H742" s="38"/>
      <c r="I742" s="37"/>
      <c r="J742" s="37"/>
      <c r="K742" s="38">
        <f t="shared" si="11"/>
        <v>0</v>
      </c>
      <c r="L742" s="38"/>
    </row>
    <row r="743" spans="1:12" ht="14.5" x14ac:dyDescent="0.35">
      <c r="A743" s="45" t="s">
        <v>3588</v>
      </c>
      <c r="C743" s="36">
        <v>45900</v>
      </c>
      <c r="D743" s="36" t="s">
        <v>301</v>
      </c>
      <c r="E743" s="37">
        <v>34769</v>
      </c>
      <c r="F743" s="37" t="s">
        <v>4026</v>
      </c>
      <c r="G743" s="38">
        <v>0</v>
      </c>
      <c r="H743" s="38"/>
      <c r="I743" s="37"/>
      <c r="J743" s="37"/>
      <c r="K743" s="38">
        <f t="shared" si="11"/>
        <v>0</v>
      </c>
      <c r="L743" s="38"/>
    </row>
    <row r="744" spans="1:12" ht="14.5" x14ac:dyDescent="0.35">
      <c r="A744" s="45" t="s">
        <v>3588</v>
      </c>
      <c r="C744" s="36">
        <v>45900</v>
      </c>
      <c r="D744" s="36" t="s">
        <v>1932</v>
      </c>
      <c r="E744" s="37" t="s">
        <v>3341</v>
      </c>
      <c r="F744" s="37" t="s">
        <v>4026</v>
      </c>
      <c r="G744" s="38">
        <v>269.66000000000003</v>
      </c>
      <c r="H744" s="38"/>
      <c r="I744" s="37"/>
      <c r="J744" s="37"/>
      <c r="K744" s="38">
        <f t="shared" si="11"/>
        <v>269.66000000000003</v>
      </c>
      <c r="L744" s="38"/>
    </row>
    <row r="745" spans="1:12" ht="14.5" x14ac:dyDescent="0.35">
      <c r="A745" s="45" t="s">
        <v>3588</v>
      </c>
      <c r="C745" s="36">
        <v>45900</v>
      </c>
      <c r="D745" s="36" t="s">
        <v>301</v>
      </c>
      <c r="E745" s="37" t="s">
        <v>3342</v>
      </c>
      <c r="F745" s="37" t="s">
        <v>4026</v>
      </c>
      <c r="G745" s="38">
        <v>817.1</v>
      </c>
      <c r="H745" s="38"/>
      <c r="I745" s="37"/>
      <c r="J745" s="37"/>
      <c r="K745" s="38">
        <f t="shared" si="11"/>
        <v>817.1</v>
      </c>
      <c r="L745" s="38"/>
    </row>
    <row r="746" spans="1:12" ht="14.5" x14ac:dyDescent="0.35">
      <c r="A746" s="45" t="s">
        <v>3588</v>
      </c>
      <c r="C746" s="36">
        <v>45900</v>
      </c>
      <c r="D746" s="36" t="s">
        <v>3144</v>
      </c>
      <c r="E746" s="37" t="s">
        <v>3343</v>
      </c>
      <c r="F746" s="37" t="s">
        <v>4026</v>
      </c>
      <c r="G746" s="38">
        <v>4377.47</v>
      </c>
      <c r="H746" s="38"/>
      <c r="I746" s="37"/>
      <c r="J746" s="37"/>
      <c r="K746" s="38">
        <f t="shared" si="11"/>
        <v>4377.47</v>
      </c>
      <c r="L746" s="38"/>
    </row>
    <row r="747" spans="1:12" ht="14.5" x14ac:dyDescent="0.35">
      <c r="A747" s="45" t="s">
        <v>3588</v>
      </c>
      <c r="C747" s="36">
        <v>45900</v>
      </c>
      <c r="D747" s="36" t="s">
        <v>3144</v>
      </c>
      <c r="E747" s="37" t="s">
        <v>3344</v>
      </c>
      <c r="F747" s="37" t="s">
        <v>4026</v>
      </c>
      <c r="G747" s="38">
        <v>18272.8</v>
      </c>
      <c r="H747" s="38"/>
      <c r="I747" s="37"/>
      <c r="J747" s="37"/>
      <c r="K747" s="38">
        <f t="shared" si="11"/>
        <v>18272.8</v>
      </c>
      <c r="L747" s="38"/>
    </row>
    <row r="748" spans="1:12" ht="14.5" x14ac:dyDescent="0.35">
      <c r="A748" s="45" t="s">
        <v>3588</v>
      </c>
      <c r="C748" s="36">
        <v>45900</v>
      </c>
      <c r="D748" s="36" t="s">
        <v>2079</v>
      </c>
      <c r="E748" s="37" t="s">
        <v>3345</v>
      </c>
      <c r="F748" s="37" t="s">
        <v>4026</v>
      </c>
      <c r="G748" s="38">
        <v>727.48</v>
      </c>
      <c r="H748" s="38"/>
      <c r="I748" s="37"/>
      <c r="J748" s="37"/>
      <c r="K748" s="38">
        <f t="shared" si="11"/>
        <v>727.48</v>
      </c>
      <c r="L748" s="38"/>
    </row>
    <row r="749" spans="1:12" ht="14.5" x14ac:dyDescent="0.35">
      <c r="A749" s="45" t="s">
        <v>3588</v>
      </c>
      <c r="C749" s="36">
        <v>45900</v>
      </c>
      <c r="D749" s="36" t="s">
        <v>301</v>
      </c>
      <c r="E749" s="37" t="s">
        <v>3346</v>
      </c>
      <c r="F749" s="37" t="s">
        <v>4026</v>
      </c>
      <c r="G749" s="38">
        <v>100.91</v>
      </c>
      <c r="H749" s="38"/>
      <c r="I749" s="37"/>
      <c r="J749" s="37"/>
      <c r="K749" s="38">
        <f t="shared" si="11"/>
        <v>100.91</v>
      </c>
      <c r="L749" s="38"/>
    </row>
    <row r="750" spans="1:12" ht="14.5" x14ac:dyDescent="0.35">
      <c r="A750" s="45" t="s">
        <v>3588</v>
      </c>
      <c r="C750" s="36">
        <v>45900</v>
      </c>
      <c r="D750" s="36" t="s">
        <v>301</v>
      </c>
      <c r="E750" s="37" t="s">
        <v>3347</v>
      </c>
      <c r="F750" s="37" t="s">
        <v>4026</v>
      </c>
      <c r="G750" s="38">
        <v>780.53</v>
      </c>
      <c r="H750" s="38"/>
      <c r="I750" s="37"/>
      <c r="J750" s="37"/>
      <c r="K750" s="38">
        <f t="shared" si="11"/>
        <v>780.53</v>
      </c>
      <c r="L750" s="38"/>
    </row>
    <row r="751" spans="1:12" ht="14.5" x14ac:dyDescent="0.35">
      <c r="A751" s="45" t="s">
        <v>3588</v>
      </c>
      <c r="C751" s="36">
        <v>45900</v>
      </c>
      <c r="D751" s="36" t="s">
        <v>301</v>
      </c>
      <c r="E751" s="37" t="s">
        <v>3348</v>
      </c>
      <c r="F751" s="37" t="s">
        <v>4026</v>
      </c>
      <c r="G751" s="38">
        <v>1291.07</v>
      </c>
      <c r="H751" s="38"/>
      <c r="I751" s="37"/>
      <c r="J751" s="37"/>
      <c r="K751" s="38">
        <f t="shared" si="11"/>
        <v>1291.07</v>
      </c>
      <c r="L751" s="38"/>
    </row>
    <row r="752" spans="1:12" ht="14.5" x14ac:dyDescent="0.35">
      <c r="A752" s="45" t="s">
        <v>3588</v>
      </c>
      <c r="C752" s="36">
        <v>45900</v>
      </c>
      <c r="D752" s="36" t="s">
        <v>301</v>
      </c>
      <c r="E752" s="37" t="s">
        <v>3349</v>
      </c>
      <c r="F752" s="37" t="s">
        <v>4026</v>
      </c>
      <c r="G752" s="38">
        <v>5385.47</v>
      </c>
      <c r="H752" s="38"/>
      <c r="I752" s="37"/>
      <c r="J752" s="37"/>
      <c r="K752" s="38">
        <f t="shared" si="11"/>
        <v>5385.47</v>
      </c>
      <c r="L752" s="38"/>
    </row>
    <row r="753" spans="1:12" ht="14.5" x14ac:dyDescent="0.35">
      <c r="A753" s="45" t="s">
        <v>3588</v>
      </c>
      <c r="C753" s="36">
        <v>45900</v>
      </c>
      <c r="D753" s="36" t="s">
        <v>301</v>
      </c>
      <c r="E753" s="37" t="s">
        <v>3350</v>
      </c>
      <c r="F753" s="37" t="s">
        <v>4026</v>
      </c>
      <c r="G753" s="38">
        <v>1750.0599999999995</v>
      </c>
      <c r="H753" s="38"/>
      <c r="I753" s="37"/>
      <c r="J753" s="37"/>
      <c r="K753" s="38">
        <f t="shared" si="11"/>
        <v>1750.0599999999995</v>
      </c>
      <c r="L753" s="38"/>
    </row>
    <row r="754" spans="1:12" ht="14.5" x14ac:dyDescent="0.35">
      <c r="A754" s="45" t="s">
        <v>3588</v>
      </c>
      <c r="C754" s="36">
        <v>45900</v>
      </c>
      <c r="D754" s="36" t="s">
        <v>301</v>
      </c>
      <c r="E754" s="37" t="s">
        <v>3351</v>
      </c>
      <c r="F754" s="37" t="s">
        <v>4026</v>
      </c>
      <c r="G754" s="38">
        <v>23.63</v>
      </c>
      <c r="H754" s="38"/>
      <c r="I754" s="37"/>
      <c r="J754" s="37"/>
      <c r="K754" s="38">
        <f t="shared" si="11"/>
        <v>23.63</v>
      </c>
      <c r="L754" s="38"/>
    </row>
    <row r="755" spans="1:12" ht="14.5" x14ac:dyDescent="0.35">
      <c r="A755" s="45" t="s">
        <v>3588</v>
      </c>
      <c r="C755" s="36">
        <v>45900</v>
      </c>
      <c r="D755" s="36" t="s">
        <v>301</v>
      </c>
      <c r="E755" s="37" t="s">
        <v>3352</v>
      </c>
      <c r="F755" s="37" t="s">
        <v>4026</v>
      </c>
      <c r="G755" s="38">
        <v>114.9</v>
      </c>
      <c r="H755" s="38"/>
      <c r="I755" s="37"/>
      <c r="J755" s="37"/>
      <c r="K755" s="38">
        <f t="shared" si="11"/>
        <v>114.9</v>
      </c>
      <c r="L755" s="38"/>
    </row>
    <row r="756" spans="1:12" ht="14.5" x14ac:dyDescent="0.35">
      <c r="A756" s="45" t="s">
        <v>3588</v>
      </c>
      <c r="C756" s="36">
        <v>45900</v>
      </c>
      <c r="D756" s="36" t="s">
        <v>3476</v>
      </c>
      <c r="E756" s="37" t="s">
        <v>3353</v>
      </c>
      <c r="F756" s="37" t="s">
        <v>4026</v>
      </c>
      <c r="G756" s="38">
        <v>1317.7800000000002</v>
      </c>
      <c r="H756" s="38"/>
      <c r="I756" s="37"/>
      <c r="J756" s="37"/>
      <c r="K756" s="38">
        <f t="shared" si="11"/>
        <v>1317.7800000000002</v>
      </c>
      <c r="L756" s="38"/>
    </row>
    <row r="757" spans="1:12" ht="14.5" x14ac:dyDescent="0.35">
      <c r="A757" s="45" t="s">
        <v>3588</v>
      </c>
      <c r="C757" s="36">
        <v>45900</v>
      </c>
      <c r="D757" s="36" t="s">
        <v>2467</v>
      </c>
      <c r="E757" s="37" t="s">
        <v>3354</v>
      </c>
      <c r="F757" s="37" t="s">
        <v>4026</v>
      </c>
      <c r="G757" s="38">
        <v>1775.18</v>
      </c>
      <c r="H757" s="38"/>
      <c r="I757" s="37"/>
      <c r="J757" s="37"/>
      <c r="K757" s="38">
        <f t="shared" si="11"/>
        <v>1775.18</v>
      </c>
      <c r="L757" s="38"/>
    </row>
    <row r="758" spans="1:12" ht="14.5" x14ac:dyDescent="0.35">
      <c r="A758" s="45" t="s">
        <v>3588</v>
      </c>
      <c r="C758" s="36">
        <v>45900</v>
      </c>
      <c r="D758" s="36" t="s">
        <v>3509</v>
      </c>
      <c r="E758" s="37">
        <v>35410</v>
      </c>
      <c r="F758" s="37" t="s">
        <v>4026</v>
      </c>
      <c r="G758" s="38">
        <v>5677.2799999999988</v>
      </c>
      <c r="H758" s="38"/>
      <c r="I758" s="37"/>
      <c r="J758" s="37"/>
      <c r="K758" s="38">
        <f t="shared" si="11"/>
        <v>5677.2799999999988</v>
      </c>
      <c r="L758" s="38"/>
    </row>
    <row r="759" spans="1:12" ht="14.5" x14ac:dyDescent="0.35">
      <c r="A759" s="45" t="s">
        <v>3588</v>
      </c>
      <c r="C759" s="36">
        <v>45900</v>
      </c>
      <c r="D759" s="36" t="s">
        <v>3509</v>
      </c>
      <c r="E759" s="37">
        <v>35411</v>
      </c>
      <c r="F759" s="37" t="s">
        <v>4026</v>
      </c>
      <c r="G759" s="38">
        <v>60.63</v>
      </c>
      <c r="H759" s="38"/>
      <c r="I759" s="37"/>
      <c r="J759" s="37"/>
      <c r="K759" s="38">
        <f t="shared" si="11"/>
        <v>60.63</v>
      </c>
      <c r="L759" s="38"/>
    </row>
    <row r="760" spans="1:12" ht="14.5" x14ac:dyDescent="0.35">
      <c r="A760" s="45" t="s">
        <v>3588</v>
      </c>
      <c r="C760" s="36">
        <v>45900</v>
      </c>
      <c r="D760" s="36" t="s">
        <v>3509</v>
      </c>
      <c r="E760" s="37" t="s">
        <v>3355</v>
      </c>
      <c r="F760" s="37" t="s">
        <v>4026</v>
      </c>
      <c r="G760" s="38">
        <v>3405.93</v>
      </c>
      <c r="H760" s="38"/>
      <c r="I760" s="37"/>
      <c r="J760" s="37"/>
      <c r="K760" s="38">
        <f t="shared" si="11"/>
        <v>3405.93</v>
      </c>
      <c r="L760" s="38"/>
    </row>
    <row r="761" spans="1:12" ht="14.5" x14ac:dyDescent="0.35">
      <c r="A761" s="45" t="s">
        <v>3588</v>
      </c>
      <c r="C761" s="36">
        <v>45900</v>
      </c>
      <c r="D761" s="36" t="s">
        <v>3509</v>
      </c>
      <c r="E761" s="37">
        <v>35413</v>
      </c>
      <c r="F761" s="37" t="s">
        <v>4026</v>
      </c>
      <c r="G761" s="38">
        <v>1915.76</v>
      </c>
      <c r="H761" s="38"/>
      <c r="I761" s="37"/>
      <c r="J761" s="37"/>
      <c r="K761" s="38">
        <f t="shared" si="11"/>
        <v>1915.76</v>
      </c>
      <c r="L761" s="38"/>
    </row>
    <row r="762" spans="1:12" ht="14.5" x14ac:dyDescent="0.35">
      <c r="A762" s="45" t="s">
        <v>3588</v>
      </c>
      <c r="C762" s="36">
        <v>45900</v>
      </c>
      <c r="D762" s="36" t="s">
        <v>3509</v>
      </c>
      <c r="E762" s="37">
        <v>35414</v>
      </c>
      <c r="F762" s="37" t="s">
        <v>4026</v>
      </c>
      <c r="G762" s="38">
        <v>1471.2</v>
      </c>
      <c r="H762" s="38"/>
      <c r="I762" s="37"/>
      <c r="J762" s="37"/>
      <c r="K762" s="38">
        <f t="shared" si="11"/>
        <v>1471.2</v>
      </c>
      <c r="L762" s="38"/>
    </row>
    <row r="763" spans="1:12" ht="14.5" x14ac:dyDescent="0.35">
      <c r="A763" s="45" t="s">
        <v>3588</v>
      </c>
      <c r="C763" s="36">
        <v>45900</v>
      </c>
      <c r="D763" s="36" t="s">
        <v>3509</v>
      </c>
      <c r="E763" s="37">
        <v>35415</v>
      </c>
      <c r="F763" s="37" t="s">
        <v>4026</v>
      </c>
      <c r="G763" s="38">
        <v>4181.0399999999991</v>
      </c>
      <c r="H763" s="38"/>
      <c r="I763" s="37"/>
      <c r="J763" s="37"/>
      <c r="K763" s="38">
        <f t="shared" si="11"/>
        <v>4181.0399999999991</v>
      </c>
      <c r="L763" s="38"/>
    </row>
    <row r="764" spans="1:12" ht="14.5" x14ac:dyDescent="0.35">
      <c r="A764" s="45" t="s">
        <v>3588</v>
      </c>
      <c r="C764" s="36">
        <v>45900</v>
      </c>
      <c r="D764" s="36" t="s">
        <v>3509</v>
      </c>
      <c r="E764" s="37">
        <v>35416</v>
      </c>
      <c r="F764" s="37" t="s">
        <v>4026</v>
      </c>
      <c r="G764" s="38">
        <v>382.61</v>
      </c>
      <c r="H764" s="38"/>
      <c r="I764" s="37"/>
      <c r="J764" s="37"/>
      <c r="K764" s="38">
        <f t="shared" si="11"/>
        <v>382.61</v>
      </c>
      <c r="L764" s="38"/>
    </row>
    <row r="765" spans="1:12" ht="14.5" x14ac:dyDescent="0.35">
      <c r="A765" s="45" t="s">
        <v>3588</v>
      </c>
      <c r="C765" s="36">
        <v>45900</v>
      </c>
      <c r="D765" s="36" t="s">
        <v>3509</v>
      </c>
      <c r="E765" s="37">
        <v>35417</v>
      </c>
      <c r="F765" s="37" t="s">
        <v>4026</v>
      </c>
      <c r="G765" s="38">
        <v>1105</v>
      </c>
      <c r="H765" s="38"/>
      <c r="I765" s="37"/>
      <c r="J765" s="37"/>
      <c r="K765" s="38">
        <f t="shared" si="11"/>
        <v>1105</v>
      </c>
      <c r="L765" s="38"/>
    </row>
    <row r="766" spans="1:12" ht="14.5" x14ac:dyDescent="0.35">
      <c r="A766" s="45" t="s">
        <v>3588</v>
      </c>
      <c r="C766" s="36">
        <v>45900</v>
      </c>
      <c r="D766" s="36" t="s">
        <v>3509</v>
      </c>
      <c r="E766" s="37">
        <v>35418</v>
      </c>
      <c r="F766" s="37" t="s">
        <v>4026</v>
      </c>
      <c r="G766" s="38">
        <v>3128.9500000000003</v>
      </c>
      <c r="H766" s="38"/>
      <c r="I766" s="37"/>
      <c r="J766" s="37"/>
      <c r="K766" s="38">
        <f t="shared" si="11"/>
        <v>3128.9500000000003</v>
      </c>
      <c r="L766" s="38"/>
    </row>
    <row r="767" spans="1:12" ht="14.5" x14ac:dyDescent="0.35">
      <c r="A767" s="45" t="s">
        <v>3588</v>
      </c>
      <c r="C767" s="36">
        <v>45900</v>
      </c>
      <c r="D767" s="36" t="s">
        <v>3509</v>
      </c>
      <c r="E767" s="37">
        <v>35419</v>
      </c>
      <c r="F767" s="37" t="s">
        <v>4026</v>
      </c>
      <c r="G767" s="38">
        <v>4516.75</v>
      </c>
      <c r="H767" s="38"/>
      <c r="I767" s="37"/>
      <c r="J767" s="37"/>
      <c r="K767" s="38">
        <f t="shared" si="11"/>
        <v>4516.75</v>
      </c>
      <c r="L767" s="38"/>
    </row>
    <row r="768" spans="1:12" ht="14.5" x14ac:dyDescent="0.35">
      <c r="A768" s="45" t="s">
        <v>3588</v>
      </c>
      <c r="C768" s="36">
        <v>45900</v>
      </c>
      <c r="D768" s="36" t="s">
        <v>3509</v>
      </c>
      <c r="E768" s="37">
        <v>35420</v>
      </c>
      <c r="F768" s="37" t="s">
        <v>4026</v>
      </c>
      <c r="G768" s="38">
        <v>1282.8000000000002</v>
      </c>
      <c r="H768" s="38"/>
      <c r="I768" s="37"/>
      <c r="J768" s="37"/>
      <c r="K768" s="38">
        <f t="shared" si="11"/>
        <v>1282.8000000000002</v>
      </c>
      <c r="L768" s="38"/>
    </row>
    <row r="769" spans="1:12" ht="14.5" x14ac:dyDescent="0.35">
      <c r="A769" s="45" t="s">
        <v>3588</v>
      </c>
      <c r="C769" s="36">
        <v>45900</v>
      </c>
      <c r="D769" s="36" t="s">
        <v>3509</v>
      </c>
      <c r="E769" s="37">
        <v>35421</v>
      </c>
      <c r="F769" s="37" t="s">
        <v>4026</v>
      </c>
      <c r="G769" s="38">
        <v>217.36</v>
      </c>
      <c r="H769" s="38"/>
      <c r="I769" s="37"/>
      <c r="J769" s="37"/>
      <c r="K769" s="38">
        <f t="shared" si="11"/>
        <v>217.36</v>
      </c>
      <c r="L769" s="38"/>
    </row>
    <row r="770" spans="1:12" ht="14.5" x14ac:dyDescent="0.35">
      <c r="A770" s="45" t="s">
        <v>3588</v>
      </c>
      <c r="C770" s="36">
        <v>45900</v>
      </c>
      <c r="D770" s="36" t="s">
        <v>3509</v>
      </c>
      <c r="E770" s="37" t="s">
        <v>3357</v>
      </c>
      <c r="F770" s="37" t="s">
        <v>4026</v>
      </c>
      <c r="G770" s="38">
        <v>108.23</v>
      </c>
      <c r="H770" s="38"/>
      <c r="I770" s="37"/>
      <c r="J770" s="37"/>
      <c r="K770" s="38">
        <f t="shared" si="11"/>
        <v>108.23</v>
      </c>
      <c r="L770" s="38"/>
    </row>
    <row r="771" spans="1:12" ht="14.5" x14ac:dyDescent="0.35">
      <c r="A771" s="45" t="s">
        <v>3588</v>
      </c>
      <c r="C771" s="36">
        <v>45900</v>
      </c>
      <c r="D771" s="36" t="s">
        <v>1757</v>
      </c>
      <c r="E771" s="37" t="s">
        <v>3358</v>
      </c>
      <c r="F771" s="37" t="s">
        <v>4026</v>
      </c>
      <c r="G771" s="38">
        <v>56925.439999999995</v>
      </c>
      <c r="H771" s="38"/>
      <c r="I771" s="37"/>
      <c r="J771" s="37"/>
      <c r="K771" s="38">
        <f t="shared" si="11"/>
        <v>56925.439999999995</v>
      </c>
      <c r="L771" s="38"/>
    </row>
    <row r="772" spans="1:12" ht="14.5" x14ac:dyDescent="0.35">
      <c r="A772" s="45" t="s">
        <v>3588</v>
      </c>
      <c r="C772" s="36">
        <v>45900</v>
      </c>
      <c r="D772" s="36" t="s">
        <v>1757</v>
      </c>
      <c r="E772" s="37">
        <v>35434</v>
      </c>
      <c r="F772" s="37" t="s">
        <v>4026</v>
      </c>
      <c r="G772" s="38">
        <v>13138.810000000001</v>
      </c>
      <c r="H772" s="38"/>
      <c r="I772" s="37"/>
      <c r="J772" s="37"/>
      <c r="K772" s="38">
        <f t="shared" si="11"/>
        <v>13138.810000000001</v>
      </c>
      <c r="L772" s="38"/>
    </row>
    <row r="773" spans="1:12" ht="14.5" x14ac:dyDescent="0.35">
      <c r="A773" s="45" t="s">
        <v>3588</v>
      </c>
      <c r="C773" s="36">
        <v>45900</v>
      </c>
      <c r="D773" s="36" t="s">
        <v>1757</v>
      </c>
      <c r="E773" s="37" t="s">
        <v>3360</v>
      </c>
      <c r="F773" s="37" t="s">
        <v>4026</v>
      </c>
      <c r="G773" s="38">
        <v>722.3900000000001</v>
      </c>
      <c r="H773" s="38"/>
      <c r="I773" s="37"/>
      <c r="J773" s="37"/>
      <c r="K773" s="38">
        <f t="shared" ref="K773:K836" si="12">G773-H773</f>
        <v>722.3900000000001</v>
      </c>
      <c r="L773" s="38"/>
    </row>
    <row r="774" spans="1:12" ht="14.5" x14ac:dyDescent="0.35">
      <c r="A774" s="45" t="s">
        <v>3588</v>
      </c>
      <c r="C774" s="36">
        <v>45900</v>
      </c>
      <c r="D774" s="36" t="s">
        <v>1757</v>
      </c>
      <c r="E774" s="37" t="s">
        <v>3361</v>
      </c>
      <c r="F774" s="37" t="s">
        <v>4026</v>
      </c>
      <c r="G774" s="38">
        <v>736.6</v>
      </c>
      <c r="H774" s="38"/>
      <c r="I774" s="37"/>
      <c r="J774" s="37"/>
      <c r="K774" s="38">
        <f t="shared" si="12"/>
        <v>736.6</v>
      </c>
      <c r="L774" s="38"/>
    </row>
    <row r="775" spans="1:12" ht="14.5" x14ac:dyDescent="0.35">
      <c r="A775" s="45" t="s">
        <v>3588</v>
      </c>
      <c r="C775" s="36">
        <v>45900</v>
      </c>
      <c r="D775" s="36" t="s">
        <v>1757</v>
      </c>
      <c r="E775" s="37" t="s">
        <v>3363</v>
      </c>
      <c r="F775" s="37" t="s">
        <v>4026</v>
      </c>
      <c r="G775" s="38">
        <v>36723.899999999994</v>
      </c>
      <c r="H775" s="38"/>
      <c r="I775" s="37"/>
      <c r="J775" s="37"/>
      <c r="K775" s="38">
        <f t="shared" si="12"/>
        <v>36723.899999999994</v>
      </c>
      <c r="L775" s="38"/>
    </row>
    <row r="776" spans="1:12" ht="14.5" x14ac:dyDescent="0.35">
      <c r="A776" s="45" t="s">
        <v>3588</v>
      </c>
      <c r="C776" s="36">
        <v>45900</v>
      </c>
      <c r="D776" s="36" t="s">
        <v>1757</v>
      </c>
      <c r="E776" s="37" t="s">
        <v>3364</v>
      </c>
      <c r="F776" s="37" t="s">
        <v>4026</v>
      </c>
      <c r="G776" s="38">
        <v>311.3</v>
      </c>
      <c r="H776" s="38"/>
      <c r="I776" s="37"/>
      <c r="J776" s="37"/>
      <c r="K776" s="38">
        <f t="shared" si="12"/>
        <v>311.3</v>
      </c>
      <c r="L776" s="38"/>
    </row>
    <row r="777" spans="1:12" ht="14.5" x14ac:dyDescent="0.35">
      <c r="A777" s="45" t="s">
        <v>3588</v>
      </c>
      <c r="C777" s="36">
        <v>45900</v>
      </c>
      <c r="D777" s="36" t="s">
        <v>1757</v>
      </c>
      <c r="E777" s="37" t="s">
        <v>3365</v>
      </c>
      <c r="F777" s="37" t="s">
        <v>4026</v>
      </c>
      <c r="G777" s="38">
        <v>1273.56</v>
      </c>
      <c r="H777" s="38"/>
      <c r="I777" s="37"/>
      <c r="J777" s="37"/>
      <c r="K777" s="38">
        <f t="shared" si="12"/>
        <v>1273.56</v>
      </c>
      <c r="L777" s="38"/>
    </row>
    <row r="778" spans="1:12" ht="14.5" x14ac:dyDescent="0.35">
      <c r="A778" s="45" t="s">
        <v>3588</v>
      </c>
      <c r="C778" s="36">
        <v>45900</v>
      </c>
      <c r="D778" s="36" t="s">
        <v>1757</v>
      </c>
      <c r="E778" s="37" t="s">
        <v>3366</v>
      </c>
      <c r="F778" s="37" t="s">
        <v>4026</v>
      </c>
      <c r="G778" s="38">
        <v>983.35</v>
      </c>
      <c r="H778" s="38"/>
      <c r="I778" s="37"/>
      <c r="J778" s="37"/>
      <c r="K778" s="38">
        <f t="shared" si="12"/>
        <v>983.35</v>
      </c>
      <c r="L778" s="38"/>
    </row>
    <row r="779" spans="1:12" ht="14.5" x14ac:dyDescent="0.35">
      <c r="A779" s="45" t="s">
        <v>3588</v>
      </c>
      <c r="C779" s="36">
        <v>45900</v>
      </c>
      <c r="D779" s="36" t="s">
        <v>1757</v>
      </c>
      <c r="E779" s="37" t="s">
        <v>3367</v>
      </c>
      <c r="F779" s="37" t="s">
        <v>4026</v>
      </c>
      <c r="G779" s="38">
        <v>107.53</v>
      </c>
      <c r="H779" s="38"/>
      <c r="I779" s="37"/>
      <c r="J779" s="37"/>
      <c r="K779" s="38">
        <f t="shared" si="12"/>
        <v>107.53</v>
      </c>
      <c r="L779" s="38"/>
    </row>
    <row r="780" spans="1:12" ht="14.5" x14ac:dyDescent="0.35">
      <c r="A780" s="45" t="s">
        <v>3588</v>
      </c>
      <c r="C780" s="36">
        <v>45900</v>
      </c>
      <c r="D780" s="36" t="s">
        <v>1757</v>
      </c>
      <c r="E780" s="37" t="s">
        <v>3368</v>
      </c>
      <c r="F780" s="37" t="s">
        <v>4026</v>
      </c>
      <c r="G780" s="38">
        <v>6808.96</v>
      </c>
      <c r="H780" s="38"/>
      <c r="I780" s="37"/>
      <c r="J780" s="37"/>
      <c r="K780" s="38">
        <f t="shared" si="12"/>
        <v>6808.96</v>
      </c>
      <c r="L780" s="38"/>
    </row>
    <row r="781" spans="1:12" ht="14.5" x14ac:dyDescent="0.35">
      <c r="A781" s="45" t="s">
        <v>3588</v>
      </c>
      <c r="C781" s="36">
        <v>45900</v>
      </c>
      <c r="D781" s="36" t="s">
        <v>3212</v>
      </c>
      <c r="E781" s="37" t="s">
        <v>3370</v>
      </c>
      <c r="F781" s="37" t="s">
        <v>4026</v>
      </c>
      <c r="G781" s="38">
        <v>6219.94</v>
      </c>
      <c r="H781" s="38"/>
      <c r="I781" s="37"/>
      <c r="J781" s="37"/>
      <c r="K781" s="38">
        <f t="shared" si="12"/>
        <v>6219.94</v>
      </c>
      <c r="L781" s="38"/>
    </row>
    <row r="782" spans="1:12" ht="14.5" x14ac:dyDescent="0.35">
      <c r="A782" s="45" t="s">
        <v>3588</v>
      </c>
      <c r="C782" s="36">
        <v>45900</v>
      </c>
      <c r="D782" s="36" t="s">
        <v>3218</v>
      </c>
      <c r="E782" s="37" t="s">
        <v>3372</v>
      </c>
      <c r="F782" s="37" t="s">
        <v>4026</v>
      </c>
      <c r="G782" s="38">
        <v>731.79</v>
      </c>
      <c r="H782" s="38"/>
      <c r="I782" s="37"/>
      <c r="J782" s="37"/>
      <c r="K782" s="38">
        <f t="shared" si="12"/>
        <v>731.79</v>
      </c>
      <c r="L782" s="38"/>
    </row>
    <row r="783" spans="1:12" ht="14.5" x14ac:dyDescent="0.35">
      <c r="A783" s="45" t="s">
        <v>3588</v>
      </c>
      <c r="C783" s="36">
        <v>45900</v>
      </c>
      <c r="D783" s="36" t="s">
        <v>3218</v>
      </c>
      <c r="E783" s="37">
        <v>35494</v>
      </c>
      <c r="F783" s="37" t="s">
        <v>4026</v>
      </c>
      <c r="G783" s="38">
        <v>43.16</v>
      </c>
      <c r="H783" s="38"/>
      <c r="I783" s="37"/>
      <c r="J783" s="37"/>
      <c r="K783" s="38">
        <f t="shared" si="12"/>
        <v>43.16</v>
      </c>
      <c r="L783" s="38"/>
    </row>
    <row r="784" spans="1:12" ht="14.5" x14ac:dyDescent="0.35">
      <c r="A784" s="45" t="s">
        <v>3588</v>
      </c>
      <c r="C784" s="36">
        <v>45900</v>
      </c>
      <c r="D784" s="36" t="s">
        <v>2514</v>
      </c>
      <c r="E784" s="37" t="s">
        <v>3373</v>
      </c>
      <c r="F784" s="37" t="s">
        <v>4026</v>
      </c>
      <c r="G784" s="38">
        <v>1707.58</v>
      </c>
      <c r="H784" s="38"/>
      <c r="I784" s="37"/>
      <c r="J784" s="37"/>
      <c r="K784" s="38">
        <f t="shared" si="12"/>
        <v>1707.58</v>
      </c>
      <c r="L784" s="38"/>
    </row>
    <row r="785" spans="1:12" ht="14.5" x14ac:dyDescent="0.35">
      <c r="A785" s="45" t="s">
        <v>3588</v>
      </c>
      <c r="C785" s="36">
        <v>45900</v>
      </c>
      <c r="D785" s="36" t="s">
        <v>2514</v>
      </c>
      <c r="E785" s="37" t="s">
        <v>3374</v>
      </c>
      <c r="F785" s="37" t="s">
        <v>4026</v>
      </c>
      <c r="G785" s="38">
        <v>1262.01</v>
      </c>
      <c r="H785" s="38"/>
      <c r="I785" s="37"/>
      <c r="J785" s="37"/>
      <c r="K785" s="38">
        <f t="shared" si="12"/>
        <v>1262.01</v>
      </c>
      <c r="L785" s="38"/>
    </row>
    <row r="786" spans="1:12" ht="14.5" x14ac:dyDescent="0.35">
      <c r="A786" s="45" t="s">
        <v>3588</v>
      </c>
      <c r="C786" s="36">
        <v>45900</v>
      </c>
      <c r="D786" s="36" t="s">
        <v>2514</v>
      </c>
      <c r="E786" s="37" t="s">
        <v>3375</v>
      </c>
      <c r="F786" s="37" t="s">
        <v>4026</v>
      </c>
      <c r="G786" s="38">
        <v>30678.319999999996</v>
      </c>
      <c r="H786" s="38"/>
      <c r="I786" s="37"/>
      <c r="J786" s="37"/>
      <c r="K786" s="38">
        <f t="shared" si="12"/>
        <v>30678.319999999996</v>
      </c>
      <c r="L786" s="38"/>
    </row>
    <row r="787" spans="1:12" ht="14.5" x14ac:dyDescent="0.35">
      <c r="A787" s="45" t="s">
        <v>3588</v>
      </c>
      <c r="C787" s="36">
        <v>45900</v>
      </c>
      <c r="D787" s="36" t="s">
        <v>2514</v>
      </c>
      <c r="E787" s="37" t="s">
        <v>3376</v>
      </c>
      <c r="F787" s="37" t="s">
        <v>4026</v>
      </c>
      <c r="G787" s="38">
        <v>26.93</v>
      </c>
      <c r="H787" s="38"/>
      <c r="I787" s="37"/>
      <c r="J787" s="37"/>
      <c r="K787" s="38">
        <f t="shared" si="12"/>
        <v>26.93</v>
      </c>
      <c r="L787" s="38"/>
    </row>
    <row r="788" spans="1:12" ht="14.5" x14ac:dyDescent="0.35">
      <c r="A788" s="45" t="s">
        <v>3588</v>
      </c>
      <c r="C788" s="36">
        <v>45900</v>
      </c>
      <c r="D788" s="36" t="s">
        <v>2514</v>
      </c>
      <c r="E788" s="37" t="s">
        <v>3377</v>
      </c>
      <c r="F788" s="37" t="s">
        <v>4026</v>
      </c>
      <c r="G788" s="38">
        <v>60.519999999999996</v>
      </c>
      <c r="H788" s="38"/>
      <c r="I788" s="37"/>
      <c r="J788" s="37"/>
      <c r="K788" s="38">
        <f t="shared" si="12"/>
        <v>60.519999999999996</v>
      </c>
      <c r="L788" s="38"/>
    </row>
    <row r="789" spans="1:12" ht="14.5" x14ac:dyDescent="0.35">
      <c r="A789" s="45" t="s">
        <v>3588</v>
      </c>
      <c r="C789" s="36">
        <v>45900</v>
      </c>
      <c r="D789" s="36" t="s">
        <v>2514</v>
      </c>
      <c r="E789" s="37" t="s">
        <v>3378</v>
      </c>
      <c r="F789" s="37" t="s">
        <v>4026</v>
      </c>
      <c r="G789" s="38">
        <v>2102.98</v>
      </c>
      <c r="H789" s="38"/>
      <c r="I789" s="37"/>
      <c r="J789" s="37"/>
      <c r="K789" s="38">
        <f t="shared" si="12"/>
        <v>2102.98</v>
      </c>
      <c r="L789" s="38"/>
    </row>
    <row r="790" spans="1:12" ht="14.5" x14ac:dyDescent="0.35">
      <c r="A790" s="45" t="s">
        <v>3588</v>
      </c>
      <c r="C790" s="36">
        <v>45900</v>
      </c>
      <c r="D790" s="36" t="s">
        <v>2514</v>
      </c>
      <c r="E790" s="37" t="s">
        <v>3379</v>
      </c>
      <c r="F790" s="37" t="s">
        <v>4026</v>
      </c>
      <c r="G790" s="38">
        <v>9475.84</v>
      </c>
      <c r="H790" s="38"/>
      <c r="I790" s="37"/>
      <c r="J790" s="37"/>
      <c r="K790" s="38">
        <f t="shared" si="12"/>
        <v>9475.84</v>
      </c>
      <c r="L790" s="38"/>
    </row>
    <row r="791" spans="1:12" ht="14.5" x14ac:dyDescent="0.35">
      <c r="A791" s="45" t="s">
        <v>3588</v>
      </c>
      <c r="C791" s="36">
        <v>45900</v>
      </c>
      <c r="D791" s="36" t="s">
        <v>2514</v>
      </c>
      <c r="E791" s="37" t="s">
        <v>3380</v>
      </c>
      <c r="F791" s="37" t="s">
        <v>4026</v>
      </c>
      <c r="G791" s="38">
        <v>194.73</v>
      </c>
      <c r="H791" s="38"/>
      <c r="I791" s="37"/>
      <c r="J791" s="37"/>
      <c r="K791" s="38">
        <f t="shared" si="12"/>
        <v>194.73</v>
      </c>
      <c r="L791" s="38"/>
    </row>
    <row r="792" spans="1:12" ht="14.5" x14ac:dyDescent="0.35">
      <c r="A792" s="45" t="s">
        <v>3588</v>
      </c>
      <c r="C792" s="36">
        <v>45900</v>
      </c>
      <c r="D792" s="36" t="s">
        <v>2514</v>
      </c>
      <c r="E792" s="37" t="s">
        <v>3381</v>
      </c>
      <c r="F792" s="37" t="s">
        <v>4026</v>
      </c>
      <c r="G792" s="38">
        <v>4614.6400000000003</v>
      </c>
      <c r="H792" s="38"/>
      <c r="I792" s="37"/>
      <c r="J792" s="37"/>
      <c r="K792" s="38">
        <f t="shared" si="12"/>
        <v>4614.6400000000003</v>
      </c>
      <c r="L792" s="38"/>
    </row>
    <row r="793" spans="1:12" ht="14.5" x14ac:dyDescent="0.35">
      <c r="A793" s="45" t="s">
        <v>3588</v>
      </c>
      <c r="C793" s="36">
        <v>45900</v>
      </c>
      <c r="D793" s="36" t="s">
        <v>2514</v>
      </c>
      <c r="E793" s="37" t="s">
        <v>3382</v>
      </c>
      <c r="F793" s="37" t="s">
        <v>4026</v>
      </c>
      <c r="G793" s="38">
        <v>401.56</v>
      </c>
      <c r="H793" s="38"/>
      <c r="I793" s="37"/>
      <c r="J793" s="37"/>
      <c r="K793" s="38">
        <f t="shared" si="12"/>
        <v>401.56</v>
      </c>
      <c r="L793" s="38"/>
    </row>
    <row r="794" spans="1:12" ht="14.5" x14ac:dyDescent="0.35">
      <c r="A794" s="45" t="s">
        <v>3588</v>
      </c>
      <c r="C794" s="36">
        <v>45900</v>
      </c>
      <c r="D794" s="36" t="s">
        <v>2514</v>
      </c>
      <c r="E794" s="37" t="s">
        <v>3383</v>
      </c>
      <c r="F794" s="37" t="s">
        <v>4026</v>
      </c>
      <c r="G794" s="38">
        <v>2133.6400000000003</v>
      </c>
      <c r="H794" s="38"/>
      <c r="I794" s="37"/>
      <c r="J794" s="37"/>
      <c r="K794" s="38">
        <f t="shared" si="12"/>
        <v>2133.6400000000003</v>
      </c>
      <c r="L794" s="38"/>
    </row>
    <row r="795" spans="1:12" ht="14.5" x14ac:dyDescent="0.35">
      <c r="A795" s="45" t="s">
        <v>3588</v>
      </c>
      <c r="C795" s="36">
        <v>45900</v>
      </c>
      <c r="D795" s="36" t="s">
        <v>1035</v>
      </c>
      <c r="E795" s="37" t="s">
        <v>3384</v>
      </c>
      <c r="F795" s="37" t="s">
        <v>4026</v>
      </c>
      <c r="G795" s="38">
        <v>1644.6699999999998</v>
      </c>
      <c r="H795" s="38"/>
      <c r="I795" s="37"/>
      <c r="J795" s="37"/>
      <c r="K795" s="38">
        <f t="shared" si="12"/>
        <v>1644.6699999999998</v>
      </c>
      <c r="L795" s="38"/>
    </row>
    <row r="796" spans="1:12" ht="14.5" x14ac:dyDescent="0.35">
      <c r="A796" s="45" t="s">
        <v>3588</v>
      </c>
      <c r="C796" s="36">
        <v>45900</v>
      </c>
      <c r="D796" s="36" t="s">
        <v>2396</v>
      </c>
      <c r="E796" s="37" t="s">
        <v>3385</v>
      </c>
      <c r="F796" s="37" t="s">
        <v>4026</v>
      </c>
      <c r="G796" s="38">
        <v>75070.289999999994</v>
      </c>
      <c r="H796" s="38"/>
      <c r="I796" s="37"/>
      <c r="J796" s="37"/>
      <c r="K796" s="38">
        <f t="shared" si="12"/>
        <v>75070.289999999994</v>
      </c>
      <c r="L796" s="38"/>
    </row>
    <row r="797" spans="1:12" ht="14.5" x14ac:dyDescent="0.35">
      <c r="A797" s="45" t="s">
        <v>3588</v>
      </c>
      <c r="C797" s="36">
        <v>45900</v>
      </c>
      <c r="D797" s="36" t="s">
        <v>1475</v>
      </c>
      <c r="E797" s="37" t="s">
        <v>3386</v>
      </c>
      <c r="F797" s="37" t="s">
        <v>4026</v>
      </c>
      <c r="G797" s="38">
        <v>35680.89</v>
      </c>
      <c r="H797" s="38"/>
      <c r="I797" s="37"/>
      <c r="J797" s="37"/>
      <c r="K797" s="38">
        <f t="shared" si="12"/>
        <v>35680.89</v>
      </c>
      <c r="L797" s="38"/>
    </row>
    <row r="798" spans="1:12" ht="14.5" x14ac:dyDescent="0.35">
      <c r="A798" s="45" t="s">
        <v>3588</v>
      </c>
      <c r="C798" s="36">
        <v>45900</v>
      </c>
      <c r="D798" s="36" t="s">
        <v>1475</v>
      </c>
      <c r="E798" s="37" t="s">
        <v>3387</v>
      </c>
      <c r="F798" s="37" t="s">
        <v>4026</v>
      </c>
      <c r="G798" s="38">
        <v>61497.4</v>
      </c>
      <c r="H798" s="38"/>
      <c r="I798" s="37"/>
      <c r="J798" s="37"/>
      <c r="K798" s="38">
        <f t="shared" si="12"/>
        <v>61497.4</v>
      </c>
      <c r="L798" s="38"/>
    </row>
    <row r="799" spans="1:12" ht="14.5" x14ac:dyDescent="0.35">
      <c r="A799" s="45" t="s">
        <v>3588</v>
      </c>
      <c r="C799" s="36">
        <v>45900</v>
      </c>
      <c r="D799" s="36" t="s">
        <v>1475</v>
      </c>
      <c r="E799" s="37" t="s">
        <v>3388</v>
      </c>
      <c r="F799" s="37" t="s">
        <v>4026</v>
      </c>
      <c r="G799" s="38">
        <v>43443.409999999996</v>
      </c>
      <c r="H799" s="38"/>
      <c r="I799" s="37"/>
      <c r="J799" s="37"/>
      <c r="K799" s="38">
        <f t="shared" si="12"/>
        <v>43443.409999999996</v>
      </c>
      <c r="L799" s="38"/>
    </row>
    <row r="800" spans="1:12" ht="14.5" x14ac:dyDescent="0.35">
      <c r="A800" s="45" t="s">
        <v>3588</v>
      </c>
      <c r="C800" s="36">
        <v>45900</v>
      </c>
      <c r="D800" s="36" t="s">
        <v>1475</v>
      </c>
      <c r="E800" s="37">
        <v>35797</v>
      </c>
      <c r="F800" s="37" t="s">
        <v>4026</v>
      </c>
      <c r="G800" s="38">
        <v>33515.83</v>
      </c>
      <c r="H800" s="38"/>
      <c r="I800" s="37"/>
      <c r="J800" s="37"/>
      <c r="K800" s="38">
        <f t="shared" si="12"/>
        <v>33515.83</v>
      </c>
      <c r="L800" s="38"/>
    </row>
    <row r="801" spans="1:12" ht="14.5" x14ac:dyDescent="0.35">
      <c r="A801" s="45" t="s">
        <v>3588</v>
      </c>
      <c r="C801" s="36">
        <v>45900</v>
      </c>
      <c r="D801" s="36" t="s">
        <v>1475</v>
      </c>
      <c r="E801" s="37">
        <v>35799</v>
      </c>
      <c r="F801" s="37" t="s">
        <v>4026</v>
      </c>
      <c r="G801" s="38">
        <v>67.180000000000007</v>
      </c>
      <c r="H801" s="38"/>
      <c r="I801" s="37"/>
      <c r="J801" s="37"/>
      <c r="K801" s="38">
        <f t="shared" si="12"/>
        <v>67.180000000000007</v>
      </c>
      <c r="L801" s="38"/>
    </row>
    <row r="802" spans="1:12" ht="14.5" x14ac:dyDescent="0.35">
      <c r="A802" s="45" t="s">
        <v>3588</v>
      </c>
      <c r="C802" s="36">
        <v>45900</v>
      </c>
      <c r="D802" s="36" t="s">
        <v>1475</v>
      </c>
      <c r="E802" s="37" t="s">
        <v>3389</v>
      </c>
      <c r="F802" s="37" t="s">
        <v>4026</v>
      </c>
      <c r="G802" s="38">
        <v>24846.26</v>
      </c>
      <c r="H802" s="38"/>
      <c r="I802" s="37"/>
      <c r="J802" s="37"/>
      <c r="K802" s="38">
        <f t="shared" si="12"/>
        <v>24846.26</v>
      </c>
      <c r="L802" s="38"/>
    </row>
    <row r="803" spans="1:12" ht="14.5" x14ac:dyDescent="0.35">
      <c r="A803" s="45" t="s">
        <v>3588</v>
      </c>
      <c r="C803" s="36">
        <v>45900</v>
      </c>
      <c r="D803" s="36" t="s">
        <v>1475</v>
      </c>
      <c r="E803" s="37" t="s">
        <v>3390</v>
      </c>
      <c r="F803" s="37" t="s">
        <v>4026</v>
      </c>
      <c r="G803" s="38">
        <v>9518.5400000000009</v>
      </c>
      <c r="H803" s="38"/>
      <c r="I803" s="37"/>
      <c r="J803" s="37"/>
      <c r="K803" s="38">
        <f t="shared" si="12"/>
        <v>9518.5400000000009</v>
      </c>
      <c r="L803" s="38"/>
    </row>
    <row r="804" spans="1:12" ht="14.5" x14ac:dyDescent="0.35">
      <c r="A804" s="45" t="s">
        <v>3588</v>
      </c>
      <c r="C804" s="36">
        <v>45900</v>
      </c>
      <c r="D804" s="36" t="s">
        <v>1475</v>
      </c>
      <c r="E804" s="37">
        <v>35806</v>
      </c>
      <c r="F804" s="37" t="s">
        <v>4026</v>
      </c>
      <c r="G804" s="38">
        <v>2552.02</v>
      </c>
      <c r="H804" s="38"/>
      <c r="I804" s="37"/>
      <c r="J804" s="37"/>
      <c r="K804" s="38">
        <f t="shared" si="12"/>
        <v>2552.02</v>
      </c>
      <c r="L804" s="38"/>
    </row>
    <row r="805" spans="1:12" ht="14.5" x14ac:dyDescent="0.35">
      <c r="A805" s="45" t="s">
        <v>3588</v>
      </c>
      <c r="C805" s="36">
        <v>45900</v>
      </c>
      <c r="D805" s="36" t="s">
        <v>1475</v>
      </c>
      <c r="E805" s="37" t="s">
        <v>3391</v>
      </c>
      <c r="F805" s="37" t="s">
        <v>4026</v>
      </c>
      <c r="G805" s="38">
        <v>65043.58</v>
      </c>
      <c r="H805" s="38"/>
      <c r="I805" s="37"/>
      <c r="J805" s="37"/>
      <c r="K805" s="38">
        <f t="shared" si="12"/>
        <v>65043.58</v>
      </c>
      <c r="L805" s="38"/>
    </row>
    <row r="806" spans="1:12" ht="14.5" x14ac:dyDescent="0.35">
      <c r="A806" s="45" t="s">
        <v>3588</v>
      </c>
      <c r="C806" s="36">
        <v>45900</v>
      </c>
      <c r="D806" s="36" t="s">
        <v>1475</v>
      </c>
      <c r="E806" s="37" t="s">
        <v>3392</v>
      </c>
      <c r="F806" s="37" t="s">
        <v>4026</v>
      </c>
      <c r="G806" s="38">
        <v>16288.489999999998</v>
      </c>
      <c r="H806" s="38"/>
      <c r="I806" s="37"/>
      <c r="J806" s="37"/>
      <c r="K806" s="38">
        <f t="shared" si="12"/>
        <v>16288.489999999998</v>
      </c>
      <c r="L806" s="38"/>
    </row>
    <row r="807" spans="1:12" ht="14.5" x14ac:dyDescent="0.35">
      <c r="A807" s="45" t="s">
        <v>3588</v>
      </c>
      <c r="C807" s="36">
        <v>45900</v>
      </c>
      <c r="D807" s="36" t="s">
        <v>1475</v>
      </c>
      <c r="E807" s="37">
        <v>35811</v>
      </c>
      <c r="F807" s="37" t="s">
        <v>4026</v>
      </c>
      <c r="G807" s="38">
        <v>48009.67</v>
      </c>
      <c r="H807" s="38"/>
      <c r="I807" s="37"/>
      <c r="J807" s="37"/>
      <c r="K807" s="38">
        <f t="shared" si="12"/>
        <v>48009.67</v>
      </c>
      <c r="L807" s="38"/>
    </row>
    <row r="808" spans="1:12" ht="14.5" x14ac:dyDescent="0.35">
      <c r="A808" s="45" t="s">
        <v>3588</v>
      </c>
      <c r="C808" s="36">
        <v>45900</v>
      </c>
      <c r="D808" s="36" t="s">
        <v>1475</v>
      </c>
      <c r="E808" s="37" t="s">
        <v>3394</v>
      </c>
      <c r="F808" s="37" t="s">
        <v>4026</v>
      </c>
      <c r="G808" s="38">
        <v>14483.45</v>
      </c>
      <c r="H808" s="38"/>
      <c r="I808" s="37"/>
      <c r="J808" s="37"/>
      <c r="K808" s="38">
        <f t="shared" si="12"/>
        <v>14483.45</v>
      </c>
      <c r="L808" s="38"/>
    </row>
    <row r="809" spans="1:12" ht="14.5" x14ac:dyDescent="0.35">
      <c r="A809" s="45" t="s">
        <v>3588</v>
      </c>
      <c r="C809" s="36">
        <v>45900</v>
      </c>
      <c r="D809" s="36" t="s">
        <v>2459</v>
      </c>
      <c r="E809" s="37" t="s">
        <v>3395</v>
      </c>
      <c r="F809" s="37" t="s">
        <v>4026</v>
      </c>
      <c r="G809" s="38">
        <v>64.52</v>
      </c>
      <c r="H809" s="38"/>
      <c r="I809" s="37"/>
      <c r="J809" s="37"/>
      <c r="K809" s="38">
        <f t="shared" si="12"/>
        <v>64.52</v>
      </c>
      <c r="L809" s="38"/>
    </row>
    <row r="810" spans="1:12" ht="14.5" x14ac:dyDescent="0.35">
      <c r="A810" s="45" t="s">
        <v>3588</v>
      </c>
      <c r="C810" s="36">
        <v>45900</v>
      </c>
      <c r="D810" s="36" t="s">
        <v>2462</v>
      </c>
      <c r="E810" s="37" t="s">
        <v>3396</v>
      </c>
      <c r="F810" s="37" t="s">
        <v>4026</v>
      </c>
      <c r="G810" s="38">
        <v>157258.52000000002</v>
      </c>
      <c r="H810" s="38"/>
      <c r="I810" s="37"/>
      <c r="J810" s="37"/>
      <c r="K810" s="38">
        <f t="shared" si="12"/>
        <v>157258.52000000002</v>
      </c>
      <c r="L810" s="38"/>
    </row>
    <row r="811" spans="1:12" ht="14.5" x14ac:dyDescent="0.35">
      <c r="A811" s="45" t="s">
        <v>3588</v>
      </c>
      <c r="C811" s="36">
        <v>45900</v>
      </c>
      <c r="D811" s="36" t="s">
        <v>3359</v>
      </c>
      <c r="E811" s="37" t="s">
        <v>3397</v>
      </c>
      <c r="F811" s="37" t="s">
        <v>4026</v>
      </c>
      <c r="G811" s="38">
        <v>145588.4</v>
      </c>
      <c r="H811" s="38"/>
      <c r="I811" s="37"/>
      <c r="J811" s="37"/>
      <c r="K811" s="38">
        <f t="shared" si="12"/>
        <v>145588.4</v>
      </c>
      <c r="L811" s="38"/>
    </row>
    <row r="812" spans="1:12" ht="14.5" x14ac:dyDescent="0.35">
      <c r="A812" s="45" t="s">
        <v>3588</v>
      </c>
      <c r="C812" s="36">
        <v>45900</v>
      </c>
      <c r="D812" s="36" t="s">
        <v>301</v>
      </c>
      <c r="E812" s="37" t="s">
        <v>3398</v>
      </c>
      <c r="F812" s="37" t="s">
        <v>4026</v>
      </c>
      <c r="G812" s="38">
        <v>2496.7800000000002</v>
      </c>
      <c r="H812" s="38"/>
      <c r="I812" s="37"/>
      <c r="J812" s="37"/>
      <c r="K812" s="38">
        <f t="shared" si="12"/>
        <v>2496.7800000000002</v>
      </c>
      <c r="L812" s="38"/>
    </row>
    <row r="813" spans="1:12" ht="14.5" x14ac:dyDescent="0.35">
      <c r="A813" s="45" t="s">
        <v>3588</v>
      </c>
      <c r="C813" s="36">
        <v>45900</v>
      </c>
      <c r="D813" s="36" t="s">
        <v>301</v>
      </c>
      <c r="E813" s="37" t="s">
        <v>3399</v>
      </c>
      <c r="F813" s="37" t="s">
        <v>4026</v>
      </c>
      <c r="G813" s="38">
        <v>7588.7499999999964</v>
      </c>
      <c r="H813" s="38"/>
      <c r="I813" s="37"/>
      <c r="J813" s="37"/>
      <c r="K813" s="38">
        <f t="shared" si="12"/>
        <v>7588.7499999999964</v>
      </c>
      <c r="L813" s="38"/>
    </row>
    <row r="814" spans="1:12" ht="14.5" x14ac:dyDescent="0.35">
      <c r="A814" s="45" t="s">
        <v>3588</v>
      </c>
      <c r="C814" s="36">
        <v>45900</v>
      </c>
      <c r="D814" s="36" t="s">
        <v>301</v>
      </c>
      <c r="E814" s="37" t="s">
        <v>3400</v>
      </c>
      <c r="F814" s="37" t="s">
        <v>4026</v>
      </c>
      <c r="G814" s="38">
        <v>1132.7000000000003</v>
      </c>
      <c r="H814" s="38"/>
      <c r="I814" s="37"/>
      <c r="J814" s="37"/>
      <c r="K814" s="38">
        <f t="shared" si="12"/>
        <v>1132.7000000000003</v>
      </c>
      <c r="L814" s="38"/>
    </row>
    <row r="815" spans="1:12" ht="14.5" x14ac:dyDescent="0.35">
      <c r="A815" s="45" t="s">
        <v>3588</v>
      </c>
      <c r="C815" s="36">
        <v>45900</v>
      </c>
      <c r="D815" s="36" t="s">
        <v>301</v>
      </c>
      <c r="E815" s="37" t="s">
        <v>3401</v>
      </c>
      <c r="F815" s="37" t="s">
        <v>4026</v>
      </c>
      <c r="G815" s="38">
        <v>1649.3900000000003</v>
      </c>
      <c r="H815" s="38"/>
      <c r="I815" s="37"/>
      <c r="J815" s="37"/>
      <c r="K815" s="38">
        <f t="shared" si="12"/>
        <v>1649.3900000000003</v>
      </c>
      <c r="L815" s="38"/>
    </row>
    <row r="816" spans="1:12" ht="14.5" x14ac:dyDescent="0.35">
      <c r="A816" s="45" t="s">
        <v>3588</v>
      </c>
      <c r="C816" s="36">
        <v>45900</v>
      </c>
      <c r="D816" s="36" t="s">
        <v>3369</v>
      </c>
      <c r="E816" s="37" t="s">
        <v>3402</v>
      </c>
      <c r="F816" s="37" t="s">
        <v>4026</v>
      </c>
      <c r="G816" s="38">
        <v>1730.24</v>
      </c>
      <c r="H816" s="38"/>
      <c r="I816" s="37"/>
      <c r="J816" s="37"/>
      <c r="K816" s="38">
        <f t="shared" si="12"/>
        <v>1730.24</v>
      </c>
      <c r="L816" s="38"/>
    </row>
    <row r="817" spans="1:12" ht="14.5" x14ac:dyDescent="0.35">
      <c r="A817" s="45" t="s">
        <v>3588</v>
      </c>
      <c r="C817" s="36">
        <v>45900</v>
      </c>
      <c r="D817" s="36" t="s">
        <v>301</v>
      </c>
      <c r="E817" s="37">
        <v>36196</v>
      </c>
      <c r="F817" s="37" t="s">
        <v>4026</v>
      </c>
      <c r="G817" s="38">
        <v>777.86999999999989</v>
      </c>
      <c r="H817" s="38"/>
      <c r="I817" s="37"/>
      <c r="J817" s="37"/>
      <c r="K817" s="38">
        <f t="shared" si="12"/>
        <v>777.86999999999989</v>
      </c>
      <c r="L817" s="38"/>
    </row>
    <row r="818" spans="1:12" ht="14.5" x14ac:dyDescent="0.35">
      <c r="A818" s="45" t="s">
        <v>3588</v>
      </c>
      <c r="C818" s="36">
        <v>45900</v>
      </c>
      <c r="D818" s="36" t="s">
        <v>3371</v>
      </c>
      <c r="E818" s="37" t="s">
        <v>3403</v>
      </c>
      <c r="F818" s="37" t="s">
        <v>4026</v>
      </c>
      <c r="G818" s="38">
        <v>2808</v>
      </c>
      <c r="H818" s="38"/>
      <c r="I818" s="37"/>
      <c r="J818" s="37"/>
      <c r="K818" s="38">
        <f t="shared" si="12"/>
        <v>2808</v>
      </c>
      <c r="L818" s="38"/>
    </row>
    <row r="819" spans="1:12" ht="14.5" x14ac:dyDescent="0.35">
      <c r="A819" s="45" t="s">
        <v>3588</v>
      </c>
      <c r="C819" s="36">
        <v>45900</v>
      </c>
      <c r="D819" s="36" t="s">
        <v>301</v>
      </c>
      <c r="E819" s="37">
        <v>36303</v>
      </c>
      <c r="F819" s="37" t="s">
        <v>4026</v>
      </c>
      <c r="G819" s="38">
        <v>717.43</v>
      </c>
      <c r="H819" s="38"/>
      <c r="I819" s="37"/>
      <c r="J819" s="37"/>
      <c r="K819" s="38">
        <f t="shared" si="12"/>
        <v>717.43</v>
      </c>
      <c r="L819" s="38"/>
    </row>
    <row r="820" spans="1:12" ht="14.5" x14ac:dyDescent="0.35">
      <c r="A820" s="45" t="s">
        <v>3588</v>
      </c>
      <c r="C820" s="36">
        <v>45900</v>
      </c>
      <c r="D820" s="36" t="s">
        <v>2027</v>
      </c>
      <c r="E820" s="37" t="s">
        <v>3404</v>
      </c>
      <c r="F820" s="37" t="s">
        <v>4026</v>
      </c>
      <c r="G820" s="38">
        <v>2613.1400000000003</v>
      </c>
      <c r="H820" s="38"/>
      <c r="I820" s="37"/>
      <c r="J820" s="37"/>
      <c r="K820" s="38">
        <f t="shared" si="12"/>
        <v>2613.1400000000003</v>
      </c>
      <c r="L820" s="38"/>
    </row>
    <row r="821" spans="1:12" ht="14.5" x14ac:dyDescent="0.35">
      <c r="A821" s="45" t="s">
        <v>3588</v>
      </c>
      <c r="C821" s="36">
        <v>45900</v>
      </c>
      <c r="D821" s="36" t="s">
        <v>301</v>
      </c>
      <c r="E821" s="37" t="s">
        <v>3405</v>
      </c>
      <c r="F821" s="37" t="s">
        <v>4026</v>
      </c>
      <c r="G821" s="38">
        <v>1591.49</v>
      </c>
      <c r="H821" s="38"/>
      <c r="I821" s="37"/>
      <c r="J821" s="37"/>
      <c r="K821" s="38">
        <f t="shared" si="12"/>
        <v>1591.49</v>
      </c>
      <c r="L821" s="38"/>
    </row>
    <row r="822" spans="1:12" ht="14.5" x14ac:dyDescent="0.35">
      <c r="A822" s="45" t="s">
        <v>3588</v>
      </c>
      <c r="C822" s="36">
        <v>45900</v>
      </c>
      <c r="D822" s="36" t="s">
        <v>301</v>
      </c>
      <c r="E822" s="37">
        <v>36477</v>
      </c>
      <c r="F822" s="37" t="s">
        <v>4026</v>
      </c>
      <c r="G822" s="38">
        <v>380.63</v>
      </c>
      <c r="H822" s="38"/>
      <c r="I822" s="37"/>
      <c r="J822" s="37"/>
      <c r="K822" s="38">
        <f t="shared" si="12"/>
        <v>380.63</v>
      </c>
      <c r="L822" s="38"/>
    </row>
    <row r="823" spans="1:12" ht="14.5" x14ac:dyDescent="0.35">
      <c r="A823" s="45" t="s">
        <v>3588</v>
      </c>
      <c r="C823" s="36">
        <v>45900</v>
      </c>
      <c r="D823" s="36" t="s">
        <v>301</v>
      </c>
      <c r="E823" s="37">
        <v>36478</v>
      </c>
      <c r="F823" s="37" t="s">
        <v>4026</v>
      </c>
      <c r="G823" s="38">
        <v>901.98</v>
      </c>
      <c r="H823" s="38"/>
      <c r="I823" s="37"/>
      <c r="J823" s="37"/>
      <c r="K823" s="38">
        <f t="shared" si="12"/>
        <v>901.98</v>
      </c>
      <c r="L823" s="38"/>
    </row>
    <row r="824" spans="1:12" ht="14.5" x14ac:dyDescent="0.35">
      <c r="A824" s="45" t="s">
        <v>3588</v>
      </c>
      <c r="C824" s="36">
        <v>45900</v>
      </c>
      <c r="D824" s="36" t="s">
        <v>301</v>
      </c>
      <c r="E824" s="37">
        <v>36479</v>
      </c>
      <c r="F824" s="37" t="s">
        <v>4026</v>
      </c>
      <c r="G824" s="38">
        <v>259.63</v>
      </c>
      <c r="H824" s="38"/>
      <c r="I824" s="37"/>
      <c r="J824" s="37"/>
      <c r="K824" s="38">
        <f t="shared" si="12"/>
        <v>259.63</v>
      </c>
      <c r="L824" s="38"/>
    </row>
    <row r="825" spans="1:12" ht="14.5" x14ac:dyDescent="0.35">
      <c r="A825" s="45" t="s">
        <v>3588</v>
      </c>
      <c r="C825" s="36">
        <v>45900</v>
      </c>
      <c r="D825" s="36" t="s">
        <v>301</v>
      </c>
      <c r="E825" s="37">
        <v>36509</v>
      </c>
      <c r="F825" s="37" t="s">
        <v>4026</v>
      </c>
      <c r="G825" s="38">
        <v>1505.9700000000003</v>
      </c>
      <c r="H825" s="38"/>
      <c r="I825" s="37"/>
      <c r="J825" s="37"/>
      <c r="K825" s="38">
        <f t="shared" si="12"/>
        <v>1505.9700000000003</v>
      </c>
      <c r="L825" s="38"/>
    </row>
    <row r="826" spans="1:12" ht="14.5" x14ac:dyDescent="0.35">
      <c r="A826" s="45" t="s">
        <v>3588</v>
      </c>
      <c r="C826" s="36">
        <v>45900</v>
      </c>
      <c r="D826" s="36" t="s">
        <v>301</v>
      </c>
      <c r="E826" s="37">
        <v>36628</v>
      </c>
      <c r="F826" s="37" t="s">
        <v>4026</v>
      </c>
      <c r="G826" s="38">
        <v>795.49</v>
      </c>
      <c r="H826" s="38"/>
      <c r="I826" s="37"/>
      <c r="J826" s="37"/>
      <c r="K826" s="38">
        <f t="shared" si="12"/>
        <v>795.49</v>
      </c>
      <c r="L826" s="38"/>
    </row>
    <row r="827" spans="1:12" ht="14.5" x14ac:dyDescent="0.35">
      <c r="A827" s="45" t="s">
        <v>3588</v>
      </c>
      <c r="C827" s="36">
        <v>45900</v>
      </c>
      <c r="D827" s="36" t="s">
        <v>1757</v>
      </c>
      <c r="E827" s="37">
        <v>36643</v>
      </c>
      <c r="F827" s="37" t="s">
        <v>4026</v>
      </c>
      <c r="G827" s="38">
        <v>415.8</v>
      </c>
      <c r="H827" s="38"/>
      <c r="I827" s="37"/>
      <c r="J827" s="37"/>
      <c r="K827" s="38">
        <f t="shared" si="12"/>
        <v>415.8</v>
      </c>
      <c r="L827" s="38"/>
    </row>
    <row r="828" spans="1:12" ht="14.5" x14ac:dyDescent="0.35">
      <c r="A828" s="45" t="s">
        <v>3588</v>
      </c>
      <c r="C828" s="36">
        <v>45900</v>
      </c>
      <c r="D828" s="36" t="s">
        <v>2429</v>
      </c>
      <c r="E828" s="37" t="s">
        <v>3406</v>
      </c>
      <c r="F828" s="37" t="s">
        <v>4026</v>
      </c>
      <c r="G828" s="38">
        <v>414.78999999999996</v>
      </c>
      <c r="H828" s="38"/>
      <c r="I828" s="37"/>
      <c r="J828" s="37"/>
      <c r="K828" s="38">
        <f t="shared" si="12"/>
        <v>414.78999999999996</v>
      </c>
      <c r="L828" s="38"/>
    </row>
    <row r="829" spans="1:12" ht="14.5" x14ac:dyDescent="0.35">
      <c r="A829" s="45" t="s">
        <v>3588</v>
      </c>
      <c r="C829" s="36">
        <v>45900</v>
      </c>
      <c r="D829" s="36" t="s">
        <v>346</v>
      </c>
      <c r="E829" s="37" t="s">
        <v>3825</v>
      </c>
      <c r="F829" s="37" t="s">
        <v>4026</v>
      </c>
      <c r="G829" s="38">
        <v>0</v>
      </c>
      <c r="H829" s="38"/>
      <c r="I829" s="37"/>
      <c r="J829" s="37"/>
      <c r="K829" s="38">
        <f t="shared" si="12"/>
        <v>0</v>
      </c>
      <c r="L829" s="38"/>
    </row>
    <row r="830" spans="1:12" ht="14.5" x14ac:dyDescent="0.35">
      <c r="A830" s="45" t="s">
        <v>3588</v>
      </c>
      <c r="C830" s="36">
        <v>45900</v>
      </c>
      <c r="D830" s="36" t="s">
        <v>2429</v>
      </c>
      <c r="E830" s="37" t="s">
        <v>3407</v>
      </c>
      <c r="F830" s="37" t="s">
        <v>4026</v>
      </c>
      <c r="G830" s="38">
        <v>52.22</v>
      </c>
      <c r="H830" s="38"/>
      <c r="I830" s="37"/>
      <c r="J830" s="37"/>
      <c r="K830" s="38">
        <f t="shared" si="12"/>
        <v>52.22</v>
      </c>
      <c r="L830" s="38"/>
    </row>
    <row r="831" spans="1:12" ht="14.5" x14ac:dyDescent="0.35">
      <c r="A831" s="45" t="s">
        <v>3588</v>
      </c>
      <c r="C831" s="36">
        <v>45900</v>
      </c>
      <c r="D831" s="36" t="s">
        <v>1426</v>
      </c>
      <c r="E831" s="37" t="s">
        <v>3408</v>
      </c>
      <c r="F831" s="37" t="s">
        <v>4026</v>
      </c>
      <c r="G831" s="38">
        <v>12788.68</v>
      </c>
      <c r="H831" s="38"/>
      <c r="I831" s="37"/>
      <c r="J831" s="37"/>
      <c r="K831" s="38">
        <f t="shared" si="12"/>
        <v>12788.68</v>
      </c>
      <c r="L831" s="38"/>
    </row>
    <row r="832" spans="1:12" ht="14.5" x14ac:dyDescent="0.35">
      <c r="A832" s="45" t="s">
        <v>3588</v>
      </c>
      <c r="C832" s="36">
        <v>45900</v>
      </c>
      <c r="D832" s="36" t="s">
        <v>1712</v>
      </c>
      <c r="E832" s="37" t="s">
        <v>3409</v>
      </c>
      <c r="F832" s="37" t="s">
        <v>4026</v>
      </c>
      <c r="G832" s="38">
        <v>3178.71</v>
      </c>
      <c r="H832" s="38"/>
      <c r="I832" s="37"/>
      <c r="J832" s="37"/>
      <c r="K832" s="38">
        <f t="shared" si="12"/>
        <v>3178.71</v>
      </c>
      <c r="L832" s="38"/>
    </row>
    <row r="833" spans="1:12" ht="14.5" x14ac:dyDescent="0.35">
      <c r="A833" s="45" t="s">
        <v>3588</v>
      </c>
      <c r="C833" s="36">
        <v>45900</v>
      </c>
      <c r="D833" s="36" t="s">
        <v>301</v>
      </c>
      <c r="E833" s="37">
        <v>36928</v>
      </c>
      <c r="F833" s="37" t="s">
        <v>4026</v>
      </c>
      <c r="G833" s="38">
        <v>1135.3</v>
      </c>
      <c r="H833" s="38"/>
      <c r="I833" s="37"/>
      <c r="J833" s="37"/>
      <c r="K833" s="38">
        <f t="shared" si="12"/>
        <v>1135.3</v>
      </c>
      <c r="L833" s="38"/>
    </row>
    <row r="834" spans="1:12" ht="14.5" x14ac:dyDescent="0.35">
      <c r="A834" s="45" t="s">
        <v>3588</v>
      </c>
      <c r="C834" s="36">
        <v>45900</v>
      </c>
      <c r="D834" s="36" t="s">
        <v>3510</v>
      </c>
      <c r="E834" s="37" t="s">
        <v>3410</v>
      </c>
      <c r="F834" s="37" t="s">
        <v>4026</v>
      </c>
      <c r="G834" s="38">
        <v>256.99</v>
      </c>
      <c r="H834" s="38"/>
      <c r="I834" s="37"/>
      <c r="J834" s="37"/>
      <c r="K834" s="38">
        <f t="shared" si="12"/>
        <v>256.99</v>
      </c>
      <c r="L834" s="38"/>
    </row>
    <row r="835" spans="1:12" ht="14.5" x14ac:dyDescent="0.35">
      <c r="A835" s="45" t="s">
        <v>3588</v>
      </c>
      <c r="C835" s="36">
        <v>45900</v>
      </c>
      <c r="D835" s="36" t="s">
        <v>992</v>
      </c>
      <c r="E835" s="37" t="s">
        <v>3411</v>
      </c>
      <c r="F835" s="37" t="s">
        <v>4026</v>
      </c>
      <c r="G835" s="38">
        <v>0</v>
      </c>
      <c r="H835" s="38"/>
      <c r="I835" s="37"/>
      <c r="J835" s="37"/>
      <c r="K835" s="38">
        <f t="shared" si="12"/>
        <v>0</v>
      </c>
      <c r="L835" s="38"/>
    </row>
    <row r="836" spans="1:12" ht="14.5" x14ac:dyDescent="0.35">
      <c r="A836" s="45" t="s">
        <v>3588</v>
      </c>
      <c r="C836" s="36">
        <v>45900</v>
      </c>
      <c r="D836" s="36" t="s">
        <v>1999</v>
      </c>
      <c r="E836" s="37" t="s">
        <v>3412</v>
      </c>
      <c r="F836" s="37" t="s">
        <v>4026</v>
      </c>
      <c r="G836" s="38">
        <v>22068.910000000036</v>
      </c>
      <c r="H836" s="38"/>
      <c r="I836" s="37"/>
      <c r="J836" s="37"/>
      <c r="K836" s="38">
        <f t="shared" si="12"/>
        <v>22068.910000000036</v>
      </c>
      <c r="L836" s="38"/>
    </row>
    <row r="837" spans="1:12" ht="14.5" x14ac:dyDescent="0.35">
      <c r="A837" s="45" t="s">
        <v>3588</v>
      </c>
      <c r="C837" s="36">
        <v>45900</v>
      </c>
      <c r="D837" s="36" t="s">
        <v>301</v>
      </c>
      <c r="E837" s="37" t="s">
        <v>3413</v>
      </c>
      <c r="F837" s="37" t="s">
        <v>4026</v>
      </c>
      <c r="G837" s="38">
        <v>96.39</v>
      </c>
      <c r="H837" s="38"/>
      <c r="I837" s="37"/>
      <c r="J837" s="37"/>
      <c r="K837" s="38">
        <f t="shared" ref="K837:K900" si="13">G837-H837</f>
        <v>96.39</v>
      </c>
      <c r="L837" s="38"/>
    </row>
    <row r="838" spans="1:12" ht="14.5" x14ac:dyDescent="0.35">
      <c r="A838" s="45" t="s">
        <v>3588</v>
      </c>
      <c r="C838" s="36">
        <v>45900</v>
      </c>
      <c r="D838" s="36" t="s">
        <v>301</v>
      </c>
      <c r="E838" s="37" t="s">
        <v>3414</v>
      </c>
      <c r="F838" s="37" t="s">
        <v>4026</v>
      </c>
      <c r="G838" s="38">
        <v>86.13</v>
      </c>
      <c r="H838" s="38"/>
      <c r="I838" s="37"/>
      <c r="J838" s="37"/>
      <c r="K838" s="38">
        <f t="shared" si="13"/>
        <v>86.13</v>
      </c>
      <c r="L838" s="38"/>
    </row>
    <row r="839" spans="1:12" ht="14.5" x14ac:dyDescent="0.35">
      <c r="A839" s="45" t="s">
        <v>3588</v>
      </c>
      <c r="C839" s="36">
        <v>45900</v>
      </c>
      <c r="D839" s="36" t="s">
        <v>301</v>
      </c>
      <c r="E839" s="37" t="s">
        <v>3415</v>
      </c>
      <c r="F839" s="37" t="s">
        <v>4026</v>
      </c>
      <c r="G839" s="38">
        <v>1298.8500000000001</v>
      </c>
      <c r="H839" s="38"/>
      <c r="I839" s="37"/>
      <c r="J839" s="37"/>
      <c r="K839" s="38">
        <f t="shared" si="13"/>
        <v>1298.8500000000001</v>
      </c>
      <c r="L839" s="38"/>
    </row>
    <row r="840" spans="1:12" ht="14.5" x14ac:dyDescent="0.35">
      <c r="A840" s="45" t="s">
        <v>3588</v>
      </c>
      <c r="C840" s="36">
        <v>45900</v>
      </c>
      <c r="D840" s="36" t="s">
        <v>301</v>
      </c>
      <c r="E840" s="37" t="s">
        <v>3416</v>
      </c>
      <c r="F840" s="37" t="s">
        <v>4026</v>
      </c>
      <c r="G840" s="38">
        <v>11044.389999999992</v>
      </c>
      <c r="H840" s="38"/>
      <c r="I840" s="37"/>
      <c r="J840" s="37"/>
      <c r="K840" s="38">
        <f t="shared" si="13"/>
        <v>11044.389999999992</v>
      </c>
      <c r="L840" s="38"/>
    </row>
    <row r="841" spans="1:12" ht="14.5" x14ac:dyDescent="0.35">
      <c r="A841" s="45" t="s">
        <v>3588</v>
      </c>
      <c r="C841" s="36">
        <v>45900</v>
      </c>
      <c r="D841" s="36" t="s">
        <v>3511</v>
      </c>
      <c r="E841" s="37">
        <v>37354</v>
      </c>
      <c r="F841" s="37" t="s">
        <v>4026</v>
      </c>
      <c r="G841" s="38">
        <v>11959.51</v>
      </c>
      <c r="H841" s="38"/>
      <c r="I841" s="37"/>
      <c r="J841" s="37"/>
      <c r="K841" s="38">
        <f t="shared" si="13"/>
        <v>11959.51</v>
      </c>
      <c r="L841" s="38"/>
    </row>
    <row r="842" spans="1:12" ht="14.5" x14ac:dyDescent="0.35">
      <c r="A842" s="45" t="s">
        <v>3588</v>
      </c>
      <c r="C842" s="36">
        <v>45900</v>
      </c>
      <c r="D842" s="36" t="s">
        <v>2396</v>
      </c>
      <c r="E842" s="37" t="s">
        <v>3417</v>
      </c>
      <c r="F842" s="37" t="s">
        <v>4026</v>
      </c>
      <c r="G842" s="38">
        <v>7484.5599999999995</v>
      </c>
      <c r="H842" s="38"/>
      <c r="I842" s="37"/>
      <c r="J842" s="37"/>
      <c r="K842" s="38">
        <f t="shared" si="13"/>
        <v>7484.5599999999995</v>
      </c>
      <c r="L842" s="38"/>
    </row>
    <row r="843" spans="1:12" ht="14.5" x14ac:dyDescent="0.35">
      <c r="A843" s="45" t="s">
        <v>3588</v>
      </c>
      <c r="C843" s="36">
        <v>45900</v>
      </c>
      <c r="D843" s="36" t="s">
        <v>1757</v>
      </c>
      <c r="E843" s="37" t="s">
        <v>3418</v>
      </c>
      <c r="F843" s="37" t="s">
        <v>4026</v>
      </c>
      <c r="G843" s="38">
        <v>1490.45</v>
      </c>
      <c r="H843" s="38"/>
      <c r="I843" s="37"/>
      <c r="J843" s="37"/>
      <c r="K843" s="38">
        <f t="shared" si="13"/>
        <v>1490.45</v>
      </c>
      <c r="L843" s="38"/>
    </row>
    <row r="844" spans="1:12" ht="14.5" x14ac:dyDescent="0.35">
      <c r="A844" s="45" t="s">
        <v>3588</v>
      </c>
      <c r="C844" s="36">
        <v>45900</v>
      </c>
      <c r="D844" s="36" t="s">
        <v>1280</v>
      </c>
      <c r="E844" s="37">
        <v>37625</v>
      </c>
      <c r="F844" s="37" t="s">
        <v>4026</v>
      </c>
      <c r="G844" s="38">
        <v>1372.27</v>
      </c>
      <c r="H844" s="38"/>
      <c r="I844" s="37"/>
      <c r="J844" s="37"/>
      <c r="K844" s="38">
        <f t="shared" si="13"/>
        <v>1372.27</v>
      </c>
      <c r="L844" s="38"/>
    </row>
    <row r="845" spans="1:12" ht="14.5" x14ac:dyDescent="0.35">
      <c r="A845" s="45" t="s">
        <v>3588</v>
      </c>
      <c r="C845" s="36">
        <v>45900</v>
      </c>
      <c r="D845" s="36" t="s">
        <v>1280</v>
      </c>
      <c r="E845" s="37" t="s">
        <v>3419</v>
      </c>
      <c r="F845" s="37" t="s">
        <v>4026</v>
      </c>
      <c r="G845" s="38">
        <v>2243.17</v>
      </c>
      <c r="H845" s="38"/>
      <c r="I845" s="37"/>
      <c r="J845" s="37"/>
      <c r="K845" s="38">
        <f t="shared" si="13"/>
        <v>2243.17</v>
      </c>
      <c r="L845" s="38"/>
    </row>
    <row r="846" spans="1:12" ht="14.5" x14ac:dyDescent="0.35">
      <c r="A846" s="45" t="s">
        <v>3588</v>
      </c>
      <c r="C846" s="36">
        <v>45900</v>
      </c>
      <c r="D846" s="36" t="s">
        <v>1280</v>
      </c>
      <c r="E846" s="37">
        <v>37644</v>
      </c>
      <c r="F846" s="37" t="s">
        <v>4026</v>
      </c>
      <c r="G846" s="38">
        <v>5535.369999999999</v>
      </c>
      <c r="H846" s="38"/>
      <c r="I846" s="37"/>
      <c r="J846" s="37"/>
      <c r="K846" s="38">
        <f t="shared" si="13"/>
        <v>5535.369999999999</v>
      </c>
      <c r="L846" s="38"/>
    </row>
    <row r="847" spans="1:12" ht="14.5" x14ac:dyDescent="0.35">
      <c r="A847" s="45" t="s">
        <v>3588</v>
      </c>
      <c r="C847" s="36">
        <v>45900</v>
      </c>
      <c r="D847" s="36" t="s">
        <v>1280</v>
      </c>
      <c r="E847" s="37" t="s">
        <v>3420</v>
      </c>
      <c r="F847" s="37" t="s">
        <v>4026</v>
      </c>
      <c r="G847" s="38">
        <v>1598.2</v>
      </c>
      <c r="H847" s="38"/>
      <c r="I847" s="37"/>
      <c r="J847" s="37"/>
      <c r="K847" s="38">
        <f t="shared" si="13"/>
        <v>1598.2</v>
      </c>
      <c r="L847" s="38"/>
    </row>
    <row r="848" spans="1:12" ht="14.5" x14ac:dyDescent="0.35">
      <c r="A848" s="45" t="s">
        <v>3588</v>
      </c>
      <c r="C848" s="36">
        <v>45900</v>
      </c>
      <c r="D848" s="36" t="s">
        <v>1280</v>
      </c>
      <c r="E848" s="37" t="s">
        <v>3421</v>
      </c>
      <c r="F848" s="37" t="s">
        <v>4026</v>
      </c>
      <c r="G848" s="38">
        <v>5443.3499999999995</v>
      </c>
      <c r="H848" s="38"/>
      <c r="I848" s="37"/>
      <c r="J848" s="37"/>
      <c r="K848" s="38">
        <f t="shared" si="13"/>
        <v>5443.3499999999995</v>
      </c>
      <c r="L848" s="38"/>
    </row>
    <row r="849" spans="1:12" ht="14.5" x14ac:dyDescent="0.35">
      <c r="A849" s="45" t="s">
        <v>3588</v>
      </c>
      <c r="C849" s="36">
        <v>45900</v>
      </c>
      <c r="D849" s="36" t="s">
        <v>3491</v>
      </c>
      <c r="E849" s="37" t="s">
        <v>3422</v>
      </c>
      <c r="F849" s="37" t="s">
        <v>4026</v>
      </c>
      <c r="G849" s="38">
        <v>483.29</v>
      </c>
      <c r="H849" s="38"/>
      <c r="I849" s="37"/>
      <c r="J849" s="37"/>
      <c r="K849" s="38">
        <f t="shared" si="13"/>
        <v>483.29</v>
      </c>
      <c r="L849" s="38"/>
    </row>
    <row r="850" spans="1:12" ht="14.5" x14ac:dyDescent="0.35">
      <c r="A850" s="45" t="s">
        <v>3588</v>
      </c>
      <c r="C850" s="36">
        <v>45900</v>
      </c>
      <c r="D850" s="36" t="s">
        <v>3491</v>
      </c>
      <c r="E850" s="37" t="s">
        <v>3423</v>
      </c>
      <c r="F850" s="37" t="s">
        <v>4026</v>
      </c>
      <c r="G850" s="38">
        <v>3176.4000000000005</v>
      </c>
      <c r="H850" s="38"/>
      <c r="I850" s="37"/>
      <c r="J850" s="37"/>
      <c r="K850" s="38">
        <f t="shared" si="13"/>
        <v>3176.4000000000005</v>
      </c>
      <c r="L850" s="38"/>
    </row>
    <row r="851" spans="1:12" ht="14.5" x14ac:dyDescent="0.35">
      <c r="A851" s="45" t="s">
        <v>3588</v>
      </c>
      <c r="C851" s="36">
        <v>45900</v>
      </c>
      <c r="D851" s="36" t="s">
        <v>2313</v>
      </c>
      <c r="E851" s="37" t="s">
        <v>3424</v>
      </c>
      <c r="F851" s="37" t="s">
        <v>4026</v>
      </c>
      <c r="G851" s="38">
        <v>3006.5200000000004</v>
      </c>
      <c r="H851" s="38"/>
      <c r="I851" s="37"/>
      <c r="J851" s="37"/>
      <c r="K851" s="38">
        <f t="shared" si="13"/>
        <v>3006.5200000000004</v>
      </c>
      <c r="L851" s="38"/>
    </row>
    <row r="852" spans="1:12" ht="14.5" x14ac:dyDescent="0.35">
      <c r="A852" s="45" t="s">
        <v>3588</v>
      </c>
      <c r="C852" s="36">
        <v>45900</v>
      </c>
      <c r="D852" s="36" t="s">
        <v>2313</v>
      </c>
      <c r="E852" s="37" t="s">
        <v>3425</v>
      </c>
      <c r="F852" s="37" t="s">
        <v>4026</v>
      </c>
      <c r="G852" s="38">
        <v>5232.07</v>
      </c>
      <c r="H852" s="38"/>
      <c r="I852" s="37"/>
      <c r="J852" s="37"/>
      <c r="K852" s="38">
        <f t="shared" si="13"/>
        <v>5232.07</v>
      </c>
      <c r="L852" s="38"/>
    </row>
    <row r="853" spans="1:12" ht="14.5" x14ac:dyDescent="0.35">
      <c r="A853" s="45" t="s">
        <v>3588</v>
      </c>
      <c r="C853" s="36">
        <v>45900</v>
      </c>
      <c r="D853" s="36" t="s">
        <v>2313</v>
      </c>
      <c r="E853" s="37" t="s">
        <v>3426</v>
      </c>
      <c r="F853" s="37" t="s">
        <v>4026</v>
      </c>
      <c r="G853" s="38">
        <v>534.16999999999996</v>
      </c>
      <c r="H853" s="38"/>
      <c r="I853" s="37"/>
      <c r="J853" s="37"/>
      <c r="K853" s="38">
        <f t="shared" si="13"/>
        <v>534.16999999999996</v>
      </c>
      <c r="L853" s="38"/>
    </row>
    <row r="854" spans="1:12" ht="14.5" x14ac:dyDescent="0.35">
      <c r="A854" s="45" t="s">
        <v>3588</v>
      </c>
      <c r="C854" s="36">
        <v>45900</v>
      </c>
      <c r="D854" s="36" t="s">
        <v>2313</v>
      </c>
      <c r="E854" s="37" t="s">
        <v>3427</v>
      </c>
      <c r="F854" s="37" t="s">
        <v>4026</v>
      </c>
      <c r="G854" s="38">
        <v>267.60000000000002</v>
      </c>
      <c r="H854" s="38"/>
      <c r="I854" s="37"/>
      <c r="J854" s="37"/>
      <c r="K854" s="38">
        <f t="shared" si="13"/>
        <v>267.60000000000002</v>
      </c>
      <c r="L854" s="38"/>
    </row>
    <row r="855" spans="1:12" ht="14.5" x14ac:dyDescent="0.35">
      <c r="A855" s="45" t="s">
        <v>3588</v>
      </c>
      <c r="C855" s="36">
        <v>45900</v>
      </c>
      <c r="D855" s="36" t="s">
        <v>2313</v>
      </c>
      <c r="E855" s="37">
        <v>37776</v>
      </c>
      <c r="F855" s="37" t="s">
        <v>4026</v>
      </c>
      <c r="G855" s="38">
        <v>228.59</v>
      </c>
      <c r="H855" s="38"/>
      <c r="I855" s="37"/>
      <c r="J855" s="37"/>
      <c r="K855" s="38">
        <f t="shared" si="13"/>
        <v>228.59</v>
      </c>
      <c r="L855" s="38"/>
    </row>
    <row r="856" spans="1:12" ht="14.5" x14ac:dyDescent="0.35">
      <c r="A856" s="45" t="s">
        <v>3588</v>
      </c>
      <c r="C856" s="36">
        <v>45900</v>
      </c>
      <c r="D856" s="36" t="s">
        <v>2313</v>
      </c>
      <c r="E856" s="37" t="s">
        <v>3428</v>
      </c>
      <c r="F856" s="37" t="s">
        <v>4026</v>
      </c>
      <c r="G856" s="38">
        <v>994</v>
      </c>
      <c r="H856" s="38"/>
      <c r="I856" s="37"/>
      <c r="J856" s="37"/>
      <c r="K856" s="38">
        <f t="shared" si="13"/>
        <v>994</v>
      </c>
      <c r="L856" s="38"/>
    </row>
    <row r="857" spans="1:12" ht="14.5" x14ac:dyDescent="0.35">
      <c r="A857" s="45" t="s">
        <v>3588</v>
      </c>
      <c r="C857" s="36">
        <v>45900</v>
      </c>
      <c r="D857" s="36" t="s">
        <v>2144</v>
      </c>
      <c r="E857" s="37">
        <v>37903</v>
      </c>
      <c r="F857" s="37" t="s">
        <v>4026</v>
      </c>
      <c r="G857" s="38">
        <v>1271</v>
      </c>
      <c r="H857" s="38"/>
      <c r="I857" s="37"/>
      <c r="J857" s="37"/>
      <c r="K857" s="38">
        <f t="shared" si="13"/>
        <v>1271</v>
      </c>
      <c r="L857" s="38"/>
    </row>
    <row r="858" spans="1:12" ht="14.5" x14ac:dyDescent="0.35">
      <c r="A858" s="45" t="s">
        <v>3588</v>
      </c>
      <c r="C858" s="36">
        <v>45900</v>
      </c>
      <c r="D858" s="36" t="s">
        <v>2144</v>
      </c>
      <c r="E858" s="37" t="s">
        <v>3429</v>
      </c>
      <c r="F858" s="37" t="s">
        <v>4026</v>
      </c>
      <c r="G858" s="38">
        <v>26266.22</v>
      </c>
      <c r="H858" s="38"/>
      <c r="I858" s="37"/>
      <c r="J858" s="37"/>
      <c r="K858" s="38">
        <f t="shared" si="13"/>
        <v>26266.22</v>
      </c>
      <c r="L858" s="38"/>
    </row>
    <row r="859" spans="1:12" ht="14.5" x14ac:dyDescent="0.35">
      <c r="A859" s="45" t="s">
        <v>3588</v>
      </c>
      <c r="C859" s="36">
        <v>45900</v>
      </c>
      <c r="D859" s="36" t="s">
        <v>2220</v>
      </c>
      <c r="E859" s="37" t="s">
        <v>3430</v>
      </c>
      <c r="F859" s="37" t="s">
        <v>4026</v>
      </c>
      <c r="G859" s="38">
        <v>20486.2</v>
      </c>
      <c r="H859" s="38"/>
      <c r="I859" s="37"/>
      <c r="J859" s="37"/>
      <c r="K859" s="38">
        <f t="shared" si="13"/>
        <v>20486.2</v>
      </c>
      <c r="L859" s="38"/>
    </row>
    <row r="860" spans="1:12" ht="14.5" x14ac:dyDescent="0.35">
      <c r="A860" s="45" t="s">
        <v>3588</v>
      </c>
      <c r="C860" s="36">
        <v>45900</v>
      </c>
      <c r="D860" s="36" t="s">
        <v>2220</v>
      </c>
      <c r="E860" s="37" t="s">
        <v>3431</v>
      </c>
      <c r="F860" s="37" t="s">
        <v>4026</v>
      </c>
      <c r="G860" s="38">
        <v>18012.850000000002</v>
      </c>
      <c r="H860" s="38"/>
      <c r="I860" s="37"/>
      <c r="J860" s="37"/>
      <c r="K860" s="38">
        <f t="shared" si="13"/>
        <v>18012.850000000002</v>
      </c>
      <c r="L860" s="38"/>
    </row>
    <row r="861" spans="1:12" ht="14.5" x14ac:dyDescent="0.35">
      <c r="A861" s="45" t="s">
        <v>3588</v>
      </c>
      <c r="C861" s="36">
        <v>45900</v>
      </c>
      <c r="D861" s="36" t="s">
        <v>2220</v>
      </c>
      <c r="E861" s="37" t="s">
        <v>3432</v>
      </c>
      <c r="F861" s="37" t="s">
        <v>4026</v>
      </c>
      <c r="G861" s="38">
        <v>2812.53</v>
      </c>
      <c r="H861" s="38"/>
      <c r="I861" s="37"/>
      <c r="J861" s="37"/>
      <c r="K861" s="38">
        <f t="shared" si="13"/>
        <v>2812.53</v>
      </c>
      <c r="L861" s="38"/>
    </row>
    <row r="862" spans="1:12" ht="14.5" x14ac:dyDescent="0.35">
      <c r="A862" s="45" t="s">
        <v>3588</v>
      </c>
      <c r="C862" s="36">
        <v>45900</v>
      </c>
      <c r="D862" s="36" t="s">
        <v>2220</v>
      </c>
      <c r="E862" s="37" t="s">
        <v>3433</v>
      </c>
      <c r="F862" s="37" t="s">
        <v>4026</v>
      </c>
      <c r="G862" s="38">
        <v>9430.8000000000011</v>
      </c>
      <c r="H862" s="38"/>
      <c r="I862" s="37"/>
      <c r="J862" s="37"/>
      <c r="K862" s="38">
        <f t="shared" si="13"/>
        <v>9430.8000000000011</v>
      </c>
      <c r="L862" s="38"/>
    </row>
    <row r="863" spans="1:12" ht="14.5" x14ac:dyDescent="0.35">
      <c r="A863" s="45" t="s">
        <v>3588</v>
      </c>
      <c r="C863" s="36">
        <v>45900</v>
      </c>
      <c r="D863" s="36" t="s">
        <v>2220</v>
      </c>
      <c r="E863" s="37" t="s">
        <v>3434</v>
      </c>
      <c r="F863" s="37" t="s">
        <v>4026</v>
      </c>
      <c r="G863" s="38">
        <v>582.41</v>
      </c>
      <c r="H863" s="38"/>
      <c r="I863" s="37"/>
      <c r="J863" s="37"/>
      <c r="K863" s="38">
        <f t="shared" si="13"/>
        <v>582.41</v>
      </c>
      <c r="L863" s="38"/>
    </row>
    <row r="864" spans="1:12" ht="14.5" x14ac:dyDescent="0.35">
      <c r="A864" s="45" t="s">
        <v>3588</v>
      </c>
      <c r="C864" s="36">
        <v>45900</v>
      </c>
      <c r="D864" s="36" t="s">
        <v>2220</v>
      </c>
      <c r="E864" s="37" t="s">
        <v>3435</v>
      </c>
      <c r="F864" s="37" t="s">
        <v>4026</v>
      </c>
      <c r="G864" s="38">
        <v>32776.410000000003</v>
      </c>
      <c r="H864" s="38"/>
      <c r="I864" s="37"/>
      <c r="J864" s="37"/>
      <c r="K864" s="38">
        <f t="shared" si="13"/>
        <v>32776.410000000003</v>
      </c>
      <c r="L864" s="38"/>
    </row>
    <row r="865" spans="1:12" ht="14.5" x14ac:dyDescent="0.35">
      <c r="A865" s="45" t="s">
        <v>3588</v>
      </c>
      <c r="C865" s="36">
        <v>45900</v>
      </c>
      <c r="D865" s="36" t="s">
        <v>2220</v>
      </c>
      <c r="E865" s="37" t="s">
        <v>3436</v>
      </c>
      <c r="F865" s="37" t="s">
        <v>4026</v>
      </c>
      <c r="G865" s="38">
        <v>5357.08</v>
      </c>
      <c r="H865" s="38"/>
      <c r="I865" s="37"/>
      <c r="J865" s="37"/>
      <c r="K865" s="38">
        <f t="shared" si="13"/>
        <v>5357.08</v>
      </c>
      <c r="L865" s="38"/>
    </row>
    <row r="866" spans="1:12" ht="14.5" x14ac:dyDescent="0.35">
      <c r="A866" s="45" t="s">
        <v>3588</v>
      </c>
      <c r="C866" s="36">
        <v>45900</v>
      </c>
      <c r="D866" s="36" t="s">
        <v>2220</v>
      </c>
      <c r="E866" s="37" t="s">
        <v>3437</v>
      </c>
      <c r="F866" s="37" t="s">
        <v>4026</v>
      </c>
      <c r="G866" s="38">
        <v>32412.600000000006</v>
      </c>
      <c r="H866" s="38"/>
      <c r="I866" s="37"/>
      <c r="J866" s="37"/>
      <c r="K866" s="38">
        <f t="shared" si="13"/>
        <v>32412.600000000006</v>
      </c>
      <c r="L866" s="38"/>
    </row>
    <row r="867" spans="1:12" ht="14.5" x14ac:dyDescent="0.35">
      <c r="A867" s="45" t="s">
        <v>3588</v>
      </c>
      <c r="C867" s="36">
        <v>45900</v>
      </c>
      <c r="D867" s="36" t="s">
        <v>2220</v>
      </c>
      <c r="E867" s="37" t="s">
        <v>3438</v>
      </c>
      <c r="F867" s="37" t="s">
        <v>4026</v>
      </c>
      <c r="G867" s="38">
        <v>3248.05</v>
      </c>
      <c r="H867" s="38"/>
      <c r="I867" s="37"/>
      <c r="J867" s="37"/>
      <c r="K867" s="38">
        <f t="shared" si="13"/>
        <v>3248.05</v>
      </c>
      <c r="L867" s="38"/>
    </row>
    <row r="868" spans="1:12" ht="14.5" x14ac:dyDescent="0.35">
      <c r="A868" s="45" t="s">
        <v>3588</v>
      </c>
      <c r="C868" s="36">
        <v>45900</v>
      </c>
      <c r="D868" s="36" t="s">
        <v>3512</v>
      </c>
      <c r="E868" s="37" t="s">
        <v>3439</v>
      </c>
      <c r="F868" s="37" t="s">
        <v>4026</v>
      </c>
      <c r="G868" s="38">
        <v>1218</v>
      </c>
      <c r="H868" s="38"/>
      <c r="I868" s="37"/>
      <c r="J868" s="37"/>
      <c r="K868" s="38">
        <f t="shared" si="13"/>
        <v>1218</v>
      </c>
      <c r="L868" s="38"/>
    </row>
    <row r="869" spans="1:12" ht="14.5" x14ac:dyDescent="0.35">
      <c r="A869" s="45" t="s">
        <v>3588</v>
      </c>
      <c r="C869" s="36">
        <v>45900</v>
      </c>
      <c r="D869" s="36" t="s">
        <v>301</v>
      </c>
      <c r="E869" s="37">
        <v>38055</v>
      </c>
      <c r="F869" s="37" t="s">
        <v>4026</v>
      </c>
      <c r="G869" s="38">
        <v>856.96999999999991</v>
      </c>
      <c r="H869" s="38"/>
      <c r="I869" s="37"/>
      <c r="J869" s="37"/>
      <c r="K869" s="38">
        <f t="shared" si="13"/>
        <v>856.96999999999991</v>
      </c>
      <c r="L869" s="38"/>
    </row>
    <row r="870" spans="1:12" ht="14.5" x14ac:dyDescent="0.35">
      <c r="A870" s="45" t="s">
        <v>3588</v>
      </c>
      <c r="C870" s="36">
        <v>45900</v>
      </c>
      <c r="D870" s="36" t="s">
        <v>2276</v>
      </c>
      <c r="E870" s="37" t="s">
        <v>3440</v>
      </c>
      <c r="F870" s="37" t="s">
        <v>4026</v>
      </c>
      <c r="G870" s="38">
        <v>2164.9300000000003</v>
      </c>
      <c r="H870" s="38"/>
      <c r="I870" s="37"/>
      <c r="J870" s="37"/>
      <c r="K870" s="38">
        <f t="shared" si="13"/>
        <v>2164.9300000000003</v>
      </c>
      <c r="L870" s="38"/>
    </row>
    <row r="871" spans="1:12" ht="14.5" x14ac:dyDescent="0.35">
      <c r="A871" s="45" t="s">
        <v>3588</v>
      </c>
      <c r="C871" s="36">
        <v>45900</v>
      </c>
      <c r="D871" s="36" t="s">
        <v>301</v>
      </c>
      <c r="E871" s="37">
        <v>38172</v>
      </c>
      <c r="F871" s="37" t="s">
        <v>4026</v>
      </c>
      <c r="G871" s="38">
        <v>340.38</v>
      </c>
      <c r="H871" s="38"/>
      <c r="I871" s="37"/>
      <c r="J871" s="37"/>
      <c r="K871" s="38">
        <f t="shared" si="13"/>
        <v>340.38</v>
      </c>
      <c r="L871" s="38"/>
    </row>
    <row r="872" spans="1:12" ht="14.5" x14ac:dyDescent="0.35">
      <c r="A872" s="45" t="s">
        <v>3588</v>
      </c>
      <c r="C872" s="36">
        <v>45900</v>
      </c>
      <c r="D872" s="36" t="s">
        <v>301</v>
      </c>
      <c r="E872" s="37" t="s">
        <v>3441</v>
      </c>
      <c r="F872" s="37" t="s">
        <v>4026</v>
      </c>
      <c r="G872" s="38">
        <v>2000.02</v>
      </c>
      <c r="H872" s="38"/>
      <c r="I872" s="37"/>
      <c r="J872" s="37"/>
      <c r="K872" s="38">
        <f t="shared" si="13"/>
        <v>2000.02</v>
      </c>
      <c r="L872" s="38"/>
    </row>
    <row r="873" spans="1:12" ht="14.5" x14ac:dyDescent="0.35">
      <c r="A873" s="45" t="s">
        <v>3588</v>
      </c>
      <c r="C873" s="36">
        <v>45900</v>
      </c>
      <c r="D873" s="36" t="s">
        <v>301</v>
      </c>
      <c r="E873" s="37" t="s">
        <v>3442</v>
      </c>
      <c r="F873" s="37" t="s">
        <v>4026</v>
      </c>
      <c r="G873" s="38">
        <v>10958.02</v>
      </c>
      <c r="H873" s="38"/>
      <c r="I873" s="37"/>
      <c r="J873" s="37"/>
      <c r="K873" s="38">
        <f t="shared" si="13"/>
        <v>10958.02</v>
      </c>
      <c r="L873" s="38"/>
    </row>
    <row r="874" spans="1:12" ht="14.5" x14ac:dyDescent="0.35">
      <c r="A874" s="45" t="s">
        <v>3588</v>
      </c>
      <c r="C874" s="36">
        <v>45900</v>
      </c>
      <c r="D874" s="36" t="s">
        <v>301</v>
      </c>
      <c r="E874" s="37" t="s">
        <v>3443</v>
      </c>
      <c r="F874" s="37" t="s">
        <v>4026</v>
      </c>
      <c r="G874" s="38">
        <v>1150.77</v>
      </c>
      <c r="H874" s="38"/>
      <c r="I874" s="37"/>
      <c r="J874" s="37"/>
      <c r="K874" s="38">
        <f t="shared" si="13"/>
        <v>1150.77</v>
      </c>
      <c r="L874" s="38"/>
    </row>
    <row r="875" spans="1:12" ht="14.5" x14ac:dyDescent="0.35">
      <c r="A875" s="45" t="s">
        <v>3588</v>
      </c>
      <c r="C875" s="36">
        <v>45900</v>
      </c>
      <c r="D875" s="36" t="s">
        <v>301</v>
      </c>
      <c r="E875" s="37" t="s">
        <v>3444</v>
      </c>
      <c r="F875" s="37" t="s">
        <v>4026</v>
      </c>
      <c r="G875" s="38">
        <v>5072.97</v>
      </c>
      <c r="H875" s="38"/>
      <c r="I875" s="37"/>
      <c r="J875" s="37"/>
      <c r="K875" s="38">
        <f t="shared" si="13"/>
        <v>5072.97</v>
      </c>
      <c r="L875" s="38"/>
    </row>
    <row r="876" spans="1:12" ht="14.5" x14ac:dyDescent="0.35">
      <c r="A876" s="45" t="s">
        <v>3588</v>
      </c>
      <c r="C876" s="36">
        <v>45900</v>
      </c>
      <c r="D876" s="36" t="s">
        <v>3513</v>
      </c>
      <c r="E876" s="37">
        <v>38215</v>
      </c>
      <c r="F876" s="37" t="s">
        <v>4026</v>
      </c>
      <c r="G876" s="38">
        <v>3632.8199999999997</v>
      </c>
      <c r="H876" s="38"/>
      <c r="I876" s="37"/>
      <c r="J876" s="37"/>
      <c r="K876" s="38">
        <f t="shared" si="13"/>
        <v>3632.8199999999997</v>
      </c>
      <c r="L876" s="38"/>
    </row>
    <row r="877" spans="1:12" ht="14.5" x14ac:dyDescent="0.35">
      <c r="A877" s="45" t="s">
        <v>3588</v>
      </c>
      <c r="C877" s="36">
        <v>45900</v>
      </c>
      <c r="D877" s="36" t="s">
        <v>301</v>
      </c>
      <c r="E877" s="37" t="s">
        <v>3445</v>
      </c>
      <c r="F877" s="37" t="s">
        <v>4026</v>
      </c>
      <c r="G877" s="38">
        <v>409.26</v>
      </c>
      <c r="H877" s="38"/>
      <c r="I877" s="37"/>
      <c r="J877" s="37"/>
      <c r="K877" s="38">
        <f t="shared" si="13"/>
        <v>409.26</v>
      </c>
      <c r="L877" s="38"/>
    </row>
    <row r="878" spans="1:12" ht="14.5" x14ac:dyDescent="0.35">
      <c r="A878" s="45" t="s">
        <v>3588</v>
      </c>
      <c r="C878" s="36">
        <v>45900</v>
      </c>
      <c r="D878" s="36" t="s">
        <v>301</v>
      </c>
      <c r="E878" s="37" t="s">
        <v>3446</v>
      </c>
      <c r="F878" s="37" t="s">
        <v>4026</v>
      </c>
      <c r="G878" s="38">
        <v>385.99</v>
      </c>
      <c r="H878" s="38"/>
      <c r="I878" s="37"/>
      <c r="J878" s="37"/>
      <c r="K878" s="38">
        <f t="shared" si="13"/>
        <v>385.99</v>
      </c>
      <c r="L878" s="38"/>
    </row>
    <row r="879" spans="1:12" ht="14.5" x14ac:dyDescent="0.35">
      <c r="A879" s="45" t="s">
        <v>3588</v>
      </c>
      <c r="C879" s="36">
        <v>45900</v>
      </c>
      <c r="D879" s="36" t="s">
        <v>301</v>
      </c>
      <c r="E879" s="37" t="s">
        <v>3447</v>
      </c>
      <c r="F879" s="37" t="s">
        <v>4026</v>
      </c>
      <c r="G879" s="38">
        <v>1307.55</v>
      </c>
      <c r="H879" s="38"/>
      <c r="I879" s="37"/>
      <c r="J879" s="37"/>
      <c r="K879" s="38">
        <f t="shared" si="13"/>
        <v>1307.55</v>
      </c>
      <c r="L879" s="38"/>
    </row>
    <row r="880" spans="1:12" ht="14.5" x14ac:dyDescent="0.35">
      <c r="A880" s="45" t="s">
        <v>3588</v>
      </c>
      <c r="C880" s="36">
        <v>45900</v>
      </c>
      <c r="D880" s="36" t="s">
        <v>301</v>
      </c>
      <c r="E880" s="37" t="s">
        <v>3448</v>
      </c>
      <c r="F880" s="37" t="s">
        <v>4026</v>
      </c>
      <c r="G880" s="38">
        <v>460.86</v>
      </c>
      <c r="H880" s="38"/>
      <c r="I880" s="37"/>
      <c r="J880" s="37"/>
      <c r="K880" s="38">
        <f t="shared" si="13"/>
        <v>460.86</v>
      </c>
      <c r="L880" s="38"/>
    </row>
    <row r="881" spans="1:12" ht="14.5" x14ac:dyDescent="0.35">
      <c r="A881" s="45" t="s">
        <v>3588</v>
      </c>
      <c r="C881" s="36">
        <v>45900</v>
      </c>
      <c r="D881" s="36" t="s">
        <v>301</v>
      </c>
      <c r="E881" s="37" t="s">
        <v>3449</v>
      </c>
      <c r="F881" s="37" t="s">
        <v>4026</v>
      </c>
      <c r="G881" s="38">
        <v>4.29</v>
      </c>
      <c r="H881" s="38"/>
      <c r="I881" s="37"/>
      <c r="J881" s="37"/>
      <c r="K881" s="38">
        <f t="shared" si="13"/>
        <v>4.29</v>
      </c>
      <c r="L881" s="38"/>
    </row>
    <row r="882" spans="1:12" ht="14.5" x14ac:dyDescent="0.35">
      <c r="A882" s="45" t="s">
        <v>3588</v>
      </c>
      <c r="C882" s="36">
        <v>45900</v>
      </c>
      <c r="D882" s="36" t="s">
        <v>2677</v>
      </c>
      <c r="E882" s="37">
        <v>38262</v>
      </c>
      <c r="F882" s="37" t="s">
        <v>4026</v>
      </c>
      <c r="G882" s="38">
        <v>1007.5600000000002</v>
      </c>
      <c r="H882" s="38"/>
      <c r="I882" s="37"/>
      <c r="J882" s="37"/>
      <c r="K882" s="38">
        <f t="shared" si="13"/>
        <v>1007.5600000000002</v>
      </c>
      <c r="L882" s="38"/>
    </row>
    <row r="883" spans="1:12" ht="14.5" x14ac:dyDescent="0.35">
      <c r="A883" s="45" t="s">
        <v>3588</v>
      </c>
      <c r="C883" s="36">
        <v>45900</v>
      </c>
      <c r="D883" s="36" t="s">
        <v>2677</v>
      </c>
      <c r="E883" s="37" t="s">
        <v>3450</v>
      </c>
      <c r="F883" s="37" t="s">
        <v>4026</v>
      </c>
      <c r="G883" s="38">
        <v>28889.9</v>
      </c>
      <c r="H883" s="38"/>
      <c r="I883" s="37"/>
      <c r="J883" s="37"/>
      <c r="K883" s="38">
        <f t="shared" si="13"/>
        <v>28889.9</v>
      </c>
      <c r="L883" s="38"/>
    </row>
    <row r="884" spans="1:12" ht="14.5" x14ac:dyDescent="0.35">
      <c r="A884" s="45" t="s">
        <v>3588</v>
      </c>
      <c r="C884" s="36">
        <v>45900</v>
      </c>
      <c r="D884" s="36" t="s">
        <v>2677</v>
      </c>
      <c r="E884" s="37">
        <v>38267</v>
      </c>
      <c r="F884" s="37" t="s">
        <v>4026</v>
      </c>
      <c r="G884" s="38">
        <v>2812.12</v>
      </c>
      <c r="H884" s="38"/>
      <c r="I884" s="37"/>
      <c r="J884" s="37"/>
      <c r="K884" s="38">
        <f t="shared" si="13"/>
        <v>2812.12</v>
      </c>
      <c r="L884" s="38"/>
    </row>
    <row r="885" spans="1:12" ht="14.5" x14ac:dyDescent="0.35">
      <c r="A885" s="45" t="s">
        <v>3588</v>
      </c>
      <c r="C885" s="36">
        <v>45900</v>
      </c>
      <c r="D885" s="36" t="s">
        <v>3514</v>
      </c>
      <c r="E885" s="37">
        <v>38317</v>
      </c>
      <c r="F885" s="37" t="s">
        <v>4026</v>
      </c>
      <c r="G885" s="38">
        <v>13206</v>
      </c>
      <c r="H885" s="38"/>
      <c r="I885" s="37"/>
      <c r="J885" s="37"/>
      <c r="K885" s="38">
        <f t="shared" si="13"/>
        <v>13206</v>
      </c>
      <c r="L885" s="38"/>
    </row>
    <row r="886" spans="1:12" ht="14.5" x14ac:dyDescent="0.35">
      <c r="A886" s="45" t="s">
        <v>3588</v>
      </c>
      <c r="C886" s="36">
        <v>45900</v>
      </c>
      <c r="D886" s="36" t="s">
        <v>2079</v>
      </c>
      <c r="E886" s="37" t="s">
        <v>3451</v>
      </c>
      <c r="F886" s="37" t="s">
        <v>4026</v>
      </c>
      <c r="G886" s="38">
        <v>532.58000000000004</v>
      </c>
      <c r="H886" s="38"/>
      <c r="I886" s="37"/>
      <c r="J886" s="37"/>
      <c r="K886" s="38">
        <f t="shared" si="13"/>
        <v>532.58000000000004</v>
      </c>
      <c r="L886" s="38"/>
    </row>
    <row r="887" spans="1:12" ht="14.5" x14ac:dyDescent="0.35">
      <c r="A887" s="45" t="s">
        <v>3588</v>
      </c>
      <c r="C887" s="36">
        <v>45900</v>
      </c>
      <c r="D887" s="36" t="s">
        <v>2079</v>
      </c>
      <c r="E887" s="37" t="s">
        <v>3453</v>
      </c>
      <c r="F887" s="37" t="s">
        <v>4026</v>
      </c>
      <c r="G887" s="38">
        <v>506.08</v>
      </c>
      <c r="H887" s="38"/>
      <c r="I887" s="37"/>
      <c r="J887" s="37"/>
      <c r="K887" s="38">
        <f t="shared" si="13"/>
        <v>506.08</v>
      </c>
      <c r="L887" s="38"/>
    </row>
    <row r="888" spans="1:12" ht="14.5" x14ac:dyDescent="0.35">
      <c r="A888" s="45" t="s">
        <v>3588</v>
      </c>
      <c r="C888" s="36">
        <v>45900</v>
      </c>
      <c r="D888" s="36" t="s">
        <v>2220</v>
      </c>
      <c r="E888" s="37">
        <v>38407</v>
      </c>
      <c r="F888" s="37" t="s">
        <v>4026</v>
      </c>
      <c r="G888" s="38">
        <v>8825.51</v>
      </c>
      <c r="H888" s="38"/>
      <c r="I888" s="37"/>
      <c r="J888" s="37"/>
      <c r="K888" s="38">
        <f t="shared" si="13"/>
        <v>8825.51</v>
      </c>
      <c r="L888" s="38"/>
    </row>
    <row r="889" spans="1:12" ht="14.5" x14ac:dyDescent="0.35">
      <c r="A889" s="45" t="s">
        <v>3588</v>
      </c>
      <c r="C889" s="36">
        <v>45900</v>
      </c>
      <c r="D889" s="36" t="s">
        <v>1637</v>
      </c>
      <c r="E889" s="37">
        <v>38473</v>
      </c>
      <c r="F889" s="37" t="s">
        <v>4026</v>
      </c>
      <c r="G889" s="38">
        <v>12447</v>
      </c>
      <c r="H889" s="38"/>
      <c r="I889" s="37"/>
      <c r="J889" s="37"/>
      <c r="K889" s="38">
        <f t="shared" si="13"/>
        <v>12447</v>
      </c>
      <c r="L889" s="38"/>
    </row>
    <row r="890" spans="1:12" ht="14.5" x14ac:dyDescent="0.35">
      <c r="A890" s="45" t="s">
        <v>3588</v>
      </c>
      <c r="C890" s="36">
        <v>45900</v>
      </c>
      <c r="D890" s="36" t="s">
        <v>301</v>
      </c>
      <c r="E890" s="37" t="s">
        <v>3454</v>
      </c>
      <c r="F890" s="37" t="s">
        <v>4026</v>
      </c>
      <c r="G890" s="38">
        <v>647.91999999999996</v>
      </c>
      <c r="H890" s="38"/>
      <c r="I890" s="37"/>
      <c r="J890" s="37"/>
      <c r="K890" s="38">
        <f t="shared" si="13"/>
        <v>647.91999999999996</v>
      </c>
      <c r="L890" s="38"/>
    </row>
    <row r="891" spans="1:12" ht="14.5" x14ac:dyDescent="0.35">
      <c r="A891" s="45" t="s">
        <v>3588</v>
      </c>
      <c r="C891" s="36">
        <v>45900</v>
      </c>
      <c r="D891" s="36" t="s">
        <v>3515</v>
      </c>
      <c r="E891" s="37" t="s">
        <v>3455</v>
      </c>
      <c r="F891" s="37" t="s">
        <v>4026</v>
      </c>
      <c r="G891" s="38">
        <v>21.01</v>
      </c>
      <c r="H891" s="38"/>
      <c r="I891" s="37"/>
      <c r="J891" s="37"/>
      <c r="K891" s="38">
        <f t="shared" si="13"/>
        <v>21.01</v>
      </c>
      <c r="L891" s="38"/>
    </row>
    <row r="892" spans="1:12" ht="14.5" x14ac:dyDescent="0.35">
      <c r="A892" s="45" t="s">
        <v>3588</v>
      </c>
      <c r="C892" s="36">
        <v>45900</v>
      </c>
      <c r="D892" s="36" t="s">
        <v>3516</v>
      </c>
      <c r="E892" s="37" t="s">
        <v>3456</v>
      </c>
      <c r="F892" s="37" t="s">
        <v>4026</v>
      </c>
      <c r="G892" s="38">
        <v>80.25</v>
      </c>
      <c r="H892" s="38"/>
      <c r="I892" s="37"/>
      <c r="J892" s="37"/>
      <c r="K892" s="38">
        <f t="shared" si="13"/>
        <v>80.25</v>
      </c>
      <c r="L892" s="38"/>
    </row>
    <row r="893" spans="1:12" ht="14.5" x14ac:dyDescent="0.35">
      <c r="A893" s="45" t="s">
        <v>3588</v>
      </c>
      <c r="C893" s="36">
        <v>45900</v>
      </c>
      <c r="D893" s="36" t="s">
        <v>3517</v>
      </c>
      <c r="E893" s="37" t="s">
        <v>3457</v>
      </c>
      <c r="F893" s="37" t="s">
        <v>4026</v>
      </c>
      <c r="G893" s="38">
        <v>2196.5099999999998</v>
      </c>
      <c r="H893" s="38"/>
      <c r="I893" s="37"/>
      <c r="J893" s="37"/>
      <c r="K893" s="38">
        <f t="shared" si="13"/>
        <v>2196.5099999999998</v>
      </c>
      <c r="L893" s="38"/>
    </row>
    <row r="894" spans="1:12" ht="14.5" x14ac:dyDescent="0.35">
      <c r="A894" s="45" t="s">
        <v>3588</v>
      </c>
      <c r="C894" s="36">
        <v>45900</v>
      </c>
      <c r="D894" s="36" t="s">
        <v>3518</v>
      </c>
      <c r="E894" s="37">
        <v>38527</v>
      </c>
      <c r="F894" s="37" t="s">
        <v>4026</v>
      </c>
      <c r="G894" s="38">
        <v>1219.49</v>
      </c>
      <c r="H894" s="38"/>
      <c r="I894" s="37"/>
      <c r="J894" s="37"/>
      <c r="K894" s="38">
        <f t="shared" si="13"/>
        <v>1219.49</v>
      </c>
      <c r="L894" s="38"/>
    </row>
    <row r="895" spans="1:12" ht="14.5" x14ac:dyDescent="0.35">
      <c r="A895" s="45" t="s">
        <v>3588</v>
      </c>
      <c r="C895" s="36">
        <v>45900</v>
      </c>
      <c r="D895" s="36" t="s">
        <v>1920</v>
      </c>
      <c r="E895" s="37" t="s">
        <v>3458</v>
      </c>
      <c r="F895" s="37" t="s">
        <v>4026</v>
      </c>
      <c r="G895" s="38">
        <v>186</v>
      </c>
      <c r="H895" s="38"/>
      <c r="I895" s="37"/>
      <c r="J895" s="37"/>
      <c r="K895" s="38">
        <f t="shared" si="13"/>
        <v>186</v>
      </c>
      <c r="L895" s="38"/>
    </row>
    <row r="896" spans="1:12" ht="14.5" x14ac:dyDescent="0.35">
      <c r="A896" s="45" t="s">
        <v>3588</v>
      </c>
      <c r="C896" s="36">
        <v>45900</v>
      </c>
      <c r="D896" s="36" t="s">
        <v>1920</v>
      </c>
      <c r="E896" s="37" t="s">
        <v>3459</v>
      </c>
      <c r="F896" s="37" t="s">
        <v>4026</v>
      </c>
      <c r="G896" s="38">
        <v>1699.12</v>
      </c>
      <c r="H896" s="38"/>
      <c r="I896" s="37"/>
      <c r="J896" s="37"/>
      <c r="K896" s="38">
        <f t="shared" si="13"/>
        <v>1699.12</v>
      </c>
      <c r="L896" s="38"/>
    </row>
    <row r="897" spans="1:12" ht="14.5" x14ac:dyDescent="0.35">
      <c r="A897" s="45" t="s">
        <v>3588</v>
      </c>
      <c r="C897" s="36">
        <v>45900</v>
      </c>
      <c r="D897" s="36" t="s">
        <v>1920</v>
      </c>
      <c r="E897" s="37" t="s">
        <v>3460</v>
      </c>
      <c r="F897" s="37" t="s">
        <v>4026</v>
      </c>
      <c r="G897" s="38">
        <v>176.5</v>
      </c>
      <c r="H897" s="38"/>
      <c r="I897" s="37"/>
      <c r="J897" s="37"/>
      <c r="K897" s="38">
        <f t="shared" si="13"/>
        <v>176.5</v>
      </c>
      <c r="L897" s="38"/>
    </row>
    <row r="898" spans="1:12" ht="14.5" x14ac:dyDescent="0.35">
      <c r="A898" s="45" t="s">
        <v>3588</v>
      </c>
      <c r="C898" s="36">
        <v>45900</v>
      </c>
      <c r="D898" s="36" t="s">
        <v>301</v>
      </c>
      <c r="E898" s="37">
        <v>38553</v>
      </c>
      <c r="F898" s="37" t="s">
        <v>4026</v>
      </c>
      <c r="G898" s="38">
        <v>562.51</v>
      </c>
      <c r="H898" s="38"/>
      <c r="I898" s="37"/>
      <c r="J898" s="37"/>
      <c r="K898" s="38">
        <f t="shared" si="13"/>
        <v>562.51</v>
      </c>
      <c r="L898" s="38"/>
    </row>
    <row r="899" spans="1:12" ht="14.5" x14ac:dyDescent="0.35">
      <c r="A899" s="45" t="s">
        <v>3588</v>
      </c>
      <c r="C899" s="36">
        <v>45900</v>
      </c>
      <c r="D899" s="36" t="s">
        <v>301</v>
      </c>
      <c r="E899" s="37" t="s">
        <v>3461</v>
      </c>
      <c r="F899" s="37" t="s">
        <v>4026</v>
      </c>
      <c r="G899" s="38">
        <v>58.74</v>
      </c>
      <c r="H899" s="38"/>
      <c r="I899" s="37"/>
      <c r="J899" s="37"/>
      <c r="K899" s="38">
        <f t="shared" si="13"/>
        <v>58.74</v>
      </c>
      <c r="L899" s="38"/>
    </row>
    <row r="900" spans="1:12" ht="14.5" x14ac:dyDescent="0.35">
      <c r="A900" s="45" t="s">
        <v>3588</v>
      </c>
      <c r="C900" s="36">
        <v>45900</v>
      </c>
      <c r="D900" s="36" t="s">
        <v>301</v>
      </c>
      <c r="E900" s="37">
        <v>38557</v>
      </c>
      <c r="F900" s="37" t="s">
        <v>4026</v>
      </c>
      <c r="G900" s="38">
        <v>3216.2999999999993</v>
      </c>
      <c r="H900" s="38"/>
      <c r="I900" s="37"/>
      <c r="J900" s="37"/>
      <c r="K900" s="38">
        <f t="shared" si="13"/>
        <v>3216.2999999999993</v>
      </c>
      <c r="L900" s="38"/>
    </row>
    <row r="901" spans="1:12" ht="14.5" x14ac:dyDescent="0.35">
      <c r="A901" s="45" t="s">
        <v>3588</v>
      </c>
      <c r="C901" s="36">
        <v>45900</v>
      </c>
      <c r="D901" s="36" t="s">
        <v>3519</v>
      </c>
      <c r="E901" s="37">
        <v>38603</v>
      </c>
      <c r="F901" s="37" t="s">
        <v>4026</v>
      </c>
      <c r="G901" s="38">
        <v>527.86</v>
      </c>
      <c r="H901" s="38"/>
      <c r="I901" s="37"/>
      <c r="J901" s="37"/>
      <c r="K901" s="38">
        <f t="shared" ref="K901:K964" si="14">G901-H901</f>
        <v>527.86</v>
      </c>
      <c r="L901" s="38"/>
    </row>
    <row r="902" spans="1:12" ht="14.5" x14ac:dyDescent="0.35">
      <c r="A902" s="45" t="s">
        <v>3588</v>
      </c>
      <c r="C902" s="36">
        <v>45900</v>
      </c>
      <c r="D902" s="36" t="s">
        <v>1484</v>
      </c>
      <c r="E902" s="37" t="s">
        <v>3462</v>
      </c>
      <c r="F902" s="37" t="s">
        <v>4026</v>
      </c>
      <c r="G902" s="38">
        <v>517.41</v>
      </c>
      <c r="H902" s="38"/>
      <c r="I902" s="37"/>
      <c r="J902" s="37"/>
      <c r="K902" s="38">
        <f t="shared" si="14"/>
        <v>517.41</v>
      </c>
      <c r="L902" s="38"/>
    </row>
    <row r="903" spans="1:12" ht="14.5" x14ac:dyDescent="0.35">
      <c r="A903" s="45" t="s">
        <v>3588</v>
      </c>
      <c r="C903" s="36">
        <v>45900</v>
      </c>
      <c r="D903" s="36" t="s">
        <v>3514</v>
      </c>
      <c r="E903" s="37">
        <v>38607</v>
      </c>
      <c r="F903" s="37" t="s">
        <v>4026</v>
      </c>
      <c r="G903" s="38">
        <v>1339.21</v>
      </c>
      <c r="H903" s="38"/>
      <c r="I903" s="37"/>
      <c r="J903" s="37"/>
      <c r="K903" s="38">
        <f t="shared" si="14"/>
        <v>1339.21</v>
      </c>
      <c r="L903" s="38"/>
    </row>
    <row r="904" spans="1:12" ht="14.5" x14ac:dyDescent="0.35">
      <c r="A904" s="45" t="s">
        <v>3588</v>
      </c>
      <c r="C904" s="36">
        <v>45900</v>
      </c>
      <c r="D904" s="36" t="s">
        <v>2459</v>
      </c>
      <c r="E904" s="37">
        <v>38621</v>
      </c>
      <c r="F904" s="37" t="s">
        <v>4026</v>
      </c>
      <c r="G904" s="38">
        <v>10377.15</v>
      </c>
      <c r="H904" s="38"/>
      <c r="I904" s="37"/>
      <c r="J904" s="37"/>
      <c r="K904" s="38">
        <f t="shared" si="14"/>
        <v>10377.15</v>
      </c>
      <c r="L904" s="38"/>
    </row>
    <row r="905" spans="1:12" ht="14.5" x14ac:dyDescent="0.35">
      <c r="A905" s="45" t="s">
        <v>3588</v>
      </c>
      <c r="C905" s="36">
        <v>45900</v>
      </c>
      <c r="D905" s="36" t="s">
        <v>2144</v>
      </c>
      <c r="E905" s="37">
        <v>38627</v>
      </c>
      <c r="F905" s="37" t="s">
        <v>4026</v>
      </c>
      <c r="G905" s="38">
        <v>855.64</v>
      </c>
      <c r="H905" s="38"/>
      <c r="I905" s="37"/>
      <c r="J905" s="37"/>
      <c r="K905" s="38">
        <f t="shared" si="14"/>
        <v>855.64</v>
      </c>
      <c r="L905" s="38"/>
    </row>
    <row r="906" spans="1:12" ht="14.5" x14ac:dyDescent="0.35">
      <c r="A906" s="45" t="s">
        <v>3588</v>
      </c>
      <c r="C906" s="36">
        <v>45900</v>
      </c>
      <c r="D906" s="36" t="s">
        <v>3494</v>
      </c>
      <c r="E906" s="37">
        <v>38636</v>
      </c>
      <c r="F906" s="37" t="s">
        <v>4026</v>
      </c>
      <c r="G906" s="38">
        <v>4751.6100000000006</v>
      </c>
      <c r="H906" s="38"/>
      <c r="I906" s="37"/>
      <c r="J906" s="37"/>
      <c r="K906" s="38">
        <f t="shared" si="14"/>
        <v>4751.6100000000006</v>
      </c>
      <c r="L906" s="38"/>
    </row>
    <row r="907" spans="1:12" ht="14.5" x14ac:dyDescent="0.35">
      <c r="A907" s="45" t="s">
        <v>3588</v>
      </c>
      <c r="C907" s="36">
        <v>45900</v>
      </c>
      <c r="D907" s="36" t="s">
        <v>2386</v>
      </c>
      <c r="E907" s="37">
        <v>38670</v>
      </c>
      <c r="F907" s="37" t="s">
        <v>4026</v>
      </c>
      <c r="G907" s="38">
        <v>80397.33</v>
      </c>
      <c r="H907" s="38"/>
      <c r="I907" s="37"/>
      <c r="J907" s="37"/>
      <c r="K907" s="38">
        <f t="shared" si="14"/>
        <v>80397.33</v>
      </c>
      <c r="L907" s="38"/>
    </row>
    <row r="908" spans="1:12" ht="14.5" x14ac:dyDescent="0.35">
      <c r="A908" s="45" t="s">
        <v>3588</v>
      </c>
      <c r="C908" s="36">
        <v>45900</v>
      </c>
      <c r="D908" s="36" t="s">
        <v>2220</v>
      </c>
      <c r="E908" s="37">
        <v>38671</v>
      </c>
      <c r="F908" s="37" t="s">
        <v>4026</v>
      </c>
      <c r="G908" s="38">
        <v>16765.79</v>
      </c>
      <c r="H908" s="38"/>
      <c r="I908" s="37"/>
      <c r="J908" s="37"/>
      <c r="K908" s="38">
        <f t="shared" si="14"/>
        <v>16765.79</v>
      </c>
      <c r="L908" s="38"/>
    </row>
    <row r="909" spans="1:12" ht="14.5" x14ac:dyDescent="0.35">
      <c r="A909" s="45" t="s">
        <v>3588</v>
      </c>
      <c r="C909" s="36">
        <v>45900</v>
      </c>
      <c r="D909" s="36" t="s">
        <v>2220</v>
      </c>
      <c r="E909" s="37" t="s">
        <v>3463</v>
      </c>
      <c r="F909" s="37" t="s">
        <v>4026</v>
      </c>
      <c r="G909" s="38">
        <v>31055.1</v>
      </c>
      <c r="H909" s="38"/>
      <c r="I909" s="37"/>
      <c r="J909" s="37"/>
      <c r="K909" s="38">
        <f t="shared" si="14"/>
        <v>31055.1</v>
      </c>
      <c r="L909" s="38"/>
    </row>
    <row r="910" spans="1:12" ht="14.5" x14ac:dyDescent="0.35">
      <c r="A910" s="45" t="s">
        <v>3588</v>
      </c>
      <c r="C910" s="36">
        <v>45900</v>
      </c>
      <c r="D910" s="36" t="s">
        <v>3520</v>
      </c>
      <c r="E910" s="37">
        <v>38674</v>
      </c>
      <c r="F910" s="37" t="s">
        <v>4026</v>
      </c>
      <c r="G910" s="38">
        <v>166.1</v>
      </c>
      <c r="H910" s="38"/>
      <c r="I910" s="37"/>
      <c r="J910" s="37"/>
      <c r="K910" s="38">
        <f t="shared" si="14"/>
        <v>166.1</v>
      </c>
      <c r="L910" s="38"/>
    </row>
    <row r="911" spans="1:12" ht="14.5" x14ac:dyDescent="0.35">
      <c r="A911" s="45" t="s">
        <v>3588</v>
      </c>
      <c r="C911" s="36">
        <v>45900</v>
      </c>
      <c r="D911" s="36" t="s">
        <v>3826</v>
      </c>
      <c r="E911" s="37" t="s">
        <v>3827</v>
      </c>
      <c r="F911" s="37" t="s">
        <v>4026</v>
      </c>
      <c r="G911" s="38">
        <v>0</v>
      </c>
      <c r="H911" s="38"/>
      <c r="I911" s="37"/>
      <c r="J911" s="37"/>
      <c r="K911" s="38">
        <f t="shared" si="14"/>
        <v>0</v>
      </c>
      <c r="L911" s="38"/>
    </row>
    <row r="912" spans="1:12" ht="14.5" x14ac:dyDescent="0.35">
      <c r="A912" s="45" t="s">
        <v>3588</v>
      </c>
      <c r="C912" s="36">
        <v>45900</v>
      </c>
      <c r="D912" s="36" t="s">
        <v>3502</v>
      </c>
      <c r="E912" s="37">
        <v>38701</v>
      </c>
      <c r="F912" s="37" t="s">
        <v>4026</v>
      </c>
      <c r="G912" s="38">
        <v>2482.3200000000002</v>
      </c>
      <c r="H912" s="38"/>
      <c r="I912" s="37"/>
      <c r="J912" s="37"/>
      <c r="K912" s="38">
        <f t="shared" si="14"/>
        <v>2482.3200000000002</v>
      </c>
      <c r="L912" s="38"/>
    </row>
    <row r="913" spans="1:12" ht="14.5" x14ac:dyDescent="0.35">
      <c r="A913" s="45" t="s">
        <v>3588</v>
      </c>
      <c r="C913" s="36">
        <v>45900</v>
      </c>
      <c r="D913" s="36" t="s">
        <v>3521</v>
      </c>
      <c r="E913" s="37">
        <v>38718</v>
      </c>
      <c r="F913" s="37" t="s">
        <v>4026</v>
      </c>
      <c r="G913" s="38">
        <v>1272.71</v>
      </c>
      <c r="H913" s="38"/>
      <c r="I913" s="37"/>
      <c r="J913" s="37"/>
      <c r="K913" s="38">
        <f t="shared" si="14"/>
        <v>1272.71</v>
      </c>
      <c r="L913" s="38"/>
    </row>
    <row r="914" spans="1:12" ht="14.5" x14ac:dyDescent="0.35">
      <c r="A914" s="45" t="s">
        <v>3588</v>
      </c>
      <c r="C914" s="36">
        <v>45900</v>
      </c>
      <c r="D914" s="36" t="s">
        <v>3522</v>
      </c>
      <c r="E914" s="37">
        <v>38721</v>
      </c>
      <c r="F914" s="37" t="s">
        <v>4026</v>
      </c>
      <c r="G914" s="38">
        <v>72</v>
      </c>
      <c r="H914" s="38"/>
      <c r="I914" s="37"/>
      <c r="J914" s="37"/>
      <c r="K914" s="38">
        <f t="shared" si="14"/>
        <v>72</v>
      </c>
      <c r="L914" s="38"/>
    </row>
    <row r="915" spans="1:12" ht="14.5" x14ac:dyDescent="0.35">
      <c r="A915" s="45" t="s">
        <v>3588</v>
      </c>
      <c r="C915" s="36">
        <v>45900</v>
      </c>
      <c r="D915" s="36" t="s">
        <v>3523</v>
      </c>
      <c r="E915" s="37">
        <v>38726</v>
      </c>
      <c r="F915" s="37" t="s">
        <v>4026</v>
      </c>
      <c r="G915" s="38">
        <v>1024.74</v>
      </c>
      <c r="H915" s="38"/>
      <c r="I915" s="37"/>
      <c r="J915" s="37"/>
      <c r="K915" s="38">
        <f t="shared" si="14"/>
        <v>1024.74</v>
      </c>
      <c r="L915" s="38"/>
    </row>
    <row r="916" spans="1:12" ht="14.5" x14ac:dyDescent="0.35">
      <c r="A916" s="45" t="s">
        <v>3588</v>
      </c>
      <c r="C916" s="36">
        <v>45900</v>
      </c>
      <c r="D916" s="36" t="s">
        <v>3524</v>
      </c>
      <c r="E916" s="37" t="s">
        <v>3464</v>
      </c>
      <c r="F916" s="37" t="s">
        <v>4026</v>
      </c>
      <c r="G916" s="38">
        <v>1096.04</v>
      </c>
      <c r="H916" s="38"/>
      <c r="I916" s="37"/>
      <c r="J916" s="37"/>
      <c r="K916" s="38">
        <f t="shared" si="14"/>
        <v>1096.04</v>
      </c>
      <c r="L916" s="38"/>
    </row>
    <row r="917" spans="1:12" ht="14.5" x14ac:dyDescent="0.35">
      <c r="A917" s="45" t="s">
        <v>3588</v>
      </c>
      <c r="C917" s="36">
        <v>45900</v>
      </c>
      <c r="D917" s="36" t="s">
        <v>3525</v>
      </c>
      <c r="E917" s="37">
        <v>38744</v>
      </c>
      <c r="F917" s="37" t="s">
        <v>4026</v>
      </c>
      <c r="G917" s="38">
        <v>1157.02</v>
      </c>
      <c r="H917" s="38"/>
      <c r="I917" s="37"/>
      <c r="J917" s="37"/>
      <c r="K917" s="38">
        <f t="shared" si="14"/>
        <v>1157.02</v>
      </c>
      <c r="L917" s="38"/>
    </row>
    <row r="918" spans="1:12" ht="14.5" x14ac:dyDescent="0.35">
      <c r="A918" s="45" t="s">
        <v>3588</v>
      </c>
      <c r="C918" s="36">
        <v>45900</v>
      </c>
      <c r="D918" s="36" t="s">
        <v>2480</v>
      </c>
      <c r="E918" s="37">
        <v>38749</v>
      </c>
      <c r="F918" s="37" t="s">
        <v>4026</v>
      </c>
      <c r="G918" s="38">
        <v>669.75</v>
      </c>
      <c r="H918" s="38"/>
      <c r="I918" s="37"/>
      <c r="J918" s="37"/>
      <c r="K918" s="38">
        <f t="shared" si="14"/>
        <v>669.75</v>
      </c>
      <c r="L918" s="38"/>
    </row>
    <row r="919" spans="1:12" ht="14.5" x14ac:dyDescent="0.35">
      <c r="A919" s="45" t="s">
        <v>3588</v>
      </c>
      <c r="C919" s="36">
        <v>45900</v>
      </c>
      <c r="D919" s="36" t="s">
        <v>3475</v>
      </c>
      <c r="E919" s="37">
        <v>38758</v>
      </c>
      <c r="F919" s="37" t="s">
        <v>4026</v>
      </c>
      <c r="G919" s="38">
        <v>941</v>
      </c>
      <c r="H919" s="38"/>
      <c r="I919" s="37"/>
      <c r="J919" s="37"/>
      <c r="K919" s="38">
        <f t="shared" si="14"/>
        <v>941</v>
      </c>
      <c r="L919" s="38"/>
    </row>
    <row r="920" spans="1:12" ht="14.5" x14ac:dyDescent="0.35">
      <c r="A920" s="45" t="s">
        <v>3588</v>
      </c>
      <c r="C920" s="36">
        <v>45900</v>
      </c>
      <c r="D920" s="36" t="s">
        <v>3526</v>
      </c>
      <c r="E920" s="37">
        <v>38785</v>
      </c>
      <c r="F920" s="37" t="s">
        <v>4026</v>
      </c>
      <c r="G920" s="38">
        <v>1480</v>
      </c>
      <c r="H920" s="38"/>
      <c r="I920" s="37"/>
      <c r="J920" s="37"/>
      <c r="K920" s="38">
        <f t="shared" si="14"/>
        <v>1480</v>
      </c>
      <c r="L920" s="38"/>
    </row>
    <row r="921" spans="1:12" ht="14.5" x14ac:dyDescent="0.35">
      <c r="A921" s="45" t="s">
        <v>3588</v>
      </c>
      <c r="C921" s="36">
        <v>45900</v>
      </c>
      <c r="D921" s="36" t="s">
        <v>2189</v>
      </c>
      <c r="E921" s="37">
        <v>38793</v>
      </c>
      <c r="F921" s="37" t="s">
        <v>4026</v>
      </c>
      <c r="G921" s="38">
        <v>77.34</v>
      </c>
      <c r="H921" s="38"/>
      <c r="I921" s="37"/>
      <c r="J921" s="37"/>
      <c r="K921" s="38">
        <f t="shared" si="14"/>
        <v>77.34</v>
      </c>
      <c r="L921" s="38"/>
    </row>
    <row r="922" spans="1:12" ht="14.5" x14ac:dyDescent="0.35">
      <c r="A922" s="45" t="s">
        <v>3588</v>
      </c>
      <c r="C922" s="36">
        <v>45900</v>
      </c>
      <c r="D922" s="36" t="s">
        <v>3527</v>
      </c>
      <c r="E922" s="37">
        <v>38795</v>
      </c>
      <c r="F922" s="37" t="s">
        <v>4026</v>
      </c>
      <c r="G922" s="38">
        <v>42.97</v>
      </c>
      <c r="H922" s="38"/>
      <c r="I922" s="37"/>
      <c r="J922" s="37"/>
      <c r="K922" s="38">
        <f t="shared" si="14"/>
        <v>42.97</v>
      </c>
      <c r="L922" s="38"/>
    </row>
    <row r="923" spans="1:12" ht="14.5" x14ac:dyDescent="0.35">
      <c r="A923" s="45" t="s">
        <v>3588</v>
      </c>
      <c r="C923" s="36">
        <v>45900</v>
      </c>
      <c r="D923" s="36" t="s">
        <v>3528</v>
      </c>
      <c r="E923" s="37">
        <v>38796</v>
      </c>
      <c r="F923" s="37" t="s">
        <v>4026</v>
      </c>
      <c r="G923" s="38">
        <v>822.7</v>
      </c>
      <c r="H923" s="38"/>
      <c r="I923" s="37"/>
      <c r="J923" s="37"/>
      <c r="K923" s="38">
        <f t="shared" si="14"/>
        <v>822.7</v>
      </c>
      <c r="L923" s="38"/>
    </row>
    <row r="924" spans="1:12" ht="14.5" x14ac:dyDescent="0.35">
      <c r="A924" s="45" t="s">
        <v>3588</v>
      </c>
      <c r="C924" s="36">
        <v>45900</v>
      </c>
      <c r="D924" s="36" t="s">
        <v>3529</v>
      </c>
      <c r="E924" s="37">
        <v>38799</v>
      </c>
      <c r="F924" s="37" t="s">
        <v>4026</v>
      </c>
      <c r="G924" s="38">
        <v>4876.0200000000004</v>
      </c>
      <c r="H924" s="38"/>
      <c r="I924" s="37"/>
      <c r="J924" s="37"/>
      <c r="K924" s="38">
        <f t="shared" si="14"/>
        <v>4876.0200000000004</v>
      </c>
      <c r="L924" s="38"/>
    </row>
    <row r="925" spans="1:12" ht="14.5" x14ac:dyDescent="0.35">
      <c r="A925" s="45" t="s">
        <v>3588</v>
      </c>
      <c r="C925" s="36">
        <v>45900</v>
      </c>
      <c r="D925" s="36" t="s">
        <v>3530</v>
      </c>
      <c r="E925" s="37">
        <v>38800</v>
      </c>
      <c r="F925" s="37" t="s">
        <v>4026</v>
      </c>
      <c r="G925" s="38">
        <v>19930.93</v>
      </c>
      <c r="H925" s="38"/>
      <c r="I925" s="37"/>
      <c r="J925" s="37"/>
      <c r="K925" s="38">
        <f t="shared" si="14"/>
        <v>19930.93</v>
      </c>
      <c r="L925" s="38"/>
    </row>
    <row r="926" spans="1:12" ht="14.5" x14ac:dyDescent="0.35">
      <c r="A926" s="45" t="s">
        <v>3588</v>
      </c>
      <c r="C926" s="36">
        <v>45900</v>
      </c>
      <c r="D926" s="36" t="s">
        <v>3531</v>
      </c>
      <c r="E926" s="37">
        <v>38801</v>
      </c>
      <c r="F926" s="37" t="s">
        <v>4026</v>
      </c>
      <c r="G926" s="38">
        <v>2935.66</v>
      </c>
      <c r="H926" s="38"/>
      <c r="I926" s="37"/>
      <c r="J926" s="37"/>
      <c r="K926" s="38">
        <f t="shared" si="14"/>
        <v>2935.66</v>
      </c>
      <c r="L926" s="38"/>
    </row>
    <row r="927" spans="1:12" ht="14.5" x14ac:dyDescent="0.35">
      <c r="A927" s="45" t="s">
        <v>3588</v>
      </c>
      <c r="C927" s="36">
        <v>45900</v>
      </c>
      <c r="D927" s="36" t="s">
        <v>3532</v>
      </c>
      <c r="E927" s="37">
        <v>38803</v>
      </c>
      <c r="F927" s="37" t="s">
        <v>4026</v>
      </c>
      <c r="G927" s="38">
        <v>1029.58</v>
      </c>
      <c r="H927" s="38"/>
      <c r="I927" s="37"/>
      <c r="J927" s="37"/>
      <c r="K927" s="38">
        <f t="shared" si="14"/>
        <v>1029.58</v>
      </c>
      <c r="L927" s="38"/>
    </row>
    <row r="928" spans="1:12" ht="14.5" x14ac:dyDescent="0.35">
      <c r="A928" s="45" t="s">
        <v>3588</v>
      </c>
      <c r="C928" s="36">
        <v>45900</v>
      </c>
      <c r="D928" s="36" t="s">
        <v>3533</v>
      </c>
      <c r="E928" s="37" t="s">
        <v>3465</v>
      </c>
      <c r="F928" s="37" t="s">
        <v>4026</v>
      </c>
      <c r="G928" s="38">
        <v>0.02</v>
      </c>
      <c r="H928" s="38"/>
      <c r="I928" s="37"/>
      <c r="J928" s="37"/>
      <c r="K928" s="38">
        <f t="shared" si="14"/>
        <v>0.02</v>
      </c>
      <c r="L928" s="38"/>
    </row>
    <row r="929" spans="1:12" ht="14.5" x14ac:dyDescent="0.35">
      <c r="A929" s="45" t="s">
        <v>3588</v>
      </c>
      <c r="C929" s="36">
        <v>45900</v>
      </c>
      <c r="D929" s="36" t="s">
        <v>3535</v>
      </c>
      <c r="E929" s="37">
        <v>38815</v>
      </c>
      <c r="F929" s="37" t="s">
        <v>4026</v>
      </c>
      <c r="G929" s="38">
        <v>1343.69</v>
      </c>
      <c r="H929" s="38"/>
      <c r="I929" s="37"/>
      <c r="J929" s="37"/>
      <c r="K929" s="38">
        <f t="shared" si="14"/>
        <v>1343.69</v>
      </c>
      <c r="L929" s="38"/>
    </row>
    <row r="930" spans="1:12" ht="14.5" x14ac:dyDescent="0.35">
      <c r="A930" s="45" t="s">
        <v>3588</v>
      </c>
      <c r="C930" s="36">
        <v>45900</v>
      </c>
      <c r="D930" s="36" t="s">
        <v>3536</v>
      </c>
      <c r="E930" s="37">
        <v>38818</v>
      </c>
      <c r="F930" s="37" t="s">
        <v>4026</v>
      </c>
      <c r="G930" s="38">
        <v>405.54</v>
      </c>
      <c r="H930" s="38"/>
      <c r="I930" s="37"/>
      <c r="J930" s="37"/>
      <c r="K930" s="38">
        <f t="shared" si="14"/>
        <v>405.54</v>
      </c>
      <c r="L930" s="38"/>
    </row>
    <row r="931" spans="1:12" ht="14.5" x14ac:dyDescent="0.35">
      <c r="A931" s="45" t="s">
        <v>3588</v>
      </c>
      <c r="C931" s="36">
        <v>45900</v>
      </c>
      <c r="D931" s="36" t="s">
        <v>3537</v>
      </c>
      <c r="E931" s="37">
        <v>38820</v>
      </c>
      <c r="F931" s="37" t="s">
        <v>4026</v>
      </c>
      <c r="G931" s="38">
        <v>73414.359999999986</v>
      </c>
      <c r="H931" s="38"/>
      <c r="I931" s="37"/>
      <c r="J931" s="37"/>
      <c r="K931" s="38">
        <f t="shared" si="14"/>
        <v>73414.359999999986</v>
      </c>
      <c r="L931" s="38"/>
    </row>
    <row r="932" spans="1:12" ht="14.5" x14ac:dyDescent="0.35">
      <c r="A932" s="45" t="s">
        <v>3588</v>
      </c>
      <c r="C932" s="36">
        <v>45900</v>
      </c>
      <c r="D932" s="36" t="s">
        <v>3537</v>
      </c>
      <c r="E932" s="37" t="s">
        <v>3466</v>
      </c>
      <c r="F932" s="37" t="s">
        <v>4026</v>
      </c>
      <c r="G932" s="38">
        <v>2903.2200000000003</v>
      </c>
      <c r="H932" s="38"/>
      <c r="I932" s="37"/>
      <c r="J932" s="37"/>
      <c r="K932" s="38">
        <f t="shared" si="14"/>
        <v>2903.2200000000003</v>
      </c>
      <c r="L932" s="38"/>
    </row>
    <row r="933" spans="1:12" ht="14.5" x14ac:dyDescent="0.35">
      <c r="A933" s="45" t="s">
        <v>3588</v>
      </c>
      <c r="C933" s="36">
        <v>45900</v>
      </c>
      <c r="D933" s="36" t="s">
        <v>3537</v>
      </c>
      <c r="E933" s="37" t="s">
        <v>3467</v>
      </c>
      <c r="F933" s="37" t="s">
        <v>4026</v>
      </c>
      <c r="G933" s="38">
        <v>403.5800000000001</v>
      </c>
      <c r="H933" s="38"/>
      <c r="I933" s="37"/>
      <c r="J933" s="37"/>
      <c r="K933" s="38">
        <f t="shared" si="14"/>
        <v>403.5800000000001</v>
      </c>
      <c r="L933" s="38"/>
    </row>
    <row r="934" spans="1:12" ht="14.5" x14ac:dyDescent="0.35">
      <c r="A934" s="45" t="s">
        <v>3588</v>
      </c>
      <c r="C934" s="36">
        <v>45900</v>
      </c>
      <c r="D934" s="36" t="s">
        <v>3538</v>
      </c>
      <c r="E934" s="37">
        <v>38824</v>
      </c>
      <c r="F934" s="37" t="s">
        <v>4026</v>
      </c>
      <c r="G934" s="38">
        <v>176.49</v>
      </c>
      <c r="H934" s="38"/>
      <c r="I934" s="37"/>
      <c r="J934" s="37"/>
      <c r="K934" s="38">
        <f t="shared" si="14"/>
        <v>176.49</v>
      </c>
      <c r="L934" s="38"/>
    </row>
    <row r="935" spans="1:12" ht="14.5" x14ac:dyDescent="0.35">
      <c r="A935" s="45" t="s">
        <v>3588</v>
      </c>
      <c r="C935" s="36">
        <v>45900</v>
      </c>
      <c r="D935" s="36" t="s">
        <v>3539</v>
      </c>
      <c r="E935" s="37">
        <v>38835</v>
      </c>
      <c r="F935" s="37" t="s">
        <v>4026</v>
      </c>
      <c r="G935" s="38">
        <v>918.16</v>
      </c>
      <c r="H935" s="38"/>
      <c r="I935" s="37"/>
      <c r="J935" s="37"/>
      <c r="K935" s="38">
        <f t="shared" si="14"/>
        <v>918.16</v>
      </c>
      <c r="L935" s="38"/>
    </row>
    <row r="936" spans="1:12" ht="14.5" x14ac:dyDescent="0.35">
      <c r="A936" s="45" t="s">
        <v>3588</v>
      </c>
      <c r="C936" s="36">
        <v>45900</v>
      </c>
      <c r="D936" s="36" t="s">
        <v>3540</v>
      </c>
      <c r="E936" s="37">
        <v>38842</v>
      </c>
      <c r="F936" s="37" t="s">
        <v>4026</v>
      </c>
      <c r="G936" s="38">
        <v>50021.969999999987</v>
      </c>
      <c r="H936" s="38"/>
      <c r="I936" s="37"/>
      <c r="J936" s="37"/>
      <c r="K936" s="38">
        <f t="shared" si="14"/>
        <v>50021.969999999987</v>
      </c>
      <c r="L936" s="38"/>
    </row>
    <row r="937" spans="1:12" ht="14.5" x14ac:dyDescent="0.35">
      <c r="A937" s="45" t="s">
        <v>3588</v>
      </c>
      <c r="C937" s="36">
        <v>45900</v>
      </c>
      <c r="D937" s="36" t="s">
        <v>3497</v>
      </c>
      <c r="E937" s="37">
        <v>38843</v>
      </c>
      <c r="F937" s="37" t="s">
        <v>4026</v>
      </c>
      <c r="G937" s="38">
        <v>262.65999999999997</v>
      </c>
      <c r="H937" s="38"/>
      <c r="I937" s="37"/>
      <c r="J937" s="37"/>
      <c r="K937" s="38">
        <f t="shared" si="14"/>
        <v>262.65999999999997</v>
      </c>
      <c r="L937" s="38"/>
    </row>
    <row r="938" spans="1:12" ht="14.5" x14ac:dyDescent="0.35">
      <c r="A938" s="45" t="s">
        <v>3588</v>
      </c>
      <c r="C938" s="36">
        <v>45900</v>
      </c>
      <c r="D938" s="36" t="s">
        <v>3541</v>
      </c>
      <c r="E938" s="37">
        <v>38849</v>
      </c>
      <c r="F938" s="37" t="s">
        <v>4026</v>
      </c>
      <c r="G938" s="38">
        <v>21627</v>
      </c>
      <c r="H938" s="38"/>
      <c r="I938" s="37"/>
      <c r="J938" s="37"/>
      <c r="K938" s="38">
        <f t="shared" si="14"/>
        <v>21627</v>
      </c>
      <c r="L938" s="38"/>
    </row>
    <row r="939" spans="1:12" ht="14.5" x14ac:dyDescent="0.35">
      <c r="A939" s="45" t="s">
        <v>3588</v>
      </c>
      <c r="C939" s="36">
        <v>45900</v>
      </c>
      <c r="D939" s="36" t="s">
        <v>3542</v>
      </c>
      <c r="E939" s="37">
        <v>38853</v>
      </c>
      <c r="F939" s="37" t="s">
        <v>4026</v>
      </c>
      <c r="G939" s="38">
        <v>1422.12</v>
      </c>
      <c r="H939" s="38"/>
      <c r="I939" s="37"/>
      <c r="J939" s="37"/>
      <c r="K939" s="38">
        <f t="shared" si="14"/>
        <v>1422.12</v>
      </c>
      <c r="L939" s="38"/>
    </row>
    <row r="940" spans="1:12" ht="14.5" x14ac:dyDescent="0.35">
      <c r="A940" s="45" t="s">
        <v>3588</v>
      </c>
      <c r="C940" s="36">
        <v>45900</v>
      </c>
      <c r="D940" s="36" t="s">
        <v>3543</v>
      </c>
      <c r="E940" s="37">
        <v>38854</v>
      </c>
      <c r="F940" s="37" t="s">
        <v>4026</v>
      </c>
      <c r="G940" s="38">
        <v>31862.13</v>
      </c>
      <c r="H940" s="38"/>
      <c r="I940" s="37"/>
      <c r="J940" s="37"/>
      <c r="K940" s="38">
        <f t="shared" si="14"/>
        <v>31862.13</v>
      </c>
      <c r="L940" s="38"/>
    </row>
    <row r="941" spans="1:12" ht="14.5" x14ac:dyDescent="0.35">
      <c r="A941" s="45" t="s">
        <v>3588</v>
      </c>
      <c r="C941" s="36">
        <v>45900</v>
      </c>
      <c r="D941" s="36" t="s">
        <v>3544</v>
      </c>
      <c r="E941" s="37">
        <v>38855</v>
      </c>
      <c r="F941" s="37" t="s">
        <v>4026</v>
      </c>
      <c r="G941" s="38">
        <v>3777.1200000000008</v>
      </c>
      <c r="H941" s="38"/>
      <c r="I941" s="37"/>
      <c r="J941" s="37"/>
      <c r="K941" s="38">
        <f t="shared" si="14"/>
        <v>3777.1200000000008</v>
      </c>
      <c r="L941" s="38"/>
    </row>
    <row r="942" spans="1:12" ht="14.5" x14ac:dyDescent="0.35">
      <c r="A942" s="45" t="s">
        <v>3588</v>
      </c>
      <c r="C942" s="36">
        <v>45900</v>
      </c>
      <c r="D942" s="36" t="s">
        <v>3545</v>
      </c>
      <c r="E942" s="37">
        <v>38856</v>
      </c>
      <c r="F942" s="37" t="s">
        <v>4026</v>
      </c>
      <c r="G942" s="38">
        <v>571.71</v>
      </c>
      <c r="H942" s="38"/>
      <c r="I942" s="37"/>
      <c r="J942" s="37"/>
      <c r="K942" s="38">
        <f t="shared" si="14"/>
        <v>571.71</v>
      </c>
      <c r="L942" s="38"/>
    </row>
    <row r="943" spans="1:12" ht="14.5" x14ac:dyDescent="0.35">
      <c r="A943" s="45" t="s">
        <v>3588</v>
      </c>
      <c r="C943" s="36">
        <v>45900</v>
      </c>
      <c r="D943" s="36" t="s">
        <v>3546</v>
      </c>
      <c r="E943" s="37">
        <v>38865</v>
      </c>
      <c r="F943" s="37" t="s">
        <v>4026</v>
      </c>
      <c r="G943" s="38">
        <v>108</v>
      </c>
      <c r="H943" s="38"/>
      <c r="I943" s="37"/>
      <c r="J943" s="37"/>
      <c r="K943" s="38">
        <f t="shared" si="14"/>
        <v>108</v>
      </c>
      <c r="L943" s="38"/>
    </row>
    <row r="944" spans="1:12" ht="14.5" x14ac:dyDescent="0.35">
      <c r="A944" s="45" t="s">
        <v>3588</v>
      </c>
      <c r="C944" s="36">
        <v>45900</v>
      </c>
      <c r="D944" s="36" t="s">
        <v>3547</v>
      </c>
      <c r="E944" s="37">
        <v>38867</v>
      </c>
      <c r="F944" s="37" t="s">
        <v>4026</v>
      </c>
      <c r="G944" s="38">
        <v>150.11000000000001</v>
      </c>
      <c r="H944" s="38"/>
      <c r="I944" s="37"/>
      <c r="J944" s="37"/>
      <c r="K944" s="38">
        <f t="shared" si="14"/>
        <v>150.11000000000001</v>
      </c>
      <c r="L944" s="38"/>
    </row>
    <row r="945" spans="1:12" ht="14.5" x14ac:dyDescent="0.35">
      <c r="A945" s="45" t="s">
        <v>3588</v>
      </c>
      <c r="C945" s="36">
        <v>45900</v>
      </c>
      <c r="D945" s="36" t="s">
        <v>3548</v>
      </c>
      <c r="E945" s="37">
        <v>38868</v>
      </c>
      <c r="F945" s="37" t="s">
        <v>4026</v>
      </c>
      <c r="G945" s="38">
        <v>722.17000000000007</v>
      </c>
      <c r="H945" s="38"/>
      <c r="I945" s="37"/>
      <c r="J945" s="37"/>
      <c r="K945" s="38">
        <f t="shared" si="14"/>
        <v>722.17000000000007</v>
      </c>
      <c r="L945" s="38"/>
    </row>
    <row r="946" spans="1:12" ht="14.5" x14ac:dyDescent="0.35">
      <c r="A946" s="45" t="s">
        <v>3588</v>
      </c>
      <c r="C946" s="36">
        <v>45900</v>
      </c>
      <c r="D946" s="36" t="s">
        <v>3500</v>
      </c>
      <c r="E946" s="37">
        <v>38871</v>
      </c>
      <c r="F946" s="37" t="s">
        <v>4026</v>
      </c>
      <c r="G946" s="38">
        <v>2757.01</v>
      </c>
      <c r="H946" s="38"/>
      <c r="I946" s="37"/>
      <c r="J946" s="37"/>
      <c r="K946" s="38">
        <f t="shared" si="14"/>
        <v>2757.01</v>
      </c>
      <c r="L946" s="38"/>
    </row>
    <row r="947" spans="1:12" ht="14.5" x14ac:dyDescent="0.35">
      <c r="A947" s="45" t="s">
        <v>3588</v>
      </c>
      <c r="C947" s="36">
        <v>45900</v>
      </c>
      <c r="D947" s="36" t="s">
        <v>3536</v>
      </c>
      <c r="E947" s="37">
        <v>38873</v>
      </c>
      <c r="F947" s="37" t="s">
        <v>4026</v>
      </c>
      <c r="G947" s="38">
        <v>660.59</v>
      </c>
      <c r="H947" s="38"/>
      <c r="I947" s="37"/>
      <c r="J947" s="37"/>
      <c r="K947" s="38">
        <f t="shared" si="14"/>
        <v>660.59</v>
      </c>
      <c r="L947" s="38"/>
    </row>
    <row r="948" spans="1:12" ht="14.5" x14ac:dyDescent="0.35">
      <c r="A948" s="45" t="s">
        <v>3588</v>
      </c>
      <c r="C948" s="36">
        <v>45900</v>
      </c>
      <c r="D948" s="36" t="s">
        <v>1656</v>
      </c>
      <c r="E948" s="37">
        <v>38880</v>
      </c>
      <c r="F948" s="37" t="s">
        <v>4026</v>
      </c>
      <c r="G948" s="38">
        <v>0</v>
      </c>
      <c r="H948" s="38"/>
      <c r="I948" s="37"/>
      <c r="J948" s="37"/>
      <c r="K948" s="38">
        <f t="shared" si="14"/>
        <v>0</v>
      </c>
      <c r="L948" s="38"/>
    </row>
    <row r="949" spans="1:12" ht="14.5" x14ac:dyDescent="0.35">
      <c r="A949" s="45" t="s">
        <v>3588</v>
      </c>
      <c r="C949" s="36">
        <v>45900</v>
      </c>
      <c r="D949" s="36" t="s">
        <v>3545</v>
      </c>
      <c r="E949" s="37">
        <v>38884</v>
      </c>
      <c r="F949" s="37" t="s">
        <v>4026</v>
      </c>
      <c r="G949" s="38">
        <v>285.86</v>
      </c>
      <c r="H949" s="38"/>
      <c r="I949" s="37"/>
      <c r="J949" s="37"/>
      <c r="K949" s="38">
        <f t="shared" si="14"/>
        <v>285.86</v>
      </c>
      <c r="L949" s="38"/>
    </row>
    <row r="950" spans="1:12" ht="14.5" x14ac:dyDescent="0.35">
      <c r="A950" s="45" t="s">
        <v>3588</v>
      </c>
      <c r="C950" s="36">
        <v>45900</v>
      </c>
      <c r="D950" s="36" t="s">
        <v>3549</v>
      </c>
      <c r="E950" s="37">
        <v>38904</v>
      </c>
      <c r="F950" s="37" t="s">
        <v>4026</v>
      </c>
      <c r="G950" s="38">
        <v>3153.67</v>
      </c>
      <c r="H950" s="38"/>
      <c r="I950" s="37"/>
      <c r="J950" s="37"/>
      <c r="K950" s="38">
        <f t="shared" si="14"/>
        <v>3153.67</v>
      </c>
      <c r="L950" s="38"/>
    </row>
    <row r="951" spans="1:12" ht="14.5" x14ac:dyDescent="0.35">
      <c r="A951" s="45" t="s">
        <v>3588</v>
      </c>
      <c r="C951" s="36">
        <v>45900</v>
      </c>
      <c r="D951" s="36" t="s">
        <v>3550</v>
      </c>
      <c r="E951" s="37">
        <v>38909</v>
      </c>
      <c r="F951" s="37" t="s">
        <v>4026</v>
      </c>
      <c r="G951" s="38">
        <v>3087.85</v>
      </c>
      <c r="H951" s="38"/>
      <c r="I951" s="37"/>
      <c r="J951" s="37"/>
      <c r="K951" s="38">
        <f t="shared" si="14"/>
        <v>3087.85</v>
      </c>
      <c r="L951" s="38"/>
    </row>
    <row r="952" spans="1:12" ht="14.5" x14ac:dyDescent="0.35">
      <c r="A952" s="45" t="s">
        <v>3588</v>
      </c>
      <c r="C952" s="36">
        <v>45900</v>
      </c>
      <c r="D952" s="36" t="s">
        <v>3551</v>
      </c>
      <c r="E952" s="37">
        <v>38911</v>
      </c>
      <c r="F952" s="37" t="s">
        <v>4026</v>
      </c>
      <c r="G952" s="38">
        <v>510.15999999999997</v>
      </c>
      <c r="H952" s="38"/>
      <c r="I952" s="37"/>
      <c r="J952" s="37"/>
      <c r="K952" s="38">
        <f t="shared" si="14"/>
        <v>510.15999999999997</v>
      </c>
      <c r="L952" s="38"/>
    </row>
    <row r="953" spans="1:12" ht="14.5" x14ac:dyDescent="0.35">
      <c r="A953" s="45" t="s">
        <v>3588</v>
      </c>
      <c r="C953" s="36">
        <v>45900</v>
      </c>
      <c r="D953" s="36" t="s">
        <v>3552</v>
      </c>
      <c r="E953" s="37">
        <v>38912</v>
      </c>
      <c r="F953" s="37" t="s">
        <v>4026</v>
      </c>
      <c r="G953" s="38">
        <v>16186.990000000002</v>
      </c>
      <c r="H953" s="38"/>
      <c r="I953" s="37"/>
      <c r="J953" s="37"/>
      <c r="K953" s="38">
        <f t="shared" si="14"/>
        <v>16186.990000000002</v>
      </c>
      <c r="L953" s="38"/>
    </row>
    <row r="954" spans="1:12" ht="14.5" x14ac:dyDescent="0.35">
      <c r="A954" s="45" t="s">
        <v>3588</v>
      </c>
      <c r="C954" s="36">
        <v>45900</v>
      </c>
      <c r="D954" s="36" t="s">
        <v>3553</v>
      </c>
      <c r="E954" s="37">
        <v>38913</v>
      </c>
      <c r="F954" s="37" t="s">
        <v>4026</v>
      </c>
      <c r="G954" s="38">
        <v>695.77</v>
      </c>
      <c r="H954" s="38"/>
      <c r="I954" s="37"/>
      <c r="J954" s="37"/>
      <c r="K954" s="38">
        <f t="shared" si="14"/>
        <v>695.77</v>
      </c>
      <c r="L954" s="38"/>
    </row>
    <row r="955" spans="1:12" ht="14.5" x14ac:dyDescent="0.35">
      <c r="A955" s="45" t="s">
        <v>3588</v>
      </c>
      <c r="C955" s="36">
        <v>45900</v>
      </c>
      <c r="D955" s="36" t="s">
        <v>3554</v>
      </c>
      <c r="E955" s="37">
        <v>38915</v>
      </c>
      <c r="F955" s="37" t="s">
        <v>4026</v>
      </c>
      <c r="G955" s="38">
        <v>100.03</v>
      </c>
      <c r="H955" s="38"/>
      <c r="I955" s="37"/>
      <c r="J955" s="37"/>
      <c r="K955" s="38">
        <f t="shared" si="14"/>
        <v>100.03</v>
      </c>
      <c r="L955" s="38"/>
    </row>
    <row r="956" spans="1:12" ht="14.5" x14ac:dyDescent="0.35">
      <c r="A956" s="45" t="s">
        <v>3588</v>
      </c>
      <c r="C956" s="36">
        <v>45900</v>
      </c>
      <c r="D956" s="36" t="s">
        <v>3555</v>
      </c>
      <c r="E956" s="37">
        <v>38916</v>
      </c>
      <c r="F956" s="37" t="s">
        <v>4026</v>
      </c>
      <c r="G956" s="38">
        <v>61.76</v>
      </c>
      <c r="H956" s="38"/>
      <c r="I956" s="37"/>
      <c r="J956" s="37"/>
      <c r="K956" s="38">
        <f t="shared" si="14"/>
        <v>61.76</v>
      </c>
      <c r="L956" s="38"/>
    </row>
    <row r="957" spans="1:12" ht="14.5" x14ac:dyDescent="0.35">
      <c r="A957" s="45" t="s">
        <v>3588</v>
      </c>
      <c r="C957" s="36">
        <v>45900</v>
      </c>
      <c r="D957" s="36" t="s">
        <v>3556</v>
      </c>
      <c r="E957" s="37">
        <v>38921</v>
      </c>
      <c r="F957" s="37" t="s">
        <v>4026</v>
      </c>
      <c r="G957" s="38">
        <v>25.8</v>
      </c>
      <c r="H957" s="38"/>
      <c r="I957" s="37"/>
      <c r="J957" s="37"/>
      <c r="K957" s="38">
        <f t="shared" si="14"/>
        <v>25.8</v>
      </c>
      <c r="L957" s="38"/>
    </row>
    <row r="958" spans="1:12" ht="14.5" x14ac:dyDescent="0.35">
      <c r="A958" s="45" t="s">
        <v>3588</v>
      </c>
      <c r="C958" s="36">
        <v>45900</v>
      </c>
      <c r="D958" s="36" t="s">
        <v>3557</v>
      </c>
      <c r="E958" s="37">
        <v>38942</v>
      </c>
      <c r="F958" s="37" t="s">
        <v>4026</v>
      </c>
      <c r="G958" s="38">
        <v>219.74</v>
      </c>
      <c r="H958" s="38"/>
      <c r="I958" s="37"/>
      <c r="J958" s="37"/>
      <c r="K958" s="38">
        <f t="shared" si="14"/>
        <v>219.74</v>
      </c>
      <c r="L958" s="38"/>
    </row>
    <row r="959" spans="1:12" ht="14.5" x14ac:dyDescent="0.35">
      <c r="A959" s="45" t="s">
        <v>3588</v>
      </c>
      <c r="C959" s="36">
        <v>45900</v>
      </c>
      <c r="D959" s="36" t="s">
        <v>3558</v>
      </c>
      <c r="E959" s="37">
        <v>38946</v>
      </c>
      <c r="F959" s="37" t="s">
        <v>4026</v>
      </c>
      <c r="G959" s="38">
        <v>1200</v>
      </c>
      <c r="H959" s="38"/>
      <c r="I959" s="37"/>
      <c r="J959" s="37"/>
      <c r="K959" s="38">
        <f t="shared" si="14"/>
        <v>1200</v>
      </c>
      <c r="L959" s="38"/>
    </row>
    <row r="960" spans="1:12" ht="14.5" x14ac:dyDescent="0.35">
      <c r="A960" s="45" t="s">
        <v>3588</v>
      </c>
      <c r="C960" s="36">
        <v>45900</v>
      </c>
      <c r="D960" s="36" t="s">
        <v>3559</v>
      </c>
      <c r="E960" s="37">
        <v>38957</v>
      </c>
      <c r="F960" s="37" t="s">
        <v>4026</v>
      </c>
      <c r="G960" s="38">
        <v>314.96000000000004</v>
      </c>
      <c r="H960" s="38"/>
      <c r="I960" s="37"/>
      <c r="J960" s="37"/>
      <c r="K960" s="38">
        <f t="shared" si="14"/>
        <v>314.96000000000004</v>
      </c>
      <c r="L960" s="38"/>
    </row>
    <row r="961" spans="1:12" ht="14.5" x14ac:dyDescent="0.35">
      <c r="A961" s="45" t="s">
        <v>3588</v>
      </c>
      <c r="C961" s="36">
        <v>45900</v>
      </c>
      <c r="D961" s="36" t="s">
        <v>3560</v>
      </c>
      <c r="E961" s="37">
        <v>38962</v>
      </c>
      <c r="F961" s="37" t="s">
        <v>4026</v>
      </c>
      <c r="G961" s="38">
        <v>76.08</v>
      </c>
      <c r="H961" s="38"/>
      <c r="I961" s="37"/>
      <c r="J961" s="37"/>
      <c r="K961" s="38">
        <f t="shared" si="14"/>
        <v>76.08</v>
      </c>
      <c r="L961" s="38"/>
    </row>
    <row r="962" spans="1:12" ht="14.5" x14ac:dyDescent="0.35">
      <c r="A962" s="45" t="s">
        <v>3588</v>
      </c>
      <c r="C962" s="36">
        <v>45900</v>
      </c>
      <c r="D962" s="36" t="s">
        <v>714</v>
      </c>
      <c r="E962" s="37">
        <v>14658649</v>
      </c>
      <c r="F962" s="37" t="s">
        <v>4026</v>
      </c>
      <c r="G962" s="38">
        <v>0</v>
      </c>
      <c r="H962" s="38"/>
      <c r="I962" s="37"/>
      <c r="J962" s="37"/>
      <c r="K962" s="38">
        <f t="shared" si="14"/>
        <v>0</v>
      </c>
      <c r="L962" s="38"/>
    </row>
    <row r="963" spans="1:12" ht="14.5" x14ac:dyDescent="0.35">
      <c r="A963" s="45" t="s">
        <v>3588</v>
      </c>
      <c r="C963" s="36">
        <v>45900</v>
      </c>
      <c r="D963" s="36" t="s">
        <v>3561</v>
      </c>
      <c r="E963" s="37">
        <v>38963</v>
      </c>
      <c r="F963" s="37" t="s">
        <v>4026</v>
      </c>
      <c r="G963" s="38">
        <v>53.91</v>
      </c>
      <c r="H963" s="38"/>
      <c r="I963" s="37"/>
      <c r="J963" s="37"/>
      <c r="K963" s="38">
        <f t="shared" si="14"/>
        <v>53.91</v>
      </c>
      <c r="L963" s="38"/>
    </row>
    <row r="964" spans="1:12" ht="14.5" x14ac:dyDescent="0.35">
      <c r="A964" s="45" t="s">
        <v>3588</v>
      </c>
      <c r="C964" s="36">
        <v>45900</v>
      </c>
      <c r="D964" s="36" t="s">
        <v>3562</v>
      </c>
      <c r="E964" s="37">
        <v>38965</v>
      </c>
      <c r="F964" s="37" t="s">
        <v>4026</v>
      </c>
      <c r="G964" s="38">
        <v>175</v>
      </c>
      <c r="H964" s="38"/>
      <c r="I964" s="37"/>
      <c r="J964" s="37"/>
      <c r="K964" s="38">
        <f t="shared" si="14"/>
        <v>175</v>
      </c>
      <c r="L964" s="38"/>
    </row>
    <row r="965" spans="1:12" ht="14.5" x14ac:dyDescent="0.35">
      <c r="A965" s="45" t="s">
        <v>3588</v>
      </c>
      <c r="C965" s="36">
        <v>45900</v>
      </c>
      <c r="D965" s="36" t="s">
        <v>3563</v>
      </c>
      <c r="E965" s="37">
        <v>38974</v>
      </c>
      <c r="F965" s="37" t="s">
        <v>4026</v>
      </c>
      <c r="G965" s="38">
        <v>347.88</v>
      </c>
      <c r="H965" s="38"/>
      <c r="I965" s="37"/>
      <c r="J965" s="37"/>
      <c r="K965" s="38">
        <f t="shared" ref="K965:K1014" si="15">G965-H965</f>
        <v>347.88</v>
      </c>
      <c r="L965" s="38"/>
    </row>
    <row r="966" spans="1:12" ht="14.5" x14ac:dyDescent="0.35">
      <c r="A966" s="45" t="s">
        <v>3588</v>
      </c>
      <c r="C966" s="36">
        <v>45900</v>
      </c>
      <c r="D966" s="36" t="s">
        <v>1840</v>
      </c>
      <c r="E966" s="37">
        <v>38984</v>
      </c>
      <c r="F966" s="37" t="s">
        <v>4026</v>
      </c>
      <c r="G966" s="38">
        <v>5711.34</v>
      </c>
      <c r="H966" s="38"/>
      <c r="I966" s="37"/>
      <c r="J966" s="37"/>
      <c r="K966" s="38">
        <f t="shared" si="15"/>
        <v>5711.34</v>
      </c>
      <c r="L966" s="38"/>
    </row>
    <row r="967" spans="1:12" ht="14.5" x14ac:dyDescent="0.35">
      <c r="A967" s="45" t="s">
        <v>3588</v>
      </c>
      <c r="C967" s="36">
        <v>45900</v>
      </c>
      <c r="D967" s="36" t="s">
        <v>3564</v>
      </c>
      <c r="E967" s="37">
        <v>38985</v>
      </c>
      <c r="F967" s="37" t="s">
        <v>4026</v>
      </c>
      <c r="G967" s="38">
        <v>391.98</v>
      </c>
      <c r="H967" s="38"/>
      <c r="I967" s="37"/>
      <c r="J967" s="37"/>
      <c r="K967" s="38">
        <f t="shared" si="15"/>
        <v>391.98</v>
      </c>
      <c r="L967" s="38"/>
    </row>
    <row r="968" spans="1:12" ht="14.5" x14ac:dyDescent="0.35">
      <c r="A968" s="45" t="s">
        <v>3588</v>
      </c>
      <c r="C968" s="36">
        <v>45900</v>
      </c>
      <c r="D968" s="36" t="s">
        <v>2258</v>
      </c>
      <c r="E968" s="37">
        <v>38992</v>
      </c>
      <c r="F968" s="37" t="s">
        <v>4026</v>
      </c>
      <c r="G968" s="38">
        <v>6350.72</v>
      </c>
      <c r="H968" s="38"/>
      <c r="I968" s="37"/>
      <c r="J968" s="37"/>
      <c r="K968" s="38">
        <f t="shared" si="15"/>
        <v>6350.72</v>
      </c>
      <c r="L968" s="38"/>
    </row>
    <row r="969" spans="1:12" ht="14.5" x14ac:dyDescent="0.35">
      <c r="A969" s="45" t="s">
        <v>3588</v>
      </c>
      <c r="C969" s="36">
        <v>45900</v>
      </c>
      <c r="D969" s="36" t="s">
        <v>1924</v>
      </c>
      <c r="E969" s="37">
        <v>38997</v>
      </c>
      <c r="F969" s="37" t="s">
        <v>4026</v>
      </c>
      <c r="G969" s="38">
        <v>11695.460000000001</v>
      </c>
      <c r="H969" s="38"/>
      <c r="I969" s="37"/>
      <c r="J969" s="37"/>
      <c r="K969" s="38">
        <f t="shared" si="15"/>
        <v>11695.460000000001</v>
      </c>
      <c r="L969" s="38"/>
    </row>
    <row r="970" spans="1:12" ht="14.5" x14ac:dyDescent="0.35">
      <c r="A970" s="45" t="s">
        <v>3588</v>
      </c>
      <c r="C970" s="36">
        <v>45900</v>
      </c>
      <c r="D970" s="36" t="s">
        <v>3565</v>
      </c>
      <c r="E970" s="37">
        <v>38998</v>
      </c>
      <c r="F970" s="37" t="s">
        <v>4026</v>
      </c>
      <c r="G970" s="38">
        <v>1406.44</v>
      </c>
      <c r="H970" s="38"/>
      <c r="I970" s="37"/>
      <c r="J970" s="37"/>
      <c r="K970" s="38">
        <f t="shared" si="15"/>
        <v>1406.44</v>
      </c>
      <c r="L970" s="38"/>
    </row>
    <row r="971" spans="1:12" ht="14.5" x14ac:dyDescent="0.35">
      <c r="A971" s="45" t="s">
        <v>3588</v>
      </c>
      <c r="C971" s="36">
        <v>45900</v>
      </c>
      <c r="D971" s="36" t="s">
        <v>3566</v>
      </c>
      <c r="E971" s="37">
        <v>39003</v>
      </c>
      <c r="F971" s="37" t="s">
        <v>4026</v>
      </c>
      <c r="G971" s="38">
        <v>6474.2999999999993</v>
      </c>
      <c r="H971" s="38"/>
      <c r="I971" s="37"/>
      <c r="J971" s="37"/>
      <c r="K971" s="38">
        <f t="shared" si="15"/>
        <v>6474.2999999999993</v>
      </c>
      <c r="L971" s="38"/>
    </row>
    <row r="972" spans="1:12" ht="14.5" x14ac:dyDescent="0.35">
      <c r="A972" s="45" t="s">
        <v>3588</v>
      </c>
      <c r="C972" s="36">
        <v>45900</v>
      </c>
      <c r="D972" s="36" t="s">
        <v>3565</v>
      </c>
      <c r="E972" s="37">
        <v>39009</v>
      </c>
      <c r="F972" s="37" t="s">
        <v>4026</v>
      </c>
      <c r="G972" s="38">
        <v>2707.93</v>
      </c>
      <c r="H972" s="38"/>
      <c r="I972" s="37"/>
      <c r="J972" s="37"/>
      <c r="K972" s="38">
        <f t="shared" si="15"/>
        <v>2707.93</v>
      </c>
      <c r="L972" s="38"/>
    </row>
    <row r="973" spans="1:12" ht="14.5" x14ac:dyDescent="0.35">
      <c r="A973" s="45" t="s">
        <v>3588</v>
      </c>
      <c r="C973" s="36">
        <v>45900</v>
      </c>
      <c r="D973" s="36" t="s">
        <v>3567</v>
      </c>
      <c r="E973" s="37">
        <v>39063</v>
      </c>
      <c r="F973" s="37" t="s">
        <v>4026</v>
      </c>
      <c r="G973" s="38">
        <v>1684.42</v>
      </c>
      <c r="H973" s="38"/>
      <c r="I973" s="37"/>
      <c r="J973" s="37"/>
      <c r="K973" s="38">
        <f t="shared" si="15"/>
        <v>1684.42</v>
      </c>
      <c r="L973" s="38"/>
    </row>
    <row r="974" spans="1:12" ht="14.5" x14ac:dyDescent="0.35">
      <c r="A974" s="45" t="s">
        <v>3588</v>
      </c>
      <c r="C974" s="36">
        <v>45900</v>
      </c>
      <c r="D974" s="36" t="s">
        <v>3544</v>
      </c>
      <c r="E974" s="37">
        <v>39073</v>
      </c>
      <c r="F974" s="37" t="s">
        <v>4026</v>
      </c>
      <c r="G974" s="38">
        <v>4815.2199999999993</v>
      </c>
      <c r="H974" s="38"/>
      <c r="I974" s="37"/>
      <c r="J974" s="37"/>
      <c r="K974" s="38">
        <f t="shared" si="15"/>
        <v>4815.2199999999993</v>
      </c>
      <c r="L974" s="38"/>
    </row>
    <row r="975" spans="1:12" ht="14.5" x14ac:dyDescent="0.35">
      <c r="A975" s="45" t="s">
        <v>3588</v>
      </c>
      <c r="C975" s="36">
        <v>45900</v>
      </c>
      <c r="D975" s="36" t="s">
        <v>3544</v>
      </c>
      <c r="E975" s="37">
        <v>39074</v>
      </c>
      <c r="F975" s="37" t="s">
        <v>4026</v>
      </c>
      <c r="G975" s="38">
        <v>7195.48</v>
      </c>
      <c r="H975" s="38"/>
      <c r="I975" s="37"/>
      <c r="J975" s="37"/>
      <c r="K975" s="38">
        <f t="shared" si="15"/>
        <v>7195.48</v>
      </c>
      <c r="L975" s="38"/>
    </row>
    <row r="976" spans="1:12" ht="14.5" x14ac:dyDescent="0.35">
      <c r="A976" s="45" t="s">
        <v>3588</v>
      </c>
      <c r="C976" s="36">
        <v>45900</v>
      </c>
      <c r="D976" s="36" t="s">
        <v>2459</v>
      </c>
      <c r="E976" s="37">
        <v>39084</v>
      </c>
      <c r="F976" s="37" t="s">
        <v>4026</v>
      </c>
      <c r="G976" s="38">
        <v>6264.45</v>
      </c>
      <c r="H976" s="38"/>
      <c r="I976" s="37"/>
      <c r="J976" s="37"/>
      <c r="K976" s="38">
        <f t="shared" si="15"/>
        <v>6264.45</v>
      </c>
      <c r="L976" s="38"/>
    </row>
    <row r="977" spans="1:12" ht="14.5" x14ac:dyDescent="0.35">
      <c r="A977" s="45" t="s">
        <v>3588</v>
      </c>
      <c r="C977" s="36">
        <v>45900</v>
      </c>
      <c r="D977" s="36" t="s">
        <v>301</v>
      </c>
      <c r="E977" s="37">
        <v>39086</v>
      </c>
      <c r="F977" s="37" t="s">
        <v>4026</v>
      </c>
      <c r="G977" s="38">
        <v>29633.089999999986</v>
      </c>
      <c r="H977" s="38"/>
      <c r="I977" s="37"/>
      <c r="J977" s="37"/>
      <c r="K977" s="38">
        <f t="shared" si="15"/>
        <v>29633.089999999986</v>
      </c>
      <c r="L977" s="38"/>
    </row>
    <row r="978" spans="1:12" ht="14.5" x14ac:dyDescent="0.35">
      <c r="A978" s="45" t="s">
        <v>3588</v>
      </c>
      <c r="C978" s="36">
        <v>45900</v>
      </c>
      <c r="D978" s="36" t="s">
        <v>301</v>
      </c>
      <c r="E978" s="37" t="s">
        <v>3471</v>
      </c>
      <c r="F978" s="37" t="s">
        <v>4026</v>
      </c>
      <c r="G978" s="38">
        <v>58633.30999999999</v>
      </c>
      <c r="H978" s="38"/>
      <c r="I978" s="37"/>
      <c r="J978" s="37"/>
      <c r="K978" s="38">
        <f t="shared" si="15"/>
        <v>58633.30999999999</v>
      </c>
      <c r="L978" s="38"/>
    </row>
    <row r="979" spans="1:12" ht="14.5" x14ac:dyDescent="0.35">
      <c r="A979" s="45" t="s">
        <v>3588</v>
      </c>
      <c r="C979" s="36">
        <v>45900</v>
      </c>
      <c r="D979" s="36" t="s">
        <v>3568</v>
      </c>
      <c r="E979" s="37">
        <v>39088</v>
      </c>
      <c r="F979" s="37" t="s">
        <v>4026</v>
      </c>
      <c r="G979" s="38">
        <v>6646.87</v>
      </c>
      <c r="H979" s="38"/>
      <c r="I979" s="37"/>
      <c r="J979" s="37"/>
      <c r="K979" s="38">
        <f t="shared" si="15"/>
        <v>6646.87</v>
      </c>
      <c r="L979" s="38"/>
    </row>
    <row r="980" spans="1:12" ht="14.5" x14ac:dyDescent="0.35">
      <c r="A980" s="45" t="s">
        <v>3588</v>
      </c>
      <c r="C980" s="36">
        <v>45900</v>
      </c>
      <c r="D980" s="36" t="s">
        <v>3500</v>
      </c>
      <c r="E980" s="37">
        <v>39089</v>
      </c>
      <c r="F980" s="37" t="s">
        <v>4026</v>
      </c>
      <c r="G980" s="38">
        <v>367.06</v>
      </c>
      <c r="H980" s="38"/>
      <c r="I980" s="37"/>
      <c r="J980" s="37"/>
      <c r="K980" s="38">
        <f t="shared" si="15"/>
        <v>367.06</v>
      </c>
      <c r="L980" s="38"/>
    </row>
    <row r="981" spans="1:12" ht="14.5" x14ac:dyDescent="0.35">
      <c r="A981" s="45" t="s">
        <v>3588</v>
      </c>
      <c r="C981" s="36">
        <v>45900</v>
      </c>
      <c r="D981" s="36" t="s">
        <v>992</v>
      </c>
      <c r="E981" s="37">
        <v>39091</v>
      </c>
      <c r="F981" s="37" t="s">
        <v>4026</v>
      </c>
      <c r="G981" s="38">
        <v>198.76</v>
      </c>
      <c r="H981" s="38"/>
      <c r="I981" s="37"/>
      <c r="J981" s="37"/>
      <c r="K981" s="38">
        <f t="shared" si="15"/>
        <v>198.76</v>
      </c>
      <c r="L981" s="38"/>
    </row>
    <row r="982" spans="1:12" ht="14.5" x14ac:dyDescent="0.35">
      <c r="A982" s="45" t="s">
        <v>3588</v>
      </c>
      <c r="C982" s="36">
        <v>45900</v>
      </c>
      <c r="D982" s="36" t="s">
        <v>3481</v>
      </c>
      <c r="E982" s="37">
        <v>39092</v>
      </c>
      <c r="F982" s="37" t="s">
        <v>4026</v>
      </c>
      <c r="G982" s="38">
        <v>29466.970000000012</v>
      </c>
      <c r="H982" s="38"/>
      <c r="I982" s="37"/>
      <c r="J982" s="37"/>
      <c r="K982" s="38">
        <f t="shared" si="15"/>
        <v>29466.970000000012</v>
      </c>
      <c r="L982" s="38"/>
    </row>
    <row r="983" spans="1:12" ht="14.5" x14ac:dyDescent="0.35">
      <c r="A983" s="45" t="s">
        <v>3588</v>
      </c>
      <c r="C983" s="36">
        <v>45900</v>
      </c>
      <c r="D983" s="36" t="s">
        <v>2892</v>
      </c>
      <c r="E983" s="37">
        <v>39093</v>
      </c>
      <c r="F983" s="37" t="s">
        <v>4026</v>
      </c>
      <c r="G983" s="38">
        <v>1044.99</v>
      </c>
      <c r="H983" s="38"/>
      <c r="I983" s="37"/>
      <c r="J983" s="37"/>
      <c r="K983" s="38">
        <f t="shared" si="15"/>
        <v>1044.99</v>
      </c>
      <c r="L983" s="38"/>
    </row>
    <row r="984" spans="1:12" ht="14.5" x14ac:dyDescent="0.35">
      <c r="A984" s="45" t="s">
        <v>3588</v>
      </c>
      <c r="C984" s="36">
        <v>45900</v>
      </c>
      <c r="D984" s="36" t="s">
        <v>1334</v>
      </c>
      <c r="E984" s="37">
        <v>39094</v>
      </c>
      <c r="F984" s="37" t="s">
        <v>4026</v>
      </c>
      <c r="G984" s="38">
        <v>7903.0999999999995</v>
      </c>
      <c r="H984" s="38"/>
      <c r="I984" s="37"/>
      <c r="J984" s="37"/>
      <c r="K984" s="38">
        <f t="shared" si="15"/>
        <v>7903.0999999999995</v>
      </c>
      <c r="L984" s="38"/>
    </row>
    <row r="985" spans="1:12" ht="14.5" x14ac:dyDescent="0.35">
      <c r="A985" s="45" t="s">
        <v>3588</v>
      </c>
      <c r="C985" s="36">
        <v>45900</v>
      </c>
      <c r="D985" s="36" t="s">
        <v>1358</v>
      </c>
      <c r="E985" s="37">
        <v>39095</v>
      </c>
      <c r="F985" s="37" t="s">
        <v>4026</v>
      </c>
      <c r="G985" s="38">
        <v>419.52</v>
      </c>
      <c r="H985" s="38"/>
      <c r="I985" s="37"/>
      <c r="J985" s="37"/>
      <c r="K985" s="38">
        <f t="shared" si="15"/>
        <v>419.52</v>
      </c>
      <c r="L985" s="38"/>
    </row>
    <row r="986" spans="1:12" ht="14.5" x14ac:dyDescent="0.35">
      <c r="A986" s="45" t="s">
        <v>3588</v>
      </c>
      <c r="C986" s="36">
        <v>45900</v>
      </c>
      <c r="D986" s="36" t="s">
        <v>1371</v>
      </c>
      <c r="E986" s="37">
        <v>39096</v>
      </c>
      <c r="F986" s="37" t="s">
        <v>4026</v>
      </c>
      <c r="G986" s="38">
        <v>2153.42</v>
      </c>
      <c r="H986" s="38"/>
      <c r="I986" s="37"/>
      <c r="J986" s="37"/>
      <c r="K986" s="38">
        <f t="shared" si="15"/>
        <v>2153.42</v>
      </c>
      <c r="L986" s="38"/>
    </row>
    <row r="987" spans="1:12" ht="14.5" x14ac:dyDescent="0.35">
      <c r="A987" s="45" t="s">
        <v>3588</v>
      </c>
      <c r="C987" s="36">
        <v>45900</v>
      </c>
      <c r="D987" s="36" t="s">
        <v>1376</v>
      </c>
      <c r="E987" s="37">
        <v>39097</v>
      </c>
      <c r="F987" s="37" t="s">
        <v>4026</v>
      </c>
      <c r="G987" s="38">
        <v>12.05</v>
      </c>
      <c r="H987" s="38"/>
      <c r="I987" s="37"/>
      <c r="J987" s="37"/>
      <c r="K987" s="38">
        <f t="shared" si="15"/>
        <v>12.05</v>
      </c>
      <c r="L987" s="38"/>
    </row>
    <row r="988" spans="1:12" ht="14.5" x14ac:dyDescent="0.35">
      <c r="A988" s="45" t="s">
        <v>3588</v>
      </c>
      <c r="C988" s="36">
        <v>45900</v>
      </c>
      <c r="D988" s="36" t="s">
        <v>1426</v>
      </c>
      <c r="E988" s="37">
        <v>39098</v>
      </c>
      <c r="F988" s="37" t="s">
        <v>4026</v>
      </c>
      <c r="G988" s="38">
        <v>6120.17</v>
      </c>
      <c r="H988" s="38"/>
      <c r="I988" s="37"/>
      <c r="J988" s="37"/>
      <c r="K988" s="38">
        <f t="shared" si="15"/>
        <v>6120.17</v>
      </c>
      <c r="L988" s="38"/>
    </row>
    <row r="989" spans="1:12" ht="14.5" x14ac:dyDescent="0.35">
      <c r="A989" s="45" t="s">
        <v>3588</v>
      </c>
      <c r="C989" s="36">
        <v>45900</v>
      </c>
      <c r="D989" s="36" t="s">
        <v>3474</v>
      </c>
      <c r="E989" s="37">
        <v>39099</v>
      </c>
      <c r="F989" s="37" t="s">
        <v>4026</v>
      </c>
      <c r="G989" s="38">
        <v>8003.11</v>
      </c>
      <c r="H989" s="38"/>
      <c r="I989" s="37"/>
      <c r="J989" s="37"/>
      <c r="K989" s="38">
        <f t="shared" si="15"/>
        <v>8003.11</v>
      </c>
      <c r="L989" s="38"/>
    </row>
    <row r="990" spans="1:12" ht="14.5" x14ac:dyDescent="0.35">
      <c r="A990" s="45" t="s">
        <v>3588</v>
      </c>
      <c r="C990" s="36">
        <v>45900</v>
      </c>
      <c r="D990" s="36" t="s">
        <v>3569</v>
      </c>
      <c r="E990" s="37">
        <v>39100</v>
      </c>
      <c r="F990" s="37" t="s">
        <v>4026</v>
      </c>
      <c r="G990" s="38">
        <v>612.88</v>
      </c>
      <c r="H990" s="38"/>
      <c r="I990" s="37"/>
      <c r="J990" s="37"/>
      <c r="K990" s="38">
        <f t="shared" si="15"/>
        <v>612.88</v>
      </c>
      <c r="L990" s="38"/>
    </row>
    <row r="991" spans="1:12" ht="14.5" x14ac:dyDescent="0.35">
      <c r="A991" s="45" t="s">
        <v>3588</v>
      </c>
      <c r="C991" s="36">
        <v>45900</v>
      </c>
      <c r="D991" s="36" t="s">
        <v>3554</v>
      </c>
      <c r="E991" s="37">
        <v>39101</v>
      </c>
      <c r="F991" s="37" t="s">
        <v>4026</v>
      </c>
      <c r="G991" s="38">
        <v>18</v>
      </c>
      <c r="H991" s="38"/>
      <c r="I991" s="37"/>
      <c r="J991" s="37"/>
      <c r="K991" s="38">
        <f t="shared" si="15"/>
        <v>18</v>
      </c>
      <c r="L991" s="38"/>
    </row>
    <row r="992" spans="1:12" ht="14.5" x14ac:dyDescent="0.35">
      <c r="A992" s="45" t="s">
        <v>3588</v>
      </c>
      <c r="C992" s="36">
        <v>45900</v>
      </c>
      <c r="D992" s="36" t="s">
        <v>3570</v>
      </c>
      <c r="E992" s="37">
        <v>39102</v>
      </c>
      <c r="F992" s="37" t="s">
        <v>4026</v>
      </c>
      <c r="G992" s="38">
        <v>11734.369999999999</v>
      </c>
      <c r="H992" s="38"/>
      <c r="I992" s="37"/>
      <c r="J992" s="37"/>
      <c r="K992" s="38">
        <f t="shared" si="15"/>
        <v>11734.369999999999</v>
      </c>
      <c r="L992" s="38"/>
    </row>
    <row r="993" spans="1:12" ht="14.5" x14ac:dyDescent="0.35">
      <c r="A993" s="45" t="s">
        <v>3588</v>
      </c>
      <c r="C993" s="36">
        <v>45900</v>
      </c>
      <c r="D993" s="36" t="s">
        <v>1656</v>
      </c>
      <c r="E993" s="37">
        <v>39103</v>
      </c>
      <c r="F993" s="37" t="s">
        <v>4026</v>
      </c>
      <c r="G993" s="38">
        <v>7479.1600000000008</v>
      </c>
      <c r="H993" s="38"/>
      <c r="I993" s="37"/>
      <c r="J993" s="37"/>
      <c r="K993" s="38">
        <f t="shared" si="15"/>
        <v>7479.1600000000008</v>
      </c>
      <c r="L993" s="38"/>
    </row>
    <row r="994" spans="1:12" ht="14.5" x14ac:dyDescent="0.35">
      <c r="A994" s="45" t="s">
        <v>3588</v>
      </c>
      <c r="C994" s="36">
        <v>45900</v>
      </c>
      <c r="D994" s="36" t="s">
        <v>2906</v>
      </c>
      <c r="E994" s="37">
        <v>39104</v>
      </c>
      <c r="F994" s="37" t="s">
        <v>4026</v>
      </c>
      <c r="G994" s="38">
        <v>1242.3200000000002</v>
      </c>
      <c r="H994" s="38"/>
      <c r="I994" s="37"/>
      <c r="J994" s="37"/>
      <c r="K994" s="38">
        <f t="shared" si="15"/>
        <v>1242.3200000000002</v>
      </c>
      <c r="L994" s="38"/>
    </row>
    <row r="995" spans="1:12" ht="14.5" x14ac:dyDescent="0.35">
      <c r="A995" s="45" t="s">
        <v>3588</v>
      </c>
      <c r="C995" s="36">
        <v>45900</v>
      </c>
      <c r="D995" s="36" t="s">
        <v>3534</v>
      </c>
      <c r="E995" s="37">
        <v>39105</v>
      </c>
      <c r="F995" s="37" t="s">
        <v>4026</v>
      </c>
      <c r="G995" s="38">
        <v>1225.57</v>
      </c>
      <c r="H995" s="38"/>
      <c r="I995" s="37"/>
      <c r="J995" s="37"/>
      <c r="K995" s="38">
        <f t="shared" si="15"/>
        <v>1225.57</v>
      </c>
      <c r="L995" s="38"/>
    </row>
    <row r="996" spans="1:12" ht="14.5" x14ac:dyDescent="0.35">
      <c r="A996" s="45" t="s">
        <v>3588</v>
      </c>
      <c r="C996" s="36">
        <v>45900</v>
      </c>
      <c r="D996" s="36" t="s">
        <v>3571</v>
      </c>
      <c r="E996" s="37">
        <v>39106</v>
      </c>
      <c r="F996" s="37" t="s">
        <v>4026</v>
      </c>
      <c r="G996" s="38">
        <v>93.44</v>
      </c>
      <c r="H996" s="38"/>
      <c r="I996" s="37"/>
      <c r="J996" s="37"/>
      <c r="K996" s="38">
        <f t="shared" si="15"/>
        <v>93.44</v>
      </c>
      <c r="L996" s="38"/>
    </row>
    <row r="997" spans="1:12" ht="14.5" x14ac:dyDescent="0.35">
      <c r="A997" s="45" t="s">
        <v>3588</v>
      </c>
      <c r="C997" s="36">
        <v>45900</v>
      </c>
      <c r="D997" s="36" t="s">
        <v>3230</v>
      </c>
      <c r="E997" s="37">
        <v>39107</v>
      </c>
      <c r="F997" s="37" t="s">
        <v>4026</v>
      </c>
      <c r="G997" s="38">
        <v>108369.32000000002</v>
      </c>
      <c r="H997" s="38"/>
      <c r="I997" s="37"/>
      <c r="J997" s="37"/>
      <c r="K997" s="38">
        <f t="shared" si="15"/>
        <v>108369.32000000002</v>
      </c>
      <c r="L997" s="38"/>
    </row>
    <row r="998" spans="1:12" ht="14.5" x14ac:dyDescent="0.35">
      <c r="A998" s="45" t="s">
        <v>3588</v>
      </c>
      <c r="C998" s="36">
        <v>45900</v>
      </c>
      <c r="D998" s="36" t="s">
        <v>2467</v>
      </c>
      <c r="E998" s="37">
        <v>39108</v>
      </c>
      <c r="F998" s="37" t="s">
        <v>4026</v>
      </c>
      <c r="G998" s="38">
        <v>33038.870000000003</v>
      </c>
      <c r="H998" s="38"/>
      <c r="I998" s="37"/>
      <c r="J998" s="37"/>
      <c r="K998" s="38">
        <f t="shared" si="15"/>
        <v>33038.870000000003</v>
      </c>
      <c r="L998" s="38"/>
    </row>
    <row r="999" spans="1:12" ht="14.5" x14ac:dyDescent="0.35">
      <c r="A999" s="45" t="s">
        <v>3588</v>
      </c>
      <c r="C999" s="36">
        <v>45900</v>
      </c>
      <c r="D999" s="36" t="s">
        <v>1839</v>
      </c>
      <c r="E999" s="37">
        <v>39109</v>
      </c>
      <c r="F999" s="37" t="s">
        <v>4026</v>
      </c>
      <c r="G999" s="38">
        <v>5616.6100000000006</v>
      </c>
      <c r="H999" s="38"/>
      <c r="I999" s="37"/>
      <c r="J999" s="37"/>
      <c r="K999" s="38">
        <f t="shared" si="15"/>
        <v>5616.6100000000006</v>
      </c>
      <c r="L999" s="38"/>
    </row>
    <row r="1000" spans="1:12" ht="14.5" x14ac:dyDescent="0.35">
      <c r="A1000" s="45" t="s">
        <v>3588</v>
      </c>
      <c r="C1000" s="36">
        <v>45900</v>
      </c>
      <c r="D1000" s="36" t="s">
        <v>1919</v>
      </c>
      <c r="E1000" s="37">
        <v>39110</v>
      </c>
      <c r="F1000" s="37" t="s">
        <v>4026</v>
      </c>
      <c r="G1000" s="38">
        <v>359.2</v>
      </c>
      <c r="H1000" s="38"/>
      <c r="I1000" s="37"/>
      <c r="J1000" s="37"/>
      <c r="K1000" s="38">
        <f t="shared" si="15"/>
        <v>359.2</v>
      </c>
      <c r="L1000" s="38"/>
    </row>
    <row r="1001" spans="1:12" ht="14.5" x14ac:dyDescent="0.35">
      <c r="A1001" s="45" t="s">
        <v>3588</v>
      </c>
      <c r="C1001" s="36">
        <v>45900</v>
      </c>
      <c r="D1001" s="36" t="s">
        <v>1999</v>
      </c>
      <c r="E1001" s="37">
        <v>39111</v>
      </c>
      <c r="F1001" s="37" t="s">
        <v>4026</v>
      </c>
      <c r="G1001" s="38">
        <v>74594.319999999992</v>
      </c>
      <c r="H1001" s="38"/>
      <c r="I1001" s="37"/>
      <c r="J1001" s="37"/>
      <c r="K1001" s="38">
        <f t="shared" si="15"/>
        <v>74594.319999999992</v>
      </c>
      <c r="L1001" s="38"/>
    </row>
    <row r="1002" spans="1:12" ht="14.5" x14ac:dyDescent="0.35">
      <c r="A1002" s="45" t="s">
        <v>3588</v>
      </c>
      <c r="C1002" s="36">
        <v>45900</v>
      </c>
      <c r="D1002" s="36" t="s">
        <v>2555</v>
      </c>
      <c r="E1002" s="37">
        <v>39112</v>
      </c>
      <c r="F1002" s="37" t="s">
        <v>4026</v>
      </c>
      <c r="G1002" s="38">
        <v>8199.75</v>
      </c>
      <c r="H1002" s="38"/>
      <c r="I1002" s="37"/>
      <c r="J1002" s="37"/>
      <c r="K1002" s="38">
        <f t="shared" si="15"/>
        <v>8199.75</v>
      </c>
      <c r="L1002" s="38"/>
    </row>
    <row r="1003" spans="1:12" ht="14.5" x14ac:dyDescent="0.35">
      <c r="A1003" s="45" t="s">
        <v>3588</v>
      </c>
      <c r="C1003" s="36">
        <v>45900</v>
      </c>
      <c r="D1003" s="36" t="s">
        <v>2846</v>
      </c>
      <c r="E1003" s="37">
        <v>39113</v>
      </c>
      <c r="F1003" s="37" t="s">
        <v>4026</v>
      </c>
      <c r="G1003" s="38">
        <v>5665.88</v>
      </c>
      <c r="H1003" s="38"/>
      <c r="I1003" s="37"/>
      <c r="J1003" s="37"/>
      <c r="K1003" s="38">
        <f t="shared" si="15"/>
        <v>5665.88</v>
      </c>
      <c r="L1003" s="38"/>
    </row>
    <row r="1004" spans="1:12" ht="14.5" x14ac:dyDescent="0.35">
      <c r="A1004" s="45" t="s">
        <v>3588</v>
      </c>
      <c r="C1004" s="36">
        <v>45900</v>
      </c>
      <c r="D1004" s="36" t="s">
        <v>2027</v>
      </c>
      <c r="E1004" s="37">
        <v>39114</v>
      </c>
      <c r="F1004" s="37" t="s">
        <v>4026</v>
      </c>
      <c r="G1004" s="38">
        <v>22879.89</v>
      </c>
      <c r="H1004" s="38"/>
      <c r="I1004" s="37"/>
      <c r="J1004" s="37"/>
      <c r="K1004" s="38">
        <f t="shared" si="15"/>
        <v>22879.89</v>
      </c>
      <c r="L1004" s="38"/>
    </row>
    <row r="1005" spans="1:12" ht="14.5" x14ac:dyDescent="0.35">
      <c r="A1005" s="45" t="s">
        <v>3588</v>
      </c>
      <c r="C1005" s="36">
        <v>45900</v>
      </c>
      <c r="D1005" s="36" t="s">
        <v>2067</v>
      </c>
      <c r="E1005" s="37">
        <v>39115</v>
      </c>
      <c r="F1005" s="37" t="s">
        <v>4026</v>
      </c>
      <c r="G1005" s="38">
        <v>42631.83</v>
      </c>
      <c r="H1005" s="38"/>
      <c r="I1005" s="37"/>
      <c r="J1005" s="37"/>
      <c r="K1005" s="38">
        <f t="shared" si="15"/>
        <v>42631.83</v>
      </c>
      <c r="L1005" s="38"/>
    </row>
    <row r="1006" spans="1:12" ht="14.5" x14ac:dyDescent="0.35">
      <c r="A1006" s="45" t="s">
        <v>3588</v>
      </c>
      <c r="C1006" s="36">
        <v>45900</v>
      </c>
      <c r="D1006" s="36" t="s">
        <v>2575</v>
      </c>
      <c r="E1006" s="37">
        <v>39116</v>
      </c>
      <c r="F1006" s="37" t="s">
        <v>4026</v>
      </c>
      <c r="G1006" s="38">
        <v>199.07999999999998</v>
      </c>
      <c r="H1006" s="38"/>
      <c r="I1006" s="37"/>
      <c r="J1006" s="37"/>
      <c r="K1006" s="38">
        <f t="shared" si="15"/>
        <v>199.07999999999998</v>
      </c>
      <c r="L1006" s="38"/>
    </row>
    <row r="1007" spans="1:12" ht="14.5" x14ac:dyDescent="0.35">
      <c r="A1007" s="45" t="s">
        <v>3588</v>
      </c>
      <c r="C1007" s="36">
        <v>45900</v>
      </c>
      <c r="D1007" s="36" t="s">
        <v>2144</v>
      </c>
      <c r="E1007" s="37">
        <v>39117</v>
      </c>
      <c r="F1007" s="37" t="s">
        <v>4026</v>
      </c>
      <c r="G1007" s="38">
        <v>11039.179999999998</v>
      </c>
      <c r="H1007" s="38"/>
      <c r="I1007" s="37"/>
      <c r="J1007" s="37"/>
      <c r="K1007" s="38">
        <f t="shared" si="15"/>
        <v>11039.179999999998</v>
      </c>
      <c r="L1007" s="38"/>
    </row>
    <row r="1008" spans="1:12" ht="14.5" x14ac:dyDescent="0.35">
      <c r="A1008" s="45" t="s">
        <v>3588</v>
      </c>
      <c r="C1008" s="36">
        <v>45900</v>
      </c>
      <c r="D1008" s="36" t="s">
        <v>2629</v>
      </c>
      <c r="E1008" s="37">
        <v>39118</v>
      </c>
      <c r="F1008" s="37" t="s">
        <v>4026</v>
      </c>
      <c r="G1008" s="38">
        <v>8706.17</v>
      </c>
      <c r="H1008" s="38"/>
      <c r="I1008" s="37"/>
      <c r="J1008" s="37"/>
      <c r="K1008" s="38">
        <f t="shared" si="15"/>
        <v>8706.17</v>
      </c>
      <c r="L1008" s="38"/>
    </row>
    <row r="1009" spans="1:12" ht="14.5" x14ac:dyDescent="0.35">
      <c r="A1009" s="45" t="s">
        <v>3588</v>
      </c>
      <c r="C1009" s="36">
        <v>45900</v>
      </c>
      <c r="D1009" s="36" t="s">
        <v>3476</v>
      </c>
      <c r="E1009" s="37">
        <v>39119</v>
      </c>
      <c r="F1009" s="37" t="s">
        <v>4026</v>
      </c>
      <c r="G1009" s="38">
        <v>766.56</v>
      </c>
      <c r="H1009" s="38"/>
      <c r="I1009" s="37"/>
      <c r="J1009" s="37"/>
      <c r="K1009" s="38">
        <f t="shared" si="15"/>
        <v>766.56</v>
      </c>
      <c r="L1009" s="38"/>
    </row>
    <row r="1010" spans="1:12" ht="14.5" x14ac:dyDescent="0.35">
      <c r="A1010" s="45" t="s">
        <v>3588</v>
      </c>
      <c r="C1010" s="36">
        <v>45900</v>
      </c>
      <c r="D1010" s="36" t="s">
        <v>3572</v>
      </c>
      <c r="E1010" s="37">
        <v>39120</v>
      </c>
      <c r="F1010" s="37" t="s">
        <v>4026</v>
      </c>
      <c r="G1010" s="38">
        <v>180.9</v>
      </c>
      <c r="H1010" s="38"/>
      <c r="I1010" s="37"/>
      <c r="J1010" s="37"/>
      <c r="K1010" s="38">
        <f t="shared" si="15"/>
        <v>180.9</v>
      </c>
      <c r="L1010" s="38"/>
    </row>
    <row r="1011" spans="1:12" ht="14.5" x14ac:dyDescent="0.35">
      <c r="A1011" s="45" t="s">
        <v>3588</v>
      </c>
      <c r="C1011" s="36">
        <v>45900</v>
      </c>
      <c r="D1011" s="36" t="s">
        <v>3144</v>
      </c>
      <c r="E1011" s="37">
        <v>39121</v>
      </c>
      <c r="F1011" s="37" t="s">
        <v>4026</v>
      </c>
      <c r="G1011" s="38">
        <v>329.85</v>
      </c>
      <c r="H1011" s="38"/>
      <c r="I1011" s="37"/>
      <c r="J1011" s="37"/>
      <c r="K1011" s="38">
        <f t="shared" si="15"/>
        <v>329.85</v>
      </c>
      <c r="L1011" s="38"/>
    </row>
    <row r="1012" spans="1:12" ht="14.5" x14ac:dyDescent="0.35">
      <c r="A1012" s="45" t="s">
        <v>3588</v>
      </c>
      <c r="C1012" s="36">
        <v>45900</v>
      </c>
      <c r="D1012" s="36" t="s">
        <v>2459</v>
      </c>
      <c r="E1012" s="37">
        <v>39122</v>
      </c>
      <c r="F1012" s="37" t="s">
        <v>4026</v>
      </c>
      <c r="G1012" s="38">
        <v>4449.7700000000004</v>
      </c>
      <c r="H1012" s="38"/>
      <c r="I1012" s="37"/>
      <c r="J1012" s="37"/>
      <c r="K1012" s="38">
        <f t="shared" si="15"/>
        <v>4449.7700000000004</v>
      </c>
      <c r="L1012" s="38"/>
    </row>
    <row r="1013" spans="1:12" ht="14.5" x14ac:dyDescent="0.35">
      <c r="A1013" s="45" t="s">
        <v>3588</v>
      </c>
      <c r="C1013" s="36">
        <v>45900</v>
      </c>
      <c r="D1013" s="36" t="s">
        <v>2392</v>
      </c>
      <c r="E1013" s="37">
        <v>39124</v>
      </c>
      <c r="F1013" s="37" t="s">
        <v>4026</v>
      </c>
      <c r="G1013" s="38">
        <v>10762.41</v>
      </c>
      <c r="H1013" s="38"/>
      <c r="I1013" s="37"/>
      <c r="J1013" s="37"/>
      <c r="K1013" s="38">
        <f t="shared" si="15"/>
        <v>10762.41</v>
      </c>
      <c r="L1013" s="38"/>
    </row>
    <row r="1014" spans="1:12" ht="14.5" x14ac:dyDescent="0.35">
      <c r="B1014" s="46" t="s">
        <v>3589</v>
      </c>
      <c r="C1014" s="36">
        <v>45870</v>
      </c>
      <c r="D1014" s="36" t="s">
        <v>1263</v>
      </c>
      <c r="E1014" s="37" t="s">
        <v>2637</v>
      </c>
      <c r="F1014" s="37" t="s">
        <v>4026</v>
      </c>
      <c r="G1014" s="38"/>
      <c r="H1014" s="38">
        <v>45093.1</v>
      </c>
      <c r="I1014" s="37"/>
      <c r="J1014" s="37"/>
      <c r="K1014" s="38">
        <f t="shared" si="15"/>
        <v>-45093.1</v>
      </c>
      <c r="L1014" s="38"/>
    </row>
    <row r="1015" spans="1:12" ht="14.5" x14ac:dyDescent="0.35">
      <c r="B1015" s="46" t="s">
        <v>3589</v>
      </c>
      <c r="C1015" s="36">
        <v>45870</v>
      </c>
      <c r="D1015" s="36" t="s">
        <v>702</v>
      </c>
      <c r="E1015" s="37">
        <v>41188101</v>
      </c>
      <c r="F1015" s="37" t="s">
        <v>4026</v>
      </c>
      <c r="G1015" s="38"/>
      <c r="H1015" s="38">
        <v>113.4</v>
      </c>
      <c r="I1015" s="37"/>
      <c r="J1015" s="37"/>
      <c r="K1015" s="38"/>
      <c r="L1015" s="38"/>
    </row>
    <row r="1016" spans="1:12" ht="14.5" x14ac:dyDescent="0.35">
      <c r="B1016" s="46" t="s">
        <v>3589</v>
      </c>
      <c r="C1016" s="36">
        <v>45873</v>
      </c>
      <c r="D1016" s="36" t="s">
        <v>1475</v>
      </c>
      <c r="E1016" s="37" t="s">
        <v>2638</v>
      </c>
      <c r="F1016" s="37" t="s">
        <v>4026</v>
      </c>
      <c r="G1016" s="38"/>
      <c r="H1016" s="38">
        <v>21564.59</v>
      </c>
      <c r="I1016" s="37"/>
      <c r="J1016" s="37"/>
      <c r="K1016" s="38"/>
      <c r="L1016" s="38"/>
    </row>
    <row r="1017" spans="1:12" ht="14.5" x14ac:dyDescent="0.35">
      <c r="B1017" s="46" t="s">
        <v>3589</v>
      </c>
      <c r="C1017" s="36">
        <v>45873</v>
      </c>
      <c r="D1017" s="36" t="s">
        <v>2644</v>
      </c>
      <c r="E1017" s="37">
        <v>38633</v>
      </c>
      <c r="F1017" s="37" t="s">
        <v>4026</v>
      </c>
      <c r="G1017" s="38"/>
      <c r="H1017" s="38">
        <v>996.55</v>
      </c>
      <c r="I1017" s="37"/>
      <c r="J1017" s="37"/>
      <c r="K1017" s="38"/>
      <c r="L1017" s="38"/>
    </row>
    <row r="1018" spans="1:12" ht="14.5" x14ac:dyDescent="0.35">
      <c r="B1018" s="46" t="s">
        <v>3589</v>
      </c>
      <c r="C1018" s="36">
        <v>45874</v>
      </c>
      <c r="D1018" s="36" t="s">
        <v>1582</v>
      </c>
      <c r="E1018" s="37" t="s">
        <v>2639</v>
      </c>
      <c r="F1018" s="37" t="s">
        <v>4026</v>
      </c>
      <c r="G1018" s="38"/>
      <c r="H1018" s="38">
        <v>14077.810000000001</v>
      </c>
      <c r="I1018" s="37"/>
      <c r="J1018" s="37"/>
      <c r="K1018" s="38"/>
      <c r="L1018" s="38"/>
    </row>
    <row r="1019" spans="1:12" ht="14.5" x14ac:dyDescent="0.35">
      <c r="B1019" s="46" t="s">
        <v>3589</v>
      </c>
      <c r="C1019" s="36">
        <v>45874</v>
      </c>
      <c r="D1019" s="36" t="s">
        <v>2628</v>
      </c>
      <c r="E1019" s="37" t="s">
        <v>2640</v>
      </c>
      <c r="F1019" s="37" t="s">
        <v>4026</v>
      </c>
      <c r="G1019" s="38"/>
      <c r="H1019" s="38">
        <v>11730.059999999998</v>
      </c>
      <c r="I1019" s="37"/>
      <c r="J1019" s="37"/>
      <c r="K1019" s="38"/>
      <c r="L1019" s="38"/>
    </row>
    <row r="1020" spans="1:12" ht="14.5" x14ac:dyDescent="0.35">
      <c r="B1020" s="46" t="s">
        <v>3589</v>
      </c>
      <c r="C1020" s="36">
        <v>45874</v>
      </c>
      <c r="D1020" s="36" t="s">
        <v>2628</v>
      </c>
      <c r="E1020" s="37" t="s">
        <v>2641</v>
      </c>
      <c r="F1020" s="37" t="s">
        <v>4026</v>
      </c>
      <c r="G1020" s="38"/>
      <c r="H1020" s="38">
        <v>7314.78</v>
      </c>
      <c r="I1020" s="37"/>
      <c r="J1020" s="37"/>
      <c r="K1020" s="38"/>
      <c r="L1020" s="38"/>
    </row>
    <row r="1021" spans="1:12" ht="14.5" x14ac:dyDescent="0.35">
      <c r="B1021" s="46" t="s">
        <v>3589</v>
      </c>
      <c r="C1021" s="36">
        <v>45874</v>
      </c>
      <c r="D1021" s="36" t="s">
        <v>2628</v>
      </c>
      <c r="E1021" s="37" t="s">
        <v>2642</v>
      </c>
      <c r="F1021" s="37" t="s">
        <v>4026</v>
      </c>
      <c r="G1021" s="38"/>
      <c r="H1021" s="38">
        <v>1256.79</v>
      </c>
      <c r="I1021" s="37"/>
      <c r="J1021" s="37"/>
      <c r="K1021" s="38"/>
      <c r="L1021" s="38"/>
    </row>
    <row r="1022" spans="1:12" ht="14.5" x14ac:dyDescent="0.35">
      <c r="B1022" s="46" t="s">
        <v>3589</v>
      </c>
      <c r="C1022" s="36">
        <v>45876</v>
      </c>
      <c r="D1022" s="36" t="s">
        <v>1263</v>
      </c>
      <c r="E1022" s="37">
        <v>37687</v>
      </c>
      <c r="F1022" s="37" t="s">
        <v>4026</v>
      </c>
      <c r="G1022" s="38"/>
      <c r="H1022" s="38">
        <v>222.07</v>
      </c>
      <c r="I1022" s="37"/>
      <c r="J1022" s="37"/>
      <c r="K1022" s="38"/>
      <c r="L1022" s="38"/>
    </row>
    <row r="1023" spans="1:12" ht="14.5" x14ac:dyDescent="0.35">
      <c r="B1023" s="46" t="s">
        <v>3589</v>
      </c>
      <c r="C1023" s="36">
        <v>45876</v>
      </c>
      <c r="D1023" s="36" t="s">
        <v>1263</v>
      </c>
      <c r="E1023" s="37" t="s">
        <v>2643</v>
      </c>
      <c r="F1023" s="37" t="s">
        <v>4026</v>
      </c>
      <c r="G1023" s="38"/>
      <c r="H1023" s="38">
        <v>708.57</v>
      </c>
      <c r="I1023" s="37"/>
      <c r="J1023" s="37"/>
      <c r="K1023" s="38"/>
      <c r="L1023" s="38"/>
    </row>
    <row r="1024" spans="1:12" ht="14.5" x14ac:dyDescent="0.35">
      <c r="B1024" s="46" t="s">
        <v>3589</v>
      </c>
      <c r="C1024" s="36">
        <v>45876</v>
      </c>
      <c r="D1024" s="36" t="s">
        <v>2650</v>
      </c>
      <c r="E1024" s="37">
        <v>38661</v>
      </c>
      <c r="F1024" s="37" t="s">
        <v>4026</v>
      </c>
      <c r="G1024" s="38"/>
      <c r="H1024" s="38">
        <v>2966.73</v>
      </c>
      <c r="I1024" s="37"/>
      <c r="J1024" s="37"/>
      <c r="K1024" s="38"/>
      <c r="L1024" s="38"/>
    </row>
    <row r="1025" spans="2:12" ht="14.5" x14ac:dyDescent="0.35">
      <c r="B1025" s="46" t="s">
        <v>3589</v>
      </c>
      <c r="C1025" s="36">
        <v>45877</v>
      </c>
      <c r="D1025" s="36" t="s">
        <v>1839</v>
      </c>
      <c r="E1025" s="37">
        <v>36248</v>
      </c>
      <c r="F1025" s="37" t="s">
        <v>4026</v>
      </c>
      <c r="G1025" s="38"/>
      <c r="H1025" s="38">
        <v>20</v>
      </c>
      <c r="I1025" s="37"/>
      <c r="J1025" s="37"/>
      <c r="K1025" s="38"/>
      <c r="L1025" s="38"/>
    </row>
    <row r="1026" spans="2:12" ht="14.5" x14ac:dyDescent="0.35">
      <c r="B1026" s="46" t="s">
        <v>3589</v>
      </c>
      <c r="C1026" s="36">
        <v>45877</v>
      </c>
      <c r="D1026" s="36" t="s">
        <v>1839</v>
      </c>
      <c r="E1026" s="37">
        <v>36250</v>
      </c>
      <c r="F1026" s="37" t="s">
        <v>4026</v>
      </c>
      <c r="G1026" s="38"/>
      <c r="H1026" s="38">
        <v>7206.6299999999992</v>
      </c>
      <c r="I1026" s="37"/>
      <c r="J1026" s="37"/>
      <c r="K1026" s="38"/>
      <c r="L1026" s="38"/>
    </row>
    <row r="1027" spans="2:12" ht="14.5" x14ac:dyDescent="0.35">
      <c r="B1027" s="46" t="s">
        <v>3589</v>
      </c>
      <c r="C1027" s="36">
        <v>45877</v>
      </c>
      <c r="D1027" s="36" t="s">
        <v>1035</v>
      </c>
      <c r="E1027" s="37" t="s">
        <v>2645</v>
      </c>
      <c r="F1027" s="37" t="s">
        <v>4026</v>
      </c>
      <c r="G1027" s="38"/>
      <c r="H1027" s="38">
        <v>708.07999999999993</v>
      </c>
      <c r="I1027" s="37"/>
      <c r="J1027" s="37"/>
      <c r="K1027" s="38"/>
      <c r="L1027" s="38"/>
    </row>
    <row r="1028" spans="2:12" ht="14.5" x14ac:dyDescent="0.35">
      <c r="B1028" s="46" t="s">
        <v>3589</v>
      </c>
      <c r="C1028" s="36">
        <v>45877</v>
      </c>
      <c r="D1028" s="36" t="s">
        <v>2662</v>
      </c>
      <c r="E1028" s="37">
        <v>38292</v>
      </c>
      <c r="F1028" s="37" t="s">
        <v>4026</v>
      </c>
      <c r="G1028" s="38"/>
      <c r="H1028" s="38">
        <v>24766.760000000002</v>
      </c>
      <c r="I1028" s="37"/>
      <c r="J1028" s="37"/>
      <c r="K1028" s="38"/>
      <c r="L1028" s="38"/>
    </row>
    <row r="1029" spans="2:12" ht="14.5" x14ac:dyDescent="0.35">
      <c r="B1029" s="46" t="s">
        <v>3589</v>
      </c>
      <c r="C1029" s="36">
        <v>45877</v>
      </c>
      <c r="D1029" s="36" t="s">
        <v>2662</v>
      </c>
      <c r="E1029" s="37" t="s">
        <v>2646</v>
      </c>
      <c r="F1029" s="37" t="s">
        <v>4026</v>
      </c>
      <c r="G1029" s="38"/>
      <c r="H1029" s="38">
        <v>9768.7000000000007</v>
      </c>
      <c r="I1029" s="37"/>
      <c r="J1029" s="37"/>
      <c r="K1029" s="38"/>
      <c r="L1029" s="38"/>
    </row>
    <row r="1030" spans="2:12" ht="14.5" x14ac:dyDescent="0.35">
      <c r="B1030" s="46" t="s">
        <v>3589</v>
      </c>
      <c r="C1030" s="36">
        <v>45880</v>
      </c>
      <c r="D1030" s="36" t="s">
        <v>1179</v>
      </c>
      <c r="E1030" s="37" t="s">
        <v>2647</v>
      </c>
      <c r="F1030" s="37" t="s">
        <v>4026</v>
      </c>
      <c r="G1030" s="38"/>
      <c r="H1030" s="38">
        <v>566.78</v>
      </c>
      <c r="I1030" s="37"/>
      <c r="J1030" s="37"/>
      <c r="K1030" s="38"/>
      <c r="L1030" s="38"/>
    </row>
    <row r="1031" spans="2:12" ht="14.5" x14ac:dyDescent="0.35">
      <c r="B1031" s="46" t="s">
        <v>3589</v>
      </c>
      <c r="C1031" s="36">
        <v>45880</v>
      </c>
      <c r="D1031" s="36" t="s">
        <v>2677</v>
      </c>
      <c r="E1031" s="37">
        <v>38259</v>
      </c>
      <c r="F1031" s="37" t="s">
        <v>4026</v>
      </c>
      <c r="G1031" s="38"/>
      <c r="H1031" s="38">
        <v>365.65</v>
      </c>
      <c r="I1031" s="37"/>
      <c r="J1031" s="37"/>
      <c r="K1031" s="38"/>
      <c r="L1031" s="38"/>
    </row>
    <row r="1032" spans="2:12" ht="14.5" x14ac:dyDescent="0.35">
      <c r="B1032" s="46" t="s">
        <v>3589</v>
      </c>
      <c r="C1032" s="36">
        <v>45880</v>
      </c>
      <c r="D1032" s="36" t="s">
        <v>2677</v>
      </c>
      <c r="E1032" s="37">
        <v>38260</v>
      </c>
      <c r="F1032" s="37" t="s">
        <v>4026</v>
      </c>
      <c r="G1032" s="38"/>
      <c r="H1032" s="38">
        <v>6467.3200000000006</v>
      </c>
      <c r="I1032" s="37"/>
      <c r="J1032" s="37"/>
      <c r="K1032" s="38"/>
      <c r="L1032" s="38"/>
    </row>
    <row r="1033" spans="2:12" ht="14.5" x14ac:dyDescent="0.35">
      <c r="B1033" s="46" t="s">
        <v>3589</v>
      </c>
      <c r="C1033" s="36">
        <v>45880</v>
      </c>
      <c r="D1033" s="36" t="s">
        <v>2205</v>
      </c>
      <c r="E1033" s="37">
        <v>38579</v>
      </c>
      <c r="F1033" s="37" t="s">
        <v>4026</v>
      </c>
      <c r="G1033" s="38"/>
      <c r="H1033" s="38">
        <v>990.31</v>
      </c>
      <c r="I1033" s="37"/>
      <c r="J1033" s="37"/>
      <c r="K1033" s="38"/>
      <c r="L1033" s="38"/>
    </row>
    <row r="1034" spans="2:12" ht="14.5" x14ac:dyDescent="0.35">
      <c r="B1034" s="46" t="s">
        <v>3589</v>
      </c>
      <c r="C1034" s="36">
        <v>45881</v>
      </c>
      <c r="D1034" s="36" t="s">
        <v>1179</v>
      </c>
      <c r="E1034" s="37" t="s">
        <v>2648</v>
      </c>
      <c r="F1034" s="37" t="s">
        <v>4026</v>
      </c>
      <c r="G1034" s="38">
        <v>147.47999999999999</v>
      </c>
      <c r="H1034" s="38">
        <v>0</v>
      </c>
      <c r="I1034" s="37"/>
      <c r="J1034" s="37"/>
      <c r="K1034" s="38"/>
      <c r="L1034" s="38"/>
    </row>
    <row r="1035" spans="2:12" ht="14.5" x14ac:dyDescent="0.35">
      <c r="B1035" s="46" t="s">
        <v>3589</v>
      </c>
      <c r="C1035" s="36">
        <v>45881</v>
      </c>
      <c r="D1035" s="36" t="s">
        <v>1179</v>
      </c>
      <c r="E1035" s="37" t="s">
        <v>2649</v>
      </c>
      <c r="F1035" s="37" t="s">
        <v>4026</v>
      </c>
      <c r="G1035" s="38">
        <v>2222.38</v>
      </c>
      <c r="H1035" s="38">
        <v>0</v>
      </c>
      <c r="I1035" s="37"/>
      <c r="J1035" s="37"/>
      <c r="K1035" s="38"/>
      <c r="L1035" s="38"/>
    </row>
    <row r="1036" spans="2:12" ht="14.5" x14ac:dyDescent="0.35">
      <c r="B1036" s="46" t="s">
        <v>3589</v>
      </c>
      <c r="C1036" s="36">
        <v>45881</v>
      </c>
      <c r="D1036" s="36" t="s">
        <v>1004</v>
      </c>
      <c r="E1036" s="37" t="s">
        <v>2651</v>
      </c>
      <c r="F1036" s="37" t="s">
        <v>4026</v>
      </c>
      <c r="G1036" s="38"/>
      <c r="H1036" s="38">
        <v>838.15</v>
      </c>
      <c r="I1036" s="37"/>
      <c r="J1036" s="37"/>
      <c r="K1036" s="38"/>
      <c r="L1036" s="38"/>
    </row>
    <row r="1037" spans="2:12" ht="14.5" x14ac:dyDescent="0.35">
      <c r="B1037" s="46" t="s">
        <v>3589</v>
      </c>
      <c r="C1037" s="36">
        <v>45881</v>
      </c>
      <c r="D1037" s="36" t="s">
        <v>1004</v>
      </c>
      <c r="E1037" s="37" t="s">
        <v>2652</v>
      </c>
      <c r="F1037" s="37" t="s">
        <v>4026</v>
      </c>
      <c r="G1037" s="38"/>
      <c r="H1037" s="38">
        <v>6753.3600000000006</v>
      </c>
      <c r="I1037" s="37"/>
      <c r="J1037" s="37"/>
      <c r="K1037" s="38"/>
      <c r="L1037" s="38"/>
    </row>
    <row r="1038" spans="2:12" ht="14.5" x14ac:dyDescent="0.35">
      <c r="B1038" s="46" t="s">
        <v>3589</v>
      </c>
      <c r="C1038" s="36">
        <v>45881</v>
      </c>
      <c r="D1038" s="36" t="s">
        <v>1004</v>
      </c>
      <c r="E1038" s="37" t="s">
        <v>2653</v>
      </c>
      <c r="F1038" s="37" t="s">
        <v>4026</v>
      </c>
      <c r="G1038" s="38"/>
      <c r="H1038" s="38">
        <v>9522.3900000000012</v>
      </c>
      <c r="I1038" s="37"/>
      <c r="J1038" s="37"/>
      <c r="K1038" s="38"/>
      <c r="L1038" s="38"/>
    </row>
    <row r="1039" spans="2:12" ht="14.5" x14ac:dyDescent="0.35">
      <c r="B1039" s="46" t="s">
        <v>3589</v>
      </c>
      <c r="C1039" s="36">
        <v>45881</v>
      </c>
      <c r="D1039" s="36" t="s">
        <v>1263</v>
      </c>
      <c r="E1039" s="37" t="s">
        <v>2654</v>
      </c>
      <c r="F1039" s="37" t="s">
        <v>4026</v>
      </c>
      <c r="G1039" s="38"/>
      <c r="H1039" s="38">
        <v>20317.560000000001</v>
      </c>
      <c r="I1039" s="37"/>
      <c r="J1039" s="37"/>
      <c r="K1039" s="38"/>
      <c r="L1039" s="38"/>
    </row>
    <row r="1040" spans="2:12" ht="14.5" x14ac:dyDescent="0.35">
      <c r="B1040" s="46" t="s">
        <v>3589</v>
      </c>
      <c r="C1040" s="36">
        <v>45881</v>
      </c>
      <c r="D1040" s="36" t="s">
        <v>1263</v>
      </c>
      <c r="E1040" s="37" t="s">
        <v>2655</v>
      </c>
      <c r="F1040" s="37" t="s">
        <v>4026</v>
      </c>
      <c r="G1040" s="38"/>
      <c r="H1040" s="38">
        <v>1973.79</v>
      </c>
      <c r="I1040" s="37"/>
      <c r="J1040" s="37"/>
      <c r="K1040" s="38"/>
      <c r="L1040" s="38"/>
    </row>
    <row r="1041" spans="2:12" ht="14.5" x14ac:dyDescent="0.35">
      <c r="B1041" s="46" t="s">
        <v>3589</v>
      </c>
      <c r="C1041" s="36">
        <v>45881</v>
      </c>
      <c r="D1041" s="36" t="s">
        <v>1263</v>
      </c>
      <c r="E1041" s="37" t="s">
        <v>2656</v>
      </c>
      <c r="F1041" s="37" t="s">
        <v>4026</v>
      </c>
      <c r="G1041" s="38"/>
      <c r="H1041" s="38">
        <v>1232.29</v>
      </c>
      <c r="I1041" s="37"/>
      <c r="J1041" s="37"/>
      <c r="K1041" s="38"/>
      <c r="L1041" s="38"/>
    </row>
    <row r="1042" spans="2:12" ht="14.5" x14ac:dyDescent="0.35">
      <c r="B1042" s="46" t="s">
        <v>3589</v>
      </c>
      <c r="C1042" s="36">
        <v>45881</v>
      </c>
      <c r="D1042" s="36" t="s">
        <v>1263</v>
      </c>
      <c r="E1042" s="37" t="s">
        <v>2657</v>
      </c>
      <c r="F1042" s="37" t="s">
        <v>4026</v>
      </c>
      <c r="G1042" s="38"/>
      <c r="H1042" s="38">
        <v>34212.080000000002</v>
      </c>
      <c r="I1042" s="37"/>
      <c r="J1042" s="37"/>
      <c r="K1042" s="38"/>
      <c r="L1042" s="38"/>
    </row>
    <row r="1043" spans="2:12" ht="14.5" x14ac:dyDescent="0.35">
      <c r="B1043" s="46" t="s">
        <v>3589</v>
      </c>
      <c r="C1043" s="36">
        <v>45881</v>
      </c>
      <c r="D1043" s="36" t="s">
        <v>1263</v>
      </c>
      <c r="E1043" s="37" t="s">
        <v>2658</v>
      </c>
      <c r="F1043" s="37" t="s">
        <v>4026</v>
      </c>
      <c r="G1043" s="38"/>
      <c r="H1043" s="38">
        <v>29639.670000000002</v>
      </c>
      <c r="I1043" s="37"/>
      <c r="J1043" s="37"/>
      <c r="K1043" s="38"/>
      <c r="L1043" s="38"/>
    </row>
    <row r="1044" spans="2:12" ht="14.5" x14ac:dyDescent="0.35">
      <c r="B1044" s="46" t="s">
        <v>3589</v>
      </c>
      <c r="C1044" s="36">
        <v>45881</v>
      </c>
      <c r="D1044" s="36" t="s">
        <v>1263</v>
      </c>
      <c r="E1044" s="37" t="s">
        <v>2659</v>
      </c>
      <c r="F1044" s="37" t="s">
        <v>4026</v>
      </c>
      <c r="G1044" s="38"/>
      <c r="H1044" s="38">
        <v>1750.49</v>
      </c>
      <c r="I1044" s="37"/>
      <c r="J1044" s="37"/>
      <c r="K1044" s="38"/>
      <c r="L1044" s="38"/>
    </row>
    <row r="1045" spans="2:12" ht="14.5" x14ac:dyDescent="0.35">
      <c r="B1045" s="46" t="s">
        <v>3589</v>
      </c>
      <c r="C1045" s="36">
        <v>45881</v>
      </c>
      <c r="D1045" s="36" t="s">
        <v>1263</v>
      </c>
      <c r="E1045" s="37" t="s">
        <v>2660</v>
      </c>
      <c r="F1045" s="37" t="s">
        <v>4026</v>
      </c>
      <c r="G1045" s="38"/>
      <c r="H1045" s="38">
        <v>12495.009999999998</v>
      </c>
      <c r="I1045" s="37"/>
      <c r="J1045" s="37"/>
      <c r="K1045" s="38"/>
      <c r="L1045" s="38"/>
    </row>
    <row r="1046" spans="2:12" ht="14.5" x14ac:dyDescent="0.35">
      <c r="B1046" s="46" t="s">
        <v>3589</v>
      </c>
      <c r="C1046" s="36">
        <v>45881</v>
      </c>
      <c r="D1046" s="36" t="s">
        <v>1263</v>
      </c>
      <c r="E1046" s="37" t="s">
        <v>2661</v>
      </c>
      <c r="F1046" s="37" t="s">
        <v>4026</v>
      </c>
      <c r="G1046" s="38"/>
      <c r="H1046" s="38">
        <v>25083.95</v>
      </c>
      <c r="I1046" s="37"/>
      <c r="J1046" s="37"/>
      <c r="K1046" s="38"/>
      <c r="L1046" s="38"/>
    </row>
    <row r="1047" spans="2:12" ht="14.5" x14ac:dyDescent="0.35">
      <c r="B1047" s="46" t="s">
        <v>3589</v>
      </c>
      <c r="C1047" s="36">
        <v>45881</v>
      </c>
      <c r="D1047" s="36" t="s">
        <v>1263</v>
      </c>
      <c r="E1047" s="37" t="s">
        <v>2663</v>
      </c>
      <c r="F1047" s="37" t="s">
        <v>4026</v>
      </c>
      <c r="G1047" s="38"/>
      <c r="H1047" s="38">
        <v>136.87</v>
      </c>
      <c r="I1047" s="37"/>
      <c r="J1047" s="37"/>
      <c r="K1047" s="38"/>
      <c r="L1047" s="38"/>
    </row>
    <row r="1048" spans="2:12" ht="14.5" x14ac:dyDescent="0.35">
      <c r="B1048" s="46" t="s">
        <v>3589</v>
      </c>
      <c r="C1048" s="36">
        <v>45881</v>
      </c>
      <c r="D1048" s="36" t="s">
        <v>1263</v>
      </c>
      <c r="E1048" s="37" t="s">
        <v>2664</v>
      </c>
      <c r="F1048" s="37" t="s">
        <v>4026</v>
      </c>
      <c r="G1048" s="38"/>
      <c r="H1048" s="38">
        <v>2454.7399999999998</v>
      </c>
      <c r="I1048" s="37"/>
      <c r="J1048" s="37"/>
      <c r="K1048" s="38"/>
      <c r="L1048" s="38"/>
    </row>
    <row r="1049" spans="2:12" ht="14.5" x14ac:dyDescent="0.35">
      <c r="B1049" s="46" t="s">
        <v>3589</v>
      </c>
      <c r="C1049" s="36">
        <v>45881</v>
      </c>
      <c r="D1049" s="36" t="s">
        <v>2677</v>
      </c>
      <c r="E1049" s="37" t="s">
        <v>2665</v>
      </c>
      <c r="F1049" s="37" t="s">
        <v>4026</v>
      </c>
      <c r="G1049" s="38"/>
      <c r="H1049" s="38">
        <v>7343.21</v>
      </c>
      <c r="I1049" s="37"/>
      <c r="J1049" s="37"/>
      <c r="K1049" s="38"/>
      <c r="L1049" s="38"/>
    </row>
    <row r="1050" spans="2:12" ht="14.5" x14ac:dyDescent="0.35">
      <c r="B1050" s="46" t="s">
        <v>3589</v>
      </c>
      <c r="C1050" s="36">
        <v>45881</v>
      </c>
      <c r="D1050" s="36" t="s">
        <v>2677</v>
      </c>
      <c r="E1050" s="37" t="s">
        <v>2666</v>
      </c>
      <c r="F1050" s="37" t="s">
        <v>4026</v>
      </c>
      <c r="G1050" s="38"/>
      <c r="H1050" s="38">
        <v>493.75</v>
      </c>
      <c r="I1050" s="37"/>
      <c r="J1050" s="37"/>
      <c r="K1050" s="38"/>
      <c r="L1050" s="38"/>
    </row>
    <row r="1051" spans="2:12" ht="14.5" x14ac:dyDescent="0.35">
      <c r="B1051" s="46" t="s">
        <v>3589</v>
      </c>
      <c r="C1051" s="36">
        <v>45881</v>
      </c>
      <c r="D1051" s="36" t="s">
        <v>2677</v>
      </c>
      <c r="E1051" s="37" t="s">
        <v>2667</v>
      </c>
      <c r="F1051" s="37" t="s">
        <v>4026</v>
      </c>
      <c r="G1051" s="38"/>
      <c r="H1051" s="38">
        <v>6729.76</v>
      </c>
      <c r="I1051" s="37"/>
      <c r="J1051" s="37"/>
      <c r="K1051" s="38"/>
      <c r="L1051" s="38"/>
    </row>
    <row r="1052" spans="2:12" ht="14.5" x14ac:dyDescent="0.35">
      <c r="B1052" s="46" t="s">
        <v>3589</v>
      </c>
      <c r="C1052" s="36">
        <v>45881</v>
      </c>
      <c r="D1052" s="36" t="s">
        <v>2677</v>
      </c>
      <c r="E1052" s="37" t="s">
        <v>2668</v>
      </c>
      <c r="F1052" s="37" t="s">
        <v>4026</v>
      </c>
      <c r="G1052" s="38"/>
      <c r="H1052" s="38">
        <v>17550.43</v>
      </c>
      <c r="I1052" s="37"/>
      <c r="J1052" s="37"/>
      <c r="K1052" s="38"/>
      <c r="L1052" s="38"/>
    </row>
    <row r="1053" spans="2:12" ht="14.5" x14ac:dyDescent="0.35">
      <c r="B1053" s="46" t="s">
        <v>3589</v>
      </c>
      <c r="C1053" s="36">
        <v>45881</v>
      </c>
      <c r="D1053" s="36" t="s">
        <v>2677</v>
      </c>
      <c r="E1053" s="37">
        <v>38256</v>
      </c>
      <c r="F1053" s="37" t="s">
        <v>4026</v>
      </c>
      <c r="G1053" s="38"/>
      <c r="H1053" s="38">
        <v>4568.0200000000004</v>
      </c>
      <c r="I1053" s="37"/>
      <c r="J1053" s="37"/>
      <c r="K1053" s="38"/>
      <c r="L1053" s="38"/>
    </row>
    <row r="1054" spans="2:12" ht="14.5" x14ac:dyDescent="0.35">
      <c r="B1054" s="46" t="s">
        <v>3589</v>
      </c>
      <c r="C1054" s="36">
        <v>45881</v>
      </c>
      <c r="D1054" s="36" t="s">
        <v>2677</v>
      </c>
      <c r="E1054" s="37">
        <v>38257</v>
      </c>
      <c r="F1054" s="37" t="s">
        <v>4026</v>
      </c>
      <c r="G1054" s="38"/>
      <c r="H1054" s="38">
        <v>2555.48</v>
      </c>
      <c r="I1054" s="37"/>
      <c r="J1054" s="37"/>
      <c r="K1054" s="38"/>
      <c r="L1054" s="38"/>
    </row>
    <row r="1055" spans="2:12" ht="14.5" x14ac:dyDescent="0.35">
      <c r="B1055" s="46" t="s">
        <v>3589</v>
      </c>
      <c r="C1055" s="36">
        <v>45881</v>
      </c>
      <c r="D1055" s="36" t="s">
        <v>2677</v>
      </c>
      <c r="E1055" s="37">
        <v>38268</v>
      </c>
      <c r="F1055" s="37" t="s">
        <v>4026</v>
      </c>
      <c r="G1055" s="38"/>
      <c r="H1055" s="38">
        <v>427.87</v>
      </c>
      <c r="I1055" s="37"/>
      <c r="J1055" s="37"/>
      <c r="K1055" s="38"/>
      <c r="L1055" s="38"/>
    </row>
    <row r="1056" spans="2:12" ht="14.5" x14ac:dyDescent="0.35">
      <c r="B1056" s="46" t="s">
        <v>3589</v>
      </c>
      <c r="C1056" s="36">
        <v>45881</v>
      </c>
      <c r="D1056" s="36" t="s">
        <v>2629</v>
      </c>
      <c r="E1056" s="37">
        <v>38331</v>
      </c>
      <c r="F1056" s="37" t="s">
        <v>4026</v>
      </c>
      <c r="G1056" s="38"/>
      <c r="H1056" s="38">
        <v>4247.3600000000006</v>
      </c>
      <c r="I1056" s="37"/>
      <c r="J1056" s="37"/>
      <c r="K1056" s="38"/>
      <c r="L1056" s="38"/>
    </row>
    <row r="1057" spans="2:12" ht="14.5" x14ac:dyDescent="0.35">
      <c r="B1057" s="46" t="s">
        <v>3589</v>
      </c>
      <c r="C1057" s="36">
        <v>45881</v>
      </c>
      <c r="D1057" s="36" t="s">
        <v>2677</v>
      </c>
      <c r="E1057" s="37">
        <v>38375</v>
      </c>
      <c r="F1057" s="37" t="s">
        <v>4026</v>
      </c>
      <c r="G1057" s="38"/>
      <c r="H1057" s="38">
        <v>682.08999999999992</v>
      </c>
      <c r="I1057" s="37"/>
      <c r="J1057" s="37"/>
      <c r="K1057" s="38"/>
      <c r="L1057" s="38"/>
    </row>
    <row r="1058" spans="2:12" ht="14.5" x14ac:dyDescent="0.35">
      <c r="B1058" s="46" t="s">
        <v>3589</v>
      </c>
      <c r="C1058" s="36">
        <v>45882</v>
      </c>
      <c r="D1058" s="36" t="s">
        <v>2020</v>
      </c>
      <c r="E1058" s="37" t="s">
        <v>2669</v>
      </c>
      <c r="F1058" s="37" t="s">
        <v>4026</v>
      </c>
      <c r="G1058" s="38"/>
      <c r="H1058" s="38">
        <v>30.74</v>
      </c>
      <c r="I1058" s="37"/>
      <c r="J1058" s="37"/>
      <c r="K1058" s="38"/>
      <c r="L1058" s="38"/>
    </row>
    <row r="1059" spans="2:12" ht="14.5" x14ac:dyDescent="0.35">
      <c r="B1059" s="46" t="s">
        <v>3589</v>
      </c>
      <c r="C1059" s="36">
        <v>45882</v>
      </c>
      <c r="D1059" s="36" t="s">
        <v>2020</v>
      </c>
      <c r="E1059" s="37" t="s">
        <v>2670</v>
      </c>
      <c r="F1059" s="37" t="s">
        <v>4026</v>
      </c>
      <c r="G1059" s="38"/>
      <c r="H1059" s="38">
        <v>240.54</v>
      </c>
      <c r="I1059" s="37"/>
      <c r="J1059" s="37"/>
      <c r="K1059" s="38"/>
      <c r="L1059" s="38"/>
    </row>
    <row r="1060" spans="2:12" ht="14.5" x14ac:dyDescent="0.35">
      <c r="B1060" s="46" t="s">
        <v>3589</v>
      </c>
      <c r="C1060" s="36">
        <v>45882</v>
      </c>
      <c r="D1060" s="36" t="s">
        <v>1263</v>
      </c>
      <c r="E1060" s="37" t="s">
        <v>2671</v>
      </c>
      <c r="F1060" s="37" t="s">
        <v>4026</v>
      </c>
      <c r="G1060" s="38"/>
      <c r="H1060" s="38">
        <v>716.95</v>
      </c>
      <c r="I1060" s="37"/>
      <c r="J1060" s="37"/>
      <c r="K1060" s="38"/>
      <c r="L1060" s="38"/>
    </row>
    <row r="1061" spans="2:12" ht="14.5" x14ac:dyDescent="0.35">
      <c r="B1061" s="46" t="s">
        <v>3589</v>
      </c>
      <c r="C1061" s="36">
        <v>45882</v>
      </c>
      <c r="D1061" s="36" t="s">
        <v>2626</v>
      </c>
      <c r="E1061" s="37" t="s">
        <v>2672</v>
      </c>
      <c r="F1061" s="37" t="s">
        <v>4026</v>
      </c>
      <c r="G1061" s="38"/>
      <c r="H1061" s="38">
        <v>4807.8500000000004</v>
      </c>
      <c r="I1061" s="37"/>
      <c r="J1061" s="37"/>
      <c r="K1061" s="38"/>
      <c r="L1061" s="38"/>
    </row>
    <row r="1062" spans="2:12" ht="14.5" x14ac:dyDescent="0.35">
      <c r="B1062" s="46" t="s">
        <v>3589</v>
      </c>
      <c r="C1062" s="36">
        <v>45887</v>
      </c>
      <c r="D1062" s="36" t="s">
        <v>2769</v>
      </c>
      <c r="E1062" s="37">
        <v>38857</v>
      </c>
      <c r="F1062" s="37" t="s">
        <v>4026</v>
      </c>
      <c r="G1062" s="38"/>
      <c r="H1062" s="38">
        <v>8947.15</v>
      </c>
      <c r="I1062" s="37"/>
      <c r="J1062" s="37"/>
      <c r="K1062" s="38"/>
      <c r="L1062" s="38"/>
    </row>
    <row r="1063" spans="2:12" ht="14.5" x14ac:dyDescent="0.35">
      <c r="B1063" s="46" t="s">
        <v>3589</v>
      </c>
      <c r="C1063" s="36">
        <v>45890</v>
      </c>
      <c r="D1063" s="36" t="s">
        <v>1475</v>
      </c>
      <c r="E1063" s="37" t="s">
        <v>2673</v>
      </c>
      <c r="F1063" s="37" t="s">
        <v>4026</v>
      </c>
      <c r="G1063" s="38"/>
      <c r="H1063" s="38">
        <v>33567.360000000001</v>
      </c>
      <c r="I1063" s="37"/>
      <c r="J1063" s="37"/>
      <c r="K1063" s="38"/>
      <c r="L1063" s="38"/>
    </row>
    <row r="1064" spans="2:12" ht="14.5" x14ac:dyDescent="0.35">
      <c r="B1064" s="46" t="s">
        <v>3589</v>
      </c>
      <c r="C1064" s="36">
        <v>45892</v>
      </c>
      <c r="D1064" s="36" t="s">
        <v>1269</v>
      </c>
      <c r="E1064" s="37" t="s">
        <v>2674</v>
      </c>
      <c r="F1064" s="37" t="s">
        <v>4026</v>
      </c>
      <c r="G1064" s="38"/>
      <c r="H1064" s="38">
        <v>34804.400000000001</v>
      </c>
      <c r="I1064" s="37"/>
      <c r="J1064" s="37"/>
      <c r="K1064" s="38"/>
      <c r="L1064" s="38"/>
    </row>
    <row r="1065" spans="2:12" ht="14.5" x14ac:dyDescent="0.35">
      <c r="B1065" s="46" t="s">
        <v>3589</v>
      </c>
      <c r="C1065" s="36">
        <v>45894</v>
      </c>
      <c r="D1065" s="36" t="s">
        <v>2020</v>
      </c>
      <c r="E1065" s="37" t="s">
        <v>2675</v>
      </c>
      <c r="F1065" s="37" t="s">
        <v>4026</v>
      </c>
      <c r="G1065" s="38"/>
      <c r="H1065" s="38">
        <v>5718.97</v>
      </c>
      <c r="I1065" s="37"/>
      <c r="J1065" s="37"/>
      <c r="K1065" s="38"/>
      <c r="L1065" s="38"/>
    </row>
    <row r="1066" spans="2:12" ht="14.5" x14ac:dyDescent="0.35">
      <c r="B1066" s="46" t="s">
        <v>3589</v>
      </c>
      <c r="C1066" s="36">
        <v>45894</v>
      </c>
      <c r="D1066" s="36" t="s">
        <v>2020</v>
      </c>
      <c r="E1066" s="37" t="s">
        <v>2676</v>
      </c>
      <c r="F1066" s="37" t="s">
        <v>4026</v>
      </c>
      <c r="G1066" s="38"/>
      <c r="H1066" s="38">
        <v>4424.8500000000004</v>
      </c>
      <c r="I1066" s="37"/>
      <c r="J1066" s="37"/>
      <c r="K1066" s="38"/>
      <c r="L1066" s="38"/>
    </row>
    <row r="1067" spans="2:12" ht="14.5" x14ac:dyDescent="0.35">
      <c r="B1067" s="46" t="s">
        <v>3589</v>
      </c>
      <c r="C1067" s="36">
        <v>45894</v>
      </c>
      <c r="D1067" s="36" t="s">
        <v>2020</v>
      </c>
      <c r="E1067" s="37" t="s">
        <v>2678</v>
      </c>
      <c r="F1067" s="37" t="s">
        <v>4026</v>
      </c>
      <c r="G1067" s="38"/>
      <c r="H1067" s="38">
        <v>200.4</v>
      </c>
      <c r="I1067" s="37"/>
      <c r="J1067" s="37"/>
      <c r="K1067" s="38"/>
      <c r="L1067" s="38"/>
    </row>
    <row r="1068" spans="2:12" ht="14.5" x14ac:dyDescent="0.35">
      <c r="B1068" s="46" t="s">
        <v>3589</v>
      </c>
      <c r="C1068" s="36">
        <v>45894</v>
      </c>
      <c r="D1068" s="36" t="s">
        <v>2020</v>
      </c>
      <c r="E1068" s="37" t="s">
        <v>2679</v>
      </c>
      <c r="F1068" s="37" t="s">
        <v>4026</v>
      </c>
      <c r="G1068" s="38"/>
      <c r="H1068" s="38">
        <v>442.6</v>
      </c>
      <c r="I1068" s="37"/>
      <c r="J1068" s="37"/>
      <c r="K1068" s="38"/>
      <c r="L1068" s="38"/>
    </row>
    <row r="1069" spans="2:12" ht="14.5" x14ac:dyDescent="0.35">
      <c r="B1069" s="46" t="s">
        <v>3589</v>
      </c>
      <c r="C1069" s="36">
        <v>45894</v>
      </c>
      <c r="D1069" s="36" t="s">
        <v>2020</v>
      </c>
      <c r="E1069" s="37" t="s">
        <v>2680</v>
      </c>
      <c r="F1069" s="37" t="s">
        <v>4026</v>
      </c>
      <c r="G1069" s="38"/>
      <c r="H1069" s="38">
        <v>21347.89</v>
      </c>
      <c r="I1069" s="37"/>
      <c r="J1069" s="37"/>
      <c r="K1069" s="38"/>
      <c r="L1069" s="38"/>
    </row>
    <row r="1070" spans="2:12" ht="14.5" x14ac:dyDescent="0.35">
      <c r="B1070" s="46" t="s">
        <v>3589</v>
      </c>
      <c r="C1070" s="36">
        <v>45894</v>
      </c>
      <c r="D1070" s="36" t="s">
        <v>2020</v>
      </c>
      <c r="E1070" s="37" t="s">
        <v>2681</v>
      </c>
      <c r="F1070" s="37" t="s">
        <v>4026</v>
      </c>
      <c r="G1070" s="38"/>
      <c r="H1070" s="38">
        <v>35534.570000000007</v>
      </c>
      <c r="I1070" s="37"/>
      <c r="J1070" s="37"/>
      <c r="K1070" s="38"/>
      <c r="L1070" s="38"/>
    </row>
    <row r="1071" spans="2:12" ht="14.5" x14ac:dyDescent="0.35">
      <c r="B1071" s="46" t="s">
        <v>3589</v>
      </c>
      <c r="C1071" s="36">
        <v>45894</v>
      </c>
      <c r="D1071" s="36" t="s">
        <v>2020</v>
      </c>
      <c r="E1071" s="37">
        <v>33571</v>
      </c>
      <c r="F1071" s="37" t="s">
        <v>4026</v>
      </c>
      <c r="G1071" s="38"/>
      <c r="H1071" s="38">
        <v>1368.69</v>
      </c>
      <c r="I1071" s="37"/>
      <c r="J1071" s="37"/>
      <c r="K1071" s="38"/>
      <c r="L1071" s="38"/>
    </row>
    <row r="1072" spans="2:12" ht="14.5" x14ac:dyDescent="0.35">
      <c r="B1072" s="46" t="s">
        <v>3589</v>
      </c>
      <c r="C1072" s="36">
        <v>45894</v>
      </c>
      <c r="D1072" s="36" t="s">
        <v>2020</v>
      </c>
      <c r="E1072" s="37" t="s">
        <v>2682</v>
      </c>
      <c r="F1072" s="37" t="s">
        <v>4026</v>
      </c>
      <c r="G1072" s="38"/>
      <c r="H1072" s="38">
        <v>46390.27</v>
      </c>
      <c r="I1072" s="37"/>
      <c r="J1072" s="37"/>
      <c r="K1072" s="38"/>
      <c r="L1072" s="38"/>
    </row>
    <row r="1073" spans="2:12" ht="14.5" x14ac:dyDescent="0.35">
      <c r="B1073" s="46" t="s">
        <v>3589</v>
      </c>
      <c r="C1073" s="36">
        <v>45894</v>
      </c>
      <c r="D1073" s="36" t="s">
        <v>2020</v>
      </c>
      <c r="E1073" s="37" t="s">
        <v>2683</v>
      </c>
      <c r="F1073" s="37" t="s">
        <v>4026</v>
      </c>
      <c r="G1073" s="38"/>
      <c r="H1073" s="38">
        <v>736.03</v>
      </c>
      <c r="I1073" s="37"/>
      <c r="J1073" s="37"/>
      <c r="K1073" s="38"/>
      <c r="L1073" s="38"/>
    </row>
    <row r="1074" spans="2:12" ht="14.5" x14ac:dyDescent="0.35">
      <c r="B1074" s="46" t="s">
        <v>3589</v>
      </c>
      <c r="C1074" s="36">
        <v>45894</v>
      </c>
      <c r="D1074" s="36" t="s">
        <v>2020</v>
      </c>
      <c r="E1074" s="37" t="s">
        <v>2684</v>
      </c>
      <c r="F1074" s="37" t="s">
        <v>4026</v>
      </c>
      <c r="G1074" s="38"/>
      <c r="H1074" s="38">
        <v>15799.1</v>
      </c>
      <c r="I1074" s="37"/>
      <c r="J1074" s="37"/>
      <c r="K1074" s="38"/>
      <c r="L1074" s="38"/>
    </row>
    <row r="1075" spans="2:12" ht="14.5" x14ac:dyDescent="0.35">
      <c r="B1075" s="46" t="s">
        <v>3589</v>
      </c>
      <c r="C1075" s="36">
        <v>45894</v>
      </c>
      <c r="D1075" s="36" t="s">
        <v>2020</v>
      </c>
      <c r="E1075" s="37" t="s">
        <v>2685</v>
      </c>
      <c r="F1075" s="37" t="s">
        <v>4026</v>
      </c>
      <c r="G1075" s="38"/>
      <c r="H1075" s="38">
        <v>3652.1400000000003</v>
      </c>
      <c r="I1075" s="37"/>
      <c r="J1075" s="37"/>
      <c r="K1075" s="38"/>
      <c r="L1075" s="38"/>
    </row>
    <row r="1076" spans="2:12" ht="14.5" x14ac:dyDescent="0.35">
      <c r="B1076" s="46" t="s">
        <v>3589</v>
      </c>
      <c r="C1076" s="36">
        <v>45894</v>
      </c>
      <c r="D1076" s="36" t="s">
        <v>2020</v>
      </c>
      <c r="E1076" s="37">
        <v>33950</v>
      </c>
      <c r="F1076" s="37" t="s">
        <v>4026</v>
      </c>
      <c r="G1076" s="38"/>
      <c r="H1076" s="38">
        <v>492.94</v>
      </c>
      <c r="I1076" s="37"/>
      <c r="J1076" s="37"/>
      <c r="K1076" s="38"/>
      <c r="L1076" s="38"/>
    </row>
    <row r="1077" spans="2:12" ht="14.5" x14ac:dyDescent="0.35">
      <c r="B1077" s="46" t="s">
        <v>3589</v>
      </c>
      <c r="C1077" s="36">
        <v>45894</v>
      </c>
      <c r="D1077" s="36" t="s">
        <v>2020</v>
      </c>
      <c r="E1077" s="37" t="s">
        <v>2686</v>
      </c>
      <c r="F1077" s="37" t="s">
        <v>4026</v>
      </c>
      <c r="G1077" s="38"/>
      <c r="H1077" s="38">
        <v>93.02</v>
      </c>
      <c r="I1077" s="37"/>
      <c r="J1077" s="37"/>
      <c r="K1077" s="38"/>
      <c r="L1077" s="38"/>
    </row>
    <row r="1078" spans="2:12" ht="14.5" x14ac:dyDescent="0.35">
      <c r="B1078" s="46" t="s">
        <v>3589</v>
      </c>
      <c r="C1078" s="36">
        <v>45894</v>
      </c>
      <c r="D1078" s="36" t="s">
        <v>2020</v>
      </c>
      <c r="E1078" s="37" t="s">
        <v>2687</v>
      </c>
      <c r="F1078" s="37" t="s">
        <v>4026</v>
      </c>
      <c r="G1078" s="38"/>
      <c r="H1078" s="38">
        <v>455.18</v>
      </c>
      <c r="I1078" s="37"/>
      <c r="J1078" s="37"/>
      <c r="K1078" s="38"/>
      <c r="L1078" s="38"/>
    </row>
    <row r="1079" spans="2:12" ht="14.5" x14ac:dyDescent="0.35">
      <c r="B1079" s="46" t="s">
        <v>3589</v>
      </c>
      <c r="C1079" s="36">
        <v>45894</v>
      </c>
      <c r="D1079" s="36" t="s">
        <v>2020</v>
      </c>
      <c r="E1079" s="37" t="s">
        <v>2688</v>
      </c>
      <c r="F1079" s="37" t="s">
        <v>4026</v>
      </c>
      <c r="G1079" s="38"/>
      <c r="H1079" s="38">
        <v>1122.45</v>
      </c>
      <c r="I1079" s="37"/>
      <c r="J1079" s="37"/>
      <c r="K1079" s="38"/>
      <c r="L1079" s="38"/>
    </row>
    <row r="1080" spans="2:12" ht="14.5" x14ac:dyDescent="0.35">
      <c r="B1080" s="46" t="s">
        <v>3589</v>
      </c>
      <c r="C1080" s="36">
        <v>45894</v>
      </c>
      <c r="D1080" s="36" t="s">
        <v>2020</v>
      </c>
      <c r="E1080" s="37" t="s">
        <v>2689</v>
      </c>
      <c r="F1080" s="37" t="s">
        <v>4026</v>
      </c>
      <c r="G1080" s="38"/>
      <c r="H1080" s="38">
        <v>7346.5899999999992</v>
      </c>
      <c r="I1080" s="37"/>
      <c r="J1080" s="37"/>
      <c r="K1080" s="38"/>
      <c r="L1080" s="38"/>
    </row>
    <row r="1081" spans="2:12" ht="14.5" x14ac:dyDescent="0.35">
      <c r="B1081" s="46" t="s">
        <v>3589</v>
      </c>
      <c r="C1081" s="36">
        <v>45894</v>
      </c>
      <c r="D1081" s="36" t="s">
        <v>2020</v>
      </c>
      <c r="E1081" s="37" t="s">
        <v>2690</v>
      </c>
      <c r="F1081" s="37" t="s">
        <v>4026</v>
      </c>
      <c r="G1081" s="38"/>
      <c r="H1081" s="38">
        <v>11782.909999999998</v>
      </c>
      <c r="I1081" s="37"/>
      <c r="J1081" s="37"/>
      <c r="K1081" s="38"/>
      <c r="L1081" s="38"/>
    </row>
    <row r="1082" spans="2:12" ht="14.5" x14ac:dyDescent="0.35">
      <c r="B1082" s="46" t="s">
        <v>3589</v>
      </c>
      <c r="C1082" s="36">
        <v>45894</v>
      </c>
      <c r="D1082" s="36" t="s">
        <v>2831</v>
      </c>
      <c r="E1082" s="37" t="s">
        <v>2691</v>
      </c>
      <c r="F1082" s="37" t="s">
        <v>4026</v>
      </c>
      <c r="G1082" s="38"/>
      <c r="H1082" s="38">
        <v>3338</v>
      </c>
      <c r="I1082" s="37"/>
      <c r="J1082" s="37"/>
      <c r="K1082" s="38"/>
      <c r="L1082" s="38"/>
    </row>
    <row r="1083" spans="2:12" ht="14.5" x14ac:dyDescent="0.35">
      <c r="B1083" s="46" t="s">
        <v>3589</v>
      </c>
      <c r="C1083" s="36">
        <v>45894</v>
      </c>
      <c r="D1083" s="36" t="s">
        <v>1272</v>
      </c>
      <c r="E1083" s="37">
        <v>36943</v>
      </c>
      <c r="F1083" s="37" t="s">
        <v>4026</v>
      </c>
      <c r="G1083" s="38"/>
      <c r="H1083" s="38">
        <v>3983</v>
      </c>
      <c r="I1083" s="37"/>
      <c r="J1083" s="37"/>
      <c r="K1083" s="38"/>
      <c r="L1083" s="38"/>
    </row>
    <row r="1084" spans="2:12" ht="14.5" x14ac:dyDescent="0.35">
      <c r="B1084" s="46" t="s">
        <v>3589</v>
      </c>
      <c r="C1084" s="36">
        <v>45894</v>
      </c>
      <c r="D1084" s="36" t="s">
        <v>1269</v>
      </c>
      <c r="E1084" s="37" t="s">
        <v>2692</v>
      </c>
      <c r="F1084" s="37" t="s">
        <v>4026</v>
      </c>
      <c r="G1084" s="38"/>
      <c r="H1084" s="38">
        <v>6832.57</v>
      </c>
      <c r="I1084" s="37"/>
      <c r="J1084" s="37"/>
      <c r="K1084" s="38"/>
      <c r="L1084" s="38"/>
    </row>
    <row r="1085" spans="2:12" ht="14.5" x14ac:dyDescent="0.35">
      <c r="B1085" s="46" t="s">
        <v>3589</v>
      </c>
      <c r="C1085" s="36">
        <v>45895</v>
      </c>
      <c r="D1085" s="36" t="s">
        <v>2020</v>
      </c>
      <c r="E1085" s="37" t="s">
        <v>2693</v>
      </c>
      <c r="F1085" s="37" t="s">
        <v>4026</v>
      </c>
      <c r="G1085" s="38"/>
      <c r="H1085" s="38">
        <v>0</v>
      </c>
      <c r="I1085" s="37"/>
      <c r="J1085" s="37"/>
      <c r="K1085" s="38"/>
      <c r="L1085" s="38"/>
    </row>
    <row r="1086" spans="2:12" ht="14.5" x14ac:dyDescent="0.35">
      <c r="B1086" s="46" t="s">
        <v>3589</v>
      </c>
      <c r="C1086" s="36">
        <v>45895</v>
      </c>
      <c r="D1086" s="36" t="s">
        <v>2846</v>
      </c>
      <c r="E1086" s="37" t="s">
        <v>2694</v>
      </c>
      <c r="F1086" s="37" t="s">
        <v>4026</v>
      </c>
      <c r="G1086" s="38"/>
      <c r="H1086" s="38">
        <v>1716.1300000000003</v>
      </c>
      <c r="I1086" s="37"/>
      <c r="J1086" s="37"/>
      <c r="K1086" s="38"/>
      <c r="L1086" s="38"/>
    </row>
    <row r="1087" spans="2:12" ht="14.5" x14ac:dyDescent="0.35">
      <c r="B1087" s="46" t="s">
        <v>3589</v>
      </c>
      <c r="C1087" s="36">
        <v>45896</v>
      </c>
      <c r="D1087" s="36" t="s">
        <v>1035</v>
      </c>
      <c r="E1087" s="37" t="s">
        <v>2695</v>
      </c>
      <c r="F1087" s="37" t="s">
        <v>4026</v>
      </c>
      <c r="G1087" s="38"/>
      <c r="H1087" s="38">
        <v>350.73</v>
      </c>
      <c r="I1087" s="37"/>
      <c r="J1087" s="37"/>
      <c r="K1087" s="38"/>
      <c r="L1087" s="38"/>
    </row>
    <row r="1088" spans="2:12" ht="14.5" x14ac:dyDescent="0.35">
      <c r="B1088" s="46" t="s">
        <v>3589</v>
      </c>
      <c r="C1088" s="36">
        <v>45897</v>
      </c>
      <c r="D1088" s="36" t="s">
        <v>2854</v>
      </c>
      <c r="E1088" s="37" t="s">
        <v>2696</v>
      </c>
      <c r="F1088" s="37" t="s">
        <v>4026</v>
      </c>
      <c r="G1088" s="38"/>
      <c r="H1088" s="38">
        <v>5458.24</v>
      </c>
      <c r="I1088" s="37"/>
      <c r="J1088" s="37"/>
      <c r="K1088" s="38"/>
      <c r="L1088" s="38"/>
    </row>
    <row r="1089" spans="2:12" ht="14.5" x14ac:dyDescent="0.35">
      <c r="B1089" s="46" t="s">
        <v>3589</v>
      </c>
      <c r="C1089" s="36">
        <v>45898</v>
      </c>
      <c r="D1089" s="36" t="s">
        <v>2020</v>
      </c>
      <c r="E1089" s="37" t="s">
        <v>2697</v>
      </c>
      <c r="F1089" s="37" t="s">
        <v>4026</v>
      </c>
      <c r="G1089" s="38"/>
      <c r="H1089" s="38">
        <v>142.41999999999999</v>
      </c>
      <c r="I1089" s="37"/>
      <c r="J1089" s="37"/>
      <c r="K1089" s="38"/>
      <c r="L1089" s="38"/>
    </row>
    <row r="1090" spans="2:12" ht="14.5" x14ac:dyDescent="0.35">
      <c r="B1090" s="46" t="s">
        <v>3589</v>
      </c>
      <c r="C1090" s="36">
        <v>45898</v>
      </c>
      <c r="D1090" s="36" t="s">
        <v>2846</v>
      </c>
      <c r="E1090" s="37" t="s">
        <v>2698</v>
      </c>
      <c r="F1090" s="37" t="s">
        <v>4026</v>
      </c>
      <c r="G1090" s="38"/>
      <c r="H1090" s="38">
        <v>643.68000000000006</v>
      </c>
      <c r="I1090" s="37"/>
      <c r="J1090" s="37"/>
      <c r="K1090" s="38"/>
      <c r="L1090" s="38"/>
    </row>
    <row r="1091" spans="2:12" ht="14.5" x14ac:dyDescent="0.35">
      <c r="B1091" s="46" t="s">
        <v>3589</v>
      </c>
      <c r="C1091" s="36">
        <v>45898</v>
      </c>
      <c r="D1091" s="36" t="s">
        <v>1223</v>
      </c>
      <c r="E1091" s="37" t="s">
        <v>2699</v>
      </c>
      <c r="F1091" s="37" t="s">
        <v>4026</v>
      </c>
      <c r="G1091" s="38"/>
      <c r="H1091" s="38">
        <v>1619.4799999999998</v>
      </c>
      <c r="I1091" s="37"/>
      <c r="J1091" s="37"/>
      <c r="K1091" s="38"/>
      <c r="L1091" s="38"/>
    </row>
    <row r="1092" spans="2:12" ht="14.5" x14ac:dyDescent="0.35">
      <c r="B1092" s="46" t="s">
        <v>3589</v>
      </c>
      <c r="C1092" s="36">
        <v>45898</v>
      </c>
      <c r="D1092" s="36" t="s">
        <v>1684</v>
      </c>
      <c r="E1092" s="37" t="s">
        <v>2700</v>
      </c>
      <c r="F1092" s="37" t="s">
        <v>4026</v>
      </c>
      <c r="G1092" s="38"/>
      <c r="H1092" s="38">
        <v>2580.7000000000003</v>
      </c>
      <c r="I1092" s="37"/>
      <c r="J1092" s="37"/>
      <c r="K1092" s="38"/>
      <c r="L1092" s="38"/>
    </row>
    <row r="1093" spans="2:12" ht="14.5" x14ac:dyDescent="0.35">
      <c r="B1093" s="46" t="s">
        <v>3589</v>
      </c>
      <c r="C1093" s="36">
        <v>45898</v>
      </c>
      <c r="D1093" s="36" t="s">
        <v>1085</v>
      </c>
      <c r="E1093" s="37" t="s">
        <v>2701</v>
      </c>
      <c r="F1093" s="37" t="s">
        <v>4026</v>
      </c>
      <c r="G1093" s="38"/>
      <c r="H1093" s="38">
        <v>109.08</v>
      </c>
      <c r="I1093" s="37"/>
      <c r="J1093" s="37"/>
      <c r="K1093" s="38"/>
      <c r="L1093" s="38"/>
    </row>
    <row r="1094" spans="2:12" ht="14.5" x14ac:dyDescent="0.35">
      <c r="B1094" s="46" t="s">
        <v>3589</v>
      </c>
      <c r="C1094" s="36">
        <v>45898</v>
      </c>
      <c r="D1094" s="36" t="s">
        <v>2626</v>
      </c>
      <c r="E1094" s="37">
        <v>38185</v>
      </c>
      <c r="F1094" s="37" t="s">
        <v>4026</v>
      </c>
      <c r="G1094" s="38"/>
      <c r="H1094" s="38">
        <v>45494.929999999993</v>
      </c>
      <c r="I1094" s="37"/>
      <c r="J1094" s="37"/>
      <c r="K1094" s="38"/>
      <c r="L1094" s="38"/>
    </row>
    <row r="1095" spans="2:12" ht="14.5" x14ac:dyDescent="0.35">
      <c r="B1095" s="46" t="s">
        <v>3589</v>
      </c>
      <c r="C1095" s="36">
        <v>45898</v>
      </c>
      <c r="D1095" s="36" t="s">
        <v>2626</v>
      </c>
      <c r="E1095" s="37">
        <v>38199</v>
      </c>
      <c r="F1095" s="37" t="s">
        <v>4026</v>
      </c>
      <c r="G1095" s="38"/>
      <c r="H1095" s="38">
        <v>44628.06</v>
      </c>
      <c r="I1095" s="37"/>
      <c r="J1095" s="37"/>
      <c r="K1095" s="38"/>
      <c r="L1095" s="38"/>
    </row>
    <row r="1096" spans="2:12" ht="14.5" x14ac:dyDescent="0.35">
      <c r="B1096" s="46" t="s">
        <v>3589</v>
      </c>
      <c r="C1096" s="36">
        <v>45898</v>
      </c>
      <c r="D1096" s="36" t="s">
        <v>2626</v>
      </c>
      <c r="E1096" s="37" t="s">
        <v>2702</v>
      </c>
      <c r="F1096" s="37" t="s">
        <v>4026</v>
      </c>
      <c r="G1096" s="38"/>
      <c r="H1096" s="38">
        <v>26511.03</v>
      </c>
      <c r="I1096" s="37"/>
      <c r="J1096" s="37"/>
      <c r="K1096" s="38"/>
      <c r="L1096" s="38"/>
    </row>
    <row r="1097" spans="2:12" ht="14.5" x14ac:dyDescent="0.35">
      <c r="B1097" s="46" t="s">
        <v>3589</v>
      </c>
      <c r="C1097" s="36">
        <v>45898</v>
      </c>
      <c r="D1097" s="36" t="s">
        <v>2631</v>
      </c>
      <c r="E1097" s="37" t="s">
        <v>2703</v>
      </c>
      <c r="F1097" s="37" t="s">
        <v>4026</v>
      </c>
      <c r="G1097" s="38"/>
      <c r="H1097" s="38">
        <v>284.68</v>
      </c>
      <c r="I1097" s="37"/>
      <c r="J1097" s="37"/>
      <c r="K1097" s="38"/>
      <c r="L1097" s="38"/>
    </row>
    <row r="1098" spans="2:12" ht="14.5" x14ac:dyDescent="0.35">
      <c r="B1098" s="46" t="s">
        <v>3589</v>
      </c>
      <c r="C1098" s="36">
        <v>45898</v>
      </c>
      <c r="D1098" s="36" t="s">
        <v>2662</v>
      </c>
      <c r="E1098" s="37">
        <v>38832</v>
      </c>
      <c r="F1098" s="37" t="s">
        <v>4026</v>
      </c>
      <c r="G1098" s="38"/>
      <c r="H1098" s="38">
        <v>1305.43</v>
      </c>
      <c r="I1098" s="37"/>
      <c r="J1098" s="37"/>
      <c r="K1098" s="38"/>
      <c r="L1098" s="38"/>
    </row>
    <row r="1099" spans="2:12" ht="14.5" x14ac:dyDescent="0.35">
      <c r="B1099" s="46" t="s">
        <v>3589</v>
      </c>
      <c r="C1099" s="36">
        <v>45898</v>
      </c>
      <c r="D1099" s="36" t="s">
        <v>2892</v>
      </c>
      <c r="E1099" s="37">
        <v>38851</v>
      </c>
      <c r="F1099" s="37" t="s">
        <v>4026</v>
      </c>
      <c r="G1099" s="38"/>
      <c r="H1099" s="38">
        <v>1780.67</v>
      </c>
      <c r="I1099" s="37"/>
      <c r="J1099" s="37"/>
      <c r="K1099" s="38"/>
      <c r="L1099" s="38"/>
    </row>
    <row r="1100" spans="2:12" ht="14.5" x14ac:dyDescent="0.35">
      <c r="B1100" s="46" t="s">
        <v>3589</v>
      </c>
      <c r="C1100" s="36">
        <v>45898</v>
      </c>
      <c r="D1100" s="36" t="s">
        <v>2894</v>
      </c>
      <c r="E1100" s="37">
        <v>38881</v>
      </c>
      <c r="F1100" s="37" t="s">
        <v>4026</v>
      </c>
      <c r="G1100" s="38"/>
      <c r="H1100" s="38">
        <v>440</v>
      </c>
      <c r="I1100" s="37"/>
      <c r="J1100" s="37"/>
      <c r="K1100" s="38"/>
      <c r="L1100" s="38"/>
    </row>
    <row r="1101" spans="2:12" ht="14.5" x14ac:dyDescent="0.35">
      <c r="B1101" s="46" t="s">
        <v>3589</v>
      </c>
      <c r="C1101" s="36">
        <v>45898</v>
      </c>
      <c r="D1101" s="36" t="s">
        <v>2894</v>
      </c>
      <c r="E1101" s="37">
        <v>38893</v>
      </c>
      <c r="F1101" s="37" t="s">
        <v>4026</v>
      </c>
      <c r="G1101" s="38"/>
      <c r="H1101" s="38">
        <v>413.33000000000004</v>
      </c>
      <c r="I1101" s="37"/>
      <c r="J1101" s="37"/>
      <c r="K1101" s="38"/>
      <c r="L1101" s="38"/>
    </row>
    <row r="1102" spans="2:12" ht="14.5" x14ac:dyDescent="0.35">
      <c r="B1102" s="46" t="s">
        <v>3589</v>
      </c>
      <c r="C1102" s="36">
        <v>45898</v>
      </c>
      <c r="D1102" s="36" t="s">
        <v>874</v>
      </c>
      <c r="E1102" s="37">
        <v>25013074</v>
      </c>
      <c r="F1102" s="37" t="s">
        <v>4026</v>
      </c>
      <c r="G1102" s="38"/>
      <c r="H1102" s="38">
        <v>3942.61</v>
      </c>
      <c r="I1102" s="37"/>
      <c r="J1102" s="37"/>
      <c r="K1102" s="38"/>
      <c r="L1102" s="38"/>
    </row>
    <row r="1103" spans="2:12" ht="14.5" x14ac:dyDescent="0.35">
      <c r="B1103" s="46" t="s">
        <v>3589</v>
      </c>
      <c r="C1103" s="36">
        <v>45898</v>
      </c>
      <c r="D1103" s="36" t="s">
        <v>874</v>
      </c>
      <c r="E1103" s="37">
        <v>25013566</v>
      </c>
      <c r="F1103" s="37" t="s">
        <v>4026</v>
      </c>
      <c r="G1103" s="38"/>
      <c r="H1103" s="38">
        <v>438.07</v>
      </c>
      <c r="I1103" s="37"/>
      <c r="J1103" s="37"/>
      <c r="K1103" s="38"/>
      <c r="L1103" s="38"/>
    </row>
    <row r="1104" spans="2:12" ht="14.5" x14ac:dyDescent="0.35">
      <c r="B1104" s="46" t="s">
        <v>3589</v>
      </c>
      <c r="C1104" s="36">
        <v>45899</v>
      </c>
      <c r="D1104" s="36" t="s">
        <v>2575</v>
      </c>
      <c r="E1104" s="37" t="s">
        <v>2704</v>
      </c>
      <c r="F1104" s="37" t="s">
        <v>4026</v>
      </c>
      <c r="G1104" s="38"/>
      <c r="H1104" s="38">
        <v>300</v>
      </c>
      <c r="I1104" s="37"/>
      <c r="J1104" s="37"/>
      <c r="K1104" s="38"/>
      <c r="L1104" s="38"/>
    </row>
    <row r="1105" spans="2:12" ht="14.5" x14ac:dyDescent="0.35">
      <c r="B1105" s="46" t="s">
        <v>3589</v>
      </c>
      <c r="C1105" s="36">
        <v>45899</v>
      </c>
      <c r="D1105" s="36" t="s">
        <v>2462</v>
      </c>
      <c r="E1105" s="37" t="s">
        <v>2705</v>
      </c>
      <c r="F1105" s="37" t="s">
        <v>4026</v>
      </c>
      <c r="G1105" s="38"/>
      <c r="H1105" s="38">
        <v>17875.93</v>
      </c>
      <c r="I1105" s="37"/>
      <c r="J1105" s="37"/>
      <c r="K1105" s="38"/>
      <c r="L1105" s="38"/>
    </row>
    <row r="1106" spans="2:12" ht="14.5" x14ac:dyDescent="0.35">
      <c r="B1106" s="46" t="s">
        <v>3589</v>
      </c>
      <c r="C1106" s="36">
        <v>45899</v>
      </c>
      <c r="D1106" s="36" t="s">
        <v>2462</v>
      </c>
      <c r="E1106" s="37" t="s">
        <v>2706</v>
      </c>
      <c r="F1106" s="37" t="s">
        <v>4026</v>
      </c>
      <c r="G1106" s="38"/>
      <c r="H1106" s="38">
        <v>72339.86</v>
      </c>
      <c r="I1106" s="37"/>
      <c r="J1106" s="37"/>
      <c r="K1106" s="38"/>
      <c r="L1106" s="38"/>
    </row>
    <row r="1107" spans="2:12" ht="14.5" x14ac:dyDescent="0.35">
      <c r="B1107" s="46" t="s">
        <v>3589</v>
      </c>
      <c r="C1107" s="36">
        <v>45899</v>
      </c>
      <c r="D1107" s="36" t="s">
        <v>2547</v>
      </c>
      <c r="E1107" s="37" t="s">
        <v>2707</v>
      </c>
      <c r="F1107" s="37" t="s">
        <v>4026</v>
      </c>
      <c r="G1107" s="38"/>
      <c r="H1107" s="38">
        <v>0</v>
      </c>
      <c r="I1107" s="37"/>
      <c r="J1107" s="37"/>
      <c r="K1107" s="38"/>
      <c r="L1107" s="38"/>
    </row>
    <row r="1108" spans="2:12" ht="14.5" x14ac:dyDescent="0.35">
      <c r="B1108" s="46" t="s">
        <v>3589</v>
      </c>
      <c r="C1108" s="36">
        <v>45899</v>
      </c>
      <c r="D1108" s="36" t="s">
        <v>2904</v>
      </c>
      <c r="E1108" s="37" t="s">
        <v>2708</v>
      </c>
      <c r="F1108" s="37" t="s">
        <v>4026</v>
      </c>
      <c r="G1108" s="38"/>
      <c r="H1108" s="38">
        <v>306</v>
      </c>
      <c r="I1108" s="37"/>
      <c r="J1108" s="37"/>
      <c r="K1108" s="38"/>
      <c r="L1108" s="38"/>
    </row>
    <row r="1109" spans="2:12" ht="14.5" x14ac:dyDescent="0.35">
      <c r="B1109" s="46" t="s">
        <v>3589</v>
      </c>
      <c r="C1109" s="36">
        <v>45899</v>
      </c>
      <c r="D1109" s="36" t="s">
        <v>2906</v>
      </c>
      <c r="E1109" s="37" t="s">
        <v>2709</v>
      </c>
      <c r="F1109" s="37" t="s">
        <v>4026</v>
      </c>
      <c r="G1109" s="38"/>
      <c r="H1109" s="38">
        <v>259.33</v>
      </c>
      <c r="I1109" s="37"/>
      <c r="J1109" s="37"/>
      <c r="K1109" s="38"/>
      <c r="L1109" s="38"/>
    </row>
    <row r="1110" spans="2:12" ht="14.5" x14ac:dyDescent="0.35">
      <c r="B1110" s="46" t="s">
        <v>3589</v>
      </c>
      <c r="C1110" s="36">
        <v>45899</v>
      </c>
      <c r="D1110" s="36" t="s">
        <v>301</v>
      </c>
      <c r="E1110" s="37" t="s">
        <v>2710</v>
      </c>
      <c r="F1110" s="37" t="s">
        <v>4026</v>
      </c>
      <c r="G1110" s="38"/>
      <c r="H1110" s="38">
        <v>200.38</v>
      </c>
      <c r="I1110" s="37"/>
      <c r="J1110" s="37"/>
      <c r="K1110" s="38"/>
      <c r="L1110" s="38"/>
    </row>
    <row r="1111" spans="2:12" ht="14.5" x14ac:dyDescent="0.35">
      <c r="B1111" s="46" t="s">
        <v>3589</v>
      </c>
      <c r="C1111" s="36">
        <v>45899</v>
      </c>
      <c r="D1111" s="36" t="s">
        <v>301</v>
      </c>
      <c r="E1111" s="37" t="s">
        <v>2711</v>
      </c>
      <c r="F1111" s="37" t="s">
        <v>4026</v>
      </c>
      <c r="G1111" s="38"/>
      <c r="H1111" s="38">
        <v>1966</v>
      </c>
      <c r="I1111" s="37"/>
      <c r="J1111" s="37"/>
      <c r="K1111" s="38"/>
      <c r="L1111" s="38"/>
    </row>
    <row r="1112" spans="2:12" ht="14.5" x14ac:dyDescent="0.35">
      <c r="B1112" s="46" t="s">
        <v>3589</v>
      </c>
      <c r="C1112" s="36">
        <v>45899</v>
      </c>
      <c r="D1112" s="36" t="s">
        <v>301</v>
      </c>
      <c r="E1112" s="37" t="s">
        <v>2712</v>
      </c>
      <c r="F1112" s="37" t="s">
        <v>4026</v>
      </c>
      <c r="G1112" s="38"/>
      <c r="H1112" s="38">
        <v>85</v>
      </c>
      <c r="I1112" s="37"/>
      <c r="J1112" s="37"/>
      <c r="K1112" s="38"/>
      <c r="L1112" s="38"/>
    </row>
    <row r="1113" spans="2:12" ht="14.5" x14ac:dyDescent="0.35">
      <c r="B1113" s="46" t="s">
        <v>3589</v>
      </c>
      <c r="C1113" s="36">
        <v>45899</v>
      </c>
      <c r="D1113" s="36" t="s">
        <v>1484</v>
      </c>
      <c r="E1113" s="37" t="s">
        <v>2713</v>
      </c>
      <c r="F1113" s="37" t="s">
        <v>4026</v>
      </c>
      <c r="G1113" s="38"/>
      <c r="H1113" s="38">
        <v>3427.91</v>
      </c>
      <c r="I1113" s="37"/>
      <c r="J1113" s="37"/>
      <c r="K1113" s="38"/>
      <c r="L1113" s="38"/>
    </row>
    <row r="1114" spans="2:12" ht="14.5" x14ac:dyDescent="0.35">
      <c r="B1114" s="46" t="s">
        <v>3589</v>
      </c>
      <c r="C1114" s="36">
        <v>45899</v>
      </c>
      <c r="D1114" s="36" t="s">
        <v>1251</v>
      </c>
      <c r="E1114" s="37" t="s">
        <v>2714</v>
      </c>
      <c r="F1114" s="37" t="s">
        <v>4026</v>
      </c>
      <c r="G1114" s="38"/>
      <c r="H1114" s="38">
        <v>126.68</v>
      </c>
      <c r="I1114" s="37"/>
      <c r="J1114" s="37"/>
      <c r="K1114" s="38"/>
      <c r="L1114" s="38"/>
    </row>
    <row r="1115" spans="2:12" ht="14.5" x14ac:dyDescent="0.35">
      <c r="B1115" s="46" t="s">
        <v>3589</v>
      </c>
      <c r="C1115" s="36">
        <v>45899</v>
      </c>
      <c r="D1115" s="36" t="s">
        <v>2921</v>
      </c>
      <c r="E1115" s="37" t="s">
        <v>2715</v>
      </c>
      <c r="F1115" s="37" t="s">
        <v>4026</v>
      </c>
      <c r="G1115" s="38"/>
      <c r="H1115" s="38">
        <v>790.5</v>
      </c>
      <c r="I1115" s="37"/>
      <c r="J1115" s="37"/>
      <c r="K1115" s="38"/>
      <c r="L1115" s="38"/>
    </row>
    <row r="1116" spans="2:12" ht="14.5" x14ac:dyDescent="0.35">
      <c r="B1116" s="46" t="s">
        <v>3589</v>
      </c>
      <c r="C1116" s="36">
        <v>45899</v>
      </c>
      <c r="D1116" s="36" t="s">
        <v>2923</v>
      </c>
      <c r="E1116" s="37" t="s">
        <v>2716</v>
      </c>
      <c r="F1116" s="37" t="s">
        <v>4026</v>
      </c>
      <c r="G1116" s="38"/>
      <c r="H1116" s="38">
        <v>18.37</v>
      </c>
      <c r="I1116" s="37"/>
      <c r="J1116" s="37"/>
      <c r="K1116" s="38"/>
      <c r="L1116" s="38"/>
    </row>
    <row r="1117" spans="2:12" ht="14.5" x14ac:dyDescent="0.35">
      <c r="B1117" s="46" t="s">
        <v>3589</v>
      </c>
      <c r="C1117" s="36">
        <v>45899</v>
      </c>
      <c r="D1117" s="36" t="s">
        <v>2067</v>
      </c>
      <c r="E1117" s="37" t="s">
        <v>2717</v>
      </c>
      <c r="F1117" s="37" t="s">
        <v>4026</v>
      </c>
      <c r="G1117" s="38"/>
      <c r="H1117" s="38">
        <v>6207.380000000001</v>
      </c>
      <c r="I1117" s="37"/>
      <c r="J1117" s="37"/>
      <c r="K1117" s="38"/>
      <c r="L1117" s="38"/>
    </row>
    <row r="1118" spans="2:12" ht="14.5" x14ac:dyDescent="0.35">
      <c r="B1118" s="46" t="s">
        <v>3589</v>
      </c>
      <c r="C1118" s="36">
        <v>45899</v>
      </c>
      <c r="D1118" s="36" t="s">
        <v>2926</v>
      </c>
      <c r="E1118" s="37" t="s">
        <v>2718</v>
      </c>
      <c r="F1118" s="37" t="s">
        <v>4026</v>
      </c>
      <c r="G1118" s="38"/>
      <c r="H1118" s="38">
        <v>265.72000000000003</v>
      </c>
      <c r="I1118" s="37"/>
      <c r="J1118" s="37"/>
      <c r="K1118" s="38"/>
      <c r="L1118" s="38"/>
    </row>
    <row r="1119" spans="2:12" ht="14.5" x14ac:dyDescent="0.35">
      <c r="B1119" s="46" t="s">
        <v>3589</v>
      </c>
      <c r="C1119" s="36">
        <v>45899</v>
      </c>
      <c r="D1119" s="36" t="s">
        <v>2926</v>
      </c>
      <c r="E1119" s="37" t="s">
        <v>2719</v>
      </c>
      <c r="F1119" s="37" t="s">
        <v>4026</v>
      </c>
      <c r="G1119" s="38"/>
      <c r="H1119" s="38">
        <v>627.87</v>
      </c>
      <c r="I1119" s="37"/>
      <c r="J1119" s="37"/>
      <c r="K1119" s="38"/>
      <c r="L1119" s="38"/>
    </row>
    <row r="1120" spans="2:12" ht="14.5" x14ac:dyDescent="0.35">
      <c r="B1120" s="46" t="s">
        <v>3589</v>
      </c>
      <c r="C1120" s="36">
        <v>45899</v>
      </c>
      <c r="D1120" s="36" t="s">
        <v>2462</v>
      </c>
      <c r="E1120" s="37" t="s">
        <v>2720</v>
      </c>
      <c r="F1120" s="37" t="s">
        <v>4026</v>
      </c>
      <c r="G1120" s="38"/>
      <c r="H1120" s="38">
        <v>2352.48</v>
      </c>
      <c r="I1120" s="37"/>
      <c r="J1120" s="37"/>
      <c r="K1120" s="38"/>
      <c r="L1120" s="38"/>
    </row>
    <row r="1121" spans="2:12" ht="14.5" x14ac:dyDescent="0.35">
      <c r="B1121" s="46" t="s">
        <v>3589</v>
      </c>
      <c r="C1121" s="36">
        <v>45899</v>
      </c>
      <c r="D1121" s="36" t="s">
        <v>2931</v>
      </c>
      <c r="E1121" s="37">
        <v>32888</v>
      </c>
      <c r="F1121" s="37" t="s">
        <v>4026</v>
      </c>
      <c r="G1121" s="38"/>
      <c r="H1121" s="38">
        <v>17594.259999999998</v>
      </c>
      <c r="I1121" s="37"/>
      <c r="J1121" s="37"/>
      <c r="K1121" s="38"/>
      <c r="L1121" s="38"/>
    </row>
    <row r="1122" spans="2:12" ht="14.5" x14ac:dyDescent="0.35">
      <c r="B1122" s="46" t="s">
        <v>3589</v>
      </c>
      <c r="C1122" s="36">
        <v>45899</v>
      </c>
      <c r="D1122" s="36" t="s">
        <v>2931</v>
      </c>
      <c r="E1122" s="37" t="s">
        <v>2721</v>
      </c>
      <c r="F1122" s="37" t="s">
        <v>4026</v>
      </c>
      <c r="G1122" s="38"/>
      <c r="H1122" s="38">
        <v>29.89</v>
      </c>
      <c r="I1122" s="37"/>
      <c r="J1122" s="37"/>
      <c r="K1122" s="38"/>
      <c r="L1122" s="38"/>
    </row>
    <row r="1123" spans="2:12" ht="14.5" x14ac:dyDescent="0.35">
      <c r="B1123" s="46" t="s">
        <v>3589</v>
      </c>
      <c r="C1123" s="36">
        <v>45899</v>
      </c>
      <c r="D1123" s="36" t="s">
        <v>2970</v>
      </c>
      <c r="E1123" s="37" t="s">
        <v>2722</v>
      </c>
      <c r="F1123" s="37" t="s">
        <v>4026</v>
      </c>
      <c r="G1123" s="38"/>
      <c r="H1123" s="38">
        <v>1325.98</v>
      </c>
      <c r="I1123" s="37"/>
      <c r="J1123" s="37"/>
      <c r="K1123" s="38"/>
      <c r="L1123" s="38"/>
    </row>
    <row r="1124" spans="2:12" ht="14.5" x14ac:dyDescent="0.35">
      <c r="B1124" s="46" t="s">
        <v>3589</v>
      </c>
      <c r="C1124" s="36">
        <v>45899</v>
      </c>
      <c r="D1124" s="36" t="s">
        <v>2970</v>
      </c>
      <c r="E1124" s="37" t="s">
        <v>2723</v>
      </c>
      <c r="F1124" s="37" t="s">
        <v>4026</v>
      </c>
      <c r="G1124" s="38"/>
      <c r="H1124" s="38">
        <v>80.23</v>
      </c>
      <c r="I1124" s="37"/>
      <c r="J1124" s="37"/>
      <c r="K1124" s="38"/>
      <c r="L1124" s="38"/>
    </row>
    <row r="1125" spans="2:12" ht="14.5" x14ac:dyDescent="0.35">
      <c r="B1125" s="46" t="s">
        <v>3589</v>
      </c>
      <c r="C1125" s="36">
        <v>45899</v>
      </c>
      <c r="D1125" s="36" t="s">
        <v>2973</v>
      </c>
      <c r="E1125" s="37" t="s">
        <v>2724</v>
      </c>
      <c r="F1125" s="37" t="s">
        <v>4026</v>
      </c>
      <c r="G1125" s="38"/>
      <c r="H1125" s="38">
        <v>942.76</v>
      </c>
      <c r="I1125" s="37"/>
      <c r="J1125" s="37"/>
      <c r="K1125" s="38"/>
      <c r="L1125" s="38"/>
    </row>
    <row r="1126" spans="2:12" ht="14.5" x14ac:dyDescent="0.35">
      <c r="B1126" s="46" t="s">
        <v>3589</v>
      </c>
      <c r="C1126" s="36">
        <v>45899</v>
      </c>
      <c r="D1126" s="36" t="s">
        <v>2973</v>
      </c>
      <c r="E1126" s="37" t="s">
        <v>2725</v>
      </c>
      <c r="F1126" s="37" t="s">
        <v>4026</v>
      </c>
      <c r="G1126" s="38"/>
      <c r="H1126" s="38">
        <v>6697.87</v>
      </c>
      <c r="I1126" s="37"/>
      <c r="J1126" s="37"/>
      <c r="K1126" s="38"/>
      <c r="L1126" s="38"/>
    </row>
    <row r="1127" spans="2:12" ht="14.5" x14ac:dyDescent="0.35">
      <c r="B1127" s="46" t="s">
        <v>3589</v>
      </c>
      <c r="C1127" s="36">
        <v>45899</v>
      </c>
      <c r="D1127" s="36" t="s">
        <v>2575</v>
      </c>
      <c r="E1127" s="37" t="s">
        <v>2726</v>
      </c>
      <c r="F1127" s="37" t="s">
        <v>4026</v>
      </c>
      <c r="G1127" s="38"/>
      <c r="H1127" s="38">
        <v>218.71</v>
      </c>
      <c r="I1127" s="37"/>
      <c r="J1127" s="37"/>
      <c r="K1127" s="38"/>
      <c r="L1127" s="38"/>
    </row>
    <row r="1128" spans="2:12" ht="14.5" x14ac:dyDescent="0.35">
      <c r="B1128" s="46" t="s">
        <v>3589</v>
      </c>
      <c r="C1128" s="36">
        <v>45899</v>
      </c>
      <c r="D1128" s="36" t="s">
        <v>1283</v>
      </c>
      <c r="E1128" s="37" t="s">
        <v>2727</v>
      </c>
      <c r="F1128" s="37" t="s">
        <v>4026</v>
      </c>
      <c r="G1128" s="38"/>
      <c r="H1128" s="38">
        <v>1374.3700000000001</v>
      </c>
      <c r="I1128" s="37"/>
      <c r="J1128" s="37"/>
      <c r="K1128" s="38"/>
      <c r="L1128" s="38"/>
    </row>
    <row r="1129" spans="2:12" ht="14.5" x14ac:dyDescent="0.35">
      <c r="B1129" s="46" t="s">
        <v>3589</v>
      </c>
      <c r="C1129" s="36">
        <v>45899</v>
      </c>
      <c r="D1129" s="36" t="s">
        <v>1283</v>
      </c>
      <c r="E1129" s="37" t="s">
        <v>2728</v>
      </c>
      <c r="F1129" s="37" t="s">
        <v>4026</v>
      </c>
      <c r="G1129" s="38"/>
      <c r="H1129" s="38">
        <v>843.92000000000007</v>
      </c>
      <c r="I1129" s="37"/>
      <c r="J1129" s="37"/>
      <c r="K1129" s="38"/>
      <c r="L1129" s="38"/>
    </row>
    <row r="1130" spans="2:12" ht="14.5" x14ac:dyDescent="0.35">
      <c r="B1130" s="46" t="s">
        <v>3589</v>
      </c>
      <c r="C1130" s="36">
        <v>45899</v>
      </c>
      <c r="D1130" s="36" t="s">
        <v>1283</v>
      </c>
      <c r="E1130" s="37" t="s">
        <v>2729</v>
      </c>
      <c r="F1130" s="37" t="s">
        <v>4026</v>
      </c>
      <c r="G1130" s="38"/>
      <c r="H1130" s="38">
        <v>55.88</v>
      </c>
      <c r="I1130" s="37"/>
      <c r="J1130" s="37"/>
      <c r="K1130" s="38"/>
      <c r="L1130" s="38"/>
    </row>
    <row r="1131" spans="2:12" ht="14.5" x14ac:dyDescent="0.35">
      <c r="B1131" s="46" t="s">
        <v>3589</v>
      </c>
      <c r="C1131" s="36">
        <v>45899</v>
      </c>
      <c r="D1131" s="36" t="s">
        <v>1283</v>
      </c>
      <c r="E1131" s="37" t="s">
        <v>2730</v>
      </c>
      <c r="F1131" s="37" t="s">
        <v>4026</v>
      </c>
      <c r="G1131" s="38"/>
      <c r="H1131" s="38">
        <v>181.61</v>
      </c>
      <c r="I1131" s="37"/>
      <c r="J1131" s="37"/>
      <c r="K1131" s="38"/>
      <c r="L1131" s="38"/>
    </row>
    <row r="1132" spans="2:12" ht="14.5" x14ac:dyDescent="0.35">
      <c r="B1132" s="46" t="s">
        <v>3589</v>
      </c>
      <c r="C1132" s="36">
        <v>45899</v>
      </c>
      <c r="D1132" s="36" t="s">
        <v>1283</v>
      </c>
      <c r="E1132" s="37" t="s">
        <v>2731</v>
      </c>
      <c r="F1132" s="37" t="s">
        <v>4026</v>
      </c>
      <c r="G1132" s="38"/>
      <c r="H1132" s="38">
        <v>3933.1800000000003</v>
      </c>
      <c r="I1132" s="37"/>
      <c r="J1132" s="37"/>
      <c r="K1132" s="38"/>
      <c r="L1132" s="38"/>
    </row>
    <row r="1133" spans="2:12" ht="14.5" x14ac:dyDescent="0.35">
      <c r="B1133" s="46" t="s">
        <v>3589</v>
      </c>
      <c r="C1133" s="36">
        <v>45899</v>
      </c>
      <c r="D1133" s="36" t="s">
        <v>2092</v>
      </c>
      <c r="E1133" s="37" t="s">
        <v>2732</v>
      </c>
      <c r="F1133" s="37" t="s">
        <v>4026</v>
      </c>
      <c r="G1133" s="38"/>
      <c r="H1133" s="38">
        <v>26.73</v>
      </c>
      <c r="I1133" s="37"/>
      <c r="J1133" s="37"/>
      <c r="K1133" s="38"/>
      <c r="L1133" s="38"/>
    </row>
    <row r="1134" spans="2:12" ht="14.5" x14ac:dyDescent="0.35">
      <c r="B1134" s="46" t="s">
        <v>3589</v>
      </c>
      <c r="C1134" s="36">
        <v>45899</v>
      </c>
      <c r="D1134" s="36" t="s">
        <v>2144</v>
      </c>
      <c r="E1134" s="37" t="s">
        <v>2733</v>
      </c>
      <c r="F1134" s="37" t="s">
        <v>4026</v>
      </c>
      <c r="G1134" s="38"/>
      <c r="H1134" s="38">
        <v>1759.9</v>
      </c>
      <c r="I1134" s="37"/>
      <c r="J1134" s="37"/>
      <c r="K1134" s="38"/>
      <c r="L1134" s="38"/>
    </row>
    <row r="1135" spans="2:12" ht="14.5" x14ac:dyDescent="0.35">
      <c r="B1135" s="46" t="s">
        <v>3589</v>
      </c>
      <c r="C1135" s="36">
        <v>45899</v>
      </c>
      <c r="D1135" s="36" t="s">
        <v>2144</v>
      </c>
      <c r="E1135" s="37" t="s">
        <v>2734</v>
      </c>
      <c r="F1135" s="37" t="s">
        <v>4026</v>
      </c>
      <c r="G1135" s="38"/>
      <c r="H1135" s="38">
        <v>933.4</v>
      </c>
      <c r="I1135" s="37"/>
      <c r="J1135" s="37"/>
      <c r="K1135" s="38"/>
      <c r="L1135" s="38"/>
    </row>
    <row r="1136" spans="2:12" ht="14.5" x14ac:dyDescent="0.35">
      <c r="B1136" s="46" t="s">
        <v>3589</v>
      </c>
      <c r="C1136" s="36">
        <v>45899</v>
      </c>
      <c r="D1136" s="36" t="s">
        <v>2189</v>
      </c>
      <c r="E1136" s="37" t="s">
        <v>2735</v>
      </c>
      <c r="F1136" s="37" t="s">
        <v>4026</v>
      </c>
      <c r="G1136" s="38"/>
      <c r="H1136" s="38">
        <v>4.66</v>
      </c>
      <c r="I1136" s="37"/>
      <c r="J1136" s="37"/>
      <c r="K1136" s="38"/>
      <c r="L1136" s="38"/>
    </row>
    <row r="1137" spans="2:12" ht="14.5" x14ac:dyDescent="0.35">
      <c r="B1137" s="46" t="s">
        <v>3589</v>
      </c>
      <c r="C1137" s="36">
        <v>45899</v>
      </c>
      <c r="D1137" s="36" t="s">
        <v>2189</v>
      </c>
      <c r="E1137" s="37" t="s">
        <v>2736</v>
      </c>
      <c r="F1137" s="37" t="s">
        <v>4026</v>
      </c>
      <c r="G1137" s="38"/>
      <c r="H1137" s="38">
        <v>239</v>
      </c>
      <c r="I1137" s="37"/>
      <c r="J1137" s="37"/>
      <c r="K1137" s="38"/>
      <c r="L1137" s="38"/>
    </row>
    <row r="1138" spans="2:12" ht="14.5" x14ac:dyDescent="0.35">
      <c r="B1138" s="46" t="s">
        <v>3589</v>
      </c>
      <c r="C1138" s="36">
        <v>45899</v>
      </c>
      <c r="D1138" s="36" t="s">
        <v>2987</v>
      </c>
      <c r="E1138" s="37" t="s">
        <v>2737</v>
      </c>
      <c r="F1138" s="37" t="s">
        <v>4026</v>
      </c>
      <c r="G1138" s="38"/>
      <c r="H1138" s="38">
        <v>279.52999999999997</v>
      </c>
      <c r="I1138" s="37"/>
      <c r="J1138" s="37"/>
      <c r="K1138" s="38"/>
      <c r="L1138" s="38"/>
    </row>
    <row r="1139" spans="2:12" ht="14.5" x14ac:dyDescent="0.35">
      <c r="B1139" s="46" t="s">
        <v>3589</v>
      </c>
      <c r="C1139" s="36">
        <v>45899</v>
      </c>
      <c r="D1139" s="36" t="s">
        <v>2989</v>
      </c>
      <c r="E1139" s="37" t="s">
        <v>2738</v>
      </c>
      <c r="F1139" s="37" t="s">
        <v>4026</v>
      </c>
      <c r="G1139" s="38"/>
      <c r="H1139" s="38">
        <v>23.89</v>
      </c>
      <c r="I1139" s="37"/>
      <c r="J1139" s="37"/>
      <c r="K1139" s="38"/>
      <c r="L1139" s="38"/>
    </row>
    <row r="1140" spans="2:12" ht="14.5" x14ac:dyDescent="0.35">
      <c r="B1140" s="46" t="s">
        <v>3589</v>
      </c>
      <c r="C1140" s="36">
        <v>45899</v>
      </c>
      <c r="D1140" s="36" t="s">
        <v>2989</v>
      </c>
      <c r="E1140" s="37" t="s">
        <v>2739</v>
      </c>
      <c r="F1140" s="37" t="s">
        <v>4026</v>
      </c>
      <c r="G1140" s="38"/>
      <c r="H1140" s="38">
        <v>222.58</v>
      </c>
      <c r="I1140" s="37"/>
      <c r="J1140" s="37"/>
      <c r="K1140" s="38"/>
      <c r="L1140" s="38"/>
    </row>
    <row r="1141" spans="2:12" ht="14.5" x14ac:dyDescent="0.35">
      <c r="B1141" s="46" t="s">
        <v>3589</v>
      </c>
      <c r="C1141" s="36">
        <v>45899</v>
      </c>
      <c r="D1141" s="36" t="s">
        <v>2197</v>
      </c>
      <c r="E1141" s="37" t="s">
        <v>2740</v>
      </c>
      <c r="F1141" s="37" t="s">
        <v>4026</v>
      </c>
      <c r="G1141" s="38"/>
      <c r="H1141" s="38">
        <v>25931.250000000007</v>
      </c>
      <c r="I1141" s="37"/>
      <c r="J1141" s="37"/>
      <c r="K1141" s="38"/>
      <c r="L1141" s="38"/>
    </row>
    <row r="1142" spans="2:12" ht="14.5" x14ac:dyDescent="0.35">
      <c r="B1142" s="46" t="s">
        <v>3589</v>
      </c>
      <c r="C1142" s="36">
        <v>45899</v>
      </c>
      <c r="D1142" s="36" t="s">
        <v>2555</v>
      </c>
      <c r="E1142" s="37" t="s">
        <v>2741</v>
      </c>
      <c r="F1142" s="37" t="s">
        <v>4026</v>
      </c>
      <c r="G1142" s="38"/>
      <c r="H1142" s="38">
        <v>1716.66</v>
      </c>
      <c r="I1142" s="37"/>
      <c r="J1142" s="37"/>
      <c r="K1142" s="38"/>
      <c r="L1142" s="38"/>
    </row>
    <row r="1143" spans="2:12" ht="14.5" x14ac:dyDescent="0.35">
      <c r="B1143" s="46" t="s">
        <v>3589</v>
      </c>
      <c r="C1143" s="36">
        <v>45899</v>
      </c>
      <c r="D1143" s="36" t="s">
        <v>2555</v>
      </c>
      <c r="E1143" s="37" t="s">
        <v>2742</v>
      </c>
      <c r="F1143" s="37" t="s">
        <v>4026</v>
      </c>
      <c r="G1143" s="38"/>
      <c r="H1143" s="38">
        <v>588</v>
      </c>
      <c r="I1143" s="37"/>
      <c r="J1143" s="37"/>
      <c r="K1143" s="38"/>
      <c r="L1143" s="38"/>
    </row>
    <row r="1144" spans="2:12" ht="14.5" x14ac:dyDescent="0.35">
      <c r="B1144" s="46" t="s">
        <v>3589</v>
      </c>
      <c r="C1144" s="36">
        <v>45899</v>
      </c>
      <c r="D1144" s="36" t="s">
        <v>2555</v>
      </c>
      <c r="E1144" s="37" t="s">
        <v>2743</v>
      </c>
      <c r="F1144" s="37" t="s">
        <v>4026</v>
      </c>
      <c r="G1144" s="38"/>
      <c r="H1144" s="38">
        <v>80.75</v>
      </c>
      <c r="I1144" s="37"/>
      <c r="J1144" s="37"/>
      <c r="K1144" s="38"/>
      <c r="L1144" s="38"/>
    </row>
    <row r="1145" spans="2:12" ht="14.5" x14ac:dyDescent="0.35">
      <c r="B1145" s="46" t="s">
        <v>3589</v>
      </c>
      <c r="C1145" s="36">
        <v>45899</v>
      </c>
      <c r="D1145" s="36" t="s">
        <v>2555</v>
      </c>
      <c r="E1145" s="37" t="s">
        <v>2744</v>
      </c>
      <c r="F1145" s="37" t="s">
        <v>4026</v>
      </c>
      <c r="G1145" s="38"/>
      <c r="H1145" s="38">
        <v>973.43</v>
      </c>
      <c r="I1145" s="37"/>
      <c r="J1145" s="37"/>
      <c r="K1145" s="38"/>
      <c r="L1145" s="38"/>
    </row>
    <row r="1146" spans="2:12" ht="14.5" x14ac:dyDescent="0.35">
      <c r="B1146" s="46" t="s">
        <v>3589</v>
      </c>
      <c r="C1146" s="36">
        <v>45899</v>
      </c>
      <c r="D1146" s="36" t="s">
        <v>2020</v>
      </c>
      <c r="E1146" s="37" t="s">
        <v>2745</v>
      </c>
      <c r="F1146" s="37" t="s">
        <v>4026</v>
      </c>
      <c r="G1146" s="38"/>
      <c r="H1146" s="38">
        <v>1.71</v>
      </c>
      <c r="I1146" s="37"/>
      <c r="J1146" s="37"/>
      <c r="K1146" s="38"/>
      <c r="L1146" s="38"/>
    </row>
    <row r="1147" spans="2:12" ht="14.5" x14ac:dyDescent="0.35">
      <c r="B1147" s="46" t="s">
        <v>3589</v>
      </c>
      <c r="C1147" s="36">
        <v>45899</v>
      </c>
      <c r="D1147" s="36" t="s">
        <v>1283</v>
      </c>
      <c r="E1147" s="37" t="s">
        <v>2746</v>
      </c>
      <c r="F1147" s="37" t="s">
        <v>4026</v>
      </c>
      <c r="G1147" s="38"/>
      <c r="H1147" s="38">
        <v>5439.72</v>
      </c>
      <c r="I1147" s="37"/>
      <c r="J1147" s="37"/>
      <c r="K1147" s="38"/>
      <c r="L1147" s="38"/>
    </row>
    <row r="1148" spans="2:12" ht="14.5" x14ac:dyDescent="0.35">
      <c r="B1148" s="46" t="s">
        <v>3589</v>
      </c>
      <c r="C1148" s="36">
        <v>45899</v>
      </c>
      <c r="D1148" s="36" t="s">
        <v>2132</v>
      </c>
      <c r="E1148" s="37" t="s">
        <v>2747</v>
      </c>
      <c r="F1148" s="37" t="s">
        <v>4026</v>
      </c>
      <c r="G1148" s="38"/>
      <c r="H1148" s="38">
        <v>462.6</v>
      </c>
      <c r="I1148" s="37"/>
      <c r="J1148" s="37"/>
      <c r="K1148" s="38"/>
      <c r="L1148" s="38"/>
    </row>
    <row r="1149" spans="2:12" ht="14.5" x14ac:dyDescent="0.35">
      <c r="B1149" s="46" t="s">
        <v>3589</v>
      </c>
      <c r="C1149" s="36">
        <v>45899</v>
      </c>
      <c r="D1149" s="36" t="s">
        <v>996</v>
      </c>
      <c r="E1149" s="37" t="s">
        <v>2748</v>
      </c>
      <c r="F1149" s="37" t="s">
        <v>4026</v>
      </c>
      <c r="G1149" s="38"/>
      <c r="H1149" s="38">
        <v>2635.2900000000004</v>
      </c>
      <c r="I1149" s="37"/>
      <c r="J1149" s="37"/>
      <c r="K1149" s="38"/>
      <c r="L1149" s="38"/>
    </row>
    <row r="1150" spans="2:12" ht="14.5" x14ac:dyDescent="0.35">
      <c r="B1150" s="46" t="s">
        <v>3589</v>
      </c>
      <c r="C1150" s="36">
        <v>45899</v>
      </c>
      <c r="D1150" s="36" t="s">
        <v>3025</v>
      </c>
      <c r="E1150" s="37" t="s">
        <v>2749</v>
      </c>
      <c r="F1150" s="37" t="s">
        <v>4026</v>
      </c>
      <c r="G1150" s="38"/>
      <c r="H1150" s="38">
        <v>2157.7800000000002</v>
      </c>
      <c r="I1150" s="37"/>
      <c r="J1150" s="37"/>
      <c r="K1150" s="38"/>
      <c r="L1150" s="38"/>
    </row>
    <row r="1151" spans="2:12" ht="14.5" x14ac:dyDescent="0.35">
      <c r="B1151" s="46" t="s">
        <v>3589</v>
      </c>
      <c r="C1151" s="36">
        <v>45899</v>
      </c>
      <c r="D1151" s="36" t="s">
        <v>2547</v>
      </c>
      <c r="E1151" s="37" t="s">
        <v>2750</v>
      </c>
      <c r="F1151" s="37" t="s">
        <v>4026</v>
      </c>
      <c r="G1151" s="38"/>
      <c r="H1151" s="38">
        <v>333.92</v>
      </c>
      <c r="I1151" s="37"/>
      <c r="J1151" s="37"/>
      <c r="K1151" s="38"/>
      <c r="L1151" s="38"/>
    </row>
    <row r="1152" spans="2:12" ht="14.5" x14ac:dyDescent="0.35">
      <c r="B1152" s="46" t="s">
        <v>3589</v>
      </c>
      <c r="C1152" s="36">
        <v>45899</v>
      </c>
      <c r="D1152" s="36" t="s">
        <v>301</v>
      </c>
      <c r="E1152" s="37" t="s">
        <v>2751</v>
      </c>
      <c r="F1152" s="37" t="s">
        <v>4026</v>
      </c>
      <c r="G1152" s="38"/>
      <c r="H1152" s="38">
        <v>147</v>
      </c>
      <c r="I1152" s="37"/>
      <c r="J1152" s="37"/>
      <c r="K1152" s="38"/>
      <c r="L1152" s="38"/>
    </row>
    <row r="1153" spans="2:12" ht="14.5" x14ac:dyDescent="0.35">
      <c r="B1153" s="46" t="s">
        <v>3589</v>
      </c>
      <c r="C1153" s="36">
        <v>45899</v>
      </c>
      <c r="D1153" s="36" t="s">
        <v>2020</v>
      </c>
      <c r="E1153" s="37" t="s">
        <v>2752</v>
      </c>
      <c r="F1153" s="37" t="s">
        <v>4026</v>
      </c>
      <c r="G1153" s="38"/>
      <c r="H1153" s="38">
        <v>81.03</v>
      </c>
      <c r="I1153" s="37"/>
      <c r="J1153" s="37"/>
      <c r="K1153" s="38"/>
      <c r="L1153" s="38"/>
    </row>
    <row r="1154" spans="2:12" ht="14.5" x14ac:dyDescent="0.35">
      <c r="B1154" s="46" t="s">
        <v>3589</v>
      </c>
      <c r="C1154" s="36">
        <v>45899</v>
      </c>
      <c r="D1154" s="36" t="s">
        <v>2020</v>
      </c>
      <c r="E1154" s="37" t="s">
        <v>2753</v>
      </c>
      <c r="F1154" s="37" t="s">
        <v>4026</v>
      </c>
      <c r="G1154" s="38"/>
      <c r="H1154" s="38">
        <v>641.17000000000007</v>
      </c>
      <c r="I1154" s="37"/>
      <c r="J1154" s="37"/>
      <c r="K1154" s="38"/>
      <c r="L1154" s="38"/>
    </row>
    <row r="1155" spans="2:12" ht="14.5" x14ac:dyDescent="0.35">
      <c r="B1155" s="46" t="s">
        <v>3589</v>
      </c>
      <c r="C1155" s="36">
        <v>45899</v>
      </c>
      <c r="D1155" s="36" t="s">
        <v>2020</v>
      </c>
      <c r="E1155" s="37" t="s">
        <v>2754</v>
      </c>
      <c r="F1155" s="37" t="s">
        <v>4026</v>
      </c>
      <c r="G1155" s="38"/>
      <c r="H1155" s="38">
        <v>24.68</v>
      </c>
      <c r="I1155" s="37"/>
      <c r="J1155" s="37"/>
      <c r="K1155" s="38"/>
      <c r="L1155" s="38"/>
    </row>
    <row r="1156" spans="2:12" ht="14.5" x14ac:dyDescent="0.35">
      <c r="B1156" s="46" t="s">
        <v>3589</v>
      </c>
      <c r="C1156" s="36">
        <v>45899</v>
      </c>
      <c r="D1156" s="36" t="s">
        <v>2020</v>
      </c>
      <c r="E1156" s="37" t="s">
        <v>2755</v>
      </c>
      <c r="F1156" s="37" t="s">
        <v>4026</v>
      </c>
      <c r="G1156" s="38"/>
      <c r="H1156" s="38">
        <v>64.540000000000006</v>
      </c>
      <c r="I1156" s="37"/>
      <c r="J1156" s="37"/>
      <c r="K1156" s="38"/>
      <c r="L1156" s="38"/>
    </row>
    <row r="1157" spans="2:12" ht="14.5" x14ac:dyDescent="0.35">
      <c r="B1157" s="46" t="s">
        <v>3589</v>
      </c>
      <c r="C1157" s="36">
        <v>45899</v>
      </c>
      <c r="D1157" s="36" t="s">
        <v>2020</v>
      </c>
      <c r="E1157" s="37" t="s">
        <v>2756</v>
      </c>
      <c r="F1157" s="37" t="s">
        <v>4026</v>
      </c>
      <c r="G1157" s="38"/>
      <c r="H1157" s="38">
        <v>152.85</v>
      </c>
      <c r="I1157" s="37"/>
      <c r="J1157" s="37"/>
      <c r="K1157" s="38"/>
      <c r="L1157" s="38"/>
    </row>
    <row r="1158" spans="2:12" ht="14.5" x14ac:dyDescent="0.35">
      <c r="B1158" s="46" t="s">
        <v>3589</v>
      </c>
      <c r="C1158" s="36">
        <v>45899</v>
      </c>
      <c r="D1158" s="36" t="s">
        <v>2020</v>
      </c>
      <c r="E1158" s="37" t="s">
        <v>2757</v>
      </c>
      <c r="F1158" s="37" t="s">
        <v>4026</v>
      </c>
      <c r="G1158" s="38"/>
      <c r="H1158" s="38">
        <v>1211.03</v>
      </c>
      <c r="I1158" s="37"/>
      <c r="J1158" s="37"/>
      <c r="K1158" s="38"/>
      <c r="L1158" s="38"/>
    </row>
    <row r="1159" spans="2:12" ht="14.5" x14ac:dyDescent="0.35">
      <c r="B1159" s="46" t="s">
        <v>3589</v>
      </c>
      <c r="C1159" s="36">
        <v>45899</v>
      </c>
      <c r="D1159" s="36" t="s">
        <v>301</v>
      </c>
      <c r="E1159" s="37" t="s">
        <v>2758</v>
      </c>
      <c r="F1159" s="37" t="s">
        <v>4026</v>
      </c>
      <c r="G1159" s="38"/>
      <c r="H1159" s="38">
        <v>270.76</v>
      </c>
      <c r="I1159" s="37"/>
      <c r="J1159" s="37"/>
      <c r="K1159" s="38"/>
      <c r="L1159" s="38"/>
    </row>
    <row r="1160" spans="2:12" ht="14.5" x14ac:dyDescent="0.35">
      <c r="B1160" s="46" t="s">
        <v>3589</v>
      </c>
      <c r="C1160" s="36">
        <v>45899</v>
      </c>
      <c r="D1160" s="36" t="s">
        <v>3037</v>
      </c>
      <c r="E1160" s="37" t="s">
        <v>2759</v>
      </c>
      <c r="F1160" s="37" t="s">
        <v>4026</v>
      </c>
      <c r="G1160" s="38"/>
      <c r="H1160" s="38">
        <v>761.29</v>
      </c>
      <c r="I1160" s="37"/>
      <c r="J1160" s="37"/>
      <c r="K1160" s="38"/>
      <c r="L1160" s="38"/>
    </row>
    <row r="1161" spans="2:12" ht="14.5" x14ac:dyDescent="0.35">
      <c r="B1161" s="46" t="s">
        <v>3589</v>
      </c>
      <c r="C1161" s="36">
        <v>45899</v>
      </c>
      <c r="D1161" s="36" t="s">
        <v>2033</v>
      </c>
      <c r="E1161" s="37" t="s">
        <v>2760</v>
      </c>
      <c r="F1161" s="37" t="s">
        <v>4026</v>
      </c>
      <c r="G1161" s="38"/>
      <c r="H1161" s="38">
        <v>708.77</v>
      </c>
      <c r="I1161" s="37"/>
      <c r="J1161" s="37"/>
      <c r="K1161" s="38"/>
      <c r="L1161" s="38"/>
    </row>
    <row r="1162" spans="2:12" ht="14.5" x14ac:dyDescent="0.35">
      <c r="B1162" s="46" t="s">
        <v>3589</v>
      </c>
      <c r="C1162" s="36">
        <v>45899</v>
      </c>
      <c r="D1162" s="36" t="s">
        <v>2033</v>
      </c>
      <c r="E1162" s="37" t="s">
        <v>2761</v>
      </c>
      <c r="F1162" s="37" t="s">
        <v>4026</v>
      </c>
      <c r="G1162" s="38"/>
      <c r="H1162" s="38">
        <v>0</v>
      </c>
      <c r="I1162" s="37"/>
      <c r="J1162" s="37"/>
      <c r="K1162" s="38"/>
      <c r="L1162" s="38"/>
    </row>
    <row r="1163" spans="2:12" ht="14.5" x14ac:dyDescent="0.35">
      <c r="B1163" s="46" t="s">
        <v>3589</v>
      </c>
      <c r="C1163" s="36">
        <v>45899</v>
      </c>
      <c r="D1163" s="36" t="s">
        <v>2033</v>
      </c>
      <c r="E1163" s="37" t="s">
        <v>2762</v>
      </c>
      <c r="F1163" s="37" t="s">
        <v>4026</v>
      </c>
      <c r="G1163" s="38"/>
      <c r="H1163" s="38">
        <v>498.78</v>
      </c>
      <c r="I1163" s="37"/>
      <c r="J1163" s="37"/>
      <c r="K1163" s="38"/>
      <c r="L1163" s="38"/>
    </row>
    <row r="1164" spans="2:12" ht="14.5" x14ac:dyDescent="0.35">
      <c r="B1164" s="46" t="s">
        <v>3589</v>
      </c>
      <c r="C1164" s="36">
        <v>45899</v>
      </c>
      <c r="D1164" s="36" t="s">
        <v>1608</v>
      </c>
      <c r="E1164" s="37" t="s">
        <v>2763</v>
      </c>
      <c r="F1164" s="37" t="s">
        <v>4026</v>
      </c>
      <c r="G1164" s="38"/>
      <c r="H1164" s="38">
        <v>1287</v>
      </c>
      <c r="I1164" s="37"/>
      <c r="J1164" s="37"/>
      <c r="K1164" s="38"/>
      <c r="L1164" s="38"/>
    </row>
    <row r="1165" spans="2:12" ht="14.5" x14ac:dyDescent="0.35">
      <c r="B1165" s="46" t="s">
        <v>3589</v>
      </c>
      <c r="C1165" s="36">
        <v>45899</v>
      </c>
      <c r="D1165" s="36" t="s">
        <v>2077</v>
      </c>
      <c r="E1165" s="37" t="s">
        <v>2764</v>
      </c>
      <c r="F1165" s="37" t="s">
        <v>4026</v>
      </c>
      <c r="G1165" s="38"/>
      <c r="H1165" s="38">
        <v>726</v>
      </c>
      <c r="I1165" s="37"/>
      <c r="J1165" s="37"/>
      <c r="K1165" s="38"/>
      <c r="L1165" s="38"/>
    </row>
    <row r="1166" spans="2:12" ht="14.5" x14ac:dyDescent="0.35">
      <c r="B1166" s="46" t="s">
        <v>3589</v>
      </c>
      <c r="C1166" s="36">
        <v>45899</v>
      </c>
      <c r="D1166" s="36" t="s">
        <v>1251</v>
      </c>
      <c r="E1166" s="37" t="s">
        <v>2765</v>
      </c>
      <c r="F1166" s="37" t="s">
        <v>4026</v>
      </c>
      <c r="G1166" s="38"/>
      <c r="H1166" s="38">
        <v>193.41</v>
      </c>
      <c r="I1166" s="37"/>
      <c r="J1166" s="37"/>
      <c r="K1166" s="38"/>
      <c r="L1166" s="38"/>
    </row>
    <row r="1167" spans="2:12" ht="14.5" x14ac:dyDescent="0.35">
      <c r="B1167" s="46" t="s">
        <v>3589</v>
      </c>
      <c r="C1167" s="36">
        <v>45899</v>
      </c>
      <c r="D1167" s="36" t="s">
        <v>2033</v>
      </c>
      <c r="E1167" s="37" t="s">
        <v>2766</v>
      </c>
      <c r="F1167" s="37" t="s">
        <v>4026</v>
      </c>
      <c r="G1167" s="38"/>
      <c r="H1167" s="38">
        <v>5884</v>
      </c>
      <c r="I1167" s="37"/>
      <c r="J1167" s="37"/>
      <c r="K1167" s="38"/>
      <c r="L1167" s="38"/>
    </row>
    <row r="1168" spans="2:12" ht="14.5" x14ac:dyDescent="0.35">
      <c r="B1168" s="46" t="s">
        <v>3589</v>
      </c>
      <c r="C1168" s="36">
        <v>45899</v>
      </c>
      <c r="D1168" s="36" t="s">
        <v>2144</v>
      </c>
      <c r="E1168" s="37" t="s">
        <v>2767</v>
      </c>
      <c r="F1168" s="37" t="s">
        <v>4026</v>
      </c>
      <c r="G1168" s="38"/>
      <c r="H1168" s="38">
        <v>2723.44</v>
      </c>
      <c r="I1168" s="37"/>
      <c r="J1168" s="37"/>
      <c r="K1168" s="38"/>
      <c r="L1168" s="38"/>
    </row>
    <row r="1169" spans="2:12" ht="14.5" x14ac:dyDescent="0.35">
      <c r="B1169" s="46" t="s">
        <v>3589</v>
      </c>
      <c r="C1169" s="36">
        <v>45899</v>
      </c>
      <c r="D1169" s="36" t="s">
        <v>2144</v>
      </c>
      <c r="E1169" s="37" t="s">
        <v>2768</v>
      </c>
      <c r="F1169" s="37" t="s">
        <v>4026</v>
      </c>
      <c r="G1169" s="38"/>
      <c r="H1169" s="38">
        <v>4616.3999999999996</v>
      </c>
      <c r="I1169" s="37"/>
      <c r="J1169" s="37"/>
      <c r="K1169" s="38"/>
      <c r="L1169" s="38"/>
    </row>
    <row r="1170" spans="2:12" ht="14.5" x14ac:dyDescent="0.35">
      <c r="B1170" s="46" t="s">
        <v>3589</v>
      </c>
      <c r="C1170" s="36">
        <v>45899</v>
      </c>
      <c r="D1170" s="36" t="s">
        <v>2144</v>
      </c>
      <c r="E1170" s="37" t="s">
        <v>2770</v>
      </c>
      <c r="F1170" s="37" t="s">
        <v>4026</v>
      </c>
      <c r="G1170" s="38"/>
      <c r="H1170" s="38">
        <v>0</v>
      </c>
      <c r="I1170" s="37"/>
      <c r="J1170" s="37"/>
      <c r="K1170" s="38"/>
      <c r="L1170" s="38"/>
    </row>
    <row r="1171" spans="2:12" ht="14.5" x14ac:dyDescent="0.35">
      <c r="B1171" s="46" t="s">
        <v>3589</v>
      </c>
      <c r="C1171" s="36">
        <v>45899</v>
      </c>
      <c r="D1171" s="36" t="s">
        <v>2144</v>
      </c>
      <c r="E1171" s="37" t="s">
        <v>2771</v>
      </c>
      <c r="F1171" s="37" t="s">
        <v>4026</v>
      </c>
      <c r="G1171" s="38"/>
      <c r="H1171" s="38">
        <v>2412.39</v>
      </c>
      <c r="I1171" s="37"/>
      <c r="J1171" s="37"/>
      <c r="K1171" s="38"/>
      <c r="L1171" s="38"/>
    </row>
    <row r="1172" spans="2:12" ht="14.5" x14ac:dyDescent="0.35">
      <c r="B1172" s="46" t="s">
        <v>3589</v>
      </c>
      <c r="C1172" s="36">
        <v>45899</v>
      </c>
      <c r="D1172" s="36" t="s">
        <v>2144</v>
      </c>
      <c r="E1172" s="37" t="s">
        <v>2772</v>
      </c>
      <c r="F1172" s="37" t="s">
        <v>4026</v>
      </c>
      <c r="G1172" s="38"/>
      <c r="H1172" s="38">
        <v>3421.46</v>
      </c>
      <c r="I1172" s="37"/>
      <c r="J1172" s="37"/>
      <c r="K1172" s="38"/>
      <c r="L1172" s="38"/>
    </row>
    <row r="1173" spans="2:12" ht="14.5" x14ac:dyDescent="0.35">
      <c r="B1173" s="46" t="s">
        <v>3589</v>
      </c>
      <c r="C1173" s="36">
        <v>45899</v>
      </c>
      <c r="D1173" s="36" t="s">
        <v>2575</v>
      </c>
      <c r="E1173" s="37" t="s">
        <v>2773</v>
      </c>
      <c r="F1173" s="37" t="s">
        <v>4026</v>
      </c>
      <c r="G1173" s="38"/>
      <c r="H1173" s="38">
        <v>11.2</v>
      </c>
      <c r="I1173" s="37"/>
      <c r="J1173" s="37"/>
      <c r="K1173" s="38"/>
      <c r="L1173" s="38"/>
    </row>
    <row r="1174" spans="2:12" ht="14.5" x14ac:dyDescent="0.35">
      <c r="B1174" s="46" t="s">
        <v>3589</v>
      </c>
      <c r="C1174" s="36">
        <v>45899</v>
      </c>
      <c r="D1174" s="36" t="s">
        <v>3061</v>
      </c>
      <c r="E1174" s="37" t="s">
        <v>2774</v>
      </c>
      <c r="F1174" s="37" t="s">
        <v>4026</v>
      </c>
      <c r="G1174" s="38"/>
      <c r="H1174" s="38">
        <v>3718.3</v>
      </c>
      <c r="I1174" s="37"/>
      <c r="J1174" s="37"/>
      <c r="K1174" s="38"/>
      <c r="L1174" s="38"/>
    </row>
    <row r="1175" spans="2:12" ht="14.5" x14ac:dyDescent="0.35">
      <c r="B1175" s="46" t="s">
        <v>3589</v>
      </c>
      <c r="C1175" s="36">
        <v>45899</v>
      </c>
      <c r="D1175" s="36" t="s">
        <v>3061</v>
      </c>
      <c r="E1175" s="37" t="s">
        <v>2775</v>
      </c>
      <c r="F1175" s="37" t="s">
        <v>4026</v>
      </c>
      <c r="G1175" s="38"/>
      <c r="H1175" s="38">
        <v>10819.11</v>
      </c>
      <c r="I1175" s="37"/>
      <c r="J1175" s="37"/>
      <c r="K1175" s="38"/>
      <c r="L1175" s="38"/>
    </row>
    <row r="1176" spans="2:12" ht="14.5" x14ac:dyDescent="0.35">
      <c r="B1176" s="46" t="s">
        <v>3589</v>
      </c>
      <c r="C1176" s="36">
        <v>45899</v>
      </c>
      <c r="D1176" s="36" t="s">
        <v>2846</v>
      </c>
      <c r="E1176" s="37" t="s">
        <v>2776</v>
      </c>
      <c r="F1176" s="37" t="s">
        <v>4026</v>
      </c>
      <c r="G1176" s="38"/>
      <c r="H1176" s="38">
        <v>40.409999999999997</v>
      </c>
      <c r="I1176" s="37"/>
      <c r="J1176" s="37"/>
      <c r="K1176" s="38"/>
      <c r="L1176" s="38"/>
    </row>
    <row r="1177" spans="2:12" ht="14.5" x14ac:dyDescent="0.35">
      <c r="B1177" s="46" t="s">
        <v>3589</v>
      </c>
      <c r="C1177" s="36">
        <v>45899</v>
      </c>
      <c r="D1177" s="36" t="s">
        <v>2846</v>
      </c>
      <c r="E1177" s="37" t="s">
        <v>2777</v>
      </c>
      <c r="F1177" s="37" t="s">
        <v>4026</v>
      </c>
      <c r="G1177" s="38"/>
      <c r="H1177" s="38">
        <v>167.28000000000003</v>
      </c>
      <c r="I1177" s="37"/>
      <c r="J1177" s="37"/>
      <c r="K1177" s="38"/>
      <c r="L1177" s="38"/>
    </row>
    <row r="1178" spans="2:12" ht="14.5" x14ac:dyDescent="0.35">
      <c r="B1178" s="46" t="s">
        <v>3589</v>
      </c>
      <c r="C1178" s="36">
        <v>45899</v>
      </c>
      <c r="D1178" s="36" t="s">
        <v>2396</v>
      </c>
      <c r="E1178" s="37" t="s">
        <v>2778</v>
      </c>
      <c r="F1178" s="37" t="s">
        <v>4026</v>
      </c>
      <c r="G1178" s="38"/>
      <c r="H1178" s="38">
        <v>361.42</v>
      </c>
      <c r="I1178" s="37"/>
      <c r="J1178" s="37"/>
      <c r="K1178" s="38"/>
      <c r="L1178" s="38"/>
    </row>
    <row r="1179" spans="2:12" ht="14.5" x14ac:dyDescent="0.35">
      <c r="B1179" s="46" t="s">
        <v>3589</v>
      </c>
      <c r="C1179" s="36">
        <v>45899</v>
      </c>
      <c r="D1179" s="36" t="s">
        <v>2396</v>
      </c>
      <c r="E1179" s="37" t="s">
        <v>2779</v>
      </c>
      <c r="F1179" s="37" t="s">
        <v>4026</v>
      </c>
      <c r="G1179" s="38"/>
      <c r="H1179" s="38">
        <v>591.04</v>
      </c>
      <c r="I1179" s="37"/>
      <c r="J1179" s="37"/>
      <c r="K1179" s="38"/>
      <c r="L1179" s="38"/>
    </row>
    <row r="1180" spans="2:12" ht="14.5" x14ac:dyDescent="0.35">
      <c r="B1180" s="46" t="s">
        <v>3589</v>
      </c>
      <c r="C1180" s="36">
        <v>45899</v>
      </c>
      <c r="D1180" s="36" t="s">
        <v>2396</v>
      </c>
      <c r="E1180" s="37" t="s">
        <v>2780</v>
      </c>
      <c r="F1180" s="37" t="s">
        <v>4026</v>
      </c>
      <c r="G1180" s="38"/>
      <c r="H1180" s="38">
        <v>6010.7199999999993</v>
      </c>
      <c r="I1180" s="37"/>
      <c r="J1180" s="37"/>
      <c r="K1180" s="38"/>
      <c r="L1180" s="38"/>
    </row>
    <row r="1181" spans="2:12" ht="14.5" x14ac:dyDescent="0.35">
      <c r="B1181" s="46" t="s">
        <v>3589</v>
      </c>
      <c r="C1181" s="36">
        <v>45899</v>
      </c>
      <c r="D1181" s="36" t="s">
        <v>2396</v>
      </c>
      <c r="E1181" s="37" t="s">
        <v>2781</v>
      </c>
      <c r="F1181" s="37" t="s">
        <v>4026</v>
      </c>
      <c r="G1181" s="38"/>
      <c r="H1181" s="38">
        <v>1005.74</v>
      </c>
      <c r="I1181" s="37"/>
      <c r="J1181" s="37"/>
      <c r="K1181" s="38"/>
      <c r="L1181" s="38"/>
    </row>
    <row r="1182" spans="2:12" ht="14.5" x14ac:dyDescent="0.35">
      <c r="B1182" s="46" t="s">
        <v>3589</v>
      </c>
      <c r="C1182" s="36">
        <v>45899</v>
      </c>
      <c r="D1182" s="36" t="s">
        <v>2396</v>
      </c>
      <c r="E1182" s="37" t="s">
        <v>2782</v>
      </c>
      <c r="F1182" s="37" t="s">
        <v>4026</v>
      </c>
      <c r="G1182" s="38"/>
      <c r="H1182" s="38">
        <v>14376.23</v>
      </c>
      <c r="I1182" s="37"/>
      <c r="J1182" s="37"/>
      <c r="K1182" s="38"/>
      <c r="L1182" s="38"/>
    </row>
    <row r="1183" spans="2:12" ht="14.5" x14ac:dyDescent="0.35">
      <c r="B1183" s="46" t="s">
        <v>3589</v>
      </c>
      <c r="C1183" s="36">
        <v>45899</v>
      </c>
      <c r="D1183" s="36" t="s">
        <v>1724</v>
      </c>
      <c r="E1183" s="37" t="s">
        <v>2783</v>
      </c>
      <c r="F1183" s="37" t="s">
        <v>4026</v>
      </c>
      <c r="G1183" s="38"/>
      <c r="H1183" s="38">
        <v>26117.839999999997</v>
      </c>
      <c r="I1183" s="37"/>
      <c r="J1183" s="37"/>
      <c r="K1183" s="38"/>
      <c r="L1183" s="38"/>
    </row>
    <row r="1184" spans="2:12" ht="14.5" x14ac:dyDescent="0.35">
      <c r="B1184" s="46" t="s">
        <v>3589</v>
      </c>
      <c r="C1184" s="36">
        <v>45899</v>
      </c>
      <c r="D1184" s="36" t="s">
        <v>1724</v>
      </c>
      <c r="E1184" s="37" t="s">
        <v>2784</v>
      </c>
      <c r="F1184" s="37" t="s">
        <v>4026</v>
      </c>
      <c r="G1184" s="38"/>
      <c r="H1184" s="38">
        <v>3776.83</v>
      </c>
      <c r="I1184" s="37"/>
      <c r="J1184" s="37"/>
      <c r="K1184" s="38"/>
      <c r="L1184" s="38"/>
    </row>
    <row r="1185" spans="2:12" ht="14.5" x14ac:dyDescent="0.35">
      <c r="B1185" s="46" t="s">
        <v>3589</v>
      </c>
      <c r="C1185" s="36">
        <v>45899</v>
      </c>
      <c r="D1185" s="36" t="s">
        <v>2447</v>
      </c>
      <c r="E1185" s="37" t="s">
        <v>2785</v>
      </c>
      <c r="F1185" s="37" t="s">
        <v>4026</v>
      </c>
      <c r="G1185" s="38"/>
      <c r="H1185" s="38">
        <v>52732.729999999996</v>
      </c>
      <c r="I1185" s="37"/>
      <c r="J1185" s="37"/>
      <c r="K1185" s="38"/>
      <c r="L1185" s="38"/>
    </row>
    <row r="1186" spans="2:12" ht="14.5" x14ac:dyDescent="0.35">
      <c r="B1186" s="46" t="s">
        <v>3589</v>
      </c>
      <c r="C1186" s="36">
        <v>45899</v>
      </c>
      <c r="D1186" s="36" t="s">
        <v>2447</v>
      </c>
      <c r="E1186" s="37" t="s">
        <v>2786</v>
      </c>
      <c r="F1186" s="37" t="s">
        <v>4026</v>
      </c>
      <c r="G1186" s="38"/>
      <c r="H1186" s="38">
        <v>2330.04</v>
      </c>
      <c r="I1186" s="37"/>
      <c r="J1186" s="37"/>
      <c r="K1186" s="38"/>
      <c r="L1186" s="38"/>
    </row>
    <row r="1187" spans="2:12" ht="14.5" x14ac:dyDescent="0.35">
      <c r="B1187" s="46" t="s">
        <v>3589</v>
      </c>
      <c r="C1187" s="36">
        <v>45899</v>
      </c>
      <c r="D1187" s="36" t="s">
        <v>1782</v>
      </c>
      <c r="E1187" s="37" t="s">
        <v>2787</v>
      </c>
      <c r="F1187" s="37" t="s">
        <v>4026</v>
      </c>
      <c r="G1187" s="38"/>
      <c r="H1187" s="38">
        <v>3545.1899999999996</v>
      </c>
      <c r="I1187" s="37"/>
      <c r="J1187" s="37"/>
      <c r="K1187" s="38"/>
      <c r="L1187" s="38"/>
    </row>
    <row r="1188" spans="2:12" ht="14.5" x14ac:dyDescent="0.35">
      <c r="B1188" s="46" t="s">
        <v>3589</v>
      </c>
      <c r="C1188" s="36">
        <v>45899</v>
      </c>
      <c r="D1188" s="36" t="s">
        <v>1782</v>
      </c>
      <c r="E1188" s="37" t="s">
        <v>2788</v>
      </c>
      <c r="F1188" s="37" t="s">
        <v>4026</v>
      </c>
      <c r="G1188" s="38"/>
      <c r="H1188" s="38">
        <v>4550.32</v>
      </c>
      <c r="I1188" s="37"/>
      <c r="J1188" s="37"/>
      <c r="K1188" s="38"/>
      <c r="L1188" s="38"/>
    </row>
    <row r="1189" spans="2:12" ht="14.5" x14ac:dyDescent="0.35">
      <c r="B1189" s="46" t="s">
        <v>3589</v>
      </c>
      <c r="C1189" s="36">
        <v>45899</v>
      </c>
      <c r="D1189" s="36" t="s">
        <v>1587</v>
      </c>
      <c r="E1189" s="37" t="s">
        <v>2789</v>
      </c>
      <c r="F1189" s="37" t="s">
        <v>4026</v>
      </c>
      <c r="G1189" s="38"/>
      <c r="H1189" s="38">
        <v>56.51</v>
      </c>
      <c r="I1189" s="37"/>
      <c r="J1189" s="37"/>
      <c r="K1189" s="38"/>
      <c r="L1189" s="38"/>
    </row>
    <row r="1190" spans="2:12" ht="14.5" x14ac:dyDescent="0.35">
      <c r="B1190" s="46" t="s">
        <v>3589</v>
      </c>
      <c r="C1190" s="36">
        <v>45899</v>
      </c>
      <c r="D1190" s="36" t="s">
        <v>1587</v>
      </c>
      <c r="E1190" s="37" t="s">
        <v>2790</v>
      </c>
      <c r="F1190" s="37" t="s">
        <v>4026</v>
      </c>
      <c r="G1190" s="38"/>
      <c r="H1190" s="38">
        <v>217.56</v>
      </c>
      <c r="I1190" s="37"/>
      <c r="J1190" s="37"/>
      <c r="K1190" s="38"/>
      <c r="L1190" s="38"/>
    </row>
    <row r="1191" spans="2:12" ht="14.5" x14ac:dyDescent="0.35">
      <c r="B1191" s="46" t="s">
        <v>3589</v>
      </c>
      <c r="C1191" s="36">
        <v>45899</v>
      </c>
      <c r="D1191" s="36" t="s">
        <v>1587</v>
      </c>
      <c r="E1191" s="37" t="s">
        <v>2791</v>
      </c>
      <c r="F1191" s="37" t="s">
        <v>4026</v>
      </c>
      <c r="G1191" s="38"/>
      <c r="H1191" s="38">
        <v>1465.92</v>
      </c>
      <c r="I1191" s="37"/>
      <c r="J1191" s="37"/>
      <c r="K1191" s="38"/>
      <c r="L1191" s="38"/>
    </row>
    <row r="1192" spans="2:12" ht="14.5" x14ac:dyDescent="0.35">
      <c r="B1192" s="46" t="s">
        <v>3589</v>
      </c>
      <c r="C1192" s="36">
        <v>45899</v>
      </c>
      <c r="D1192" s="36" t="s">
        <v>1587</v>
      </c>
      <c r="E1192" s="37" t="s">
        <v>2792</v>
      </c>
      <c r="F1192" s="37" t="s">
        <v>4026</v>
      </c>
      <c r="G1192" s="38"/>
      <c r="H1192" s="38">
        <v>118.02000000000001</v>
      </c>
      <c r="I1192" s="37"/>
      <c r="J1192" s="37"/>
      <c r="K1192" s="38"/>
      <c r="L1192" s="38"/>
    </row>
    <row r="1193" spans="2:12" ht="14.5" x14ac:dyDescent="0.35">
      <c r="B1193" s="46" t="s">
        <v>3589</v>
      </c>
      <c r="C1193" s="36">
        <v>45899</v>
      </c>
      <c r="D1193" s="36" t="s">
        <v>1587</v>
      </c>
      <c r="E1193" s="37" t="s">
        <v>2793</v>
      </c>
      <c r="F1193" s="37" t="s">
        <v>4026</v>
      </c>
      <c r="G1193" s="38"/>
      <c r="H1193" s="38">
        <v>306.81</v>
      </c>
      <c r="I1193" s="37"/>
      <c r="J1193" s="37"/>
      <c r="K1193" s="38"/>
      <c r="L1193" s="38"/>
    </row>
    <row r="1194" spans="2:12" ht="14.5" x14ac:dyDescent="0.35">
      <c r="B1194" s="46" t="s">
        <v>3589</v>
      </c>
      <c r="C1194" s="36">
        <v>45899</v>
      </c>
      <c r="D1194" s="36" t="s">
        <v>1334</v>
      </c>
      <c r="E1194" s="37" t="s">
        <v>2794</v>
      </c>
      <c r="F1194" s="37" t="s">
        <v>4026</v>
      </c>
      <c r="G1194" s="38"/>
      <c r="H1194" s="38">
        <v>193.07</v>
      </c>
      <c r="I1194" s="37"/>
      <c r="J1194" s="37"/>
      <c r="K1194" s="38"/>
      <c r="L1194" s="38"/>
    </row>
    <row r="1195" spans="2:12" ht="14.5" x14ac:dyDescent="0.35">
      <c r="B1195" s="46" t="s">
        <v>3589</v>
      </c>
      <c r="C1195" s="36">
        <v>45899</v>
      </c>
      <c r="D1195" s="36" t="s">
        <v>1334</v>
      </c>
      <c r="E1195" s="37" t="s">
        <v>2795</v>
      </c>
      <c r="F1195" s="37" t="s">
        <v>4026</v>
      </c>
      <c r="G1195" s="38"/>
      <c r="H1195" s="38">
        <v>21.76</v>
      </c>
      <c r="I1195" s="37"/>
      <c r="J1195" s="37"/>
      <c r="K1195" s="38"/>
      <c r="L1195" s="38"/>
    </row>
    <row r="1196" spans="2:12" ht="14.5" x14ac:dyDescent="0.35">
      <c r="B1196" s="46" t="s">
        <v>3589</v>
      </c>
      <c r="C1196" s="36">
        <v>45899</v>
      </c>
      <c r="D1196" s="36" t="s">
        <v>1334</v>
      </c>
      <c r="E1196" s="37" t="s">
        <v>2796</v>
      </c>
      <c r="F1196" s="37" t="s">
        <v>4026</v>
      </c>
      <c r="G1196" s="38"/>
      <c r="H1196" s="38">
        <v>833.29</v>
      </c>
      <c r="I1196" s="37"/>
      <c r="J1196" s="37"/>
      <c r="K1196" s="38"/>
      <c r="L1196" s="38"/>
    </row>
    <row r="1197" spans="2:12" ht="14.5" x14ac:dyDescent="0.35">
      <c r="B1197" s="46" t="s">
        <v>3589</v>
      </c>
      <c r="C1197" s="36">
        <v>45899</v>
      </c>
      <c r="D1197" s="36" t="s">
        <v>3093</v>
      </c>
      <c r="E1197" s="37" t="s">
        <v>2797</v>
      </c>
      <c r="F1197" s="37" t="s">
        <v>4026</v>
      </c>
      <c r="G1197" s="38"/>
      <c r="H1197" s="38">
        <v>3.9</v>
      </c>
      <c r="I1197" s="37"/>
      <c r="J1197" s="37"/>
      <c r="K1197" s="38"/>
      <c r="L1197" s="38"/>
    </row>
    <row r="1198" spans="2:12" ht="14.5" x14ac:dyDescent="0.35">
      <c r="B1198" s="46" t="s">
        <v>3589</v>
      </c>
      <c r="C1198" s="36">
        <v>45899</v>
      </c>
      <c r="D1198" s="36" t="s">
        <v>3095</v>
      </c>
      <c r="E1198" s="37" t="s">
        <v>2798</v>
      </c>
      <c r="F1198" s="37" t="s">
        <v>4026</v>
      </c>
      <c r="G1198" s="38"/>
      <c r="H1198" s="38">
        <v>0.05</v>
      </c>
      <c r="I1198" s="37"/>
      <c r="J1198" s="37"/>
      <c r="K1198" s="38"/>
      <c r="L1198" s="38"/>
    </row>
    <row r="1199" spans="2:12" ht="14.5" x14ac:dyDescent="0.35">
      <c r="B1199" s="46" t="s">
        <v>3589</v>
      </c>
      <c r="C1199" s="36">
        <v>45899</v>
      </c>
      <c r="D1199" s="36" t="s">
        <v>2396</v>
      </c>
      <c r="E1199" s="37" t="s">
        <v>2799</v>
      </c>
      <c r="F1199" s="37" t="s">
        <v>4026</v>
      </c>
      <c r="G1199" s="38"/>
      <c r="H1199" s="38">
        <v>2162</v>
      </c>
      <c r="I1199" s="37"/>
      <c r="J1199" s="37"/>
      <c r="K1199" s="38"/>
      <c r="L1199" s="38"/>
    </row>
    <row r="1200" spans="2:12" ht="14.5" x14ac:dyDescent="0.35">
      <c r="B1200" s="46" t="s">
        <v>3589</v>
      </c>
      <c r="C1200" s="36">
        <v>45899</v>
      </c>
      <c r="D1200" s="36" t="s">
        <v>2396</v>
      </c>
      <c r="E1200" s="37" t="s">
        <v>2800</v>
      </c>
      <c r="F1200" s="37" t="s">
        <v>4026</v>
      </c>
      <c r="G1200" s="38"/>
      <c r="H1200" s="38">
        <v>17661.96</v>
      </c>
      <c r="I1200" s="37"/>
      <c r="J1200" s="37"/>
      <c r="K1200" s="38"/>
      <c r="L1200" s="38"/>
    </row>
    <row r="1201" spans="2:12" ht="14.5" x14ac:dyDescent="0.35">
      <c r="B1201" s="46" t="s">
        <v>3589</v>
      </c>
      <c r="C1201" s="36">
        <v>45899</v>
      </c>
      <c r="D1201" s="36" t="s">
        <v>2396</v>
      </c>
      <c r="E1201" s="37" t="s">
        <v>2801</v>
      </c>
      <c r="F1201" s="37" t="s">
        <v>4026</v>
      </c>
      <c r="G1201" s="38"/>
      <c r="H1201" s="38">
        <v>546.29999999999995</v>
      </c>
      <c r="I1201" s="37"/>
      <c r="J1201" s="37"/>
      <c r="K1201" s="38"/>
      <c r="L1201" s="38"/>
    </row>
    <row r="1202" spans="2:12" ht="14.5" x14ac:dyDescent="0.35">
      <c r="B1202" s="46" t="s">
        <v>3589</v>
      </c>
      <c r="C1202" s="36">
        <v>45899</v>
      </c>
      <c r="D1202" s="36" t="s">
        <v>2396</v>
      </c>
      <c r="E1202" s="37" t="s">
        <v>2802</v>
      </c>
      <c r="F1202" s="37" t="s">
        <v>4026</v>
      </c>
      <c r="G1202" s="38"/>
      <c r="H1202" s="38">
        <v>401.45</v>
      </c>
      <c r="I1202" s="37"/>
      <c r="J1202" s="37"/>
      <c r="K1202" s="38"/>
      <c r="L1202" s="38"/>
    </row>
    <row r="1203" spans="2:12" ht="14.5" x14ac:dyDescent="0.35">
      <c r="B1203" s="46" t="s">
        <v>3589</v>
      </c>
      <c r="C1203" s="36">
        <v>45899</v>
      </c>
      <c r="D1203" s="36" t="s">
        <v>2396</v>
      </c>
      <c r="E1203" s="37" t="s">
        <v>2803</v>
      </c>
      <c r="F1203" s="37" t="s">
        <v>4026</v>
      </c>
      <c r="G1203" s="38"/>
      <c r="H1203" s="38">
        <v>1312.14</v>
      </c>
      <c r="I1203" s="37"/>
      <c r="J1203" s="37"/>
      <c r="K1203" s="38"/>
      <c r="L1203" s="38"/>
    </row>
    <row r="1204" spans="2:12" ht="14.5" x14ac:dyDescent="0.35">
      <c r="B1204" s="46" t="s">
        <v>3589</v>
      </c>
      <c r="C1204" s="36">
        <v>45899</v>
      </c>
      <c r="D1204" s="36" t="s">
        <v>2396</v>
      </c>
      <c r="E1204" s="37" t="s">
        <v>2804</v>
      </c>
      <c r="F1204" s="37" t="s">
        <v>4026</v>
      </c>
      <c r="G1204" s="38"/>
      <c r="H1204" s="38">
        <v>211.33</v>
      </c>
      <c r="I1204" s="37"/>
      <c r="J1204" s="37"/>
      <c r="K1204" s="38"/>
      <c r="L1204" s="38"/>
    </row>
    <row r="1205" spans="2:12" ht="14.5" x14ac:dyDescent="0.35">
      <c r="B1205" s="46" t="s">
        <v>3589</v>
      </c>
      <c r="C1205" s="36">
        <v>45899</v>
      </c>
      <c r="D1205" s="36" t="s">
        <v>1277</v>
      </c>
      <c r="E1205" s="37">
        <v>34675</v>
      </c>
      <c r="F1205" s="37" t="s">
        <v>4026</v>
      </c>
      <c r="G1205" s="38"/>
      <c r="H1205" s="38">
        <v>1685.53</v>
      </c>
      <c r="I1205" s="37"/>
      <c r="J1205" s="37"/>
      <c r="K1205" s="38"/>
      <c r="L1205" s="38"/>
    </row>
    <row r="1206" spans="2:12" ht="14.5" x14ac:dyDescent="0.35">
      <c r="B1206" s="46" t="s">
        <v>3589</v>
      </c>
      <c r="C1206" s="36">
        <v>45899</v>
      </c>
      <c r="D1206" s="36" t="s">
        <v>1179</v>
      </c>
      <c r="E1206" s="37" t="s">
        <v>2805</v>
      </c>
      <c r="F1206" s="37" t="s">
        <v>4026</v>
      </c>
      <c r="G1206" s="38"/>
      <c r="H1206" s="38">
        <v>85.27</v>
      </c>
      <c r="I1206" s="37"/>
      <c r="J1206" s="37"/>
      <c r="K1206" s="38"/>
      <c r="L1206" s="38"/>
    </row>
    <row r="1207" spans="2:12" ht="14.5" x14ac:dyDescent="0.35">
      <c r="B1207" s="46" t="s">
        <v>3589</v>
      </c>
      <c r="C1207" s="36">
        <v>45899</v>
      </c>
      <c r="D1207" s="36" t="s">
        <v>1179</v>
      </c>
      <c r="E1207" s="37" t="s">
        <v>2806</v>
      </c>
      <c r="F1207" s="37" t="s">
        <v>4026</v>
      </c>
      <c r="G1207" s="38"/>
      <c r="H1207" s="38">
        <v>405.91</v>
      </c>
      <c r="I1207" s="37"/>
      <c r="J1207" s="37"/>
      <c r="K1207" s="38"/>
      <c r="L1207" s="38"/>
    </row>
    <row r="1208" spans="2:12" ht="14.5" x14ac:dyDescent="0.35">
      <c r="B1208" s="46" t="s">
        <v>3589</v>
      </c>
      <c r="C1208" s="36">
        <v>45899</v>
      </c>
      <c r="D1208" s="36" t="s">
        <v>1179</v>
      </c>
      <c r="E1208" s="37" t="s">
        <v>2807</v>
      </c>
      <c r="F1208" s="37" t="s">
        <v>4026</v>
      </c>
      <c r="G1208" s="38"/>
      <c r="H1208" s="38">
        <v>64.16</v>
      </c>
      <c r="I1208" s="37"/>
      <c r="J1208" s="37"/>
      <c r="K1208" s="38"/>
      <c r="L1208" s="38"/>
    </row>
    <row r="1209" spans="2:12" ht="14.5" x14ac:dyDescent="0.35">
      <c r="B1209" s="46" t="s">
        <v>3589</v>
      </c>
      <c r="C1209" s="36">
        <v>45899</v>
      </c>
      <c r="D1209" s="36" t="s">
        <v>1179</v>
      </c>
      <c r="E1209" s="37" t="s">
        <v>2808</v>
      </c>
      <c r="F1209" s="37" t="s">
        <v>4026</v>
      </c>
      <c r="G1209" s="38"/>
      <c r="H1209" s="38">
        <v>265</v>
      </c>
      <c r="I1209" s="37"/>
      <c r="J1209" s="37"/>
      <c r="K1209" s="38"/>
      <c r="L1209" s="38"/>
    </row>
    <row r="1210" spans="2:12" ht="14.5" x14ac:dyDescent="0.35">
      <c r="B1210" s="46" t="s">
        <v>3589</v>
      </c>
      <c r="C1210" s="36">
        <v>45899</v>
      </c>
      <c r="D1210" s="36" t="s">
        <v>1179</v>
      </c>
      <c r="E1210" s="37" t="s">
        <v>2809</v>
      </c>
      <c r="F1210" s="37" t="s">
        <v>4026</v>
      </c>
      <c r="G1210" s="38"/>
      <c r="H1210" s="38">
        <v>11</v>
      </c>
      <c r="I1210" s="37"/>
      <c r="J1210" s="37"/>
      <c r="K1210" s="38"/>
      <c r="L1210" s="38"/>
    </row>
    <row r="1211" spans="2:12" ht="14.5" x14ac:dyDescent="0.35">
      <c r="B1211" s="46" t="s">
        <v>3589</v>
      </c>
      <c r="C1211" s="36">
        <v>45899</v>
      </c>
      <c r="D1211" s="36" t="s">
        <v>1179</v>
      </c>
      <c r="E1211" s="37" t="s">
        <v>2810</v>
      </c>
      <c r="F1211" s="37" t="s">
        <v>4026</v>
      </c>
      <c r="G1211" s="38"/>
      <c r="H1211" s="38">
        <v>10.02</v>
      </c>
      <c r="I1211" s="37"/>
      <c r="J1211" s="37"/>
      <c r="K1211" s="38"/>
      <c r="L1211" s="38"/>
    </row>
    <row r="1212" spans="2:12" ht="14.5" x14ac:dyDescent="0.35">
      <c r="B1212" s="46" t="s">
        <v>3589</v>
      </c>
      <c r="C1212" s="36">
        <v>45899</v>
      </c>
      <c r="D1212" s="36" t="s">
        <v>1179</v>
      </c>
      <c r="E1212" s="37" t="s">
        <v>2811</v>
      </c>
      <c r="F1212" s="37" t="s">
        <v>4026</v>
      </c>
      <c r="G1212" s="38"/>
      <c r="H1212" s="38">
        <v>335.77</v>
      </c>
      <c r="I1212" s="37"/>
      <c r="J1212" s="37"/>
      <c r="K1212" s="38"/>
      <c r="L1212" s="38"/>
    </row>
    <row r="1213" spans="2:12" ht="14.5" x14ac:dyDescent="0.35">
      <c r="B1213" s="46" t="s">
        <v>3589</v>
      </c>
      <c r="C1213" s="36">
        <v>45899</v>
      </c>
      <c r="D1213" s="36" t="s">
        <v>1179</v>
      </c>
      <c r="E1213" s="37" t="s">
        <v>2812</v>
      </c>
      <c r="F1213" s="37" t="s">
        <v>4026</v>
      </c>
      <c r="G1213" s="38"/>
      <c r="H1213" s="38">
        <v>799.03</v>
      </c>
      <c r="I1213" s="37"/>
      <c r="J1213" s="37"/>
      <c r="K1213" s="38"/>
      <c r="L1213" s="38"/>
    </row>
    <row r="1214" spans="2:12" ht="14.5" x14ac:dyDescent="0.35">
      <c r="B1214" s="46" t="s">
        <v>3589</v>
      </c>
      <c r="C1214" s="36">
        <v>45899</v>
      </c>
      <c r="D1214" s="36" t="s">
        <v>1179</v>
      </c>
      <c r="E1214" s="37" t="s">
        <v>2813</v>
      </c>
      <c r="F1214" s="37" t="s">
        <v>4026</v>
      </c>
      <c r="G1214" s="38"/>
      <c r="H1214" s="38">
        <v>129.88999999999999</v>
      </c>
      <c r="I1214" s="37"/>
      <c r="J1214" s="37"/>
      <c r="K1214" s="38"/>
      <c r="L1214" s="38"/>
    </row>
    <row r="1215" spans="2:12" ht="14.5" x14ac:dyDescent="0.35">
      <c r="B1215" s="46" t="s">
        <v>3589</v>
      </c>
      <c r="C1215" s="36">
        <v>45899</v>
      </c>
      <c r="D1215" s="36" t="s">
        <v>3115</v>
      </c>
      <c r="E1215" s="37" t="s">
        <v>2814</v>
      </c>
      <c r="F1215" s="37" t="s">
        <v>4026</v>
      </c>
      <c r="G1215" s="38"/>
      <c r="H1215" s="38">
        <v>1541.94</v>
      </c>
      <c r="I1215" s="37"/>
      <c r="J1215" s="37"/>
      <c r="K1215" s="38"/>
      <c r="L1215" s="38"/>
    </row>
    <row r="1216" spans="2:12" ht="14.5" x14ac:dyDescent="0.35">
      <c r="B1216" s="46" t="s">
        <v>3589</v>
      </c>
      <c r="C1216" s="36">
        <v>45899</v>
      </c>
      <c r="D1216" s="36" t="s">
        <v>2530</v>
      </c>
      <c r="E1216" s="37" t="s">
        <v>2815</v>
      </c>
      <c r="F1216" s="37" t="s">
        <v>4026</v>
      </c>
      <c r="G1216" s="38"/>
      <c r="H1216" s="38">
        <v>884.36</v>
      </c>
      <c r="I1216" s="37"/>
      <c r="J1216" s="37"/>
      <c r="K1216" s="38"/>
      <c r="L1216" s="38"/>
    </row>
    <row r="1217" spans="2:12" ht="14.5" x14ac:dyDescent="0.35">
      <c r="B1217" s="46" t="s">
        <v>3589</v>
      </c>
      <c r="C1217" s="36">
        <v>45899</v>
      </c>
      <c r="D1217" s="36" t="s">
        <v>301</v>
      </c>
      <c r="E1217" s="37" t="s">
        <v>2816</v>
      </c>
      <c r="F1217" s="37" t="s">
        <v>4026</v>
      </c>
      <c r="G1217" s="38"/>
      <c r="H1217" s="38">
        <v>566.08000000000004</v>
      </c>
      <c r="I1217" s="37"/>
      <c r="J1217" s="37"/>
      <c r="K1217" s="38"/>
      <c r="L1217" s="38"/>
    </row>
    <row r="1218" spans="2:12" ht="14.5" x14ac:dyDescent="0.35">
      <c r="B1218" s="46" t="s">
        <v>3589</v>
      </c>
      <c r="C1218" s="36">
        <v>45899</v>
      </c>
      <c r="D1218" s="36" t="s">
        <v>301</v>
      </c>
      <c r="E1218" s="37" t="s">
        <v>2817</v>
      </c>
      <c r="F1218" s="37" t="s">
        <v>4026</v>
      </c>
      <c r="G1218" s="38"/>
      <c r="H1218" s="38">
        <v>410.37</v>
      </c>
      <c r="I1218" s="37"/>
      <c r="J1218" s="37"/>
      <c r="K1218" s="38"/>
      <c r="L1218" s="38"/>
    </row>
    <row r="1219" spans="2:12" ht="14.5" x14ac:dyDescent="0.35">
      <c r="B1219" s="46" t="s">
        <v>3589</v>
      </c>
      <c r="C1219" s="36">
        <v>45899</v>
      </c>
      <c r="D1219" s="36" t="s">
        <v>1932</v>
      </c>
      <c r="E1219" s="37" t="s">
        <v>2818</v>
      </c>
      <c r="F1219" s="37" t="s">
        <v>4026</v>
      </c>
      <c r="G1219" s="38"/>
      <c r="H1219" s="38">
        <v>26.6</v>
      </c>
      <c r="I1219" s="37"/>
      <c r="J1219" s="37"/>
      <c r="K1219" s="38"/>
      <c r="L1219" s="38"/>
    </row>
    <row r="1220" spans="2:12" ht="14.5" x14ac:dyDescent="0.35">
      <c r="B1220" s="46" t="s">
        <v>3589</v>
      </c>
      <c r="C1220" s="36">
        <v>45899</v>
      </c>
      <c r="D1220" s="36" t="s">
        <v>1932</v>
      </c>
      <c r="E1220" s="37" t="s">
        <v>2819</v>
      </c>
      <c r="F1220" s="37" t="s">
        <v>4026</v>
      </c>
      <c r="G1220" s="38"/>
      <c r="H1220" s="38">
        <v>382.5</v>
      </c>
      <c r="I1220" s="37"/>
      <c r="J1220" s="37"/>
      <c r="K1220" s="38"/>
      <c r="L1220" s="38"/>
    </row>
    <row r="1221" spans="2:12" ht="14.5" x14ac:dyDescent="0.35">
      <c r="B1221" s="46" t="s">
        <v>3589</v>
      </c>
      <c r="C1221" s="36">
        <v>45899</v>
      </c>
      <c r="D1221" s="36" t="s">
        <v>1932</v>
      </c>
      <c r="E1221" s="37" t="s">
        <v>2820</v>
      </c>
      <c r="F1221" s="37" t="s">
        <v>4026</v>
      </c>
      <c r="G1221" s="38"/>
      <c r="H1221" s="38">
        <v>116.48</v>
      </c>
      <c r="I1221" s="37"/>
      <c r="J1221" s="37"/>
      <c r="K1221" s="38"/>
      <c r="L1221" s="38"/>
    </row>
    <row r="1222" spans="2:12" ht="14.5" x14ac:dyDescent="0.35">
      <c r="B1222" s="46" t="s">
        <v>3589</v>
      </c>
      <c r="C1222" s="36">
        <v>45899</v>
      </c>
      <c r="D1222" s="36" t="s">
        <v>2424</v>
      </c>
      <c r="E1222" s="37" t="s">
        <v>2821</v>
      </c>
      <c r="F1222" s="37" t="s">
        <v>4026</v>
      </c>
      <c r="G1222" s="38"/>
      <c r="H1222" s="38">
        <v>53.2</v>
      </c>
      <c r="I1222" s="37"/>
      <c r="J1222" s="37"/>
      <c r="K1222" s="38"/>
      <c r="L1222" s="38"/>
    </row>
    <row r="1223" spans="2:12" ht="14.5" x14ac:dyDescent="0.35">
      <c r="B1223" s="46" t="s">
        <v>3589</v>
      </c>
      <c r="C1223" s="36">
        <v>45899</v>
      </c>
      <c r="D1223" s="36" t="s">
        <v>1782</v>
      </c>
      <c r="E1223" s="37" t="s">
        <v>2822</v>
      </c>
      <c r="F1223" s="37" t="s">
        <v>4026</v>
      </c>
      <c r="G1223" s="38"/>
      <c r="H1223" s="38">
        <v>105.54</v>
      </c>
      <c r="I1223" s="37"/>
      <c r="J1223" s="37"/>
      <c r="K1223" s="38"/>
      <c r="L1223" s="38"/>
    </row>
    <row r="1224" spans="2:12" ht="14.5" x14ac:dyDescent="0.35">
      <c r="B1224" s="46" t="s">
        <v>3589</v>
      </c>
      <c r="C1224" s="36">
        <v>45899</v>
      </c>
      <c r="D1224" s="36" t="s">
        <v>1782</v>
      </c>
      <c r="E1224" s="37" t="s">
        <v>2823</v>
      </c>
      <c r="F1224" s="37" t="s">
        <v>4026</v>
      </c>
      <c r="G1224" s="38"/>
      <c r="H1224" s="38">
        <v>1639.76</v>
      </c>
      <c r="I1224" s="37"/>
      <c r="J1224" s="37"/>
      <c r="K1224" s="38"/>
      <c r="L1224" s="38"/>
    </row>
    <row r="1225" spans="2:12" ht="14.5" x14ac:dyDescent="0.35">
      <c r="B1225" s="46" t="s">
        <v>3589</v>
      </c>
      <c r="C1225" s="36">
        <v>45899</v>
      </c>
      <c r="D1225" s="36" t="s">
        <v>2520</v>
      </c>
      <c r="E1225" s="37" t="s">
        <v>2824</v>
      </c>
      <c r="F1225" s="37" t="s">
        <v>4026</v>
      </c>
      <c r="G1225" s="38"/>
      <c r="H1225" s="38">
        <v>711.17</v>
      </c>
      <c r="I1225" s="37"/>
      <c r="J1225" s="37"/>
      <c r="K1225" s="38"/>
      <c r="L1225" s="38"/>
    </row>
    <row r="1226" spans="2:12" ht="14.5" x14ac:dyDescent="0.35">
      <c r="B1226" s="46" t="s">
        <v>3589</v>
      </c>
      <c r="C1226" s="36">
        <v>45899</v>
      </c>
      <c r="D1226" s="36" t="s">
        <v>2520</v>
      </c>
      <c r="E1226" s="37" t="s">
        <v>2825</v>
      </c>
      <c r="F1226" s="37" t="s">
        <v>4026</v>
      </c>
      <c r="G1226" s="38"/>
      <c r="H1226" s="38">
        <v>2051.9</v>
      </c>
      <c r="I1226" s="37"/>
      <c r="J1226" s="37"/>
      <c r="K1226" s="38"/>
      <c r="L1226" s="38"/>
    </row>
    <row r="1227" spans="2:12" ht="14.5" x14ac:dyDescent="0.35">
      <c r="B1227" s="46" t="s">
        <v>3589</v>
      </c>
      <c r="C1227" s="36">
        <v>45899</v>
      </c>
      <c r="D1227" s="36" t="s">
        <v>1283</v>
      </c>
      <c r="E1227" s="37">
        <v>34959</v>
      </c>
      <c r="F1227" s="37" t="s">
        <v>4026</v>
      </c>
      <c r="G1227" s="38"/>
      <c r="H1227" s="38">
        <v>206.57</v>
      </c>
      <c r="I1227" s="37"/>
      <c r="J1227" s="37"/>
      <c r="K1227" s="38"/>
      <c r="L1227" s="38"/>
    </row>
    <row r="1228" spans="2:12" ht="14.5" x14ac:dyDescent="0.35">
      <c r="B1228" s="46" t="s">
        <v>3589</v>
      </c>
      <c r="C1228" s="36">
        <v>45899</v>
      </c>
      <c r="D1228" s="36" t="s">
        <v>2079</v>
      </c>
      <c r="E1228" s="37" t="s">
        <v>2826</v>
      </c>
      <c r="F1228" s="37" t="s">
        <v>4026</v>
      </c>
      <c r="G1228" s="38"/>
      <c r="H1228" s="38">
        <v>28.55</v>
      </c>
      <c r="I1228" s="37"/>
      <c r="J1228" s="37"/>
      <c r="K1228" s="38"/>
      <c r="L1228" s="38"/>
    </row>
    <row r="1229" spans="2:12" ht="14.5" x14ac:dyDescent="0.35">
      <c r="B1229" s="46" t="s">
        <v>3589</v>
      </c>
      <c r="C1229" s="36">
        <v>45899</v>
      </c>
      <c r="D1229" s="36" t="s">
        <v>1724</v>
      </c>
      <c r="E1229" s="37" t="s">
        <v>2827</v>
      </c>
      <c r="F1229" s="37" t="s">
        <v>4026</v>
      </c>
      <c r="G1229" s="38"/>
      <c r="H1229" s="38">
        <v>102.87</v>
      </c>
      <c r="I1229" s="37"/>
      <c r="J1229" s="37"/>
      <c r="K1229" s="38"/>
      <c r="L1229" s="38"/>
    </row>
    <row r="1230" spans="2:12" ht="14.5" x14ac:dyDescent="0.35">
      <c r="B1230" s="46" t="s">
        <v>3589</v>
      </c>
      <c r="C1230" s="36">
        <v>45899</v>
      </c>
      <c r="D1230" s="36" t="s">
        <v>3132</v>
      </c>
      <c r="E1230" s="37" t="s">
        <v>2828</v>
      </c>
      <c r="F1230" s="37" t="s">
        <v>4026</v>
      </c>
      <c r="G1230" s="38"/>
      <c r="H1230" s="38">
        <v>39.15</v>
      </c>
      <c r="I1230" s="37"/>
      <c r="J1230" s="37"/>
      <c r="K1230" s="38"/>
      <c r="L1230" s="38"/>
    </row>
    <row r="1231" spans="2:12" ht="14.5" x14ac:dyDescent="0.35">
      <c r="B1231" s="46" t="s">
        <v>3589</v>
      </c>
      <c r="C1231" s="36">
        <v>45899</v>
      </c>
      <c r="D1231" s="36" t="s">
        <v>1724</v>
      </c>
      <c r="E1231" s="37" t="s">
        <v>2829</v>
      </c>
      <c r="F1231" s="37" t="s">
        <v>4026</v>
      </c>
      <c r="G1231" s="38"/>
      <c r="H1231" s="38">
        <v>1165.3400000000001</v>
      </c>
      <c r="I1231" s="37"/>
      <c r="J1231" s="37"/>
      <c r="K1231" s="38"/>
      <c r="L1231" s="38"/>
    </row>
    <row r="1232" spans="2:12" ht="14.5" x14ac:dyDescent="0.35">
      <c r="B1232" s="46" t="s">
        <v>3589</v>
      </c>
      <c r="C1232" s="36">
        <v>45899</v>
      </c>
      <c r="D1232" s="36" t="s">
        <v>1724</v>
      </c>
      <c r="E1232" s="37" t="s">
        <v>2830</v>
      </c>
      <c r="F1232" s="37" t="s">
        <v>4026</v>
      </c>
      <c r="G1232" s="38"/>
      <c r="H1232" s="38">
        <v>2395.5</v>
      </c>
      <c r="I1232" s="37"/>
      <c r="J1232" s="37"/>
      <c r="K1232" s="38"/>
      <c r="L1232" s="38"/>
    </row>
    <row r="1233" spans="2:12" ht="14.5" x14ac:dyDescent="0.35">
      <c r="B1233" s="46" t="s">
        <v>3589</v>
      </c>
      <c r="C1233" s="36">
        <v>45899</v>
      </c>
      <c r="D1233" s="36" t="s">
        <v>1608</v>
      </c>
      <c r="E1233" s="37" t="s">
        <v>2832</v>
      </c>
      <c r="F1233" s="37" t="s">
        <v>4026</v>
      </c>
      <c r="G1233" s="38"/>
      <c r="H1233" s="38">
        <v>293.52999999999997</v>
      </c>
      <c r="I1233" s="37"/>
      <c r="J1233" s="37"/>
      <c r="K1233" s="38"/>
      <c r="L1233" s="38"/>
    </row>
    <row r="1234" spans="2:12" ht="14.5" x14ac:dyDescent="0.35">
      <c r="B1234" s="46" t="s">
        <v>3589</v>
      </c>
      <c r="C1234" s="36">
        <v>45899</v>
      </c>
      <c r="D1234" s="36" t="s">
        <v>3139</v>
      </c>
      <c r="E1234" s="37" t="s">
        <v>2833</v>
      </c>
      <c r="F1234" s="37" t="s">
        <v>4026</v>
      </c>
      <c r="G1234" s="38"/>
      <c r="H1234" s="38">
        <v>7045.86</v>
      </c>
      <c r="I1234" s="37"/>
      <c r="J1234" s="37"/>
      <c r="K1234" s="38"/>
      <c r="L1234" s="38"/>
    </row>
    <row r="1235" spans="2:12" ht="14.5" x14ac:dyDescent="0.35">
      <c r="B1235" s="46" t="s">
        <v>3589</v>
      </c>
      <c r="C1235" s="36">
        <v>45899</v>
      </c>
      <c r="D1235" s="36" t="s">
        <v>3139</v>
      </c>
      <c r="E1235" s="37" t="s">
        <v>2834</v>
      </c>
      <c r="F1235" s="37" t="s">
        <v>4026</v>
      </c>
      <c r="G1235" s="38"/>
      <c r="H1235" s="38">
        <v>48239.519999999997</v>
      </c>
      <c r="I1235" s="37"/>
      <c r="J1235" s="37"/>
      <c r="K1235" s="38"/>
      <c r="L1235" s="38"/>
    </row>
    <row r="1236" spans="2:12" ht="14.5" x14ac:dyDescent="0.35">
      <c r="B1236" s="46" t="s">
        <v>3589</v>
      </c>
      <c r="C1236" s="36">
        <v>45899</v>
      </c>
      <c r="D1236" s="36" t="s">
        <v>3144</v>
      </c>
      <c r="E1236" s="37" t="s">
        <v>2835</v>
      </c>
      <c r="F1236" s="37" t="s">
        <v>4026</v>
      </c>
      <c r="G1236" s="38"/>
      <c r="H1236" s="38">
        <v>156</v>
      </c>
      <c r="I1236" s="37"/>
      <c r="J1236" s="37"/>
      <c r="K1236" s="38"/>
      <c r="L1236" s="38"/>
    </row>
    <row r="1237" spans="2:12" ht="14.5" x14ac:dyDescent="0.35">
      <c r="B1237" s="46" t="s">
        <v>3589</v>
      </c>
      <c r="C1237" s="36">
        <v>45899</v>
      </c>
      <c r="D1237" s="36" t="s">
        <v>3146</v>
      </c>
      <c r="E1237" s="37" t="s">
        <v>2836</v>
      </c>
      <c r="F1237" s="37" t="s">
        <v>4026</v>
      </c>
      <c r="G1237" s="38"/>
      <c r="H1237" s="38">
        <v>189.2</v>
      </c>
      <c r="I1237" s="37"/>
      <c r="J1237" s="37"/>
      <c r="K1237" s="38"/>
      <c r="L1237" s="38"/>
    </row>
    <row r="1238" spans="2:12" ht="14.5" x14ac:dyDescent="0.35">
      <c r="B1238" s="46" t="s">
        <v>3589</v>
      </c>
      <c r="C1238" s="36">
        <v>45899</v>
      </c>
      <c r="D1238" s="36" t="s">
        <v>3148</v>
      </c>
      <c r="E1238" s="37" t="s">
        <v>2837</v>
      </c>
      <c r="F1238" s="37" t="s">
        <v>4026</v>
      </c>
      <c r="G1238" s="38"/>
      <c r="H1238" s="38">
        <v>8.14</v>
      </c>
      <c r="I1238" s="37"/>
      <c r="J1238" s="37"/>
      <c r="K1238" s="38"/>
      <c r="L1238" s="38"/>
    </row>
    <row r="1239" spans="2:12" ht="14.5" x14ac:dyDescent="0.35">
      <c r="B1239" s="46" t="s">
        <v>3589</v>
      </c>
      <c r="C1239" s="36">
        <v>45899</v>
      </c>
      <c r="D1239" s="36" t="s">
        <v>3150</v>
      </c>
      <c r="E1239" s="37" t="s">
        <v>2838</v>
      </c>
      <c r="F1239" s="37" t="s">
        <v>4026</v>
      </c>
      <c r="G1239" s="38"/>
      <c r="H1239" s="38">
        <v>16.55</v>
      </c>
      <c r="I1239" s="37"/>
      <c r="J1239" s="37"/>
      <c r="K1239" s="38"/>
      <c r="L1239" s="38"/>
    </row>
    <row r="1240" spans="2:12" ht="14.5" x14ac:dyDescent="0.35">
      <c r="B1240" s="46" t="s">
        <v>3589</v>
      </c>
      <c r="C1240" s="36">
        <v>45899</v>
      </c>
      <c r="D1240" s="36" t="s">
        <v>3153</v>
      </c>
      <c r="E1240" s="37" t="s">
        <v>2839</v>
      </c>
      <c r="F1240" s="37" t="s">
        <v>4026</v>
      </c>
      <c r="G1240" s="38"/>
      <c r="H1240" s="38">
        <v>70.75</v>
      </c>
      <c r="I1240" s="37"/>
      <c r="J1240" s="37"/>
      <c r="K1240" s="38"/>
      <c r="L1240" s="38"/>
    </row>
    <row r="1241" spans="2:12" ht="14.5" x14ac:dyDescent="0.35">
      <c r="B1241" s="46" t="s">
        <v>3589</v>
      </c>
      <c r="C1241" s="36">
        <v>45899</v>
      </c>
      <c r="D1241" s="36" t="s">
        <v>3154</v>
      </c>
      <c r="E1241" s="37" t="s">
        <v>2840</v>
      </c>
      <c r="F1241" s="37" t="s">
        <v>4026</v>
      </c>
      <c r="G1241" s="38"/>
      <c r="H1241" s="38">
        <v>12743.609999999999</v>
      </c>
      <c r="I1241" s="37"/>
      <c r="J1241" s="37"/>
      <c r="K1241" s="38"/>
      <c r="L1241" s="38"/>
    </row>
    <row r="1242" spans="2:12" ht="14.5" x14ac:dyDescent="0.35">
      <c r="B1242" s="46" t="s">
        <v>3589</v>
      </c>
      <c r="C1242" s="36">
        <v>45899</v>
      </c>
      <c r="D1242" s="36" t="s">
        <v>1920</v>
      </c>
      <c r="E1242" s="37" t="s">
        <v>2841</v>
      </c>
      <c r="F1242" s="37" t="s">
        <v>4026</v>
      </c>
      <c r="G1242" s="38"/>
      <c r="H1242" s="38">
        <v>695.48</v>
      </c>
      <c r="I1242" s="37"/>
      <c r="J1242" s="37"/>
      <c r="K1242" s="38"/>
      <c r="L1242" s="38"/>
    </row>
    <row r="1243" spans="2:12" ht="14.5" x14ac:dyDescent="0.35">
      <c r="B1243" s="46" t="s">
        <v>3589</v>
      </c>
      <c r="C1243" s="36">
        <v>45899</v>
      </c>
      <c r="D1243" s="36" t="s">
        <v>1920</v>
      </c>
      <c r="E1243" s="37" t="s">
        <v>2842</v>
      </c>
      <c r="F1243" s="37" t="s">
        <v>4026</v>
      </c>
      <c r="G1243" s="38"/>
      <c r="H1243" s="38">
        <v>1187.8799999999999</v>
      </c>
      <c r="I1243" s="37"/>
      <c r="J1243" s="37"/>
      <c r="K1243" s="38"/>
      <c r="L1243" s="38"/>
    </row>
    <row r="1244" spans="2:12" ht="14.5" x14ac:dyDescent="0.35">
      <c r="B1244" s="46" t="s">
        <v>3589</v>
      </c>
      <c r="C1244" s="36">
        <v>45899</v>
      </c>
      <c r="D1244" s="36" t="s">
        <v>1920</v>
      </c>
      <c r="E1244" s="37" t="s">
        <v>2843</v>
      </c>
      <c r="F1244" s="37" t="s">
        <v>4026</v>
      </c>
      <c r="G1244" s="38"/>
      <c r="H1244" s="38">
        <v>5.24</v>
      </c>
      <c r="I1244" s="37"/>
      <c r="J1244" s="37"/>
      <c r="K1244" s="38"/>
      <c r="L1244" s="38"/>
    </row>
    <row r="1245" spans="2:12" ht="14.5" x14ac:dyDescent="0.35">
      <c r="B1245" s="46" t="s">
        <v>3589</v>
      </c>
      <c r="C1245" s="36">
        <v>45899</v>
      </c>
      <c r="D1245" s="36" t="s">
        <v>1920</v>
      </c>
      <c r="E1245" s="37" t="s">
        <v>2847</v>
      </c>
      <c r="F1245" s="37" t="s">
        <v>4026</v>
      </c>
      <c r="G1245" s="38"/>
      <c r="H1245" s="38">
        <v>80.02</v>
      </c>
      <c r="I1245" s="37"/>
      <c r="J1245" s="37"/>
      <c r="K1245" s="38"/>
      <c r="L1245" s="38"/>
    </row>
    <row r="1246" spans="2:12" ht="14.5" x14ac:dyDescent="0.35">
      <c r="B1246" s="46" t="s">
        <v>3589</v>
      </c>
      <c r="C1246" s="36">
        <v>45899</v>
      </c>
      <c r="D1246" s="36" t="s">
        <v>301</v>
      </c>
      <c r="E1246" s="37" t="s">
        <v>2848</v>
      </c>
      <c r="F1246" s="37" t="s">
        <v>4026</v>
      </c>
      <c r="G1246" s="38"/>
      <c r="H1246" s="38">
        <v>324.33</v>
      </c>
      <c r="I1246" s="37"/>
      <c r="J1246" s="37"/>
      <c r="K1246" s="38"/>
      <c r="L1246" s="38"/>
    </row>
    <row r="1247" spans="2:12" ht="14.5" x14ac:dyDescent="0.35">
      <c r="B1247" s="46" t="s">
        <v>3589</v>
      </c>
      <c r="C1247" s="36">
        <v>45899</v>
      </c>
      <c r="D1247" s="36" t="s">
        <v>301</v>
      </c>
      <c r="E1247" s="37" t="s">
        <v>2849</v>
      </c>
      <c r="F1247" s="37" t="s">
        <v>4026</v>
      </c>
      <c r="G1247" s="38"/>
      <c r="H1247" s="38">
        <v>139.4</v>
      </c>
      <c r="I1247" s="37"/>
      <c r="J1247" s="37"/>
      <c r="K1247" s="38"/>
      <c r="L1247" s="38"/>
    </row>
    <row r="1248" spans="2:12" ht="14.5" x14ac:dyDescent="0.35">
      <c r="B1248" s="46" t="s">
        <v>3589</v>
      </c>
      <c r="C1248" s="36">
        <v>45899</v>
      </c>
      <c r="D1248" s="36" t="s">
        <v>1782</v>
      </c>
      <c r="E1248" s="37" t="s">
        <v>2850</v>
      </c>
      <c r="F1248" s="37" t="s">
        <v>4026</v>
      </c>
      <c r="G1248" s="38"/>
      <c r="H1248" s="38">
        <v>2960.2999999999997</v>
      </c>
      <c r="I1248" s="37"/>
      <c r="J1248" s="37"/>
      <c r="K1248" s="38"/>
      <c r="L1248" s="38"/>
    </row>
    <row r="1249" spans="2:12" ht="14.5" x14ac:dyDescent="0.35">
      <c r="B1249" s="46" t="s">
        <v>3589</v>
      </c>
      <c r="C1249" s="36">
        <v>45899</v>
      </c>
      <c r="D1249" s="36" t="s">
        <v>1223</v>
      </c>
      <c r="E1249" s="37" t="s">
        <v>2851</v>
      </c>
      <c r="F1249" s="37" t="s">
        <v>4026</v>
      </c>
      <c r="G1249" s="38"/>
      <c r="H1249" s="38">
        <v>277.94</v>
      </c>
      <c r="I1249" s="37"/>
      <c r="J1249" s="37"/>
      <c r="K1249" s="38"/>
      <c r="L1249" s="38"/>
    </row>
    <row r="1250" spans="2:12" ht="14.5" x14ac:dyDescent="0.35">
      <c r="B1250" s="46" t="s">
        <v>3589</v>
      </c>
      <c r="C1250" s="36">
        <v>45899</v>
      </c>
      <c r="D1250" s="36" t="s">
        <v>1035</v>
      </c>
      <c r="E1250" s="37" t="s">
        <v>2852</v>
      </c>
      <c r="F1250" s="37" t="s">
        <v>4026</v>
      </c>
      <c r="G1250" s="38"/>
      <c r="H1250" s="38">
        <v>119.31</v>
      </c>
      <c r="I1250" s="37"/>
      <c r="J1250" s="37"/>
      <c r="K1250" s="38"/>
      <c r="L1250" s="38"/>
    </row>
    <row r="1251" spans="2:12" ht="14.5" x14ac:dyDescent="0.35">
      <c r="B1251" s="46" t="s">
        <v>3589</v>
      </c>
      <c r="C1251" s="36">
        <v>45899</v>
      </c>
      <c r="D1251" s="36" t="s">
        <v>1035</v>
      </c>
      <c r="E1251" s="37" t="s">
        <v>2853</v>
      </c>
      <c r="F1251" s="37" t="s">
        <v>4026</v>
      </c>
      <c r="G1251" s="38"/>
      <c r="H1251" s="38">
        <v>362.45000000000005</v>
      </c>
      <c r="I1251" s="37"/>
      <c r="J1251" s="37"/>
      <c r="K1251" s="38"/>
      <c r="L1251" s="38"/>
    </row>
    <row r="1252" spans="2:12" ht="14.5" x14ac:dyDescent="0.35">
      <c r="B1252" s="46" t="s">
        <v>3589</v>
      </c>
      <c r="C1252" s="36">
        <v>45899</v>
      </c>
      <c r="D1252" s="36" t="s">
        <v>1343</v>
      </c>
      <c r="E1252" s="37" t="s">
        <v>2855</v>
      </c>
      <c r="F1252" s="37" t="s">
        <v>4026</v>
      </c>
      <c r="G1252" s="38"/>
      <c r="H1252" s="38">
        <v>2904.92</v>
      </c>
      <c r="I1252" s="37"/>
      <c r="J1252" s="37"/>
      <c r="K1252" s="38"/>
      <c r="L1252" s="38"/>
    </row>
    <row r="1253" spans="2:12" ht="14.5" x14ac:dyDescent="0.35">
      <c r="B1253" s="46" t="s">
        <v>3589</v>
      </c>
      <c r="C1253" s="36">
        <v>45899</v>
      </c>
      <c r="D1253" s="36" t="s">
        <v>1343</v>
      </c>
      <c r="E1253" s="37" t="s">
        <v>2856</v>
      </c>
      <c r="F1253" s="37" t="s">
        <v>4026</v>
      </c>
      <c r="G1253" s="38"/>
      <c r="H1253" s="38">
        <v>558.23</v>
      </c>
      <c r="I1253" s="37"/>
      <c r="J1253" s="37"/>
      <c r="K1253" s="38"/>
      <c r="L1253" s="38"/>
    </row>
    <row r="1254" spans="2:12" ht="14.5" x14ac:dyDescent="0.35">
      <c r="B1254" s="46" t="s">
        <v>3589</v>
      </c>
      <c r="C1254" s="36">
        <v>45899</v>
      </c>
      <c r="D1254" s="36" t="s">
        <v>1343</v>
      </c>
      <c r="E1254" s="37" t="s">
        <v>2857</v>
      </c>
      <c r="F1254" s="37" t="s">
        <v>4026</v>
      </c>
      <c r="G1254" s="38"/>
      <c r="H1254" s="38">
        <v>110</v>
      </c>
      <c r="I1254" s="37"/>
      <c r="J1254" s="37"/>
      <c r="K1254" s="38"/>
      <c r="L1254" s="38"/>
    </row>
    <row r="1255" spans="2:12" ht="14.5" x14ac:dyDescent="0.35">
      <c r="B1255" s="46" t="s">
        <v>3589</v>
      </c>
      <c r="C1255" s="36">
        <v>45899</v>
      </c>
      <c r="D1255" s="36" t="s">
        <v>1223</v>
      </c>
      <c r="E1255" s="37" t="s">
        <v>2858</v>
      </c>
      <c r="F1255" s="37" t="s">
        <v>4026</v>
      </c>
      <c r="G1255" s="38"/>
      <c r="H1255" s="38">
        <v>8451.82</v>
      </c>
      <c r="I1255" s="37"/>
      <c r="J1255" s="37"/>
      <c r="K1255" s="38"/>
      <c r="L1255" s="38"/>
    </row>
    <row r="1256" spans="2:12" ht="14.5" x14ac:dyDescent="0.35">
      <c r="B1256" s="46" t="s">
        <v>3589</v>
      </c>
      <c r="C1256" s="36">
        <v>45899</v>
      </c>
      <c r="D1256" s="36" t="s">
        <v>1223</v>
      </c>
      <c r="E1256" s="37" t="s">
        <v>2859</v>
      </c>
      <c r="F1256" s="37" t="s">
        <v>4026</v>
      </c>
      <c r="G1256" s="38"/>
      <c r="H1256" s="38">
        <v>805.98</v>
      </c>
      <c r="I1256" s="37"/>
      <c r="J1256" s="37"/>
      <c r="K1256" s="38"/>
      <c r="L1256" s="38"/>
    </row>
    <row r="1257" spans="2:12" ht="14.5" x14ac:dyDescent="0.35">
      <c r="B1257" s="46" t="s">
        <v>3589</v>
      </c>
      <c r="C1257" s="36">
        <v>45899</v>
      </c>
      <c r="D1257" s="36" t="s">
        <v>1663</v>
      </c>
      <c r="E1257" s="37" t="s">
        <v>2860</v>
      </c>
      <c r="F1257" s="37" t="s">
        <v>4026</v>
      </c>
      <c r="G1257" s="38"/>
      <c r="H1257" s="38">
        <v>20.96</v>
      </c>
      <c r="I1257" s="37"/>
      <c r="J1257" s="37"/>
      <c r="K1257" s="38"/>
      <c r="L1257" s="38"/>
    </row>
    <row r="1258" spans="2:12" ht="14.5" x14ac:dyDescent="0.35">
      <c r="B1258" s="46" t="s">
        <v>3589</v>
      </c>
      <c r="C1258" s="36">
        <v>45899</v>
      </c>
      <c r="D1258" s="36" t="s">
        <v>1663</v>
      </c>
      <c r="E1258" s="37" t="s">
        <v>2861</v>
      </c>
      <c r="F1258" s="37" t="s">
        <v>4026</v>
      </c>
      <c r="G1258" s="38"/>
      <c r="H1258" s="38">
        <v>4040.3199999999997</v>
      </c>
      <c r="I1258" s="37"/>
      <c r="J1258" s="37"/>
      <c r="K1258" s="38"/>
      <c r="L1258" s="38"/>
    </row>
    <row r="1259" spans="2:12" ht="14.5" x14ac:dyDescent="0.35">
      <c r="B1259" s="46" t="s">
        <v>3589</v>
      </c>
      <c r="C1259" s="36">
        <v>45899</v>
      </c>
      <c r="D1259" s="36" t="s">
        <v>1757</v>
      </c>
      <c r="E1259" s="37" t="s">
        <v>2862</v>
      </c>
      <c r="F1259" s="37" t="s">
        <v>4026</v>
      </c>
      <c r="G1259" s="38"/>
      <c r="H1259" s="38">
        <v>368.56</v>
      </c>
      <c r="I1259" s="37"/>
      <c r="J1259" s="37"/>
      <c r="K1259" s="38"/>
      <c r="L1259" s="38"/>
    </row>
    <row r="1260" spans="2:12" ht="14.5" x14ac:dyDescent="0.35">
      <c r="B1260" s="46" t="s">
        <v>3589</v>
      </c>
      <c r="C1260" s="36">
        <v>45899</v>
      </c>
      <c r="D1260" s="36" t="s">
        <v>1757</v>
      </c>
      <c r="E1260" s="37" t="s">
        <v>2863</v>
      </c>
      <c r="F1260" s="37" t="s">
        <v>4026</v>
      </c>
      <c r="G1260" s="38"/>
      <c r="H1260" s="38">
        <v>2280.8000000000002</v>
      </c>
      <c r="I1260" s="37"/>
      <c r="J1260" s="37"/>
      <c r="K1260" s="38"/>
      <c r="L1260" s="38"/>
    </row>
    <row r="1261" spans="2:12" ht="14.5" x14ac:dyDescent="0.35">
      <c r="B1261" s="46" t="s">
        <v>3589</v>
      </c>
      <c r="C1261" s="36">
        <v>45899</v>
      </c>
      <c r="D1261" s="36" t="s">
        <v>1757</v>
      </c>
      <c r="E1261" s="37" t="s">
        <v>2864</v>
      </c>
      <c r="F1261" s="37" t="s">
        <v>4026</v>
      </c>
      <c r="G1261" s="38"/>
      <c r="H1261" s="38">
        <v>1367.21</v>
      </c>
      <c r="I1261" s="37"/>
      <c r="J1261" s="37"/>
      <c r="K1261" s="38"/>
      <c r="L1261" s="38"/>
    </row>
    <row r="1262" spans="2:12" ht="14.5" x14ac:dyDescent="0.35">
      <c r="B1262" s="46" t="s">
        <v>3589</v>
      </c>
      <c r="C1262" s="36">
        <v>45899</v>
      </c>
      <c r="D1262" s="36" t="s">
        <v>1757</v>
      </c>
      <c r="E1262" s="37" t="s">
        <v>2865</v>
      </c>
      <c r="F1262" s="37" t="s">
        <v>4026</v>
      </c>
      <c r="G1262" s="38"/>
      <c r="H1262" s="38">
        <v>2133.9500000000003</v>
      </c>
      <c r="I1262" s="37"/>
      <c r="J1262" s="37"/>
      <c r="K1262" s="38"/>
      <c r="L1262" s="38"/>
    </row>
    <row r="1263" spans="2:12" ht="14.5" x14ac:dyDescent="0.35">
      <c r="B1263" s="46" t="s">
        <v>3589</v>
      </c>
      <c r="C1263" s="36">
        <v>45899</v>
      </c>
      <c r="D1263" s="36" t="s">
        <v>1757</v>
      </c>
      <c r="E1263" s="37" t="s">
        <v>2866</v>
      </c>
      <c r="F1263" s="37" t="s">
        <v>4026</v>
      </c>
      <c r="G1263" s="38"/>
      <c r="H1263" s="38">
        <v>3159.84</v>
      </c>
      <c r="I1263" s="37"/>
      <c r="J1263" s="37"/>
      <c r="K1263" s="38"/>
      <c r="L1263" s="38"/>
    </row>
    <row r="1264" spans="2:12" ht="14.5" x14ac:dyDescent="0.35">
      <c r="B1264" s="46" t="s">
        <v>3589</v>
      </c>
      <c r="C1264" s="36">
        <v>45899</v>
      </c>
      <c r="D1264" s="36" t="s">
        <v>1757</v>
      </c>
      <c r="E1264" s="37" t="s">
        <v>2867</v>
      </c>
      <c r="F1264" s="37" t="s">
        <v>4026</v>
      </c>
      <c r="G1264" s="38"/>
      <c r="H1264" s="38">
        <v>126.34</v>
      </c>
      <c r="I1264" s="37"/>
      <c r="J1264" s="37"/>
      <c r="K1264" s="38"/>
      <c r="L1264" s="38"/>
    </row>
    <row r="1265" spans="2:12" ht="14.5" x14ac:dyDescent="0.35">
      <c r="B1265" s="46" t="s">
        <v>3589</v>
      </c>
      <c r="C1265" s="36">
        <v>45899</v>
      </c>
      <c r="D1265" s="36" t="s">
        <v>3212</v>
      </c>
      <c r="E1265" s="37" t="s">
        <v>2868</v>
      </c>
      <c r="F1265" s="37" t="s">
        <v>4026</v>
      </c>
      <c r="G1265" s="38"/>
      <c r="H1265" s="38">
        <v>122.01</v>
      </c>
      <c r="I1265" s="37"/>
      <c r="J1265" s="37"/>
      <c r="K1265" s="38"/>
      <c r="L1265" s="38"/>
    </row>
    <row r="1266" spans="2:12" ht="14.5" x14ac:dyDescent="0.35">
      <c r="B1266" s="46" t="s">
        <v>3589</v>
      </c>
      <c r="C1266" s="36">
        <v>45899</v>
      </c>
      <c r="D1266" s="36" t="s">
        <v>3218</v>
      </c>
      <c r="E1266" s="37" t="s">
        <v>2869</v>
      </c>
      <c r="F1266" s="37" t="s">
        <v>4026</v>
      </c>
      <c r="G1266" s="38"/>
      <c r="H1266" s="38">
        <v>24</v>
      </c>
      <c r="I1266" s="37"/>
      <c r="J1266" s="37"/>
      <c r="K1266" s="38"/>
      <c r="L1266" s="38"/>
    </row>
    <row r="1267" spans="2:12" ht="14.5" x14ac:dyDescent="0.35">
      <c r="B1267" s="46" t="s">
        <v>3589</v>
      </c>
      <c r="C1267" s="36">
        <v>45899</v>
      </c>
      <c r="D1267" s="36" t="s">
        <v>3218</v>
      </c>
      <c r="E1267" s="37" t="s">
        <v>2870</v>
      </c>
      <c r="F1267" s="37" t="s">
        <v>4026</v>
      </c>
      <c r="G1267" s="38"/>
      <c r="H1267" s="38">
        <v>71.790000000000006</v>
      </c>
      <c r="I1267" s="37"/>
      <c r="J1267" s="37"/>
      <c r="K1267" s="38"/>
      <c r="L1267" s="38"/>
    </row>
    <row r="1268" spans="2:12" ht="14.5" x14ac:dyDescent="0.35">
      <c r="B1268" s="46" t="s">
        <v>3589</v>
      </c>
      <c r="C1268" s="36">
        <v>45899</v>
      </c>
      <c r="D1268" s="36" t="s">
        <v>2926</v>
      </c>
      <c r="E1268" s="37" t="s">
        <v>2871</v>
      </c>
      <c r="F1268" s="37" t="s">
        <v>4026</v>
      </c>
      <c r="G1268" s="38"/>
      <c r="H1268" s="38">
        <v>1631.5</v>
      </c>
      <c r="I1268" s="37"/>
      <c r="J1268" s="37"/>
      <c r="K1268" s="38"/>
      <c r="L1268" s="38"/>
    </row>
    <row r="1269" spans="2:12" ht="14.5" x14ac:dyDescent="0.35">
      <c r="B1269" s="46" t="s">
        <v>3589</v>
      </c>
      <c r="C1269" s="36">
        <v>45899</v>
      </c>
      <c r="D1269" s="36" t="s">
        <v>2514</v>
      </c>
      <c r="E1269" s="37" t="s">
        <v>2872</v>
      </c>
      <c r="F1269" s="37" t="s">
        <v>4026</v>
      </c>
      <c r="G1269" s="38"/>
      <c r="H1269" s="38">
        <v>330.3</v>
      </c>
      <c r="I1269" s="37"/>
      <c r="J1269" s="37"/>
      <c r="K1269" s="38"/>
      <c r="L1269" s="38"/>
    </row>
    <row r="1270" spans="2:12" ht="14.5" x14ac:dyDescent="0.35">
      <c r="B1270" s="46" t="s">
        <v>3589</v>
      </c>
      <c r="C1270" s="36">
        <v>45899</v>
      </c>
      <c r="D1270" s="36" t="s">
        <v>1035</v>
      </c>
      <c r="E1270" s="37" t="s">
        <v>2873</v>
      </c>
      <c r="F1270" s="37" t="s">
        <v>4026</v>
      </c>
      <c r="G1270" s="38"/>
      <c r="H1270" s="38">
        <v>2.9</v>
      </c>
      <c r="I1270" s="37"/>
      <c r="J1270" s="37"/>
      <c r="K1270" s="38"/>
      <c r="L1270" s="38"/>
    </row>
    <row r="1271" spans="2:12" ht="14.5" x14ac:dyDescent="0.35">
      <c r="B1271" s="46" t="s">
        <v>3589</v>
      </c>
      <c r="C1271" s="36">
        <v>45899</v>
      </c>
      <c r="D1271" s="36" t="s">
        <v>1035</v>
      </c>
      <c r="E1271" s="37" t="s">
        <v>2874</v>
      </c>
      <c r="F1271" s="37" t="s">
        <v>4026</v>
      </c>
      <c r="G1271" s="38"/>
      <c r="H1271" s="38">
        <v>729.03</v>
      </c>
      <c r="I1271" s="37"/>
      <c r="J1271" s="37"/>
      <c r="K1271" s="38"/>
      <c r="L1271" s="38"/>
    </row>
    <row r="1272" spans="2:12" ht="14.5" x14ac:dyDescent="0.35">
      <c r="B1272" s="46" t="s">
        <v>3589</v>
      </c>
      <c r="C1272" s="36">
        <v>45899</v>
      </c>
      <c r="D1272" s="36" t="s">
        <v>1035</v>
      </c>
      <c r="E1272" s="37" t="s">
        <v>2875</v>
      </c>
      <c r="F1272" s="37" t="s">
        <v>4026</v>
      </c>
      <c r="G1272" s="38"/>
      <c r="H1272" s="38">
        <v>48.72</v>
      </c>
      <c r="I1272" s="37"/>
      <c r="J1272" s="37"/>
      <c r="K1272" s="38"/>
      <c r="L1272" s="38"/>
    </row>
    <row r="1273" spans="2:12" ht="14.5" x14ac:dyDescent="0.35">
      <c r="B1273" s="46" t="s">
        <v>3589</v>
      </c>
      <c r="C1273" s="36">
        <v>45899</v>
      </c>
      <c r="D1273" s="36" t="s">
        <v>1035</v>
      </c>
      <c r="E1273" s="37" t="s">
        <v>2876</v>
      </c>
      <c r="F1273" s="37" t="s">
        <v>4026</v>
      </c>
      <c r="G1273" s="38"/>
      <c r="H1273" s="38">
        <v>0</v>
      </c>
      <c r="I1273" s="37"/>
      <c r="J1273" s="37"/>
      <c r="K1273" s="38"/>
      <c r="L1273" s="38"/>
    </row>
    <row r="1274" spans="2:12" ht="14.5" x14ac:dyDescent="0.35">
      <c r="B1274" s="46" t="s">
        <v>3589</v>
      </c>
      <c r="C1274" s="36">
        <v>45899</v>
      </c>
      <c r="D1274" s="36" t="s">
        <v>1035</v>
      </c>
      <c r="E1274" s="37" t="s">
        <v>2877</v>
      </c>
      <c r="F1274" s="37" t="s">
        <v>4026</v>
      </c>
      <c r="G1274" s="38"/>
      <c r="H1274" s="38">
        <v>806.86</v>
      </c>
      <c r="I1274" s="37"/>
      <c r="J1274" s="37"/>
      <c r="K1274" s="38"/>
      <c r="L1274" s="38"/>
    </row>
    <row r="1275" spans="2:12" ht="14.5" x14ac:dyDescent="0.35">
      <c r="B1275" s="46" t="s">
        <v>3589</v>
      </c>
      <c r="C1275" s="36">
        <v>45899</v>
      </c>
      <c r="D1275" s="36" t="s">
        <v>1035</v>
      </c>
      <c r="E1275" s="37" t="s">
        <v>2878</v>
      </c>
      <c r="F1275" s="37" t="s">
        <v>4026</v>
      </c>
      <c r="G1275" s="38"/>
      <c r="H1275" s="38">
        <v>1220.3399999999999</v>
      </c>
      <c r="I1275" s="37"/>
      <c r="J1275" s="37"/>
      <c r="K1275" s="38"/>
      <c r="L1275" s="38"/>
    </row>
    <row r="1276" spans="2:12" ht="14.5" x14ac:dyDescent="0.35">
      <c r="B1276" s="46" t="s">
        <v>3589</v>
      </c>
      <c r="C1276" s="36">
        <v>45899</v>
      </c>
      <c r="D1276" s="36" t="s">
        <v>1035</v>
      </c>
      <c r="E1276" s="37" t="s">
        <v>2879</v>
      </c>
      <c r="F1276" s="37" t="s">
        <v>4026</v>
      </c>
      <c r="G1276" s="38"/>
      <c r="H1276" s="38">
        <v>16.5</v>
      </c>
      <c r="I1276" s="37"/>
      <c r="J1276" s="37"/>
      <c r="K1276" s="38"/>
      <c r="L1276" s="38"/>
    </row>
    <row r="1277" spans="2:12" ht="14.5" x14ac:dyDescent="0.35">
      <c r="B1277" s="46" t="s">
        <v>3589</v>
      </c>
      <c r="C1277" s="36">
        <v>45899</v>
      </c>
      <c r="D1277" s="36" t="s">
        <v>1035</v>
      </c>
      <c r="E1277" s="37" t="s">
        <v>2880</v>
      </c>
      <c r="F1277" s="37" t="s">
        <v>4026</v>
      </c>
      <c r="G1277" s="38"/>
      <c r="H1277" s="38">
        <v>417.88</v>
      </c>
      <c r="I1277" s="37"/>
      <c r="J1277" s="37"/>
      <c r="K1277" s="38"/>
      <c r="L1277" s="38"/>
    </row>
    <row r="1278" spans="2:12" ht="14.5" x14ac:dyDescent="0.35">
      <c r="B1278" s="46" t="s">
        <v>3589</v>
      </c>
      <c r="C1278" s="36">
        <v>45899</v>
      </c>
      <c r="D1278" s="36" t="s">
        <v>1035</v>
      </c>
      <c r="E1278" s="37" t="s">
        <v>2881</v>
      </c>
      <c r="F1278" s="37" t="s">
        <v>4026</v>
      </c>
      <c r="G1278" s="38"/>
      <c r="H1278" s="38">
        <v>228.91</v>
      </c>
      <c r="I1278" s="37"/>
      <c r="J1278" s="37"/>
      <c r="K1278" s="38"/>
      <c r="L1278" s="38"/>
    </row>
    <row r="1279" spans="2:12" ht="14.5" x14ac:dyDescent="0.35">
      <c r="B1279" s="46" t="s">
        <v>3589</v>
      </c>
      <c r="C1279" s="36">
        <v>45899</v>
      </c>
      <c r="D1279" s="36" t="s">
        <v>3230</v>
      </c>
      <c r="E1279" s="37" t="s">
        <v>2882</v>
      </c>
      <c r="F1279" s="37" t="s">
        <v>4026</v>
      </c>
      <c r="G1279" s="38"/>
      <c r="H1279" s="38">
        <v>6338.43</v>
      </c>
      <c r="I1279" s="37"/>
      <c r="J1279" s="37"/>
      <c r="K1279" s="38"/>
      <c r="L1279" s="38"/>
    </row>
    <row r="1280" spans="2:12" ht="14.5" x14ac:dyDescent="0.35">
      <c r="B1280" s="46" t="s">
        <v>3589</v>
      </c>
      <c r="C1280" s="36">
        <v>45899</v>
      </c>
      <c r="D1280" s="36" t="s">
        <v>2144</v>
      </c>
      <c r="E1280" s="37" t="s">
        <v>2883</v>
      </c>
      <c r="F1280" s="37" t="s">
        <v>4026</v>
      </c>
      <c r="G1280" s="38"/>
      <c r="H1280" s="38">
        <v>45615.44</v>
      </c>
      <c r="I1280" s="37"/>
      <c r="J1280" s="37"/>
      <c r="K1280" s="38"/>
      <c r="L1280" s="38"/>
    </row>
    <row r="1281" spans="2:12" ht="14.5" x14ac:dyDescent="0.35">
      <c r="B1281" s="46" t="s">
        <v>3589</v>
      </c>
      <c r="C1281" s="36">
        <v>45899</v>
      </c>
      <c r="D1281" s="36" t="s">
        <v>2144</v>
      </c>
      <c r="E1281" s="37" t="s">
        <v>2884</v>
      </c>
      <c r="F1281" s="37" t="s">
        <v>4026</v>
      </c>
      <c r="G1281" s="38"/>
      <c r="H1281" s="38">
        <v>383774.34000000026</v>
      </c>
      <c r="I1281" s="37"/>
      <c r="J1281" s="37"/>
      <c r="K1281" s="38"/>
      <c r="L1281" s="38"/>
    </row>
    <row r="1282" spans="2:12" ht="14.5" x14ac:dyDescent="0.35">
      <c r="B1282" s="46" t="s">
        <v>3589</v>
      </c>
      <c r="C1282" s="36">
        <v>45899</v>
      </c>
      <c r="D1282" s="36" t="s">
        <v>2144</v>
      </c>
      <c r="E1282" s="37" t="s">
        <v>2885</v>
      </c>
      <c r="F1282" s="37" t="s">
        <v>4026</v>
      </c>
      <c r="G1282" s="38"/>
      <c r="H1282" s="38">
        <v>33736.89</v>
      </c>
      <c r="I1282" s="37"/>
      <c r="J1282" s="37"/>
      <c r="K1282" s="38"/>
      <c r="L1282" s="38"/>
    </row>
    <row r="1283" spans="2:12" ht="14.5" x14ac:dyDescent="0.35">
      <c r="B1283" s="46" t="s">
        <v>3589</v>
      </c>
      <c r="C1283" s="36">
        <v>45899</v>
      </c>
      <c r="D1283" s="36" t="s">
        <v>2144</v>
      </c>
      <c r="E1283" s="37" t="s">
        <v>2886</v>
      </c>
      <c r="F1283" s="37" t="s">
        <v>4026</v>
      </c>
      <c r="G1283" s="38"/>
      <c r="H1283" s="38">
        <v>25299.780000000002</v>
      </c>
      <c r="I1283" s="37"/>
      <c r="J1283" s="37"/>
      <c r="K1283" s="38"/>
      <c r="L1283" s="38"/>
    </row>
    <row r="1284" spans="2:12" ht="14.5" x14ac:dyDescent="0.35">
      <c r="B1284" s="46" t="s">
        <v>3589</v>
      </c>
      <c r="C1284" s="36">
        <v>45899</v>
      </c>
      <c r="D1284" s="36" t="s">
        <v>2144</v>
      </c>
      <c r="E1284" s="37" t="s">
        <v>2887</v>
      </c>
      <c r="F1284" s="37" t="s">
        <v>4026</v>
      </c>
      <c r="G1284" s="38"/>
      <c r="H1284" s="38">
        <v>30410.11</v>
      </c>
      <c r="I1284" s="37"/>
      <c r="J1284" s="37"/>
      <c r="K1284" s="38"/>
      <c r="L1284" s="38"/>
    </row>
    <row r="1285" spans="2:12" ht="14.5" x14ac:dyDescent="0.35">
      <c r="B1285" s="46" t="s">
        <v>3589</v>
      </c>
      <c r="C1285" s="36">
        <v>45899</v>
      </c>
      <c r="D1285" s="36" t="s">
        <v>2539</v>
      </c>
      <c r="E1285" s="37" t="s">
        <v>2888</v>
      </c>
      <c r="F1285" s="37" t="s">
        <v>4026</v>
      </c>
      <c r="G1285" s="38"/>
      <c r="H1285" s="38">
        <v>2091.7599999999998</v>
      </c>
      <c r="I1285" s="37"/>
      <c r="J1285" s="37"/>
      <c r="K1285" s="38"/>
      <c r="L1285" s="38"/>
    </row>
    <row r="1286" spans="2:12" ht="14.5" x14ac:dyDescent="0.35">
      <c r="B1286" s="46" t="s">
        <v>3589</v>
      </c>
      <c r="C1286" s="36">
        <v>45899</v>
      </c>
      <c r="D1286" s="36" t="s">
        <v>2539</v>
      </c>
      <c r="E1286" s="37" t="s">
        <v>2889</v>
      </c>
      <c r="F1286" s="37" t="s">
        <v>4026</v>
      </c>
      <c r="G1286" s="38"/>
      <c r="H1286" s="38">
        <v>342.8</v>
      </c>
      <c r="I1286" s="37"/>
      <c r="J1286" s="37"/>
      <c r="K1286" s="38"/>
      <c r="L1286" s="38"/>
    </row>
    <row r="1287" spans="2:12" ht="14.5" x14ac:dyDescent="0.35">
      <c r="B1287" s="46" t="s">
        <v>3589</v>
      </c>
      <c r="C1287" s="36">
        <v>45899</v>
      </c>
      <c r="D1287" s="36" t="s">
        <v>2539</v>
      </c>
      <c r="E1287" s="37" t="s">
        <v>2890</v>
      </c>
      <c r="F1287" s="37" t="s">
        <v>4026</v>
      </c>
      <c r="G1287" s="38"/>
      <c r="H1287" s="38">
        <v>34.32</v>
      </c>
      <c r="I1287" s="37"/>
      <c r="J1287" s="37"/>
      <c r="K1287" s="38"/>
      <c r="L1287" s="38"/>
    </row>
    <row r="1288" spans="2:12" ht="14.5" x14ac:dyDescent="0.35">
      <c r="B1288" s="46" t="s">
        <v>3589</v>
      </c>
      <c r="C1288" s="36">
        <v>45899</v>
      </c>
      <c r="D1288" s="36" t="s">
        <v>1071</v>
      </c>
      <c r="E1288" s="37" t="s">
        <v>2891</v>
      </c>
      <c r="F1288" s="37" t="s">
        <v>4026</v>
      </c>
      <c r="G1288" s="38"/>
      <c r="H1288" s="38">
        <v>28.8</v>
      </c>
      <c r="I1288" s="37"/>
      <c r="J1288" s="37"/>
      <c r="K1288" s="38"/>
      <c r="L1288" s="38"/>
    </row>
    <row r="1289" spans="2:12" ht="14.5" x14ac:dyDescent="0.35">
      <c r="B1289" s="46" t="s">
        <v>3589</v>
      </c>
      <c r="C1289" s="36">
        <v>45899</v>
      </c>
      <c r="D1289" s="36" t="s">
        <v>1060</v>
      </c>
      <c r="E1289" s="37" t="s">
        <v>2893</v>
      </c>
      <c r="F1289" s="37" t="s">
        <v>4026</v>
      </c>
      <c r="G1289" s="38"/>
      <c r="H1289" s="38">
        <v>440</v>
      </c>
      <c r="I1289" s="37"/>
      <c r="J1289" s="37"/>
      <c r="K1289" s="38"/>
      <c r="L1289" s="38"/>
    </row>
    <row r="1290" spans="2:12" ht="14.5" x14ac:dyDescent="0.35">
      <c r="B1290" s="46" t="s">
        <v>3589</v>
      </c>
      <c r="C1290" s="36">
        <v>45899</v>
      </c>
      <c r="D1290" s="36" t="s">
        <v>2144</v>
      </c>
      <c r="E1290" s="37" t="s">
        <v>2895</v>
      </c>
      <c r="F1290" s="37" t="s">
        <v>4026</v>
      </c>
      <c r="G1290" s="38"/>
      <c r="H1290" s="38">
        <v>103.8</v>
      </c>
      <c r="I1290" s="37"/>
      <c r="J1290" s="37"/>
      <c r="K1290" s="38"/>
      <c r="L1290" s="38"/>
    </row>
    <row r="1291" spans="2:12" ht="14.5" x14ac:dyDescent="0.35">
      <c r="B1291" s="46" t="s">
        <v>3589</v>
      </c>
      <c r="C1291" s="36">
        <v>45899</v>
      </c>
      <c r="D1291" s="36" t="s">
        <v>1060</v>
      </c>
      <c r="E1291" s="37" t="s">
        <v>2896</v>
      </c>
      <c r="F1291" s="37" t="s">
        <v>4026</v>
      </c>
      <c r="G1291" s="38"/>
      <c r="H1291" s="38">
        <v>430.56</v>
      </c>
      <c r="I1291" s="37"/>
      <c r="J1291" s="37"/>
      <c r="K1291" s="38"/>
      <c r="L1291" s="38"/>
    </row>
    <row r="1292" spans="2:12" ht="14.5" x14ac:dyDescent="0.35">
      <c r="B1292" s="46" t="s">
        <v>3589</v>
      </c>
      <c r="C1292" s="36">
        <v>45899</v>
      </c>
      <c r="D1292" s="36" t="s">
        <v>1999</v>
      </c>
      <c r="E1292" s="37" t="s">
        <v>2897</v>
      </c>
      <c r="F1292" s="37" t="s">
        <v>4026</v>
      </c>
      <c r="G1292" s="38"/>
      <c r="H1292" s="38">
        <v>22788.969999999998</v>
      </c>
      <c r="I1292" s="37"/>
      <c r="J1292" s="37"/>
      <c r="K1292" s="38"/>
      <c r="L1292" s="38"/>
    </row>
    <row r="1293" spans="2:12" ht="14.5" x14ac:dyDescent="0.35">
      <c r="B1293" s="46" t="s">
        <v>3589</v>
      </c>
      <c r="C1293" s="36">
        <v>45899</v>
      </c>
      <c r="D1293" s="36" t="s">
        <v>1999</v>
      </c>
      <c r="E1293" s="37" t="s">
        <v>2898</v>
      </c>
      <c r="F1293" s="37" t="s">
        <v>4026</v>
      </c>
      <c r="G1293" s="38"/>
      <c r="H1293" s="38">
        <v>650.68000000000006</v>
      </c>
      <c r="I1293" s="37"/>
      <c r="J1293" s="37"/>
      <c r="K1293" s="38"/>
      <c r="L1293" s="38"/>
    </row>
    <row r="1294" spans="2:12" ht="14.5" x14ac:dyDescent="0.35">
      <c r="B1294" s="46" t="s">
        <v>3589</v>
      </c>
      <c r="C1294" s="36">
        <v>45899</v>
      </c>
      <c r="D1294" s="36" t="s">
        <v>1999</v>
      </c>
      <c r="E1294" s="37" t="s">
        <v>2899</v>
      </c>
      <c r="F1294" s="37" t="s">
        <v>4026</v>
      </c>
      <c r="G1294" s="38"/>
      <c r="H1294" s="38">
        <v>4202.9399999999996</v>
      </c>
      <c r="I1294" s="37"/>
      <c r="J1294" s="37"/>
      <c r="K1294" s="38"/>
      <c r="L1294" s="38"/>
    </row>
    <row r="1295" spans="2:12" ht="14.5" x14ac:dyDescent="0.35">
      <c r="B1295" s="46" t="s">
        <v>3589</v>
      </c>
      <c r="C1295" s="36">
        <v>45899</v>
      </c>
      <c r="D1295" s="36" t="s">
        <v>2396</v>
      </c>
      <c r="E1295" s="37" t="s">
        <v>2900</v>
      </c>
      <c r="F1295" s="37" t="s">
        <v>4026</v>
      </c>
      <c r="G1295" s="38"/>
      <c r="H1295" s="38">
        <v>53761.64</v>
      </c>
      <c r="I1295" s="37"/>
      <c r="J1295" s="37"/>
      <c r="K1295" s="38"/>
      <c r="L1295" s="38"/>
    </row>
    <row r="1296" spans="2:12" ht="14.5" x14ac:dyDescent="0.35">
      <c r="B1296" s="46" t="s">
        <v>3589</v>
      </c>
      <c r="C1296" s="36">
        <v>45899</v>
      </c>
      <c r="D1296" s="36" t="s">
        <v>2348</v>
      </c>
      <c r="E1296" s="37" t="s">
        <v>2901</v>
      </c>
      <c r="F1296" s="37" t="s">
        <v>4026</v>
      </c>
      <c r="G1296" s="38"/>
      <c r="H1296" s="38">
        <v>263.62</v>
      </c>
      <c r="I1296" s="37"/>
      <c r="J1296" s="37"/>
      <c r="K1296" s="38"/>
      <c r="L1296" s="38"/>
    </row>
    <row r="1297" spans="2:12" ht="14.5" x14ac:dyDescent="0.35">
      <c r="B1297" s="46" t="s">
        <v>3589</v>
      </c>
      <c r="C1297" s="36">
        <v>45899</v>
      </c>
      <c r="D1297" s="36" t="s">
        <v>1475</v>
      </c>
      <c r="E1297" s="37" t="s">
        <v>2902</v>
      </c>
      <c r="F1297" s="37" t="s">
        <v>4026</v>
      </c>
      <c r="G1297" s="38"/>
      <c r="H1297" s="38">
        <v>3353.54</v>
      </c>
      <c r="I1297" s="37"/>
      <c r="J1297" s="37"/>
      <c r="K1297" s="38"/>
      <c r="L1297" s="38"/>
    </row>
    <row r="1298" spans="2:12" ht="14.5" x14ac:dyDescent="0.35">
      <c r="B1298" s="46" t="s">
        <v>3589</v>
      </c>
      <c r="C1298" s="36">
        <v>45899</v>
      </c>
      <c r="D1298" s="36" t="s">
        <v>1475</v>
      </c>
      <c r="E1298" s="37" t="s">
        <v>2903</v>
      </c>
      <c r="F1298" s="37" t="s">
        <v>4026</v>
      </c>
      <c r="G1298" s="38"/>
      <c r="H1298" s="38">
        <v>397.96</v>
      </c>
      <c r="I1298" s="37"/>
      <c r="J1298" s="37"/>
      <c r="K1298" s="38"/>
      <c r="L1298" s="38"/>
    </row>
    <row r="1299" spans="2:12" ht="14.5" x14ac:dyDescent="0.35">
      <c r="B1299" s="46" t="s">
        <v>3589</v>
      </c>
      <c r="C1299" s="36">
        <v>45899</v>
      </c>
      <c r="D1299" s="36" t="s">
        <v>1475</v>
      </c>
      <c r="E1299" s="37" t="s">
        <v>2905</v>
      </c>
      <c r="F1299" s="37" t="s">
        <v>4026</v>
      </c>
      <c r="G1299" s="38"/>
      <c r="H1299" s="38">
        <v>2697.03</v>
      </c>
      <c r="I1299" s="37"/>
      <c r="J1299" s="37"/>
      <c r="K1299" s="38"/>
      <c r="L1299" s="38"/>
    </row>
    <row r="1300" spans="2:12" ht="14.5" x14ac:dyDescent="0.35">
      <c r="B1300" s="46" t="s">
        <v>3589</v>
      </c>
      <c r="C1300" s="36">
        <v>45899</v>
      </c>
      <c r="D1300" s="36" t="s">
        <v>1475</v>
      </c>
      <c r="E1300" s="37" t="s">
        <v>2907</v>
      </c>
      <c r="F1300" s="37" t="s">
        <v>4026</v>
      </c>
      <c r="G1300" s="38"/>
      <c r="H1300" s="38">
        <v>5880</v>
      </c>
      <c r="I1300" s="37"/>
      <c r="J1300" s="37"/>
      <c r="K1300" s="38"/>
      <c r="L1300" s="38"/>
    </row>
    <row r="1301" spans="2:12" ht="14.5" x14ac:dyDescent="0.35">
      <c r="B1301" s="46" t="s">
        <v>3589</v>
      </c>
      <c r="C1301" s="36">
        <v>45899</v>
      </c>
      <c r="D1301" s="36" t="s">
        <v>1475</v>
      </c>
      <c r="E1301" s="37" t="s">
        <v>2908</v>
      </c>
      <c r="F1301" s="37" t="s">
        <v>4026</v>
      </c>
      <c r="G1301" s="38"/>
      <c r="H1301" s="38">
        <v>3137.74</v>
      </c>
      <c r="I1301" s="37"/>
      <c r="J1301" s="37"/>
      <c r="K1301" s="38"/>
      <c r="L1301" s="38"/>
    </row>
    <row r="1302" spans="2:12" ht="14.5" x14ac:dyDescent="0.35">
      <c r="B1302" s="46" t="s">
        <v>3589</v>
      </c>
      <c r="C1302" s="36">
        <v>45899</v>
      </c>
      <c r="D1302" s="36" t="s">
        <v>1475</v>
      </c>
      <c r="E1302" s="37" t="s">
        <v>2909</v>
      </c>
      <c r="F1302" s="37" t="s">
        <v>4026</v>
      </c>
      <c r="G1302" s="38"/>
      <c r="H1302" s="38">
        <v>4757.88</v>
      </c>
      <c r="I1302" s="37"/>
      <c r="J1302" s="37"/>
      <c r="K1302" s="38"/>
      <c r="L1302" s="38"/>
    </row>
    <row r="1303" spans="2:12" ht="14.5" x14ac:dyDescent="0.35">
      <c r="B1303" s="46" t="s">
        <v>3589</v>
      </c>
      <c r="C1303" s="36">
        <v>45899</v>
      </c>
      <c r="D1303" s="36" t="s">
        <v>1475</v>
      </c>
      <c r="E1303" s="37" t="s">
        <v>2910</v>
      </c>
      <c r="F1303" s="37" t="s">
        <v>4026</v>
      </c>
      <c r="G1303" s="38"/>
      <c r="H1303" s="38">
        <v>6503.2</v>
      </c>
      <c r="I1303" s="37"/>
      <c r="J1303" s="37"/>
      <c r="K1303" s="38"/>
      <c r="L1303" s="38"/>
    </row>
    <row r="1304" spans="2:12" ht="14.5" x14ac:dyDescent="0.35">
      <c r="B1304" s="46" t="s">
        <v>3589</v>
      </c>
      <c r="C1304" s="36">
        <v>45899</v>
      </c>
      <c r="D1304" s="36" t="s">
        <v>1475</v>
      </c>
      <c r="E1304" s="37" t="s">
        <v>2911</v>
      </c>
      <c r="F1304" s="37" t="s">
        <v>4026</v>
      </c>
      <c r="G1304" s="38"/>
      <c r="H1304" s="38">
        <v>13181.989999999998</v>
      </c>
      <c r="I1304" s="37"/>
      <c r="J1304" s="37"/>
      <c r="K1304" s="38"/>
      <c r="L1304" s="38"/>
    </row>
    <row r="1305" spans="2:12" ht="14.5" x14ac:dyDescent="0.35">
      <c r="B1305" s="46" t="s">
        <v>3589</v>
      </c>
      <c r="C1305" s="36">
        <v>45899</v>
      </c>
      <c r="D1305" s="36" t="s">
        <v>1475</v>
      </c>
      <c r="E1305" s="37" t="s">
        <v>2912</v>
      </c>
      <c r="F1305" s="37" t="s">
        <v>4026</v>
      </c>
      <c r="G1305" s="38"/>
      <c r="H1305" s="38">
        <v>111.87</v>
      </c>
      <c r="I1305" s="37"/>
      <c r="J1305" s="37"/>
      <c r="K1305" s="38"/>
      <c r="L1305" s="38"/>
    </row>
    <row r="1306" spans="2:12" ht="14.5" x14ac:dyDescent="0.35">
      <c r="B1306" s="46" t="s">
        <v>3589</v>
      </c>
      <c r="C1306" s="36">
        <v>45899</v>
      </c>
      <c r="D1306" s="36" t="s">
        <v>1475</v>
      </c>
      <c r="E1306" s="37" t="s">
        <v>2913</v>
      </c>
      <c r="F1306" s="37" t="s">
        <v>4026</v>
      </c>
      <c r="G1306" s="38"/>
      <c r="H1306" s="38">
        <v>1572</v>
      </c>
      <c r="I1306" s="37"/>
      <c r="J1306" s="37"/>
      <c r="K1306" s="38"/>
      <c r="L1306" s="38"/>
    </row>
    <row r="1307" spans="2:12" ht="14.5" x14ac:dyDescent="0.35">
      <c r="B1307" s="46" t="s">
        <v>3589</v>
      </c>
      <c r="C1307" s="36">
        <v>45899</v>
      </c>
      <c r="D1307" s="36" t="s">
        <v>1475</v>
      </c>
      <c r="E1307" s="37" t="s">
        <v>2914</v>
      </c>
      <c r="F1307" s="37" t="s">
        <v>4026</v>
      </c>
      <c r="G1307" s="38"/>
      <c r="H1307" s="38">
        <v>195.2</v>
      </c>
      <c r="I1307" s="37"/>
      <c r="J1307" s="37"/>
      <c r="K1307" s="38"/>
      <c r="L1307" s="38"/>
    </row>
    <row r="1308" spans="2:12" ht="14.5" x14ac:dyDescent="0.35">
      <c r="B1308" s="46" t="s">
        <v>3589</v>
      </c>
      <c r="C1308" s="36">
        <v>45899</v>
      </c>
      <c r="D1308" s="36" t="s">
        <v>1475</v>
      </c>
      <c r="E1308" s="37" t="s">
        <v>2915</v>
      </c>
      <c r="F1308" s="37" t="s">
        <v>4026</v>
      </c>
      <c r="G1308" s="38"/>
      <c r="H1308" s="38">
        <v>536.79999999999995</v>
      </c>
      <c r="I1308" s="37"/>
      <c r="J1308" s="37"/>
      <c r="K1308" s="38"/>
      <c r="L1308" s="38"/>
    </row>
    <row r="1309" spans="2:12" ht="14.5" x14ac:dyDescent="0.35">
      <c r="B1309" s="46" t="s">
        <v>3589</v>
      </c>
      <c r="C1309" s="36">
        <v>45899</v>
      </c>
      <c r="D1309" s="36" t="s">
        <v>1475</v>
      </c>
      <c r="E1309" s="37" t="s">
        <v>2916</v>
      </c>
      <c r="F1309" s="37" t="s">
        <v>4026</v>
      </c>
      <c r="G1309" s="38"/>
      <c r="H1309" s="38">
        <v>538.29999999999995</v>
      </c>
      <c r="I1309" s="37"/>
      <c r="J1309" s="37"/>
      <c r="K1309" s="38"/>
      <c r="L1309" s="38"/>
    </row>
    <row r="1310" spans="2:12" ht="14.5" x14ac:dyDescent="0.35">
      <c r="B1310" s="46" t="s">
        <v>3589</v>
      </c>
      <c r="C1310" s="36">
        <v>45899</v>
      </c>
      <c r="D1310" s="36" t="s">
        <v>1475</v>
      </c>
      <c r="E1310" s="37" t="s">
        <v>2917</v>
      </c>
      <c r="F1310" s="37" t="s">
        <v>4026</v>
      </c>
      <c r="G1310" s="38"/>
      <c r="H1310" s="38">
        <v>230</v>
      </c>
      <c r="I1310" s="37"/>
      <c r="J1310" s="37"/>
      <c r="K1310" s="38"/>
      <c r="L1310" s="38"/>
    </row>
    <row r="1311" spans="2:12" ht="14.5" x14ac:dyDescent="0.35">
      <c r="B1311" s="46" t="s">
        <v>3589</v>
      </c>
      <c r="C1311" s="36">
        <v>45899</v>
      </c>
      <c r="D1311" s="36" t="s">
        <v>1475</v>
      </c>
      <c r="E1311" s="37" t="s">
        <v>2918</v>
      </c>
      <c r="F1311" s="37" t="s">
        <v>4026</v>
      </c>
      <c r="G1311" s="38"/>
      <c r="H1311" s="38">
        <v>7800.04</v>
      </c>
      <c r="I1311" s="37"/>
      <c r="J1311" s="37"/>
      <c r="K1311" s="38"/>
      <c r="L1311" s="38"/>
    </row>
    <row r="1312" spans="2:12" ht="14.5" x14ac:dyDescent="0.35">
      <c r="B1312" s="46" t="s">
        <v>3589</v>
      </c>
      <c r="C1312" s="36">
        <v>45899</v>
      </c>
      <c r="D1312" s="36" t="s">
        <v>1475</v>
      </c>
      <c r="E1312" s="37" t="s">
        <v>2919</v>
      </c>
      <c r="F1312" s="37" t="s">
        <v>4026</v>
      </c>
      <c r="G1312" s="38"/>
      <c r="H1312" s="38">
        <v>37.49</v>
      </c>
      <c r="I1312" s="37"/>
      <c r="J1312" s="37"/>
      <c r="K1312" s="38"/>
      <c r="L1312" s="38"/>
    </row>
    <row r="1313" spans="2:12" ht="14.5" x14ac:dyDescent="0.35">
      <c r="B1313" s="46" t="s">
        <v>3589</v>
      </c>
      <c r="C1313" s="36">
        <v>45899</v>
      </c>
      <c r="D1313" s="36" t="s">
        <v>1475</v>
      </c>
      <c r="E1313" s="37" t="s">
        <v>2920</v>
      </c>
      <c r="F1313" s="37" t="s">
        <v>4026</v>
      </c>
      <c r="G1313" s="38"/>
      <c r="H1313" s="38">
        <v>1129.8900000000001</v>
      </c>
      <c r="I1313" s="37"/>
      <c r="J1313" s="37"/>
      <c r="K1313" s="38"/>
      <c r="L1313" s="38"/>
    </row>
    <row r="1314" spans="2:12" ht="14.5" x14ac:dyDescent="0.35">
      <c r="B1314" s="46" t="s">
        <v>3589</v>
      </c>
      <c r="C1314" s="36">
        <v>45899</v>
      </c>
      <c r="D1314" s="36" t="s">
        <v>1475</v>
      </c>
      <c r="E1314" s="37" t="s">
        <v>2922</v>
      </c>
      <c r="F1314" s="37" t="s">
        <v>4026</v>
      </c>
      <c r="G1314" s="38"/>
      <c r="H1314" s="38">
        <v>611.6</v>
      </c>
      <c r="I1314" s="37"/>
      <c r="J1314" s="37"/>
      <c r="K1314" s="38"/>
      <c r="L1314" s="38"/>
    </row>
    <row r="1315" spans="2:12" ht="14.5" x14ac:dyDescent="0.35">
      <c r="B1315" s="46" t="s">
        <v>3589</v>
      </c>
      <c r="C1315" s="36">
        <v>45899</v>
      </c>
      <c r="D1315" s="36" t="s">
        <v>1475</v>
      </c>
      <c r="E1315" s="37" t="s">
        <v>2924</v>
      </c>
      <c r="F1315" s="37" t="s">
        <v>4026</v>
      </c>
      <c r="G1315" s="38"/>
      <c r="H1315" s="38">
        <v>15.600000000000001</v>
      </c>
      <c r="I1315" s="37"/>
      <c r="J1315" s="37"/>
      <c r="K1315" s="38"/>
      <c r="L1315" s="38"/>
    </row>
    <row r="1316" spans="2:12" ht="14.5" x14ac:dyDescent="0.35">
      <c r="B1316" s="46" t="s">
        <v>3589</v>
      </c>
      <c r="C1316" s="36">
        <v>45899</v>
      </c>
      <c r="D1316" s="36" t="s">
        <v>1475</v>
      </c>
      <c r="E1316" s="37" t="s">
        <v>2925</v>
      </c>
      <c r="F1316" s="37" t="s">
        <v>4026</v>
      </c>
      <c r="G1316" s="38"/>
      <c r="H1316" s="38">
        <v>326.93</v>
      </c>
      <c r="I1316" s="37"/>
      <c r="J1316" s="37"/>
      <c r="K1316" s="38"/>
      <c r="L1316" s="38"/>
    </row>
    <row r="1317" spans="2:12" ht="14.5" x14ac:dyDescent="0.35">
      <c r="B1317" s="46" t="s">
        <v>3589</v>
      </c>
      <c r="C1317" s="36">
        <v>45899</v>
      </c>
      <c r="D1317" s="36" t="s">
        <v>1277</v>
      </c>
      <c r="E1317" s="37">
        <v>35818</v>
      </c>
      <c r="F1317" s="37" t="s">
        <v>4026</v>
      </c>
      <c r="G1317" s="38"/>
      <c r="H1317" s="38">
        <v>5048.58</v>
      </c>
      <c r="I1317" s="37"/>
      <c r="J1317" s="37"/>
      <c r="K1317" s="38"/>
      <c r="L1317" s="38"/>
    </row>
    <row r="1318" spans="2:12" ht="14.5" x14ac:dyDescent="0.35">
      <c r="B1318" s="46" t="s">
        <v>3589</v>
      </c>
      <c r="C1318" s="36">
        <v>45899</v>
      </c>
      <c r="D1318" s="36" t="s">
        <v>1277</v>
      </c>
      <c r="E1318" s="37" t="s">
        <v>2927</v>
      </c>
      <c r="F1318" s="37" t="s">
        <v>4026</v>
      </c>
      <c r="G1318" s="38"/>
      <c r="H1318" s="38">
        <v>12446.470000000001</v>
      </c>
      <c r="I1318" s="37"/>
      <c r="J1318" s="37"/>
      <c r="K1318" s="38"/>
      <c r="L1318" s="38"/>
    </row>
    <row r="1319" spans="2:12" ht="14.5" x14ac:dyDescent="0.35">
      <c r="B1319" s="46" t="s">
        <v>3589</v>
      </c>
      <c r="C1319" s="36">
        <v>45899</v>
      </c>
      <c r="D1319" s="36" t="s">
        <v>1947</v>
      </c>
      <c r="E1319" s="37" t="s">
        <v>2928</v>
      </c>
      <c r="F1319" s="37" t="s">
        <v>4026</v>
      </c>
      <c r="G1319" s="38"/>
      <c r="H1319" s="38">
        <v>243.83</v>
      </c>
      <c r="I1319" s="37"/>
      <c r="J1319" s="37"/>
      <c r="K1319" s="38"/>
      <c r="L1319" s="38"/>
    </row>
    <row r="1320" spans="2:12" ht="14.5" x14ac:dyDescent="0.35">
      <c r="B1320" s="46" t="s">
        <v>3589</v>
      </c>
      <c r="C1320" s="36">
        <v>45899</v>
      </c>
      <c r="D1320" s="36" t="s">
        <v>1947</v>
      </c>
      <c r="E1320" s="37" t="s">
        <v>2929</v>
      </c>
      <c r="F1320" s="37" t="s">
        <v>4026</v>
      </c>
      <c r="G1320" s="38"/>
      <c r="H1320" s="38">
        <v>400</v>
      </c>
      <c r="I1320" s="37"/>
      <c r="J1320" s="37"/>
      <c r="K1320" s="38"/>
      <c r="L1320" s="38"/>
    </row>
    <row r="1321" spans="2:12" ht="14.5" x14ac:dyDescent="0.35">
      <c r="B1321" s="46" t="s">
        <v>3589</v>
      </c>
      <c r="C1321" s="36">
        <v>45899</v>
      </c>
      <c r="D1321" s="36" t="s">
        <v>1947</v>
      </c>
      <c r="E1321" s="37" t="s">
        <v>2930</v>
      </c>
      <c r="F1321" s="37" t="s">
        <v>4026</v>
      </c>
      <c r="G1321" s="38"/>
      <c r="H1321" s="38">
        <v>818.46</v>
      </c>
      <c r="I1321" s="37"/>
      <c r="J1321" s="37"/>
      <c r="K1321" s="38"/>
      <c r="L1321" s="38"/>
    </row>
    <row r="1322" spans="2:12" ht="14.5" x14ac:dyDescent="0.35">
      <c r="B1322" s="46" t="s">
        <v>3589</v>
      </c>
      <c r="C1322" s="36">
        <v>45899</v>
      </c>
      <c r="D1322" s="36" t="s">
        <v>1947</v>
      </c>
      <c r="E1322" s="37" t="s">
        <v>2932</v>
      </c>
      <c r="F1322" s="37" t="s">
        <v>4026</v>
      </c>
      <c r="G1322" s="38"/>
      <c r="H1322" s="38">
        <v>257.77</v>
      </c>
      <c r="I1322" s="37"/>
      <c r="J1322" s="37"/>
      <c r="K1322" s="38"/>
      <c r="L1322" s="38"/>
    </row>
    <row r="1323" spans="2:12" ht="14.5" x14ac:dyDescent="0.35">
      <c r="B1323" s="46" t="s">
        <v>3589</v>
      </c>
      <c r="C1323" s="36">
        <v>45899</v>
      </c>
      <c r="D1323" s="36" t="s">
        <v>1947</v>
      </c>
      <c r="E1323" s="37" t="s">
        <v>2933</v>
      </c>
      <c r="F1323" s="37" t="s">
        <v>4026</v>
      </c>
      <c r="G1323" s="38"/>
      <c r="H1323" s="38">
        <v>30.95</v>
      </c>
      <c r="I1323" s="37"/>
      <c r="J1323" s="37"/>
      <c r="K1323" s="38"/>
      <c r="L1323" s="38"/>
    </row>
    <row r="1324" spans="2:12" ht="14.5" x14ac:dyDescent="0.35">
      <c r="B1324" s="46" t="s">
        <v>3589</v>
      </c>
      <c r="C1324" s="36">
        <v>45899</v>
      </c>
      <c r="D1324" s="36" t="s">
        <v>1947</v>
      </c>
      <c r="E1324" s="37" t="s">
        <v>2934</v>
      </c>
      <c r="F1324" s="37" t="s">
        <v>4026</v>
      </c>
      <c r="G1324" s="38"/>
      <c r="H1324" s="38">
        <v>4960.3</v>
      </c>
      <c r="I1324" s="37"/>
      <c r="J1324" s="37"/>
      <c r="K1324" s="38"/>
      <c r="L1324" s="38"/>
    </row>
    <row r="1325" spans="2:12" ht="14.5" x14ac:dyDescent="0.35">
      <c r="B1325" s="46" t="s">
        <v>3589</v>
      </c>
      <c r="C1325" s="36">
        <v>45899</v>
      </c>
      <c r="D1325" s="36" t="s">
        <v>2086</v>
      </c>
      <c r="E1325" s="37" t="s">
        <v>2935</v>
      </c>
      <c r="F1325" s="37" t="s">
        <v>4026</v>
      </c>
      <c r="G1325" s="38"/>
      <c r="H1325" s="38">
        <v>130.69999999999999</v>
      </c>
      <c r="I1325" s="37"/>
      <c r="J1325" s="37"/>
      <c r="K1325" s="38"/>
      <c r="L1325" s="38"/>
    </row>
    <row r="1326" spans="2:12" ht="14.5" x14ac:dyDescent="0.35">
      <c r="B1326" s="46" t="s">
        <v>3589</v>
      </c>
      <c r="C1326" s="36">
        <v>45899</v>
      </c>
      <c r="D1326" s="36" t="s">
        <v>2086</v>
      </c>
      <c r="E1326" s="37" t="s">
        <v>2936</v>
      </c>
      <c r="F1326" s="37" t="s">
        <v>4026</v>
      </c>
      <c r="G1326" s="38"/>
      <c r="H1326" s="38">
        <v>134.66</v>
      </c>
      <c r="I1326" s="37"/>
      <c r="J1326" s="37"/>
      <c r="K1326" s="38"/>
      <c r="L1326" s="38"/>
    </row>
    <row r="1327" spans="2:12" ht="14.5" x14ac:dyDescent="0.35">
      <c r="B1327" s="46" t="s">
        <v>3589</v>
      </c>
      <c r="C1327" s="36">
        <v>45899</v>
      </c>
      <c r="D1327" s="36" t="s">
        <v>2424</v>
      </c>
      <c r="E1327" s="37" t="s">
        <v>2937</v>
      </c>
      <c r="F1327" s="37" t="s">
        <v>4026</v>
      </c>
      <c r="G1327" s="38"/>
      <c r="H1327" s="38">
        <v>726.72</v>
      </c>
      <c r="I1327" s="37"/>
      <c r="J1327" s="37"/>
      <c r="K1327" s="38"/>
      <c r="L1327" s="38"/>
    </row>
    <row r="1328" spans="2:12" ht="14.5" x14ac:dyDescent="0.35">
      <c r="B1328" s="46" t="s">
        <v>3589</v>
      </c>
      <c r="C1328" s="36">
        <v>45899</v>
      </c>
      <c r="D1328" s="36" t="s">
        <v>2424</v>
      </c>
      <c r="E1328" s="37" t="s">
        <v>2938</v>
      </c>
      <c r="F1328" s="37" t="s">
        <v>4026</v>
      </c>
      <c r="G1328" s="38"/>
      <c r="H1328" s="38">
        <v>1920.77</v>
      </c>
      <c r="I1328" s="37"/>
      <c r="J1328" s="37"/>
      <c r="K1328" s="38"/>
      <c r="L1328" s="38"/>
    </row>
    <row r="1329" spans="2:12" ht="14.5" x14ac:dyDescent="0.35">
      <c r="B1329" s="46" t="s">
        <v>3589</v>
      </c>
      <c r="C1329" s="36">
        <v>45899</v>
      </c>
      <c r="D1329" s="36" t="s">
        <v>2424</v>
      </c>
      <c r="E1329" s="37" t="s">
        <v>2940</v>
      </c>
      <c r="F1329" s="37" t="s">
        <v>4026</v>
      </c>
      <c r="G1329" s="38"/>
      <c r="H1329" s="38">
        <v>899.78</v>
      </c>
      <c r="I1329" s="37"/>
      <c r="J1329" s="37"/>
      <c r="K1329" s="38"/>
      <c r="L1329" s="38"/>
    </row>
    <row r="1330" spans="2:12" ht="14.5" x14ac:dyDescent="0.35">
      <c r="B1330" s="46" t="s">
        <v>3589</v>
      </c>
      <c r="C1330" s="36">
        <v>45899</v>
      </c>
      <c r="D1330" s="36" t="s">
        <v>2424</v>
      </c>
      <c r="E1330" s="37" t="s">
        <v>2941</v>
      </c>
      <c r="F1330" s="37" t="s">
        <v>4026</v>
      </c>
      <c r="G1330" s="38"/>
      <c r="H1330" s="38">
        <v>152.97</v>
      </c>
      <c r="I1330" s="37"/>
      <c r="J1330" s="37"/>
      <c r="K1330" s="38"/>
      <c r="L1330" s="38"/>
    </row>
    <row r="1331" spans="2:12" ht="14.5" x14ac:dyDescent="0.35">
      <c r="B1331" s="46" t="s">
        <v>3589</v>
      </c>
      <c r="C1331" s="36">
        <v>45899</v>
      </c>
      <c r="D1331" s="36" t="s">
        <v>2424</v>
      </c>
      <c r="E1331" s="37" t="s">
        <v>2942</v>
      </c>
      <c r="F1331" s="37" t="s">
        <v>4026</v>
      </c>
      <c r="G1331" s="38"/>
      <c r="H1331" s="38">
        <v>166.37</v>
      </c>
      <c r="I1331" s="37"/>
      <c r="J1331" s="37"/>
      <c r="K1331" s="38"/>
      <c r="L1331" s="38"/>
    </row>
    <row r="1332" spans="2:12" ht="14.5" x14ac:dyDescent="0.35">
      <c r="B1332" s="46" t="s">
        <v>3589</v>
      </c>
      <c r="C1332" s="36">
        <v>45899</v>
      </c>
      <c r="D1332" s="36" t="s">
        <v>3356</v>
      </c>
      <c r="E1332" s="37" t="s">
        <v>2944</v>
      </c>
      <c r="F1332" s="37" t="s">
        <v>4026</v>
      </c>
      <c r="G1332" s="38"/>
      <c r="H1332" s="38">
        <v>129.94</v>
      </c>
      <c r="I1332" s="37"/>
      <c r="J1332" s="37"/>
      <c r="K1332" s="38"/>
      <c r="L1332" s="38"/>
    </row>
    <row r="1333" spans="2:12" ht="14.5" x14ac:dyDescent="0.35">
      <c r="B1333" s="46" t="s">
        <v>3589</v>
      </c>
      <c r="C1333" s="36">
        <v>45899</v>
      </c>
      <c r="D1333" s="36" t="s">
        <v>2462</v>
      </c>
      <c r="E1333" s="37" t="s">
        <v>2945</v>
      </c>
      <c r="F1333" s="37" t="s">
        <v>4026</v>
      </c>
      <c r="G1333" s="38"/>
      <c r="H1333" s="38">
        <v>1558.54</v>
      </c>
      <c r="I1333" s="37"/>
      <c r="J1333" s="37"/>
      <c r="K1333" s="38"/>
      <c r="L1333" s="38"/>
    </row>
    <row r="1334" spans="2:12" ht="14.5" x14ac:dyDescent="0.35">
      <c r="B1334" s="46" t="s">
        <v>3589</v>
      </c>
      <c r="C1334" s="36">
        <v>45899</v>
      </c>
      <c r="D1334" s="36" t="s">
        <v>2462</v>
      </c>
      <c r="E1334" s="37" t="s">
        <v>2946</v>
      </c>
      <c r="F1334" s="37" t="s">
        <v>4026</v>
      </c>
      <c r="G1334" s="38"/>
      <c r="H1334" s="38">
        <v>1074.75</v>
      </c>
      <c r="I1334" s="37"/>
      <c r="J1334" s="37"/>
      <c r="K1334" s="38"/>
      <c r="L1334" s="38"/>
    </row>
    <row r="1335" spans="2:12" ht="14.5" x14ac:dyDescent="0.35">
      <c r="B1335" s="46" t="s">
        <v>3589</v>
      </c>
      <c r="C1335" s="36">
        <v>45899</v>
      </c>
      <c r="D1335" s="36" t="s">
        <v>2541</v>
      </c>
      <c r="E1335" s="37" t="s">
        <v>2947</v>
      </c>
      <c r="F1335" s="37" t="s">
        <v>4026</v>
      </c>
      <c r="G1335" s="38"/>
      <c r="H1335" s="38">
        <v>414.2</v>
      </c>
      <c r="I1335" s="37"/>
      <c r="J1335" s="37"/>
      <c r="K1335" s="38"/>
      <c r="L1335" s="38"/>
    </row>
    <row r="1336" spans="2:12" ht="14.5" x14ac:dyDescent="0.35">
      <c r="B1336" s="46" t="s">
        <v>3589</v>
      </c>
      <c r="C1336" s="36">
        <v>45899</v>
      </c>
      <c r="D1336" s="36" t="s">
        <v>2541</v>
      </c>
      <c r="E1336" s="37" t="s">
        <v>2948</v>
      </c>
      <c r="F1336" s="37" t="s">
        <v>4026</v>
      </c>
      <c r="G1336" s="38"/>
      <c r="H1336" s="38">
        <v>3.8</v>
      </c>
      <c r="I1336" s="37"/>
      <c r="J1336" s="37"/>
      <c r="K1336" s="38"/>
      <c r="L1336" s="38"/>
    </row>
    <row r="1337" spans="2:12" ht="14.5" x14ac:dyDescent="0.35">
      <c r="B1337" s="46" t="s">
        <v>3589</v>
      </c>
      <c r="C1337" s="36">
        <v>45899</v>
      </c>
      <c r="D1337" s="36" t="s">
        <v>2541</v>
      </c>
      <c r="E1337" s="37" t="s">
        <v>2949</v>
      </c>
      <c r="F1337" s="37" t="s">
        <v>4026</v>
      </c>
      <c r="G1337" s="38"/>
      <c r="H1337" s="38">
        <v>56.75</v>
      </c>
      <c r="I1337" s="37"/>
      <c r="J1337" s="37"/>
      <c r="K1337" s="38"/>
      <c r="L1337" s="38"/>
    </row>
    <row r="1338" spans="2:12" ht="14.5" x14ac:dyDescent="0.35">
      <c r="B1338" s="46" t="s">
        <v>3589</v>
      </c>
      <c r="C1338" s="36">
        <v>45899</v>
      </c>
      <c r="D1338" s="36" t="s">
        <v>3148</v>
      </c>
      <c r="E1338" s="37" t="s">
        <v>2950</v>
      </c>
      <c r="F1338" s="37" t="s">
        <v>4026</v>
      </c>
      <c r="G1338" s="38"/>
      <c r="H1338" s="38">
        <v>1379.68</v>
      </c>
      <c r="I1338" s="37"/>
      <c r="J1338" s="37"/>
      <c r="K1338" s="38"/>
      <c r="L1338" s="38"/>
    </row>
    <row r="1339" spans="2:12" ht="14.5" x14ac:dyDescent="0.35">
      <c r="B1339" s="46" t="s">
        <v>3589</v>
      </c>
      <c r="C1339" s="36">
        <v>45899</v>
      </c>
      <c r="D1339" s="36" t="s">
        <v>3148</v>
      </c>
      <c r="E1339" s="37" t="s">
        <v>2951</v>
      </c>
      <c r="F1339" s="37" t="s">
        <v>4026</v>
      </c>
      <c r="G1339" s="38"/>
      <c r="H1339" s="38">
        <v>56.94</v>
      </c>
      <c r="I1339" s="37"/>
      <c r="J1339" s="37"/>
      <c r="K1339" s="38"/>
      <c r="L1339" s="38"/>
    </row>
    <row r="1340" spans="2:12" ht="14.5" x14ac:dyDescent="0.35">
      <c r="B1340" s="46" t="s">
        <v>3589</v>
      </c>
      <c r="C1340" s="36">
        <v>45899</v>
      </c>
      <c r="D1340" s="36" t="s">
        <v>2462</v>
      </c>
      <c r="E1340" s="37" t="s">
        <v>2952</v>
      </c>
      <c r="F1340" s="37" t="s">
        <v>4026</v>
      </c>
      <c r="G1340" s="38"/>
      <c r="H1340" s="38">
        <v>44.82</v>
      </c>
      <c r="I1340" s="37"/>
      <c r="J1340" s="37"/>
      <c r="K1340" s="38"/>
      <c r="L1340" s="38"/>
    </row>
    <row r="1341" spans="2:12" ht="14.5" x14ac:dyDescent="0.35">
      <c r="B1341" s="46" t="s">
        <v>3589</v>
      </c>
      <c r="C1341" s="36">
        <v>45899</v>
      </c>
      <c r="D1341" s="36" t="s">
        <v>3359</v>
      </c>
      <c r="E1341" s="37" t="s">
        <v>2953</v>
      </c>
      <c r="F1341" s="37" t="s">
        <v>4026</v>
      </c>
      <c r="G1341" s="38"/>
      <c r="H1341" s="38">
        <v>4734.3999999999996</v>
      </c>
      <c r="I1341" s="37"/>
      <c r="J1341" s="37"/>
      <c r="K1341" s="38"/>
      <c r="L1341" s="38"/>
    </row>
    <row r="1342" spans="2:12" ht="14.5" x14ac:dyDescent="0.35">
      <c r="B1342" s="46" t="s">
        <v>3589</v>
      </c>
      <c r="C1342" s="36">
        <v>45899</v>
      </c>
      <c r="D1342" s="36" t="s">
        <v>3359</v>
      </c>
      <c r="E1342" s="37" t="s">
        <v>2954</v>
      </c>
      <c r="F1342" s="37" t="s">
        <v>4026</v>
      </c>
      <c r="G1342" s="38"/>
      <c r="H1342" s="38">
        <v>1273.8</v>
      </c>
      <c r="I1342" s="37"/>
      <c r="J1342" s="37"/>
      <c r="K1342" s="38"/>
      <c r="L1342" s="38"/>
    </row>
    <row r="1343" spans="2:12" ht="14.5" x14ac:dyDescent="0.35">
      <c r="B1343" s="46" t="s">
        <v>3589</v>
      </c>
      <c r="C1343" s="36">
        <v>45899</v>
      </c>
      <c r="D1343" s="36" t="s">
        <v>3359</v>
      </c>
      <c r="E1343" s="37" t="s">
        <v>2955</v>
      </c>
      <c r="F1343" s="37" t="s">
        <v>4026</v>
      </c>
      <c r="G1343" s="38"/>
      <c r="H1343" s="38">
        <v>764.38</v>
      </c>
      <c r="I1343" s="37"/>
      <c r="J1343" s="37"/>
      <c r="K1343" s="38"/>
      <c r="L1343" s="38"/>
    </row>
    <row r="1344" spans="2:12" ht="14.5" x14ac:dyDescent="0.35">
      <c r="B1344" s="46" t="s">
        <v>3589</v>
      </c>
      <c r="C1344" s="36">
        <v>45899</v>
      </c>
      <c r="D1344" s="36" t="s">
        <v>3359</v>
      </c>
      <c r="E1344" s="37" t="s">
        <v>2956</v>
      </c>
      <c r="F1344" s="37" t="s">
        <v>4026</v>
      </c>
      <c r="G1344" s="38"/>
      <c r="H1344" s="38">
        <v>1574.8799999999999</v>
      </c>
      <c r="I1344" s="37"/>
      <c r="J1344" s="37"/>
      <c r="K1344" s="38"/>
      <c r="L1344" s="38"/>
    </row>
    <row r="1345" spans="2:12" ht="14.5" x14ac:dyDescent="0.35">
      <c r="B1345" s="46" t="s">
        <v>3589</v>
      </c>
      <c r="C1345" s="36">
        <v>45899</v>
      </c>
      <c r="D1345" s="36" t="s">
        <v>2487</v>
      </c>
      <c r="E1345" s="37" t="s">
        <v>2957</v>
      </c>
      <c r="F1345" s="37" t="s">
        <v>4026</v>
      </c>
      <c r="G1345" s="38"/>
      <c r="H1345" s="38">
        <v>2816</v>
      </c>
      <c r="I1345" s="37"/>
      <c r="J1345" s="37"/>
      <c r="K1345" s="38"/>
      <c r="L1345" s="38"/>
    </row>
    <row r="1346" spans="2:12" ht="14.5" x14ac:dyDescent="0.35">
      <c r="B1346" s="46" t="s">
        <v>3589</v>
      </c>
      <c r="C1346" s="36">
        <v>45899</v>
      </c>
      <c r="D1346" s="36" t="s">
        <v>301</v>
      </c>
      <c r="E1346" s="37" t="s">
        <v>2958</v>
      </c>
      <c r="F1346" s="37" t="s">
        <v>4026</v>
      </c>
      <c r="G1346" s="38"/>
      <c r="H1346" s="38">
        <v>0</v>
      </c>
      <c r="I1346" s="37"/>
      <c r="J1346" s="37"/>
      <c r="K1346" s="38"/>
      <c r="L1346" s="38"/>
    </row>
    <row r="1347" spans="2:12" ht="14.5" x14ac:dyDescent="0.35">
      <c r="B1347" s="46" t="s">
        <v>3589</v>
      </c>
      <c r="C1347" s="36">
        <v>45899</v>
      </c>
      <c r="D1347" s="36" t="s">
        <v>301</v>
      </c>
      <c r="E1347" s="37" t="s">
        <v>2959</v>
      </c>
      <c r="F1347" s="37" t="s">
        <v>4026</v>
      </c>
      <c r="G1347" s="38"/>
      <c r="H1347" s="38">
        <v>0</v>
      </c>
      <c r="I1347" s="37"/>
      <c r="J1347" s="37"/>
      <c r="K1347" s="38"/>
      <c r="L1347" s="38"/>
    </row>
    <row r="1348" spans="2:12" ht="14.5" x14ac:dyDescent="0.35">
      <c r="B1348" s="46" t="s">
        <v>3589</v>
      </c>
      <c r="C1348" s="36">
        <v>45899</v>
      </c>
      <c r="D1348" s="36" t="s">
        <v>301</v>
      </c>
      <c r="E1348" s="37" t="s">
        <v>2960</v>
      </c>
      <c r="F1348" s="37" t="s">
        <v>4026</v>
      </c>
      <c r="G1348" s="38"/>
      <c r="H1348" s="38">
        <v>25.32</v>
      </c>
      <c r="I1348" s="37"/>
      <c r="J1348" s="37"/>
      <c r="K1348" s="38"/>
      <c r="L1348" s="38"/>
    </row>
    <row r="1349" spans="2:12" ht="14.5" x14ac:dyDescent="0.35">
      <c r="B1349" s="46" t="s">
        <v>3589</v>
      </c>
      <c r="C1349" s="36">
        <v>45899</v>
      </c>
      <c r="D1349" s="36" t="s">
        <v>301</v>
      </c>
      <c r="E1349" s="37" t="s">
        <v>2961</v>
      </c>
      <c r="F1349" s="37" t="s">
        <v>4026</v>
      </c>
      <c r="G1349" s="38"/>
      <c r="H1349" s="38">
        <v>1470.86</v>
      </c>
      <c r="I1349" s="37"/>
      <c r="J1349" s="37"/>
      <c r="K1349" s="38"/>
      <c r="L1349" s="38"/>
    </row>
    <row r="1350" spans="2:12" ht="14.5" x14ac:dyDescent="0.35">
      <c r="B1350" s="46" t="s">
        <v>3589</v>
      </c>
      <c r="C1350" s="36">
        <v>45899</v>
      </c>
      <c r="D1350" s="36" t="s">
        <v>3369</v>
      </c>
      <c r="E1350" s="37" t="s">
        <v>2962</v>
      </c>
      <c r="F1350" s="37" t="s">
        <v>4026</v>
      </c>
      <c r="G1350" s="38"/>
      <c r="H1350" s="38">
        <v>80.66</v>
      </c>
      <c r="I1350" s="37"/>
      <c r="J1350" s="37"/>
      <c r="K1350" s="38"/>
      <c r="L1350" s="38"/>
    </row>
    <row r="1351" spans="2:12" ht="14.5" x14ac:dyDescent="0.35">
      <c r="B1351" s="46" t="s">
        <v>3589</v>
      </c>
      <c r="C1351" s="36">
        <v>45899</v>
      </c>
      <c r="D1351" s="36" t="s">
        <v>3371</v>
      </c>
      <c r="E1351" s="37" t="s">
        <v>2963</v>
      </c>
      <c r="F1351" s="37" t="s">
        <v>4026</v>
      </c>
      <c r="G1351" s="38"/>
      <c r="H1351" s="38">
        <v>320.12</v>
      </c>
      <c r="I1351" s="37"/>
      <c r="J1351" s="37"/>
      <c r="K1351" s="38"/>
      <c r="L1351" s="38"/>
    </row>
    <row r="1352" spans="2:12" ht="14.5" x14ac:dyDescent="0.35">
      <c r="B1352" s="46" t="s">
        <v>3589</v>
      </c>
      <c r="C1352" s="36">
        <v>45899</v>
      </c>
      <c r="D1352" s="36" t="s">
        <v>1757</v>
      </c>
      <c r="E1352" s="37" t="s">
        <v>2964</v>
      </c>
      <c r="F1352" s="37" t="s">
        <v>4026</v>
      </c>
      <c r="G1352" s="38"/>
      <c r="H1352" s="38">
        <v>103.93</v>
      </c>
      <c r="I1352" s="37"/>
      <c r="J1352" s="37"/>
      <c r="K1352" s="38"/>
      <c r="L1352" s="38"/>
    </row>
    <row r="1353" spans="2:12" ht="14.5" x14ac:dyDescent="0.35">
      <c r="B1353" s="46" t="s">
        <v>3589</v>
      </c>
      <c r="C1353" s="36">
        <v>45899</v>
      </c>
      <c r="D1353" s="36" t="s">
        <v>1757</v>
      </c>
      <c r="E1353" s="37" t="s">
        <v>2965</v>
      </c>
      <c r="F1353" s="37" t="s">
        <v>4026</v>
      </c>
      <c r="G1353" s="38"/>
      <c r="H1353" s="38">
        <v>89.91</v>
      </c>
      <c r="I1353" s="37"/>
      <c r="J1353" s="37"/>
      <c r="K1353" s="38"/>
      <c r="L1353" s="38"/>
    </row>
    <row r="1354" spans="2:12" ht="14.5" x14ac:dyDescent="0.35">
      <c r="B1354" s="46" t="s">
        <v>3589</v>
      </c>
      <c r="C1354" s="36">
        <v>45899</v>
      </c>
      <c r="D1354" s="36" t="s">
        <v>1839</v>
      </c>
      <c r="E1354" s="37" t="s">
        <v>2966</v>
      </c>
      <c r="F1354" s="37" t="s">
        <v>4026</v>
      </c>
      <c r="G1354" s="38"/>
      <c r="H1354" s="38">
        <v>0</v>
      </c>
      <c r="I1354" s="37"/>
      <c r="J1354" s="37"/>
      <c r="K1354" s="38"/>
      <c r="L1354" s="38"/>
    </row>
    <row r="1355" spans="2:12" ht="14.5" x14ac:dyDescent="0.35">
      <c r="B1355" s="46" t="s">
        <v>3589</v>
      </c>
      <c r="C1355" s="36">
        <v>45899</v>
      </c>
      <c r="D1355" s="36" t="s">
        <v>1839</v>
      </c>
      <c r="E1355" s="37" t="s">
        <v>2967</v>
      </c>
      <c r="F1355" s="37" t="s">
        <v>4026</v>
      </c>
      <c r="G1355" s="38"/>
      <c r="H1355" s="38">
        <v>0</v>
      </c>
      <c r="I1355" s="37"/>
      <c r="J1355" s="37"/>
      <c r="K1355" s="38"/>
      <c r="L1355" s="38"/>
    </row>
    <row r="1356" spans="2:12" ht="14.5" x14ac:dyDescent="0.35">
      <c r="B1356" s="46" t="s">
        <v>3589</v>
      </c>
      <c r="C1356" s="36">
        <v>45899</v>
      </c>
      <c r="D1356" s="36" t="s">
        <v>1839</v>
      </c>
      <c r="E1356" s="37" t="s">
        <v>2968</v>
      </c>
      <c r="F1356" s="37" t="s">
        <v>4026</v>
      </c>
      <c r="G1356" s="38"/>
      <c r="H1356" s="38">
        <v>0</v>
      </c>
      <c r="I1356" s="37"/>
      <c r="J1356" s="37"/>
      <c r="K1356" s="38"/>
      <c r="L1356" s="38"/>
    </row>
    <row r="1357" spans="2:12" ht="14.5" x14ac:dyDescent="0.35">
      <c r="B1357" s="46" t="s">
        <v>3589</v>
      </c>
      <c r="C1357" s="36">
        <v>45899</v>
      </c>
      <c r="D1357" s="36" t="s">
        <v>1839</v>
      </c>
      <c r="E1357" s="37" t="s">
        <v>2969</v>
      </c>
      <c r="F1357" s="37" t="s">
        <v>4026</v>
      </c>
      <c r="G1357" s="38"/>
      <c r="H1357" s="38">
        <v>370.73</v>
      </c>
      <c r="I1357" s="37"/>
      <c r="J1357" s="37"/>
      <c r="K1357" s="38"/>
      <c r="L1357" s="38"/>
    </row>
    <row r="1358" spans="2:12" ht="14.5" x14ac:dyDescent="0.35">
      <c r="B1358" s="46" t="s">
        <v>3589</v>
      </c>
      <c r="C1358" s="36">
        <v>45899</v>
      </c>
      <c r="D1358" s="36" t="s">
        <v>1839</v>
      </c>
      <c r="E1358" s="37" t="s">
        <v>2971</v>
      </c>
      <c r="F1358" s="37" t="s">
        <v>4026</v>
      </c>
      <c r="G1358" s="38"/>
      <c r="H1358" s="38">
        <v>30.35</v>
      </c>
      <c r="I1358" s="37"/>
      <c r="J1358" s="37"/>
      <c r="K1358" s="38"/>
      <c r="L1358" s="38"/>
    </row>
    <row r="1359" spans="2:12" ht="14.5" x14ac:dyDescent="0.35">
      <c r="B1359" s="46" t="s">
        <v>3589</v>
      </c>
      <c r="C1359" s="36">
        <v>45899</v>
      </c>
      <c r="D1359" s="36" t="s">
        <v>1839</v>
      </c>
      <c r="E1359" s="37" t="s">
        <v>2972</v>
      </c>
      <c r="F1359" s="37" t="s">
        <v>4026</v>
      </c>
      <c r="G1359" s="38"/>
      <c r="H1359" s="38">
        <v>98.52</v>
      </c>
      <c r="I1359" s="37"/>
      <c r="J1359" s="37"/>
      <c r="K1359" s="38"/>
      <c r="L1359" s="38"/>
    </row>
    <row r="1360" spans="2:12" ht="14.5" x14ac:dyDescent="0.35">
      <c r="B1360" s="46" t="s">
        <v>3589</v>
      </c>
      <c r="C1360" s="36">
        <v>45899</v>
      </c>
      <c r="D1360" s="36" t="s">
        <v>2027</v>
      </c>
      <c r="E1360" s="37" t="s">
        <v>2974</v>
      </c>
      <c r="F1360" s="37" t="s">
        <v>4026</v>
      </c>
      <c r="G1360" s="38"/>
      <c r="H1360" s="38">
        <v>2144.6799999999998</v>
      </c>
      <c r="I1360" s="37"/>
      <c r="J1360" s="37"/>
      <c r="K1360" s="38"/>
      <c r="L1360" s="38"/>
    </row>
    <row r="1361" spans="2:12" ht="14.5" x14ac:dyDescent="0.35">
      <c r="B1361" s="46" t="s">
        <v>3589</v>
      </c>
      <c r="C1361" s="36">
        <v>45899</v>
      </c>
      <c r="D1361" s="36" t="s">
        <v>2027</v>
      </c>
      <c r="E1361" s="37" t="s">
        <v>2975</v>
      </c>
      <c r="F1361" s="37" t="s">
        <v>4026</v>
      </c>
      <c r="G1361" s="38"/>
      <c r="H1361" s="38">
        <v>369.57</v>
      </c>
      <c r="I1361" s="37"/>
      <c r="J1361" s="37"/>
      <c r="K1361" s="38"/>
      <c r="L1361" s="38"/>
    </row>
    <row r="1362" spans="2:12" ht="14.5" x14ac:dyDescent="0.35">
      <c r="B1362" s="46" t="s">
        <v>3589</v>
      </c>
      <c r="C1362" s="36">
        <v>45899</v>
      </c>
      <c r="D1362" s="36" t="s">
        <v>2027</v>
      </c>
      <c r="E1362" s="37" t="s">
        <v>2976</v>
      </c>
      <c r="F1362" s="37" t="s">
        <v>4026</v>
      </c>
      <c r="G1362" s="38"/>
      <c r="H1362" s="38">
        <v>165.23</v>
      </c>
      <c r="I1362" s="37"/>
      <c r="J1362" s="37"/>
      <c r="K1362" s="38"/>
      <c r="L1362" s="38"/>
    </row>
    <row r="1363" spans="2:12" ht="14.5" x14ac:dyDescent="0.35">
      <c r="B1363" s="46" t="s">
        <v>3589</v>
      </c>
      <c r="C1363" s="36">
        <v>45899</v>
      </c>
      <c r="D1363" s="36" t="s">
        <v>2027</v>
      </c>
      <c r="E1363" s="37" t="s">
        <v>2977</v>
      </c>
      <c r="F1363" s="37" t="s">
        <v>4026</v>
      </c>
      <c r="G1363" s="38"/>
      <c r="H1363" s="38">
        <v>2023.82</v>
      </c>
      <c r="I1363" s="37"/>
      <c r="J1363" s="37"/>
      <c r="K1363" s="38"/>
      <c r="L1363" s="38"/>
    </row>
    <row r="1364" spans="2:12" ht="14.5" x14ac:dyDescent="0.35">
      <c r="B1364" s="46" t="s">
        <v>3589</v>
      </c>
      <c r="C1364" s="36">
        <v>45899</v>
      </c>
      <c r="D1364" s="36" t="s">
        <v>2027</v>
      </c>
      <c r="E1364" s="37" t="s">
        <v>2978</v>
      </c>
      <c r="F1364" s="37" t="s">
        <v>4026</v>
      </c>
      <c r="G1364" s="38"/>
      <c r="H1364" s="38">
        <v>15.04</v>
      </c>
      <c r="I1364" s="37"/>
      <c r="J1364" s="37"/>
      <c r="K1364" s="38"/>
      <c r="L1364" s="38"/>
    </row>
    <row r="1365" spans="2:12" ht="14.5" x14ac:dyDescent="0.35">
      <c r="B1365" s="46" t="s">
        <v>3589</v>
      </c>
      <c r="C1365" s="36">
        <v>45899</v>
      </c>
      <c r="D1365" s="36" t="s">
        <v>2027</v>
      </c>
      <c r="E1365" s="37" t="s">
        <v>2979</v>
      </c>
      <c r="F1365" s="37" t="s">
        <v>4026</v>
      </c>
      <c r="G1365" s="38"/>
      <c r="H1365" s="38">
        <v>742.59</v>
      </c>
      <c r="I1365" s="37"/>
      <c r="J1365" s="37"/>
      <c r="K1365" s="38"/>
      <c r="L1365" s="38"/>
    </row>
    <row r="1366" spans="2:12" ht="14.5" x14ac:dyDescent="0.35">
      <c r="B1366" s="46" t="s">
        <v>3589</v>
      </c>
      <c r="C1366" s="36">
        <v>45899</v>
      </c>
      <c r="D1366" s="36" t="s">
        <v>1568</v>
      </c>
      <c r="E1366" s="37" t="s">
        <v>2980</v>
      </c>
      <c r="F1366" s="37" t="s">
        <v>4026</v>
      </c>
      <c r="G1366" s="38"/>
      <c r="H1366" s="38">
        <v>4272</v>
      </c>
      <c r="I1366" s="37"/>
      <c r="J1366" s="37"/>
      <c r="K1366" s="38"/>
      <c r="L1366" s="38"/>
    </row>
    <row r="1367" spans="2:12" ht="14.5" x14ac:dyDescent="0.35">
      <c r="B1367" s="46" t="s">
        <v>3589</v>
      </c>
      <c r="C1367" s="36">
        <v>45899</v>
      </c>
      <c r="D1367" s="36" t="s">
        <v>1568</v>
      </c>
      <c r="E1367" s="37" t="s">
        <v>2981</v>
      </c>
      <c r="F1367" s="37" t="s">
        <v>4026</v>
      </c>
      <c r="G1367" s="38"/>
      <c r="H1367" s="38">
        <v>618.39</v>
      </c>
      <c r="I1367" s="37"/>
      <c r="J1367" s="37"/>
      <c r="K1367" s="38"/>
      <c r="L1367" s="38"/>
    </row>
    <row r="1368" spans="2:12" ht="14.5" x14ac:dyDescent="0.35">
      <c r="B1368" s="46" t="s">
        <v>3589</v>
      </c>
      <c r="C1368" s="36">
        <v>45899</v>
      </c>
      <c r="D1368" s="36" t="s">
        <v>1568</v>
      </c>
      <c r="E1368" s="37" t="s">
        <v>2982</v>
      </c>
      <c r="F1368" s="37" t="s">
        <v>4026</v>
      </c>
      <c r="G1368" s="38"/>
      <c r="H1368" s="38">
        <v>1874.22</v>
      </c>
      <c r="I1368" s="37"/>
      <c r="J1368" s="37"/>
      <c r="K1368" s="38"/>
      <c r="L1368" s="38"/>
    </row>
    <row r="1369" spans="2:12" ht="14.5" x14ac:dyDescent="0.35">
      <c r="B1369" s="46" t="s">
        <v>3589</v>
      </c>
      <c r="C1369" s="36">
        <v>45899</v>
      </c>
      <c r="D1369" s="36" t="s">
        <v>1371</v>
      </c>
      <c r="E1369" s="37" t="s">
        <v>2983</v>
      </c>
      <c r="F1369" s="37" t="s">
        <v>4026</v>
      </c>
      <c r="G1369" s="38"/>
      <c r="H1369" s="38">
        <v>1325.37</v>
      </c>
      <c r="I1369" s="37"/>
      <c r="J1369" s="37"/>
      <c r="K1369" s="38"/>
      <c r="L1369" s="38"/>
    </row>
    <row r="1370" spans="2:12" ht="14.5" x14ac:dyDescent="0.35">
      <c r="B1370" s="46" t="s">
        <v>3589</v>
      </c>
      <c r="C1370" s="36">
        <v>45899</v>
      </c>
      <c r="D1370" s="36" t="s">
        <v>1371</v>
      </c>
      <c r="E1370" s="37" t="s">
        <v>2984</v>
      </c>
      <c r="F1370" s="37" t="s">
        <v>4026</v>
      </c>
      <c r="G1370" s="38"/>
      <c r="H1370" s="38">
        <v>30.06</v>
      </c>
      <c r="I1370" s="37"/>
      <c r="J1370" s="37"/>
      <c r="K1370" s="38"/>
      <c r="L1370" s="38"/>
    </row>
    <row r="1371" spans="2:12" ht="14.5" x14ac:dyDescent="0.35">
      <c r="B1371" s="46" t="s">
        <v>3589</v>
      </c>
      <c r="C1371" s="36">
        <v>45899</v>
      </c>
      <c r="D1371" s="36" t="s">
        <v>2831</v>
      </c>
      <c r="E1371" s="37" t="s">
        <v>2985</v>
      </c>
      <c r="F1371" s="37" t="s">
        <v>4026</v>
      </c>
      <c r="G1371" s="38"/>
      <c r="H1371" s="38">
        <v>510.14</v>
      </c>
      <c r="I1371" s="37"/>
      <c r="J1371" s="37"/>
      <c r="K1371" s="38"/>
      <c r="L1371" s="38"/>
    </row>
    <row r="1372" spans="2:12" ht="14.5" x14ac:dyDescent="0.35">
      <c r="B1372" s="46" t="s">
        <v>3589</v>
      </c>
      <c r="C1372" s="36">
        <v>45899</v>
      </c>
      <c r="D1372" s="36" t="s">
        <v>3393</v>
      </c>
      <c r="E1372" s="37" t="s">
        <v>2986</v>
      </c>
      <c r="F1372" s="37" t="s">
        <v>4026</v>
      </c>
      <c r="G1372" s="38"/>
      <c r="H1372" s="38">
        <v>1624.32</v>
      </c>
      <c r="I1372" s="37"/>
      <c r="J1372" s="37"/>
      <c r="K1372" s="38"/>
      <c r="L1372" s="38"/>
    </row>
    <row r="1373" spans="2:12" ht="14.5" x14ac:dyDescent="0.35">
      <c r="B1373" s="46" t="s">
        <v>3589</v>
      </c>
      <c r="C1373" s="36">
        <v>45899</v>
      </c>
      <c r="D1373" s="36" t="s">
        <v>3393</v>
      </c>
      <c r="E1373" s="37" t="s">
        <v>2988</v>
      </c>
      <c r="F1373" s="37" t="s">
        <v>4026</v>
      </c>
      <c r="G1373" s="38"/>
      <c r="H1373" s="38">
        <v>28.45</v>
      </c>
      <c r="I1373" s="37"/>
      <c r="J1373" s="37"/>
      <c r="K1373" s="38"/>
      <c r="L1373" s="38"/>
    </row>
    <row r="1374" spans="2:12" ht="14.5" x14ac:dyDescent="0.35">
      <c r="B1374" s="46" t="s">
        <v>3589</v>
      </c>
      <c r="C1374" s="36">
        <v>45899</v>
      </c>
      <c r="D1374" s="36" t="s">
        <v>3393</v>
      </c>
      <c r="E1374" s="37" t="s">
        <v>2990</v>
      </c>
      <c r="F1374" s="37" t="s">
        <v>4026</v>
      </c>
      <c r="G1374" s="38"/>
      <c r="H1374" s="38">
        <v>1344.51</v>
      </c>
      <c r="I1374" s="37"/>
      <c r="J1374" s="37"/>
      <c r="K1374" s="38"/>
      <c r="L1374" s="38"/>
    </row>
    <row r="1375" spans="2:12" ht="14.5" x14ac:dyDescent="0.35">
      <c r="B1375" s="46" t="s">
        <v>3589</v>
      </c>
      <c r="C1375" s="36">
        <v>45899</v>
      </c>
      <c r="D1375" s="36" t="s">
        <v>2079</v>
      </c>
      <c r="E1375" s="37" t="s">
        <v>2991</v>
      </c>
      <c r="F1375" s="37" t="s">
        <v>4026</v>
      </c>
      <c r="G1375" s="38"/>
      <c r="H1375" s="38">
        <v>1517.28</v>
      </c>
      <c r="I1375" s="37"/>
      <c r="J1375" s="37"/>
      <c r="K1375" s="38"/>
      <c r="L1375" s="38"/>
    </row>
    <row r="1376" spans="2:12" ht="14.5" x14ac:dyDescent="0.35">
      <c r="B1376" s="46" t="s">
        <v>3589</v>
      </c>
      <c r="C1376" s="36">
        <v>45899</v>
      </c>
      <c r="D1376" s="36" t="s">
        <v>2079</v>
      </c>
      <c r="E1376" s="37" t="s">
        <v>2992</v>
      </c>
      <c r="F1376" s="37" t="s">
        <v>4026</v>
      </c>
      <c r="G1376" s="38"/>
      <c r="H1376" s="38">
        <v>12.09</v>
      </c>
      <c r="I1376" s="37"/>
      <c r="J1376" s="37"/>
      <c r="K1376" s="38"/>
      <c r="L1376" s="38"/>
    </row>
    <row r="1377" spans="2:12" ht="14.5" x14ac:dyDescent="0.35">
      <c r="B1377" s="46" t="s">
        <v>3589</v>
      </c>
      <c r="C1377" s="36">
        <v>45899</v>
      </c>
      <c r="D1377" s="36" t="s">
        <v>2027</v>
      </c>
      <c r="E1377" s="37" t="s">
        <v>2993</v>
      </c>
      <c r="F1377" s="37" t="s">
        <v>4026</v>
      </c>
      <c r="G1377" s="38"/>
      <c r="H1377" s="38">
        <v>3363.9300000000003</v>
      </c>
      <c r="I1377" s="37"/>
      <c r="J1377" s="37"/>
      <c r="K1377" s="38"/>
      <c r="L1377" s="38"/>
    </row>
    <row r="1378" spans="2:12" ht="14.5" x14ac:dyDescent="0.35">
      <c r="B1378" s="46" t="s">
        <v>3589</v>
      </c>
      <c r="C1378" s="36">
        <v>45899</v>
      </c>
      <c r="D1378" s="36" t="s">
        <v>1639</v>
      </c>
      <c r="E1378" s="37" t="s">
        <v>2994</v>
      </c>
      <c r="F1378" s="37" t="s">
        <v>4026</v>
      </c>
      <c r="G1378" s="38"/>
      <c r="H1378" s="38">
        <v>793.71999999999991</v>
      </c>
      <c r="I1378" s="37"/>
      <c r="J1378" s="37"/>
      <c r="K1378" s="38"/>
      <c r="L1378" s="38"/>
    </row>
    <row r="1379" spans="2:12" ht="14.5" x14ac:dyDescent="0.35">
      <c r="B1379" s="46" t="s">
        <v>3589</v>
      </c>
      <c r="C1379" s="36">
        <v>45899</v>
      </c>
      <c r="D1379" s="36" t="s">
        <v>1639</v>
      </c>
      <c r="E1379" s="37" t="s">
        <v>2995</v>
      </c>
      <c r="F1379" s="37" t="s">
        <v>4026</v>
      </c>
      <c r="G1379" s="38"/>
      <c r="H1379" s="38">
        <v>5276.2</v>
      </c>
      <c r="I1379" s="37"/>
      <c r="J1379" s="37"/>
      <c r="K1379" s="38"/>
      <c r="L1379" s="38"/>
    </row>
    <row r="1380" spans="2:12" ht="14.5" x14ac:dyDescent="0.35">
      <c r="B1380" s="46" t="s">
        <v>3589</v>
      </c>
      <c r="C1380" s="36">
        <v>45899</v>
      </c>
      <c r="D1380" s="36" t="s">
        <v>1639</v>
      </c>
      <c r="E1380" s="37" t="s">
        <v>2996</v>
      </c>
      <c r="F1380" s="37" t="s">
        <v>4026</v>
      </c>
      <c r="G1380" s="38"/>
      <c r="H1380" s="38">
        <v>2089.1899999999996</v>
      </c>
      <c r="I1380" s="37"/>
      <c r="J1380" s="37"/>
      <c r="K1380" s="38"/>
      <c r="L1380" s="38"/>
    </row>
    <row r="1381" spans="2:12" ht="14.5" x14ac:dyDescent="0.35">
      <c r="B1381" s="46" t="s">
        <v>3589</v>
      </c>
      <c r="C1381" s="36">
        <v>45899</v>
      </c>
      <c r="D1381" s="36" t="s">
        <v>1639</v>
      </c>
      <c r="E1381" s="37" t="s">
        <v>2997</v>
      </c>
      <c r="F1381" s="37" t="s">
        <v>4026</v>
      </c>
      <c r="G1381" s="38"/>
      <c r="H1381" s="38">
        <v>736.61</v>
      </c>
      <c r="I1381" s="37"/>
      <c r="J1381" s="37"/>
      <c r="K1381" s="38"/>
      <c r="L1381" s="38"/>
    </row>
    <row r="1382" spans="2:12" ht="14.5" x14ac:dyDescent="0.35">
      <c r="B1382" s="46" t="s">
        <v>3589</v>
      </c>
      <c r="C1382" s="36">
        <v>45899</v>
      </c>
      <c r="D1382" s="36" t="s">
        <v>1639</v>
      </c>
      <c r="E1382" s="37" t="s">
        <v>2998</v>
      </c>
      <c r="F1382" s="37" t="s">
        <v>4026</v>
      </c>
      <c r="G1382" s="38"/>
      <c r="H1382" s="38">
        <v>27.01</v>
      </c>
      <c r="I1382" s="37"/>
      <c r="J1382" s="37"/>
      <c r="K1382" s="38"/>
      <c r="L1382" s="38"/>
    </row>
    <row r="1383" spans="2:12" ht="14.5" x14ac:dyDescent="0.35">
      <c r="B1383" s="46" t="s">
        <v>3589</v>
      </c>
      <c r="C1383" s="36">
        <v>45899</v>
      </c>
      <c r="D1383" s="36" t="s">
        <v>2231</v>
      </c>
      <c r="E1383" s="37">
        <v>36512</v>
      </c>
      <c r="F1383" s="37" t="s">
        <v>4026</v>
      </c>
      <c r="G1383" s="38"/>
      <c r="H1383" s="38">
        <v>8303.93</v>
      </c>
      <c r="I1383" s="37"/>
      <c r="J1383" s="37"/>
      <c r="K1383" s="38"/>
      <c r="L1383" s="38"/>
    </row>
    <row r="1384" spans="2:12" ht="14.5" x14ac:dyDescent="0.35">
      <c r="B1384" s="46" t="s">
        <v>3589</v>
      </c>
      <c r="C1384" s="36">
        <v>45899</v>
      </c>
      <c r="D1384" s="36" t="s">
        <v>2487</v>
      </c>
      <c r="E1384" s="37" t="s">
        <v>2999</v>
      </c>
      <c r="F1384" s="37" t="s">
        <v>4026</v>
      </c>
      <c r="G1384" s="38"/>
      <c r="H1384" s="38">
        <v>65.73</v>
      </c>
      <c r="I1384" s="37"/>
      <c r="J1384" s="37"/>
      <c r="K1384" s="38"/>
      <c r="L1384" s="38"/>
    </row>
    <row r="1385" spans="2:12" ht="14.5" x14ac:dyDescent="0.35">
      <c r="B1385" s="46" t="s">
        <v>3589</v>
      </c>
      <c r="C1385" s="36">
        <v>45899</v>
      </c>
      <c r="D1385" s="36" t="s">
        <v>2291</v>
      </c>
      <c r="E1385" s="37" t="s">
        <v>3000</v>
      </c>
      <c r="F1385" s="37" t="s">
        <v>4026</v>
      </c>
      <c r="G1385" s="38"/>
      <c r="H1385" s="38">
        <v>1140</v>
      </c>
      <c r="I1385" s="37"/>
      <c r="J1385" s="37"/>
      <c r="K1385" s="38"/>
      <c r="L1385" s="38"/>
    </row>
    <row r="1386" spans="2:12" ht="14.5" x14ac:dyDescent="0.35">
      <c r="B1386" s="46" t="s">
        <v>3589</v>
      </c>
      <c r="C1386" s="36">
        <v>45899</v>
      </c>
      <c r="D1386" s="36" t="s">
        <v>2291</v>
      </c>
      <c r="E1386" s="37" t="s">
        <v>3001</v>
      </c>
      <c r="F1386" s="37" t="s">
        <v>4026</v>
      </c>
      <c r="G1386" s="38"/>
      <c r="H1386" s="38">
        <v>6.21</v>
      </c>
      <c r="I1386" s="37"/>
      <c r="J1386" s="37"/>
      <c r="K1386" s="38"/>
      <c r="L1386" s="38"/>
    </row>
    <row r="1387" spans="2:12" ht="14.5" x14ac:dyDescent="0.35">
      <c r="B1387" s="46" t="s">
        <v>3589</v>
      </c>
      <c r="C1387" s="36">
        <v>45899</v>
      </c>
      <c r="D1387" s="36" t="s">
        <v>2291</v>
      </c>
      <c r="E1387" s="37" t="s">
        <v>3002</v>
      </c>
      <c r="F1387" s="37" t="s">
        <v>4026</v>
      </c>
      <c r="G1387" s="38"/>
      <c r="H1387" s="38">
        <v>5053</v>
      </c>
      <c r="I1387" s="37"/>
      <c r="J1387" s="37"/>
      <c r="K1387" s="38"/>
      <c r="L1387" s="38"/>
    </row>
    <row r="1388" spans="2:12" ht="14.5" x14ac:dyDescent="0.35">
      <c r="B1388" s="46" t="s">
        <v>3589</v>
      </c>
      <c r="C1388" s="36">
        <v>45899</v>
      </c>
      <c r="D1388" s="36" t="s">
        <v>2291</v>
      </c>
      <c r="E1388" s="37" t="s">
        <v>3003</v>
      </c>
      <c r="F1388" s="37" t="s">
        <v>4026</v>
      </c>
      <c r="G1388" s="38"/>
      <c r="H1388" s="38">
        <v>2065.04</v>
      </c>
      <c r="I1388" s="37"/>
      <c r="J1388" s="37"/>
      <c r="K1388" s="38"/>
      <c r="L1388" s="38"/>
    </row>
    <row r="1389" spans="2:12" ht="14.5" x14ac:dyDescent="0.35">
      <c r="B1389" s="46" t="s">
        <v>3589</v>
      </c>
      <c r="C1389" s="36">
        <v>45899</v>
      </c>
      <c r="D1389" s="36" t="s">
        <v>2291</v>
      </c>
      <c r="E1389" s="37" t="s">
        <v>3004</v>
      </c>
      <c r="F1389" s="37" t="s">
        <v>4026</v>
      </c>
      <c r="G1389" s="38"/>
      <c r="H1389" s="38">
        <v>105.95</v>
      </c>
      <c r="I1389" s="37"/>
      <c r="J1389" s="37"/>
      <c r="K1389" s="38"/>
      <c r="L1389" s="38"/>
    </row>
    <row r="1390" spans="2:12" ht="14.5" x14ac:dyDescent="0.35">
      <c r="B1390" s="46" t="s">
        <v>3589</v>
      </c>
      <c r="C1390" s="36">
        <v>45899</v>
      </c>
      <c r="D1390" s="36" t="s">
        <v>2291</v>
      </c>
      <c r="E1390" s="37" t="s">
        <v>3005</v>
      </c>
      <c r="F1390" s="37" t="s">
        <v>4026</v>
      </c>
      <c r="G1390" s="38"/>
      <c r="H1390" s="38">
        <v>46.36</v>
      </c>
      <c r="I1390" s="37"/>
      <c r="J1390" s="37"/>
      <c r="K1390" s="38"/>
      <c r="L1390" s="38"/>
    </row>
    <row r="1391" spans="2:12" ht="14.5" x14ac:dyDescent="0.35">
      <c r="B1391" s="46" t="s">
        <v>3589</v>
      </c>
      <c r="C1391" s="36">
        <v>45899</v>
      </c>
      <c r="D1391" s="36" t="s">
        <v>2291</v>
      </c>
      <c r="E1391" s="37" t="s">
        <v>3006</v>
      </c>
      <c r="F1391" s="37" t="s">
        <v>4026</v>
      </c>
      <c r="G1391" s="38"/>
      <c r="H1391" s="38">
        <v>51.34</v>
      </c>
      <c r="I1391" s="37"/>
      <c r="J1391" s="37"/>
      <c r="K1391" s="38"/>
      <c r="L1391" s="38"/>
    </row>
    <row r="1392" spans="2:12" ht="14.5" x14ac:dyDescent="0.35">
      <c r="B1392" s="46" t="s">
        <v>3589</v>
      </c>
      <c r="C1392" s="36">
        <v>45899</v>
      </c>
      <c r="D1392" s="36" t="s">
        <v>2291</v>
      </c>
      <c r="E1392" s="37" t="s">
        <v>3007</v>
      </c>
      <c r="F1392" s="37" t="s">
        <v>4026</v>
      </c>
      <c r="G1392" s="38"/>
      <c r="H1392" s="38">
        <v>22.57</v>
      </c>
      <c r="I1392" s="37"/>
      <c r="J1392" s="37"/>
      <c r="K1392" s="38"/>
      <c r="L1392" s="38"/>
    </row>
    <row r="1393" spans="2:12" ht="14.5" x14ac:dyDescent="0.35">
      <c r="B1393" s="46" t="s">
        <v>3589</v>
      </c>
      <c r="C1393" s="36">
        <v>45899</v>
      </c>
      <c r="D1393" s="36" t="s">
        <v>2429</v>
      </c>
      <c r="E1393" s="37" t="s">
        <v>3008</v>
      </c>
      <c r="F1393" s="37" t="s">
        <v>4026</v>
      </c>
      <c r="G1393" s="38"/>
      <c r="H1393" s="38">
        <v>2486.4</v>
      </c>
      <c r="I1393" s="37"/>
      <c r="J1393" s="37"/>
      <c r="K1393" s="38"/>
      <c r="L1393" s="38"/>
    </row>
    <row r="1394" spans="2:12" ht="14.5" x14ac:dyDescent="0.35">
      <c r="B1394" s="46" t="s">
        <v>3589</v>
      </c>
      <c r="C1394" s="36">
        <v>45899</v>
      </c>
      <c r="D1394" s="36" t="s">
        <v>2429</v>
      </c>
      <c r="E1394" s="37" t="s">
        <v>3009</v>
      </c>
      <c r="F1394" s="37" t="s">
        <v>4026</v>
      </c>
      <c r="G1394" s="38"/>
      <c r="H1394" s="38">
        <v>4608.1499999999987</v>
      </c>
      <c r="I1394" s="37"/>
      <c r="J1394" s="37"/>
      <c r="K1394" s="38"/>
      <c r="L1394" s="38"/>
    </row>
    <row r="1395" spans="2:12" ht="14.5" x14ac:dyDescent="0.35">
      <c r="B1395" s="46" t="s">
        <v>3589</v>
      </c>
      <c r="C1395" s="36">
        <v>45899</v>
      </c>
      <c r="D1395" s="36" t="s">
        <v>2429</v>
      </c>
      <c r="E1395" s="37" t="s">
        <v>3010</v>
      </c>
      <c r="F1395" s="37" t="s">
        <v>4026</v>
      </c>
      <c r="G1395" s="38"/>
      <c r="H1395" s="38">
        <v>12.11</v>
      </c>
      <c r="I1395" s="37"/>
      <c r="J1395" s="37"/>
      <c r="K1395" s="38"/>
      <c r="L1395" s="38"/>
    </row>
    <row r="1396" spans="2:12" ht="14.5" x14ac:dyDescent="0.35">
      <c r="B1396" s="46" t="s">
        <v>3589</v>
      </c>
      <c r="C1396" s="36">
        <v>45899</v>
      </c>
      <c r="D1396" s="36" t="s">
        <v>1179</v>
      </c>
      <c r="E1396" s="37" t="s">
        <v>3011</v>
      </c>
      <c r="F1396" s="37" t="s">
        <v>4026</v>
      </c>
      <c r="G1396" s="38"/>
      <c r="H1396" s="38">
        <v>2730.26</v>
      </c>
      <c r="I1396" s="37"/>
      <c r="J1396" s="37"/>
      <c r="K1396" s="38"/>
      <c r="L1396" s="38"/>
    </row>
    <row r="1397" spans="2:12" ht="14.5" x14ac:dyDescent="0.35">
      <c r="B1397" s="46" t="s">
        <v>3589</v>
      </c>
      <c r="C1397" s="36">
        <v>45899</v>
      </c>
      <c r="D1397" s="36" t="s">
        <v>1179</v>
      </c>
      <c r="E1397" s="37" t="s">
        <v>3012</v>
      </c>
      <c r="F1397" s="37" t="s">
        <v>4026</v>
      </c>
      <c r="G1397" s="38"/>
      <c r="H1397" s="38">
        <v>6236.43</v>
      </c>
      <c r="I1397" s="37"/>
      <c r="J1397" s="37"/>
      <c r="K1397" s="38"/>
      <c r="L1397" s="38"/>
    </row>
    <row r="1398" spans="2:12" ht="14.5" x14ac:dyDescent="0.35">
      <c r="B1398" s="46" t="s">
        <v>3589</v>
      </c>
      <c r="C1398" s="36">
        <v>45899</v>
      </c>
      <c r="D1398" s="36" t="s">
        <v>1179</v>
      </c>
      <c r="E1398" s="37" t="s">
        <v>3013</v>
      </c>
      <c r="F1398" s="37" t="s">
        <v>4026</v>
      </c>
      <c r="G1398" s="38"/>
      <c r="H1398" s="38">
        <v>85.63</v>
      </c>
      <c r="I1398" s="37"/>
      <c r="J1398" s="37"/>
      <c r="K1398" s="38"/>
      <c r="L1398" s="38"/>
    </row>
    <row r="1399" spans="2:12" ht="14.5" x14ac:dyDescent="0.35">
      <c r="B1399" s="46" t="s">
        <v>3589</v>
      </c>
      <c r="C1399" s="36">
        <v>45899</v>
      </c>
      <c r="D1399" s="36" t="s">
        <v>1179</v>
      </c>
      <c r="E1399" s="37" t="s">
        <v>3014</v>
      </c>
      <c r="F1399" s="37" t="s">
        <v>4026</v>
      </c>
      <c r="G1399" s="38"/>
      <c r="H1399" s="38">
        <v>0.53</v>
      </c>
      <c r="I1399" s="37"/>
      <c r="J1399" s="37"/>
      <c r="K1399" s="38"/>
      <c r="L1399" s="38"/>
    </row>
    <row r="1400" spans="2:12" ht="14.5" x14ac:dyDescent="0.35">
      <c r="B1400" s="46" t="s">
        <v>3589</v>
      </c>
      <c r="C1400" s="36">
        <v>45899</v>
      </c>
      <c r="D1400" s="36" t="s">
        <v>1363</v>
      </c>
      <c r="E1400" s="37" t="s">
        <v>3015</v>
      </c>
      <c r="F1400" s="37" t="s">
        <v>4026</v>
      </c>
      <c r="G1400" s="38"/>
      <c r="H1400" s="38">
        <v>623.19000000000005</v>
      </c>
      <c r="I1400" s="37"/>
      <c r="J1400" s="37"/>
      <c r="K1400" s="38"/>
      <c r="L1400" s="38"/>
    </row>
    <row r="1401" spans="2:12" ht="14.5" x14ac:dyDescent="0.35">
      <c r="B1401" s="46" t="s">
        <v>3589</v>
      </c>
      <c r="C1401" s="36">
        <v>45899</v>
      </c>
      <c r="D1401" s="36" t="s">
        <v>1363</v>
      </c>
      <c r="E1401" s="37" t="s">
        <v>3016</v>
      </c>
      <c r="F1401" s="37" t="s">
        <v>4026</v>
      </c>
      <c r="G1401" s="38"/>
      <c r="H1401" s="38">
        <v>1364.3700000000001</v>
      </c>
      <c r="I1401" s="37"/>
      <c r="J1401" s="37"/>
      <c r="K1401" s="38"/>
      <c r="L1401" s="38"/>
    </row>
    <row r="1402" spans="2:12" ht="14.5" x14ac:dyDescent="0.35">
      <c r="B1402" s="46" t="s">
        <v>3589</v>
      </c>
      <c r="C1402" s="36">
        <v>45899</v>
      </c>
      <c r="D1402" s="36" t="s">
        <v>1426</v>
      </c>
      <c r="E1402" s="37" t="s">
        <v>3017</v>
      </c>
      <c r="F1402" s="37" t="s">
        <v>4026</v>
      </c>
      <c r="G1402" s="38"/>
      <c r="H1402" s="38">
        <v>22936.530000000002</v>
      </c>
      <c r="I1402" s="37"/>
      <c r="J1402" s="37"/>
      <c r="K1402" s="38"/>
      <c r="L1402" s="38"/>
    </row>
    <row r="1403" spans="2:12" ht="14.5" x14ac:dyDescent="0.35">
      <c r="B1403" s="46" t="s">
        <v>3589</v>
      </c>
      <c r="C1403" s="36">
        <v>45899</v>
      </c>
      <c r="D1403" s="36" t="s">
        <v>1426</v>
      </c>
      <c r="E1403" s="37" t="s">
        <v>3018</v>
      </c>
      <c r="F1403" s="37" t="s">
        <v>4026</v>
      </c>
      <c r="G1403" s="38"/>
      <c r="H1403" s="38">
        <v>1125.1100000000001</v>
      </c>
      <c r="I1403" s="37"/>
      <c r="J1403" s="37"/>
      <c r="K1403" s="38"/>
      <c r="L1403" s="38"/>
    </row>
    <row r="1404" spans="2:12" ht="14.5" x14ac:dyDescent="0.35">
      <c r="B1404" s="46" t="s">
        <v>3589</v>
      </c>
      <c r="C1404" s="36">
        <v>45899</v>
      </c>
      <c r="D1404" s="36" t="s">
        <v>1426</v>
      </c>
      <c r="E1404" s="37" t="s">
        <v>3019</v>
      </c>
      <c r="F1404" s="37" t="s">
        <v>4026</v>
      </c>
      <c r="G1404" s="38"/>
      <c r="H1404" s="38">
        <v>400.53</v>
      </c>
      <c r="I1404" s="37"/>
      <c r="J1404" s="37"/>
      <c r="K1404" s="38"/>
      <c r="L1404" s="38"/>
    </row>
    <row r="1405" spans="2:12" ht="14.5" x14ac:dyDescent="0.35">
      <c r="B1405" s="46" t="s">
        <v>3589</v>
      </c>
      <c r="C1405" s="36">
        <v>45899</v>
      </c>
      <c r="D1405" s="36" t="s">
        <v>1426</v>
      </c>
      <c r="E1405" s="37" t="s">
        <v>3020</v>
      </c>
      <c r="F1405" s="37" t="s">
        <v>4026</v>
      </c>
      <c r="G1405" s="38"/>
      <c r="H1405" s="38">
        <v>33.26</v>
      </c>
      <c r="I1405" s="37"/>
      <c r="J1405" s="37"/>
      <c r="K1405" s="38"/>
      <c r="L1405" s="38"/>
    </row>
    <row r="1406" spans="2:12" ht="14.5" x14ac:dyDescent="0.35">
      <c r="B1406" s="46" t="s">
        <v>3589</v>
      </c>
      <c r="C1406" s="36">
        <v>45899</v>
      </c>
      <c r="D1406" s="36" t="s">
        <v>1426</v>
      </c>
      <c r="E1406" s="37" t="s">
        <v>3021</v>
      </c>
      <c r="F1406" s="37" t="s">
        <v>4026</v>
      </c>
      <c r="G1406" s="38"/>
      <c r="H1406" s="38">
        <v>1023.83</v>
      </c>
      <c r="I1406" s="37"/>
      <c r="J1406" s="37"/>
      <c r="K1406" s="38"/>
      <c r="L1406" s="38"/>
    </row>
    <row r="1407" spans="2:12" ht="14.5" x14ac:dyDescent="0.35">
      <c r="B1407" s="46" t="s">
        <v>3589</v>
      </c>
      <c r="C1407" s="36">
        <v>45899</v>
      </c>
      <c r="D1407" s="36" t="s">
        <v>1426</v>
      </c>
      <c r="E1407" s="37" t="s">
        <v>3022</v>
      </c>
      <c r="F1407" s="37" t="s">
        <v>4026</v>
      </c>
      <c r="G1407" s="38"/>
      <c r="H1407" s="38">
        <v>1056.4599999999998</v>
      </c>
      <c r="I1407" s="37"/>
      <c r="J1407" s="37"/>
      <c r="K1407" s="38"/>
      <c r="L1407" s="38"/>
    </row>
    <row r="1408" spans="2:12" ht="14.5" x14ac:dyDescent="0.35">
      <c r="B1408" s="46" t="s">
        <v>3589</v>
      </c>
      <c r="C1408" s="36">
        <v>45899</v>
      </c>
      <c r="D1408" s="36" t="s">
        <v>1426</v>
      </c>
      <c r="E1408" s="37" t="s">
        <v>3023</v>
      </c>
      <c r="F1408" s="37" t="s">
        <v>4026</v>
      </c>
      <c r="G1408" s="38"/>
      <c r="H1408" s="38">
        <v>4.82</v>
      </c>
      <c r="I1408" s="37"/>
      <c r="J1408" s="37"/>
      <c r="K1408" s="38"/>
      <c r="L1408" s="38"/>
    </row>
    <row r="1409" spans="2:12" ht="14.5" x14ac:dyDescent="0.35">
      <c r="B1409" s="46" t="s">
        <v>3589</v>
      </c>
      <c r="C1409" s="36">
        <v>45899</v>
      </c>
      <c r="D1409" s="36" t="s">
        <v>1426</v>
      </c>
      <c r="E1409" s="37" t="s">
        <v>3024</v>
      </c>
      <c r="F1409" s="37" t="s">
        <v>4026</v>
      </c>
      <c r="G1409" s="38"/>
      <c r="H1409" s="38">
        <v>5567.82</v>
      </c>
      <c r="I1409" s="37"/>
      <c r="J1409" s="37"/>
      <c r="K1409" s="38"/>
      <c r="L1409" s="38"/>
    </row>
    <row r="1410" spans="2:12" ht="14.5" x14ac:dyDescent="0.35">
      <c r="B1410" s="46" t="s">
        <v>3589</v>
      </c>
      <c r="C1410" s="36">
        <v>45899</v>
      </c>
      <c r="D1410" s="36" t="s">
        <v>1426</v>
      </c>
      <c r="E1410" s="37" t="s">
        <v>3026</v>
      </c>
      <c r="F1410" s="37" t="s">
        <v>4026</v>
      </c>
      <c r="G1410" s="38"/>
      <c r="H1410" s="38">
        <v>682.07</v>
      </c>
      <c r="I1410" s="37"/>
      <c r="J1410" s="37"/>
      <c r="K1410" s="38"/>
      <c r="L1410" s="38"/>
    </row>
    <row r="1411" spans="2:12" ht="14.5" x14ac:dyDescent="0.35">
      <c r="B1411" s="46" t="s">
        <v>3589</v>
      </c>
      <c r="C1411" s="36">
        <v>45899</v>
      </c>
      <c r="D1411" s="36" t="s">
        <v>1426</v>
      </c>
      <c r="E1411" s="37" t="s">
        <v>3027</v>
      </c>
      <c r="F1411" s="37" t="s">
        <v>4026</v>
      </c>
      <c r="G1411" s="38"/>
      <c r="H1411" s="38">
        <v>5592.1</v>
      </c>
      <c r="I1411" s="37"/>
      <c r="J1411" s="37"/>
      <c r="K1411" s="38"/>
      <c r="L1411" s="38"/>
    </row>
    <row r="1412" spans="2:12" ht="14.5" x14ac:dyDescent="0.35">
      <c r="B1412" s="46" t="s">
        <v>3589</v>
      </c>
      <c r="C1412" s="36">
        <v>45899</v>
      </c>
      <c r="D1412" s="36" t="s">
        <v>1426</v>
      </c>
      <c r="E1412" s="37" t="s">
        <v>3028</v>
      </c>
      <c r="F1412" s="37" t="s">
        <v>4026</v>
      </c>
      <c r="G1412" s="38"/>
      <c r="H1412" s="38">
        <v>270.95000000000005</v>
      </c>
      <c r="I1412" s="37"/>
      <c r="J1412" s="37"/>
      <c r="K1412" s="38"/>
      <c r="L1412" s="38"/>
    </row>
    <row r="1413" spans="2:12" ht="14.5" x14ac:dyDescent="0.35">
      <c r="B1413" s="46" t="s">
        <v>3589</v>
      </c>
      <c r="C1413" s="36">
        <v>45899</v>
      </c>
      <c r="D1413" s="36" t="s">
        <v>1426</v>
      </c>
      <c r="E1413" s="37" t="s">
        <v>3029</v>
      </c>
      <c r="F1413" s="37" t="s">
        <v>4026</v>
      </c>
      <c r="G1413" s="38"/>
      <c r="H1413" s="38">
        <v>0.4</v>
      </c>
      <c r="I1413" s="37"/>
      <c r="J1413" s="37"/>
      <c r="K1413" s="38"/>
      <c r="L1413" s="38"/>
    </row>
    <row r="1414" spans="2:12" ht="14.5" x14ac:dyDescent="0.35">
      <c r="B1414" s="46" t="s">
        <v>3589</v>
      </c>
      <c r="C1414" s="36">
        <v>45899</v>
      </c>
      <c r="D1414" s="36" t="s">
        <v>1426</v>
      </c>
      <c r="E1414" s="37" t="s">
        <v>3030</v>
      </c>
      <c r="F1414" s="37" t="s">
        <v>4026</v>
      </c>
      <c r="G1414" s="38"/>
      <c r="H1414" s="38">
        <v>225.61</v>
      </c>
      <c r="I1414" s="37"/>
      <c r="J1414" s="37"/>
      <c r="K1414" s="38"/>
      <c r="L1414" s="38"/>
    </row>
    <row r="1415" spans="2:12" ht="14.5" x14ac:dyDescent="0.35">
      <c r="B1415" s="46" t="s">
        <v>3589</v>
      </c>
      <c r="C1415" s="36">
        <v>45899</v>
      </c>
      <c r="D1415" s="36" t="s">
        <v>1924</v>
      </c>
      <c r="E1415" s="37" t="s">
        <v>3031</v>
      </c>
      <c r="F1415" s="37" t="s">
        <v>4026</v>
      </c>
      <c r="G1415" s="38"/>
      <c r="H1415" s="38">
        <v>51.34</v>
      </c>
      <c r="I1415" s="37"/>
      <c r="J1415" s="37"/>
      <c r="K1415" s="38"/>
      <c r="L1415" s="38"/>
    </row>
    <row r="1416" spans="2:12" ht="14.5" x14ac:dyDescent="0.35">
      <c r="B1416" s="46" t="s">
        <v>3589</v>
      </c>
      <c r="C1416" s="36">
        <v>45899</v>
      </c>
      <c r="D1416" s="36" t="s">
        <v>1924</v>
      </c>
      <c r="E1416" s="37" t="s">
        <v>3032</v>
      </c>
      <c r="F1416" s="37" t="s">
        <v>4026</v>
      </c>
      <c r="G1416" s="38"/>
      <c r="H1416" s="38">
        <v>183.65</v>
      </c>
      <c r="I1416" s="37"/>
      <c r="J1416" s="37"/>
      <c r="K1416" s="38"/>
      <c r="L1416" s="38"/>
    </row>
    <row r="1417" spans="2:12" ht="14.5" x14ac:dyDescent="0.35">
      <c r="B1417" s="46" t="s">
        <v>3589</v>
      </c>
      <c r="C1417" s="36">
        <v>45899</v>
      </c>
      <c r="D1417" s="36" t="s">
        <v>1924</v>
      </c>
      <c r="E1417" s="37" t="s">
        <v>3033</v>
      </c>
      <c r="F1417" s="37" t="s">
        <v>4026</v>
      </c>
      <c r="G1417" s="38"/>
      <c r="H1417" s="38">
        <v>155.03</v>
      </c>
      <c r="I1417" s="37"/>
      <c r="J1417" s="37"/>
      <c r="K1417" s="38"/>
      <c r="L1417" s="38"/>
    </row>
    <row r="1418" spans="2:12" ht="14.5" x14ac:dyDescent="0.35">
      <c r="B1418" s="46" t="s">
        <v>3589</v>
      </c>
      <c r="C1418" s="36">
        <v>45899</v>
      </c>
      <c r="D1418" s="36" t="s">
        <v>1924</v>
      </c>
      <c r="E1418" s="37" t="s">
        <v>3034</v>
      </c>
      <c r="F1418" s="37" t="s">
        <v>4026</v>
      </c>
      <c r="G1418" s="38"/>
      <c r="H1418" s="38">
        <v>333.59</v>
      </c>
      <c r="I1418" s="37"/>
      <c r="J1418" s="37"/>
      <c r="K1418" s="38"/>
      <c r="L1418" s="38"/>
    </row>
    <row r="1419" spans="2:12" ht="14.5" x14ac:dyDescent="0.35">
      <c r="B1419" s="46" t="s">
        <v>3589</v>
      </c>
      <c r="C1419" s="36">
        <v>45899</v>
      </c>
      <c r="D1419" s="36" t="s">
        <v>1924</v>
      </c>
      <c r="E1419" s="37" t="s">
        <v>3035</v>
      </c>
      <c r="F1419" s="37" t="s">
        <v>4026</v>
      </c>
      <c r="G1419" s="38"/>
      <c r="H1419" s="38">
        <v>4910.16</v>
      </c>
      <c r="I1419" s="37"/>
      <c r="J1419" s="37"/>
      <c r="K1419" s="38"/>
      <c r="L1419" s="38"/>
    </row>
    <row r="1420" spans="2:12" ht="14.5" x14ac:dyDescent="0.35">
      <c r="B1420" s="46" t="s">
        <v>3589</v>
      </c>
      <c r="C1420" s="36">
        <v>45899</v>
      </c>
      <c r="D1420" s="36" t="s">
        <v>3452</v>
      </c>
      <c r="E1420" s="37" t="s">
        <v>3036</v>
      </c>
      <c r="F1420" s="37" t="s">
        <v>4026</v>
      </c>
      <c r="G1420" s="38"/>
      <c r="H1420" s="38">
        <v>45.53</v>
      </c>
      <c r="I1420" s="37"/>
      <c r="J1420" s="37"/>
      <c r="K1420" s="38"/>
      <c r="L1420" s="38"/>
    </row>
    <row r="1421" spans="2:12" ht="14.5" x14ac:dyDescent="0.35">
      <c r="B1421" s="46" t="s">
        <v>3589</v>
      </c>
      <c r="C1421" s="36">
        <v>45899</v>
      </c>
      <c r="D1421" s="36" t="s">
        <v>3452</v>
      </c>
      <c r="E1421" s="37" t="s">
        <v>3038</v>
      </c>
      <c r="F1421" s="37" t="s">
        <v>4026</v>
      </c>
      <c r="G1421" s="38"/>
      <c r="H1421" s="38">
        <v>3.83</v>
      </c>
      <c r="I1421" s="37"/>
      <c r="J1421" s="37"/>
      <c r="K1421" s="38"/>
      <c r="L1421" s="38"/>
    </row>
    <row r="1422" spans="2:12" ht="14.5" x14ac:dyDescent="0.35">
      <c r="B1422" s="46" t="s">
        <v>3589</v>
      </c>
      <c r="C1422" s="36">
        <v>45899</v>
      </c>
      <c r="D1422" s="36" t="s">
        <v>1004</v>
      </c>
      <c r="E1422" s="37" t="s">
        <v>3039</v>
      </c>
      <c r="F1422" s="37" t="s">
        <v>4026</v>
      </c>
      <c r="G1422" s="38"/>
      <c r="H1422" s="38">
        <v>45.6</v>
      </c>
      <c r="I1422" s="37"/>
      <c r="J1422" s="37"/>
      <c r="K1422" s="38"/>
      <c r="L1422" s="38"/>
    </row>
    <row r="1423" spans="2:12" ht="14.5" x14ac:dyDescent="0.35">
      <c r="B1423" s="46" t="s">
        <v>3589</v>
      </c>
      <c r="C1423" s="36">
        <v>45899</v>
      </c>
      <c r="D1423" s="36" t="s">
        <v>1004</v>
      </c>
      <c r="E1423" s="37" t="s">
        <v>3040</v>
      </c>
      <c r="F1423" s="37" t="s">
        <v>4026</v>
      </c>
      <c r="G1423" s="38"/>
      <c r="H1423" s="38">
        <v>1075.21</v>
      </c>
      <c r="I1423" s="37"/>
      <c r="J1423" s="37"/>
      <c r="K1423" s="38"/>
      <c r="L1423" s="38"/>
    </row>
    <row r="1424" spans="2:12" ht="14.5" x14ac:dyDescent="0.35">
      <c r="B1424" s="46" t="s">
        <v>3589</v>
      </c>
      <c r="C1424" s="36">
        <v>45899</v>
      </c>
      <c r="D1424" s="36" t="s">
        <v>1004</v>
      </c>
      <c r="E1424" s="37" t="s">
        <v>3041</v>
      </c>
      <c r="F1424" s="37" t="s">
        <v>4026</v>
      </c>
      <c r="G1424" s="38"/>
      <c r="H1424" s="38">
        <v>5.58</v>
      </c>
      <c r="I1424" s="37"/>
      <c r="J1424" s="37"/>
      <c r="K1424" s="38"/>
      <c r="L1424" s="38"/>
    </row>
    <row r="1425" spans="2:12" ht="14.5" x14ac:dyDescent="0.35">
      <c r="B1425" s="46" t="s">
        <v>3589</v>
      </c>
      <c r="C1425" s="36">
        <v>45899</v>
      </c>
      <c r="D1425" s="36" t="s">
        <v>1684</v>
      </c>
      <c r="E1425" s="37" t="s">
        <v>3042</v>
      </c>
      <c r="F1425" s="37" t="s">
        <v>4026</v>
      </c>
      <c r="G1425" s="38"/>
      <c r="H1425" s="38">
        <v>640.16999999999996</v>
      </c>
      <c r="I1425" s="37"/>
      <c r="J1425" s="37"/>
      <c r="K1425" s="38"/>
      <c r="L1425" s="38"/>
    </row>
    <row r="1426" spans="2:12" ht="14.5" x14ac:dyDescent="0.35">
      <c r="B1426" s="46" t="s">
        <v>3589</v>
      </c>
      <c r="C1426" s="36">
        <v>45899</v>
      </c>
      <c r="D1426" s="36" t="s">
        <v>1684</v>
      </c>
      <c r="E1426" s="37" t="s">
        <v>3043</v>
      </c>
      <c r="F1426" s="37" t="s">
        <v>4026</v>
      </c>
      <c r="G1426" s="38"/>
      <c r="H1426" s="38">
        <v>2343.17</v>
      </c>
      <c r="I1426" s="37"/>
      <c r="J1426" s="37"/>
      <c r="K1426" s="38"/>
      <c r="L1426" s="38"/>
    </row>
    <row r="1427" spans="2:12" ht="14.5" x14ac:dyDescent="0.35">
      <c r="B1427" s="46" t="s">
        <v>3589</v>
      </c>
      <c r="C1427" s="36">
        <v>45899</v>
      </c>
      <c r="D1427" s="36" t="s">
        <v>1684</v>
      </c>
      <c r="E1427" s="37" t="s">
        <v>3044</v>
      </c>
      <c r="F1427" s="37" t="s">
        <v>4026</v>
      </c>
      <c r="G1427" s="38"/>
      <c r="H1427" s="38">
        <v>3615.25</v>
      </c>
      <c r="I1427" s="37"/>
      <c r="J1427" s="37"/>
      <c r="K1427" s="38"/>
      <c r="L1427" s="38"/>
    </row>
    <row r="1428" spans="2:12" ht="14.5" x14ac:dyDescent="0.35">
      <c r="B1428" s="46" t="s">
        <v>3589</v>
      </c>
      <c r="C1428" s="36">
        <v>45899</v>
      </c>
      <c r="D1428" s="36" t="s">
        <v>1358</v>
      </c>
      <c r="E1428" s="37" t="s">
        <v>3045</v>
      </c>
      <c r="F1428" s="37" t="s">
        <v>4026</v>
      </c>
      <c r="G1428" s="38"/>
      <c r="H1428" s="38">
        <v>1486.6799999999998</v>
      </c>
      <c r="I1428" s="37"/>
      <c r="J1428" s="37"/>
      <c r="K1428" s="38"/>
      <c r="L1428" s="38"/>
    </row>
    <row r="1429" spans="2:12" ht="14.5" x14ac:dyDescent="0.35">
      <c r="B1429" s="46" t="s">
        <v>3589</v>
      </c>
      <c r="C1429" s="36">
        <v>45899</v>
      </c>
      <c r="D1429" s="36" t="s">
        <v>1358</v>
      </c>
      <c r="E1429" s="37" t="s">
        <v>3046</v>
      </c>
      <c r="F1429" s="37" t="s">
        <v>4026</v>
      </c>
      <c r="G1429" s="38"/>
      <c r="H1429" s="38">
        <v>92.31</v>
      </c>
      <c r="I1429" s="37"/>
      <c r="J1429" s="37"/>
      <c r="K1429" s="38"/>
      <c r="L1429" s="38"/>
    </row>
    <row r="1430" spans="2:12" ht="14.5" x14ac:dyDescent="0.35">
      <c r="B1430" s="46" t="s">
        <v>3589</v>
      </c>
      <c r="C1430" s="36">
        <v>45899</v>
      </c>
      <c r="D1430" s="36" t="s">
        <v>1358</v>
      </c>
      <c r="E1430" s="37" t="s">
        <v>3047</v>
      </c>
      <c r="F1430" s="37" t="s">
        <v>4026</v>
      </c>
      <c r="G1430" s="38"/>
      <c r="H1430" s="38">
        <v>1587.7099999999998</v>
      </c>
      <c r="I1430" s="37"/>
      <c r="J1430" s="37"/>
      <c r="K1430" s="38"/>
      <c r="L1430" s="38"/>
    </row>
    <row r="1431" spans="2:12" ht="14.5" x14ac:dyDescent="0.35">
      <c r="B1431" s="46" t="s">
        <v>3589</v>
      </c>
      <c r="C1431" s="36">
        <v>45899</v>
      </c>
      <c r="D1431" s="36" t="s">
        <v>1358</v>
      </c>
      <c r="E1431" s="37" t="s">
        <v>3048</v>
      </c>
      <c r="F1431" s="37" t="s">
        <v>4026</v>
      </c>
      <c r="G1431" s="38"/>
      <c r="H1431" s="38">
        <v>613.32000000000005</v>
      </c>
      <c r="I1431" s="37"/>
      <c r="J1431" s="37"/>
      <c r="K1431" s="38"/>
      <c r="L1431" s="38"/>
    </row>
    <row r="1432" spans="2:12" ht="14.5" x14ac:dyDescent="0.35">
      <c r="B1432" s="46" t="s">
        <v>3589</v>
      </c>
      <c r="C1432" s="36">
        <v>45899</v>
      </c>
      <c r="D1432" s="36" t="s">
        <v>1085</v>
      </c>
      <c r="E1432" s="37" t="s">
        <v>3049</v>
      </c>
      <c r="F1432" s="37" t="s">
        <v>4026</v>
      </c>
      <c r="G1432" s="38"/>
      <c r="H1432" s="38">
        <v>400</v>
      </c>
      <c r="I1432" s="37"/>
      <c r="J1432" s="37"/>
      <c r="K1432" s="38"/>
      <c r="L1432" s="38"/>
    </row>
    <row r="1433" spans="2:12" ht="14.5" x14ac:dyDescent="0.35">
      <c r="B1433" s="46" t="s">
        <v>3589</v>
      </c>
      <c r="C1433" s="36">
        <v>45899</v>
      </c>
      <c r="D1433" s="36" t="s">
        <v>1085</v>
      </c>
      <c r="E1433" s="37" t="s">
        <v>3050</v>
      </c>
      <c r="F1433" s="37" t="s">
        <v>4026</v>
      </c>
      <c r="G1433" s="38"/>
      <c r="H1433" s="38">
        <v>40.869999999999997</v>
      </c>
      <c r="I1433" s="37"/>
      <c r="J1433" s="37"/>
      <c r="K1433" s="38"/>
      <c r="L1433" s="38"/>
    </row>
    <row r="1434" spans="2:12" ht="14.5" x14ac:dyDescent="0.35">
      <c r="B1434" s="46" t="s">
        <v>3589</v>
      </c>
      <c r="C1434" s="36">
        <v>45899</v>
      </c>
      <c r="D1434" s="36" t="s">
        <v>1085</v>
      </c>
      <c r="E1434" s="37" t="s">
        <v>3051</v>
      </c>
      <c r="F1434" s="37" t="s">
        <v>4026</v>
      </c>
      <c r="G1434" s="38"/>
      <c r="H1434" s="38">
        <v>2922.76</v>
      </c>
      <c r="I1434" s="37"/>
      <c r="J1434" s="37"/>
      <c r="K1434" s="38"/>
      <c r="L1434" s="38"/>
    </row>
    <row r="1435" spans="2:12" ht="14.5" x14ac:dyDescent="0.35">
      <c r="B1435" s="46" t="s">
        <v>3589</v>
      </c>
      <c r="C1435" s="36">
        <v>45899</v>
      </c>
      <c r="D1435" s="36" t="s">
        <v>1085</v>
      </c>
      <c r="E1435" s="37" t="s">
        <v>3052</v>
      </c>
      <c r="F1435" s="37" t="s">
        <v>4026</v>
      </c>
      <c r="G1435" s="38"/>
      <c r="H1435" s="38">
        <v>492.71999999999997</v>
      </c>
      <c r="I1435" s="37"/>
      <c r="J1435" s="37"/>
      <c r="K1435" s="38"/>
      <c r="L1435" s="38"/>
    </row>
    <row r="1436" spans="2:12" ht="14.5" x14ac:dyDescent="0.35">
      <c r="B1436" s="46" t="s">
        <v>3589</v>
      </c>
      <c r="C1436" s="36">
        <v>45899</v>
      </c>
      <c r="D1436" s="36" t="s">
        <v>1085</v>
      </c>
      <c r="E1436" s="37" t="s">
        <v>3053</v>
      </c>
      <c r="F1436" s="37" t="s">
        <v>4026</v>
      </c>
      <c r="G1436" s="38"/>
      <c r="H1436" s="38">
        <v>3053.22</v>
      </c>
      <c r="I1436" s="37"/>
      <c r="J1436" s="37"/>
      <c r="K1436" s="38"/>
      <c r="L1436" s="38"/>
    </row>
    <row r="1437" spans="2:12" ht="14.5" x14ac:dyDescent="0.35">
      <c r="B1437" s="46" t="s">
        <v>3589</v>
      </c>
      <c r="C1437" s="36">
        <v>45899</v>
      </c>
      <c r="D1437" s="36" t="s">
        <v>1085</v>
      </c>
      <c r="E1437" s="37" t="s">
        <v>3054</v>
      </c>
      <c r="F1437" s="37" t="s">
        <v>4026</v>
      </c>
      <c r="G1437" s="38"/>
      <c r="H1437" s="38">
        <v>470.62</v>
      </c>
      <c r="I1437" s="37"/>
      <c r="J1437" s="37"/>
      <c r="K1437" s="38"/>
      <c r="L1437" s="38"/>
    </row>
    <row r="1438" spans="2:12" ht="14.5" x14ac:dyDescent="0.35">
      <c r="B1438" s="46" t="s">
        <v>3589</v>
      </c>
      <c r="C1438" s="36">
        <v>45899</v>
      </c>
      <c r="D1438" s="36" t="s">
        <v>1085</v>
      </c>
      <c r="E1438" s="37" t="s">
        <v>3055</v>
      </c>
      <c r="F1438" s="37" t="s">
        <v>4026</v>
      </c>
      <c r="G1438" s="38"/>
      <c r="H1438" s="38">
        <v>108.74</v>
      </c>
      <c r="I1438" s="37"/>
      <c r="J1438" s="37"/>
      <c r="K1438" s="38"/>
      <c r="L1438" s="38"/>
    </row>
    <row r="1439" spans="2:12" ht="14.5" x14ac:dyDescent="0.35">
      <c r="B1439" s="46" t="s">
        <v>3589</v>
      </c>
      <c r="C1439" s="36">
        <v>45899</v>
      </c>
      <c r="D1439" s="36" t="s">
        <v>1085</v>
      </c>
      <c r="E1439" s="37" t="s">
        <v>3056</v>
      </c>
      <c r="F1439" s="37" t="s">
        <v>4026</v>
      </c>
      <c r="G1439" s="38"/>
      <c r="H1439" s="38">
        <v>13.66</v>
      </c>
      <c r="I1439" s="37"/>
      <c r="J1439" s="37"/>
      <c r="K1439" s="38"/>
      <c r="L1439" s="38"/>
    </row>
    <row r="1440" spans="2:12" ht="14.5" x14ac:dyDescent="0.35">
      <c r="B1440" s="46" t="s">
        <v>3589</v>
      </c>
      <c r="C1440" s="36">
        <v>45899</v>
      </c>
      <c r="D1440" s="36" t="s">
        <v>1085</v>
      </c>
      <c r="E1440" s="37" t="s">
        <v>3057</v>
      </c>
      <c r="F1440" s="37" t="s">
        <v>4026</v>
      </c>
      <c r="G1440" s="38"/>
      <c r="H1440" s="38">
        <v>25.01</v>
      </c>
      <c r="I1440" s="37"/>
      <c r="J1440" s="37"/>
      <c r="K1440" s="38"/>
      <c r="L1440" s="38"/>
    </row>
    <row r="1441" spans="2:12" ht="14.5" x14ac:dyDescent="0.35">
      <c r="B1441" s="46" t="s">
        <v>3589</v>
      </c>
      <c r="C1441" s="36">
        <v>45899</v>
      </c>
      <c r="D1441" s="36" t="s">
        <v>1085</v>
      </c>
      <c r="E1441" s="37" t="s">
        <v>3058</v>
      </c>
      <c r="F1441" s="37" t="s">
        <v>4026</v>
      </c>
      <c r="G1441" s="38"/>
      <c r="H1441" s="38">
        <v>73.319999999999993</v>
      </c>
      <c r="I1441" s="37"/>
      <c r="J1441" s="37"/>
      <c r="K1441" s="38"/>
      <c r="L1441" s="38"/>
    </row>
    <row r="1442" spans="2:12" ht="14.5" x14ac:dyDescent="0.35">
      <c r="B1442" s="46" t="s">
        <v>3589</v>
      </c>
      <c r="C1442" s="36">
        <v>45899</v>
      </c>
      <c r="D1442" s="36" t="s">
        <v>1272</v>
      </c>
      <c r="E1442" s="37" t="s">
        <v>3059</v>
      </c>
      <c r="F1442" s="37" t="s">
        <v>4026</v>
      </c>
      <c r="G1442" s="38"/>
      <c r="H1442" s="38">
        <v>8354.27</v>
      </c>
      <c r="I1442" s="37"/>
      <c r="J1442" s="37"/>
      <c r="K1442" s="38"/>
      <c r="L1442" s="38"/>
    </row>
    <row r="1443" spans="2:12" ht="14.5" x14ac:dyDescent="0.35">
      <c r="B1443" s="46" t="s">
        <v>3589</v>
      </c>
      <c r="C1443" s="36">
        <v>45899</v>
      </c>
      <c r="D1443" s="36" t="s">
        <v>2247</v>
      </c>
      <c r="E1443" s="37" t="s">
        <v>3060</v>
      </c>
      <c r="F1443" s="37" t="s">
        <v>4026</v>
      </c>
      <c r="G1443" s="38"/>
      <c r="H1443" s="38">
        <v>3490.21</v>
      </c>
      <c r="I1443" s="37"/>
      <c r="J1443" s="37"/>
      <c r="K1443" s="38"/>
      <c r="L1443" s="38"/>
    </row>
    <row r="1444" spans="2:12" ht="14.5" x14ac:dyDescent="0.35">
      <c r="B1444" s="46" t="s">
        <v>3589</v>
      </c>
      <c r="C1444" s="36">
        <v>45899</v>
      </c>
      <c r="D1444" s="36" t="s">
        <v>1426</v>
      </c>
      <c r="E1444" s="37" t="s">
        <v>3062</v>
      </c>
      <c r="F1444" s="37" t="s">
        <v>4026</v>
      </c>
      <c r="G1444" s="38"/>
      <c r="H1444" s="38">
        <v>250.1</v>
      </c>
      <c r="I1444" s="37"/>
      <c r="J1444" s="37"/>
      <c r="K1444" s="38"/>
      <c r="L1444" s="38"/>
    </row>
    <row r="1445" spans="2:12" ht="14.5" x14ac:dyDescent="0.35">
      <c r="B1445" s="46" t="s">
        <v>3589</v>
      </c>
      <c r="C1445" s="36">
        <v>45899</v>
      </c>
      <c r="D1445" s="36" t="s">
        <v>1272</v>
      </c>
      <c r="E1445" s="37" t="s">
        <v>3063</v>
      </c>
      <c r="F1445" s="37" t="s">
        <v>4026</v>
      </c>
      <c r="G1445" s="38"/>
      <c r="H1445" s="38">
        <v>4246.87</v>
      </c>
      <c r="I1445" s="37"/>
      <c r="J1445" s="37"/>
      <c r="K1445" s="38"/>
      <c r="L1445" s="38"/>
    </row>
    <row r="1446" spans="2:12" ht="14.5" x14ac:dyDescent="0.35">
      <c r="B1446" s="46" t="s">
        <v>3589</v>
      </c>
      <c r="C1446" s="36">
        <v>45899</v>
      </c>
      <c r="D1446" s="36" t="s">
        <v>2480</v>
      </c>
      <c r="E1446" s="37" t="s">
        <v>3064</v>
      </c>
      <c r="F1446" s="37" t="s">
        <v>4026</v>
      </c>
      <c r="G1446" s="38"/>
      <c r="H1446" s="38">
        <v>617.79</v>
      </c>
      <c r="I1446" s="37"/>
      <c r="J1446" s="37"/>
      <c r="K1446" s="38"/>
      <c r="L1446" s="38"/>
    </row>
    <row r="1447" spans="2:12" ht="14.5" x14ac:dyDescent="0.35">
      <c r="B1447" s="46" t="s">
        <v>3589</v>
      </c>
      <c r="C1447" s="36">
        <v>45899</v>
      </c>
      <c r="D1447" s="36" t="s">
        <v>3230</v>
      </c>
      <c r="E1447" s="37" t="s">
        <v>3065</v>
      </c>
      <c r="F1447" s="37" t="s">
        <v>4026</v>
      </c>
      <c r="G1447" s="38"/>
      <c r="H1447" s="38">
        <v>603.71</v>
      </c>
      <c r="I1447" s="37"/>
      <c r="J1447" s="37"/>
      <c r="K1447" s="38"/>
      <c r="L1447" s="38"/>
    </row>
    <row r="1448" spans="2:12" ht="14.5" x14ac:dyDescent="0.35">
      <c r="B1448" s="46" t="s">
        <v>3589</v>
      </c>
      <c r="C1448" s="36">
        <v>45899</v>
      </c>
      <c r="D1448" s="36" t="s">
        <v>2631</v>
      </c>
      <c r="E1448" s="37" t="s">
        <v>3066</v>
      </c>
      <c r="F1448" s="37" t="s">
        <v>4026</v>
      </c>
      <c r="G1448" s="38"/>
      <c r="H1448" s="38">
        <v>3152.59</v>
      </c>
      <c r="I1448" s="37"/>
      <c r="J1448" s="37"/>
      <c r="K1448" s="38"/>
      <c r="L1448" s="38"/>
    </row>
    <row r="1449" spans="2:12" ht="14.5" x14ac:dyDescent="0.35">
      <c r="B1449" s="46" t="s">
        <v>3589</v>
      </c>
      <c r="C1449" s="36">
        <v>45899</v>
      </c>
      <c r="D1449" s="36" t="s">
        <v>2631</v>
      </c>
      <c r="E1449" s="37" t="s">
        <v>3067</v>
      </c>
      <c r="F1449" s="37" t="s">
        <v>4026</v>
      </c>
      <c r="G1449" s="38"/>
      <c r="H1449" s="38">
        <v>88.64</v>
      </c>
      <c r="I1449" s="37"/>
      <c r="J1449" s="37"/>
      <c r="K1449" s="38"/>
      <c r="L1449" s="38"/>
    </row>
    <row r="1450" spans="2:12" ht="14.5" x14ac:dyDescent="0.35">
      <c r="B1450" s="46" t="s">
        <v>3589</v>
      </c>
      <c r="C1450" s="36">
        <v>45899</v>
      </c>
      <c r="D1450" s="36" t="s">
        <v>2631</v>
      </c>
      <c r="E1450" s="37" t="s">
        <v>3068</v>
      </c>
      <c r="F1450" s="37" t="s">
        <v>4026</v>
      </c>
      <c r="G1450" s="38"/>
      <c r="H1450" s="38">
        <v>103.92</v>
      </c>
      <c r="I1450" s="37"/>
      <c r="J1450" s="37"/>
      <c r="K1450" s="38"/>
      <c r="L1450" s="38"/>
    </row>
    <row r="1451" spans="2:12" ht="14.5" x14ac:dyDescent="0.35">
      <c r="B1451" s="46" t="s">
        <v>3589</v>
      </c>
      <c r="C1451" s="36">
        <v>45899</v>
      </c>
      <c r="D1451" s="36" t="s">
        <v>2631</v>
      </c>
      <c r="E1451" s="37" t="s">
        <v>3069</v>
      </c>
      <c r="F1451" s="37" t="s">
        <v>4026</v>
      </c>
      <c r="G1451" s="38"/>
      <c r="H1451" s="38">
        <v>126.68</v>
      </c>
      <c r="I1451" s="37"/>
      <c r="J1451" s="37"/>
      <c r="K1451" s="38"/>
      <c r="L1451" s="38"/>
    </row>
    <row r="1452" spans="2:12" ht="14.5" x14ac:dyDescent="0.35">
      <c r="B1452" s="46" t="s">
        <v>3589</v>
      </c>
      <c r="C1452" s="36">
        <v>45899</v>
      </c>
      <c r="D1452" s="36" t="s">
        <v>2631</v>
      </c>
      <c r="E1452" s="37" t="s">
        <v>3070</v>
      </c>
      <c r="F1452" s="37" t="s">
        <v>4026</v>
      </c>
      <c r="G1452" s="38"/>
      <c r="H1452" s="38">
        <v>339.36</v>
      </c>
      <c r="I1452" s="37"/>
      <c r="J1452" s="37"/>
      <c r="K1452" s="38"/>
      <c r="L1452" s="38"/>
    </row>
    <row r="1453" spans="2:12" ht="14.5" x14ac:dyDescent="0.35">
      <c r="B1453" s="46" t="s">
        <v>3589</v>
      </c>
      <c r="C1453" s="36">
        <v>45899</v>
      </c>
      <c r="D1453" s="36" t="s">
        <v>2631</v>
      </c>
      <c r="E1453" s="37" t="s">
        <v>3071</v>
      </c>
      <c r="F1453" s="37" t="s">
        <v>4026</v>
      </c>
      <c r="G1453" s="38"/>
      <c r="H1453" s="38">
        <v>38.5</v>
      </c>
      <c r="I1453" s="37"/>
      <c r="J1453" s="37"/>
      <c r="K1453" s="38"/>
      <c r="L1453" s="38"/>
    </row>
    <row r="1454" spans="2:12" ht="14.5" x14ac:dyDescent="0.35">
      <c r="B1454" s="46" t="s">
        <v>3589</v>
      </c>
      <c r="C1454" s="36">
        <v>45899</v>
      </c>
      <c r="D1454" s="36" t="s">
        <v>1379</v>
      </c>
      <c r="E1454" s="37" t="s">
        <v>3072</v>
      </c>
      <c r="F1454" s="37" t="s">
        <v>4026</v>
      </c>
      <c r="G1454" s="38"/>
      <c r="H1454" s="38">
        <v>91.19</v>
      </c>
      <c r="I1454" s="37"/>
      <c r="J1454" s="37"/>
      <c r="K1454" s="38"/>
      <c r="L1454" s="38"/>
    </row>
    <row r="1455" spans="2:12" ht="14.5" x14ac:dyDescent="0.35">
      <c r="B1455" s="46" t="s">
        <v>3589</v>
      </c>
      <c r="C1455" s="36">
        <v>45899</v>
      </c>
      <c r="D1455" s="36" t="s">
        <v>1379</v>
      </c>
      <c r="E1455" s="37" t="s">
        <v>3073</v>
      </c>
      <c r="F1455" s="37" t="s">
        <v>4026</v>
      </c>
      <c r="G1455" s="38"/>
      <c r="H1455" s="38">
        <v>1920.14</v>
      </c>
      <c r="I1455" s="37"/>
      <c r="J1455" s="37"/>
      <c r="K1455" s="38"/>
      <c r="L1455" s="38"/>
    </row>
    <row r="1456" spans="2:12" ht="14.5" x14ac:dyDescent="0.35">
      <c r="B1456" s="46" t="s">
        <v>3589</v>
      </c>
      <c r="C1456" s="36">
        <v>45899</v>
      </c>
      <c r="D1456" s="36" t="s">
        <v>1379</v>
      </c>
      <c r="E1456" s="37" t="s">
        <v>3074</v>
      </c>
      <c r="F1456" s="37" t="s">
        <v>4026</v>
      </c>
      <c r="G1456" s="38"/>
      <c r="H1456" s="38">
        <v>174.56</v>
      </c>
      <c r="I1456" s="37"/>
      <c r="J1456" s="37"/>
      <c r="K1456" s="38"/>
      <c r="L1456" s="38"/>
    </row>
    <row r="1457" spans="2:12" ht="14.5" x14ac:dyDescent="0.35">
      <c r="B1457" s="46" t="s">
        <v>3589</v>
      </c>
      <c r="C1457" s="36">
        <v>45899</v>
      </c>
      <c r="D1457" s="36" t="s">
        <v>1379</v>
      </c>
      <c r="E1457" s="37" t="s">
        <v>3075</v>
      </c>
      <c r="F1457" s="37" t="s">
        <v>4026</v>
      </c>
      <c r="G1457" s="38"/>
      <c r="H1457" s="38">
        <v>2.67</v>
      </c>
      <c r="I1457" s="37"/>
      <c r="J1457" s="37"/>
      <c r="K1457" s="38"/>
      <c r="L1457" s="38"/>
    </row>
    <row r="1458" spans="2:12" ht="14.5" x14ac:dyDescent="0.35">
      <c r="B1458" s="46" t="s">
        <v>3589</v>
      </c>
      <c r="C1458" s="36">
        <v>45899</v>
      </c>
      <c r="D1458" s="36" t="s">
        <v>1379</v>
      </c>
      <c r="E1458" s="37" t="s">
        <v>3076</v>
      </c>
      <c r="F1458" s="37" t="s">
        <v>4026</v>
      </c>
      <c r="G1458" s="38"/>
      <c r="H1458" s="38">
        <v>1168.29</v>
      </c>
      <c r="I1458" s="37"/>
      <c r="J1458" s="37"/>
      <c r="K1458" s="38"/>
      <c r="L1458" s="38"/>
    </row>
    <row r="1459" spans="2:12" ht="14.5" x14ac:dyDescent="0.35">
      <c r="B1459" s="46" t="s">
        <v>3589</v>
      </c>
      <c r="C1459" s="36">
        <v>45899</v>
      </c>
      <c r="D1459" s="36" t="s">
        <v>1379</v>
      </c>
      <c r="E1459" s="37" t="s">
        <v>3077</v>
      </c>
      <c r="F1459" s="37" t="s">
        <v>4026</v>
      </c>
      <c r="G1459" s="38"/>
      <c r="H1459" s="38">
        <v>700.97</v>
      </c>
      <c r="I1459" s="37"/>
      <c r="J1459" s="37"/>
      <c r="K1459" s="38"/>
      <c r="L1459" s="38"/>
    </row>
    <row r="1460" spans="2:12" ht="14.5" x14ac:dyDescent="0.35">
      <c r="B1460" s="46" t="s">
        <v>3589</v>
      </c>
      <c r="C1460" s="36">
        <v>45899</v>
      </c>
      <c r="D1460" s="36" t="s">
        <v>2212</v>
      </c>
      <c r="E1460" s="37" t="s">
        <v>3078</v>
      </c>
      <c r="F1460" s="37" t="s">
        <v>4026</v>
      </c>
      <c r="G1460" s="38"/>
      <c r="H1460" s="38">
        <v>96589.209999999992</v>
      </c>
      <c r="I1460" s="37"/>
      <c r="J1460" s="37"/>
      <c r="K1460" s="38"/>
      <c r="L1460" s="38"/>
    </row>
    <row r="1461" spans="2:12" ht="14.5" x14ac:dyDescent="0.35">
      <c r="B1461" s="46" t="s">
        <v>3589</v>
      </c>
      <c r="C1461" s="36">
        <v>45899</v>
      </c>
      <c r="D1461" s="36" t="s">
        <v>3468</v>
      </c>
      <c r="E1461" s="37" t="s">
        <v>3079</v>
      </c>
      <c r="F1461" s="37" t="s">
        <v>4026</v>
      </c>
      <c r="G1461" s="38"/>
      <c r="H1461" s="38">
        <v>2472.2200000000003</v>
      </c>
      <c r="I1461" s="37"/>
      <c r="J1461" s="37"/>
      <c r="K1461" s="38"/>
      <c r="L1461" s="38"/>
    </row>
    <row r="1462" spans="2:12" ht="14.5" x14ac:dyDescent="0.35">
      <c r="B1462" s="46" t="s">
        <v>3589</v>
      </c>
      <c r="C1462" s="36">
        <v>45899</v>
      </c>
      <c r="D1462" s="36" t="s">
        <v>2541</v>
      </c>
      <c r="E1462" s="37" t="s">
        <v>3080</v>
      </c>
      <c r="F1462" s="37" t="s">
        <v>4026</v>
      </c>
      <c r="G1462" s="38"/>
      <c r="H1462" s="38">
        <v>824.05</v>
      </c>
      <c r="I1462" s="37"/>
      <c r="J1462" s="37"/>
      <c r="K1462" s="38"/>
      <c r="L1462" s="38"/>
    </row>
    <row r="1463" spans="2:12" ht="14.5" x14ac:dyDescent="0.35">
      <c r="B1463" s="46" t="s">
        <v>3589</v>
      </c>
      <c r="C1463" s="36">
        <v>45899</v>
      </c>
      <c r="D1463" s="36" t="s">
        <v>2846</v>
      </c>
      <c r="E1463" s="37" t="s">
        <v>3081</v>
      </c>
      <c r="F1463" s="37" t="s">
        <v>4026</v>
      </c>
      <c r="G1463" s="38"/>
      <c r="H1463" s="38">
        <v>696.63</v>
      </c>
      <c r="I1463" s="37"/>
      <c r="J1463" s="37"/>
      <c r="K1463" s="38"/>
      <c r="L1463" s="38"/>
    </row>
    <row r="1464" spans="2:12" ht="14.5" x14ac:dyDescent="0.35">
      <c r="B1464" s="46" t="s">
        <v>3589</v>
      </c>
      <c r="C1464" s="36">
        <v>45899</v>
      </c>
      <c r="D1464" s="36" t="s">
        <v>1358</v>
      </c>
      <c r="E1464" s="37" t="s">
        <v>3082</v>
      </c>
      <c r="F1464" s="37" t="s">
        <v>4026</v>
      </c>
      <c r="G1464" s="38"/>
      <c r="H1464" s="38">
        <v>134.5</v>
      </c>
      <c r="I1464" s="37"/>
      <c r="J1464" s="37"/>
      <c r="K1464" s="38"/>
      <c r="L1464" s="38"/>
    </row>
    <row r="1465" spans="2:12" ht="14.5" x14ac:dyDescent="0.35">
      <c r="B1465" s="46" t="s">
        <v>3589</v>
      </c>
      <c r="C1465" s="36">
        <v>45899</v>
      </c>
      <c r="D1465" s="36" t="s">
        <v>3469</v>
      </c>
      <c r="E1465" s="37" t="s">
        <v>3083</v>
      </c>
      <c r="F1465" s="37" t="s">
        <v>4026</v>
      </c>
      <c r="G1465" s="38"/>
      <c r="H1465" s="38">
        <v>2069.4</v>
      </c>
      <c r="I1465" s="37"/>
      <c r="J1465" s="37"/>
      <c r="K1465" s="38"/>
      <c r="L1465" s="38"/>
    </row>
    <row r="1466" spans="2:12" ht="14.5" x14ac:dyDescent="0.35">
      <c r="B1466" s="46" t="s">
        <v>3589</v>
      </c>
      <c r="C1466" s="36">
        <v>45899</v>
      </c>
      <c r="D1466" s="36" t="s">
        <v>3469</v>
      </c>
      <c r="E1466" s="37" t="s">
        <v>3084</v>
      </c>
      <c r="F1466" s="37" t="s">
        <v>4026</v>
      </c>
      <c r="G1466" s="38"/>
      <c r="H1466" s="38">
        <v>3499.1299999999997</v>
      </c>
      <c r="I1466" s="37"/>
      <c r="J1466" s="37"/>
      <c r="K1466" s="38"/>
      <c r="L1466" s="38"/>
    </row>
    <row r="1467" spans="2:12" ht="14.5" x14ac:dyDescent="0.35">
      <c r="B1467" s="46" t="s">
        <v>3589</v>
      </c>
      <c r="C1467" s="36">
        <v>45899</v>
      </c>
      <c r="D1467" s="36" t="s">
        <v>3469</v>
      </c>
      <c r="E1467" s="37" t="s">
        <v>3085</v>
      </c>
      <c r="F1467" s="37" t="s">
        <v>4026</v>
      </c>
      <c r="G1467" s="38"/>
      <c r="H1467" s="38">
        <v>26.76</v>
      </c>
      <c r="I1467" s="37"/>
      <c r="J1467" s="37"/>
      <c r="K1467" s="38"/>
      <c r="L1467" s="38"/>
    </row>
    <row r="1468" spans="2:12" ht="14.5" x14ac:dyDescent="0.35">
      <c r="B1468" s="46" t="s">
        <v>3589</v>
      </c>
      <c r="C1468" s="36">
        <v>45899</v>
      </c>
      <c r="D1468" s="36" t="s">
        <v>2520</v>
      </c>
      <c r="E1468" s="37" t="s">
        <v>3086</v>
      </c>
      <c r="F1468" s="37" t="s">
        <v>4026</v>
      </c>
      <c r="G1468" s="38"/>
      <c r="H1468" s="38">
        <v>2221.1800000000003</v>
      </c>
      <c r="I1468" s="37"/>
      <c r="J1468" s="37"/>
      <c r="K1468" s="38"/>
      <c r="L1468" s="38"/>
    </row>
    <row r="1469" spans="2:12" ht="14.5" x14ac:dyDescent="0.35">
      <c r="B1469" s="46" t="s">
        <v>3589</v>
      </c>
      <c r="C1469" s="36">
        <v>45899</v>
      </c>
      <c r="D1469" s="36" t="s">
        <v>3470</v>
      </c>
      <c r="E1469" s="37" t="s">
        <v>3087</v>
      </c>
      <c r="F1469" s="37" t="s">
        <v>4026</v>
      </c>
      <c r="G1469" s="38"/>
      <c r="H1469" s="38">
        <v>16327.390000000001</v>
      </c>
      <c r="I1469" s="37"/>
      <c r="J1469" s="37"/>
      <c r="K1469" s="38"/>
      <c r="L1469" s="38"/>
    </row>
    <row r="1470" spans="2:12" ht="14.5" x14ac:dyDescent="0.35">
      <c r="B1470" s="46" t="s">
        <v>3589</v>
      </c>
      <c r="C1470" s="36">
        <v>45899</v>
      </c>
      <c r="D1470" s="36" t="s">
        <v>1639</v>
      </c>
      <c r="E1470" s="37" t="s">
        <v>3088</v>
      </c>
      <c r="F1470" s="37" t="s">
        <v>4026</v>
      </c>
      <c r="G1470" s="38"/>
      <c r="H1470" s="38">
        <v>201.17</v>
      </c>
      <c r="I1470" s="37"/>
      <c r="J1470" s="37"/>
      <c r="K1470" s="38"/>
      <c r="L1470" s="38"/>
    </row>
    <row r="1471" spans="2:12" ht="14.5" x14ac:dyDescent="0.35">
      <c r="B1471" s="46" t="s">
        <v>3589</v>
      </c>
      <c r="C1471" s="36">
        <v>45899</v>
      </c>
      <c r="D1471" s="36" t="s">
        <v>1639</v>
      </c>
      <c r="E1471" s="37" t="s">
        <v>3089</v>
      </c>
      <c r="F1471" s="37" t="s">
        <v>4026</v>
      </c>
      <c r="G1471" s="38"/>
      <c r="H1471" s="38">
        <v>232.92</v>
      </c>
      <c r="I1471" s="37"/>
      <c r="J1471" s="37"/>
      <c r="K1471" s="38"/>
      <c r="L1471" s="38"/>
    </row>
    <row r="1472" spans="2:12" ht="14.5" x14ac:dyDescent="0.35">
      <c r="B1472" s="46" t="s">
        <v>3589</v>
      </c>
      <c r="C1472" s="36">
        <v>45899</v>
      </c>
      <c r="D1472" s="36" t="s">
        <v>1639</v>
      </c>
      <c r="E1472" s="37" t="s">
        <v>3090</v>
      </c>
      <c r="F1472" s="37" t="s">
        <v>4026</v>
      </c>
      <c r="G1472" s="38"/>
      <c r="H1472" s="38">
        <v>59.92</v>
      </c>
      <c r="I1472" s="37"/>
      <c r="J1472" s="37"/>
      <c r="K1472" s="38"/>
      <c r="L1472" s="38"/>
    </row>
    <row r="1473" spans="2:12" ht="14.5" x14ac:dyDescent="0.35">
      <c r="B1473" s="46" t="s">
        <v>3589</v>
      </c>
      <c r="C1473" s="36">
        <v>45899</v>
      </c>
      <c r="D1473" s="36" t="s">
        <v>1475</v>
      </c>
      <c r="E1473" s="37" t="s">
        <v>3091</v>
      </c>
      <c r="F1473" s="37" t="s">
        <v>4026</v>
      </c>
      <c r="G1473" s="38"/>
      <c r="H1473" s="38">
        <v>20.260000000000002</v>
      </c>
      <c r="I1473" s="37"/>
      <c r="J1473" s="37"/>
      <c r="K1473" s="38"/>
      <c r="L1473" s="38"/>
    </row>
    <row r="1474" spans="2:12" ht="14.5" x14ac:dyDescent="0.35">
      <c r="B1474" s="46" t="s">
        <v>3589</v>
      </c>
      <c r="C1474" s="36">
        <v>45899</v>
      </c>
      <c r="D1474" s="36" t="s">
        <v>1999</v>
      </c>
      <c r="E1474" s="37" t="s">
        <v>3092</v>
      </c>
      <c r="F1474" s="37" t="s">
        <v>4026</v>
      </c>
      <c r="G1474" s="38"/>
      <c r="H1474" s="38">
        <v>442.38</v>
      </c>
      <c r="I1474" s="37"/>
      <c r="J1474" s="37"/>
      <c r="K1474" s="38"/>
      <c r="L1474" s="38"/>
    </row>
    <row r="1475" spans="2:12" ht="14.5" x14ac:dyDescent="0.35">
      <c r="B1475" s="46" t="s">
        <v>3589</v>
      </c>
      <c r="C1475" s="36">
        <v>45899</v>
      </c>
      <c r="D1475" s="36" t="s">
        <v>1999</v>
      </c>
      <c r="E1475" s="37" t="s">
        <v>3094</v>
      </c>
      <c r="F1475" s="37" t="s">
        <v>4026</v>
      </c>
      <c r="G1475" s="38"/>
      <c r="H1475" s="38">
        <v>672.91000000000008</v>
      </c>
      <c r="I1475" s="37"/>
      <c r="J1475" s="37"/>
      <c r="K1475" s="38"/>
      <c r="L1475" s="38"/>
    </row>
    <row r="1476" spans="2:12" ht="14.5" x14ac:dyDescent="0.35">
      <c r="B1476" s="46" t="s">
        <v>3589</v>
      </c>
      <c r="C1476" s="36">
        <v>45899</v>
      </c>
      <c r="D1476" s="36" t="s">
        <v>1999</v>
      </c>
      <c r="E1476" s="37" t="s">
        <v>3096</v>
      </c>
      <c r="F1476" s="37" t="s">
        <v>4026</v>
      </c>
      <c r="G1476" s="38"/>
      <c r="H1476" s="38">
        <v>159.91999999999999</v>
      </c>
      <c r="I1476" s="37"/>
      <c r="J1476" s="37"/>
      <c r="K1476" s="38"/>
      <c r="L1476" s="38"/>
    </row>
    <row r="1477" spans="2:12" ht="14.5" x14ac:dyDescent="0.35">
      <c r="B1477" s="46" t="s">
        <v>3589</v>
      </c>
      <c r="C1477" s="36">
        <v>45899</v>
      </c>
      <c r="D1477" s="36" t="s">
        <v>1999</v>
      </c>
      <c r="E1477" s="37" t="s">
        <v>3097</v>
      </c>
      <c r="F1477" s="37" t="s">
        <v>4026</v>
      </c>
      <c r="G1477" s="38"/>
      <c r="H1477" s="38">
        <v>172.94</v>
      </c>
      <c r="I1477" s="37"/>
      <c r="J1477" s="37"/>
      <c r="K1477" s="38"/>
      <c r="L1477" s="38"/>
    </row>
    <row r="1478" spans="2:12" ht="14.5" x14ac:dyDescent="0.35">
      <c r="B1478" s="46" t="s">
        <v>3589</v>
      </c>
      <c r="C1478" s="36">
        <v>45899</v>
      </c>
      <c r="D1478" s="36" t="s">
        <v>1999</v>
      </c>
      <c r="E1478" s="37" t="s">
        <v>3098</v>
      </c>
      <c r="F1478" s="37" t="s">
        <v>4026</v>
      </c>
      <c r="G1478" s="38"/>
      <c r="H1478" s="38">
        <v>117.14</v>
      </c>
      <c r="I1478" s="37"/>
      <c r="J1478" s="37"/>
      <c r="K1478" s="38"/>
      <c r="L1478" s="38"/>
    </row>
    <row r="1479" spans="2:12" ht="14.5" x14ac:dyDescent="0.35">
      <c r="B1479" s="46" t="s">
        <v>3589</v>
      </c>
      <c r="C1479" s="36">
        <v>45899</v>
      </c>
      <c r="D1479" s="36" t="s">
        <v>2266</v>
      </c>
      <c r="E1479" s="37" t="s">
        <v>3099</v>
      </c>
      <c r="F1479" s="37" t="s">
        <v>4026</v>
      </c>
      <c r="G1479" s="38"/>
      <c r="H1479" s="38">
        <v>60.2</v>
      </c>
      <c r="I1479" s="37"/>
      <c r="J1479" s="37"/>
      <c r="K1479" s="38"/>
      <c r="L1479" s="38"/>
    </row>
    <row r="1480" spans="2:12" ht="14.5" x14ac:dyDescent="0.35">
      <c r="B1480" s="46" t="s">
        <v>3589</v>
      </c>
      <c r="C1480" s="36">
        <v>45899</v>
      </c>
      <c r="D1480" s="36" t="s">
        <v>2266</v>
      </c>
      <c r="E1480" s="37" t="s">
        <v>3100</v>
      </c>
      <c r="F1480" s="37" t="s">
        <v>4026</v>
      </c>
      <c r="G1480" s="38"/>
      <c r="H1480" s="38">
        <v>53532.140000000007</v>
      </c>
      <c r="I1480" s="37"/>
      <c r="J1480" s="37"/>
      <c r="K1480" s="38"/>
      <c r="L1480" s="38"/>
    </row>
    <row r="1481" spans="2:12" ht="14.5" x14ac:dyDescent="0.35">
      <c r="B1481" s="46" t="s">
        <v>3589</v>
      </c>
      <c r="C1481" s="36">
        <v>45899</v>
      </c>
      <c r="D1481" s="36" t="s">
        <v>2266</v>
      </c>
      <c r="E1481" s="37" t="s">
        <v>3101</v>
      </c>
      <c r="F1481" s="37" t="s">
        <v>4026</v>
      </c>
      <c r="G1481" s="38"/>
      <c r="H1481" s="38">
        <v>125.74</v>
      </c>
      <c r="I1481" s="37"/>
      <c r="J1481" s="37"/>
      <c r="K1481" s="38"/>
      <c r="L1481" s="38"/>
    </row>
    <row r="1482" spans="2:12" ht="14.5" x14ac:dyDescent="0.35">
      <c r="B1482" s="46" t="s">
        <v>3589</v>
      </c>
      <c r="C1482" s="36">
        <v>45899</v>
      </c>
      <c r="D1482" s="36" t="s">
        <v>2677</v>
      </c>
      <c r="E1482" s="37" t="s">
        <v>3102</v>
      </c>
      <c r="F1482" s="37" t="s">
        <v>4026</v>
      </c>
      <c r="G1482" s="38"/>
      <c r="H1482" s="38">
        <v>631.21</v>
      </c>
      <c r="I1482" s="37"/>
      <c r="J1482" s="37"/>
      <c r="K1482" s="38"/>
      <c r="L1482" s="38"/>
    </row>
    <row r="1483" spans="2:12" ht="14.5" x14ac:dyDescent="0.35">
      <c r="B1483" s="46" t="s">
        <v>3589</v>
      </c>
      <c r="C1483" s="36">
        <v>45899</v>
      </c>
      <c r="D1483" s="36" t="s">
        <v>2266</v>
      </c>
      <c r="E1483" s="37" t="s">
        <v>3103</v>
      </c>
      <c r="F1483" s="37" t="s">
        <v>4026</v>
      </c>
      <c r="G1483" s="38"/>
      <c r="H1483" s="38">
        <v>668.84</v>
      </c>
      <c r="I1483" s="37"/>
      <c r="J1483" s="37"/>
      <c r="K1483" s="38"/>
      <c r="L1483" s="38"/>
    </row>
    <row r="1484" spans="2:12" ht="14.5" x14ac:dyDescent="0.35">
      <c r="B1484" s="46" t="s">
        <v>3589</v>
      </c>
      <c r="C1484" s="36">
        <v>45899</v>
      </c>
      <c r="D1484" s="36" t="s">
        <v>2266</v>
      </c>
      <c r="E1484" s="37" t="s">
        <v>3104</v>
      </c>
      <c r="F1484" s="37" t="s">
        <v>4026</v>
      </c>
      <c r="G1484" s="38"/>
      <c r="H1484" s="38">
        <v>81.37</v>
      </c>
      <c r="I1484" s="37"/>
      <c r="J1484" s="37"/>
      <c r="K1484" s="38"/>
      <c r="L1484" s="38"/>
    </row>
    <row r="1485" spans="2:12" ht="14.5" x14ac:dyDescent="0.35">
      <c r="B1485" s="46" t="s">
        <v>3589</v>
      </c>
      <c r="C1485" s="36">
        <v>45899</v>
      </c>
      <c r="D1485" s="36" t="s">
        <v>2266</v>
      </c>
      <c r="E1485" s="37" t="s">
        <v>3105</v>
      </c>
      <c r="F1485" s="37" t="s">
        <v>4026</v>
      </c>
      <c r="G1485" s="38"/>
      <c r="H1485" s="38">
        <v>2316.2199999999998</v>
      </c>
      <c r="I1485" s="37"/>
      <c r="J1485" s="37"/>
      <c r="K1485" s="38"/>
      <c r="L1485" s="38"/>
    </row>
    <row r="1486" spans="2:12" ht="14.5" x14ac:dyDescent="0.35">
      <c r="B1486" s="46" t="s">
        <v>3589</v>
      </c>
      <c r="C1486" s="36">
        <v>45899</v>
      </c>
      <c r="D1486" s="36" t="s">
        <v>1343</v>
      </c>
      <c r="E1486" s="37" t="s">
        <v>3106</v>
      </c>
      <c r="F1486" s="37" t="s">
        <v>4026</v>
      </c>
      <c r="G1486" s="38"/>
      <c r="H1486" s="38">
        <v>2721.01</v>
      </c>
      <c r="I1486" s="37"/>
      <c r="J1486" s="37"/>
      <c r="K1486" s="38"/>
      <c r="L1486" s="38"/>
    </row>
    <row r="1487" spans="2:12" ht="14.5" x14ac:dyDescent="0.35">
      <c r="B1487" s="46" t="s">
        <v>3589</v>
      </c>
      <c r="C1487" s="36">
        <v>45899</v>
      </c>
      <c r="D1487" s="36" t="s">
        <v>3472</v>
      </c>
      <c r="E1487" s="37" t="s">
        <v>3107</v>
      </c>
      <c r="F1487" s="37" t="s">
        <v>4026</v>
      </c>
      <c r="G1487" s="38"/>
      <c r="H1487" s="38">
        <v>20.83</v>
      </c>
      <c r="I1487" s="37"/>
      <c r="J1487" s="37"/>
      <c r="K1487" s="38"/>
      <c r="L1487" s="38"/>
    </row>
    <row r="1488" spans="2:12" ht="14.5" x14ac:dyDescent="0.35">
      <c r="B1488" s="46" t="s">
        <v>3589</v>
      </c>
      <c r="C1488" s="36">
        <v>45899</v>
      </c>
      <c r="D1488" s="36" t="s">
        <v>3472</v>
      </c>
      <c r="E1488" s="37" t="s">
        <v>3108</v>
      </c>
      <c r="F1488" s="37" t="s">
        <v>4026</v>
      </c>
      <c r="G1488" s="38"/>
      <c r="H1488" s="38">
        <v>178.24</v>
      </c>
      <c r="I1488" s="37"/>
      <c r="J1488" s="37"/>
      <c r="K1488" s="38"/>
      <c r="L1488" s="38"/>
    </row>
    <row r="1489" spans="2:12" ht="14.5" x14ac:dyDescent="0.35">
      <c r="B1489" s="46" t="s">
        <v>3589</v>
      </c>
      <c r="C1489" s="36">
        <v>45899</v>
      </c>
      <c r="D1489" s="36" t="s">
        <v>3472</v>
      </c>
      <c r="E1489" s="37" t="s">
        <v>3109</v>
      </c>
      <c r="F1489" s="37" t="s">
        <v>4026</v>
      </c>
      <c r="G1489" s="38"/>
      <c r="H1489" s="38">
        <v>2127.8200000000002</v>
      </c>
      <c r="I1489" s="37"/>
      <c r="J1489" s="37"/>
      <c r="K1489" s="38"/>
      <c r="L1489" s="38"/>
    </row>
    <row r="1490" spans="2:12" ht="14.5" x14ac:dyDescent="0.35">
      <c r="B1490" s="46" t="s">
        <v>3589</v>
      </c>
      <c r="C1490" s="36">
        <v>45899</v>
      </c>
      <c r="D1490" s="36" t="s">
        <v>1071</v>
      </c>
      <c r="E1490" s="37" t="s">
        <v>3110</v>
      </c>
      <c r="F1490" s="37" t="s">
        <v>4026</v>
      </c>
      <c r="G1490" s="38"/>
      <c r="H1490" s="38">
        <v>206.32</v>
      </c>
      <c r="I1490" s="37"/>
      <c r="J1490" s="37"/>
      <c r="K1490" s="38"/>
      <c r="L1490" s="38"/>
    </row>
    <row r="1491" spans="2:12" ht="14.5" x14ac:dyDescent="0.35">
      <c r="B1491" s="46" t="s">
        <v>3589</v>
      </c>
      <c r="C1491" s="36">
        <v>45899</v>
      </c>
      <c r="D1491" s="36" t="s">
        <v>2396</v>
      </c>
      <c r="E1491" s="37" t="s">
        <v>3111</v>
      </c>
      <c r="F1491" s="37" t="s">
        <v>4026</v>
      </c>
      <c r="G1491" s="38"/>
      <c r="H1491" s="38">
        <v>217.92</v>
      </c>
      <c r="I1491" s="37"/>
      <c r="J1491" s="37"/>
      <c r="K1491" s="38"/>
      <c r="L1491" s="38"/>
    </row>
    <row r="1492" spans="2:12" ht="14.5" x14ac:dyDescent="0.35">
      <c r="B1492" s="46" t="s">
        <v>3589</v>
      </c>
      <c r="C1492" s="36">
        <v>45899</v>
      </c>
      <c r="D1492" s="36" t="s">
        <v>989</v>
      </c>
      <c r="E1492" s="37" t="s">
        <v>3112</v>
      </c>
      <c r="F1492" s="37" t="s">
        <v>4026</v>
      </c>
      <c r="G1492" s="38"/>
      <c r="H1492" s="38">
        <v>3360.2200000000003</v>
      </c>
      <c r="I1492" s="37"/>
      <c r="J1492" s="37"/>
      <c r="K1492" s="38"/>
      <c r="L1492" s="38"/>
    </row>
    <row r="1493" spans="2:12" ht="14.5" x14ac:dyDescent="0.35">
      <c r="B1493" s="46" t="s">
        <v>3589</v>
      </c>
      <c r="C1493" s="36">
        <v>45899</v>
      </c>
      <c r="D1493" s="36" t="s">
        <v>2429</v>
      </c>
      <c r="E1493" s="37" t="s">
        <v>3113</v>
      </c>
      <c r="F1493" s="37" t="s">
        <v>4026</v>
      </c>
      <c r="G1493" s="38"/>
      <c r="H1493" s="38">
        <v>147.96</v>
      </c>
      <c r="I1493" s="37"/>
      <c r="J1493" s="37"/>
      <c r="K1493" s="38"/>
      <c r="L1493" s="38"/>
    </row>
    <row r="1494" spans="2:12" ht="14.5" x14ac:dyDescent="0.35">
      <c r="B1494" s="46" t="s">
        <v>3589</v>
      </c>
      <c r="C1494" s="36">
        <v>45899</v>
      </c>
      <c r="D1494" s="36" t="s">
        <v>2429</v>
      </c>
      <c r="E1494" s="37" t="s">
        <v>3114</v>
      </c>
      <c r="F1494" s="37" t="s">
        <v>4026</v>
      </c>
      <c r="G1494" s="38"/>
      <c r="H1494" s="38">
        <v>1047.8400000000001</v>
      </c>
      <c r="I1494" s="37"/>
      <c r="J1494" s="37"/>
      <c r="K1494" s="38"/>
      <c r="L1494" s="38"/>
    </row>
    <row r="1495" spans="2:12" ht="14.5" x14ac:dyDescent="0.35">
      <c r="B1495" s="46" t="s">
        <v>3589</v>
      </c>
      <c r="C1495" s="36">
        <v>45899</v>
      </c>
      <c r="D1495" s="36" t="s">
        <v>2429</v>
      </c>
      <c r="E1495" s="37" t="s">
        <v>3116</v>
      </c>
      <c r="F1495" s="37" t="s">
        <v>4026</v>
      </c>
      <c r="G1495" s="38"/>
      <c r="H1495" s="38">
        <v>34.76</v>
      </c>
      <c r="I1495" s="37"/>
      <c r="J1495" s="37"/>
      <c r="K1495" s="38"/>
      <c r="L1495" s="38"/>
    </row>
    <row r="1496" spans="2:12" ht="14.5" x14ac:dyDescent="0.35">
      <c r="B1496" s="46" t="s">
        <v>3589</v>
      </c>
      <c r="C1496" s="36">
        <v>45899</v>
      </c>
      <c r="D1496" s="36" t="s">
        <v>2429</v>
      </c>
      <c r="E1496" s="37" t="s">
        <v>3117</v>
      </c>
      <c r="F1496" s="37" t="s">
        <v>4026</v>
      </c>
      <c r="G1496" s="38"/>
      <c r="H1496" s="38">
        <v>118.34</v>
      </c>
      <c r="I1496" s="37"/>
      <c r="J1496" s="37"/>
      <c r="K1496" s="38"/>
      <c r="L1496" s="38"/>
    </row>
    <row r="1497" spans="2:12" ht="14.5" x14ac:dyDescent="0.35">
      <c r="B1497" s="46" t="s">
        <v>3589</v>
      </c>
      <c r="C1497" s="36">
        <v>45899</v>
      </c>
      <c r="D1497" s="36" t="s">
        <v>3473</v>
      </c>
      <c r="E1497" s="37" t="s">
        <v>3118</v>
      </c>
      <c r="F1497" s="37" t="s">
        <v>4026</v>
      </c>
      <c r="G1497" s="38"/>
      <c r="H1497" s="38">
        <v>675</v>
      </c>
      <c r="I1497" s="37"/>
      <c r="J1497" s="37"/>
      <c r="K1497" s="38"/>
      <c r="L1497" s="38"/>
    </row>
    <row r="1498" spans="2:12" ht="14.5" x14ac:dyDescent="0.35">
      <c r="B1498" s="46" t="s">
        <v>3589</v>
      </c>
      <c r="C1498" s="36">
        <v>45899</v>
      </c>
      <c r="D1498" s="36" t="s">
        <v>3474</v>
      </c>
      <c r="E1498" s="37" t="s">
        <v>3119</v>
      </c>
      <c r="F1498" s="37" t="s">
        <v>4026</v>
      </c>
      <c r="G1498" s="38"/>
      <c r="H1498" s="38">
        <v>2674.63</v>
      </c>
      <c r="I1498" s="37"/>
      <c r="J1498" s="37"/>
      <c r="K1498" s="38"/>
      <c r="L1498" s="38"/>
    </row>
    <row r="1499" spans="2:12" ht="14.5" x14ac:dyDescent="0.35">
      <c r="B1499" s="46" t="s">
        <v>3589</v>
      </c>
      <c r="C1499" s="36">
        <v>45899</v>
      </c>
      <c r="D1499" s="36" t="s">
        <v>3474</v>
      </c>
      <c r="E1499" s="37" t="s">
        <v>3120</v>
      </c>
      <c r="F1499" s="37" t="s">
        <v>4026</v>
      </c>
      <c r="G1499" s="38"/>
      <c r="H1499" s="38">
        <v>257.2</v>
      </c>
      <c r="I1499" s="37"/>
      <c r="J1499" s="37"/>
      <c r="K1499" s="38"/>
      <c r="L1499" s="38"/>
    </row>
    <row r="1500" spans="2:12" ht="14.5" x14ac:dyDescent="0.35">
      <c r="B1500" s="46" t="s">
        <v>3589</v>
      </c>
      <c r="C1500" s="36">
        <v>45899</v>
      </c>
      <c r="D1500" s="36" t="s">
        <v>3474</v>
      </c>
      <c r="E1500" s="37" t="s">
        <v>3121</v>
      </c>
      <c r="F1500" s="37" t="s">
        <v>4026</v>
      </c>
      <c r="G1500" s="38"/>
      <c r="H1500" s="38">
        <v>918.79</v>
      </c>
      <c r="I1500" s="37"/>
      <c r="J1500" s="37"/>
      <c r="K1500" s="38"/>
      <c r="L1500" s="38"/>
    </row>
    <row r="1501" spans="2:12" ht="14.5" x14ac:dyDescent="0.35">
      <c r="B1501" s="46" t="s">
        <v>3589</v>
      </c>
      <c r="C1501" s="36">
        <v>45899</v>
      </c>
      <c r="D1501" s="36" t="s">
        <v>3474</v>
      </c>
      <c r="E1501" s="37" t="s">
        <v>3122</v>
      </c>
      <c r="F1501" s="37" t="s">
        <v>4026</v>
      </c>
      <c r="G1501" s="38"/>
      <c r="H1501" s="38">
        <v>2300.2300000000005</v>
      </c>
      <c r="I1501" s="37"/>
      <c r="J1501" s="37"/>
      <c r="K1501" s="38"/>
      <c r="L1501" s="38"/>
    </row>
    <row r="1502" spans="2:12" ht="14.5" x14ac:dyDescent="0.35">
      <c r="B1502" s="46" t="s">
        <v>3589</v>
      </c>
      <c r="C1502" s="36">
        <v>45899</v>
      </c>
      <c r="D1502" s="36" t="s">
        <v>3472</v>
      </c>
      <c r="E1502" s="37" t="s">
        <v>3123</v>
      </c>
      <c r="F1502" s="37" t="s">
        <v>4026</v>
      </c>
      <c r="G1502" s="38"/>
      <c r="H1502" s="38">
        <v>111.39</v>
      </c>
      <c r="I1502" s="37"/>
      <c r="J1502" s="37"/>
      <c r="K1502" s="38"/>
      <c r="L1502" s="38"/>
    </row>
    <row r="1503" spans="2:12" ht="14.5" x14ac:dyDescent="0.35">
      <c r="B1503" s="46" t="s">
        <v>3589</v>
      </c>
      <c r="C1503" s="36">
        <v>45899</v>
      </c>
      <c r="D1503" s="36" t="s">
        <v>3472</v>
      </c>
      <c r="E1503" s="37" t="s">
        <v>3124</v>
      </c>
      <c r="F1503" s="37" t="s">
        <v>4026</v>
      </c>
      <c r="G1503" s="38"/>
      <c r="H1503" s="38">
        <v>34.56</v>
      </c>
      <c r="I1503" s="37"/>
      <c r="J1503" s="37"/>
      <c r="K1503" s="38"/>
      <c r="L1503" s="38"/>
    </row>
    <row r="1504" spans="2:12" ht="14.5" x14ac:dyDescent="0.35">
      <c r="B1504" s="46" t="s">
        <v>3589</v>
      </c>
      <c r="C1504" s="36">
        <v>45899</v>
      </c>
      <c r="D1504" s="36" t="s">
        <v>3475</v>
      </c>
      <c r="E1504" s="37" t="s">
        <v>3125</v>
      </c>
      <c r="F1504" s="37" t="s">
        <v>4026</v>
      </c>
      <c r="G1504" s="38"/>
      <c r="H1504" s="38">
        <v>237.5</v>
      </c>
      <c r="I1504" s="37"/>
      <c r="J1504" s="37"/>
      <c r="K1504" s="38"/>
      <c r="L1504" s="38"/>
    </row>
    <row r="1505" spans="2:12" ht="14.5" x14ac:dyDescent="0.35">
      <c r="B1505" s="46" t="s">
        <v>3589</v>
      </c>
      <c r="C1505" s="36">
        <v>45899</v>
      </c>
      <c r="D1505" s="36" t="s">
        <v>3475</v>
      </c>
      <c r="E1505" s="37" t="s">
        <v>3126</v>
      </c>
      <c r="F1505" s="37" t="s">
        <v>4026</v>
      </c>
      <c r="G1505" s="38"/>
      <c r="H1505" s="38">
        <v>83.72</v>
      </c>
      <c r="I1505" s="37"/>
      <c r="J1505" s="37"/>
      <c r="K1505" s="38"/>
      <c r="L1505" s="38"/>
    </row>
    <row r="1506" spans="2:12" ht="14.5" x14ac:dyDescent="0.35">
      <c r="B1506" s="46" t="s">
        <v>3589</v>
      </c>
      <c r="C1506" s="36">
        <v>45899</v>
      </c>
      <c r="D1506" s="36" t="s">
        <v>1280</v>
      </c>
      <c r="E1506" s="37" t="s">
        <v>3127</v>
      </c>
      <c r="F1506" s="37" t="s">
        <v>4026</v>
      </c>
      <c r="G1506" s="38"/>
      <c r="H1506" s="38">
        <v>174</v>
      </c>
      <c r="I1506" s="37"/>
      <c r="J1506" s="37"/>
      <c r="K1506" s="38"/>
      <c r="L1506" s="38"/>
    </row>
    <row r="1507" spans="2:12" ht="14.5" x14ac:dyDescent="0.35">
      <c r="B1507" s="46" t="s">
        <v>3589</v>
      </c>
      <c r="C1507" s="36">
        <v>45899</v>
      </c>
      <c r="D1507" s="36" t="s">
        <v>3476</v>
      </c>
      <c r="E1507" s="37" t="s">
        <v>3128</v>
      </c>
      <c r="F1507" s="37" t="s">
        <v>4026</v>
      </c>
      <c r="G1507" s="38"/>
      <c r="H1507" s="38">
        <v>400</v>
      </c>
      <c r="I1507" s="37"/>
      <c r="J1507" s="37"/>
      <c r="K1507" s="38"/>
      <c r="L1507" s="38"/>
    </row>
    <row r="1508" spans="2:12" ht="14.5" x14ac:dyDescent="0.35">
      <c r="B1508" s="46" t="s">
        <v>3589</v>
      </c>
      <c r="C1508" s="36">
        <v>45899</v>
      </c>
      <c r="D1508" s="36" t="s">
        <v>1263</v>
      </c>
      <c r="E1508" s="37" t="s">
        <v>3129</v>
      </c>
      <c r="F1508" s="37" t="s">
        <v>4026</v>
      </c>
      <c r="G1508" s="38"/>
      <c r="H1508" s="38">
        <v>6602.57</v>
      </c>
      <c r="I1508" s="37"/>
      <c r="J1508" s="37"/>
      <c r="K1508" s="38"/>
      <c r="L1508" s="38"/>
    </row>
    <row r="1509" spans="2:12" ht="14.5" x14ac:dyDescent="0.35">
      <c r="B1509" s="46" t="s">
        <v>3589</v>
      </c>
      <c r="C1509" s="36">
        <v>45899</v>
      </c>
      <c r="D1509" s="36" t="s">
        <v>1263</v>
      </c>
      <c r="E1509" s="37" t="s">
        <v>3130</v>
      </c>
      <c r="F1509" s="37" t="s">
        <v>4026</v>
      </c>
      <c r="G1509" s="38"/>
      <c r="H1509" s="38">
        <v>16623.73</v>
      </c>
      <c r="I1509" s="37"/>
      <c r="J1509" s="37"/>
      <c r="K1509" s="38"/>
      <c r="L1509" s="38"/>
    </row>
    <row r="1510" spans="2:12" ht="14.5" x14ac:dyDescent="0.35">
      <c r="B1510" s="46" t="s">
        <v>3589</v>
      </c>
      <c r="C1510" s="36">
        <v>45899</v>
      </c>
      <c r="D1510" s="36" t="s">
        <v>1263</v>
      </c>
      <c r="E1510" s="37" t="s">
        <v>3131</v>
      </c>
      <c r="F1510" s="37" t="s">
        <v>4026</v>
      </c>
      <c r="G1510" s="38"/>
      <c r="H1510" s="38">
        <v>4.4800000000000004</v>
      </c>
      <c r="I1510" s="37"/>
      <c r="J1510" s="37"/>
      <c r="K1510" s="38"/>
      <c r="L1510" s="38"/>
    </row>
    <row r="1511" spans="2:12" ht="14.5" x14ac:dyDescent="0.35">
      <c r="B1511" s="46" t="s">
        <v>3589</v>
      </c>
      <c r="C1511" s="36">
        <v>45899</v>
      </c>
      <c r="D1511" s="36" t="s">
        <v>1263</v>
      </c>
      <c r="E1511" s="37" t="s">
        <v>3133</v>
      </c>
      <c r="F1511" s="37" t="s">
        <v>4026</v>
      </c>
      <c r="G1511" s="38"/>
      <c r="H1511" s="38">
        <v>33.950000000000003</v>
      </c>
      <c r="I1511" s="37"/>
      <c r="J1511" s="37"/>
      <c r="K1511" s="38"/>
      <c r="L1511" s="38"/>
    </row>
    <row r="1512" spans="2:12" ht="14.5" x14ac:dyDescent="0.35">
      <c r="B1512" s="46" t="s">
        <v>3589</v>
      </c>
      <c r="C1512" s="36">
        <v>45899</v>
      </c>
      <c r="D1512" s="36" t="s">
        <v>1263</v>
      </c>
      <c r="E1512" s="37" t="s">
        <v>3134</v>
      </c>
      <c r="F1512" s="37" t="s">
        <v>4026</v>
      </c>
      <c r="G1512" s="38"/>
      <c r="H1512" s="38">
        <v>175.35</v>
      </c>
      <c r="I1512" s="37"/>
      <c r="J1512" s="37"/>
      <c r="K1512" s="38"/>
      <c r="L1512" s="38"/>
    </row>
    <row r="1513" spans="2:12" ht="14.5" x14ac:dyDescent="0.35">
      <c r="B1513" s="46" t="s">
        <v>3589</v>
      </c>
      <c r="C1513" s="36">
        <v>45899</v>
      </c>
      <c r="D1513" s="36" t="s">
        <v>1263</v>
      </c>
      <c r="E1513" s="37" t="s">
        <v>3135</v>
      </c>
      <c r="F1513" s="37" t="s">
        <v>4026</v>
      </c>
      <c r="G1513" s="38"/>
      <c r="H1513" s="38">
        <v>458.64</v>
      </c>
      <c r="I1513" s="37"/>
      <c r="J1513" s="37"/>
      <c r="K1513" s="38"/>
      <c r="L1513" s="38"/>
    </row>
    <row r="1514" spans="2:12" ht="14.5" x14ac:dyDescent="0.35">
      <c r="B1514" s="46" t="s">
        <v>3589</v>
      </c>
      <c r="C1514" s="36">
        <v>45899</v>
      </c>
      <c r="D1514" s="36" t="s">
        <v>1263</v>
      </c>
      <c r="E1514" s="37" t="s">
        <v>3136</v>
      </c>
      <c r="F1514" s="37" t="s">
        <v>4026</v>
      </c>
      <c r="G1514" s="38"/>
      <c r="H1514" s="38">
        <v>78.13000000000001</v>
      </c>
      <c r="I1514" s="37"/>
      <c r="J1514" s="37"/>
      <c r="K1514" s="38"/>
      <c r="L1514" s="38"/>
    </row>
    <row r="1515" spans="2:12" ht="14.5" x14ac:dyDescent="0.35">
      <c r="B1515" s="46" t="s">
        <v>3589</v>
      </c>
      <c r="C1515" s="36">
        <v>45899</v>
      </c>
      <c r="D1515" s="36" t="s">
        <v>1263</v>
      </c>
      <c r="E1515" s="37" t="s">
        <v>3137</v>
      </c>
      <c r="F1515" s="37" t="s">
        <v>4026</v>
      </c>
      <c r="G1515" s="38"/>
      <c r="H1515" s="38">
        <v>3365</v>
      </c>
      <c r="I1515" s="37"/>
      <c r="J1515" s="37"/>
      <c r="K1515" s="38"/>
      <c r="L1515" s="38"/>
    </row>
    <row r="1516" spans="2:12" ht="14.5" x14ac:dyDescent="0.35">
      <c r="B1516" s="46" t="s">
        <v>3589</v>
      </c>
      <c r="C1516" s="36">
        <v>45899</v>
      </c>
      <c r="D1516" s="36" t="s">
        <v>1629</v>
      </c>
      <c r="E1516" s="37" t="s">
        <v>3138</v>
      </c>
      <c r="F1516" s="37" t="s">
        <v>4026</v>
      </c>
      <c r="G1516" s="38"/>
      <c r="H1516" s="38">
        <v>79.62</v>
      </c>
      <c r="I1516" s="37"/>
      <c r="J1516" s="37"/>
      <c r="K1516" s="38"/>
      <c r="L1516" s="38"/>
    </row>
    <row r="1517" spans="2:12" ht="14.5" x14ac:dyDescent="0.35">
      <c r="B1517" s="46" t="s">
        <v>3589</v>
      </c>
      <c r="C1517" s="36">
        <v>45899</v>
      </c>
      <c r="D1517" s="36" t="s">
        <v>3477</v>
      </c>
      <c r="E1517" s="37" t="s">
        <v>3140</v>
      </c>
      <c r="F1517" s="37" t="s">
        <v>4026</v>
      </c>
      <c r="G1517" s="38"/>
      <c r="H1517" s="38">
        <v>116.43</v>
      </c>
      <c r="I1517" s="37"/>
      <c r="J1517" s="37"/>
      <c r="K1517" s="38"/>
      <c r="L1517" s="38"/>
    </row>
    <row r="1518" spans="2:12" ht="14.5" x14ac:dyDescent="0.35">
      <c r="B1518" s="46" t="s">
        <v>3589</v>
      </c>
      <c r="C1518" s="36">
        <v>45899</v>
      </c>
      <c r="D1518" s="36" t="s">
        <v>2313</v>
      </c>
      <c r="E1518" s="37" t="s">
        <v>3141</v>
      </c>
      <c r="F1518" s="37" t="s">
        <v>4026</v>
      </c>
      <c r="G1518" s="38"/>
      <c r="H1518" s="38">
        <v>154.57</v>
      </c>
      <c r="I1518" s="37"/>
      <c r="J1518" s="37"/>
      <c r="K1518" s="38"/>
      <c r="L1518" s="38"/>
    </row>
    <row r="1519" spans="2:12" ht="14.5" x14ac:dyDescent="0.35">
      <c r="B1519" s="46" t="s">
        <v>3589</v>
      </c>
      <c r="C1519" s="36">
        <v>45899</v>
      </c>
      <c r="D1519" s="36" t="s">
        <v>2313</v>
      </c>
      <c r="E1519" s="37" t="s">
        <v>3142</v>
      </c>
      <c r="F1519" s="37" t="s">
        <v>4026</v>
      </c>
      <c r="G1519" s="38"/>
      <c r="H1519" s="38">
        <v>11.9</v>
      </c>
      <c r="I1519" s="37"/>
      <c r="J1519" s="37"/>
      <c r="K1519" s="38"/>
      <c r="L1519" s="38"/>
    </row>
    <row r="1520" spans="2:12" ht="14.5" x14ac:dyDescent="0.35">
      <c r="B1520" s="46" t="s">
        <v>3589</v>
      </c>
      <c r="C1520" s="36">
        <v>45899</v>
      </c>
      <c r="D1520" s="36" t="s">
        <v>2313</v>
      </c>
      <c r="E1520" s="37" t="s">
        <v>3143</v>
      </c>
      <c r="F1520" s="37" t="s">
        <v>4026</v>
      </c>
      <c r="G1520" s="38"/>
      <c r="H1520" s="38">
        <v>41.87</v>
      </c>
      <c r="I1520" s="37"/>
      <c r="J1520" s="37"/>
      <c r="K1520" s="38"/>
      <c r="L1520" s="38"/>
    </row>
    <row r="1521" spans="2:12" ht="14.5" x14ac:dyDescent="0.35">
      <c r="B1521" s="46" t="s">
        <v>3589</v>
      </c>
      <c r="C1521" s="36">
        <v>45899</v>
      </c>
      <c r="D1521" s="36" t="s">
        <v>2313</v>
      </c>
      <c r="E1521" s="37" t="s">
        <v>3145</v>
      </c>
      <c r="F1521" s="37" t="s">
        <v>4026</v>
      </c>
      <c r="G1521" s="38"/>
      <c r="H1521" s="38">
        <v>12659.75</v>
      </c>
      <c r="I1521" s="37"/>
      <c r="J1521" s="37"/>
      <c r="K1521" s="38"/>
      <c r="L1521" s="38"/>
    </row>
    <row r="1522" spans="2:12" ht="14.5" x14ac:dyDescent="0.35">
      <c r="B1522" s="46" t="s">
        <v>3589</v>
      </c>
      <c r="C1522" s="36">
        <v>45899</v>
      </c>
      <c r="D1522" s="36" t="s">
        <v>2313</v>
      </c>
      <c r="E1522" s="37" t="s">
        <v>3147</v>
      </c>
      <c r="F1522" s="37" t="s">
        <v>4026</v>
      </c>
      <c r="G1522" s="38"/>
      <c r="H1522" s="38">
        <v>8.81</v>
      </c>
      <c r="I1522" s="37"/>
      <c r="J1522" s="37"/>
      <c r="K1522" s="38"/>
      <c r="L1522" s="38"/>
    </row>
    <row r="1523" spans="2:12" ht="14.5" x14ac:dyDescent="0.35">
      <c r="B1523" s="46" t="s">
        <v>3589</v>
      </c>
      <c r="C1523" s="36">
        <v>45899</v>
      </c>
      <c r="D1523" s="36" t="s">
        <v>2313</v>
      </c>
      <c r="E1523" s="37" t="s">
        <v>3149</v>
      </c>
      <c r="F1523" s="37" t="s">
        <v>4026</v>
      </c>
      <c r="G1523" s="38"/>
      <c r="H1523" s="38">
        <v>6042.51</v>
      </c>
      <c r="I1523" s="37"/>
      <c r="J1523" s="37"/>
      <c r="K1523" s="38"/>
      <c r="L1523" s="38"/>
    </row>
    <row r="1524" spans="2:12" ht="14.5" x14ac:dyDescent="0.35">
      <c r="B1524" s="46" t="s">
        <v>3589</v>
      </c>
      <c r="C1524" s="36">
        <v>45899</v>
      </c>
      <c r="D1524" s="36" t="s">
        <v>2313</v>
      </c>
      <c r="E1524" s="37" t="s">
        <v>3151</v>
      </c>
      <c r="F1524" s="37" t="s">
        <v>4026</v>
      </c>
      <c r="G1524" s="38"/>
      <c r="H1524" s="38">
        <v>2428.5500000000002</v>
      </c>
      <c r="I1524" s="37"/>
      <c r="J1524" s="37"/>
      <c r="K1524" s="38"/>
      <c r="L1524" s="38"/>
    </row>
    <row r="1525" spans="2:12" ht="14.5" x14ac:dyDescent="0.35">
      <c r="B1525" s="46" t="s">
        <v>3589</v>
      </c>
      <c r="C1525" s="36">
        <v>45899</v>
      </c>
      <c r="D1525" s="36" t="s">
        <v>2313</v>
      </c>
      <c r="E1525" s="37" t="s">
        <v>3152</v>
      </c>
      <c r="F1525" s="37" t="s">
        <v>4026</v>
      </c>
      <c r="G1525" s="38"/>
      <c r="H1525" s="38">
        <v>30.22</v>
      </c>
      <c r="I1525" s="37"/>
      <c r="J1525" s="37"/>
      <c r="K1525" s="38"/>
      <c r="L1525" s="38"/>
    </row>
    <row r="1526" spans="2:12" ht="14.5" x14ac:dyDescent="0.35">
      <c r="B1526" s="46" t="s">
        <v>3589</v>
      </c>
      <c r="C1526" s="36">
        <v>45899</v>
      </c>
      <c r="D1526" s="36" t="s">
        <v>301</v>
      </c>
      <c r="E1526" s="37">
        <v>37789</v>
      </c>
      <c r="F1526" s="37" t="s">
        <v>4026</v>
      </c>
      <c r="G1526" s="38"/>
      <c r="H1526" s="38">
        <v>64.700000000000017</v>
      </c>
      <c r="I1526" s="37"/>
      <c r="J1526" s="37"/>
      <c r="K1526" s="38"/>
      <c r="L1526" s="38"/>
    </row>
    <row r="1527" spans="2:12" ht="14.5" x14ac:dyDescent="0.35">
      <c r="B1527" s="46" t="s">
        <v>3589</v>
      </c>
      <c r="C1527" s="36">
        <v>45899</v>
      </c>
      <c r="D1527" s="36" t="s">
        <v>3470</v>
      </c>
      <c r="E1527" s="37" t="s">
        <v>3155</v>
      </c>
      <c r="F1527" s="37" t="s">
        <v>4026</v>
      </c>
      <c r="G1527" s="38"/>
      <c r="H1527" s="38">
        <v>1571.7</v>
      </c>
      <c r="I1527" s="37"/>
      <c r="J1527" s="37"/>
      <c r="K1527" s="38"/>
      <c r="L1527" s="38"/>
    </row>
    <row r="1528" spans="2:12" ht="14.5" x14ac:dyDescent="0.35">
      <c r="B1528" s="46" t="s">
        <v>3589</v>
      </c>
      <c r="C1528" s="36">
        <v>45899</v>
      </c>
      <c r="D1528" s="36" t="s">
        <v>999</v>
      </c>
      <c r="E1528" s="37" t="s">
        <v>3156</v>
      </c>
      <c r="F1528" s="37" t="s">
        <v>4026</v>
      </c>
      <c r="G1528" s="38"/>
      <c r="H1528" s="38">
        <v>5071.5899999999992</v>
      </c>
      <c r="I1528" s="37"/>
      <c r="J1528" s="37"/>
      <c r="K1528" s="38"/>
      <c r="L1528" s="38"/>
    </row>
    <row r="1529" spans="2:12" ht="14.5" x14ac:dyDescent="0.35">
      <c r="B1529" s="46" t="s">
        <v>3589</v>
      </c>
      <c r="C1529" s="36">
        <v>45899</v>
      </c>
      <c r="D1529" s="36" t="s">
        <v>999</v>
      </c>
      <c r="E1529" s="37" t="s">
        <v>3157</v>
      </c>
      <c r="F1529" s="37" t="s">
        <v>4026</v>
      </c>
      <c r="G1529" s="38"/>
      <c r="H1529" s="38">
        <v>8.42</v>
      </c>
      <c r="I1529" s="37"/>
      <c r="J1529" s="37"/>
      <c r="K1529" s="38"/>
      <c r="L1529" s="38"/>
    </row>
    <row r="1530" spans="2:12" ht="14.5" x14ac:dyDescent="0.35">
      <c r="B1530" s="46" t="s">
        <v>3589</v>
      </c>
      <c r="C1530" s="36">
        <v>45899</v>
      </c>
      <c r="D1530" s="36" t="s">
        <v>2449</v>
      </c>
      <c r="E1530" s="37" t="s">
        <v>3158</v>
      </c>
      <c r="F1530" s="37" t="s">
        <v>4026</v>
      </c>
      <c r="G1530" s="38"/>
      <c r="H1530" s="38">
        <v>997.51</v>
      </c>
      <c r="I1530" s="37"/>
      <c r="J1530" s="37"/>
      <c r="K1530" s="38"/>
      <c r="L1530" s="38"/>
    </row>
    <row r="1531" spans="2:12" ht="14.5" x14ac:dyDescent="0.35">
      <c r="B1531" s="46" t="s">
        <v>3589</v>
      </c>
      <c r="C1531" s="36">
        <v>45899</v>
      </c>
      <c r="D1531" s="36" t="s">
        <v>2449</v>
      </c>
      <c r="E1531" s="37" t="s">
        <v>3159</v>
      </c>
      <c r="F1531" s="37" t="s">
        <v>4026</v>
      </c>
      <c r="G1531" s="38"/>
      <c r="H1531" s="38">
        <v>610.20999999999992</v>
      </c>
      <c r="I1531" s="37"/>
      <c r="J1531" s="37"/>
      <c r="K1531" s="38"/>
      <c r="L1531" s="38"/>
    </row>
    <row r="1532" spans="2:12" ht="14.5" x14ac:dyDescent="0.35">
      <c r="B1532" s="46" t="s">
        <v>3589</v>
      </c>
      <c r="C1532" s="36">
        <v>45899</v>
      </c>
      <c r="D1532" s="36" t="s">
        <v>3478</v>
      </c>
      <c r="E1532" s="37" t="s">
        <v>3160</v>
      </c>
      <c r="F1532" s="37" t="s">
        <v>4026</v>
      </c>
      <c r="G1532" s="38"/>
      <c r="H1532" s="38">
        <v>51.5</v>
      </c>
      <c r="I1532" s="37"/>
      <c r="J1532" s="37"/>
      <c r="K1532" s="38"/>
      <c r="L1532" s="38"/>
    </row>
    <row r="1533" spans="2:12" ht="14.5" x14ac:dyDescent="0.35">
      <c r="B1533" s="46" t="s">
        <v>3589</v>
      </c>
      <c r="C1533" s="36">
        <v>45899</v>
      </c>
      <c r="D1533" s="36" t="s">
        <v>3478</v>
      </c>
      <c r="E1533" s="37" t="s">
        <v>3161</v>
      </c>
      <c r="F1533" s="37" t="s">
        <v>4026</v>
      </c>
      <c r="G1533" s="38"/>
      <c r="H1533" s="38">
        <v>2060.11</v>
      </c>
      <c r="I1533" s="37"/>
      <c r="J1533" s="37"/>
      <c r="K1533" s="38"/>
      <c r="L1533" s="38"/>
    </row>
    <row r="1534" spans="2:12" ht="14.5" x14ac:dyDescent="0.35">
      <c r="B1534" s="46" t="s">
        <v>3589</v>
      </c>
      <c r="C1534" s="36">
        <v>45899</v>
      </c>
      <c r="D1534" s="36" t="s">
        <v>3478</v>
      </c>
      <c r="E1534" s="37" t="s">
        <v>3162</v>
      </c>
      <c r="F1534" s="37" t="s">
        <v>4026</v>
      </c>
      <c r="G1534" s="38"/>
      <c r="H1534" s="38">
        <v>433.61</v>
      </c>
      <c r="I1534" s="37"/>
      <c r="J1534" s="37"/>
      <c r="K1534" s="38"/>
      <c r="L1534" s="38"/>
    </row>
    <row r="1535" spans="2:12" ht="14.5" x14ac:dyDescent="0.35">
      <c r="B1535" s="46" t="s">
        <v>3589</v>
      </c>
      <c r="C1535" s="36">
        <v>45899</v>
      </c>
      <c r="D1535" s="36" t="s">
        <v>3478</v>
      </c>
      <c r="E1535" s="37" t="s">
        <v>3163</v>
      </c>
      <c r="F1535" s="37" t="s">
        <v>4026</v>
      </c>
      <c r="G1535" s="38"/>
      <c r="H1535" s="38">
        <v>11.63</v>
      </c>
      <c r="I1535" s="37"/>
      <c r="J1535" s="37"/>
      <c r="K1535" s="38"/>
      <c r="L1535" s="38"/>
    </row>
    <row r="1536" spans="2:12" ht="14.5" x14ac:dyDescent="0.35">
      <c r="B1536" s="46" t="s">
        <v>3589</v>
      </c>
      <c r="C1536" s="36">
        <v>45899</v>
      </c>
      <c r="D1536" s="36" t="s">
        <v>3478</v>
      </c>
      <c r="E1536" s="37" t="s">
        <v>3164</v>
      </c>
      <c r="F1536" s="37" t="s">
        <v>4026</v>
      </c>
      <c r="G1536" s="38"/>
      <c r="H1536" s="38">
        <v>129.15</v>
      </c>
      <c r="I1536" s="37"/>
      <c r="J1536" s="37"/>
      <c r="K1536" s="38"/>
      <c r="L1536" s="38"/>
    </row>
    <row r="1537" spans="2:12" ht="14.5" x14ac:dyDescent="0.35">
      <c r="B1537" s="46" t="s">
        <v>3589</v>
      </c>
      <c r="C1537" s="36">
        <v>45899</v>
      </c>
      <c r="D1537" s="36" t="s">
        <v>2144</v>
      </c>
      <c r="E1537" s="37" t="s">
        <v>3165</v>
      </c>
      <c r="F1537" s="37" t="s">
        <v>4026</v>
      </c>
      <c r="G1537" s="38"/>
      <c r="H1537" s="38">
        <v>3202.08</v>
      </c>
      <c r="I1537" s="37"/>
      <c r="J1537" s="37"/>
      <c r="K1537" s="38"/>
      <c r="L1537" s="38"/>
    </row>
    <row r="1538" spans="2:12" ht="14.5" x14ac:dyDescent="0.35">
      <c r="B1538" s="46" t="s">
        <v>3589</v>
      </c>
      <c r="C1538" s="36">
        <v>45899</v>
      </c>
      <c r="D1538" s="36" t="s">
        <v>2205</v>
      </c>
      <c r="E1538" s="37" t="s">
        <v>3167</v>
      </c>
      <c r="F1538" s="37" t="s">
        <v>4026</v>
      </c>
      <c r="G1538" s="38"/>
      <c r="H1538" s="38">
        <v>32.090000000000003</v>
      </c>
      <c r="I1538" s="37"/>
      <c r="J1538" s="37"/>
      <c r="K1538" s="38"/>
      <c r="L1538" s="38"/>
    </row>
    <row r="1539" spans="2:12" ht="14.5" x14ac:dyDescent="0.35">
      <c r="B1539" s="46" t="s">
        <v>3589</v>
      </c>
      <c r="C1539" s="36">
        <v>45899</v>
      </c>
      <c r="D1539" s="36" t="s">
        <v>2205</v>
      </c>
      <c r="E1539" s="37" t="s">
        <v>3168</v>
      </c>
      <c r="F1539" s="37" t="s">
        <v>4026</v>
      </c>
      <c r="G1539" s="38"/>
      <c r="H1539" s="38">
        <v>132.38</v>
      </c>
      <c r="I1539" s="37"/>
      <c r="J1539" s="37"/>
      <c r="K1539" s="38"/>
      <c r="L1539" s="38"/>
    </row>
    <row r="1540" spans="2:12" ht="14.5" x14ac:dyDescent="0.35">
      <c r="B1540" s="46" t="s">
        <v>3589</v>
      </c>
      <c r="C1540" s="36">
        <v>45899</v>
      </c>
      <c r="D1540" s="36" t="s">
        <v>2392</v>
      </c>
      <c r="E1540" s="37" t="s">
        <v>3169</v>
      </c>
      <c r="F1540" s="37" t="s">
        <v>4026</v>
      </c>
      <c r="G1540" s="38"/>
      <c r="H1540" s="38">
        <v>259.06</v>
      </c>
      <c r="I1540" s="37"/>
      <c r="J1540" s="37"/>
      <c r="K1540" s="38"/>
      <c r="L1540" s="38"/>
    </row>
    <row r="1541" spans="2:12" ht="14.5" x14ac:dyDescent="0.35">
      <c r="B1541" s="46" t="s">
        <v>3589</v>
      </c>
      <c r="C1541" s="36">
        <v>45899</v>
      </c>
      <c r="D1541" s="36" t="s">
        <v>2392</v>
      </c>
      <c r="E1541" s="37" t="s">
        <v>3170</v>
      </c>
      <c r="F1541" s="37" t="s">
        <v>4026</v>
      </c>
      <c r="G1541" s="38"/>
      <c r="H1541" s="38">
        <v>17.98</v>
      </c>
      <c r="I1541" s="37"/>
      <c r="J1541" s="37"/>
      <c r="K1541" s="38"/>
      <c r="L1541" s="38"/>
    </row>
    <row r="1542" spans="2:12" ht="14.5" x14ac:dyDescent="0.35">
      <c r="B1542" s="46" t="s">
        <v>3589</v>
      </c>
      <c r="C1542" s="36">
        <v>45899</v>
      </c>
      <c r="D1542" s="36" t="s">
        <v>2392</v>
      </c>
      <c r="E1542" s="37" t="s">
        <v>3171</v>
      </c>
      <c r="F1542" s="37" t="s">
        <v>4026</v>
      </c>
      <c r="G1542" s="38"/>
      <c r="H1542" s="38">
        <v>20500.099999999999</v>
      </c>
      <c r="I1542" s="37"/>
      <c r="J1542" s="37"/>
      <c r="K1542" s="38"/>
      <c r="L1542" s="38"/>
    </row>
    <row r="1543" spans="2:12" ht="14.5" x14ac:dyDescent="0.35">
      <c r="B1543" s="46" t="s">
        <v>3589</v>
      </c>
      <c r="C1543" s="36">
        <v>45899</v>
      </c>
      <c r="D1543" s="36" t="s">
        <v>2392</v>
      </c>
      <c r="E1543" s="37" t="s">
        <v>3172</v>
      </c>
      <c r="F1543" s="37" t="s">
        <v>4026</v>
      </c>
      <c r="G1543" s="38"/>
      <c r="H1543" s="38">
        <v>5582.97</v>
      </c>
      <c r="I1543" s="37"/>
      <c r="J1543" s="37"/>
      <c r="K1543" s="38"/>
      <c r="L1543" s="38"/>
    </row>
    <row r="1544" spans="2:12" ht="14.5" x14ac:dyDescent="0.35">
      <c r="B1544" s="46" t="s">
        <v>3589</v>
      </c>
      <c r="C1544" s="36">
        <v>45899</v>
      </c>
      <c r="D1544" s="36" t="s">
        <v>2392</v>
      </c>
      <c r="E1544" s="37" t="s">
        <v>3173</v>
      </c>
      <c r="F1544" s="37" t="s">
        <v>4026</v>
      </c>
      <c r="G1544" s="38"/>
      <c r="H1544" s="38">
        <v>78.87</v>
      </c>
      <c r="I1544" s="37"/>
      <c r="J1544" s="37"/>
      <c r="K1544" s="38"/>
      <c r="L1544" s="38"/>
    </row>
    <row r="1545" spans="2:12" ht="14.5" x14ac:dyDescent="0.35">
      <c r="B1545" s="46" t="s">
        <v>3589</v>
      </c>
      <c r="C1545" s="36">
        <v>45899</v>
      </c>
      <c r="D1545" s="36" t="s">
        <v>2392</v>
      </c>
      <c r="E1545" s="37" t="s">
        <v>3174</v>
      </c>
      <c r="F1545" s="37" t="s">
        <v>4026</v>
      </c>
      <c r="G1545" s="38"/>
      <c r="H1545" s="38">
        <v>82.68</v>
      </c>
      <c r="I1545" s="37"/>
      <c r="J1545" s="37"/>
      <c r="K1545" s="38"/>
      <c r="L1545" s="38"/>
    </row>
    <row r="1546" spans="2:12" ht="14.5" x14ac:dyDescent="0.35">
      <c r="B1546" s="46" t="s">
        <v>3589</v>
      </c>
      <c r="C1546" s="36">
        <v>45899</v>
      </c>
      <c r="D1546" s="36" t="s">
        <v>2392</v>
      </c>
      <c r="E1546" s="37" t="s">
        <v>3175</v>
      </c>
      <c r="F1546" s="37" t="s">
        <v>4026</v>
      </c>
      <c r="G1546" s="38"/>
      <c r="H1546" s="38">
        <v>2858.69</v>
      </c>
      <c r="I1546" s="37"/>
      <c r="J1546" s="37"/>
      <c r="K1546" s="38"/>
      <c r="L1546" s="38"/>
    </row>
    <row r="1547" spans="2:12" ht="14.5" x14ac:dyDescent="0.35">
      <c r="B1547" s="46" t="s">
        <v>3589</v>
      </c>
      <c r="C1547" s="36">
        <v>45899</v>
      </c>
      <c r="D1547" s="36" t="s">
        <v>2437</v>
      </c>
      <c r="E1547" s="37" t="s">
        <v>3176</v>
      </c>
      <c r="F1547" s="37" t="s">
        <v>4026</v>
      </c>
      <c r="G1547" s="38"/>
      <c r="H1547" s="38">
        <v>31617.68</v>
      </c>
      <c r="I1547" s="37"/>
      <c r="J1547" s="37"/>
      <c r="K1547" s="38"/>
      <c r="L1547" s="38"/>
    </row>
    <row r="1548" spans="2:12" ht="14.5" x14ac:dyDescent="0.35">
      <c r="B1548" s="46" t="s">
        <v>3589</v>
      </c>
      <c r="C1548" s="36">
        <v>45899</v>
      </c>
      <c r="D1548" s="36" t="s">
        <v>3479</v>
      </c>
      <c r="E1548" s="37" t="s">
        <v>3177</v>
      </c>
      <c r="F1548" s="37" t="s">
        <v>4026</v>
      </c>
      <c r="G1548" s="38"/>
      <c r="H1548" s="38">
        <v>3125.09</v>
      </c>
      <c r="I1548" s="37"/>
      <c r="J1548" s="37"/>
      <c r="K1548" s="38"/>
      <c r="L1548" s="38"/>
    </row>
    <row r="1549" spans="2:12" ht="14.5" x14ac:dyDescent="0.35">
      <c r="B1549" s="46" t="s">
        <v>3589</v>
      </c>
      <c r="C1549" s="36">
        <v>45899</v>
      </c>
      <c r="D1549" s="36" t="s">
        <v>3480</v>
      </c>
      <c r="E1549" s="37" t="s">
        <v>3178</v>
      </c>
      <c r="F1549" s="37" t="s">
        <v>4026</v>
      </c>
      <c r="G1549" s="38"/>
      <c r="H1549" s="38">
        <v>21111.630000000008</v>
      </c>
      <c r="I1549" s="37"/>
      <c r="J1549" s="37"/>
      <c r="K1549" s="38"/>
      <c r="L1549" s="38"/>
    </row>
    <row r="1550" spans="2:12" ht="14.5" x14ac:dyDescent="0.35">
      <c r="B1550" s="46" t="s">
        <v>3589</v>
      </c>
      <c r="C1550" s="36">
        <v>45899</v>
      </c>
      <c r="D1550" s="36" t="s">
        <v>2437</v>
      </c>
      <c r="E1550" s="37" t="s">
        <v>3179</v>
      </c>
      <c r="F1550" s="37" t="s">
        <v>4026</v>
      </c>
      <c r="G1550" s="38"/>
      <c r="H1550" s="38">
        <v>41736.950000000004</v>
      </c>
      <c r="I1550" s="37"/>
      <c r="J1550" s="37"/>
      <c r="K1550" s="38"/>
      <c r="L1550" s="38"/>
    </row>
    <row r="1551" spans="2:12" ht="14.5" x14ac:dyDescent="0.35">
      <c r="B1551" s="46" t="s">
        <v>3589</v>
      </c>
      <c r="C1551" s="36">
        <v>45899</v>
      </c>
      <c r="D1551" s="36" t="s">
        <v>2437</v>
      </c>
      <c r="E1551" s="37" t="s">
        <v>3180</v>
      </c>
      <c r="F1551" s="37" t="s">
        <v>4026</v>
      </c>
      <c r="G1551" s="38"/>
      <c r="H1551" s="38">
        <v>13301.31</v>
      </c>
      <c r="I1551" s="37"/>
      <c r="J1551" s="37"/>
      <c r="K1551" s="38"/>
      <c r="L1551" s="38"/>
    </row>
    <row r="1552" spans="2:12" ht="14.5" x14ac:dyDescent="0.35">
      <c r="B1552" s="46" t="s">
        <v>3589</v>
      </c>
      <c r="C1552" s="36">
        <v>45899</v>
      </c>
      <c r="D1552" s="36" t="s">
        <v>2437</v>
      </c>
      <c r="E1552" s="37" t="s">
        <v>3181</v>
      </c>
      <c r="F1552" s="37" t="s">
        <v>4026</v>
      </c>
      <c r="G1552" s="38"/>
      <c r="H1552" s="38">
        <v>111.74</v>
      </c>
      <c r="I1552" s="37"/>
      <c r="J1552" s="37"/>
      <c r="K1552" s="38"/>
      <c r="L1552" s="38"/>
    </row>
    <row r="1553" spans="2:12" ht="14.5" x14ac:dyDescent="0.35">
      <c r="B1553" s="46" t="s">
        <v>3589</v>
      </c>
      <c r="C1553" s="36">
        <v>45899</v>
      </c>
      <c r="D1553" s="36" t="s">
        <v>1608</v>
      </c>
      <c r="E1553" s="37" t="s">
        <v>3182</v>
      </c>
      <c r="F1553" s="37" t="s">
        <v>4026</v>
      </c>
      <c r="G1553" s="38"/>
      <c r="H1553" s="38">
        <v>130.12</v>
      </c>
      <c r="I1553" s="37"/>
      <c r="J1553" s="37"/>
      <c r="K1553" s="38"/>
      <c r="L1553" s="38"/>
    </row>
    <row r="1554" spans="2:12" ht="14.5" x14ac:dyDescent="0.35">
      <c r="B1554" s="46" t="s">
        <v>3589</v>
      </c>
      <c r="C1554" s="36">
        <v>45899</v>
      </c>
      <c r="D1554" s="36" t="s">
        <v>1608</v>
      </c>
      <c r="E1554" s="37" t="s">
        <v>3183</v>
      </c>
      <c r="F1554" s="37" t="s">
        <v>4026</v>
      </c>
      <c r="G1554" s="38"/>
      <c r="H1554" s="38">
        <v>98.43</v>
      </c>
      <c r="I1554" s="37"/>
      <c r="J1554" s="37"/>
      <c r="K1554" s="38"/>
      <c r="L1554" s="38"/>
    </row>
    <row r="1555" spans="2:12" ht="14.5" x14ac:dyDescent="0.35">
      <c r="B1555" s="46" t="s">
        <v>3589</v>
      </c>
      <c r="C1555" s="36">
        <v>45899</v>
      </c>
      <c r="D1555" s="36" t="s">
        <v>1608</v>
      </c>
      <c r="E1555" s="37" t="s">
        <v>3184</v>
      </c>
      <c r="F1555" s="37" t="s">
        <v>4026</v>
      </c>
      <c r="G1555" s="38"/>
      <c r="H1555" s="38">
        <v>295.72000000000003</v>
      </c>
      <c r="I1555" s="37"/>
      <c r="J1555" s="37"/>
      <c r="K1555" s="38"/>
      <c r="L1555" s="38"/>
    </row>
    <row r="1556" spans="2:12" ht="14.5" x14ac:dyDescent="0.35">
      <c r="B1556" s="46" t="s">
        <v>3589</v>
      </c>
      <c r="C1556" s="36">
        <v>45899</v>
      </c>
      <c r="D1556" s="36" t="s">
        <v>3481</v>
      </c>
      <c r="E1556" s="37" t="s">
        <v>3185</v>
      </c>
      <c r="F1556" s="37" t="s">
        <v>4026</v>
      </c>
      <c r="G1556" s="38"/>
      <c r="H1556" s="38">
        <v>2.1800000000000002</v>
      </c>
      <c r="I1556" s="37"/>
      <c r="J1556" s="37"/>
      <c r="K1556" s="38"/>
      <c r="L1556" s="38"/>
    </row>
    <row r="1557" spans="2:12" ht="14.5" x14ac:dyDescent="0.35">
      <c r="B1557" s="46" t="s">
        <v>3589</v>
      </c>
      <c r="C1557" s="36">
        <v>45899</v>
      </c>
      <c r="D1557" s="36" t="s">
        <v>3481</v>
      </c>
      <c r="E1557" s="37" t="s">
        <v>3186</v>
      </c>
      <c r="F1557" s="37" t="s">
        <v>4026</v>
      </c>
      <c r="G1557" s="38"/>
      <c r="H1557" s="38">
        <v>5550.68</v>
      </c>
      <c r="I1557" s="37"/>
      <c r="J1557" s="37"/>
      <c r="K1557" s="38"/>
      <c r="L1557" s="38"/>
    </row>
    <row r="1558" spans="2:12" ht="14.5" x14ac:dyDescent="0.35">
      <c r="B1558" s="46" t="s">
        <v>3589</v>
      </c>
      <c r="C1558" s="36">
        <v>45899</v>
      </c>
      <c r="D1558" s="36" t="s">
        <v>3481</v>
      </c>
      <c r="E1558" s="37" t="s">
        <v>3187</v>
      </c>
      <c r="F1558" s="37" t="s">
        <v>4026</v>
      </c>
      <c r="G1558" s="38"/>
      <c r="H1558" s="38">
        <v>6386.09</v>
      </c>
      <c r="I1558" s="37"/>
      <c r="J1558" s="37"/>
      <c r="K1558" s="38"/>
      <c r="L1558" s="38"/>
    </row>
    <row r="1559" spans="2:12" ht="14.5" x14ac:dyDescent="0.35">
      <c r="B1559" s="46" t="s">
        <v>3589</v>
      </c>
      <c r="C1559" s="36">
        <v>45899</v>
      </c>
      <c r="D1559" s="36" t="s">
        <v>3482</v>
      </c>
      <c r="E1559" s="37" t="s">
        <v>3188</v>
      </c>
      <c r="F1559" s="37" t="s">
        <v>4026</v>
      </c>
      <c r="G1559" s="38"/>
      <c r="H1559" s="38">
        <v>200</v>
      </c>
      <c r="I1559" s="37"/>
      <c r="J1559" s="37"/>
      <c r="K1559" s="38"/>
      <c r="L1559" s="38"/>
    </row>
    <row r="1560" spans="2:12" ht="14.5" x14ac:dyDescent="0.35">
      <c r="B1560" s="46" t="s">
        <v>3589</v>
      </c>
      <c r="C1560" s="36">
        <v>45899</v>
      </c>
      <c r="D1560" s="36" t="s">
        <v>3483</v>
      </c>
      <c r="E1560" s="37">
        <v>38034</v>
      </c>
      <c r="F1560" s="37" t="s">
        <v>4026</v>
      </c>
      <c r="G1560" s="38"/>
      <c r="H1560" s="38">
        <v>2454.73</v>
      </c>
      <c r="I1560" s="37"/>
      <c r="J1560" s="37"/>
      <c r="K1560" s="38"/>
      <c r="L1560" s="38"/>
    </row>
    <row r="1561" spans="2:12" ht="14.5" x14ac:dyDescent="0.35">
      <c r="B1561" s="46" t="s">
        <v>3589</v>
      </c>
      <c r="C1561" s="36">
        <v>45899</v>
      </c>
      <c r="D1561" s="36" t="s">
        <v>3479</v>
      </c>
      <c r="E1561" s="37" t="s">
        <v>3189</v>
      </c>
      <c r="F1561" s="37" t="s">
        <v>4026</v>
      </c>
      <c r="G1561" s="38"/>
      <c r="H1561" s="38">
        <v>8670.8700000000008</v>
      </c>
      <c r="I1561" s="37"/>
      <c r="J1561" s="37"/>
      <c r="K1561" s="38"/>
      <c r="L1561" s="38"/>
    </row>
    <row r="1562" spans="2:12" ht="14.5" x14ac:dyDescent="0.35">
      <c r="B1562" s="46" t="s">
        <v>3589</v>
      </c>
      <c r="C1562" s="36">
        <v>45899</v>
      </c>
      <c r="D1562" s="36" t="s">
        <v>2629</v>
      </c>
      <c r="E1562" s="37" t="s">
        <v>3190</v>
      </c>
      <c r="F1562" s="37" t="s">
        <v>4026</v>
      </c>
      <c r="G1562" s="38"/>
      <c r="H1562" s="38">
        <v>4601.51</v>
      </c>
      <c r="I1562" s="37"/>
      <c r="J1562" s="37"/>
      <c r="K1562" s="38"/>
      <c r="L1562" s="38"/>
    </row>
    <row r="1563" spans="2:12" ht="14.5" x14ac:dyDescent="0.35">
      <c r="B1563" s="46" t="s">
        <v>3589</v>
      </c>
      <c r="C1563" s="36">
        <v>45899</v>
      </c>
      <c r="D1563" s="36" t="s">
        <v>2629</v>
      </c>
      <c r="E1563" s="37" t="s">
        <v>3191</v>
      </c>
      <c r="F1563" s="37" t="s">
        <v>4026</v>
      </c>
      <c r="G1563" s="38"/>
      <c r="H1563" s="38">
        <v>30.75</v>
      </c>
      <c r="I1563" s="37"/>
      <c r="J1563" s="37"/>
      <c r="K1563" s="38"/>
      <c r="L1563" s="38"/>
    </row>
    <row r="1564" spans="2:12" ht="14.5" x14ac:dyDescent="0.35">
      <c r="B1564" s="46" t="s">
        <v>3589</v>
      </c>
      <c r="C1564" s="36">
        <v>45899</v>
      </c>
      <c r="D1564" s="36" t="s">
        <v>2429</v>
      </c>
      <c r="E1564" s="37" t="s">
        <v>3192</v>
      </c>
      <c r="F1564" s="37" t="s">
        <v>4026</v>
      </c>
      <c r="G1564" s="38"/>
      <c r="H1564" s="38">
        <v>1465.8200000000002</v>
      </c>
      <c r="I1564" s="37"/>
      <c r="J1564" s="37"/>
      <c r="K1564" s="38"/>
      <c r="L1564" s="38"/>
    </row>
    <row r="1565" spans="2:12" ht="14.5" x14ac:dyDescent="0.35">
      <c r="B1565" s="46" t="s">
        <v>3589</v>
      </c>
      <c r="C1565" s="36">
        <v>45899</v>
      </c>
      <c r="D1565" s="36" t="s">
        <v>2429</v>
      </c>
      <c r="E1565" s="37" t="s">
        <v>3193</v>
      </c>
      <c r="F1565" s="37" t="s">
        <v>4026</v>
      </c>
      <c r="G1565" s="38"/>
      <c r="H1565" s="38">
        <v>6.2</v>
      </c>
      <c r="I1565" s="37"/>
      <c r="J1565" s="37"/>
      <c r="K1565" s="38"/>
      <c r="L1565" s="38"/>
    </row>
    <row r="1566" spans="2:12" ht="14.5" x14ac:dyDescent="0.35">
      <c r="B1566" s="46" t="s">
        <v>3589</v>
      </c>
      <c r="C1566" s="36">
        <v>45899</v>
      </c>
      <c r="D1566" s="36" t="s">
        <v>3470</v>
      </c>
      <c r="E1566" s="37">
        <v>38051</v>
      </c>
      <c r="F1566" s="37" t="s">
        <v>4026</v>
      </c>
      <c r="G1566" s="38"/>
      <c r="H1566" s="38">
        <v>40200.090000000004</v>
      </c>
      <c r="I1566" s="37"/>
      <c r="J1566" s="37"/>
      <c r="K1566" s="38"/>
      <c r="L1566" s="38"/>
    </row>
    <row r="1567" spans="2:12" ht="14.5" x14ac:dyDescent="0.35">
      <c r="B1567" s="46" t="s">
        <v>3589</v>
      </c>
      <c r="C1567" s="36">
        <v>45899</v>
      </c>
      <c r="D1567" s="36" t="s">
        <v>1695</v>
      </c>
      <c r="E1567" s="37" t="s">
        <v>3194</v>
      </c>
      <c r="F1567" s="37" t="s">
        <v>4026</v>
      </c>
      <c r="G1567" s="38"/>
      <c r="H1567" s="38">
        <v>2046.6000000000001</v>
      </c>
      <c r="I1567" s="37"/>
      <c r="J1567" s="37"/>
      <c r="K1567" s="38"/>
      <c r="L1567" s="38"/>
    </row>
    <row r="1568" spans="2:12" ht="14.5" x14ac:dyDescent="0.35">
      <c r="B1568" s="46" t="s">
        <v>3589</v>
      </c>
      <c r="C1568" s="36">
        <v>45899</v>
      </c>
      <c r="D1568" s="36" t="s">
        <v>1695</v>
      </c>
      <c r="E1568" s="37" t="s">
        <v>3195</v>
      </c>
      <c r="F1568" s="37" t="s">
        <v>4026</v>
      </c>
      <c r="G1568" s="38"/>
      <c r="H1568" s="38">
        <v>428.77</v>
      </c>
      <c r="I1568" s="37"/>
      <c r="J1568" s="37"/>
      <c r="K1568" s="38"/>
      <c r="L1568" s="38"/>
    </row>
    <row r="1569" spans="2:12" ht="14.5" x14ac:dyDescent="0.35">
      <c r="B1569" s="46" t="s">
        <v>3589</v>
      </c>
      <c r="C1569" s="36">
        <v>45899</v>
      </c>
      <c r="D1569" s="36" t="s">
        <v>1695</v>
      </c>
      <c r="E1569" s="37" t="s">
        <v>3196</v>
      </c>
      <c r="F1569" s="37" t="s">
        <v>4026</v>
      </c>
      <c r="G1569" s="38"/>
      <c r="H1569" s="38">
        <v>190.34</v>
      </c>
      <c r="I1569" s="37"/>
      <c r="J1569" s="37"/>
      <c r="K1569" s="38"/>
      <c r="L1569" s="38"/>
    </row>
    <row r="1570" spans="2:12" ht="14.5" x14ac:dyDescent="0.35">
      <c r="B1570" s="46" t="s">
        <v>3589</v>
      </c>
      <c r="C1570" s="36">
        <v>45899</v>
      </c>
      <c r="D1570" s="36" t="s">
        <v>1695</v>
      </c>
      <c r="E1570" s="37" t="s">
        <v>3197</v>
      </c>
      <c r="F1570" s="37" t="s">
        <v>4026</v>
      </c>
      <c r="G1570" s="38"/>
      <c r="H1570" s="38">
        <v>893</v>
      </c>
      <c r="I1570" s="37"/>
      <c r="J1570" s="37"/>
      <c r="K1570" s="38"/>
      <c r="L1570" s="38"/>
    </row>
    <row r="1571" spans="2:12" ht="14.5" x14ac:dyDescent="0.35">
      <c r="B1571" s="46" t="s">
        <v>3589</v>
      </c>
      <c r="C1571" s="36">
        <v>45899</v>
      </c>
      <c r="D1571" s="36" t="s">
        <v>3484</v>
      </c>
      <c r="E1571" s="37" t="s">
        <v>3198</v>
      </c>
      <c r="F1571" s="37" t="s">
        <v>4026</v>
      </c>
      <c r="G1571" s="38"/>
      <c r="H1571" s="38">
        <v>0</v>
      </c>
      <c r="I1571" s="37"/>
      <c r="J1571" s="37"/>
      <c r="K1571" s="38"/>
      <c r="L1571" s="38"/>
    </row>
    <row r="1572" spans="2:12" ht="14.5" x14ac:dyDescent="0.35">
      <c r="B1572" s="46" t="s">
        <v>3589</v>
      </c>
      <c r="C1572" s="36">
        <v>45899</v>
      </c>
      <c r="D1572" s="36" t="s">
        <v>3484</v>
      </c>
      <c r="E1572" s="37" t="s">
        <v>3199</v>
      </c>
      <c r="F1572" s="37" t="s">
        <v>4026</v>
      </c>
      <c r="G1572" s="38"/>
      <c r="H1572" s="38">
        <v>0</v>
      </c>
      <c r="I1572" s="37"/>
      <c r="J1572" s="37"/>
      <c r="K1572" s="38"/>
      <c r="L1572" s="38"/>
    </row>
    <row r="1573" spans="2:12" ht="14.5" x14ac:dyDescent="0.35">
      <c r="B1573" s="46" t="s">
        <v>3589</v>
      </c>
      <c r="C1573" s="36">
        <v>45899</v>
      </c>
      <c r="D1573" s="36" t="s">
        <v>3485</v>
      </c>
      <c r="E1573" s="37" t="s">
        <v>3200</v>
      </c>
      <c r="F1573" s="37" t="s">
        <v>4026</v>
      </c>
      <c r="G1573" s="38"/>
      <c r="H1573" s="38">
        <v>0</v>
      </c>
      <c r="I1573" s="37"/>
      <c r="J1573" s="37"/>
      <c r="K1573" s="38"/>
      <c r="L1573" s="38"/>
    </row>
    <row r="1574" spans="2:12" ht="14.5" x14ac:dyDescent="0.35">
      <c r="B1574" s="46" t="s">
        <v>3589</v>
      </c>
      <c r="C1574" s="36">
        <v>45899</v>
      </c>
      <c r="D1574" s="36" t="s">
        <v>2212</v>
      </c>
      <c r="E1574" s="37" t="s">
        <v>3201</v>
      </c>
      <c r="F1574" s="37" t="s">
        <v>4026</v>
      </c>
      <c r="G1574" s="38"/>
      <c r="H1574" s="38">
        <v>44172.3</v>
      </c>
      <c r="I1574" s="37"/>
      <c r="J1574" s="37"/>
      <c r="K1574" s="38"/>
      <c r="L1574" s="38"/>
    </row>
    <row r="1575" spans="2:12" ht="14.5" x14ac:dyDescent="0.35">
      <c r="B1575" s="46" t="s">
        <v>3589</v>
      </c>
      <c r="C1575" s="36">
        <v>45899</v>
      </c>
      <c r="D1575" s="36" t="s">
        <v>3486</v>
      </c>
      <c r="E1575" s="37" t="s">
        <v>3202</v>
      </c>
      <c r="F1575" s="37" t="s">
        <v>4026</v>
      </c>
      <c r="G1575" s="38"/>
      <c r="H1575" s="38">
        <v>3122.2</v>
      </c>
      <c r="I1575" s="37"/>
      <c r="J1575" s="37"/>
      <c r="K1575" s="38"/>
      <c r="L1575" s="38"/>
    </row>
    <row r="1576" spans="2:12" ht="14.5" x14ac:dyDescent="0.35">
      <c r="B1576" s="46" t="s">
        <v>3589</v>
      </c>
      <c r="C1576" s="36">
        <v>45899</v>
      </c>
      <c r="D1576" s="36" t="s">
        <v>3486</v>
      </c>
      <c r="E1576" s="37" t="s">
        <v>3203</v>
      </c>
      <c r="F1576" s="37" t="s">
        <v>4026</v>
      </c>
      <c r="G1576" s="38"/>
      <c r="H1576" s="38">
        <v>152.83000000000001</v>
      </c>
      <c r="I1576" s="37"/>
      <c r="J1576" s="37"/>
      <c r="K1576" s="38"/>
      <c r="L1576" s="38"/>
    </row>
    <row r="1577" spans="2:12" ht="14.5" x14ac:dyDescent="0.35">
      <c r="B1577" s="46" t="s">
        <v>3589</v>
      </c>
      <c r="C1577" s="36">
        <v>45899</v>
      </c>
      <c r="D1577" s="36" t="s">
        <v>3486</v>
      </c>
      <c r="E1577" s="37" t="s">
        <v>3204</v>
      </c>
      <c r="F1577" s="37" t="s">
        <v>4026</v>
      </c>
      <c r="G1577" s="38"/>
      <c r="H1577" s="38">
        <v>13366.08</v>
      </c>
      <c r="I1577" s="37"/>
      <c r="J1577" s="37"/>
      <c r="K1577" s="38"/>
      <c r="L1577" s="38"/>
    </row>
    <row r="1578" spans="2:12" ht="14.5" x14ac:dyDescent="0.35">
      <c r="B1578" s="46" t="s">
        <v>3589</v>
      </c>
      <c r="C1578" s="36">
        <v>45899</v>
      </c>
      <c r="D1578" s="36" t="s">
        <v>3486</v>
      </c>
      <c r="E1578" s="37" t="s">
        <v>3205</v>
      </c>
      <c r="F1578" s="37" t="s">
        <v>4026</v>
      </c>
      <c r="G1578" s="38"/>
      <c r="H1578" s="38">
        <v>832.19</v>
      </c>
      <c r="I1578" s="37"/>
      <c r="J1578" s="37"/>
      <c r="K1578" s="38"/>
      <c r="L1578" s="38"/>
    </row>
    <row r="1579" spans="2:12" ht="14.5" x14ac:dyDescent="0.35">
      <c r="B1579" s="46" t="s">
        <v>3589</v>
      </c>
      <c r="C1579" s="36">
        <v>45899</v>
      </c>
      <c r="D1579" s="36" t="s">
        <v>3486</v>
      </c>
      <c r="E1579" s="37" t="s">
        <v>3206</v>
      </c>
      <c r="F1579" s="37" t="s">
        <v>4026</v>
      </c>
      <c r="G1579" s="38"/>
      <c r="H1579" s="38">
        <v>1283.25</v>
      </c>
      <c r="I1579" s="37"/>
      <c r="J1579" s="37"/>
      <c r="K1579" s="38"/>
      <c r="L1579" s="38"/>
    </row>
    <row r="1580" spans="2:12" ht="14.5" x14ac:dyDescent="0.35">
      <c r="B1580" s="46" t="s">
        <v>3589</v>
      </c>
      <c r="C1580" s="36">
        <v>45899</v>
      </c>
      <c r="D1580" s="36" t="s">
        <v>3486</v>
      </c>
      <c r="E1580" s="37" t="s">
        <v>3207</v>
      </c>
      <c r="F1580" s="37" t="s">
        <v>4026</v>
      </c>
      <c r="G1580" s="38"/>
      <c r="H1580" s="38">
        <v>2731.76</v>
      </c>
      <c r="I1580" s="37"/>
      <c r="J1580" s="37"/>
      <c r="K1580" s="38"/>
      <c r="L1580" s="38"/>
    </row>
    <row r="1581" spans="2:12" ht="14.5" x14ac:dyDescent="0.35">
      <c r="B1581" s="46" t="s">
        <v>3589</v>
      </c>
      <c r="C1581" s="36">
        <v>45899</v>
      </c>
      <c r="D1581" s="36" t="s">
        <v>3486</v>
      </c>
      <c r="E1581" s="37" t="s">
        <v>3208</v>
      </c>
      <c r="F1581" s="37" t="s">
        <v>4026</v>
      </c>
      <c r="G1581" s="38"/>
      <c r="H1581" s="38">
        <v>314.25</v>
      </c>
      <c r="I1581" s="37"/>
      <c r="J1581" s="37"/>
      <c r="K1581" s="38"/>
      <c r="L1581" s="38"/>
    </row>
    <row r="1582" spans="2:12" ht="14.5" x14ac:dyDescent="0.35">
      <c r="B1582" s="46" t="s">
        <v>3589</v>
      </c>
      <c r="C1582" s="36">
        <v>45899</v>
      </c>
      <c r="D1582" s="36" t="s">
        <v>3486</v>
      </c>
      <c r="E1582" s="37" t="s">
        <v>3209</v>
      </c>
      <c r="F1582" s="37" t="s">
        <v>4026</v>
      </c>
      <c r="G1582" s="38"/>
      <c r="H1582" s="38">
        <v>2943.93</v>
      </c>
      <c r="I1582" s="37"/>
      <c r="J1582" s="37"/>
      <c r="K1582" s="38"/>
      <c r="L1582" s="38"/>
    </row>
    <row r="1583" spans="2:12" ht="14.5" x14ac:dyDescent="0.35">
      <c r="B1583" s="46" t="s">
        <v>3589</v>
      </c>
      <c r="C1583" s="36">
        <v>45899</v>
      </c>
      <c r="D1583" s="36" t="s">
        <v>3486</v>
      </c>
      <c r="E1583" s="37" t="s">
        <v>3210</v>
      </c>
      <c r="F1583" s="37" t="s">
        <v>4026</v>
      </c>
      <c r="G1583" s="38"/>
      <c r="H1583" s="38">
        <v>26683.37</v>
      </c>
      <c r="I1583" s="37"/>
      <c r="J1583" s="37"/>
      <c r="K1583" s="38"/>
      <c r="L1583" s="38"/>
    </row>
    <row r="1584" spans="2:12" ht="14.5" x14ac:dyDescent="0.35">
      <c r="B1584" s="46" t="s">
        <v>3589</v>
      </c>
      <c r="C1584" s="36">
        <v>45899</v>
      </c>
      <c r="D1584" s="36" t="s">
        <v>2027</v>
      </c>
      <c r="E1584" s="37" t="s">
        <v>3211</v>
      </c>
      <c r="F1584" s="37" t="s">
        <v>4026</v>
      </c>
      <c r="G1584" s="38"/>
      <c r="H1584" s="38">
        <v>160.87</v>
      </c>
      <c r="I1584" s="37"/>
      <c r="J1584" s="37"/>
      <c r="K1584" s="38"/>
      <c r="L1584" s="38"/>
    </row>
    <row r="1585" spans="2:12" ht="14.5" x14ac:dyDescent="0.35">
      <c r="B1585" s="46" t="s">
        <v>3589</v>
      </c>
      <c r="C1585" s="36">
        <v>45899</v>
      </c>
      <c r="D1585" s="36" t="s">
        <v>2846</v>
      </c>
      <c r="E1585" s="37" t="s">
        <v>3213</v>
      </c>
      <c r="F1585" s="37" t="s">
        <v>4026</v>
      </c>
      <c r="G1585" s="38"/>
      <c r="H1585" s="38">
        <v>7.43</v>
      </c>
      <c r="I1585" s="37"/>
      <c r="J1585" s="37"/>
      <c r="K1585" s="38"/>
      <c r="L1585" s="38"/>
    </row>
    <row r="1586" spans="2:12" ht="14.5" x14ac:dyDescent="0.35">
      <c r="B1586" s="46" t="s">
        <v>3589</v>
      </c>
      <c r="C1586" s="36">
        <v>45899</v>
      </c>
      <c r="D1586" s="36" t="s">
        <v>3154</v>
      </c>
      <c r="E1586" s="37" t="s">
        <v>3214</v>
      </c>
      <c r="F1586" s="37" t="s">
        <v>4026</v>
      </c>
      <c r="G1586" s="38"/>
      <c r="H1586" s="38">
        <v>8973.59</v>
      </c>
      <c r="I1586" s="37"/>
      <c r="J1586" s="37"/>
      <c r="K1586" s="38"/>
      <c r="L1586" s="38"/>
    </row>
    <row r="1587" spans="2:12" ht="14.5" x14ac:dyDescent="0.35">
      <c r="B1587" s="46" t="s">
        <v>3589</v>
      </c>
      <c r="C1587" s="36">
        <v>45899</v>
      </c>
      <c r="D1587" s="36" t="s">
        <v>2442</v>
      </c>
      <c r="E1587" s="37" t="s">
        <v>3215</v>
      </c>
      <c r="F1587" s="37" t="s">
        <v>4026</v>
      </c>
      <c r="G1587" s="38"/>
      <c r="H1587" s="38">
        <v>1744.77</v>
      </c>
      <c r="I1587" s="37"/>
      <c r="J1587" s="37"/>
      <c r="K1587" s="38"/>
      <c r="L1587" s="38"/>
    </row>
    <row r="1588" spans="2:12" ht="14.5" x14ac:dyDescent="0.35">
      <c r="B1588" s="46" t="s">
        <v>3589</v>
      </c>
      <c r="C1588" s="36">
        <v>45899</v>
      </c>
      <c r="D1588" s="36" t="s">
        <v>2442</v>
      </c>
      <c r="E1588" s="37" t="s">
        <v>3216</v>
      </c>
      <c r="F1588" s="37" t="s">
        <v>4026</v>
      </c>
      <c r="G1588" s="38"/>
      <c r="H1588" s="38">
        <v>1138.8600000000001</v>
      </c>
      <c r="I1588" s="37"/>
      <c r="J1588" s="37"/>
      <c r="K1588" s="38"/>
      <c r="L1588" s="38"/>
    </row>
    <row r="1589" spans="2:12" ht="14.5" x14ac:dyDescent="0.35">
      <c r="B1589" s="46" t="s">
        <v>3589</v>
      </c>
      <c r="C1589" s="36">
        <v>45899</v>
      </c>
      <c r="D1589" s="36" t="s">
        <v>2626</v>
      </c>
      <c r="E1589" s="37" t="s">
        <v>3217</v>
      </c>
      <c r="F1589" s="37" t="s">
        <v>4026</v>
      </c>
      <c r="G1589" s="38"/>
      <c r="H1589" s="38">
        <v>20.25</v>
      </c>
      <c r="I1589" s="37"/>
      <c r="J1589" s="37"/>
      <c r="K1589" s="38"/>
      <c r="L1589" s="38"/>
    </row>
    <row r="1590" spans="2:12" ht="14.5" x14ac:dyDescent="0.35">
      <c r="B1590" s="46" t="s">
        <v>3589</v>
      </c>
      <c r="C1590" s="36">
        <v>45899</v>
      </c>
      <c r="D1590" s="36" t="s">
        <v>2626</v>
      </c>
      <c r="E1590" s="37" t="s">
        <v>3219</v>
      </c>
      <c r="F1590" s="37" t="s">
        <v>4026</v>
      </c>
      <c r="G1590" s="38"/>
      <c r="H1590" s="38">
        <v>11974.57</v>
      </c>
      <c r="I1590" s="37"/>
      <c r="J1590" s="37"/>
      <c r="K1590" s="38"/>
      <c r="L1590" s="38"/>
    </row>
    <row r="1591" spans="2:12" ht="14.5" x14ac:dyDescent="0.35">
      <c r="B1591" s="46" t="s">
        <v>3589</v>
      </c>
      <c r="C1591" s="36">
        <v>45899</v>
      </c>
      <c r="D1591" s="36" t="s">
        <v>2626</v>
      </c>
      <c r="E1591" s="37" t="s">
        <v>3220</v>
      </c>
      <c r="F1591" s="37" t="s">
        <v>4026</v>
      </c>
      <c r="G1591" s="38"/>
      <c r="H1591" s="38">
        <v>2374.8000000000002</v>
      </c>
      <c r="I1591" s="37"/>
      <c r="J1591" s="37"/>
      <c r="K1591" s="38"/>
      <c r="L1591" s="38"/>
    </row>
    <row r="1592" spans="2:12" ht="14.5" x14ac:dyDescent="0.35">
      <c r="B1592" s="46" t="s">
        <v>3589</v>
      </c>
      <c r="C1592" s="36">
        <v>45899</v>
      </c>
      <c r="D1592" s="36" t="s">
        <v>2626</v>
      </c>
      <c r="E1592" s="37" t="s">
        <v>3221</v>
      </c>
      <c r="F1592" s="37" t="s">
        <v>4026</v>
      </c>
      <c r="G1592" s="38"/>
      <c r="H1592" s="38">
        <v>35.51</v>
      </c>
      <c r="I1592" s="37"/>
      <c r="J1592" s="37"/>
      <c r="K1592" s="38"/>
      <c r="L1592" s="38"/>
    </row>
    <row r="1593" spans="2:12" ht="14.5" x14ac:dyDescent="0.35">
      <c r="B1593" s="46" t="s">
        <v>3589</v>
      </c>
      <c r="C1593" s="36">
        <v>45899</v>
      </c>
      <c r="D1593" s="36" t="s">
        <v>2626</v>
      </c>
      <c r="E1593" s="37" t="s">
        <v>3222</v>
      </c>
      <c r="F1593" s="37" t="s">
        <v>4026</v>
      </c>
      <c r="G1593" s="38"/>
      <c r="H1593" s="38">
        <v>57.13</v>
      </c>
      <c r="I1593" s="37"/>
      <c r="J1593" s="37"/>
      <c r="K1593" s="38"/>
      <c r="L1593" s="38"/>
    </row>
    <row r="1594" spans="2:12" ht="14.5" x14ac:dyDescent="0.35">
      <c r="B1594" s="46" t="s">
        <v>3589</v>
      </c>
      <c r="C1594" s="36">
        <v>45899</v>
      </c>
      <c r="D1594" s="36" t="s">
        <v>3820</v>
      </c>
      <c r="E1594" s="37" t="s">
        <v>3821</v>
      </c>
      <c r="F1594" s="37" t="s">
        <v>4026</v>
      </c>
      <c r="G1594" s="38"/>
      <c r="H1594" s="38">
        <v>283.75</v>
      </c>
      <c r="I1594" s="37"/>
      <c r="J1594" s="37"/>
      <c r="K1594" s="38"/>
      <c r="L1594" s="38"/>
    </row>
    <row r="1595" spans="2:12" ht="14.5" x14ac:dyDescent="0.35">
      <c r="B1595" s="46" t="s">
        <v>3589</v>
      </c>
      <c r="C1595" s="36">
        <v>45899</v>
      </c>
      <c r="D1595" s="36" t="s">
        <v>3820</v>
      </c>
      <c r="E1595" s="37" t="s">
        <v>3822</v>
      </c>
      <c r="F1595" s="37" t="s">
        <v>4026</v>
      </c>
      <c r="G1595" s="38"/>
      <c r="H1595" s="38">
        <v>94.61</v>
      </c>
      <c r="I1595" s="37"/>
      <c r="J1595" s="37"/>
      <c r="K1595" s="38"/>
      <c r="L1595" s="38"/>
    </row>
    <row r="1596" spans="2:12" ht="14.5" x14ac:dyDescent="0.35">
      <c r="B1596" s="46" t="s">
        <v>3589</v>
      </c>
      <c r="C1596" s="36">
        <v>45899</v>
      </c>
      <c r="D1596" s="36" t="s">
        <v>2392</v>
      </c>
      <c r="E1596" s="37" t="s">
        <v>3223</v>
      </c>
      <c r="F1596" s="37" t="s">
        <v>4026</v>
      </c>
      <c r="G1596" s="38"/>
      <c r="H1596" s="38">
        <v>46.239999999999995</v>
      </c>
      <c r="I1596" s="37"/>
      <c r="J1596" s="37"/>
      <c r="K1596" s="38"/>
      <c r="L1596" s="38"/>
    </row>
    <row r="1597" spans="2:12" ht="14.5" x14ac:dyDescent="0.35">
      <c r="B1597" s="46" t="s">
        <v>3589</v>
      </c>
      <c r="C1597" s="36">
        <v>45899</v>
      </c>
      <c r="D1597" s="36" t="s">
        <v>3820</v>
      </c>
      <c r="E1597" s="37" t="s">
        <v>3823</v>
      </c>
      <c r="F1597" s="37" t="s">
        <v>4026</v>
      </c>
      <c r="G1597" s="38"/>
      <c r="H1597" s="38">
        <v>94.61</v>
      </c>
      <c r="I1597" s="37"/>
      <c r="J1597" s="37"/>
      <c r="K1597" s="38"/>
      <c r="L1597" s="38"/>
    </row>
    <row r="1598" spans="2:12" ht="14.5" x14ac:dyDescent="0.35">
      <c r="B1598" s="46" t="s">
        <v>3589</v>
      </c>
      <c r="C1598" s="36">
        <v>45899</v>
      </c>
      <c r="D1598" s="36" t="s">
        <v>1426</v>
      </c>
      <c r="E1598" s="37">
        <v>38229</v>
      </c>
      <c r="F1598" s="37" t="s">
        <v>4026</v>
      </c>
      <c r="G1598" s="38"/>
      <c r="H1598" s="38">
        <v>1562.94</v>
      </c>
      <c r="I1598" s="37"/>
      <c r="J1598" s="37"/>
      <c r="K1598" s="38"/>
      <c r="L1598" s="38"/>
    </row>
    <row r="1599" spans="2:12" ht="14.5" x14ac:dyDescent="0.35">
      <c r="B1599" s="46" t="s">
        <v>3589</v>
      </c>
      <c r="C1599" s="36">
        <v>45899</v>
      </c>
      <c r="D1599" s="36" t="s">
        <v>3487</v>
      </c>
      <c r="E1599" s="37">
        <v>38230</v>
      </c>
      <c r="F1599" s="37" t="s">
        <v>4026</v>
      </c>
      <c r="G1599" s="38"/>
      <c r="H1599" s="38">
        <v>16516.95</v>
      </c>
      <c r="I1599" s="37"/>
      <c r="J1599" s="37"/>
      <c r="K1599" s="38"/>
      <c r="L1599" s="38"/>
    </row>
    <row r="1600" spans="2:12" ht="14.5" x14ac:dyDescent="0.35">
      <c r="B1600" s="46" t="s">
        <v>3589</v>
      </c>
      <c r="C1600" s="36">
        <v>45899</v>
      </c>
      <c r="D1600" s="36" t="s">
        <v>1582</v>
      </c>
      <c r="E1600" s="37" t="s">
        <v>3224</v>
      </c>
      <c r="F1600" s="37" t="s">
        <v>4026</v>
      </c>
      <c r="G1600" s="38"/>
      <c r="H1600" s="38">
        <v>230.82</v>
      </c>
      <c r="I1600" s="37"/>
      <c r="J1600" s="37"/>
      <c r="K1600" s="38"/>
      <c r="L1600" s="38"/>
    </row>
    <row r="1601" spans="2:12" ht="14.5" x14ac:dyDescent="0.35">
      <c r="B1601" s="46" t="s">
        <v>3589</v>
      </c>
      <c r="C1601" s="36">
        <v>45899</v>
      </c>
      <c r="D1601" s="36" t="s">
        <v>1582</v>
      </c>
      <c r="E1601" s="37" t="s">
        <v>3225</v>
      </c>
      <c r="F1601" s="37" t="s">
        <v>4026</v>
      </c>
      <c r="G1601" s="38"/>
      <c r="H1601" s="38">
        <v>23670.26</v>
      </c>
      <c r="I1601" s="37"/>
      <c r="J1601" s="37"/>
      <c r="K1601" s="38"/>
      <c r="L1601" s="38"/>
    </row>
    <row r="1602" spans="2:12" ht="14.5" x14ac:dyDescent="0.35">
      <c r="B1602" s="46" t="s">
        <v>3589</v>
      </c>
      <c r="C1602" s="36">
        <v>45899</v>
      </c>
      <c r="D1602" s="36" t="s">
        <v>1582</v>
      </c>
      <c r="E1602" s="37" t="s">
        <v>3226</v>
      </c>
      <c r="F1602" s="37" t="s">
        <v>4026</v>
      </c>
      <c r="G1602" s="38"/>
      <c r="H1602" s="38">
        <v>2935.5</v>
      </c>
      <c r="I1602" s="37"/>
      <c r="J1602" s="37"/>
      <c r="K1602" s="38"/>
      <c r="L1602" s="38"/>
    </row>
    <row r="1603" spans="2:12" ht="14.5" x14ac:dyDescent="0.35">
      <c r="B1603" s="46" t="s">
        <v>3589</v>
      </c>
      <c r="C1603" s="36">
        <v>45899</v>
      </c>
      <c r="D1603" s="36" t="s">
        <v>3488</v>
      </c>
      <c r="E1603" s="37" t="s">
        <v>3227</v>
      </c>
      <c r="F1603" s="37" t="s">
        <v>4026</v>
      </c>
      <c r="G1603" s="38"/>
      <c r="H1603" s="38">
        <v>31.53</v>
      </c>
      <c r="I1603" s="37"/>
      <c r="J1603" s="37"/>
      <c r="K1603" s="38"/>
      <c r="L1603" s="38"/>
    </row>
    <row r="1604" spans="2:12" ht="14.5" x14ac:dyDescent="0.35">
      <c r="B1604" s="46" t="s">
        <v>3589</v>
      </c>
      <c r="C1604" s="36">
        <v>45899</v>
      </c>
      <c r="D1604" s="36" t="s">
        <v>2677</v>
      </c>
      <c r="E1604" s="37" t="s">
        <v>3228</v>
      </c>
      <c r="F1604" s="37" t="s">
        <v>4026</v>
      </c>
      <c r="G1604" s="38"/>
      <c r="H1604" s="38">
        <v>17480.66</v>
      </c>
      <c r="I1604" s="37"/>
      <c r="J1604" s="37"/>
      <c r="K1604" s="38"/>
      <c r="L1604" s="38"/>
    </row>
    <row r="1605" spans="2:12" ht="14.5" x14ac:dyDescent="0.35">
      <c r="B1605" s="46" t="s">
        <v>3589</v>
      </c>
      <c r="C1605" s="36">
        <v>45899</v>
      </c>
      <c r="D1605" s="36" t="s">
        <v>2677</v>
      </c>
      <c r="E1605" s="37" t="s">
        <v>3229</v>
      </c>
      <c r="F1605" s="37" t="s">
        <v>4026</v>
      </c>
      <c r="G1605" s="38"/>
      <c r="H1605" s="38">
        <v>4048.32</v>
      </c>
      <c r="I1605" s="37"/>
      <c r="J1605" s="37"/>
      <c r="K1605" s="38"/>
      <c r="L1605" s="38"/>
    </row>
    <row r="1606" spans="2:12" ht="14.5" x14ac:dyDescent="0.35">
      <c r="B1606" s="46" t="s">
        <v>3589</v>
      </c>
      <c r="C1606" s="36">
        <v>45899</v>
      </c>
      <c r="D1606" s="36" t="s">
        <v>2677</v>
      </c>
      <c r="E1606" s="37">
        <v>38254</v>
      </c>
      <c r="F1606" s="37" t="s">
        <v>4026</v>
      </c>
      <c r="G1606" s="38"/>
      <c r="H1606" s="38">
        <v>27244.679999999997</v>
      </c>
      <c r="I1606" s="37"/>
      <c r="J1606" s="37"/>
      <c r="K1606" s="38"/>
      <c r="L1606" s="38"/>
    </row>
    <row r="1607" spans="2:12" ht="14.5" x14ac:dyDescent="0.35">
      <c r="B1607" s="46" t="s">
        <v>3589</v>
      </c>
      <c r="C1607" s="36">
        <v>45899</v>
      </c>
      <c r="D1607" s="36" t="s">
        <v>2677</v>
      </c>
      <c r="E1607" s="37" t="s">
        <v>3231</v>
      </c>
      <c r="F1607" s="37" t="s">
        <v>4026</v>
      </c>
      <c r="G1607" s="38"/>
      <c r="H1607" s="38">
        <v>13933.86</v>
      </c>
      <c r="I1607" s="37"/>
      <c r="J1607" s="37"/>
      <c r="K1607" s="38"/>
      <c r="L1607" s="38"/>
    </row>
    <row r="1608" spans="2:12" ht="14.5" x14ac:dyDescent="0.35">
      <c r="B1608" s="46" t="s">
        <v>3589</v>
      </c>
      <c r="C1608" s="36">
        <v>45899</v>
      </c>
      <c r="D1608" s="36" t="s">
        <v>2677</v>
      </c>
      <c r="E1608" s="37" t="s">
        <v>3232</v>
      </c>
      <c r="F1608" s="37" t="s">
        <v>4026</v>
      </c>
      <c r="G1608" s="38"/>
      <c r="H1608" s="38">
        <v>6496.7799999999988</v>
      </c>
      <c r="I1608" s="37"/>
      <c r="J1608" s="37"/>
      <c r="K1608" s="38"/>
      <c r="L1608" s="38"/>
    </row>
    <row r="1609" spans="2:12" ht="14.5" x14ac:dyDescent="0.35">
      <c r="B1609" s="46" t="s">
        <v>3589</v>
      </c>
      <c r="C1609" s="36">
        <v>45899</v>
      </c>
      <c r="D1609" s="36" t="s">
        <v>2677</v>
      </c>
      <c r="E1609" s="37" t="s">
        <v>3233</v>
      </c>
      <c r="F1609" s="37" t="s">
        <v>4026</v>
      </c>
      <c r="G1609" s="38"/>
      <c r="H1609" s="38">
        <v>63830.270000000004</v>
      </c>
      <c r="I1609" s="37"/>
      <c r="J1609" s="37"/>
      <c r="K1609" s="38"/>
      <c r="L1609" s="38"/>
    </row>
    <row r="1610" spans="2:12" ht="14.5" x14ac:dyDescent="0.35">
      <c r="B1610" s="46" t="s">
        <v>3589</v>
      </c>
      <c r="C1610" s="36">
        <v>45899</v>
      </c>
      <c r="D1610" s="36" t="s">
        <v>2677</v>
      </c>
      <c r="E1610" s="37" t="s">
        <v>3234</v>
      </c>
      <c r="F1610" s="37" t="s">
        <v>4026</v>
      </c>
      <c r="G1610" s="38"/>
      <c r="H1610" s="38">
        <v>242.23999999999998</v>
      </c>
      <c r="I1610" s="37"/>
      <c r="J1610" s="37"/>
      <c r="K1610" s="38"/>
      <c r="L1610" s="38"/>
    </row>
    <row r="1611" spans="2:12" ht="14.5" x14ac:dyDescent="0.35">
      <c r="B1611" s="46" t="s">
        <v>3589</v>
      </c>
      <c r="C1611" s="36">
        <v>45899</v>
      </c>
      <c r="D1611" s="36" t="s">
        <v>2677</v>
      </c>
      <c r="E1611" s="37" t="s">
        <v>3235</v>
      </c>
      <c r="F1611" s="37" t="s">
        <v>4026</v>
      </c>
      <c r="G1611" s="38"/>
      <c r="H1611" s="38">
        <v>1486.85</v>
      </c>
      <c r="I1611" s="37"/>
      <c r="J1611" s="37"/>
      <c r="K1611" s="38"/>
      <c r="L1611" s="38"/>
    </row>
    <row r="1612" spans="2:12" ht="14.5" x14ac:dyDescent="0.35">
      <c r="B1612" s="46" t="s">
        <v>3589</v>
      </c>
      <c r="C1612" s="36">
        <v>45899</v>
      </c>
      <c r="D1612" s="36" t="s">
        <v>2677</v>
      </c>
      <c r="E1612" s="37" t="s">
        <v>3236</v>
      </c>
      <c r="F1612" s="37" t="s">
        <v>4026</v>
      </c>
      <c r="G1612" s="38"/>
      <c r="H1612" s="38">
        <v>289.32</v>
      </c>
      <c r="I1612" s="37"/>
      <c r="J1612" s="37"/>
      <c r="K1612" s="38"/>
      <c r="L1612" s="38"/>
    </row>
    <row r="1613" spans="2:12" ht="14.5" x14ac:dyDescent="0.35">
      <c r="B1613" s="46" t="s">
        <v>3589</v>
      </c>
      <c r="C1613" s="36">
        <v>45899</v>
      </c>
      <c r="D1613" s="36" t="s">
        <v>2677</v>
      </c>
      <c r="E1613" s="37">
        <v>38263</v>
      </c>
      <c r="F1613" s="37" t="s">
        <v>4026</v>
      </c>
      <c r="G1613" s="38"/>
      <c r="H1613" s="38">
        <v>937.51</v>
      </c>
      <c r="I1613" s="37"/>
      <c r="J1613" s="37"/>
      <c r="K1613" s="38"/>
      <c r="L1613" s="38"/>
    </row>
    <row r="1614" spans="2:12" ht="14.5" x14ac:dyDescent="0.35">
      <c r="B1614" s="46" t="s">
        <v>3589</v>
      </c>
      <c r="C1614" s="36">
        <v>45899</v>
      </c>
      <c r="D1614" s="36" t="s">
        <v>2677</v>
      </c>
      <c r="E1614" s="37" t="s">
        <v>3237</v>
      </c>
      <c r="F1614" s="37" t="s">
        <v>4026</v>
      </c>
      <c r="G1614" s="38"/>
      <c r="H1614" s="38">
        <v>3355.24</v>
      </c>
      <c r="I1614" s="37"/>
      <c r="J1614" s="37"/>
      <c r="K1614" s="38"/>
      <c r="L1614" s="38"/>
    </row>
    <row r="1615" spans="2:12" ht="14.5" x14ac:dyDescent="0.35">
      <c r="B1615" s="46" t="s">
        <v>3589</v>
      </c>
      <c r="C1615" s="36">
        <v>45899</v>
      </c>
      <c r="D1615" s="36" t="s">
        <v>2677</v>
      </c>
      <c r="E1615" s="37" t="s">
        <v>3238</v>
      </c>
      <c r="F1615" s="37" t="s">
        <v>4026</v>
      </c>
      <c r="G1615" s="38"/>
      <c r="H1615" s="38">
        <v>3152.4800000000005</v>
      </c>
      <c r="I1615" s="37"/>
      <c r="J1615" s="37"/>
      <c r="K1615" s="38"/>
      <c r="L1615" s="38"/>
    </row>
    <row r="1616" spans="2:12" ht="14.5" x14ac:dyDescent="0.35">
      <c r="B1616" s="46" t="s">
        <v>3589</v>
      </c>
      <c r="C1616" s="36">
        <v>45899</v>
      </c>
      <c r="D1616" s="36" t="s">
        <v>2677</v>
      </c>
      <c r="E1616" s="37">
        <v>38265</v>
      </c>
      <c r="F1616" s="37" t="s">
        <v>4026</v>
      </c>
      <c r="G1616" s="38"/>
      <c r="H1616" s="38">
        <v>13787.11</v>
      </c>
      <c r="I1616" s="37"/>
      <c r="J1616" s="37"/>
      <c r="K1616" s="38"/>
      <c r="L1616" s="38"/>
    </row>
    <row r="1617" spans="2:12" ht="14.5" x14ac:dyDescent="0.35">
      <c r="B1617" s="46" t="s">
        <v>3589</v>
      </c>
      <c r="C1617" s="36">
        <v>45899</v>
      </c>
      <c r="D1617" s="36" t="s">
        <v>2677</v>
      </c>
      <c r="E1617" s="37">
        <v>38266</v>
      </c>
      <c r="F1617" s="37" t="s">
        <v>4026</v>
      </c>
      <c r="G1617" s="38"/>
      <c r="H1617" s="38">
        <v>288.96999999999997</v>
      </c>
      <c r="I1617" s="37"/>
      <c r="J1617" s="37"/>
      <c r="K1617" s="38"/>
      <c r="L1617" s="38"/>
    </row>
    <row r="1618" spans="2:12" ht="14.5" x14ac:dyDescent="0.35">
      <c r="B1618" s="46" t="s">
        <v>3589</v>
      </c>
      <c r="C1618" s="36">
        <v>45899</v>
      </c>
      <c r="D1618" s="36" t="s">
        <v>2144</v>
      </c>
      <c r="E1618" s="37" t="s">
        <v>3239</v>
      </c>
      <c r="F1618" s="37" t="s">
        <v>4026</v>
      </c>
      <c r="G1618" s="38"/>
      <c r="H1618" s="38">
        <v>425.78000000000003</v>
      </c>
      <c r="I1618" s="37"/>
      <c r="J1618" s="37"/>
      <c r="K1618" s="38"/>
      <c r="L1618" s="38"/>
    </row>
    <row r="1619" spans="2:12" ht="14.5" x14ac:dyDescent="0.35">
      <c r="B1619" s="46" t="s">
        <v>3589</v>
      </c>
      <c r="C1619" s="36">
        <v>45899</v>
      </c>
      <c r="D1619" s="36" t="s">
        <v>2144</v>
      </c>
      <c r="E1619" s="37" t="s">
        <v>3240</v>
      </c>
      <c r="F1619" s="37" t="s">
        <v>4026</v>
      </c>
      <c r="G1619" s="38"/>
      <c r="H1619" s="38">
        <v>726</v>
      </c>
      <c r="I1619" s="37"/>
      <c r="J1619" s="37"/>
      <c r="K1619" s="38"/>
      <c r="L1619" s="38"/>
    </row>
    <row r="1620" spans="2:12" ht="14.5" x14ac:dyDescent="0.35">
      <c r="B1620" s="46" t="s">
        <v>3589</v>
      </c>
      <c r="C1620" s="36">
        <v>45899</v>
      </c>
      <c r="D1620" s="36" t="s">
        <v>3489</v>
      </c>
      <c r="E1620" s="37" t="s">
        <v>3241</v>
      </c>
      <c r="F1620" s="37" t="s">
        <v>4026</v>
      </c>
      <c r="G1620" s="38"/>
      <c r="H1620" s="38">
        <v>68.53</v>
      </c>
      <c r="I1620" s="37"/>
      <c r="J1620" s="37"/>
      <c r="K1620" s="38"/>
      <c r="L1620" s="38"/>
    </row>
    <row r="1621" spans="2:12" ht="14.5" x14ac:dyDescent="0.35">
      <c r="B1621" s="46" t="s">
        <v>3589</v>
      </c>
      <c r="C1621" s="36">
        <v>45899</v>
      </c>
      <c r="D1621" s="36" t="s">
        <v>1459</v>
      </c>
      <c r="E1621" s="37" t="s">
        <v>3242</v>
      </c>
      <c r="F1621" s="37" t="s">
        <v>4026</v>
      </c>
      <c r="G1621" s="38"/>
      <c r="H1621" s="38">
        <v>579.27</v>
      </c>
      <c r="I1621" s="37"/>
      <c r="J1621" s="37"/>
      <c r="K1621" s="38"/>
      <c r="L1621" s="38"/>
    </row>
    <row r="1622" spans="2:12" ht="14.5" x14ac:dyDescent="0.35">
      <c r="B1622" s="46" t="s">
        <v>3589</v>
      </c>
      <c r="C1622" s="36">
        <v>45899</v>
      </c>
      <c r="D1622" s="36" t="s">
        <v>2313</v>
      </c>
      <c r="E1622" s="37" t="s">
        <v>3243</v>
      </c>
      <c r="F1622" s="37" t="s">
        <v>4026</v>
      </c>
      <c r="G1622" s="38"/>
      <c r="H1622" s="38">
        <v>14432.8</v>
      </c>
      <c r="I1622" s="37"/>
      <c r="J1622" s="37"/>
      <c r="K1622" s="38"/>
      <c r="L1622" s="38"/>
    </row>
    <row r="1623" spans="2:12" ht="14.5" x14ac:dyDescent="0.35">
      <c r="B1623" s="46" t="s">
        <v>3589</v>
      </c>
      <c r="C1623" s="36">
        <v>45899</v>
      </c>
      <c r="D1623" s="36" t="s">
        <v>2313</v>
      </c>
      <c r="E1623" s="37" t="s">
        <v>3244</v>
      </c>
      <c r="F1623" s="37" t="s">
        <v>4026</v>
      </c>
      <c r="G1623" s="38"/>
      <c r="H1623" s="38">
        <v>33584.74</v>
      </c>
      <c r="I1623" s="37"/>
      <c r="J1623" s="37"/>
      <c r="K1623" s="38"/>
      <c r="L1623" s="38"/>
    </row>
    <row r="1624" spans="2:12" ht="14.5" x14ac:dyDescent="0.35">
      <c r="B1624" s="46" t="s">
        <v>3589</v>
      </c>
      <c r="C1624" s="36">
        <v>45899</v>
      </c>
      <c r="D1624" s="36" t="s">
        <v>2628</v>
      </c>
      <c r="E1624" s="37" t="s">
        <v>3245</v>
      </c>
      <c r="F1624" s="37" t="s">
        <v>4026</v>
      </c>
      <c r="G1624" s="38"/>
      <c r="H1624" s="38">
        <v>4038.05</v>
      </c>
      <c r="I1624" s="37"/>
      <c r="J1624" s="37"/>
      <c r="K1624" s="38"/>
      <c r="L1624" s="38"/>
    </row>
    <row r="1625" spans="2:12" ht="14.5" x14ac:dyDescent="0.35">
      <c r="B1625" s="46" t="s">
        <v>3589</v>
      </c>
      <c r="C1625" s="36">
        <v>45899</v>
      </c>
      <c r="D1625" s="36" t="s">
        <v>2628</v>
      </c>
      <c r="E1625" s="37" t="s">
        <v>3246</v>
      </c>
      <c r="F1625" s="37" t="s">
        <v>4026</v>
      </c>
      <c r="G1625" s="38"/>
      <c r="H1625" s="38">
        <v>100.58</v>
      </c>
      <c r="I1625" s="37"/>
      <c r="J1625" s="37"/>
      <c r="K1625" s="38"/>
      <c r="L1625" s="38"/>
    </row>
    <row r="1626" spans="2:12" ht="14.5" x14ac:dyDescent="0.35">
      <c r="B1626" s="46" t="s">
        <v>3589</v>
      </c>
      <c r="C1626" s="36">
        <v>45899</v>
      </c>
      <c r="D1626" s="36" t="s">
        <v>2628</v>
      </c>
      <c r="E1626" s="37" t="s">
        <v>3247</v>
      </c>
      <c r="F1626" s="37" t="s">
        <v>4026</v>
      </c>
      <c r="G1626" s="38"/>
      <c r="H1626" s="38">
        <v>7830.77</v>
      </c>
      <c r="I1626" s="37"/>
      <c r="J1626" s="37"/>
      <c r="K1626" s="38"/>
      <c r="L1626" s="38"/>
    </row>
    <row r="1627" spans="2:12" ht="14.5" x14ac:dyDescent="0.35">
      <c r="B1627" s="46" t="s">
        <v>3589</v>
      </c>
      <c r="C1627" s="36">
        <v>45899</v>
      </c>
      <c r="D1627" s="36" t="s">
        <v>2628</v>
      </c>
      <c r="E1627" s="37" t="s">
        <v>3248</v>
      </c>
      <c r="F1627" s="37" t="s">
        <v>4026</v>
      </c>
      <c r="G1627" s="38"/>
      <c r="H1627" s="38">
        <v>1764.38</v>
      </c>
      <c r="I1627" s="37"/>
      <c r="J1627" s="37"/>
      <c r="K1627" s="38"/>
      <c r="L1627" s="38"/>
    </row>
    <row r="1628" spans="2:12" ht="14.5" x14ac:dyDescent="0.35">
      <c r="B1628" s="46" t="s">
        <v>3589</v>
      </c>
      <c r="C1628" s="36">
        <v>45899</v>
      </c>
      <c r="D1628" s="36" t="s">
        <v>1371</v>
      </c>
      <c r="E1628" s="37" t="s">
        <v>3249</v>
      </c>
      <c r="F1628" s="37" t="s">
        <v>4026</v>
      </c>
      <c r="G1628" s="38"/>
      <c r="H1628" s="38">
        <v>0.51</v>
      </c>
      <c r="I1628" s="37"/>
      <c r="J1628" s="37"/>
      <c r="K1628" s="38"/>
      <c r="L1628" s="38"/>
    </row>
    <row r="1629" spans="2:12" ht="14.5" x14ac:dyDescent="0.35">
      <c r="B1629" s="46" t="s">
        <v>3589</v>
      </c>
      <c r="C1629" s="36">
        <v>45899</v>
      </c>
      <c r="D1629" s="36" t="s">
        <v>2629</v>
      </c>
      <c r="E1629" s="37" t="s">
        <v>3250</v>
      </c>
      <c r="F1629" s="37" t="s">
        <v>4026</v>
      </c>
      <c r="G1629" s="38"/>
      <c r="H1629" s="38">
        <v>171.47</v>
      </c>
      <c r="I1629" s="37"/>
      <c r="J1629" s="37"/>
      <c r="K1629" s="38"/>
      <c r="L1629" s="38"/>
    </row>
    <row r="1630" spans="2:12" ht="14.5" x14ac:dyDescent="0.35">
      <c r="B1630" s="46" t="s">
        <v>3589</v>
      </c>
      <c r="C1630" s="36">
        <v>45899</v>
      </c>
      <c r="D1630" s="36" t="s">
        <v>2629</v>
      </c>
      <c r="E1630" s="37" t="s">
        <v>3251</v>
      </c>
      <c r="F1630" s="37" t="s">
        <v>4026</v>
      </c>
      <c r="G1630" s="38"/>
      <c r="H1630" s="38">
        <v>35.51</v>
      </c>
      <c r="I1630" s="37"/>
      <c r="J1630" s="37"/>
      <c r="K1630" s="38"/>
      <c r="L1630" s="38"/>
    </row>
    <row r="1631" spans="2:12" ht="14.5" x14ac:dyDescent="0.35">
      <c r="B1631" s="46" t="s">
        <v>3589</v>
      </c>
      <c r="C1631" s="36">
        <v>45899</v>
      </c>
      <c r="D1631" s="36" t="s">
        <v>2629</v>
      </c>
      <c r="E1631" s="37" t="s">
        <v>3252</v>
      </c>
      <c r="F1631" s="37" t="s">
        <v>4026</v>
      </c>
      <c r="G1631" s="38"/>
      <c r="H1631" s="38">
        <v>4254.09</v>
      </c>
      <c r="I1631" s="37"/>
      <c r="J1631" s="37"/>
      <c r="K1631" s="38"/>
      <c r="L1631" s="38"/>
    </row>
    <row r="1632" spans="2:12" ht="14.5" x14ac:dyDescent="0.35">
      <c r="B1632" s="46" t="s">
        <v>3589</v>
      </c>
      <c r="C1632" s="36">
        <v>45899</v>
      </c>
      <c r="D1632" s="36" t="s">
        <v>1223</v>
      </c>
      <c r="E1632" s="37" t="s">
        <v>3253</v>
      </c>
      <c r="F1632" s="37" t="s">
        <v>4026</v>
      </c>
      <c r="G1632" s="38"/>
      <c r="H1632" s="38">
        <v>1874.33</v>
      </c>
      <c r="I1632" s="37"/>
      <c r="J1632" s="37"/>
      <c r="K1632" s="38"/>
      <c r="L1632" s="38"/>
    </row>
    <row r="1633" spans="2:12" ht="14.5" x14ac:dyDescent="0.35">
      <c r="B1633" s="46" t="s">
        <v>3589</v>
      </c>
      <c r="C1633" s="36">
        <v>45899</v>
      </c>
      <c r="D1633" s="36" t="s">
        <v>1223</v>
      </c>
      <c r="E1633" s="37" t="s">
        <v>3254</v>
      </c>
      <c r="F1633" s="37" t="s">
        <v>4026</v>
      </c>
      <c r="G1633" s="38"/>
      <c r="H1633" s="38">
        <v>1531.32</v>
      </c>
      <c r="I1633" s="37"/>
      <c r="J1633" s="37"/>
      <c r="K1633" s="38"/>
      <c r="L1633" s="38"/>
    </row>
    <row r="1634" spans="2:12" ht="14.5" x14ac:dyDescent="0.35">
      <c r="B1634" s="46" t="s">
        <v>3589</v>
      </c>
      <c r="C1634" s="36">
        <v>45899</v>
      </c>
      <c r="D1634" s="36" t="s">
        <v>1223</v>
      </c>
      <c r="E1634" s="37" t="s">
        <v>3255</v>
      </c>
      <c r="F1634" s="37" t="s">
        <v>4026</v>
      </c>
      <c r="G1634" s="38"/>
      <c r="H1634" s="38">
        <v>1074.6199999999999</v>
      </c>
      <c r="I1634" s="37"/>
      <c r="J1634" s="37"/>
      <c r="K1634" s="38"/>
      <c r="L1634" s="38"/>
    </row>
    <row r="1635" spans="2:12" ht="14.5" x14ac:dyDescent="0.35">
      <c r="B1635" s="46" t="s">
        <v>3589</v>
      </c>
      <c r="C1635" s="36">
        <v>45899</v>
      </c>
      <c r="D1635" s="36" t="s">
        <v>1223</v>
      </c>
      <c r="E1635" s="37" t="s">
        <v>3256</v>
      </c>
      <c r="F1635" s="37" t="s">
        <v>4026</v>
      </c>
      <c r="G1635" s="38"/>
      <c r="H1635" s="38">
        <v>44.2</v>
      </c>
      <c r="I1635" s="37"/>
      <c r="J1635" s="37"/>
      <c r="K1635" s="38"/>
      <c r="L1635" s="38"/>
    </row>
    <row r="1636" spans="2:12" ht="14.5" x14ac:dyDescent="0.35">
      <c r="B1636" s="46" t="s">
        <v>3589</v>
      </c>
      <c r="C1636" s="36">
        <v>45899</v>
      </c>
      <c r="D1636" s="36" t="s">
        <v>1060</v>
      </c>
      <c r="E1636" s="37" t="s">
        <v>3257</v>
      </c>
      <c r="F1636" s="37" t="s">
        <v>4026</v>
      </c>
      <c r="G1636" s="38"/>
      <c r="H1636" s="38">
        <v>521.4</v>
      </c>
      <c r="I1636" s="37"/>
      <c r="J1636" s="37"/>
      <c r="K1636" s="38"/>
      <c r="L1636" s="38"/>
    </row>
    <row r="1637" spans="2:12" ht="14.5" x14ac:dyDescent="0.35">
      <c r="B1637" s="46" t="s">
        <v>3589</v>
      </c>
      <c r="C1637" s="36">
        <v>45899</v>
      </c>
      <c r="D1637" s="36" t="s">
        <v>1999</v>
      </c>
      <c r="E1637" s="37" t="s">
        <v>3258</v>
      </c>
      <c r="F1637" s="37" t="s">
        <v>4026</v>
      </c>
      <c r="G1637" s="38"/>
      <c r="H1637" s="38">
        <v>2445.92</v>
      </c>
      <c r="I1637" s="37"/>
      <c r="J1637" s="37"/>
      <c r="K1637" s="38"/>
      <c r="L1637" s="38"/>
    </row>
    <row r="1638" spans="2:12" ht="14.5" x14ac:dyDescent="0.35">
      <c r="B1638" s="46" t="s">
        <v>3589</v>
      </c>
      <c r="C1638" s="36">
        <v>45899</v>
      </c>
      <c r="D1638" s="36" t="s">
        <v>1269</v>
      </c>
      <c r="E1638" s="37" t="s">
        <v>3259</v>
      </c>
      <c r="F1638" s="37" t="s">
        <v>4026</v>
      </c>
      <c r="G1638" s="38"/>
      <c r="H1638" s="38">
        <v>2.94</v>
      </c>
      <c r="I1638" s="37"/>
      <c r="J1638" s="37"/>
      <c r="K1638" s="38"/>
      <c r="L1638" s="38"/>
    </row>
    <row r="1639" spans="2:12" ht="14.5" x14ac:dyDescent="0.35">
      <c r="B1639" s="46" t="s">
        <v>3589</v>
      </c>
      <c r="C1639" s="36">
        <v>45899</v>
      </c>
      <c r="D1639" s="36" t="s">
        <v>1269</v>
      </c>
      <c r="E1639" s="37" t="s">
        <v>3260</v>
      </c>
      <c r="F1639" s="37" t="s">
        <v>4026</v>
      </c>
      <c r="G1639" s="38"/>
      <c r="H1639" s="38">
        <v>4728.37</v>
      </c>
      <c r="I1639" s="37"/>
      <c r="J1639" s="37"/>
      <c r="K1639" s="38"/>
      <c r="L1639" s="38"/>
    </row>
    <row r="1640" spans="2:12" ht="14.5" x14ac:dyDescent="0.35">
      <c r="B1640" s="46" t="s">
        <v>3589</v>
      </c>
      <c r="C1640" s="36">
        <v>45899</v>
      </c>
      <c r="D1640" s="36" t="s">
        <v>1450</v>
      </c>
      <c r="E1640" s="37" t="s">
        <v>3261</v>
      </c>
      <c r="F1640" s="37" t="s">
        <v>4026</v>
      </c>
      <c r="G1640" s="38"/>
      <c r="H1640" s="38">
        <v>1388.39</v>
      </c>
      <c r="I1640" s="37"/>
      <c r="J1640" s="37"/>
      <c r="K1640" s="38"/>
      <c r="L1640" s="38"/>
    </row>
    <row r="1641" spans="2:12" ht="14.5" x14ac:dyDescent="0.35">
      <c r="B1641" s="46" t="s">
        <v>3589</v>
      </c>
      <c r="C1641" s="36">
        <v>45899</v>
      </c>
      <c r="D1641" s="36" t="s">
        <v>1450</v>
      </c>
      <c r="E1641" s="37" t="s">
        <v>3262</v>
      </c>
      <c r="F1641" s="37" t="s">
        <v>4026</v>
      </c>
      <c r="G1641" s="38"/>
      <c r="H1641" s="38">
        <v>2682.4700000000003</v>
      </c>
      <c r="I1641" s="37"/>
      <c r="J1641" s="37"/>
      <c r="K1641" s="38"/>
      <c r="L1641" s="38"/>
    </row>
    <row r="1642" spans="2:12" ht="14.5" x14ac:dyDescent="0.35">
      <c r="B1642" s="46" t="s">
        <v>3589</v>
      </c>
      <c r="C1642" s="36">
        <v>45899</v>
      </c>
      <c r="D1642" s="36" t="s">
        <v>1450</v>
      </c>
      <c r="E1642" s="37" t="s">
        <v>3263</v>
      </c>
      <c r="F1642" s="37" t="s">
        <v>4026</v>
      </c>
      <c r="G1642" s="38"/>
      <c r="H1642" s="38">
        <v>109.53</v>
      </c>
      <c r="I1642" s="37"/>
      <c r="J1642" s="37"/>
      <c r="K1642" s="38"/>
      <c r="L1642" s="38"/>
    </row>
    <row r="1643" spans="2:12" ht="14.5" x14ac:dyDescent="0.35">
      <c r="B1643" s="46" t="s">
        <v>3589</v>
      </c>
      <c r="C1643" s="36">
        <v>45899</v>
      </c>
      <c r="D1643" s="36" t="s">
        <v>1450</v>
      </c>
      <c r="E1643" s="37" t="s">
        <v>3264</v>
      </c>
      <c r="F1643" s="37" t="s">
        <v>4026</v>
      </c>
      <c r="G1643" s="38"/>
      <c r="H1643" s="38">
        <v>21.64</v>
      </c>
      <c r="I1643" s="37"/>
      <c r="J1643" s="37"/>
      <c r="K1643" s="38"/>
      <c r="L1643" s="38"/>
    </row>
    <row r="1644" spans="2:12" ht="14.5" x14ac:dyDescent="0.35">
      <c r="B1644" s="46" t="s">
        <v>3589</v>
      </c>
      <c r="C1644" s="36">
        <v>45899</v>
      </c>
      <c r="D1644" s="36" t="s">
        <v>1450</v>
      </c>
      <c r="E1644" s="37" t="s">
        <v>3265</v>
      </c>
      <c r="F1644" s="37" t="s">
        <v>4026</v>
      </c>
      <c r="G1644" s="38"/>
      <c r="H1644" s="38">
        <v>5887.02</v>
      </c>
      <c r="I1644" s="37"/>
      <c r="J1644" s="37"/>
      <c r="K1644" s="38"/>
      <c r="L1644" s="38"/>
    </row>
    <row r="1645" spans="2:12" ht="14.5" x14ac:dyDescent="0.35">
      <c r="B1645" s="46" t="s">
        <v>3589</v>
      </c>
      <c r="C1645" s="36">
        <v>45899</v>
      </c>
      <c r="D1645" s="36" t="s">
        <v>1450</v>
      </c>
      <c r="E1645" s="37" t="s">
        <v>3266</v>
      </c>
      <c r="F1645" s="37" t="s">
        <v>4026</v>
      </c>
      <c r="G1645" s="38"/>
      <c r="H1645" s="38">
        <v>641.34999999999991</v>
      </c>
      <c r="I1645" s="37"/>
      <c r="J1645" s="37"/>
      <c r="K1645" s="38"/>
      <c r="L1645" s="38"/>
    </row>
    <row r="1646" spans="2:12" ht="14.5" x14ac:dyDescent="0.35">
      <c r="B1646" s="46" t="s">
        <v>3589</v>
      </c>
      <c r="C1646" s="36">
        <v>45899</v>
      </c>
      <c r="D1646" s="36" t="s">
        <v>3490</v>
      </c>
      <c r="E1646" s="37" t="s">
        <v>3267</v>
      </c>
      <c r="F1646" s="37" t="s">
        <v>4026</v>
      </c>
      <c r="G1646" s="38"/>
      <c r="H1646" s="38">
        <v>0</v>
      </c>
      <c r="I1646" s="37"/>
      <c r="J1646" s="37"/>
      <c r="K1646" s="38"/>
      <c r="L1646" s="38"/>
    </row>
    <row r="1647" spans="2:12" ht="14.5" x14ac:dyDescent="0.35">
      <c r="B1647" s="46" t="s">
        <v>3589</v>
      </c>
      <c r="C1647" s="36">
        <v>45899</v>
      </c>
      <c r="D1647" s="36" t="s">
        <v>1608</v>
      </c>
      <c r="E1647" s="37" t="s">
        <v>3268</v>
      </c>
      <c r="F1647" s="37" t="s">
        <v>4026</v>
      </c>
      <c r="G1647" s="38"/>
      <c r="H1647" s="38">
        <v>50</v>
      </c>
      <c r="I1647" s="37"/>
      <c r="J1647" s="37"/>
      <c r="K1647" s="38"/>
      <c r="L1647" s="38"/>
    </row>
    <row r="1648" spans="2:12" ht="14.5" x14ac:dyDescent="0.35">
      <c r="B1648" s="46" t="s">
        <v>3589</v>
      </c>
      <c r="C1648" s="36">
        <v>45899</v>
      </c>
      <c r="D1648" s="36" t="s">
        <v>1223</v>
      </c>
      <c r="E1648" s="37" t="s">
        <v>3269</v>
      </c>
      <c r="F1648" s="37" t="s">
        <v>4026</v>
      </c>
      <c r="G1648" s="38"/>
      <c r="H1648" s="38">
        <v>193.79</v>
      </c>
      <c r="I1648" s="37"/>
      <c r="J1648" s="37"/>
      <c r="K1648" s="38"/>
      <c r="L1648" s="38"/>
    </row>
    <row r="1649" spans="2:12" ht="14.5" x14ac:dyDescent="0.35">
      <c r="B1649" s="46" t="s">
        <v>3589</v>
      </c>
      <c r="C1649" s="36">
        <v>45899</v>
      </c>
      <c r="D1649" s="36" t="s">
        <v>3491</v>
      </c>
      <c r="E1649" s="37" t="s">
        <v>3270</v>
      </c>
      <c r="F1649" s="37" t="s">
        <v>4026</v>
      </c>
      <c r="G1649" s="38"/>
      <c r="H1649" s="38">
        <v>8740.5500000000011</v>
      </c>
      <c r="I1649" s="37"/>
      <c r="J1649" s="37"/>
      <c r="K1649" s="38"/>
      <c r="L1649" s="38"/>
    </row>
    <row r="1650" spans="2:12" ht="14.5" x14ac:dyDescent="0.35">
      <c r="B1650" s="46" t="s">
        <v>3589</v>
      </c>
      <c r="C1650" s="36">
        <v>45899</v>
      </c>
      <c r="D1650" s="36" t="s">
        <v>3485</v>
      </c>
      <c r="E1650" s="37" t="s">
        <v>3271</v>
      </c>
      <c r="F1650" s="37" t="s">
        <v>4026</v>
      </c>
      <c r="G1650" s="38"/>
      <c r="H1650" s="38">
        <v>157.93</v>
      </c>
      <c r="I1650" s="37"/>
      <c r="J1650" s="37"/>
      <c r="K1650" s="38"/>
      <c r="L1650" s="38"/>
    </row>
    <row r="1651" spans="2:12" ht="14.5" x14ac:dyDescent="0.35">
      <c r="B1651" s="46" t="s">
        <v>3589</v>
      </c>
      <c r="C1651" s="36">
        <v>45899</v>
      </c>
      <c r="D1651" s="36" t="s">
        <v>2266</v>
      </c>
      <c r="E1651" s="37">
        <v>38546</v>
      </c>
      <c r="F1651" s="37" t="s">
        <v>4026</v>
      </c>
      <c r="G1651" s="38"/>
      <c r="H1651" s="38">
        <v>8726.39</v>
      </c>
      <c r="I1651" s="37"/>
      <c r="J1651" s="37"/>
      <c r="K1651" s="38"/>
      <c r="L1651" s="38"/>
    </row>
    <row r="1652" spans="2:12" ht="14.5" x14ac:dyDescent="0.35">
      <c r="B1652" s="46" t="s">
        <v>3589</v>
      </c>
      <c r="C1652" s="36">
        <v>45899</v>
      </c>
      <c r="D1652" s="36" t="s">
        <v>3492</v>
      </c>
      <c r="E1652" s="37" t="s">
        <v>3272</v>
      </c>
      <c r="F1652" s="37" t="s">
        <v>4026</v>
      </c>
      <c r="G1652" s="38"/>
      <c r="H1652" s="38">
        <v>0</v>
      </c>
      <c r="I1652" s="37"/>
      <c r="J1652" s="37"/>
      <c r="K1652" s="38"/>
      <c r="L1652" s="38"/>
    </row>
    <row r="1653" spans="2:12" ht="14.5" x14ac:dyDescent="0.35">
      <c r="B1653" s="46" t="s">
        <v>3589</v>
      </c>
      <c r="C1653" s="36">
        <v>45899</v>
      </c>
      <c r="D1653" s="36" t="s">
        <v>2205</v>
      </c>
      <c r="E1653" s="37" t="s">
        <v>3273</v>
      </c>
      <c r="F1653" s="37" t="s">
        <v>4026</v>
      </c>
      <c r="G1653" s="38"/>
      <c r="H1653" s="38">
        <v>63092.97</v>
      </c>
      <c r="I1653" s="37"/>
      <c r="J1653" s="37"/>
      <c r="K1653" s="38"/>
      <c r="L1653" s="38"/>
    </row>
    <row r="1654" spans="2:12" ht="14.5" x14ac:dyDescent="0.35">
      <c r="B1654" s="46" t="s">
        <v>3589</v>
      </c>
      <c r="C1654" s="36">
        <v>45899</v>
      </c>
      <c r="D1654" s="36" t="s">
        <v>2205</v>
      </c>
      <c r="E1654" s="37" t="s">
        <v>3274</v>
      </c>
      <c r="F1654" s="37" t="s">
        <v>4026</v>
      </c>
      <c r="G1654" s="38"/>
      <c r="H1654" s="38">
        <v>15065.24</v>
      </c>
      <c r="I1654" s="37"/>
      <c r="J1654" s="37"/>
      <c r="K1654" s="38"/>
      <c r="L1654" s="38"/>
    </row>
    <row r="1655" spans="2:12" ht="14.5" x14ac:dyDescent="0.35">
      <c r="B1655" s="46" t="s">
        <v>3589</v>
      </c>
      <c r="C1655" s="36">
        <v>45899</v>
      </c>
      <c r="D1655" s="36" t="s">
        <v>2205</v>
      </c>
      <c r="E1655" s="37" t="s">
        <v>3275</v>
      </c>
      <c r="F1655" s="37" t="s">
        <v>4026</v>
      </c>
      <c r="G1655" s="38"/>
      <c r="H1655" s="38">
        <v>509.68</v>
      </c>
      <c r="I1655" s="37"/>
      <c r="J1655" s="37"/>
      <c r="K1655" s="38"/>
      <c r="L1655" s="38"/>
    </row>
    <row r="1656" spans="2:12" ht="14.5" x14ac:dyDescent="0.35">
      <c r="B1656" s="46" t="s">
        <v>3589</v>
      </c>
      <c r="C1656" s="36">
        <v>45899</v>
      </c>
      <c r="D1656" s="36" t="s">
        <v>2205</v>
      </c>
      <c r="E1656" s="37" t="s">
        <v>3276</v>
      </c>
      <c r="F1656" s="37" t="s">
        <v>4026</v>
      </c>
      <c r="G1656" s="38"/>
      <c r="H1656" s="38">
        <v>3477.23</v>
      </c>
      <c r="I1656" s="37"/>
      <c r="J1656" s="37"/>
      <c r="K1656" s="38"/>
      <c r="L1656" s="38"/>
    </row>
    <row r="1657" spans="2:12" ht="14.5" x14ac:dyDescent="0.35">
      <c r="B1657" s="46" t="s">
        <v>3589</v>
      </c>
      <c r="C1657" s="36">
        <v>45899</v>
      </c>
      <c r="D1657" s="36" t="s">
        <v>2205</v>
      </c>
      <c r="E1657" s="37" t="s">
        <v>3277</v>
      </c>
      <c r="F1657" s="37" t="s">
        <v>4026</v>
      </c>
      <c r="G1657" s="38"/>
      <c r="H1657" s="38">
        <v>363.86</v>
      </c>
      <c r="I1657" s="37"/>
      <c r="J1657" s="37"/>
      <c r="K1657" s="38"/>
      <c r="L1657" s="38"/>
    </row>
    <row r="1658" spans="2:12" ht="14.5" x14ac:dyDescent="0.35">
      <c r="B1658" s="46" t="s">
        <v>3589</v>
      </c>
      <c r="C1658" s="36">
        <v>45899</v>
      </c>
      <c r="D1658" s="36" t="s">
        <v>3472</v>
      </c>
      <c r="E1658" s="37" t="s">
        <v>3278</v>
      </c>
      <c r="F1658" s="37" t="s">
        <v>4026</v>
      </c>
      <c r="G1658" s="38"/>
      <c r="H1658" s="38">
        <v>1319.76</v>
      </c>
      <c r="I1658" s="37"/>
      <c r="J1658" s="37"/>
      <c r="K1658" s="38"/>
      <c r="L1658" s="38"/>
    </row>
    <row r="1659" spans="2:12" ht="14.5" x14ac:dyDescent="0.35">
      <c r="B1659" s="46" t="s">
        <v>3589</v>
      </c>
      <c r="C1659" s="36">
        <v>45899</v>
      </c>
      <c r="D1659" s="36" t="s">
        <v>3472</v>
      </c>
      <c r="E1659" s="37" t="s">
        <v>3279</v>
      </c>
      <c r="F1659" s="37" t="s">
        <v>4026</v>
      </c>
      <c r="G1659" s="38"/>
      <c r="H1659" s="38">
        <v>87.17</v>
      </c>
      <c r="I1659" s="37"/>
      <c r="J1659" s="37"/>
      <c r="K1659" s="38"/>
      <c r="L1659" s="38"/>
    </row>
    <row r="1660" spans="2:12" ht="14.5" x14ac:dyDescent="0.35">
      <c r="B1660" s="46" t="s">
        <v>3589</v>
      </c>
      <c r="C1660" s="36">
        <v>45899</v>
      </c>
      <c r="D1660" s="36" t="s">
        <v>3148</v>
      </c>
      <c r="E1660" s="37" t="s">
        <v>3280</v>
      </c>
      <c r="F1660" s="37" t="s">
        <v>4026</v>
      </c>
      <c r="G1660" s="38"/>
      <c r="H1660" s="38">
        <v>739.96</v>
      </c>
      <c r="I1660" s="37"/>
      <c r="J1660" s="37"/>
      <c r="K1660" s="38"/>
      <c r="L1660" s="38"/>
    </row>
    <row r="1661" spans="2:12" ht="14.5" x14ac:dyDescent="0.35">
      <c r="B1661" s="46" t="s">
        <v>3589</v>
      </c>
      <c r="C1661" s="36">
        <v>45899</v>
      </c>
      <c r="D1661" s="36" t="s">
        <v>3493</v>
      </c>
      <c r="E1661" s="37" t="s">
        <v>3281</v>
      </c>
      <c r="F1661" s="37" t="s">
        <v>4026</v>
      </c>
      <c r="G1661" s="38"/>
      <c r="H1661" s="38">
        <v>18.14</v>
      </c>
      <c r="I1661" s="37"/>
      <c r="J1661" s="37"/>
      <c r="K1661" s="38"/>
      <c r="L1661" s="38"/>
    </row>
    <row r="1662" spans="2:12" ht="14.5" x14ac:dyDescent="0.35">
      <c r="B1662" s="46" t="s">
        <v>3589</v>
      </c>
      <c r="C1662" s="36">
        <v>45899</v>
      </c>
      <c r="D1662" s="36" t="s">
        <v>3493</v>
      </c>
      <c r="E1662" s="37" t="s">
        <v>3282</v>
      </c>
      <c r="F1662" s="37" t="s">
        <v>4026</v>
      </c>
      <c r="G1662" s="38"/>
      <c r="H1662" s="38">
        <v>359.59</v>
      </c>
      <c r="I1662" s="37"/>
      <c r="J1662" s="37"/>
      <c r="K1662" s="38"/>
      <c r="L1662" s="38"/>
    </row>
    <row r="1663" spans="2:12" ht="14.5" x14ac:dyDescent="0.35">
      <c r="B1663" s="46" t="s">
        <v>3589</v>
      </c>
      <c r="C1663" s="36">
        <v>45899</v>
      </c>
      <c r="D1663" s="36" t="s">
        <v>1223</v>
      </c>
      <c r="E1663" s="37" t="s">
        <v>3283</v>
      </c>
      <c r="F1663" s="37" t="s">
        <v>4026</v>
      </c>
      <c r="G1663" s="38"/>
      <c r="H1663" s="38">
        <v>8.17</v>
      </c>
      <c r="I1663" s="37"/>
      <c r="J1663" s="37"/>
      <c r="K1663" s="38"/>
      <c r="L1663" s="38"/>
    </row>
    <row r="1664" spans="2:12" ht="14.5" x14ac:dyDescent="0.35">
      <c r="B1664" s="46" t="s">
        <v>3589</v>
      </c>
      <c r="C1664" s="36">
        <v>45899</v>
      </c>
      <c r="D1664" s="36" t="s">
        <v>1223</v>
      </c>
      <c r="E1664" s="37" t="s">
        <v>3284</v>
      </c>
      <c r="F1664" s="37" t="s">
        <v>4026</v>
      </c>
      <c r="G1664" s="38"/>
      <c r="H1664" s="38">
        <v>61.64</v>
      </c>
      <c r="I1664" s="37"/>
      <c r="J1664" s="37"/>
      <c r="K1664" s="38"/>
      <c r="L1664" s="38"/>
    </row>
    <row r="1665" spans="2:12" ht="14.5" x14ac:dyDescent="0.35">
      <c r="B1665" s="46" t="s">
        <v>3589</v>
      </c>
      <c r="C1665" s="36">
        <v>45899</v>
      </c>
      <c r="D1665" s="36" t="s">
        <v>1223</v>
      </c>
      <c r="E1665" s="37" t="s">
        <v>3285</v>
      </c>
      <c r="F1665" s="37" t="s">
        <v>4026</v>
      </c>
      <c r="G1665" s="38"/>
      <c r="H1665" s="38">
        <v>597.15</v>
      </c>
      <c r="I1665" s="37"/>
      <c r="J1665" s="37"/>
      <c r="K1665" s="38"/>
      <c r="L1665" s="38"/>
    </row>
    <row r="1666" spans="2:12" ht="14.5" x14ac:dyDescent="0.35">
      <c r="B1666" s="46" t="s">
        <v>3589</v>
      </c>
      <c r="C1666" s="36">
        <v>45899</v>
      </c>
      <c r="D1666" s="36" t="s">
        <v>1223</v>
      </c>
      <c r="E1666" s="37" t="s">
        <v>3286</v>
      </c>
      <c r="F1666" s="37" t="s">
        <v>4026</v>
      </c>
      <c r="G1666" s="38"/>
      <c r="H1666" s="38">
        <v>312.07</v>
      </c>
      <c r="I1666" s="37"/>
      <c r="J1666" s="37"/>
      <c r="K1666" s="38"/>
      <c r="L1666" s="38"/>
    </row>
    <row r="1667" spans="2:12" ht="14.5" x14ac:dyDescent="0.35">
      <c r="B1667" s="46" t="s">
        <v>3589</v>
      </c>
      <c r="C1667" s="36">
        <v>45899</v>
      </c>
      <c r="D1667" s="36" t="s">
        <v>3494</v>
      </c>
      <c r="E1667" s="37" t="s">
        <v>3287</v>
      </c>
      <c r="F1667" s="37" t="s">
        <v>4026</v>
      </c>
      <c r="G1667" s="38"/>
      <c r="H1667" s="38">
        <v>0</v>
      </c>
      <c r="I1667" s="37"/>
      <c r="J1667" s="37"/>
      <c r="K1667" s="38"/>
      <c r="L1667" s="38"/>
    </row>
    <row r="1668" spans="2:12" ht="14.5" x14ac:dyDescent="0.35">
      <c r="B1668" s="46" t="s">
        <v>3589</v>
      </c>
      <c r="C1668" s="36">
        <v>45899</v>
      </c>
      <c r="D1668" s="36" t="s">
        <v>1582</v>
      </c>
      <c r="E1668" s="37" t="s">
        <v>3288</v>
      </c>
      <c r="F1668" s="37" t="s">
        <v>4026</v>
      </c>
      <c r="G1668" s="38"/>
      <c r="H1668" s="38">
        <v>143777.63000000006</v>
      </c>
      <c r="I1668" s="37"/>
      <c r="J1668" s="37"/>
      <c r="K1668" s="38"/>
      <c r="L1668" s="38"/>
    </row>
    <row r="1669" spans="2:12" ht="14.5" x14ac:dyDescent="0.35">
      <c r="B1669" s="46" t="s">
        <v>3589</v>
      </c>
      <c r="C1669" s="36">
        <v>45899</v>
      </c>
      <c r="D1669" s="36" t="s">
        <v>2231</v>
      </c>
      <c r="E1669" s="37">
        <v>38651</v>
      </c>
      <c r="F1669" s="37" t="s">
        <v>4026</v>
      </c>
      <c r="G1669" s="38"/>
      <c r="H1669" s="38">
        <v>7237.3</v>
      </c>
      <c r="I1669" s="37"/>
      <c r="J1669" s="37"/>
      <c r="K1669" s="38"/>
      <c r="L1669" s="38"/>
    </row>
    <row r="1670" spans="2:12" ht="14.5" x14ac:dyDescent="0.35">
      <c r="B1670" s="46" t="s">
        <v>3589</v>
      </c>
      <c r="C1670" s="36">
        <v>45899</v>
      </c>
      <c r="D1670" s="36" t="s">
        <v>3495</v>
      </c>
      <c r="E1670" s="37" t="s">
        <v>3289</v>
      </c>
      <c r="F1670" s="37" t="s">
        <v>4026</v>
      </c>
      <c r="G1670" s="38"/>
      <c r="H1670" s="38">
        <v>13.5</v>
      </c>
      <c r="I1670" s="37"/>
      <c r="J1670" s="37"/>
      <c r="K1670" s="38"/>
      <c r="L1670" s="38"/>
    </row>
    <row r="1671" spans="2:12" ht="14.5" x14ac:dyDescent="0.35">
      <c r="B1671" s="46" t="s">
        <v>3589</v>
      </c>
      <c r="C1671" s="36">
        <v>45899</v>
      </c>
      <c r="D1671" s="36" t="s">
        <v>2220</v>
      </c>
      <c r="E1671" s="37" t="s">
        <v>3290</v>
      </c>
      <c r="F1671" s="37" t="s">
        <v>4026</v>
      </c>
      <c r="G1671" s="38"/>
      <c r="H1671" s="38">
        <v>36169.69999999999</v>
      </c>
      <c r="I1671" s="37"/>
      <c r="J1671" s="37"/>
      <c r="K1671" s="38"/>
      <c r="L1671" s="38"/>
    </row>
    <row r="1672" spans="2:12" ht="14.5" x14ac:dyDescent="0.35">
      <c r="B1672" s="46" t="s">
        <v>3589</v>
      </c>
      <c r="C1672" s="36">
        <v>45899</v>
      </c>
      <c r="D1672" s="36" t="s">
        <v>2220</v>
      </c>
      <c r="E1672" s="37" t="s">
        <v>3291</v>
      </c>
      <c r="F1672" s="37" t="s">
        <v>4026</v>
      </c>
      <c r="G1672" s="38"/>
      <c r="H1672" s="38">
        <v>76.320000000000007</v>
      </c>
      <c r="I1672" s="37"/>
      <c r="J1672" s="37"/>
      <c r="K1672" s="38"/>
      <c r="L1672" s="38"/>
    </row>
    <row r="1673" spans="2:12" ht="14.5" x14ac:dyDescent="0.35">
      <c r="B1673" s="46" t="s">
        <v>3589</v>
      </c>
      <c r="C1673" s="36">
        <v>45899</v>
      </c>
      <c r="D1673" s="36" t="s">
        <v>2392</v>
      </c>
      <c r="E1673" s="37" t="s">
        <v>3292</v>
      </c>
      <c r="F1673" s="37" t="s">
        <v>4026</v>
      </c>
      <c r="G1673" s="38"/>
      <c r="H1673" s="38">
        <v>600</v>
      </c>
      <c r="I1673" s="37"/>
      <c r="J1673" s="37"/>
      <c r="K1673" s="38"/>
      <c r="L1673" s="38"/>
    </row>
    <row r="1674" spans="2:12" ht="14.5" x14ac:dyDescent="0.35">
      <c r="B1674" s="46" t="s">
        <v>3589</v>
      </c>
      <c r="C1674" s="36">
        <v>45899</v>
      </c>
      <c r="D1674" s="36" t="s">
        <v>2392</v>
      </c>
      <c r="E1674" s="37" t="s">
        <v>3293</v>
      </c>
      <c r="F1674" s="37" t="s">
        <v>4026</v>
      </c>
      <c r="G1674" s="38"/>
      <c r="H1674" s="38">
        <v>50.08</v>
      </c>
      <c r="I1674" s="37"/>
      <c r="J1674" s="37"/>
      <c r="K1674" s="38"/>
      <c r="L1674" s="38"/>
    </row>
    <row r="1675" spans="2:12" ht="14.5" x14ac:dyDescent="0.35">
      <c r="B1675" s="46" t="s">
        <v>3589</v>
      </c>
      <c r="C1675" s="36">
        <v>45899</v>
      </c>
      <c r="D1675" s="36" t="s">
        <v>1269</v>
      </c>
      <c r="E1675" s="37" t="s">
        <v>3294</v>
      </c>
      <c r="F1675" s="37" t="s">
        <v>4026</v>
      </c>
      <c r="G1675" s="38"/>
      <c r="H1675" s="38">
        <v>907.09999999999991</v>
      </c>
      <c r="I1675" s="37"/>
      <c r="J1675" s="37"/>
      <c r="K1675" s="38"/>
      <c r="L1675" s="38"/>
    </row>
    <row r="1676" spans="2:12" ht="14.5" x14ac:dyDescent="0.35">
      <c r="B1676" s="46" t="s">
        <v>3589</v>
      </c>
      <c r="C1676" s="36">
        <v>45899</v>
      </c>
      <c r="D1676" s="36" t="s">
        <v>2629</v>
      </c>
      <c r="E1676" s="37" t="s">
        <v>3295</v>
      </c>
      <c r="F1676" s="37" t="s">
        <v>4026</v>
      </c>
      <c r="G1676" s="38"/>
      <c r="H1676" s="38">
        <v>200</v>
      </c>
      <c r="I1676" s="37"/>
      <c r="J1676" s="37"/>
      <c r="K1676" s="38"/>
      <c r="L1676" s="38"/>
    </row>
    <row r="1677" spans="2:12" ht="14.5" x14ac:dyDescent="0.35">
      <c r="B1677" s="46" t="s">
        <v>3589</v>
      </c>
      <c r="C1677" s="36">
        <v>45899</v>
      </c>
      <c r="D1677" s="36" t="s">
        <v>1223</v>
      </c>
      <c r="E1677" s="37" t="s">
        <v>3296</v>
      </c>
      <c r="F1677" s="37" t="s">
        <v>4026</v>
      </c>
      <c r="G1677" s="38"/>
      <c r="H1677" s="38">
        <v>2771.9799999999996</v>
      </c>
      <c r="I1677" s="37"/>
      <c r="J1677" s="37"/>
      <c r="K1677" s="38"/>
      <c r="L1677" s="38"/>
    </row>
    <row r="1678" spans="2:12" ht="14.5" x14ac:dyDescent="0.35">
      <c r="B1678" s="46" t="s">
        <v>3589</v>
      </c>
      <c r="C1678" s="36">
        <v>45899</v>
      </c>
      <c r="D1678" s="36" t="s">
        <v>1631</v>
      </c>
      <c r="E1678" s="37" t="s">
        <v>3297</v>
      </c>
      <c r="F1678" s="37" t="s">
        <v>4026</v>
      </c>
      <c r="G1678" s="38"/>
      <c r="H1678" s="38">
        <v>2205.9300000000003</v>
      </c>
      <c r="I1678" s="37"/>
      <c r="J1678" s="37"/>
      <c r="K1678" s="38"/>
      <c r="L1678" s="38"/>
    </row>
    <row r="1679" spans="2:12" ht="14.5" x14ac:dyDescent="0.35">
      <c r="B1679" s="46" t="s">
        <v>3589</v>
      </c>
      <c r="C1679" s="36">
        <v>45899</v>
      </c>
      <c r="D1679" s="36" t="s">
        <v>3492</v>
      </c>
      <c r="E1679" s="37" t="s">
        <v>3298</v>
      </c>
      <c r="F1679" s="37" t="s">
        <v>4026</v>
      </c>
      <c r="G1679" s="38"/>
      <c r="H1679" s="38">
        <v>200</v>
      </c>
      <c r="I1679" s="37"/>
      <c r="J1679" s="37"/>
      <c r="K1679" s="38"/>
      <c r="L1679" s="38"/>
    </row>
    <row r="1680" spans="2:12" ht="14.5" x14ac:dyDescent="0.35">
      <c r="B1680" s="46" t="s">
        <v>3589</v>
      </c>
      <c r="C1680" s="36">
        <v>45899</v>
      </c>
      <c r="D1680" s="36" t="s">
        <v>3496</v>
      </c>
      <c r="E1680" s="37">
        <v>38791</v>
      </c>
      <c r="F1680" s="37" t="s">
        <v>4026</v>
      </c>
      <c r="G1680" s="38"/>
      <c r="H1680" s="38">
        <v>1646.32</v>
      </c>
      <c r="I1680" s="37"/>
      <c r="J1680" s="37"/>
      <c r="K1680" s="38"/>
      <c r="L1680" s="38"/>
    </row>
    <row r="1681" spans="2:12" ht="14.5" x14ac:dyDescent="0.35">
      <c r="B1681" s="46" t="s">
        <v>3589</v>
      </c>
      <c r="C1681" s="36">
        <v>45899</v>
      </c>
      <c r="D1681" s="36" t="s">
        <v>3497</v>
      </c>
      <c r="E1681" s="37">
        <v>38806</v>
      </c>
      <c r="F1681" s="37" t="s">
        <v>4026</v>
      </c>
      <c r="G1681" s="38"/>
      <c r="H1681" s="38">
        <v>55524.2</v>
      </c>
      <c r="I1681" s="37"/>
      <c r="J1681" s="37"/>
      <c r="K1681" s="38"/>
      <c r="L1681" s="38"/>
    </row>
    <row r="1682" spans="2:12" ht="14.5" x14ac:dyDescent="0.35">
      <c r="B1682" s="46" t="s">
        <v>3589</v>
      </c>
      <c r="C1682" s="36">
        <v>45899</v>
      </c>
      <c r="D1682" s="36" t="s">
        <v>3498</v>
      </c>
      <c r="E1682" s="37">
        <v>38817</v>
      </c>
      <c r="F1682" s="37" t="s">
        <v>4026</v>
      </c>
      <c r="G1682" s="38"/>
      <c r="H1682" s="38">
        <v>2110.96</v>
      </c>
      <c r="I1682" s="37"/>
      <c r="J1682" s="37"/>
      <c r="K1682" s="38"/>
      <c r="L1682" s="38"/>
    </row>
    <row r="1683" spans="2:12" ht="14.5" x14ac:dyDescent="0.35">
      <c r="B1683" s="46" t="s">
        <v>3589</v>
      </c>
      <c r="C1683" s="36">
        <v>45899</v>
      </c>
      <c r="D1683" s="36" t="s">
        <v>3499</v>
      </c>
      <c r="E1683" s="37">
        <v>38834</v>
      </c>
      <c r="F1683" s="37" t="s">
        <v>4026</v>
      </c>
      <c r="G1683" s="38"/>
      <c r="H1683" s="38">
        <v>22500</v>
      </c>
      <c r="I1683" s="37"/>
      <c r="J1683" s="37"/>
      <c r="K1683" s="38"/>
      <c r="L1683" s="38"/>
    </row>
    <row r="1684" spans="2:12" ht="14.5" x14ac:dyDescent="0.35">
      <c r="B1684" s="46" t="s">
        <v>3589</v>
      </c>
      <c r="C1684" s="36">
        <v>45899</v>
      </c>
      <c r="D1684" s="36" t="s">
        <v>3500</v>
      </c>
      <c r="E1684" s="37">
        <v>38839</v>
      </c>
      <c r="F1684" s="37" t="s">
        <v>4026</v>
      </c>
      <c r="G1684" s="38"/>
      <c r="H1684" s="38">
        <v>1006.31</v>
      </c>
      <c r="I1684" s="37"/>
      <c r="J1684" s="37"/>
      <c r="K1684" s="38"/>
      <c r="L1684" s="38"/>
    </row>
    <row r="1685" spans="2:12" ht="14.5" x14ac:dyDescent="0.35">
      <c r="B1685" s="46" t="s">
        <v>3589</v>
      </c>
      <c r="C1685" s="36">
        <v>45899</v>
      </c>
      <c r="D1685" s="36" t="s">
        <v>3501</v>
      </c>
      <c r="E1685" s="37">
        <v>38846</v>
      </c>
      <c r="F1685" s="37" t="s">
        <v>4026</v>
      </c>
      <c r="G1685" s="38"/>
      <c r="H1685" s="38">
        <v>2563.0299999999997</v>
      </c>
      <c r="I1685" s="37"/>
      <c r="J1685" s="37"/>
      <c r="K1685" s="38"/>
      <c r="L1685" s="38"/>
    </row>
    <row r="1686" spans="2:12" ht="14.5" x14ac:dyDescent="0.35">
      <c r="B1686" s="46" t="s">
        <v>3589</v>
      </c>
      <c r="C1686" s="36">
        <v>45899</v>
      </c>
      <c r="D1686" s="36" t="s">
        <v>2892</v>
      </c>
      <c r="E1686" s="37">
        <v>38850</v>
      </c>
      <c r="F1686" s="37" t="s">
        <v>4026</v>
      </c>
      <c r="G1686" s="38"/>
      <c r="H1686" s="38">
        <v>10747.08</v>
      </c>
      <c r="I1686" s="37"/>
      <c r="J1686" s="37"/>
      <c r="K1686" s="38"/>
      <c r="L1686" s="38"/>
    </row>
    <row r="1687" spans="2:12" ht="14.5" x14ac:dyDescent="0.35">
      <c r="B1687" s="46" t="s">
        <v>3589</v>
      </c>
      <c r="C1687" s="36">
        <v>45899</v>
      </c>
      <c r="D1687" s="36" t="s">
        <v>3502</v>
      </c>
      <c r="E1687" s="37">
        <v>38874</v>
      </c>
      <c r="F1687" s="37" t="s">
        <v>4026</v>
      </c>
      <c r="G1687" s="38"/>
      <c r="H1687" s="38">
        <v>346.58</v>
      </c>
      <c r="I1687" s="37"/>
      <c r="J1687" s="37"/>
      <c r="K1687" s="38"/>
      <c r="L1687" s="38"/>
    </row>
    <row r="1688" spans="2:12" ht="14.5" x14ac:dyDescent="0.35">
      <c r="B1688" s="46" t="s">
        <v>3589</v>
      </c>
      <c r="C1688" s="36">
        <v>45899</v>
      </c>
      <c r="D1688" s="36" t="s">
        <v>2629</v>
      </c>
      <c r="E1688" s="37">
        <v>38889</v>
      </c>
      <c r="F1688" s="37" t="s">
        <v>4026</v>
      </c>
      <c r="G1688" s="38"/>
      <c r="H1688" s="38">
        <v>3588.28</v>
      </c>
      <c r="I1688" s="37"/>
      <c r="J1688" s="37"/>
      <c r="K1688" s="38"/>
      <c r="L1688" s="38"/>
    </row>
    <row r="1689" spans="2:12" ht="14.5" x14ac:dyDescent="0.35">
      <c r="B1689" s="46" t="s">
        <v>3589</v>
      </c>
      <c r="C1689" s="36">
        <v>45899</v>
      </c>
      <c r="D1689" s="36" t="s">
        <v>3496</v>
      </c>
      <c r="E1689" s="37">
        <v>38953</v>
      </c>
      <c r="F1689" s="37" t="s">
        <v>4026</v>
      </c>
      <c r="G1689" s="38"/>
      <c r="H1689" s="38">
        <v>2346.54</v>
      </c>
      <c r="I1689" s="37"/>
      <c r="J1689" s="37"/>
      <c r="K1689" s="38"/>
      <c r="L1689" s="38"/>
    </row>
    <row r="1690" spans="2:12" ht="14.5" x14ac:dyDescent="0.35">
      <c r="B1690" s="46" t="s">
        <v>3589</v>
      </c>
      <c r="C1690" s="36">
        <v>45899</v>
      </c>
      <c r="D1690" s="36" t="s">
        <v>3503</v>
      </c>
      <c r="E1690" s="37">
        <v>38954</v>
      </c>
      <c r="F1690" s="37" t="s">
        <v>4026</v>
      </c>
      <c r="G1690" s="38"/>
      <c r="H1690" s="38">
        <v>8782.15</v>
      </c>
      <c r="I1690" s="37"/>
      <c r="J1690" s="37"/>
      <c r="K1690" s="38"/>
      <c r="L1690" s="38"/>
    </row>
    <row r="1691" spans="2:12" ht="14.5" x14ac:dyDescent="0.35">
      <c r="B1691" s="46" t="s">
        <v>3589</v>
      </c>
      <c r="C1691" s="36">
        <v>45899</v>
      </c>
      <c r="D1691" s="36" t="s">
        <v>3504</v>
      </c>
      <c r="E1691" s="37">
        <v>38970</v>
      </c>
      <c r="F1691" s="37" t="s">
        <v>4026</v>
      </c>
      <c r="G1691" s="38"/>
      <c r="H1691" s="38">
        <v>66.78</v>
      </c>
      <c r="I1691" s="37"/>
      <c r="J1691" s="37"/>
      <c r="K1691" s="38"/>
      <c r="L1691" s="38"/>
    </row>
    <row r="1692" spans="2:12" ht="14.5" x14ac:dyDescent="0.35">
      <c r="B1692" s="46" t="s">
        <v>3589</v>
      </c>
      <c r="C1692" s="36">
        <v>45899</v>
      </c>
      <c r="D1692" s="36" t="s">
        <v>3496</v>
      </c>
      <c r="E1692" s="37">
        <v>38981</v>
      </c>
      <c r="F1692" s="37" t="s">
        <v>4026</v>
      </c>
      <c r="G1692" s="38"/>
      <c r="H1692" s="38">
        <v>631.48</v>
      </c>
      <c r="I1692" s="37"/>
      <c r="J1692" s="37"/>
      <c r="K1692" s="38"/>
      <c r="L1692" s="38"/>
    </row>
    <row r="1693" spans="2:12" ht="14.5" x14ac:dyDescent="0.35">
      <c r="B1693" s="46" t="s">
        <v>3589</v>
      </c>
      <c r="C1693" s="36">
        <v>45899</v>
      </c>
      <c r="D1693" s="36" t="s">
        <v>301</v>
      </c>
      <c r="E1693" s="37">
        <v>38983</v>
      </c>
      <c r="F1693" s="37" t="s">
        <v>4026</v>
      </c>
      <c r="G1693" s="38"/>
      <c r="H1693" s="38">
        <v>596.53</v>
      </c>
      <c r="I1693" s="37"/>
      <c r="J1693" s="37"/>
      <c r="K1693" s="38"/>
      <c r="L1693" s="38"/>
    </row>
    <row r="1694" spans="2:12" ht="14.5" x14ac:dyDescent="0.35">
      <c r="B1694" s="46" t="s">
        <v>3589</v>
      </c>
      <c r="C1694" s="36">
        <v>45899</v>
      </c>
      <c r="D1694" s="36" t="s">
        <v>1475</v>
      </c>
      <c r="E1694" s="37">
        <v>38993</v>
      </c>
      <c r="F1694" s="37" t="s">
        <v>4026</v>
      </c>
      <c r="G1694" s="38"/>
      <c r="H1694" s="38">
        <v>24852.83</v>
      </c>
      <c r="I1694" s="37"/>
      <c r="J1694" s="37"/>
      <c r="K1694" s="38"/>
      <c r="L1694" s="38"/>
    </row>
    <row r="1695" spans="2:12" ht="14.5" x14ac:dyDescent="0.35">
      <c r="B1695" s="46" t="s">
        <v>3589</v>
      </c>
      <c r="C1695" s="36">
        <v>45899</v>
      </c>
      <c r="D1695" s="36" t="s">
        <v>1924</v>
      </c>
      <c r="E1695" s="37">
        <v>38996</v>
      </c>
      <c r="F1695" s="37" t="s">
        <v>4026</v>
      </c>
      <c r="G1695" s="38"/>
      <c r="H1695" s="38">
        <v>1748.55</v>
      </c>
      <c r="I1695" s="37"/>
      <c r="J1695" s="37"/>
      <c r="K1695" s="38"/>
      <c r="L1695" s="38"/>
    </row>
    <row r="1696" spans="2:12" ht="14.5" x14ac:dyDescent="0.35">
      <c r="B1696" s="46" t="s">
        <v>3589</v>
      </c>
      <c r="C1696" s="36">
        <v>45899</v>
      </c>
      <c r="D1696" s="36" t="s">
        <v>3505</v>
      </c>
      <c r="E1696" s="37">
        <v>39002</v>
      </c>
      <c r="F1696" s="37" t="s">
        <v>4026</v>
      </c>
      <c r="G1696" s="38"/>
      <c r="H1696" s="38">
        <v>18200</v>
      </c>
      <c r="I1696" s="37"/>
      <c r="J1696" s="37"/>
      <c r="K1696" s="38"/>
      <c r="L1696" s="38"/>
    </row>
    <row r="1697" spans="2:12" ht="14.5" x14ac:dyDescent="0.35">
      <c r="B1697" s="46" t="s">
        <v>3589</v>
      </c>
      <c r="C1697" s="36">
        <v>45899</v>
      </c>
      <c r="D1697" s="36" t="s">
        <v>3506</v>
      </c>
      <c r="E1697" s="37">
        <v>39010</v>
      </c>
      <c r="F1697" s="37" t="s">
        <v>4026</v>
      </c>
      <c r="G1697" s="38"/>
      <c r="H1697" s="38">
        <v>783.92</v>
      </c>
      <c r="I1697" s="37"/>
      <c r="J1697" s="37"/>
      <c r="K1697" s="38"/>
      <c r="L1697" s="38"/>
    </row>
    <row r="1698" spans="2:12" ht="14.5" x14ac:dyDescent="0.35">
      <c r="B1698" s="46" t="s">
        <v>3589</v>
      </c>
      <c r="C1698" s="36">
        <v>45899</v>
      </c>
      <c r="D1698" s="36" t="s">
        <v>2454</v>
      </c>
      <c r="E1698" s="37" t="s">
        <v>3299</v>
      </c>
      <c r="F1698" s="37" t="s">
        <v>4026</v>
      </c>
      <c r="G1698" s="38"/>
      <c r="H1698" s="38">
        <v>27.87</v>
      </c>
      <c r="I1698" s="37"/>
      <c r="J1698" s="37"/>
      <c r="K1698" s="38"/>
      <c r="L1698" s="38"/>
    </row>
    <row r="1699" spans="2:12" ht="14.5" x14ac:dyDescent="0.35">
      <c r="B1699" s="46" t="s">
        <v>3589</v>
      </c>
      <c r="C1699" s="36">
        <v>45899</v>
      </c>
      <c r="D1699" s="36" t="s">
        <v>1223</v>
      </c>
      <c r="E1699" s="37" t="s">
        <v>3300</v>
      </c>
      <c r="F1699" s="37" t="s">
        <v>4026</v>
      </c>
      <c r="G1699" s="38"/>
      <c r="H1699" s="38">
        <v>686.03</v>
      </c>
      <c r="I1699" s="37"/>
      <c r="J1699" s="37"/>
      <c r="K1699" s="38"/>
      <c r="L1699" s="38"/>
    </row>
    <row r="1700" spans="2:12" ht="14.5" x14ac:dyDescent="0.35">
      <c r="B1700" s="46" t="s">
        <v>3589</v>
      </c>
      <c r="C1700" s="36">
        <v>45899</v>
      </c>
      <c r="D1700" s="36" t="s">
        <v>3507</v>
      </c>
      <c r="E1700" s="37">
        <v>39090</v>
      </c>
      <c r="F1700" s="37" t="s">
        <v>4026</v>
      </c>
      <c r="G1700" s="38"/>
      <c r="H1700" s="38">
        <v>661741.42000000016</v>
      </c>
      <c r="I1700" s="37"/>
      <c r="J1700" s="37"/>
      <c r="K1700" s="38"/>
      <c r="L1700" s="38"/>
    </row>
    <row r="1701" spans="2:12" ht="14.5" x14ac:dyDescent="0.35">
      <c r="B1701" s="46" t="s">
        <v>3589</v>
      </c>
      <c r="C1701" s="36">
        <v>45899</v>
      </c>
      <c r="D1701" s="36" t="s">
        <v>3508</v>
      </c>
      <c r="E1701" s="37">
        <v>39123</v>
      </c>
      <c r="F1701" s="37" t="s">
        <v>4026</v>
      </c>
      <c r="G1701" s="38"/>
      <c r="H1701" s="38">
        <v>1814.63</v>
      </c>
      <c r="I1701" s="37"/>
      <c r="J1701" s="37"/>
      <c r="K1701" s="38"/>
      <c r="L1701" s="38"/>
    </row>
    <row r="1702" spans="2:12" ht="14.5" x14ac:dyDescent="0.35">
      <c r="B1702" s="46" t="s">
        <v>3589</v>
      </c>
      <c r="C1702" s="36">
        <v>45899</v>
      </c>
      <c r="D1702" s="36" t="s">
        <v>884</v>
      </c>
      <c r="E1702" s="37">
        <v>24015762</v>
      </c>
      <c r="F1702" s="37" t="s">
        <v>4026</v>
      </c>
      <c r="G1702" s="38"/>
      <c r="H1702" s="38">
        <v>0</v>
      </c>
      <c r="I1702" s="37"/>
      <c r="J1702" s="37"/>
      <c r="K1702" s="38"/>
      <c r="L1702" s="38"/>
    </row>
    <row r="1703" spans="2:12" ht="14.5" x14ac:dyDescent="0.35">
      <c r="B1703" s="46" t="s">
        <v>3589</v>
      </c>
      <c r="C1703" s="36">
        <v>45899</v>
      </c>
      <c r="D1703" s="36" t="s">
        <v>3824</v>
      </c>
      <c r="E1703" s="37">
        <v>4102025</v>
      </c>
      <c r="F1703" s="37" t="s">
        <v>4026</v>
      </c>
      <c r="G1703" s="38"/>
      <c r="H1703" s="38">
        <v>0</v>
      </c>
      <c r="I1703" s="37"/>
      <c r="J1703" s="37"/>
      <c r="K1703" s="38"/>
      <c r="L1703" s="38"/>
    </row>
    <row r="1704" spans="2:12" ht="14.5" x14ac:dyDescent="0.35">
      <c r="B1704" s="46" t="s">
        <v>3589</v>
      </c>
      <c r="C1704" s="36">
        <v>45900</v>
      </c>
      <c r="D1704" s="36" t="s">
        <v>2603</v>
      </c>
      <c r="E1704" s="37" t="s">
        <v>3301</v>
      </c>
      <c r="F1704" s="37" t="s">
        <v>4026</v>
      </c>
      <c r="G1704" s="38"/>
      <c r="H1704" s="38">
        <v>23253.23</v>
      </c>
      <c r="I1704" s="37"/>
      <c r="J1704" s="37"/>
      <c r="K1704" s="38"/>
      <c r="L1704" s="38"/>
    </row>
    <row r="1705" spans="2:12" ht="14.5" x14ac:dyDescent="0.35">
      <c r="B1705" s="46" t="s">
        <v>3589</v>
      </c>
      <c r="C1705" s="36">
        <v>45900</v>
      </c>
      <c r="D1705" s="36" t="s">
        <v>2474</v>
      </c>
      <c r="E1705" s="37" t="s">
        <v>3302</v>
      </c>
      <c r="F1705" s="37" t="s">
        <v>4026</v>
      </c>
      <c r="G1705" s="38"/>
      <c r="H1705" s="38">
        <v>10031.69</v>
      </c>
      <c r="I1705" s="37"/>
      <c r="J1705" s="37"/>
      <c r="K1705" s="38"/>
      <c r="L1705" s="38"/>
    </row>
    <row r="1706" spans="2:12" ht="14.5" x14ac:dyDescent="0.35">
      <c r="B1706" s="46" t="s">
        <v>3589</v>
      </c>
      <c r="C1706" s="36">
        <v>45900</v>
      </c>
      <c r="D1706" s="36" t="s">
        <v>714</v>
      </c>
      <c r="E1706" s="37">
        <v>7240</v>
      </c>
      <c r="F1706" s="37" t="s">
        <v>4026</v>
      </c>
      <c r="G1706" s="38"/>
      <c r="H1706" s="38">
        <v>857.08</v>
      </c>
      <c r="I1706" s="37"/>
      <c r="J1706" s="37"/>
      <c r="K1706" s="38"/>
      <c r="L1706" s="38"/>
    </row>
    <row r="1707" spans="2:12" ht="14.5" x14ac:dyDescent="0.35">
      <c r="B1707" s="46" t="s">
        <v>3589</v>
      </c>
      <c r="C1707" s="36">
        <v>45900</v>
      </c>
      <c r="D1707" s="36" t="s">
        <v>2904</v>
      </c>
      <c r="E1707" s="37" t="s">
        <v>3303</v>
      </c>
      <c r="F1707" s="37" t="s">
        <v>4026</v>
      </c>
      <c r="G1707" s="38"/>
      <c r="H1707" s="38">
        <v>1261.3399999999999</v>
      </c>
      <c r="I1707" s="37"/>
      <c r="J1707" s="37"/>
      <c r="K1707" s="38"/>
      <c r="L1707" s="38"/>
    </row>
    <row r="1708" spans="2:12" ht="14.5" x14ac:dyDescent="0.35">
      <c r="B1708" s="46" t="s">
        <v>3589</v>
      </c>
      <c r="C1708" s="36">
        <v>45900</v>
      </c>
      <c r="D1708" s="36" t="s">
        <v>1484</v>
      </c>
      <c r="E1708" s="37" t="s">
        <v>3304</v>
      </c>
      <c r="F1708" s="37" t="s">
        <v>4026</v>
      </c>
      <c r="G1708" s="38"/>
      <c r="H1708" s="38">
        <v>56286.200000000004</v>
      </c>
      <c r="I1708" s="37"/>
      <c r="J1708" s="37"/>
      <c r="K1708" s="38"/>
      <c r="L1708" s="38"/>
    </row>
    <row r="1709" spans="2:12" ht="14.5" x14ac:dyDescent="0.35">
      <c r="B1709" s="46" t="s">
        <v>3589</v>
      </c>
      <c r="C1709" s="36">
        <v>45900</v>
      </c>
      <c r="D1709" s="36" t="s">
        <v>1484</v>
      </c>
      <c r="E1709" s="37" t="s">
        <v>3305</v>
      </c>
      <c r="F1709" s="37" t="s">
        <v>4026</v>
      </c>
      <c r="G1709" s="38"/>
      <c r="H1709" s="38">
        <v>17123.859999999997</v>
      </c>
      <c r="I1709" s="37"/>
      <c r="J1709" s="37"/>
      <c r="K1709" s="38"/>
      <c r="L1709" s="38"/>
    </row>
    <row r="1710" spans="2:12" ht="14.5" x14ac:dyDescent="0.35">
      <c r="B1710" s="46" t="s">
        <v>3589</v>
      </c>
      <c r="C1710" s="36">
        <v>45900</v>
      </c>
      <c r="D1710" s="36" t="s">
        <v>1484</v>
      </c>
      <c r="E1710" s="37" t="s">
        <v>3306</v>
      </c>
      <c r="F1710" s="37" t="s">
        <v>4026</v>
      </c>
      <c r="G1710" s="38"/>
      <c r="H1710" s="38">
        <v>42976.479999999996</v>
      </c>
      <c r="I1710" s="37"/>
      <c r="J1710" s="37"/>
      <c r="K1710" s="38"/>
      <c r="L1710" s="38"/>
    </row>
    <row r="1711" spans="2:12" ht="14.5" x14ac:dyDescent="0.35">
      <c r="B1711" s="46" t="s">
        <v>3589</v>
      </c>
      <c r="C1711" s="36">
        <v>45900</v>
      </c>
      <c r="D1711" s="36" t="s">
        <v>1484</v>
      </c>
      <c r="E1711" s="37" t="s">
        <v>3307</v>
      </c>
      <c r="F1711" s="37" t="s">
        <v>4026</v>
      </c>
      <c r="G1711" s="38"/>
      <c r="H1711" s="38">
        <v>15447.4</v>
      </c>
      <c r="I1711" s="37"/>
      <c r="J1711" s="37"/>
      <c r="K1711" s="38"/>
      <c r="L1711" s="38"/>
    </row>
    <row r="1712" spans="2:12" ht="14.5" x14ac:dyDescent="0.35">
      <c r="B1712" s="46" t="s">
        <v>3589</v>
      </c>
      <c r="C1712" s="36">
        <v>45900</v>
      </c>
      <c r="D1712" s="36" t="s">
        <v>301</v>
      </c>
      <c r="E1712" s="37" t="s">
        <v>3308</v>
      </c>
      <c r="F1712" s="37" t="s">
        <v>4026</v>
      </c>
      <c r="G1712" s="38"/>
      <c r="H1712" s="38">
        <v>1430.85</v>
      </c>
      <c r="I1712" s="37"/>
      <c r="J1712" s="37"/>
      <c r="K1712" s="38"/>
      <c r="L1712" s="38"/>
    </row>
    <row r="1713" spans="2:12" ht="14.5" x14ac:dyDescent="0.35">
      <c r="B1713" s="46" t="s">
        <v>3589</v>
      </c>
      <c r="C1713" s="36">
        <v>45900</v>
      </c>
      <c r="D1713" s="36" t="s">
        <v>1484</v>
      </c>
      <c r="E1713" s="37">
        <v>32212</v>
      </c>
      <c r="F1713" s="37" t="s">
        <v>4026</v>
      </c>
      <c r="G1713" s="38"/>
      <c r="H1713" s="38">
        <v>16787.199999999997</v>
      </c>
      <c r="I1713" s="37"/>
      <c r="J1713" s="37"/>
      <c r="K1713" s="38"/>
      <c r="L1713" s="38"/>
    </row>
    <row r="1714" spans="2:12" ht="14.5" x14ac:dyDescent="0.35">
      <c r="B1714" s="46" t="s">
        <v>3589</v>
      </c>
      <c r="C1714" s="36">
        <v>45900</v>
      </c>
      <c r="D1714" s="36" t="s">
        <v>1484</v>
      </c>
      <c r="E1714" s="37" t="s">
        <v>3309</v>
      </c>
      <c r="F1714" s="37" t="s">
        <v>4026</v>
      </c>
      <c r="G1714" s="38"/>
      <c r="H1714" s="38">
        <v>1760.7</v>
      </c>
      <c r="I1714" s="37"/>
      <c r="J1714" s="37"/>
      <c r="K1714" s="38"/>
      <c r="L1714" s="38"/>
    </row>
    <row r="1715" spans="2:12" ht="14.5" x14ac:dyDescent="0.35">
      <c r="B1715" s="46" t="s">
        <v>3589</v>
      </c>
      <c r="C1715" s="36">
        <v>45900</v>
      </c>
      <c r="D1715" s="36" t="s">
        <v>301</v>
      </c>
      <c r="E1715" s="37" t="s">
        <v>3311</v>
      </c>
      <c r="F1715" s="37" t="s">
        <v>4026</v>
      </c>
      <c r="G1715" s="38"/>
      <c r="H1715" s="38">
        <v>32850.170000000006</v>
      </c>
      <c r="I1715" s="37"/>
      <c r="J1715" s="37"/>
      <c r="K1715" s="38"/>
      <c r="L1715" s="38"/>
    </row>
    <row r="1716" spans="2:12" ht="14.5" x14ac:dyDescent="0.35">
      <c r="B1716" s="46" t="s">
        <v>3589</v>
      </c>
      <c r="C1716" s="36">
        <v>45900</v>
      </c>
      <c r="D1716" s="36" t="s">
        <v>301</v>
      </c>
      <c r="E1716" s="37" t="s">
        <v>3312</v>
      </c>
      <c r="F1716" s="37" t="s">
        <v>4026</v>
      </c>
      <c r="G1716" s="38"/>
      <c r="H1716" s="38">
        <v>5151.4599999999973</v>
      </c>
      <c r="I1716" s="37"/>
      <c r="J1716" s="37"/>
      <c r="K1716" s="38"/>
      <c r="L1716" s="38"/>
    </row>
    <row r="1717" spans="2:12" ht="14.5" x14ac:dyDescent="0.35">
      <c r="B1717" s="46" t="s">
        <v>3589</v>
      </c>
      <c r="C1717" s="36">
        <v>45900</v>
      </c>
      <c r="D1717" s="36" t="s">
        <v>2926</v>
      </c>
      <c r="E1717" s="37" t="s">
        <v>3313</v>
      </c>
      <c r="F1717" s="37" t="s">
        <v>4026</v>
      </c>
      <c r="G1717" s="38"/>
      <c r="H1717" s="38">
        <v>243</v>
      </c>
      <c r="I1717" s="37"/>
      <c r="J1717" s="37"/>
      <c r="K1717" s="38"/>
      <c r="L1717" s="38"/>
    </row>
    <row r="1718" spans="2:12" ht="14.5" x14ac:dyDescent="0.35">
      <c r="B1718" s="46" t="s">
        <v>3589</v>
      </c>
      <c r="C1718" s="36">
        <v>45900</v>
      </c>
      <c r="D1718" s="36" t="s">
        <v>301</v>
      </c>
      <c r="E1718" s="37" t="s">
        <v>3314</v>
      </c>
      <c r="F1718" s="37" t="s">
        <v>4026</v>
      </c>
      <c r="G1718" s="38"/>
      <c r="H1718" s="38">
        <v>14034.900000000001</v>
      </c>
      <c r="I1718" s="37"/>
      <c r="J1718" s="37"/>
      <c r="K1718" s="38"/>
      <c r="L1718" s="38"/>
    </row>
    <row r="1719" spans="2:12" ht="14.5" x14ac:dyDescent="0.35">
      <c r="B1719" s="46" t="s">
        <v>3589</v>
      </c>
      <c r="C1719" s="36">
        <v>45900</v>
      </c>
      <c r="D1719" s="36" t="s">
        <v>2555</v>
      </c>
      <c r="E1719" s="37" t="s">
        <v>3315</v>
      </c>
      <c r="F1719" s="37" t="s">
        <v>4026</v>
      </c>
      <c r="G1719" s="38"/>
      <c r="H1719" s="38">
        <v>101.95</v>
      </c>
      <c r="I1719" s="37"/>
      <c r="J1719" s="37"/>
      <c r="K1719" s="38"/>
      <c r="L1719" s="38"/>
    </row>
    <row r="1720" spans="2:12" ht="14.5" x14ac:dyDescent="0.35">
      <c r="B1720" s="46" t="s">
        <v>3589</v>
      </c>
      <c r="C1720" s="36">
        <v>45900</v>
      </c>
      <c r="D1720" s="36" t="s">
        <v>2555</v>
      </c>
      <c r="E1720" s="37" t="s">
        <v>3316</v>
      </c>
      <c r="F1720" s="37" t="s">
        <v>4026</v>
      </c>
      <c r="G1720" s="38"/>
      <c r="H1720" s="38">
        <v>1999.1999999999998</v>
      </c>
      <c r="I1720" s="37"/>
      <c r="J1720" s="37"/>
      <c r="K1720" s="38"/>
      <c r="L1720" s="38"/>
    </row>
    <row r="1721" spans="2:12" ht="14.5" x14ac:dyDescent="0.35">
      <c r="B1721" s="46" t="s">
        <v>3589</v>
      </c>
      <c r="C1721" s="36">
        <v>45900</v>
      </c>
      <c r="D1721" s="36" t="s">
        <v>2555</v>
      </c>
      <c r="E1721" s="37" t="s">
        <v>3317</v>
      </c>
      <c r="F1721" s="37" t="s">
        <v>4026</v>
      </c>
      <c r="G1721" s="38"/>
      <c r="H1721" s="38">
        <v>4311.7700000000004</v>
      </c>
      <c r="I1721" s="37"/>
      <c r="J1721" s="37"/>
      <c r="K1721" s="38"/>
      <c r="L1721" s="38"/>
    </row>
    <row r="1722" spans="2:12" ht="14.5" x14ac:dyDescent="0.35">
      <c r="B1722" s="46" t="s">
        <v>3589</v>
      </c>
      <c r="C1722" s="36">
        <v>45900</v>
      </c>
      <c r="D1722" s="36" t="s">
        <v>2555</v>
      </c>
      <c r="E1722" s="37" t="s">
        <v>3318</v>
      </c>
      <c r="F1722" s="37" t="s">
        <v>4026</v>
      </c>
      <c r="G1722" s="38"/>
      <c r="H1722" s="38">
        <v>12154.71</v>
      </c>
      <c r="I1722" s="37"/>
      <c r="J1722" s="37"/>
      <c r="K1722" s="38"/>
      <c r="L1722" s="38"/>
    </row>
    <row r="1723" spans="2:12" ht="14.5" x14ac:dyDescent="0.35">
      <c r="B1723" s="46" t="s">
        <v>3589</v>
      </c>
      <c r="C1723" s="36">
        <v>45900</v>
      </c>
      <c r="D1723" s="36" t="s">
        <v>2555</v>
      </c>
      <c r="E1723" s="37" t="s">
        <v>3319</v>
      </c>
      <c r="F1723" s="37" t="s">
        <v>4026</v>
      </c>
      <c r="G1723" s="38"/>
      <c r="H1723" s="38">
        <v>5039.1699999999992</v>
      </c>
      <c r="I1723" s="37"/>
      <c r="J1723" s="37"/>
      <c r="K1723" s="38"/>
      <c r="L1723" s="38"/>
    </row>
    <row r="1724" spans="2:12" ht="14.5" x14ac:dyDescent="0.35">
      <c r="B1724" s="46" t="s">
        <v>3589</v>
      </c>
      <c r="C1724" s="36">
        <v>45900</v>
      </c>
      <c r="D1724" s="36" t="s">
        <v>2555</v>
      </c>
      <c r="E1724" s="37" t="s">
        <v>3320</v>
      </c>
      <c r="F1724" s="37" t="s">
        <v>4026</v>
      </c>
      <c r="G1724" s="38"/>
      <c r="H1724" s="38">
        <v>2848.18</v>
      </c>
      <c r="I1724" s="37"/>
      <c r="J1724" s="37"/>
      <c r="K1724" s="38"/>
      <c r="L1724" s="38"/>
    </row>
    <row r="1725" spans="2:12" ht="14.5" x14ac:dyDescent="0.35">
      <c r="B1725" s="46" t="s">
        <v>3589</v>
      </c>
      <c r="C1725" s="36">
        <v>45900</v>
      </c>
      <c r="D1725" s="36" t="s">
        <v>2555</v>
      </c>
      <c r="E1725" s="37" t="s">
        <v>3321</v>
      </c>
      <c r="F1725" s="37" t="s">
        <v>4026</v>
      </c>
      <c r="G1725" s="38"/>
      <c r="H1725" s="38">
        <v>2583.4999999999995</v>
      </c>
      <c r="I1725" s="37"/>
      <c r="J1725" s="37"/>
      <c r="K1725" s="38"/>
      <c r="L1725" s="38"/>
    </row>
    <row r="1726" spans="2:12" ht="14.5" x14ac:dyDescent="0.35">
      <c r="B1726" s="46" t="s">
        <v>3589</v>
      </c>
      <c r="C1726" s="36">
        <v>45900</v>
      </c>
      <c r="D1726" s="36" t="s">
        <v>2555</v>
      </c>
      <c r="E1726" s="37" t="s">
        <v>3322</v>
      </c>
      <c r="F1726" s="37" t="s">
        <v>4026</v>
      </c>
      <c r="G1726" s="38"/>
      <c r="H1726" s="38">
        <v>978.93000000000006</v>
      </c>
      <c r="I1726" s="37"/>
      <c r="J1726" s="37"/>
      <c r="K1726" s="38"/>
      <c r="L1726" s="38"/>
    </row>
    <row r="1727" spans="2:12" ht="14.5" x14ac:dyDescent="0.35">
      <c r="B1727" s="46" t="s">
        <v>3589</v>
      </c>
      <c r="C1727" s="36">
        <v>45900</v>
      </c>
      <c r="D1727" s="36" t="s">
        <v>301</v>
      </c>
      <c r="E1727" s="37" t="s">
        <v>3323</v>
      </c>
      <c r="F1727" s="37" t="s">
        <v>4026</v>
      </c>
      <c r="G1727" s="38"/>
      <c r="H1727" s="38">
        <v>815.11</v>
      </c>
      <c r="I1727" s="37"/>
      <c r="J1727" s="37"/>
      <c r="K1727" s="38"/>
      <c r="L1727" s="38"/>
    </row>
    <row r="1728" spans="2:12" ht="14.5" x14ac:dyDescent="0.35">
      <c r="B1728" s="46" t="s">
        <v>3589</v>
      </c>
      <c r="C1728" s="36">
        <v>45900</v>
      </c>
      <c r="D1728" s="36" t="s">
        <v>301</v>
      </c>
      <c r="E1728" s="37" t="s">
        <v>3324</v>
      </c>
      <c r="F1728" s="37" t="s">
        <v>4026</v>
      </c>
      <c r="G1728" s="38"/>
      <c r="H1728" s="38">
        <v>55801.979999999981</v>
      </c>
      <c r="I1728" s="37"/>
      <c r="J1728" s="37"/>
      <c r="K1728" s="38"/>
      <c r="L1728" s="38"/>
    </row>
    <row r="1729" spans="2:12" ht="14.5" x14ac:dyDescent="0.35">
      <c r="B1729" s="46" t="s">
        <v>3589</v>
      </c>
      <c r="C1729" s="36">
        <v>45900</v>
      </c>
      <c r="D1729" s="36" t="s">
        <v>2132</v>
      </c>
      <c r="E1729" s="37" t="s">
        <v>3325</v>
      </c>
      <c r="F1729" s="37" t="s">
        <v>4026</v>
      </c>
      <c r="G1729" s="38"/>
      <c r="H1729" s="38">
        <v>467.11</v>
      </c>
      <c r="I1729" s="37"/>
      <c r="J1729" s="37"/>
      <c r="K1729" s="38"/>
      <c r="L1729" s="38"/>
    </row>
    <row r="1730" spans="2:12" ht="14.5" x14ac:dyDescent="0.35">
      <c r="B1730" s="46" t="s">
        <v>3589</v>
      </c>
      <c r="C1730" s="36">
        <v>45900</v>
      </c>
      <c r="D1730" s="36" t="s">
        <v>301</v>
      </c>
      <c r="E1730" s="37">
        <v>33826</v>
      </c>
      <c r="F1730" s="37" t="s">
        <v>4026</v>
      </c>
      <c r="G1730" s="38"/>
      <c r="H1730" s="38">
        <v>14.62</v>
      </c>
      <c r="I1730" s="37"/>
      <c r="J1730" s="37"/>
      <c r="K1730" s="38"/>
      <c r="L1730" s="38"/>
    </row>
    <row r="1731" spans="2:12" ht="14.5" x14ac:dyDescent="0.35">
      <c r="B1731" s="46" t="s">
        <v>3589</v>
      </c>
      <c r="C1731" s="36">
        <v>45900</v>
      </c>
      <c r="D1731" s="36" t="s">
        <v>301</v>
      </c>
      <c r="E1731" s="37" t="s">
        <v>3326</v>
      </c>
      <c r="F1731" s="37" t="s">
        <v>4026</v>
      </c>
      <c r="G1731" s="38"/>
      <c r="H1731" s="38">
        <v>6514.0500000000011</v>
      </c>
      <c r="I1731" s="37"/>
      <c r="J1731" s="37"/>
      <c r="K1731" s="38"/>
      <c r="L1731" s="38"/>
    </row>
    <row r="1732" spans="2:12" ht="14.5" x14ac:dyDescent="0.35">
      <c r="B1732" s="46" t="s">
        <v>3589</v>
      </c>
      <c r="C1732" s="36">
        <v>45900</v>
      </c>
      <c r="D1732" s="36" t="s">
        <v>301</v>
      </c>
      <c r="E1732" s="37" t="s">
        <v>3327</v>
      </c>
      <c r="F1732" s="37" t="s">
        <v>4026</v>
      </c>
      <c r="G1732" s="38"/>
      <c r="H1732" s="38">
        <v>3187.7900000000009</v>
      </c>
      <c r="I1732" s="37"/>
      <c r="J1732" s="37"/>
      <c r="K1732" s="38"/>
      <c r="L1732" s="38"/>
    </row>
    <row r="1733" spans="2:12" ht="14.5" x14ac:dyDescent="0.35">
      <c r="B1733" s="46" t="s">
        <v>3589</v>
      </c>
      <c r="C1733" s="36">
        <v>45900</v>
      </c>
      <c r="D1733" s="36" t="s">
        <v>301</v>
      </c>
      <c r="E1733" s="37" t="s">
        <v>3328</v>
      </c>
      <c r="F1733" s="37" t="s">
        <v>4026</v>
      </c>
      <c r="G1733" s="38"/>
      <c r="H1733" s="38">
        <v>12661.64</v>
      </c>
      <c r="I1733" s="37"/>
      <c r="J1733" s="37"/>
      <c r="K1733" s="38"/>
      <c r="L1733" s="38"/>
    </row>
    <row r="1734" spans="2:12" ht="14.5" x14ac:dyDescent="0.35">
      <c r="B1734" s="46" t="s">
        <v>3589</v>
      </c>
      <c r="C1734" s="36">
        <v>45900</v>
      </c>
      <c r="D1734" s="36" t="s">
        <v>301</v>
      </c>
      <c r="E1734" s="37" t="s">
        <v>3329</v>
      </c>
      <c r="F1734" s="37" t="s">
        <v>4026</v>
      </c>
      <c r="G1734" s="38"/>
      <c r="H1734" s="38">
        <v>7174.3900000000031</v>
      </c>
      <c r="I1734" s="37"/>
      <c r="J1734" s="37"/>
      <c r="K1734" s="38"/>
      <c r="L1734" s="38"/>
    </row>
    <row r="1735" spans="2:12" ht="14.5" x14ac:dyDescent="0.35">
      <c r="B1735" s="46" t="s">
        <v>3589</v>
      </c>
      <c r="C1735" s="36">
        <v>45900</v>
      </c>
      <c r="D1735" s="36" t="s">
        <v>301</v>
      </c>
      <c r="E1735" s="37" t="s">
        <v>3330</v>
      </c>
      <c r="F1735" s="37" t="s">
        <v>4026</v>
      </c>
      <c r="G1735" s="38"/>
      <c r="H1735" s="38">
        <v>4597.2600000000011</v>
      </c>
      <c r="I1735" s="37"/>
      <c r="J1735" s="37"/>
      <c r="K1735" s="38"/>
      <c r="L1735" s="38"/>
    </row>
    <row r="1736" spans="2:12" ht="14.5" x14ac:dyDescent="0.35">
      <c r="B1736" s="46" t="s">
        <v>3589</v>
      </c>
      <c r="C1736" s="36">
        <v>45900</v>
      </c>
      <c r="D1736" s="36" t="s">
        <v>301</v>
      </c>
      <c r="E1736" s="37">
        <v>33967</v>
      </c>
      <c r="F1736" s="37" t="s">
        <v>4026</v>
      </c>
      <c r="G1736" s="38"/>
      <c r="H1736" s="38">
        <v>792.56999999999994</v>
      </c>
      <c r="I1736" s="37"/>
      <c r="J1736" s="37"/>
      <c r="K1736" s="38"/>
      <c r="L1736" s="38"/>
    </row>
    <row r="1737" spans="2:12" ht="14.5" x14ac:dyDescent="0.35">
      <c r="B1737" s="46" t="s">
        <v>3589</v>
      </c>
      <c r="C1737" s="36">
        <v>45900</v>
      </c>
      <c r="D1737" s="36" t="s">
        <v>301</v>
      </c>
      <c r="E1737" s="37">
        <v>33968</v>
      </c>
      <c r="F1737" s="37" t="s">
        <v>4026</v>
      </c>
      <c r="G1737" s="38"/>
      <c r="H1737" s="38">
        <v>22.13</v>
      </c>
      <c r="I1737" s="37"/>
      <c r="J1737" s="37"/>
      <c r="K1737" s="38"/>
      <c r="L1737" s="38"/>
    </row>
    <row r="1738" spans="2:12" ht="14.5" x14ac:dyDescent="0.35">
      <c r="B1738" s="46" t="s">
        <v>3589</v>
      </c>
      <c r="C1738" s="36">
        <v>45900</v>
      </c>
      <c r="D1738" s="36" t="s">
        <v>2033</v>
      </c>
      <c r="E1738" s="37" t="s">
        <v>3331</v>
      </c>
      <c r="F1738" s="37" t="s">
        <v>4026</v>
      </c>
      <c r="G1738" s="38"/>
      <c r="H1738" s="38">
        <v>5364</v>
      </c>
      <c r="I1738" s="37"/>
      <c r="J1738" s="37"/>
      <c r="K1738" s="38"/>
      <c r="L1738" s="38"/>
    </row>
    <row r="1739" spans="2:12" ht="14.5" x14ac:dyDescent="0.35">
      <c r="B1739" s="46" t="s">
        <v>3589</v>
      </c>
      <c r="C1739" s="36">
        <v>45900</v>
      </c>
      <c r="D1739" s="36" t="s">
        <v>2033</v>
      </c>
      <c r="E1739" s="37" t="s">
        <v>3332</v>
      </c>
      <c r="F1739" s="37" t="s">
        <v>4026</v>
      </c>
      <c r="G1739" s="38"/>
      <c r="H1739" s="38">
        <v>868</v>
      </c>
      <c r="I1739" s="37"/>
      <c r="J1739" s="37"/>
      <c r="K1739" s="38"/>
      <c r="L1739" s="38"/>
    </row>
    <row r="1740" spans="2:12" ht="14.5" x14ac:dyDescent="0.35">
      <c r="B1740" s="46" t="s">
        <v>3589</v>
      </c>
      <c r="C1740" s="36">
        <v>45900</v>
      </c>
      <c r="D1740" s="36" t="s">
        <v>2033</v>
      </c>
      <c r="E1740" s="37" t="s">
        <v>3333</v>
      </c>
      <c r="F1740" s="37" t="s">
        <v>4026</v>
      </c>
      <c r="G1740" s="38"/>
      <c r="H1740" s="38">
        <v>11670.6</v>
      </c>
      <c r="I1740" s="37"/>
      <c r="J1740" s="37"/>
      <c r="K1740" s="38"/>
      <c r="L1740" s="38"/>
    </row>
    <row r="1741" spans="2:12" ht="14.5" x14ac:dyDescent="0.35">
      <c r="B1741" s="46" t="s">
        <v>3589</v>
      </c>
      <c r="C1741" s="36">
        <v>45900</v>
      </c>
      <c r="D1741" s="36" t="s">
        <v>301</v>
      </c>
      <c r="E1741" s="37">
        <v>33999</v>
      </c>
      <c r="F1741" s="37" t="s">
        <v>4026</v>
      </c>
      <c r="G1741" s="38"/>
      <c r="H1741" s="38">
        <v>1279.9999999999989</v>
      </c>
      <c r="I1741" s="37"/>
      <c r="J1741" s="37"/>
      <c r="K1741" s="38"/>
      <c r="L1741" s="38"/>
    </row>
    <row r="1742" spans="2:12" ht="14.5" x14ac:dyDescent="0.35">
      <c r="B1742" s="46" t="s">
        <v>3589</v>
      </c>
      <c r="C1742" s="36">
        <v>45900</v>
      </c>
      <c r="D1742" s="36" t="s">
        <v>2033</v>
      </c>
      <c r="E1742" s="37" t="s">
        <v>3334</v>
      </c>
      <c r="F1742" s="37" t="s">
        <v>4026</v>
      </c>
      <c r="G1742" s="38"/>
      <c r="H1742" s="38">
        <v>9922.7999999999993</v>
      </c>
      <c r="I1742" s="37"/>
      <c r="J1742" s="37"/>
      <c r="K1742" s="38"/>
      <c r="L1742" s="38"/>
    </row>
    <row r="1743" spans="2:12" ht="14.5" x14ac:dyDescent="0.35">
      <c r="B1743" s="46" t="s">
        <v>3589</v>
      </c>
      <c r="C1743" s="36">
        <v>45900</v>
      </c>
      <c r="D1743" s="36" t="s">
        <v>2033</v>
      </c>
      <c r="E1743" s="37" t="s">
        <v>3335</v>
      </c>
      <c r="F1743" s="37" t="s">
        <v>4026</v>
      </c>
      <c r="G1743" s="38"/>
      <c r="H1743" s="38">
        <v>2154.83</v>
      </c>
      <c r="I1743" s="37"/>
      <c r="J1743" s="37"/>
      <c r="K1743" s="38"/>
      <c r="L1743" s="38"/>
    </row>
    <row r="1744" spans="2:12" ht="14.5" x14ac:dyDescent="0.35">
      <c r="B1744" s="46" t="s">
        <v>3589</v>
      </c>
      <c r="C1744" s="36">
        <v>45900</v>
      </c>
      <c r="D1744" s="36" t="s">
        <v>301</v>
      </c>
      <c r="E1744" s="37">
        <v>34128</v>
      </c>
      <c r="F1744" s="37" t="s">
        <v>4026</v>
      </c>
      <c r="G1744" s="38"/>
      <c r="H1744" s="38">
        <v>70.97</v>
      </c>
      <c r="I1744" s="37"/>
      <c r="J1744" s="37"/>
      <c r="K1744" s="38"/>
      <c r="L1744" s="38"/>
    </row>
    <row r="1745" spans="2:12" ht="14.5" x14ac:dyDescent="0.35">
      <c r="B1745" s="46" t="s">
        <v>3589</v>
      </c>
      <c r="C1745" s="36">
        <v>45900</v>
      </c>
      <c r="D1745" s="36" t="s">
        <v>2467</v>
      </c>
      <c r="E1745" s="37" t="s">
        <v>3336</v>
      </c>
      <c r="F1745" s="37" t="s">
        <v>4026</v>
      </c>
      <c r="G1745" s="38"/>
      <c r="H1745" s="38">
        <v>4652.369999999999</v>
      </c>
      <c r="I1745" s="37"/>
      <c r="J1745" s="37"/>
      <c r="K1745" s="38"/>
      <c r="L1745" s="38"/>
    </row>
    <row r="1746" spans="2:12" ht="14.5" x14ac:dyDescent="0.35">
      <c r="B1746" s="46" t="s">
        <v>3589</v>
      </c>
      <c r="C1746" s="36">
        <v>45900</v>
      </c>
      <c r="D1746" s="36" t="s">
        <v>1724</v>
      </c>
      <c r="E1746" s="37" t="s">
        <v>3337</v>
      </c>
      <c r="F1746" s="37" t="s">
        <v>4026</v>
      </c>
      <c r="G1746" s="38"/>
      <c r="H1746" s="38">
        <v>15892.35</v>
      </c>
      <c r="I1746" s="37"/>
      <c r="J1746" s="37"/>
      <c r="K1746" s="38"/>
      <c r="L1746" s="38"/>
    </row>
    <row r="1747" spans="2:12" ht="14.5" x14ac:dyDescent="0.35">
      <c r="B1747" s="46" t="s">
        <v>3589</v>
      </c>
      <c r="C1747" s="36">
        <v>45900</v>
      </c>
      <c r="D1747" s="36" t="s">
        <v>1782</v>
      </c>
      <c r="E1747" s="37" t="s">
        <v>3338</v>
      </c>
      <c r="F1747" s="37" t="s">
        <v>4026</v>
      </c>
      <c r="G1747" s="38"/>
      <c r="H1747" s="38">
        <v>6130.1</v>
      </c>
      <c r="I1747" s="37"/>
      <c r="J1747" s="37"/>
      <c r="K1747" s="38"/>
      <c r="L1747" s="38"/>
    </row>
    <row r="1748" spans="2:12" ht="14.5" x14ac:dyDescent="0.35">
      <c r="B1748" s="46" t="s">
        <v>3589</v>
      </c>
      <c r="C1748" s="36">
        <v>45900</v>
      </c>
      <c r="D1748" s="36" t="s">
        <v>301</v>
      </c>
      <c r="E1748" s="37">
        <v>34529</v>
      </c>
      <c r="F1748" s="37" t="s">
        <v>4026</v>
      </c>
      <c r="G1748" s="38"/>
      <c r="H1748" s="38">
        <v>116.5</v>
      </c>
      <c r="I1748" s="37"/>
      <c r="J1748" s="37"/>
      <c r="K1748" s="38"/>
      <c r="L1748" s="38"/>
    </row>
    <row r="1749" spans="2:12" ht="14.5" x14ac:dyDescent="0.35">
      <c r="B1749" s="46" t="s">
        <v>3589</v>
      </c>
      <c r="C1749" s="36">
        <v>45900</v>
      </c>
      <c r="D1749" s="36" t="s">
        <v>301</v>
      </c>
      <c r="E1749" s="37">
        <v>34753</v>
      </c>
      <c r="F1749" s="37" t="s">
        <v>4026</v>
      </c>
      <c r="G1749" s="38"/>
      <c r="H1749" s="38">
        <v>1250</v>
      </c>
      <c r="I1749" s="37"/>
      <c r="J1749" s="37"/>
      <c r="K1749" s="38"/>
      <c r="L1749" s="38"/>
    </row>
    <row r="1750" spans="2:12" ht="14.5" x14ac:dyDescent="0.35">
      <c r="B1750" s="46" t="s">
        <v>3589</v>
      </c>
      <c r="C1750" s="36">
        <v>45900</v>
      </c>
      <c r="D1750" s="36" t="s">
        <v>965</v>
      </c>
      <c r="E1750" s="37" t="s">
        <v>3339</v>
      </c>
      <c r="F1750" s="37" t="s">
        <v>4026</v>
      </c>
      <c r="G1750" s="38"/>
      <c r="H1750" s="38">
        <v>5738.63</v>
      </c>
      <c r="I1750" s="37"/>
      <c r="J1750" s="37"/>
      <c r="K1750" s="38"/>
      <c r="L1750" s="38"/>
    </row>
    <row r="1751" spans="2:12" ht="14.5" x14ac:dyDescent="0.35">
      <c r="B1751" s="46" t="s">
        <v>3589</v>
      </c>
      <c r="C1751" s="36">
        <v>45900</v>
      </c>
      <c r="D1751" s="36" t="s">
        <v>301</v>
      </c>
      <c r="E1751" s="37" t="s">
        <v>3340</v>
      </c>
      <c r="F1751" s="37" t="s">
        <v>4026</v>
      </c>
      <c r="G1751" s="38"/>
      <c r="H1751" s="38">
        <v>257.38</v>
      </c>
      <c r="I1751" s="37"/>
      <c r="J1751" s="37"/>
      <c r="K1751" s="38"/>
      <c r="L1751" s="38"/>
    </row>
    <row r="1752" spans="2:12" ht="14.5" x14ac:dyDescent="0.35">
      <c r="B1752" s="46" t="s">
        <v>3589</v>
      </c>
      <c r="C1752" s="36">
        <v>45900</v>
      </c>
      <c r="D1752" s="36" t="s">
        <v>301</v>
      </c>
      <c r="E1752" s="37">
        <v>34768</v>
      </c>
      <c r="F1752" s="37" t="s">
        <v>4026</v>
      </c>
      <c r="G1752" s="38"/>
      <c r="H1752" s="38">
        <v>0</v>
      </c>
      <c r="I1752" s="37"/>
      <c r="J1752" s="37"/>
      <c r="K1752" s="38"/>
      <c r="L1752" s="38"/>
    </row>
    <row r="1753" spans="2:12" ht="14.5" x14ac:dyDescent="0.35">
      <c r="B1753" s="46" t="s">
        <v>3589</v>
      </c>
      <c r="C1753" s="36">
        <v>45900</v>
      </c>
      <c r="D1753" s="36" t="s">
        <v>301</v>
      </c>
      <c r="E1753" s="37">
        <v>34769</v>
      </c>
      <c r="F1753" s="37" t="s">
        <v>4026</v>
      </c>
      <c r="G1753" s="38"/>
      <c r="H1753" s="38">
        <v>0</v>
      </c>
      <c r="I1753" s="37"/>
      <c r="J1753" s="37"/>
      <c r="K1753" s="38"/>
      <c r="L1753" s="38"/>
    </row>
    <row r="1754" spans="2:12" ht="14.5" x14ac:dyDescent="0.35">
      <c r="B1754" s="46" t="s">
        <v>3589</v>
      </c>
      <c r="C1754" s="36">
        <v>45900</v>
      </c>
      <c r="D1754" s="36" t="s">
        <v>1932</v>
      </c>
      <c r="E1754" s="37" t="s">
        <v>3341</v>
      </c>
      <c r="F1754" s="37" t="s">
        <v>4026</v>
      </c>
      <c r="G1754" s="38"/>
      <c r="H1754" s="38">
        <v>269.66000000000003</v>
      </c>
      <c r="I1754" s="37"/>
      <c r="J1754" s="37"/>
      <c r="K1754" s="38"/>
      <c r="L1754" s="38"/>
    </row>
    <row r="1755" spans="2:12" ht="14.5" x14ac:dyDescent="0.35">
      <c r="B1755" s="46" t="s">
        <v>3589</v>
      </c>
      <c r="C1755" s="36">
        <v>45900</v>
      </c>
      <c r="D1755" s="36" t="s">
        <v>301</v>
      </c>
      <c r="E1755" s="37" t="s">
        <v>3342</v>
      </c>
      <c r="F1755" s="37" t="s">
        <v>4026</v>
      </c>
      <c r="G1755" s="38"/>
      <c r="H1755" s="38">
        <v>817.1</v>
      </c>
      <c r="I1755" s="37"/>
      <c r="J1755" s="37"/>
      <c r="K1755" s="38"/>
      <c r="L1755" s="38"/>
    </row>
    <row r="1756" spans="2:12" ht="14.5" x14ac:dyDescent="0.35">
      <c r="B1756" s="46" t="s">
        <v>3589</v>
      </c>
      <c r="C1756" s="36">
        <v>45900</v>
      </c>
      <c r="D1756" s="36" t="s">
        <v>3144</v>
      </c>
      <c r="E1756" s="37" t="s">
        <v>3343</v>
      </c>
      <c r="F1756" s="37" t="s">
        <v>4026</v>
      </c>
      <c r="G1756" s="38"/>
      <c r="H1756" s="38">
        <v>4377.47</v>
      </c>
      <c r="I1756" s="37"/>
      <c r="J1756" s="37"/>
      <c r="K1756" s="38"/>
      <c r="L1756" s="38"/>
    </row>
    <row r="1757" spans="2:12" ht="14.5" x14ac:dyDescent="0.35">
      <c r="B1757" s="46" t="s">
        <v>3589</v>
      </c>
      <c r="C1757" s="36">
        <v>45900</v>
      </c>
      <c r="D1757" s="36" t="s">
        <v>3144</v>
      </c>
      <c r="E1757" s="37" t="s">
        <v>3344</v>
      </c>
      <c r="F1757" s="37" t="s">
        <v>4026</v>
      </c>
      <c r="G1757" s="38"/>
      <c r="H1757" s="38">
        <v>18272.8</v>
      </c>
      <c r="I1757" s="37"/>
      <c r="J1757" s="37"/>
      <c r="K1757" s="38"/>
      <c r="L1757" s="38"/>
    </row>
    <row r="1758" spans="2:12" ht="14.5" x14ac:dyDescent="0.35">
      <c r="B1758" s="46" t="s">
        <v>3589</v>
      </c>
      <c r="C1758" s="36">
        <v>45900</v>
      </c>
      <c r="D1758" s="36" t="s">
        <v>2079</v>
      </c>
      <c r="E1758" s="37" t="s">
        <v>3345</v>
      </c>
      <c r="F1758" s="37" t="s">
        <v>4026</v>
      </c>
      <c r="G1758" s="38"/>
      <c r="H1758" s="38">
        <v>727.48</v>
      </c>
      <c r="I1758" s="37"/>
      <c r="J1758" s="37"/>
      <c r="K1758" s="38"/>
      <c r="L1758" s="38"/>
    </row>
    <row r="1759" spans="2:12" ht="14.5" x14ac:dyDescent="0.35">
      <c r="B1759" s="46" t="s">
        <v>3589</v>
      </c>
      <c r="C1759" s="36">
        <v>45900</v>
      </c>
      <c r="D1759" s="36" t="s">
        <v>301</v>
      </c>
      <c r="E1759" s="37" t="s">
        <v>3346</v>
      </c>
      <c r="F1759" s="37" t="s">
        <v>4026</v>
      </c>
      <c r="G1759" s="38"/>
      <c r="H1759" s="38">
        <v>100.91</v>
      </c>
      <c r="I1759" s="37"/>
      <c r="J1759" s="37"/>
      <c r="K1759" s="38"/>
      <c r="L1759" s="38"/>
    </row>
    <row r="1760" spans="2:12" ht="14.5" x14ac:dyDescent="0.35">
      <c r="B1760" s="46" t="s">
        <v>3589</v>
      </c>
      <c r="C1760" s="36">
        <v>45900</v>
      </c>
      <c r="D1760" s="36" t="s">
        <v>301</v>
      </c>
      <c r="E1760" s="37" t="s">
        <v>3347</v>
      </c>
      <c r="F1760" s="37" t="s">
        <v>4026</v>
      </c>
      <c r="G1760" s="38"/>
      <c r="H1760" s="38">
        <v>780.53</v>
      </c>
      <c r="I1760" s="37"/>
      <c r="J1760" s="37"/>
      <c r="K1760" s="38"/>
      <c r="L1760" s="38"/>
    </row>
    <row r="1761" spans="2:12" ht="14.5" x14ac:dyDescent="0.35">
      <c r="B1761" s="46" t="s">
        <v>3589</v>
      </c>
      <c r="C1761" s="36">
        <v>45900</v>
      </c>
      <c r="D1761" s="36" t="s">
        <v>301</v>
      </c>
      <c r="E1761" s="37" t="s">
        <v>3348</v>
      </c>
      <c r="F1761" s="37" t="s">
        <v>4026</v>
      </c>
      <c r="G1761" s="38"/>
      <c r="H1761" s="38">
        <v>1291.07</v>
      </c>
      <c r="I1761" s="37"/>
      <c r="J1761" s="37"/>
      <c r="K1761" s="38"/>
      <c r="L1761" s="38"/>
    </row>
    <row r="1762" spans="2:12" ht="14.5" x14ac:dyDescent="0.35">
      <c r="B1762" s="46" t="s">
        <v>3589</v>
      </c>
      <c r="C1762" s="36">
        <v>45900</v>
      </c>
      <c r="D1762" s="36" t="s">
        <v>301</v>
      </c>
      <c r="E1762" s="37" t="s">
        <v>3349</v>
      </c>
      <c r="F1762" s="37" t="s">
        <v>4026</v>
      </c>
      <c r="G1762" s="38"/>
      <c r="H1762" s="38">
        <v>5385.47</v>
      </c>
      <c r="I1762" s="37"/>
      <c r="J1762" s="37"/>
      <c r="K1762" s="38"/>
      <c r="L1762" s="38"/>
    </row>
    <row r="1763" spans="2:12" ht="14.5" x14ac:dyDescent="0.35">
      <c r="B1763" s="46" t="s">
        <v>3589</v>
      </c>
      <c r="C1763" s="36">
        <v>45900</v>
      </c>
      <c r="D1763" s="36" t="s">
        <v>301</v>
      </c>
      <c r="E1763" s="37" t="s">
        <v>3350</v>
      </c>
      <c r="F1763" s="37" t="s">
        <v>4026</v>
      </c>
      <c r="G1763" s="38"/>
      <c r="H1763" s="38">
        <v>1750.0599999999995</v>
      </c>
      <c r="I1763" s="37"/>
      <c r="J1763" s="37"/>
      <c r="K1763" s="38"/>
      <c r="L1763" s="38"/>
    </row>
    <row r="1764" spans="2:12" ht="14.5" x14ac:dyDescent="0.35">
      <c r="B1764" s="46" t="s">
        <v>3589</v>
      </c>
      <c r="C1764" s="36">
        <v>45900</v>
      </c>
      <c r="D1764" s="36" t="s">
        <v>301</v>
      </c>
      <c r="E1764" s="37" t="s">
        <v>3351</v>
      </c>
      <c r="F1764" s="37" t="s">
        <v>4026</v>
      </c>
      <c r="G1764" s="38"/>
      <c r="H1764" s="38">
        <v>23.63</v>
      </c>
      <c r="I1764" s="37"/>
      <c r="J1764" s="37"/>
      <c r="K1764" s="38"/>
      <c r="L1764" s="38"/>
    </row>
    <row r="1765" spans="2:12" ht="14.5" x14ac:dyDescent="0.35">
      <c r="B1765" s="46" t="s">
        <v>3589</v>
      </c>
      <c r="C1765" s="36">
        <v>45900</v>
      </c>
      <c r="D1765" s="36" t="s">
        <v>301</v>
      </c>
      <c r="E1765" s="37" t="s">
        <v>3352</v>
      </c>
      <c r="F1765" s="37" t="s">
        <v>4026</v>
      </c>
      <c r="G1765" s="38"/>
      <c r="H1765" s="38">
        <v>114.9</v>
      </c>
      <c r="I1765" s="37"/>
      <c r="J1765" s="37"/>
      <c r="K1765" s="38"/>
      <c r="L1765" s="38"/>
    </row>
    <row r="1766" spans="2:12" ht="14.5" x14ac:dyDescent="0.35">
      <c r="B1766" s="46" t="s">
        <v>3589</v>
      </c>
      <c r="C1766" s="36">
        <v>45900</v>
      </c>
      <c r="D1766" s="36" t="s">
        <v>3476</v>
      </c>
      <c r="E1766" s="37" t="s">
        <v>3353</v>
      </c>
      <c r="F1766" s="37" t="s">
        <v>4026</v>
      </c>
      <c r="G1766" s="38"/>
      <c r="H1766" s="38">
        <v>1317.7800000000002</v>
      </c>
      <c r="I1766" s="37"/>
      <c r="J1766" s="37"/>
      <c r="K1766" s="38"/>
      <c r="L1766" s="38"/>
    </row>
    <row r="1767" spans="2:12" ht="14.5" x14ac:dyDescent="0.35">
      <c r="B1767" s="46" t="s">
        <v>3589</v>
      </c>
      <c r="C1767" s="36">
        <v>45900</v>
      </c>
      <c r="D1767" s="36" t="s">
        <v>2467</v>
      </c>
      <c r="E1767" s="37" t="s">
        <v>3354</v>
      </c>
      <c r="F1767" s="37" t="s">
        <v>4026</v>
      </c>
      <c r="G1767" s="38"/>
      <c r="H1767" s="38">
        <v>1775.18</v>
      </c>
      <c r="I1767" s="37"/>
      <c r="J1767" s="37"/>
      <c r="K1767" s="38"/>
      <c r="L1767" s="38"/>
    </row>
    <row r="1768" spans="2:12" ht="14.5" x14ac:dyDescent="0.35">
      <c r="B1768" s="46" t="s">
        <v>3589</v>
      </c>
      <c r="C1768" s="36">
        <v>45900</v>
      </c>
      <c r="D1768" s="36" t="s">
        <v>3509</v>
      </c>
      <c r="E1768" s="37">
        <v>35410</v>
      </c>
      <c r="F1768" s="37" t="s">
        <v>4026</v>
      </c>
      <c r="G1768" s="38"/>
      <c r="H1768" s="38">
        <v>5677.2799999999988</v>
      </c>
      <c r="I1768" s="37"/>
      <c r="J1768" s="37"/>
      <c r="K1768" s="38"/>
      <c r="L1768" s="38"/>
    </row>
    <row r="1769" spans="2:12" ht="14.5" x14ac:dyDescent="0.35">
      <c r="B1769" s="46" t="s">
        <v>3589</v>
      </c>
      <c r="C1769" s="36">
        <v>45900</v>
      </c>
      <c r="D1769" s="36" t="s">
        <v>3509</v>
      </c>
      <c r="E1769" s="37">
        <v>35411</v>
      </c>
      <c r="F1769" s="37" t="s">
        <v>4026</v>
      </c>
      <c r="G1769" s="38"/>
      <c r="H1769" s="38">
        <v>60.63</v>
      </c>
      <c r="I1769" s="37"/>
      <c r="J1769" s="37"/>
      <c r="K1769" s="38"/>
      <c r="L1769" s="38"/>
    </row>
    <row r="1770" spans="2:12" ht="14.5" x14ac:dyDescent="0.35">
      <c r="B1770" s="46" t="s">
        <v>3589</v>
      </c>
      <c r="C1770" s="36">
        <v>45900</v>
      </c>
      <c r="D1770" s="36" t="s">
        <v>3509</v>
      </c>
      <c r="E1770" s="37" t="s">
        <v>3355</v>
      </c>
      <c r="F1770" s="37" t="s">
        <v>4026</v>
      </c>
      <c r="G1770" s="38"/>
      <c r="H1770" s="38">
        <v>3405.93</v>
      </c>
      <c r="I1770" s="37"/>
      <c r="J1770" s="37"/>
      <c r="K1770" s="38"/>
      <c r="L1770" s="38"/>
    </row>
    <row r="1771" spans="2:12" ht="14.5" x14ac:dyDescent="0.35">
      <c r="B1771" s="46" t="s">
        <v>3589</v>
      </c>
      <c r="C1771" s="36">
        <v>45900</v>
      </c>
      <c r="D1771" s="36" t="s">
        <v>3509</v>
      </c>
      <c r="E1771" s="37">
        <v>35413</v>
      </c>
      <c r="F1771" s="37" t="s">
        <v>4026</v>
      </c>
      <c r="G1771" s="38"/>
      <c r="H1771" s="38">
        <v>1915.76</v>
      </c>
      <c r="I1771" s="37"/>
      <c r="J1771" s="37"/>
      <c r="K1771" s="38"/>
      <c r="L1771" s="38"/>
    </row>
    <row r="1772" spans="2:12" ht="14.5" x14ac:dyDescent="0.35">
      <c r="B1772" s="46" t="s">
        <v>3589</v>
      </c>
      <c r="C1772" s="36">
        <v>45900</v>
      </c>
      <c r="D1772" s="36" t="s">
        <v>3509</v>
      </c>
      <c r="E1772" s="37">
        <v>35414</v>
      </c>
      <c r="F1772" s="37" t="s">
        <v>4026</v>
      </c>
      <c r="G1772" s="38"/>
      <c r="H1772" s="38">
        <v>1471.2</v>
      </c>
      <c r="I1772" s="37"/>
      <c r="J1772" s="37"/>
      <c r="K1772" s="38"/>
      <c r="L1772" s="38"/>
    </row>
    <row r="1773" spans="2:12" ht="14.5" x14ac:dyDescent="0.35">
      <c r="B1773" s="46" t="s">
        <v>3589</v>
      </c>
      <c r="C1773" s="36">
        <v>45900</v>
      </c>
      <c r="D1773" s="36" t="s">
        <v>3509</v>
      </c>
      <c r="E1773" s="37">
        <v>35415</v>
      </c>
      <c r="F1773" s="37" t="s">
        <v>4026</v>
      </c>
      <c r="G1773" s="38"/>
      <c r="H1773" s="38">
        <v>4181.0399999999991</v>
      </c>
      <c r="I1773" s="37"/>
      <c r="J1773" s="37"/>
      <c r="K1773" s="38"/>
      <c r="L1773" s="38"/>
    </row>
    <row r="1774" spans="2:12" ht="14.5" x14ac:dyDescent="0.35">
      <c r="B1774" s="46" t="s">
        <v>3589</v>
      </c>
      <c r="C1774" s="36">
        <v>45900</v>
      </c>
      <c r="D1774" s="36" t="s">
        <v>3509</v>
      </c>
      <c r="E1774" s="37">
        <v>35416</v>
      </c>
      <c r="F1774" s="37" t="s">
        <v>4026</v>
      </c>
      <c r="G1774" s="38"/>
      <c r="H1774" s="38">
        <v>382.61</v>
      </c>
      <c r="I1774" s="37"/>
      <c r="J1774" s="37"/>
      <c r="K1774" s="38"/>
      <c r="L1774" s="38"/>
    </row>
    <row r="1775" spans="2:12" ht="14.5" x14ac:dyDescent="0.35">
      <c r="B1775" s="46" t="s">
        <v>3589</v>
      </c>
      <c r="C1775" s="36">
        <v>45900</v>
      </c>
      <c r="D1775" s="36" t="s">
        <v>3509</v>
      </c>
      <c r="E1775" s="37">
        <v>35417</v>
      </c>
      <c r="F1775" s="37" t="s">
        <v>4026</v>
      </c>
      <c r="G1775" s="38"/>
      <c r="H1775" s="38">
        <v>1105</v>
      </c>
      <c r="I1775" s="37"/>
      <c r="J1775" s="37"/>
      <c r="K1775" s="38"/>
      <c r="L1775" s="38"/>
    </row>
    <row r="1776" spans="2:12" ht="14.5" x14ac:dyDescent="0.35">
      <c r="B1776" s="46" t="s">
        <v>3589</v>
      </c>
      <c r="C1776" s="36">
        <v>45900</v>
      </c>
      <c r="D1776" s="36" t="s">
        <v>3509</v>
      </c>
      <c r="E1776" s="37">
        <v>35418</v>
      </c>
      <c r="F1776" s="37" t="s">
        <v>4026</v>
      </c>
      <c r="G1776" s="38"/>
      <c r="H1776" s="38">
        <v>3128.9500000000003</v>
      </c>
      <c r="I1776" s="37"/>
      <c r="J1776" s="37"/>
      <c r="K1776" s="38"/>
      <c r="L1776" s="38"/>
    </row>
    <row r="1777" spans="2:12" ht="14.5" x14ac:dyDescent="0.35">
      <c r="B1777" s="46" t="s">
        <v>3589</v>
      </c>
      <c r="C1777" s="36">
        <v>45900</v>
      </c>
      <c r="D1777" s="36" t="s">
        <v>3509</v>
      </c>
      <c r="E1777" s="37">
        <v>35419</v>
      </c>
      <c r="F1777" s="37" t="s">
        <v>4026</v>
      </c>
      <c r="G1777" s="38"/>
      <c r="H1777" s="38">
        <v>4516.75</v>
      </c>
      <c r="I1777" s="37"/>
      <c r="J1777" s="37"/>
      <c r="K1777" s="38"/>
      <c r="L1777" s="38"/>
    </row>
    <row r="1778" spans="2:12" ht="14.5" x14ac:dyDescent="0.35">
      <c r="B1778" s="46" t="s">
        <v>3589</v>
      </c>
      <c r="C1778" s="36">
        <v>45900</v>
      </c>
      <c r="D1778" s="36" t="s">
        <v>3509</v>
      </c>
      <c r="E1778" s="37">
        <v>35420</v>
      </c>
      <c r="F1778" s="37" t="s">
        <v>4026</v>
      </c>
      <c r="G1778" s="38"/>
      <c r="H1778" s="38">
        <v>1282.8000000000002</v>
      </c>
      <c r="I1778" s="37"/>
      <c r="J1778" s="37"/>
      <c r="K1778" s="38"/>
      <c r="L1778" s="38"/>
    </row>
    <row r="1779" spans="2:12" ht="14.5" x14ac:dyDescent="0.35">
      <c r="B1779" s="46" t="s">
        <v>3589</v>
      </c>
      <c r="C1779" s="36">
        <v>45900</v>
      </c>
      <c r="D1779" s="36" t="s">
        <v>3509</v>
      </c>
      <c r="E1779" s="37">
        <v>35421</v>
      </c>
      <c r="F1779" s="37" t="s">
        <v>4026</v>
      </c>
      <c r="G1779" s="38"/>
      <c r="H1779" s="38">
        <v>217.36</v>
      </c>
      <c r="I1779" s="37"/>
      <c r="J1779" s="37"/>
      <c r="K1779" s="38"/>
      <c r="L1779" s="38"/>
    </row>
    <row r="1780" spans="2:12" ht="14.5" x14ac:dyDescent="0.35">
      <c r="B1780" s="46" t="s">
        <v>3589</v>
      </c>
      <c r="C1780" s="36">
        <v>45900</v>
      </c>
      <c r="D1780" s="36" t="s">
        <v>3509</v>
      </c>
      <c r="E1780" s="37" t="s">
        <v>3357</v>
      </c>
      <c r="F1780" s="37" t="s">
        <v>4026</v>
      </c>
      <c r="G1780" s="38"/>
      <c r="H1780" s="38">
        <v>108.23</v>
      </c>
      <c r="I1780" s="37"/>
      <c r="J1780" s="37"/>
      <c r="K1780" s="38"/>
      <c r="L1780" s="38"/>
    </row>
    <row r="1781" spans="2:12" ht="14.5" x14ac:dyDescent="0.35">
      <c r="B1781" s="46" t="s">
        <v>3589</v>
      </c>
      <c r="C1781" s="36">
        <v>45900</v>
      </c>
      <c r="D1781" s="36" t="s">
        <v>1757</v>
      </c>
      <c r="E1781" s="37" t="s">
        <v>3358</v>
      </c>
      <c r="F1781" s="37" t="s">
        <v>4026</v>
      </c>
      <c r="G1781" s="38"/>
      <c r="H1781" s="38">
        <v>56925.439999999995</v>
      </c>
      <c r="I1781" s="37"/>
      <c r="J1781" s="37"/>
      <c r="K1781" s="38"/>
      <c r="L1781" s="38"/>
    </row>
    <row r="1782" spans="2:12" ht="14.5" x14ac:dyDescent="0.35">
      <c r="B1782" s="46" t="s">
        <v>3589</v>
      </c>
      <c r="C1782" s="36">
        <v>45900</v>
      </c>
      <c r="D1782" s="36" t="s">
        <v>1757</v>
      </c>
      <c r="E1782" s="37">
        <v>35434</v>
      </c>
      <c r="F1782" s="37" t="s">
        <v>4026</v>
      </c>
      <c r="G1782" s="38"/>
      <c r="H1782" s="38">
        <v>13138.810000000001</v>
      </c>
      <c r="I1782" s="37"/>
      <c r="J1782" s="37"/>
      <c r="K1782" s="38"/>
      <c r="L1782" s="38"/>
    </row>
    <row r="1783" spans="2:12" ht="14.5" x14ac:dyDescent="0.35">
      <c r="B1783" s="46" t="s">
        <v>3589</v>
      </c>
      <c r="C1783" s="36">
        <v>45900</v>
      </c>
      <c r="D1783" s="36" t="s">
        <v>1757</v>
      </c>
      <c r="E1783" s="37" t="s">
        <v>3360</v>
      </c>
      <c r="F1783" s="37" t="s">
        <v>4026</v>
      </c>
      <c r="G1783" s="38"/>
      <c r="H1783" s="38">
        <v>722.3900000000001</v>
      </c>
      <c r="I1783" s="37"/>
      <c r="J1783" s="37"/>
      <c r="K1783" s="38"/>
      <c r="L1783" s="38"/>
    </row>
    <row r="1784" spans="2:12" ht="14.5" x14ac:dyDescent="0.35">
      <c r="B1784" s="46" t="s">
        <v>3589</v>
      </c>
      <c r="C1784" s="36">
        <v>45900</v>
      </c>
      <c r="D1784" s="36" t="s">
        <v>1757</v>
      </c>
      <c r="E1784" s="37" t="s">
        <v>3361</v>
      </c>
      <c r="F1784" s="37" t="s">
        <v>4026</v>
      </c>
      <c r="G1784" s="38"/>
      <c r="H1784" s="38">
        <v>736.6</v>
      </c>
      <c r="I1784" s="37"/>
      <c r="J1784" s="37"/>
      <c r="K1784" s="38"/>
      <c r="L1784" s="38"/>
    </row>
    <row r="1785" spans="2:12" ht="14.5" x14ac:dyDescent="0.35">
      <c r="B1785" s="46" t="s">
        <v>3589</v>
      </c>
      <c r="C1785" s="36">
        <v>45900</v>
      </c>
      <c r="D1785" s="36" t="s">
        <v>1757</v>
      </c>
      <c r="E1785" s="37" t="s">
        <v>3363</v>
      </c>
      <c r="F1785" s="37" t="s">
        <v>4026</v>
      </c>
      <c r="G1785" s="38"/>
      <c r="H1785" s="38">
        <v>36723.899999999994</v>
      </c>
      <c r="I1785" s="37"/>
      <c r="J1785" s="37"/>
      <c r="K1785" s="38"/>
      <c r="L1785" s="38"/>
    </row>
    <row r="1786" spans="2:12" ht="14.5" x14ac:dyDescent="0.35">
      <c r="B1786" s="46" t="s">
        <v>3589</v>
      </c>
      <c r="C1786" s="36">
        <v>45900</v>
      </c>
      <c r="D1786" s="36" t="s">
        <v>1757</v>
      </c>
      <c r="E1786" s="37" t="s">
        <v>3364</v>
      </c>
      <c r="F1786" s="37" t="s">
        <v>4026</v>
      </c>
      <c r="G1786" s="38"/>
      <c r="H1786" s="38">
        <v>311.3</v>
      </c>
      <c r="I1786" s="37"/>
      <c r="J1786" s="37"/>
      <c r="K1786" s="38"/>
      <c r="L1786" s="38"/>
    </row>
    <row r="1787" spans="2:12" ht="14.5" x14ac:dyDescent="0.35">
      <c r="B1787" s="46" t="s">
        <v>3589</v>
      </c>
      <c r="C1787" s="36">
        <v>45900</v>
      </c>
      <c r="D1787" s="36" t="s">
        <v>1757</v>
      </c>
      <c r="E1787" s="37" t="s">
        <v>3365</v>
      </c>
      <c r="F1787" s="37" t="s">
        <v>4026</v>
      </c>
      <c r="G1787" s="38"/>
      <c r="H1787" s="38">
        <v>1273.56</v>
      </c>
      <c r="I1787" s="37"/>
      <c r="J1787" s="37"/>
      <c r="K1787" s="38"/>
      <c r="L1787" s="38"/>
    </row>
    <row r="1788" spans="2:12" ht="14.5" x14ac:dyDescent="0.35">
      <c r="B1788" s="46" t="s">
        <v>3589</v>
      </c>
      <c r="C1788" s="36">
        <v>45900</v>
      </c>
      <c r="D1788" s="36" t="s">
        <v>1757</v>
      </c>
      <c r="E1788" s="37" t="s">
        <v>3366</v>
      </c>
      <c r="F1788" s="37" t="s">
        <v>4026</v>
      </c>
      <c r="G1788" s="38"/>
      <c r="H1788" s="38">
        <v>983.35</v>
      </c>
      <c r="I1788" s="37"/>
      <c r="J1788" s="37"/>
      <c r="K1788" s="38"/>
      <c r="L1788" s="38"/>
    </row>
    <row r="1789" spans="2:12" ht="14.5" x14ac:dyDescent="0.35">
      <c r="B1789" s="46" t="s">
        <v>3589</v>
      </c>
      <c r="C1789" s="36">
        <v>45900</v>
      </c>
      <c r="D1789" s="36" t="s">
        <v>1757</v>
      </c>
      <c r="E1789" s="37" t="s">
        <v>3367</v>
      </c>
      <c r="F1789" s="37" t="s">
        <v>4026</v>
      </c>
      <c r="G1789" s="38"/>
      <c r="H1789" s="38">
        <v>107.53</v>
      </c>
      <c r="I1789" s="37"/>
      <c r="J1789" s="37"/>
      <c r="K1789" s="38"/>
      <c r="L1789" s="38"/>
    </row>
    <row r="1790" spans="2:12" ht="14.5" x14ac:dyDescent="0.35">
      <c r="B1790" s="46" t="s">
        <v>3589</v>
      </c>
      <c r="C1790" s="36">
        <v>45900</v>
      </c>
      <c r="D1790" s="36" t="s">
        <v>1757</v>
      </c>
      <c r="E1790" s="37" t="s">
        <v>3368</v>
      </c>
      <c r="F1790" s="37" t="s">
        <v>4026</v>
      </c>
      <c r="G1790" s="38"/>
      <c r="H1790" s="38">
        <v>6808.96</v>
      </c>
      <c r="I1790" s="37"/>
      <c r="J1790" s="37"/>
      <c r="K1790" s="38"/>
      <c r="L1790" s="38"/>
    </row>
    <row r="1791" spans="2:12" ht="14.5" x14ac:dyDescent="0.35">
      <c r="B1791" s="46" t="s">
        <v>3589</v>
      </c>
      <c r="C1791" s="36">
        <v>45900</v>
      </c>
      <c r="D1791" s="36" t="s">
        <v>3212</v>
      </c>
      <c r="E1791" s="37" t="s">
        <v>3370</v>
      </c>
      <c r="F1791" s="37" t="s">
        <v>4026</v>
      </c>
      <c r="G1791" s="38"/>
      <c r="H1791" s="38">
        <v>6219.94</v>
      </c>
      <c r="I1791" s="37"/>
      <c r="J1791" s="37"/>
      <c r="K1791" s="38"/>
      <c r="L1791" s="38"/>
    </row>
    <row r="1792" spans="2:12" ht="14.5" x14ac:dyDescent="0.35">
      <c r="B1792" s="46" t="s">
        <v>3589</v>
      </c>
      <c r="C1792" s="36">
        <v>45900</v>
      </c>
      <c r="D1792" s="36" t="s">
        <v>3218</v>
      </c>
      <c r="E1792" s="37" t="s">
        <v>3372</v>
      </c>
      <c r="F1792" s="37" t="s">
        <v>4026</v>
      </c>
      <c r="G1792" s="38"/>
      <c r="H1792" s="38">
        <v>731.79</v>
      </c>
      <c r="I1792" s="37"/>
      <c r="J1792" s="37"/>
      <c r="K1792" s="38"/>
      <c r="L1792" s="38"/>
    </row>
    <row r="1793" spans="2:12" ht="14.5" x14ac:dyDescent="0.35">
      <c r="B1793" s="46" t="s">
        <v>3589</v>
      </c>
      <c r="C1793" s="36">
        <v>45900</v>
      </c>
      <c r="D1793" s="36" t="s">
        <v>3218</v>
      </c>
      <c r="E1793" s="37">
        <v>35494</v>
      </c>
      <c r="F1793" s="37" t="s">
        <v>4026</v>
      </c>
      <c r="G1793" s="38"/>
      <c r="H1793" s="38">
        <v>43.16</v>
      </c>
      <c r="I1793" s="37"/>
      <c r="J1793" s="37"/>
      <c r="K1793" s="38"/>
      <c r="L1793" s="38"/>
    </row>
    <row r="1794" spans="2:12" ht="14.5" x14ac:dyDescent="0.35">
      <c r="B1794" s="46" t="s">
        <v>3589</v>
      </c>
      <c r="C1794" s="36">
        <v>45900</v>
      </c>
      <c r="D1794" s="36" t="s">
        <v>2514</v>
      </c>
      <c r="E1794" s="37" t="s">
        <v>3373</v>
      </c>
      <c r="F1794" s="37" t="s">
        <v>4026</v>
      </c>
      <c r="G1794" s="38"/>
      <c r="H1794" s="38">
        <v>1707.58</v>
      </c>
      <c r="I1794" s="37"/>
      <c r="J1794" s="37"/>
      <c r="K1794" s="38"/>
      <c r="L1794" s="38"/>
    </row>
    <row r="1795" spans="2:12" ht="14.5" x14ac:dyDescent="0.35">
      <c r="B1795" s="46" t="s">
        <v>3589</v>
      </c>
      <c r="C1795" s="36">
        <v>45900</v>
      </c>
      <c r="D1795" s="36" t="s">
        <v>2514</v>
      </c>
      <c r="E1795" s="37" t="s">
        <v>3374</v>
      </c>
      <c r="F1795" s="37" t="s">
        <v>4026</v>
      </c>
      <c r="G1795" s="38"/>
      <c r="H1795" s="38">
        <v>1262.01</v>
      </c>
      <c r="I1795" s="37"/>
      <c r="J1795" s="37"/>
      <c r="K1795" s="38"/>
      <c r="L1795" s="38"/>
    </row>
    <row r="1796" spans="2:12" ht="14.5" x14ac:dyDescent="0.35">
      <c r="B1796" s="46" t="s">
        <v>3589</v>
      </c>
      <c r="C1796" s="36">
        <v>45900</v>
      </c>
      <c r="D1796" s="36" t="s">
        <v>2514</v>
      </c>
      <c r="E1796" s="37" t="s">
        <v>3375</v>
      </c>
      <c r="F1796" s="37" t="s">
        <v>4026</v>
      </c>
      <c r="G1796" s="38"/>
      <c r="H1796" s="38">
        <v>30678.319999999996</v>
      </c>
      <c r="I1796" s="37"/>
      <c r="J1796" s="37"/>
      <c r="K1796" s="38"/>
      <c r="L1796" s="38"/>
    </row>
    <row r="1797" spans="2:12" ht="14.5" x14ac:dyDescent="0.35">
      <c r="B1797" s="46" t="s">
        <v>3589</v>
      </c>
      <c r="C1797" s="36">
        <v>45900</v>
      </c>
      <c r="D1797" s="36" t="s">
        <v>2514</v>
      </c>
      <c r="E1797" s="37" t="s">
        <v>3376</v>
      </c>
      <c r="F1797" s="37" t="s">
        <v>4026</v>
      </c>
      <c r="G1797" s="38"/>
      <c r="H1797" s="38">
        <v>26.93</v>
      </c>
      <c r="I1797" s="37"/>
      <c r="J1797" s="37"/>
      <c r="K1797" s="38"/>
      <c r="L1797" s="38"/>
    </row>
    <row r="1798" spans="2:12" ht="14.5" x14ac:dyDescent="0.35">
      <c r="B1798" s="46" t="s">
        <v>3589</v>
      </c>
      <c r="C1798" s="36">
        <v>45900</v>
      </c>
      <c r="D1798" s="36" t="s">
        <v>2514</v>
      </c>
      <c r="E1798" s="37" t="s">
        <v>3377</v>
      </c>
      <c r="F1798" s="37" t="s">
        <v>4026</v>
      </c>
      <c r="G1798" s="38"/>
      <c r="H1798" s="38">
        <v>60.519999999999996</v>
      </c>
      <c r="I1798" s="37"/>
      <c r="J1798" s="37"/>
      <c r="K1798" s="38"/>
      <c r="L1798" s="38"/>
    </row>
    <row r="1799" spans="2:12" ht="14.5" x14ac:dyDescent="0.35">
      <c r="B1799" s="46" t="s">
        <v>3589</v>
      </c>
      <c r="C1799" s="36">
        <v>45900</v>
      </c>
      <c r="D1799" s="36" t="s">
        <v>2514</v>
      </c>
      <c r="E1799" s="37" t="s">
        <v>3378</v>
      </c>
      <c r="F1799" s="37" t="s">
        <v>4026</v>
      </c>
      <c r="G1799" s="38"/>
      <c r="H1799" s="38">
        <v>2102.98</v>
      </c>
      <c r="I1799" s="37"/>
      <c r="J1799" s="37"/>
      <c r="K1799" s="38"/>
      <c r="L1799" s="38"/>
    </row>
    <row r="1800" spans="2:12" ht="14.5" x14ac:dyDescent="0.35">
      <c r="B1800" s="46" t="s">
        <v>3589</v>
      </c>
      <c r="C1800" s="36">
        <v>45900</v>
      </c>
      <c r="D1800" s="36" t="s">
        <v>2514</v>
      </c>
      <c r="E1800" s="37" t="s">
        <v>3379</v>
      </c>
      <c r="F1800" s="37" t="s">
        <v>4026</v>
      </c>
      <c r="G1800" s="38"/>
      <c r="H1800" s="38">
        <v>9475.84</v>
      </c>
      <c r="I1800" s="37"/>
      <c r="J1800" s="37"/>
      <c r="K1800" s="38"/>
      <c r="L1800" s="38"/>
    </row>
    <row r="1801" spans="2:12" ht="14.5" x14ac:dyDescent="0.35">
      <c r="B1801" s="46" t="s">
        <v>3589</v>
      </c>
      <c r="C1801" s="36">
        <v>45900</v>
      </c>
      <c r="D1801" s="36" t="s">
        <v>2514</v>
      </c>
      <c r="E1801" s="37" t="s">
        <v>3380</v>
      </c>
      <c r="F1801" s="37" t="s">
        <v>4026</v>
      </c>
      <c r="G1801" s="38"/>
      <c r="H1801" s="38">
        <v>194.73</v>
      </c>
      <c r="I1801" s="37"/>
      <c r="J1801" s="37"/>
      <c r="K1801" s="38"/>
      <c r="L1801" s="38"/>
    </row>
    <row r="1802" spans="2:12" ht="14.5" x14ac:dyDescent="0.35">
      <c r="B1802" s="46" t="s">
        <v>3589</v>
      </c>
      <c r="C1802" s="36">
        <v>45900</v>
      </c>
      <c r="D1802" s="36" t="s">
        <v>2514</v>
      </c>
      <c r="E1802" s="37" t="s">
        <v>3381</v>
      </c>
      <c r="F1802" s="37" t="s">
        <v>4026</v>
      </c>
      <c r="G1802" s="38"/>
      <c r="H1802" s="38">
        <v>4614.6400000000003</v>
      </c>
      <c r="I1802" s="37"/>
      <c r="J1802" s="37"/>
      <c r="K1802" s="38"/>
      <c r="L1802" s="38"/>
    </row>
    <row r="1803" spans="2:12" ht="14.5" x14ac:dyDescent="0.35">
      <c r="B1803" s="46" t="s">
        <v>3589</v>
      </c>
      <c r="C1803" s="36">
        <v>45900</v>
      </c>
      <c r="D1803" s="36" t="s">
        <v>2514</v>
      </c>
      <c r="E1803" s="37" t="s">
        <v>3382</v>
      </c>
      <c r="F1803" s="37" t="s">
        <v>4026</v>
      </c>
      <c r="G1803" s="38"/>
      <c r="H1803" s="38">
        <v>401.56</v>
      </c>
      <c r="I1803" s="37"/>
      <c r="J1803" s="37"/>
      <c r="K1803" s="38"/>
      <c r="L1803" s="38"/>
    </row>
    <row r="1804" spans="2:12" ht="14.5" x14ac:dyDescent="0.35">
      <c r="B1804" s="46" t="s">
        <v>3589</v>
      </c>
      <c r="C1804" s="36">
        <v>45900</v>
      </c>
      <c r="D1804" s="36" t="s">
        <v>2514</v>
      </c>
      <c r="E1804" s="37" t="s">
        <v>3383</v>
      </c>
      <c r="F1804" s="37" t="s">
        <v>4026</v>
      </c>
      <c r="G1804" s="38"/>
      <c r="H1804" s="38">
        <v>2133.6400000000003</v>
      </c>
      <c r="I1804" s="37"/>
      <c r="J1804" s="37"/>
      <c r="K1804" s="38"/>
      <c r="L1804" s="38"/>
    </row>
    <row r="1805" spans="2:12" ht="14.5" x14ac:dyDescent="0.35">
      <c r="B1805" s="46" t="s">
        <v>3589</v>
      </c>
      <c r="C1805" s="36">
        <v>45900</v>
      </c>
      <c r="D1805" s="36" t="s">
        <v>1035</v>
      </c>
      <c r="E1805" s="37" t="s">
        <v>3384</v>
      </c>
      <c r="F1805" s="37" t="s">
        <v>4026</v>
      </c>
      <c r="G1805" s="38"/>
      <c r="H1805" s="38">
        <v>1644.6699999999998</v>
      </c>
      <c r="I1805" s="37"/>
      <c r="J1805" s="37"/>
      <c r="K1805" s="38"/>
      <c r="L1805" s="38"/>
    </row>
    <row r="1806" spans="2:12" ht="14.5" x14ac:dyDescent="0.35">
      <c r="B1806" s="46" t="s">
        <v>3589</v>
      </c>
      <c r="C1806" s="36">
        <v>45900</v>
      </c>
      <c r="D1806" s="36" t="s">
        <v>2396</v>
      </c>
      <c r="E1806" s="37" t="s">
        <v>3385</v>
      </c>
      <c r="F1806" s="37" t="s">
        <v>4026</v>
      </c>
      <c r="G1806" s="38"/>
      <c r="H1806" s="38">
        <v>75070.289999999994</v>
      </c>
      <c r="I1806" s="37"/>
      <c r="J1806" s="37"/>
      <c r="K1806" s="38"/>
      <c r="L1806" s="38"/>
    </row>
    <row r="1807" spans="2:12" ht="14.5" x14ac:dyDescent="0.35">
      <c r="B1807" s="46" t="s">
        <v>3589</v>
      </c>
      <c r="C1807" s="36">
        <v>45900</v>
      </c>
      <c r="D1807" s="36" t="s">
        <v>1475</v>
      </c>
      <c r="E1807" s="37" t="s">
        <v>3386</v>
      </c>
      <c r="F1807" s="37" t="s">
        <v>4026</v>
      </c>
      <c r="G1807" s="38"/>
      <c r="H1807" s="38">
        <v>35680.89</v>
      </c>
      <c r="I1807" s="37"/>
      <c r="J1807" s="37"/>
      <c r="K1807" s="38"/>
      <c r="L1807" s="38"/>
    </row>
    <row r="1808" spans="2:12" ht="14.5" x14ac:dyDescent="0.35">
      <c r="B1808" s="46" t="s">
        <v>3589</v>
      </c>
      <c r="C1808" s="36">
        <v>45900</v>
      </c>
      <c r="D1808" s="36" t="s">
        <v>1475</v>
      </c>
      <c r="E1808" s="37" t="s">
        <v>3387</v>
      </c>
      <c r="F1808" s="37" t="s">
        <v>4026</v>
      </c>
      <c r="G1808" s="38"/>
      <c r="H1808" s="38">
        <v>61497.4</v>
      </c>
      <c r="I1808" s="37"/>
      <c r="J1808" s="37"/>
      <c r="K1808" s="38"/>
      <c r="L1808" s="38"/>
    </row>
    <row r="1809" spans="2:12" ht="14.5" x14ac:dyDescent="0.35">
      <c r="B1809" s="46" t="s">
        <v>3589</v>
      </c>
      <c r="C1809" s="36">
        <v>45900</v>
      </c>
      <c r="D1809" s="36" t="s">
        <v>1475</v>
      </c>
      <c r="E1809" s="37" t="s">
        <v>3388</v>
      </c>
      <c r="F1809" s="37" t="s">
        <v>4026</v>
      </c>
      <c r="G1809" s="38"/>
      <c r="H1809" s="38">
        <v>43443.409999999996</v>
      </c>
      <c r="I1809" s="37"/>
      <c r="J1809" s="37"/>
      <c r="K1809" s="38"/>
      <c r="L1809" s="38"/>
    </row>
    <row r="1810" spans="2:12" ht="14.5" x14ac:dyDescent="0.35">
      <c r="B1810" s="46" t="s">
        <v>3589</v>
      </c>
      <c r="C1810" s="36">
        <v>45900</v>
      </c>
      <c r="D1810" s="36" t="s">
        <v>1475</v>
      </c>
      <c r="E1810" s="37">
        <v>35797</v>
      </c>
      <c r="F1810" s="37" t="s">
        <v>4026</v>
      </c>
      <c r="G1810" s="38"/>
      <c r="H1810" s="38">
        <v>33515.83</v>
      </c>
      <c r="I1810" s="37"/>
      <c r="J1810" s="37"/>
      <c r="K1810" s="38"/>
      <c r="L1810" s="38"/>
    </row>
    <row r="1811" spans="2:12" ht="14.5" x14ac:dyDescent="0.35">
      <c r="B1811" s="46" t="s">
        <v>3589</v>
      </c>
      <c r="C1811" s="36">
        <v>45900</v>
      </c>
      <c r="D1811" s="36" t="s">
        <v>1475</v>
      </c>
      <c r="E1811" s="37">
        <v>35799</v>
      </c>
      <c r="F1811" s="37" t="s">
        <v>4026</v>
      </c>
      <c r="G1811" s="38"/>
      <c r="H1811" s="38">
        <v>67.180000000000007</v>
      </c>
      <c r="I1811" s="37"/>
      <c r="J1811" s="37"/>
      <c r="K1811" s="38"/>
      <c r="L1811" s="38"/>
    </row>
    <row r="1812" spans="2:12" ht="14.5" x14ac:dyDescent="0.35">
      <c r="B1812" s="46" t="s">
        <v>3589</v>
      </c>
      <c r="C1812" s="36">
        <v>45900</v>
      </c>
      <c r="D1812" s="36" t="s">
        <v>1475</v>
      </c>
      <c r="E1812" s="37" t="s">
        <v>3389</v>
      </c>
      <c r="F1812" s="37" t="s">
        <v>4026</v>
      </c>
      <c r="G1812" s="38"/>
      <c r="H1812" s="38">
        <v>24846.26</v>
      </c>
      <c r="I1812" s="37"/>
      <c r="J1812" s="37"/>
      <c r="K1812" s="38"/>
      <c r="L1812" s="38"/>
    </row>
    <row r="1813" spans="2:12" ht="14.5" x14ac:dyDescent="0.35">
      <c r="B1813" s="46" t="s">
        <v>3589</v>
      </c>
      <c r="C1813" s="36">
        <v>45900</v>
      </c>
      <c r="D1813" s="36" t="s">
        <v>1475</v>
      </c>
      <c r="E1813" s="37" t="s">
        <v>3390</v>
      </c>
      <c r="F1813" s="37" t="s">
        <v>4026</v>
      </c>
      <c r="G1813" s="38"/>
      <c r="H1813" s="38">
        <v>9518.5400000000009</v>
      </c>
      <c r="I1813" s="37"/>
      <c r="J1813" s="37"/>
      <c r="K1813" s="38"/>
      <c r="L1813" s="38"/>
    </row>
    <row r="1814" spans="2:12" ht="14.5" x14ac:dyDescent="0.35">
      <c r="B1814" s="46" t="s">
        <v>3589</v>
      </c>
      <c r="C1814" s="36">
        <v>45900</v>
      </c>
      <c r="D1814" s="36" t="s">
        <v>1475</v>
      </c>
      <c r="E1814" s="37">
        <v>35806</v>
      </c>
      <c r="F1814" s="37" t="s">
        <v>4026</v>
      </c>
      <c r="G1814" s="38"/>
      <c r="H1814" s="38">
        <v>2552.02</v>
      </c>
      <c r="I1814" s="37"/>
      <c r="J1814" s="37"/>
      <c r="K1814" s="38"/>
      <c r="L1814" s="38"/>
    </row>
    <row r="1815" spans="2:12" ht="14.5" x14ac:dyDescent="0.35">
      <c r="B1815" s="46" t="s">
        <v>3589</v>
      </c>
      <c r="C1815" s="36">
        <v>45900</v>
      </c>
      <c r="D1815" s="36" t="s">
        <v>1475</v>
      </c>
      <c r="E1815" s="37" t="s">
        <v>3391</v>
      </c>
      <c r="F1815" s="37" t="s">
        <v>4026</v>
      </c>
      <c r="G1815" s="38"/>
      <c r="H1815" s="38">
        <v>65043.58</v>
      </c>
      <c r="I1815" s="37"/>
      <c r="J1815" s="37"/>
      <c r="K1815" s="38"/>
      <c r="L1815" s="38"/>
    </row>
    <row r="1816" spans="2:12" ht="14.5" x14ac:dyDescent="0.35">
      <c r="B1816" s="46" t="s">
        <v>3589</v>
      </c>
      <c r="C1816" s="36">
        <v>45900</v>
      </c>
      <c r="D1816" s="36" t="s">
        <v>1475</v>
      </c>
      <c r="E1816" s="37" t="s">
        <v>3392</v>
      </c>
      <c r="F1816" s="37" t="s">
        <v>4026</v>
      </c>
      <c r="G1816" s="38"/>
      <c r="H1816" s="38">
        <v>16288.489999999998</v>
      </c>
      <c r="I1816" s="37"/>
      <c r="J1816" s="37"/>
      <c r="K1816" s="38"/>
      <c r="L1816" s="38"/>
    </row>
    <row r="1817" spans="2:12" ht="14.5" x14ac:dyDescent="0.35">
      <c r="B1817" s="46" t="s">
        <v>3589</v>
      </c>
      <c r="C1817" s="36">
        <v>45900</v>
      </c>
      <c r="D1817" s="36" t="s">
        <v>1475</v>
      </c>
      <c r="E1817" s="37">
        <v>35811</v>
      </c>
      <c r="F1817" s="37" t="s">
        <v>4026</v>
      </c>
      <c r="G1817" s="38"/>
      <c r="H1817" s="38">
        <v>48009.67</v>
      </c>
      <c r="I1817" s="37"/>
      <c r="J1817" s="37"/>
      <c r="K1817" s="38"/>
      <c r="L1817" s="38"/>
    </row>
    <row r="1818" spans="2:12" ht="14.5" x14ac:dyDescent="0.35">
      <c r="B1818" s="46" t="s">
        <v>3589</v>
      </c>
      <c r="C1818" s="36">
        <v>45900</v>
      </c>
      <c r="D1818" s="36" t="s">
        <v>1475</v>
      </c>
      <c r="E1818" s="37" t="s">
        <v>3394</v>
      </c>
      <c r="F1818" s="37" t="s">
        <v>4026</v>
      </c>
      <c r="G1818" s="38"/>
      <c r="H1818" s="38">
        <v>14483.45</v>
      </c>
      <c r="I1818" s="37"/>
      <c r="J1818" s="37"/>
      <c r="K1818" s="38"/>
      <c r="L1818" s="38"/>
    </row>
    <row r="1819" spans="2:12" ht="14.5" x14ac:dyDescent="0.35">
      <c r="B1819" s="46" t="s">
        <v>3589</v>
      </c>
      <c r="C1819" s="36">
        <v>45900</v>
      </c>
      <c r="D1819" s="36" t="s">
        <v>2459</v>
      </c>
      <c r="E1819" s="37" t="s">
        <v>3395</v>
      </c>
      <c r="F1819" s="37" t="s">
        <v>4026</v>
      </c>
      <c r="G1819" s="38"/>
      <c r="H1819" s="38">
        <v>64.52</v>
      </c>
      <c r="I1819" s="37"/>
      <c r="J1819" s="37"/>
      <c r="K1819" s="38"/>
      <c r="L1819" s="38"/>
    </row>
    <row r="1820" spans="2:12" ht="14.5" x14ac:dyDescent="0.35">
      <c r="B1820" s="46" t="s">
        <v>3589</v>
      </c>
      <c r="C1820" s="36">
        <v>45900</v>
      </c>
      <c r="D1820" s="36" t="s">
        <v>2462</v>
      </c>
      <c r="E1820" s="37" t="s">
        <v>3396</v>
      </c>
      <c r="F1820" s="37" t="s">
        <v>4026</v>
      </c>
      <c r="G1820" s="38"/>
      <c r="H1820" s="38">
        <v>157258.52000000002</v>
      </c>
      <c r="I1820" s="37"/>
      <c r="J1820" s="37"/>
      <c r="K1820" s="38"/>
      <c r="L1820" s="38"/>
    </row>
    <row r="1821" spans="2:12" ht="14.5" x14ac:dyDescent="0.35">
      <c r="B1821" s="46" t="s">
        <v>3589</v>
      </c>
      <c r="C1821" s="36">
        <v>45900</v>
      </c>
      <c r="D1821" s="36" t="s">
        <v>3359</v>
      </c>
      <c r="E1821" s="37" t="s">
        <v>3397</v>
      </c>
      <c r="F1821" s="37" t="s">
        <v>4026</v>
      </c>
      <c r="G1821" s="38"/>
      <c r="H1821" s="38">
        <v>145588.4</v>
      </c>
      <c r="I1821" s="37"/>
      <c r="J1821" s="37"/>
      <c r="K1821" s="38"/>
      <c r="L1821" s="38"/>
    </row>
    <row r="1822" spans="2:12" ht="14.5" x14ac:dyDescent="0.35">
      <c r="B1822" s="46" t="s">
        <v>3589</v>
      </c>
      <c r="C1822" s="36">
        <v>45900</v>
      </c>
      <c r="D1822" s="36" t="s">
        <v>301</v>
      </c>
      <c r="E1822" s="37" t="s">
        <v>3398</v>
      </c>
      <c r="F1822" s="37" t="s">
        <v>4026</v>
      </c>
      <c r="G1822" s="38"/>
      <c r="H1822" s="38">
        <v>2496.7800000000002</v>
      </c>
      <c r="I1822" s="37"/>
      <c r="J1822" s="37"/>
      <c r="K1822" s="38"/>
      <c r="L1822" s="38"/>
    </row>
    <row r="1823" spans="2:12" ht="14.5" x14ac:dyDescent="0.35">
      <c r="B1823" s="46" t="s">
        <v>3589</v>
      </c>
      <c r="C1823" s="36">
        <v>45900</v>
      </c>
      <c r="D1823" s="36" t="s">
        <v>301</v>
      </c>
      <c r="E1823" s="37" t="s">
        <v>3399</v>
      </c>
      <c r="F1823" s="37" t="s">
        <v>4026</v>
      </c>
      <c r="G1823" s="38"/>
      <c r="H1823" s="38">
        <v>7588.7499999999964</v>
      </c>
      <c r="I1823" s="37"/>
      <c r="J1823" s="37"/>
      <c r="K1823" s="38"/>
      <c r="L1823" s="38"/>
    </row>
    <row r="1824" spans="2:12" ht="14.5" x14ac:dyDescent="0.35">
      <c r="B1824" s="46" t="s">
        <v>3589</v>
      </c>
      <c r="C1824" s="36">
        <v>45900</v>
      </c>
      <c r="D1824" s="36" t="s">
        <v>301</v>
      </c>
      <c r="E1824" s="37" t="s">
        <v>3400</v>
      </c>
      <c r="F1824" s="37" t="s">
        <v>4026</v>
      </c>
      <c r="G1824" s="38"/>
      <c r="H1824" s="38">
        <v>1132.7000000000003</v>
      </c>
      <c r="I1824" s="37"/>
      <c r="J1824" s="37"/>
      <c r="K1824" s="38"/>
      <c r="L1824" s="38"/>
    </row>
    <row r="1825" spans="2:12" ht="14.5" x14ac:dyDescent="0.35">
      <c r="B1825" s="46" t="s">
        <v>3589</v>
      </c>
      <c r="C1825" s="36">
        <v>45900</v>
      </c>
      <c r="D1825" s="36" t="s">
        <v>301</v>
      </c>
      <c r="E1825" s="37" t="s">
        <v>3401</v>
      </c>
      <c r="F1825" s="37" t="s">
        <v>4026</v>
      </c>
      <c r="G1825" s="38"/>
      <c r="H1825" s="38">
        <v>1649.3900000000003</v>
      </c>
      <c r="I1825" s="37"/>
      <c r="J1825" s="37"/>
      <c r="K1825" s="38"/>
      <c r="L1825" s="38"/>
    </row>
    <row r="1826" spans="2:12" ht="14.5" x14ac:dyDescent="0.35">
      <c r="B1826" s="46" t="s">
        <v>3589</v>
      </c>
      <c r="C1826" s="36">
        <v>45900</v>
      </c>
      <c r="D1826" s="36" t="s">
        <v>3369</v>
      </c>
      <c r="E1826" s="37" t="s">
        <v>3402</v>
      </c>
      <c r="F1826" s="37" t="s">
        <v>4026</v>
      </c>
      <c r="G1826" s="38"/>
      <c r="H1826" s="38">
        <v>1730.24</v>
      </c>
      <c r="I1826" s="37"/>
      <c r="J1826" s="37"/>
      <c r="K1826" s="38"/>
      <c r="L1826" s="38"/>
    </row>
    <row r="1827" spans="2:12" ht="14.5" x14ac:dyDescent="0.35">
      <c r="B1827" s="46" t="s">
        <v>3589</v>
      </c>
      <c r="C1827" s="36">
        <v>45900</v>
      </c>
      <c r="D1827" s="36" t="s">
        <v>301</v>
      </c>
      <c r="E1827" s="37">
        <v>36196</v>
      </c>
      <c r="F1827" s="37" t="s">
        <v>4026</v>
      </c>
      <c r="G1827" s="38"/>
      <c r="H1827" s="38">
        <v>777.86999999999989</v>
      </c>
      <c r="I1827" s="37"/>
      <c r="J1827" s="37"/>
      <c r="K1827" s="38"/>
      <c r="L1827" s="38"/>
    </row>
    <row r="1828" spans="2:12" ht="14.5" x14ac:dyDescent="0.35">
      <c r="B1828" s="46" t="s">
        <v>3589</v>
      </c>
      <c r="C1828" s="36">
        <v>45900</v>
      </c>
      <c r="D1828" s="36" t="s">
        <v>3371</v>
      </c>
      <c r="E1828" s="37" t="s">
        <v>3403</v>
      </c>
      <c r="F1828" s="37" t="s">
        <v>4026</v>
      </c>
      <c r="G1828" s="38"/>
      <c r="H1828" s="38">
        <v>2808</v>
      </c>
      <c r="I1828" s="37"/>
      <c r="J1828" s="37"/>
      <c r="K1828" s="38"/>
      <c r="L1828" s="38"/>
    </row>
    <row r="1829" spans="2:12" ht="14.5" x14ac:dyDescent="0.35">
      <c r="B1829" s="46" t="s">
        <v>3589</v>
      </c>
      <c r="C1829" s="36">
        <v>45900</v>
      </c>
      <c r="D1829" s="36" t="s">
        <v>301</v>
      </c>
      <c r="E1829" s="37">
        <v>36303</v>
      </c>
      <c r="F1829" s="37" t="s">
        <v>4026</v>
      </c>
      <c r="G1829" s="38"/>
      <c r="H1829" s="38">
        <v>717.43</v>
      </c>
      <c r="I1829" s="37"/>
      <c r="J1829" s="37"/>
      <c r="K1829" s="38"/>
      <c r="L1829" s="38"/>
    </row>
    <row r="1830" spans="2:12" ht="14.5" x14ac:dyDescent="0.35">
      <c r="B1830" s="46" t="s">
        <v>3589</v>
      </c>
      <c r="C1830" s="36">
        <v>45900</v>
      </c>
      <c r="D1830" s="36" t="s">
        <v>2027</v>
      </c>
      <c r="E1830" s="37" t="s">
        <v>3404</v>
      </c>
      <c r="F1830" s="37" t="s">
        <v>4026</v>
      </c>
      <c r="G1830" s="38"/>
      <c r="H1830" s="38">
        <v>2613.1400000000003</v>
      </c>
      <c r="I1830" s="37"/>
      <c r="J1830" s="37"/>
      <c r="K1830" s="38"/>
      <c r="L1830" s="38"/>
    </row>
    <row r="1831" spans="2:12" ht="14.5" x14ac:dyDescent="0.35">
      <c r="B1831" s="46" t="s">
        <v>3589</v>
      </c>
      <c r="C1831" s="36">
        <v>45900</v>
      </c>
      <c r="D1831" s="36" t="s">
        <v>301</v>
      </c>
      <c r="E1831" s="37" t="s">
        <v>3405</v>
      </c>
      <c r="F1831" s="37" t="s">
        <v>4026</v>
      </c>
      <c r="G1831" s="38"/>
      <c r="H1831" s="38">
        <v>1591.49</v>
      </c>
      <c r="I1831" s="37"/>
      <c r="J1831" s="37"/>
      <c r="K1831" s="38"/>
      <c r="L1831" s="38"/>
    </row>
    <row r="1832" spans="2:12" ht="14.5" x14ac:dyDescent="0.35">
      <c r="B1832" s="46" t="s">
        <v>3589</v>
      </c>
      <c r="C1832" s="36">
        <v>45900</v>
      </c>
      <c r="D1832" s="36" t="s">
        <v>301</v>
      </c>
      <c r="E1832" s="37">
        <v>36477</v>
      </c>
      <c r="F1832" s="37" t="s">
        <v>4026</v>
      </c>
      <c r="G1832" s="38"/>
      <c r="H1832" s="38">
        <v>380.63</v>
      </c>
      <c r="I1832" s="37"/>
      <c r="J1832" s="37"/>
      <c r="K1832" s="38"/>
      <c r="L1832" s="38"/>
    </row>
    <row r="1833" spans="2:12" ht="14.5" x14ac:dyDescent="0.35">
      <c r="B1833" s="46" t="s">
        <v>3589</v>
      </c>
      <c r="C1833" s="36">
        <v>45900</v>
      </c>
      <c r="D1833" s="36" t="s">
        <v>301</v>
      </c>
      <c r="E1833" s="37">
        <v>36478</v>
      </c>
      <c r="F1833" s="37" t="s">
        <v>4026</v>
      </c>
      <c r="G1833" s="38"/>
      <c r="H1833" s="38">
        <v>901.98</v>
      </c>
      <c r="I1833" s="37"/>
      <c r="J1833" s="37"/>
      <c r="K1833" s="38"/>
      <c r="L1833" s="38"/>
    </row>
    <row r="1834" spans="2:12" ht="14.5" x14ac:dyDescent="0.35">
      <c r="B1834" s="46" t="s">
        <v>3589</v>
      </c>
      <c r="C1834" s="36">
        <v>45900</v>
      </c>
      <c r="D1834" s="36" t="s">
        <v>301</v>
      </c>
      <c r="E1834" s="37">
        <v>36479</v>
      </c>
      <c r="F1834" s="37" t="s">
        <v>4026</v>
      </c>
      <c r="G1834" s="38"/>
      <c r="H1834" s="38">
        <v>259.63</v>
      </c>
      <c r="I1834" s="37"/>
      <c r="J1834" s="37"/>
      <c r="K1834" s="38"/>
      <c r="L1834" s="38"/>
    </row>
    <row r="1835" spans="2:12" ht="14.5" x14ac:dyDescent="0.35">
      <c r="B1835" s="46" t="s">
        <v>3589</v>
      </c>
      <c r="C1835" s="36">
        <v>45900</v>
      </c>
      <c r="D1835" s="36" t="s">
        <v>301</v>
      </c>
      <c r="E1835" s="37">
        <v>36509</v>
      </c>
      <c r="F1835" s="37" t="s">
        <v>4026</v>
      </c>
      <c r="G1835" s="38"/>
      <c r="H1835" s="38">
        <v>1505.9700000000003</v>
      </c>
      <c r="I1835" s="37"/>
      <c r="J1835" s="37"/>
      <c r="K1835" s="38"/>
      <c r="L1835" s="38"/>
    </row>
    <row r="1836" spans="2:12" ht="14.5" x14ac:dyDescent="0.35">
      <c r="B1836" s="46" t="s">
        <v>3589</v>
      </c>
      <c r="C1836" s="36">
        <v>45900</v>
      </c>
      <c r="D1836" s="36" t="s">
        <v>301</v>
      </c>
      <c r="E1836" s="37">
        <v>36628</v>
      </c>
      <c r="F1836" s="37" t="s">
        <v>4026</v>
      </c>
      <c r="G1836" s="38"/>
      <c r="H1836" s="38">
        <v>795.49</v>
      </c>
      <c r="I1836" s="37"/>
      <c r="J1836" s="37"/>
      <c r="K1836" s="38"/>
      <c r="L1836" s="38"/>
    </row>
    <row r="1837" spans="2:12" ht="14.5" x14ac:dyDescent="0.35">
      <c r="B1837" s="46" t="s">
        <v>3589</v>
      </c>
      <c r="C1837" s="36">
        <v>45900</v>
      </c>
      <c r="D1837" s="36" t="s">
        <v>1757</v>
      </c>
      <c r="E1837" s="37">
        <v>36643</v>
      </c>
      <c r="F1837" s="37" t="s">
        <v>4026</v>
      </c>
      <c r="G1837" s="38"/>
      <c r="H1837" s="38">
        <v>415.8</v>
      </c>
      <c r="I1837" s="37"/>
      <c r="J1837" s="37"/>
      <c r="K1837" s="38"/>
      <c r="L1837" s="38"/>
    </row>
    <row r="1838" spans="2:12" ht="14.5" x14ac:dyDescent="0.35">
      <c r="B1838" s="46" t="s">
        <v>3589</v>
      </c>
      <c r="C1838" s="36">
        <v>45900</v>
      </c>
      <c r="D1838" s="36" t="s">
        <v>2429</v>
      </c>
      <c r="E1838" s="37" t="s">
        <v>3406</v>
      </c>
      <c r="F1838" s="37" t="s">
        <v>4026</v>
      </c>
      <c r="G1838" s="38"/>
      <c r="H1838" s="38">
        <v>414.78999999999996</v>
      </c>
      <c r="I1838" s="37"/>
      <c r="J1838" s="37"/>
      <c r="K1838" s="38"/>
      <c r="L1838" s="38"/>
    </row>
    <row r="1839" spans="2:12" ht="14.5" x14ac:dyDescent="0.35">
      <c r="B1839" s="46" t="s">
        <v>3589</v>
      </c>
      <c r="C1839" s="36">
        <v>45900</v>
      </c>
      <c r="D1839" s="36" t="s">
        <v>346</v>
      </c>
      <c r="E1839" s="37" t="s">
        <v>3825</v>
      </c>
      <c r="F1839" s="37" t="s">
        <v>4026</v>
      </c>
      <c r="G1839" s="38"/>
      <c r="H1839" s="38">
        <v>0</v>
      </c>
      <c r="I1839" s="37"/>
      <c r="J1839" s="37"/>
      <c r="K1839" s="38"/>
      <c r="L1839" s="38"/>
    </row>
    <row r="1840" spans="2:12" ht="14.5" x14ac:dyDescent="0.35">
      <c r="B1840" s="46" t="s">
        <v>3589</v>
      </c>
      <c r="C1840" s="36">
        <v>45900</v>
      </c>
      <c r="D1840" s="36" t="s">
        <v>2429</v>
      </c>
      <c r="E1840" s="37" t="s">
        <v>3407</v>
      </c>
      <c r="F1840" s="37" t="s">
        <v>4026</v>
      </c>
      <c r="G1840" s="38"/>
      <c r="H1840" s="38">
        <v>52.22</v>
      </c>
      <c r="I1840" s="37"/>
      <c r="J1840" s="37"/>
      <c r="K1840" s="38"/>
      <c r="L1840" s="38"/>
    </row>
    <row r="1841" spans="2:12" ht="14.5" x14ac:dyDescent="0.35">
      <c r="B1841" s="46" t="s">
        <v>3589</v>
      </c>
      <c r="C1841" s="36">
        <v>45900</v>
      </c>
      <c r="D1841" s="36" t="s">
        <v>1426</v>
      </c>
      <c r="E1841" s="37" t="s">
        <v>3408</v>
      </c>
      <c r="F1841" s="37" t="s">
        <v>4026</v>
      </c>
      <c r="G1841" s="38"/>
      <c r="H1841" s="38">
        <v>12788.68</v>
      </c>
      <c r="I1841" s="37"/>
      <c r="J1841" s="37"/>
      <c r="K1841" s="38"/>
      <c r="L1841" s="38"/>
    </row>
    <row r="1842" spans="2:12" ht="14.5" x14ac:dyDescent="0.35">
      <c r="B1842" s="46" t="s">
        <v>3589</v>
      </c>
      <c r="C1842" s="36">
        <v>45900</v>
      </c>
      <c r="D1842" s="36" t="s">
        <v>1712</v>
      </c>
      <c r="E1842" s="37" t="s">
        <v>3409</v>
      </c>
      <c r="F1842" s="37" t="s">
        <v>4026</v>
      </c>
      <c r="G1842" s="38"/>
      <c r="H1842" s="38">
        <v>3178.71</v>
      </c>
      <c r="I1842" s="37"/>
      <c r="J1842" s="37"/>
      <c r="K1842" s="38"/>
      <c r="L1842" s="38"/>
    </row>
    <row r="1843" spans="2:12" ht="14.5" x14ac:dyDescent="0.35">
      <c r="B1843" s="46" t="s">
        <v>3589</v>
      </c>
      <c r="C1843" s="36">
        <v>45900</v>
      </c>
      <c r="D1843" s="36" t="s">
        <v>301</v>
      </c>
      <c r="E1843" s="37">
        <v>36928</v>
      </c>
      <c r="F1843" s="37" t="s">
        <v>4026</v>
      </c>
      <c r="G1843" s="38"/>
      <c r="H1843" s="38">
        <v>1135.3</v>
      </c>
      <c r="I1843" s="37"/>
      <c r="J1843" s="37"/>
      <c r="K1843" s="38"/>
      <c r="L1843" s="38"/>
    </row>
    <row r="1844" spans="2:12" ht="14.5" x14ac:dyDescent="0.35">
      <c r="B1844" s="46" t="s">
        <v>3589</v>
      </c>
      <c r="C1844" s="36">
        <v>45900</v>
      </c>
      <c r="D1844" s="36" t="s">
        <v>3510</v>
      </c>
      <c r="E1844" s="37" t="s">
        <v>3410</v>
      </c>
      <c r="F1844" s="37" t="s">
        <v>4026</v>
      </c>
      <c r="G1844" s="38"/>
      <c r="H1844" s="38">
        <v>256.99</v>
      </c>
      <c r="I1844" s="37"/>
      <c r="J1844" s="37"/>
      <c r="K1844" s="38"/>
      <c r="L1844" s="38"/>
    </row>
    <row r="1845" spans="2:12" ht="14.5" x14ac:dyDescent="0.35">
      <c r="B1845" s="46" t="s">
        <v>3589</v>
      </c>
      <c r="C1845" s="36">
        <v>45900</v>
      </c>
      <c r="D1845" s="36" t="s">
        <v>992</v>
      </c>
      <c r="E1845" s="37" t="s">
        <v>3411</v>
      </c>
      <c r="F1845" s="37" t="s">
        <v>4026</v>
      </c>
      <c r="G1845" s="38"/>
      <c r="H1845" s="38">
        <v>0</v>
      </c>
      <c r="I1845" s="37"/>
      <c r="J1845" s="37"/>
      <c r="K1845" s="38"/>
      <c r="L1845" s="38"/>
    </row>
    <row r="1846" spans="2:12" ht="14.5" x14ac:dyDescent="0.35">
      <c r="B1846" s="46" t="s">
        <v>3589</v>
      </c>
      <c r="C1846" s="36">
        <v>45900</v>
      </c>
      <c r="D1846" s="36" t="s">
        <v>1999</v>
      </c>
      <c r="E1846" s="37" t="s">
        <v>3412</v>
      </c>
      <c r="F1846" s="37" t="s">
        <v>4026</v>
      </c>
      <c r="G1846" s="38"/>
      <c r="H1846" s="38">
        <v>22068.910000000036</v>
      </c>
      <c r="I1846" s="37"/>
      <c r="J1846" s="37"/>
      <c r="K1846" s="38"/>
      <c r="L1846" s="38"/>
    </row>
    <row r="1847" spans="2:12" ht="14.5" x14ac:dyDescent="0.35">
      <c r="B1847" s="46" t="s">
        <v>3589</v>
      </c>
      <c r="C1847" s="36">
        <v>45900</v>
      </c>
      <c r="D1847" s="36" t="s">
        <v>301</v>
      </c>
      <c r="E1847" s="37" t="s">
        <v>3413</v>
      </c>
      <c r="F1847" s="37" t="s">
        <v>4026</v>
      </c>
      <c r="G1847" s="38"/>
      <c r="H1847" s="38">
        <v>96.39</v>
      </c>
      <c r="I1847" s="37"/>
      <c r="J1847" s="37"/>
      <c r="K1847" s="38"/>
      <c r="L1847" s="38"/>
    </row>
    <row r="1848" spans="2:12" ht="14.5" x14ac:dyDescent="0.35">
      <c r="B1848" s="46" t="s">
        <v>3589</v>
      </c>
      <c r="C1848" s="36">
        <v>45900</v>
      </c>
      <c r="D1848" s="36" t="s">
        <v>301</v>
      </c>
      <c r="E1848" s="37" t="s">
        <v>3414</v>
      </c>
      <c r="F1848" s="37" t="s">
        <v>4026</v>
      </c>
      <c r="G1848" s="38"/>
      <c r="H1848" s="38">
        <v>86.13</v>
      </c>
      <c r="I1848" s="37"/>
      <c r="J1848" s="37"/>
      <c r="K1848" s="38"/>
      <c r="L1848" s="38"/>
    </row>
    <row r="1849" spans="2:12" ht="14.5" x14ac:dyDescent="0.35">
      <c r="B1849" s="46" t="s">
        <v>3589</v>
      </c>
      <c r="C1849" s="36">
        <v>45900</v>
      </c>
      <c r="D1849" s="36" t="s">
        <v>301</v>
      </c>
      <c r="E1849" s="37" t="s">
        <v>3415</v>
      </c>
      <c r="F1849" s="37" t="s">
        <v>4026</v>
      </c>
      <c r="G1849" s="38"/>
      <c r="H1849" s="38">
        <v>1298.8500000000001</v>
      </c>
      <c r="I1849" s="37"/>
      <c r="J1849" s="37"/>
      <c r="K1849" s="38"/>
      <c r="L1849" s="38"/>
    </row>
    <row r="1850" spans="2:12" ht="14.5" x14ac:dyDescent="0.35">
      <c r="B1850" s="46" t="s">
        <v>3589</v>
      </c>
      <c r="C1850" s="36">
        <v>45900</v>
      </c>
      <c r="D1850" s="36" t="s">
        <v>301</v>
      </c>
      <c r="E1850" s="37" t="s">
        <v>3416</v>
      </c>
      <c r="F1850" s="37" t="s">
        <v>4026</v>
      </c>
      <c r="G1850" s="38"/>
      <c r="H1850" s="38">
        <v>11044.389999999992</v>
      </c>
      <c r="I1850" s="37"/>
      <c r="J1850" s="37"/>
      <c r="K1850" s="38"/>
      <c r="L1850" s="38"/>
    </row>
    <row r="1851" spans="2:12" ht="14.5" x14ac:dyDescent="0.35">
      <c r="B1851" s="46" t="s">
        <v>3589</v>
      </c>
      <c r="C1851" s="36">
        <v>45900</v>
      </c>
      <c r="D1851" s="36" t="s">
        <v>3511</v>
      </c>
      <c r="E1851" s="37">
        <v>37354</v>
      </c>
      <c r="F1851" s="37" t="s">
        <v>4026</v>
      </c>
      <c r="G1851" s="38"/>
      <c r="H1851" s="38">
        <v>11959.51</v>
      </c>
      <c r="I1851" s="37"/>
      <c r="J1851" s="37"/>
      <c r="K1851" s="38"/>
      <c r="L1851" s="38"/>
    </row>
    <row r="1852" spans="2:12" ht="14.5" x14ac:dyDescent="0.35">
      <c r="B1852" s="46" t="s">
        <v>3589</v>
      </c>
      <c r="C1852" s="36">
        <v>45900</v>
      </c>
      <c r="D1852" s="36" t="s">
        <v>2396</v>
      </c>
      <c r="E1852" s="37" t="s">
        <v>3417</v>
      </c>
      <c r="F1852" s="37" t="s">
        <v>4026</v>
      </c>
      <c r="G1852" s="38"/>
      <c r="H1852" s="38">
        <v>7484.5599999999995</v>
      </c>
      <c r="I1852" s="37"/>
      <c r="J1852" s="37"/>
      <c r="K1852" s="38"/>
      <c r="L1852" s="38"/>
    </row>
    <row r="1853" spans="2:12" ht="14.5" x14ac:dyDescent="0.35">
      <c r="B1853" s="46" t="s">
        <v>3589</v>
      </c>
      <c r="C1853" s="36">
        <v>45900</v>
      </c>
      <c r="D1853" s="36" t="s">
        <v>1757</v>
      </c>
      <c r="E1853" s="37" t="s">
        <v>3418</v>
      </c>
      <c r="F1853" s="37" t="s">
        <v>4026</v>
      </c>
      <c r="G1853" s="38"/>
      <c r="H1853" s="38">
        <v>1490.45</v>
      </c>
      <c r="I1853" s="37"/>
      <c r="J1853" s="37"/>
      <c r="K1853" s="38"/>
      <c r="L1853" s="38"/>
    </row>
    <row r="1854" spans="2:12" ht="14.5" x14ac:dyDescent="0.35">
      <c r="B1854" s="46" t="s">
        <v>3589</v>
      </c>
      <c r="C1854" s="36">
        <v>45900</v>
      </c>
      <c r="D1854" s="36" t="s">
        <v>1280</v>
      </c>
      <c r="E1854" s="37">
        <v>37625</v>
      </c>
      <c r="F1854" s="37" t="s">
        <v>4026</v>
      </c>
      <c r="G1854" s="38"/>
      <c r="H1854" s="38">
        <v>1372.27</v>
      </c>
      <c r="I1854" s="37"/>
      <c r="J1854" s="37"/>
      <c r="K1854" s="38"/>
      <c r="L1854" s="38"/>
    </row>
    <row r="1855" spans="2:12" ht="14.5" x14ac:dyDescent="0.35">
      <c r="B1855" s="46" t="s">
        <v>3589</v>
      </c>
      <c r="C1855" s="36">
        <v>45900</v>
      </c>
      <c r="D1855" s="36" t="s">
        <v>1280</v>
      </c>
      <c r="E1855" s="37" t="s">
        <v>3419</v>
      </c>
      <c r="F1855" s="37" t="s">
        <v>4026</v>
      </c>
      <c r="G1855" s="38"/>
      <c r="H1855" s="38">
        <v>2243.17</v>
      </c>
      <c r="I1855" s="37"/>
      <c r="J1855" s="37"/>
      <c r="K1855" s="38"/>
      <c r="L1855" s="38"/>
    </row>
    <row r="1856" spans="2:12" ht="14.5" x14ac:dyDescent="0.35">
      <c r="B1856" s="46" t="s">
        <v>3589</v>
      </c>
      <c r="C1856" s="36">
        <v>45900</v>
      </c>
      <c r="D1856" s="36" t="s">
        <v>1280</v>
      </c>
      <c r="E1856" s="37">
        <v>37644</v>
      </c>
      <c r="F1856" s="37" t="s">
        <v>4026</v>
      </c>
      <c r="G1856" s="38"/>
      <c r="H1856" s="38">
        <v>5535.369999999999</v>
      </c>
      <c r="I1856" s="37"/>
      <c r="J1856" s="37"/>
      <c r="K1856" s="38"/>
      <c r="L1856" s="38"/>
    </row>
    <row r="1857" spans="2:12" ht="14.5" x14ac:dyDescent="0.35">
      <c r="B1857" s="46" t="s">
        <v>3589</v>
      </c>
      <c r="C1857" s="36">
        <v>45900</v>
      </c>
      <c r="D1857" s="36" t="s">
        <v>1280</v>
      </c>
      <c r="E1857" s="37" t="s">
        <v>3420</v>
      </c>
      <c r="F1857" s="37" t="s">
        <v>4026</v>
      </c>
      <c r="G1857" s="38"/>
      <c r="H1857" s="38">
        <v>1598.2</v>
      </c>
      <c r="I1857" s="37"/>
      <c r="J1857" s="37"/>
      <c r="K1857" s="38"/>
      <c r="L1857" s="38"/>
    </row>
    <row r="1858" spans="2:12" ht="14.5" x14ac:dyDescent="0.35">
      <c r="B1858" s="46" t="s">
        <v>3589</v>
      </c>
      <c r="C1858" s="36">
        <v>45900</v>
      </c>
      <c r="D1858" s="36" t="s">
        <v>1280</v>
      </c>
      <c r="E1858" s="37" t="s">
        <v>3421</v>
      </c>
      <c r="F1858" s="37" t="s">
        <v>4026</v>
      </c>
      <c r="G1858" s="38"/>
      <c r="H1858" s="38">
        <v>5443.3499999999995</v>
      </c>
      <c r="I1858" s="37"/>
      <c r="J1858" s="37"/>
      <c r="K1858" s="38"/>
      <c r="L1858" s="38"/>
    </row>
    <row r="1859" spans="2:12" ht="14.5" x14ac:dyDescent="0.35">
      <c r="B1859" s="46" t="s">
        <v>3589</v>
      </c>
      <c r="C1859" s="36">
        <v>45900</v>
      </c>
      <c r="D1859" s="36" t="s">
        <v>3491</v>
      </c>
      <c r="E1859" s="37" t="s">
        <v>3422</v>
      </c>
      <c r="F1859" s="37" t="s">
        <v>4026</v>
      </c>
      <c r="G1859" s="38"/>
      <c r="H1859" s="38">
        <v>483.29</v>
      </c>
      <c r="I1859" s="37"/>
      <c r="J1859" s="37"/>
      <c r="K1859" s="38"/>
      <c r="L1859" s="38"/>
    </row>
    <row r="1860" spans="2:12" ht="14.5" x14ac:dyDescent="0.35">
      <c r="B1860" s="46" t="s">
        <v>3589</v>
      </c>
      <c r="C1860" s="36">
        <v>45900</v>
      </c>
      <c r="D1860" s="36" t="s">
        <v>3491</v>
      </c>
      <c r="E1860" s="37" t="s">
        <v>3423</v>
      </c>
      <c r="F1860" s="37" t="s">
        <v>4026</v>
      </c>
      <c r="G1860" s="38"/>
      <c r="H1860" s="38">
        <v>3176.4000000000005</v>
      </c>
      <c r="I1860" s="37"/>
      <c r="J1860" s="37"/>
      <c r="K1860" s="38"/>
      <c r="L1860" s="38"/>
    </row>
    <row r="1861" spans="2:12" ht="14.5" x14ac:dyDescent="0.35">
      <c r="B1861" s="46" t="s">
        <v>3589</v>
      </c>
      <c r="C1861" s="36">
        <v>45900</v>
      </c>
      <c r="D1861" s="36" t="s">
        <v>2313</v>
      </c>
      <c r="E1861" s="37" t="s">
        <v>3424</v>
      </c>
      <c r="F1861" s="37" t="s">
        <v>4026</v>
      </c>
      <c r="G1861" s="38"/>
      <c r="H1861" s="38">
        <v>3006.5200000000004</v>
      </c>
      <c r="I1861" s="37"/>
      <c r="J1861" s="37"/>
      <c r="K1861" s="38"/>
      <c r="L1861" s="38"/>
    </row>
    <row r="1862" spans="2:12" ht="14.5" x14ac:dyDescent="0.35">
      <c r="B1862" s="46" t="s">
        <v>3589</v>
      </c>
      <c r="C1862" s="36">
        <v>45900</v>
      </c>
      <c r="D1862" s="36" t="s">
        <v>2313</v>
      </c>
      <c r="E1862" s="37" t="s">
        <v>3425</v>
      </c>
      <c r="F1862" s="37" t="s">
        <v>4026</v>
      </c>
      <c r="G1862" s="38"/>
      <c r="H1862" s="38">
        <v>5232.07</v>
      </c>
      <c r="I1862" s="37"/>
      <c r="J1862" s="37"/>
      <c r="K1862" s="38"/>
      <c r="L1862" s="38"/>
    </row>
    <row r="1863" spans="2:12" ht="14.5" x14ac:dyDescent="0.35">
      <c r="B1863" s="46" t="s">
        <v>3589</v>
      </c>
      <c r="C1863" s="36">
        <v>45900</v>
      </c>
      <c r="D1863" s="36" t="s">
        <v>2313</v>
      </c>
      <c r="E1863" s="37" t="s">
        <v>3426</v>
      </c>
      <c r="F1863" s="37" t="s">
        <v>4026</v>
      </c>
      <c r="G1863" s="38"/>
      <c r="H1863" s="38">
        <v>534.16999999999996</v>
      </c>
      <c r="I1863" s="37"/>
      <c r="J1863" s="37"/>
      <c r="K1863" s="38"/>
      <c r="L1863" s="38"/>
    </row>
    <row r="1864" spans="2:12" ht="14.5" x14ac:dyDescent="0.35">
      <c r="B1864" s="46" t="s">
        <v>3589</v>
      </c>
      <c r="C1864" s="36">
        <v>45900</v>
      </c>
      <c r="D1864" s="36" t="s">
        <v>2313</v>
      </c>
      <c r="E1864" s="37" t="s">
        <v>3427</v>
      </c>
      <c r="F1864" s="37" t="s">
        <v>4026</v>
      </c>
      <c r="G1864" s="38"/>
      <c r="H1864" s="38">
        <v>267.60000000000002</v>
      </c>
      <c r="I1864" s="37"/>
      <c r="J1864" s="37"/>
      <c r="K1864" s="38"/>
      <c r="L1864" s="38"/>
    </row>
    <row r="1865" spans="2:12" ht="14.5" x14ac:dyDescent="0.35">
      <c r="B1865" s="46" t="s">
        <v>3589</v>
      </c>
      <c r="C1865" s="36">
        <v>45900</v>
      </c>
      <c r="D1865" s="36" t="s">
        <v>2313</v>
      </c>
      <c r="E1865" s="37">
        <v>37776</v>
      </c>
      <c r="F1865" s="37" t="s">
        <v>4026</v>
      </c>
      <c r="G1865" s="38"/>
      <c r="H1865" s="38">
        <v>228.59</v>
      </c>
      <c r="I1865" s="37"/>
      <c r="J1865" s="37"/>
      <c r="K1865" s="38"/>
      <c r="L1865" s="38"/>
    </row>
    <row r="1866" spans="2:12" ht="14.5" x14ac:dyDescent="0.35">
      <c r="B1866" s="46" t="s">
        <v>3589</v>
      </c>
      <c r="C1866" s="36">
        <v>45900</v>
      </c>
      <c r="D1866" s="36" t="s">
        <v>2313</v>
      </c>
      <c r="E1866" s="37" t="s">
        <v>3428</v>
      </c>
      <c r="F1866" s="37" t="s">
        <v>4026</v>
      </c>
      <c r="G1866" s="38"/>
      <c r="H1866" s="38">
        <v>994</v>
      </c>
      <c r="I1866" s="37"/>
      <c r="J1866" s="37"/>
      <c r="K1866" s="38"/>
      <c r="L1866" s="38"/>
    </row>
    <row r="1867" spans="2:12" ht="14.5" x14ac:dyDescent="0.35">
      <c r="B1867" s="46" t="s">
        <v>3589</v>
      </c>
      <c r="C1867" s="36">
        <v>45900</v>
      </c>
      <c r="D1867" s="36" t="s">
        <v>2144</v>
      </c>
      <c r="E1867" s="37">
        <v>37903</v>
      </c>
      <c r="F1867" s="37" t="s">
        <v>4026</v>
      </c>
      <c r="G1867" s="38"/>
      <c r="H1867" s="38">
        <v>1271</v>
      </c>
      <c r="I1867" s="37"/>
      <c r="J1867" s="37"/>
      <c r="K1867" s="38"/>
      <c r="L1867" s="38"/>
    </row>
    <row r="1868" spans="2:12" ht="14.5" x14ac:dyDescent="0.35">
      <c r="B1868" s="46" t="s">
        <v>3589</v>
      </c>
      <c r="C1868" s="36">
        <v>45900</v>
      </c>
      <c r="D1868" s="36" t="s">
        <v>2144</v>
      </c>
      <c r="E1868" s="37" t="s">
        <v>3429</v>
      </c>
      <c r="F1868" s="37" t="s">
        <v>4026</v>
      </c>
      <c r="G1868" s="38"/>
      <c r="H1868" s="38">
        <v>26266.22</v>
      </c>
      <c r="I1868" s="37"/>
      <c r="J1868" s="37"/>
      <c r="K1868" s="38"/>
      <c r="L1868" s="38"/>
    </row>
    <row r="1869" spans="2:12" ht="14.5" x14ac:dyDescent="0.35">
      <c r="B1869" s="46" t="s">
        <v>3589</v>
      </c>
      <c r="C1869" s="36">
        <v>45900</v>
      </c>
      <c r="D1869" s="36" t="s">
        <v>2220</v>
      </c>
      <c r="E1869" s="37" t="s">
        <v>3430</v>
      </c>
      <c r="F1869" s="37" t="s">
        <v>4026</v>
      </c>
      <c r="G1869" s="38"/>
      <c r="H1869" s="38">
        <v>20486.2</v>
      </c>
      <c r="I1869" s="37"/>
      <c r="J1869" s="37"/>
      <c r="K1869" s="38"/>
      <c r="L1869" s="38"/>
    </row>
    <row r="1870" spans="2:12" ht="14.5" x14ac:dyDescent="0.35">
      <c r="B1870" s="46" t="s">
        <v>3589</v>
      </c>
      <c r="C1870" s="36">
        <v>45900</v>
      </c>
      <c r="D1870" s="36" t="s">
        <v>2220</v>
      </c>
      <c r="E1870" s="37" t="s">
        <v>3431</v>
      </c>
      <c r="F1870" s="37" t="s">
        <v>4026</v>
      </c>
      <c r="G1870" s="38"/>
      <c r="H1870" s="38">
        <v>18012.850000000002</v>
      </c>
      <c r="I1870" s="37"/>
      <c r="J1870" s="37"/>
      <c r="K1870" s="38"/>
      <c r="L1870" s="38"/>
    </row>
    <row r="1871" spans="2:12" ht="14.5" x14ac:dyDescent="0.35">
      <c r="B1871" s="46" t="s">
        <v>3589</v>
      </c>
      <c r="C1871" s="36">
        <v>45900</v>
      </c>
      <c r="D1871" s="36" t="s">
        <v>2220</v>
      </c>
      <c r="E1871" s="37" t="s">
        <v>3432</v>
      </c>
      <c r="F1871" s="37" t="s">
        <v>4026</v>
      </c>
      <c r="G1871" s="38"/>
      <c r="H1871" s="38">
        <v>2812.53</v>
      </c>
      <c r="I1871" s="37"/>
      <c r="J1871" s="37"/>
      <c r="K1871" s="38"/>
      <c r="L1871" s="38"/>
    </row>
    <row r="1872" spans="2:12" ht="14.5" x14ac:dyDescent="0.35">
      <c r="B1872" s="46" t="s">
        <v>3589</v>
      </c>
      <c r="C1872" s="36">
        <v>45900</v>
      </c>
      <c r="D1872" s="36" t="s">
        <v>2220</v>
      </c>
      <c r="E1872" s="37" t="s">
        <v>3433</v>
      </c>
      <c r="F1872" s="37" t="s">
        <v>4026</v>
      </c>
      <c r="G1872" s="38"/>
      <c r="H1872" s="38">
        <v>9430.8000000000011</v>
      </c>
      <c r="I1872" s="37"/>
      <c r="J1872" s="37"/>
      <c r="K1872" s="38"/>
      <c r="L1872" s="38"/>
    </row>
    <row r="1873" spans="2:12" ht="14.5" x14ac:dyDescent="0.35">
      <c r="B1873" s="46" t="s">
        <v>3589</v>
      </c>
      <c r="C1873" s="36">
        <v>45900</v>
      </c>
      <c r="D1873" s="36" t="s">
        <v>2220</v>
      </c>
      <c r="E1873" s="37" t="s">
        <v>3434</v>
      </c>
      <c r="F1873" s="37" t="s">
        <v>4026</v>
      </c>
      <c r="G1873" s="38"/>
      <c r="H1873" s="38">
        <v>582.41</v>
      </c>
      <c r="I1873" s="37"/>
      <c r="J1873" s="37"/>
      <c r="K1873" s="38"/>
      <c r="L1873" s="38"/>
    </row>
    <row r="1874" spans="2:12" ht="14.5" x14ac:dyDescent="0.35">
      <c r="B1874" s="46" t="s">
        <v>3589</v>
      </c>
      <c r="C1874" s="36">
        <v>45900</v>
      </c>
      <c r="D1874" s="36" t="s">
        <v>2220</v>
      </c>
      <c r="E1874" s="37" t="s">
        <v>3435</v>
      </c>
      <c r="F1874" s="37" t="s">
        <v>4026</v>
      </c>
      <c r="G1874" s="38"/>
      <c r="H1874" s="38">
        <v>32776.410000000003</v>
      </c>
      <c r="I1874" s="37"/>
      <c r="J1874" s="37"/>
      <c r="K1874" s="38"/>
      <c r="L1874" s="38"/>
    </row>
    <row r="1875" spans="2:12" ht="14.5" x14ac:dyDescent="0.35">
      <c r="B1875" s="46" t="s">
        <v>3589</v>
      </c>
      <c r="C1875" s="36">
        <v>45900</v>
      </c>
      <c r="D1875" s="36" t="s">
        <v>2220</v>
      </c>
      <c r="E1875" s="37" t="s">
        <v>3436</v>
      </c>
      <c r="F1875" s="37" t="s">
        <v>4026</v>
      </c>
      <c r="G1875" s="38"/>
      <c r="H1875" s="38">
        <v>5357.08</v>
      </c>
      <c r="I1875" s="37"/>
      <c r="J1875" s="37"/>
      <c r="K1875" s="38"/>
      <c r="L1875" s="38"/>
    </row>
    <row r="1876" spans="2:12" ht="14.5" x14ac:dyDescent="0.35">
      <c r="B1876" s="46" t="s">
        <v>3589</v>
      </c>
      <c r="C1876" s="36">
        <v>45900</v>
      </c>
      <c r="D1876" s="36" t="s">
        <v>2220</v>
      </c>
      <c r="E1876" s="37" t="s">
        <v>3437</v>
      </c>
      <c r="F1876" s="37" t="s">
        <v>4026</v>
      </c>
      <c r="G1876" s="38"/>
      <c r="H1876" s="38">
        <v>32412.600000000006</v>
      </c>
      <c r="I1876" s="37"/>
      <c r="J1876" s="37"/>
      <c r="K1876" s="38"/>
      <c r="L1876" s="38"/>
    </row>
    <row r="1877" spans="2:12" ht="14.5" x14ac:dyDescent="0.35">
      <c r="B1877" s="46" t="s">
        <v>3589</v>
      </c>
      <c r="C1877" s="36">
        <v>45900</v>
      </c>
      <c r="D1877" s="36" t="s">
        <v>2220</v>
      </c>
      <c r="E1877" s="37" t="s">
        <v>3438</v>
      </c>
      <c r="F1877" s="37" t="s">
        <v>4026</v>
      </c>
      <c r="G1877" s="38"/>
      <c r="H1877" s="38">
        <v>3248.05</v>
      </c>
      <c r="I1877" s="37"/>
      <c r="J1877" s="37"/>
      <c r="K1877" s="38"/>
      <c r="L1877" s="38"/>
    </row>
    <row r="1878" spans="2:12" ht="14.5" x14ac:dyDescent="0.35">
      <c r="B1878" s="46" t="s">
        <v>3589</v>
      </c>
      <c r="C1878" s="36">
        <v>45900</v>
      </c>
      <c r="D1878" s="36" t="s">
        <v>3512</v>
      </c>
      <c r="E1878" s="37" t="s">
        <v>3439</v>
      </c>
      <c r="F1878" s="37" t="s">
        <v>4026</v>
      </c>
      <c r="G1878" s="38"/>
      <c r="H1878" s="38">
        <v>1218</v>
      </c>
      <c r="I1878" s="37"/>
      <c r="J1878" s="37"/>
      <c r="K1878" s="38"/>
      <c r="L1878" s="38"/>
    </row>
    <row r="1879" spans="2:12" ht="14.5" x14ac:dyDescent="0.35">
      <c r="B1879" s="46" t="s">
        <v>3589</v>
      </c>
      <c r="C1879" s="36">
        <v>45900</v>
      </c>
      <c r="D1879" s="36" t="s">
        <v>301</v>
      </c>
      <c r="E1879" s="37">
        <v>38055</v>
      </c>
      <c r="F1879" s="37" t="s">
        <v>4026</v>
      </c>
      <c r="G1879" s="38"/>
      <c r="H1879" s="38">
        <v>856.96999999999991</v>
      </c>
      <c r="I1879" s="37"/>
      <c r="J1879" s="37"/>
      <c r="K1879" s="38"/>
      <c r="L1879" s="38"/>
    </row>
    <row r="1880" spans="2:12" ht="14.5" x14ac:dyDescent="0.35">
      <c r="B1880" s="46" t="s">
        <v>3589</v>
      </c>
      <c r="C1880" s="36">
        <v>45900</v>
      </c>
      <c r="D1880" s="36" t="s">
        <v>2276</v>
      </c>
      <c r="E1880" s="37" t="s">
        <v>3440</v>
      </c>
      <c r="F1880" s="37" t="s">
        <v>4026</v>
      </c>
      <c r="G1880" s="38"/>
      <c r="H1880" s="38">
        <v>2164.9300000000003</v>
      </c>
      <c r="I1880" s="37"/>
      <c r="J1880" s="37"/>
      <c r="K1880" s="38"/>
      <c r="L1880" s="38"/>
    </row>
    <row r="1881" spans="2:12" ht="14.5" x14ac:dyDescent="0.35">
      <c r="B1881" s="46" t="s">
        <v>3589</v>
      </c>
      <c r="C1881" s="36">
        <v>45900</v>
      </c>
      <c r="D1881" s="36" t="s">
        <v>301</v>
      </c>
      <c r="E1881" s="37">
        <v>38172</v>
      </c>
      <c r="F1881" s="37" t="s">
        <v>4026</v>
      </c>
      <c r="G1881" s="38"/>
      <c r="H1881" s="38">
        <v>340.38</v>
      </c>
      <c r="I1881" s="37"/>
      <c r="J1881" s="37"/>
      <c r="K1881" s="38"/>
      <c r="L1881" s="38"/>
    </row>
    <row r="1882" spans="2:12" ht="14.5" x14ac:dyDescent="0.35">
      <c r="B1882" s="46" t="s">
        <v>3589</v>
      </c>
      <c r="C1882" s="36">
        <v>45900</v>
      </c>
      <c r="D1882" s="36" t="s">
        <v>301</v>
      </c>
      <c r="E1882" s="37" t="s">
        <v>3441</v>
      </c>
      <c r="F1882" s="37" t="s">
        <v>4026</v>
      </c>
      <c r="G1882" s="38"/>
      <c r="H1882" s="38">
        <v>2000.02</v>
      </c>
      <c r="I1882" s="37"/>
      <c r="J1882" s="37"/>
      <c r="K1882" s="38"/>
      <c r="L1882" s="38"/>
    </row>
    <row r="1883" spans="2:12" ht="14.5" x14ac:dyDescent="0.35">
      <c r="B1883" s="46" t="s">
        <v>3589</v>
      </c>
      <c r="C1883" s="36">
        <v>45900</v>
      </c>
      <c r="D1883" s="36" t="s">
        <v>301</v>
      </c>
      <c r="E1883" s="37" t="s">
        <v>3442</v>
      </c>
      <c r="F1883" s="37" t="s">
        <v>4026</v>
      </c>
      <c r="G1883" s="38"/>
      <c r="H1883" s="38">
        <v>10958.02</v>
      </c>
      <c r="I1883" s="37"/>
      <c r="J1883" s="37"/>
      <c r="K1883" s="38"/>
      <c r="L1883" s="38"/>
    </row>
    <row r="1884" spans="2:12" ht="14.5" x14ac:dyDescent="0.35">
      <c r="B1884" s="46" t="s">
        <v>3589</v>
      </c>
      <c r="C1884" s="36">
        <v>45900</v>
      </c>
      <c r="D1884" s="36" t="s">
        <v>301</v>
      </c>
      <c r="E1884" s="37" t="s">
        <v>3443</v>
      </c>
      <c r="F1884" s="37" t="s">
        <v>4026</v>
      </c>
      <c r="G1884" s="38"/>
      <c r="H1884" s="38">
        <v>1150.77</v>
      </c>
      <c r="I1884" s="37"/>
      <c r="J1884" s="37"/>
      <c r="K1884" s="38"/>
      <c r="L1884" s="38"/>
    </row>
    <row r="1885" spans="2:12" ht="14.5" x14ac:dyDescent="0.35">
      <c r="B1885" s="46" t="s">
        <v>3589</v>
      </c>
      <c r="C1885" s="36">
        <v>45900</v>
      </c>
      <c r="D1885" s="36" t="s">
        <v>301</v>
      </c>
      <c r="E1885" s="37" t="s">
        <v>3444</v>
      </c>
      <c r="F1885" s="37" t="s">
        <v>4026</v>
      </c>
      <c r="G1885" s="38"/>
      <c r="H1885" s="38">
        <v>5072.97</v>
      </c>
      <c r="I1885" s="37"/>
      <c r="J1885" s="37"/>
      <c r="K1885" s="38"/>
      <c r="L1885" s="38"/>
    </row>
    <row r="1886" spans="2:12" ht="14.5" x14ac:dyDescent="0.35">
      <c r="B1886" s="46" t="s">
        <v>3589</v>
      </c>
      <c r="C1886" s="36">
        <v>45900</v>
      </c>
      <c r="D1886" s="36" t="s">
        <v>3513</v>
      </c>
      <c r="E1886" s="37">
        <v>38215</v>
      </c>
      <c r="F1886" s="37" t="s">
        <v>4026</v>
      </c>
      <c r="G1886" s="38"/>
      <c r="H1886" s="38">
        <v>3632.8199999999997</v>
      </c>
      <c r="I1886" s="37"/>
      <c r="J1886" s="37"/>
      <c r="K1886" s="38"/>
      <c r="L1886" s="38"/>
    </row>
    <row r="1887" spans="2:12" ht="14.5" x14ac:dyDescent="0.35">
      <c r="B1887" s="46" t="s">
        <v>3589</v>
      </c>
      <c r="C1887" s="36">
        <v>45900</v>
      </c>
      <c r="D1887" s="36" t="s">
        <v>301</v>
      </c>
      <c r="E1887" s="37" t="s">
        <v>3445</v>
      </c>
      <c r="F1887" s="37" t="s">
        <v>4026</v>
      </c>
      <c r="G1887" s="38"/>
      <c r="H1887" s="38">
        <v>409.26</v>
      </c>
      <c r="I1887" s="37"/>
      <c r="J1887" s="37"/>
      <c r="K1887" s="38"/>
      <c r="L1887" s="38"/>
    </row>
    <row r="1888" spans="2:12" ht="14.5" x14ac:dyDescent="0.35">
      <c r="B1888" s="46" t="s">
        <v>3589</v>
      </c>
      <c r="C1888" s="36">
        <v>45900</v>
      </c>
      <c r="D1888" s="36" t="s">
        <v>301</v>
      </c>
      <c r="E1888" s="37" t="s">
        <v>3446</v>
      </c>
      <c r="F1888" s="37" t="s">
        <v>4026</v>
      </c>
      <c r="G1888" s="38"/>
      <c r="H1888" s="38">
        <v>385.99</v>
      </c>
      <c r="I1888" s="37"/>
      <c r="J1888" s="37"/>
      <c r="K1888" s="38"/>
      <c r="L1888" s="38"/>
    </row>
    <row r="1889" spans="2:12" ht="14.5" x14ac:dyDescent="0.35">
      <c r="B1889" s="46" t="s">
        <v>3589</v>
      </c>
      <c r="C1889" s="36">
        <v>45900</v>
      </c>
      <c r="D1889" s="36" t="s">
        <v>301</v>
      </c>
      <c r="E1889" s="37" t="s">
        <v>3447</v>
      </c>
      <c r="F1889" s="37" t="s">
        <v>4026</v>
      </c>
      <c r="G1889" s="38"/>
      <c r="H1889" s="38">
        <v>1307.55</v>
      </c>
      <c r="I1889" s="37"/>
      <c r="J1889" s="37"/>
      <c r="K1889" s="38"/>
      <c r="L1889" s="38"/>
    </row>
    <row r="1890" spans="2:12" ht="14.5" x14ac:dyDescent="0.35">
      <c r="B1890" s="46" t="s">
        <v>3589</v>
      </c>
      <c r="C1890" s="36">
        <v>45900</v>
      </c>
      <c r="D1890" s="36" t="s">
        <v>301</v>
      </c>
      <c r="E1890" s="37" t="s">
        <v>3448</v>
      </c>
      <c r="F1890" s="37" t="s">
        <v>4026</v>
      </c>
      <c r="G1890" s="38"/>
      <c r="H1890" s="38">
        <v>460.86</v>
      </c>
      <c r="I1890" s="37"/>
      <c r="J1890" s="37"/>
      <c r="K1890" s="38"/>
      <c r="L1890" s="38"/>
    </row>
    <row r="1891" spans="2:12" ht="14.5" x14ac:dyDescent="0.35">
      <c r="B1891" s="46" t="s">
        <v>3589</v>
      </c>
      <c r="C1891" s="36">
        <v>45900</v>
      </c>
      <c r="D1891" s="36" t="s">
        <v>301</v>
      </c>
      <c r="E1891" s="37" t="s">
        <v>3449</v>
      </c>
      <c r="F1891" s="37" t="s">
        <v>4026</v>
      </c>
      <c r="G1891" s="38"/>
      <c r="H1891" s="38">
        <v>4.29</v>
      </c>
      <c r="I1891" s="37"/>
      <c r="J1891" s="37"/>
      <c r="K1891" s="38"/>
      <c r="L1891" s="38"/>
    </row>
    <row r="1892" spans="2:12" ht="14.5" x14ac:dyDescent="0.35">
      <c r="B1892" s="46" t="s">
        <v>3589</v>
      </c>
      <c r="C1892" s="36">
        <v>45900</v>
      </c>
      <c r="D1892" s="36" t="s">
        <v>2677</v>
      </c>
      <c r="E1892" s="37">
        <v>38262</v>
      </c>
      <c r="F1892" s="37" t="s">
        <v>4026</v>
      </c>
      <c r="G1892" s="38"/>
      <c r="H1892" s="38">
        <v>1007.5600000000002</v>
      </c>
      <c r="I1892" s="37"/>
      <c r="J1892" s="37"/>
      <c r="K1892" s="38"/>
      <c r="L1892" s="38"/>
    </row>
    <row r="1893" spans="2:12" ht="14.5" x14ac:dyDescent="0.35">
      <c r="B1893" s="46" t="s">
        <v>3589</v>
      </c>
      <c r="C1893" s="36">
        <v>45900</v>
      </c>
      <c r="D1893" s="36" t="s">
        <v>2677</v>
      </c>
      <c r="E1893" s="37" t="s">
        <v>3450</v>
      </c>
      <c r="F1893" s="37" t="s">
        <v>4026</v>
      </c>
      <c r="G1893" s="38"/>
      <c r="H1893" s="38">
        <v>28889.9</v>
      </c>
      <c r="I1893" s="37"/>
      <c r="J1893" s="37"/>
      <c r="K1893" s="38"/>
      <c r="L1893" s="38"/>
    </row>
    <row r="1894" spans="2:12" ht="14.5" x14ac:dyDescent="0.35">
      <c r="B1894" s="46" t="s">
        <v>3589</v>
      </c>
      <c r="C1894" s="36">
        <v>45900</v>
      </c>
      <c r="D1894" s="36" t="s">
        <v>2677</v>
      </c>
      <c r="E1894" s="37">
        <v>38267</v>
      </c>
      <c r="F1894" s="37" t="s">
        <v>4026</v>
      </c>
      <c r="G1894" s="38"/>
      <c r="H1894" s="38">
        <v>2812.12</v>
      </c>
      <c r="I1894" s="37"/>
      <c r="J1894" s="37"/>
      <c r="K1894" s="38"/>
      <c r="L1894" s="38"/>
    </row>
    <row r="1895" spans="2:12" ht="14.5" x14ac:dyDescent="0.35">
      <c r="B1895" s="46" t="s">
        <v>3589</v>
      </c>
      <c r="C1895" s="36">
        <v>45900</v>
      </c>
      <c r="D1895" s="36" t="s">
        <v>3514</v>
      </c>
      <c r="E1895" s="37">
        <v>38317</v>
      </c>
      <c r="F1895" s="37" t="s">
        <v>4026</v>
      </c>
      <c r="G1895" s="38"/>
      <c r="H1895" s="38">
        <v>13206</v>
      </c>
      <c r="I1895" s="37"/>
      <c r="J1895" s="37"/>
      <c r="K1895" s="38"/>
      <c r="L1895" s="38"/>
    </row>
    <row r="1896" spans="2:12" ht="14.5" x14ac:dyDescent="0.35">
      <c r="B1896" s="46" t="s">
        <v>3589</v>
      </c>
      <c r="C1896" s="36">
        <v>45900</v>
      </c>
      <c r="D1896" s="36" t="s">
        <v>2079</v>
      </c>
      <c r="E1896" s="37" t="s">
        <v>3451</v>
      </c>
      <c r="F1896" s="37" t="s">
        <v>4026</v>
      </c>
      <c r="G1896" s="38"/>
      <c r="H1896" s="38">
        <v>532.58000000000004</v>
      </c>
      <c r="I1896" s="37"/>
      <c r="J1896" s="37"/>
      <c r="K1896" s="38"/>
      <c r="L1896" s="38"/>
    </row>
    <row r="1897" spans="2:12" ht="14.5" x14ac:dyDescent="0.35">
      <c r="B1897" s="46" t="s">
        <v>3589</v>
      </c>
      <c r="C1897" s="36">
        <v>45900</v>
      </c>
      <c r="D1897" s="36" t="s">
        <v>2079</v>
      </c>
      <c r="E1897" s="37" t="s">
        <v>3453</v>
      </c>
      <c r="F1897" s="37" t="s">
        <v>4026</v>
      </c>
      <c r="G1897" s="38"/>
      <c r="H1897" s="38">
        <v>506.08</v>
      </c>
      <c r="I1897" s="37"/>
      <c r="J1897" s="37"/>
      <c r="K1897" s="38"/>
      <c r="L1897" s="38"/>
    </row>
    <row r="1898" spans="2:12" ht="14.5" x14ac:dyDescent="0.35">
      <c r="B1898" s="46" t="s">
        <v>3589</v>
      </c>
      <c r="C1898" s="36">
        <v>45900</v>
      </c>
      <c r="D1898" s="36" t="s">
        <v>2220</v>
      </c>
      <c r="E1898" s="37">
        <v>38407</v>
      </c>
      <c r="F1898" s="37" t="s">
        <v>4026</v>
      </c>
      <c r="G1898" s="38"/>
      <c r="H1898" s="38">
        <v>8825.51</v>
      </c>
      <c r="I1898" s="37"/>
      <c r="J1898" s="37"/>
      <c r="K1898" s="38"/>
      <c r="L1898" s="38"/>
    </row>
    <row r="1899" spans="2:12" ht="14.5" x14ac:dyDescent="0.35">
      <c r="B1899" s="46" t="s">
        <v>3589</v>
      </c>
      <c r="C1899" s="36">
        <v>45900</v>
      </c>
      <c r="D1899" s="36" t="s">
        <v>1637</v>
      </c>
      <c r="E1899" s="37">
        <v>38473</v>
      </c>
      <c r="F1899" s="37" t="s">
        <v>4026</v>
      </c>
      <c r="G1899" s="38"/>
      <c r="H1899" s="38">
        <v>12447</v>
      </c>
      <c r="I1899" s="37"/>
      <c r="J1899" s="37"/>
      <c r="K1899" s="38"/>
      <c r="L1899" s="38"/>
    </row>
    <row r="1900" spans="2:12" ht="14.5" x14ac:dyDescent="0.35">
      <c r="B1900" s="46" t="s">
        <v>3589</v>
      </c>
      <c r="C1900" s="36">
        <v>45900</v>
      </c>
      <c r="D1900" s="36" t="s">
        <v>301</v>
      </c>
      <c r="E1900" s="37" t="s">
        <v>3454</v>
      </c>
      <c r="F1900" s="37" t="s">
        <v>4026</v>
      </c>
      <c r="G1900" s="38"/>
      <c r="H1900" s="38">
        <v>647.91999999999996</v>
      </c>
      <c r="I1900" s="37"/>
      <c r="J1900" s="37"/>
      <c r="K1900" s="38"/>
      <c r="L1900" s="38"/>
    </row>
    <row r="1901" spans="2:12" ht="14.5" x14ac:dyDescent="0.35">
      <c r="B1901" s="46" t="s">
        <v>3589</v>
      </c>
      <c r="C1901" s="36">
        <v>45900</v>
      </c>
      <c r="D1901" s="36" t="s">
        <v>3515</v>
      </c>
      <c r="E1901" s="37" t="s">
        <v>3455</v>
      </c>
      <c r="F1901" s="37" t="s">
        <v>4026</v>
      </c>
      <c r="G1901" s="38"/>
      <c r="H1901" s="38">
        <v>21.01</v>
      </c>
      <c r="I1901" s="37"/>
      <c r="J1901" s="37"/>
      <c r="K1901" s="38"/>
      <c r="L1901" s="38"/>
    </row>
    <row r="1902" spans="2:12" ht="14.5" x14ac:dyDescent="0.35">
      <c r="B1902" s="46" t="s">
        <v>3589</v>
      </c>
      <c r="C1902" s="36">
        <v>45900</v>
      </c>
      <c r="D1902" s="36" t="s">
        <v>3516</v>
      </c>
      <c r="E1902" s="37" t="s">
        <v>3456</v>
      </c>
      <c r="F1902" s="37" t="s">
        <v>4026</v>
      </c>
      <c r="G1902" s="38"/>
      <c r="H1902" s="38">
        <v>80.25</v>
      </c>
      <c r="I1902" s="37"/>
      <c r="J1902" s="37"/>
      <c r="K1902" s="38"/>
      <c r="L1902" s="38"/>
    </row>
    <row r="1903" spans="2:12" ht="14.5" x14ac:dyDescent="0.35">
      <c r="B1903" s="46" t="s">
        <v>3589</v>
      </c>
      <c r="C1903" s="36">
        <v>45900</v>
      </c>
      <c r="D1903" s="36" t="s">
        <v>3517</v>
      </c>
      <c r="E1903" s="37" t="s">
        <v>3457</v>
      </c>
      <c r="F1903" s="37" t="s">
        <v>4026</v>
      </c>
      <c r="G1903" s="38"/>
      <c r="H1903" s="38">
        <v>2196.5099999999998</v>
      </c>
      <c r="I1903" s="37"/>
      <c r="J1903" s="37"/>
      <c r="K1903" s="38"/>
      <c r="L1903" s="38"/>
    </row>
    <row r="1904" spans="2:12" ht="14.5" x14ac:dyDescent="0.35">
      <c r="B1904" s="46" t="s">
        <v>3589</v>
      </c>
      <c r="C1904" s="36">
        <v>45900</v>
      </c>
      <c r="D1904" s="36" t="s">
        <v>3518</v>
      </c>
      <c r="E1904" s="37">
        <v>38527</v>
      </c>
      <c r="F1904" s="37" t="s">
        <v>4026</v>
      </c>
      <c r="G1904" s="38"/>
      <c r="H1904" s="38">
        <v>1219.49</v>
      </c>
      <c r="I1904" s="37"/>
      <c r="J1904" s="37"/>
      <c r="K1904" s="38"/>
      <c r="L1904" s="38"/>
    </row>
    <row r="1905" spans="2:12" ht="14.5" x14ac:dyDescent="0.35">
      <c r="B1905" s="46" t="s">
        <v>3589</v>
      </c>
      <c r="C1905" s="36">
        <v>45900</v>
      </c>
      <c r="D1905" s="36" t="s">
        <v>1920</v>
      </c>
      <c r="E1905" s="37" t="s">
        <v>3458</v>
      </c>
      <c r="F1905" s="37" t="s">
        <v>4026</v>
      </c>
      <c r="G1905" s="38"/>
      <c r="H1905" s="38">
        <v>186</v>
      </c>
      <c r="I1905" s="37"/>
      <c r="J1905" s="37"/>
      <c r="K1905" s="38"/>
      <c r="L1905" s="38"/>
    </row>
    <row r="1906" spans="2:12" ht="14.5" x14ac:dyDescent="0.35">
      <c r="B1906" s="46" t="s">
        <v>3589</v>
      </c>
      <c r="C1906" s="36">
        <v>45900</v>
      </c>
      <c r="D1906" s="36" t="s">
        <v>1920</v>
      </c>
      <c r="E1906" s="37" t="s">
        <v>3459</v>
      </c>
      <c r="F1906" s="37" t="s">
        <v>4026</v>
      </c>
      <c r="G1906" s="38"/>
      <c r="H1906" s="38">
        <v>1699.12</v>
      </c>
      <c r="I1906" s="37"/>
      <c r="J1906" s="37"/>
      <c r="K1906" s="38"/>
      <c r="L1906" s="38"/>
    </row>
    <row r="1907" spans="2:12" ht="14.5" x14ac:dyDescent="0.35">
      <c r="B1907" s="46" t="s">
        <v>3589</v>
      </c>
      <c r="C1907" s="36">
        <v>45900</v>
      </c>
      <c r="D1907" s="36" t="s">
        <v>1920</v>
      </c>
      <c r="E1907" s="37" t="s">
        <v>3460</v>
      </c>
      <c r="F1907" s="37" t="s">
        <v>4026</v>
      </c>
      <c r="G1907" s="38"/>
      <c r="H1907" s="38">
        <v>176.5</v>
      </c>
      <c r="I1907" s="37"/>
      <c r="J1907" s="37"/>
      <c r="K1907" s="38"/>
      <c r="L1907" s="38"/>
    </row>
    <row r="1908" spans="2:12" ht="14.5" x14ac:dyDescent="0.35">
      <c r="B1908" s="46" t="s">
        <v>3589</v>
      </c>
      <c r="C1908" s="36">
        <v>45900</v>
      </c>
      <c r="D1908" s="36" t="s">
        <v>301</v>
      </c>
      <c r="E1908" s="37">
        <v>38553</v>
      </c>
      <c r="F1908" s="37" t="s">
        <v>4026</v>
      </c>
      <c r="G1908" s="38"/>
      <c r="H1908" s="38">
        <v>562.51</v>
      </c>
      <c r="I1908" s="37"/>
      <c r="J1908" s="37"/>
      <c r="K1908" s="38"/>
      <c r="L1908" s="38"/>
    </row>
    <row r="1909" spans="2:12" ht="14.5" x14ac:dyDescent="0.35">
      <c r="B1909" s="46" t="s">
        <v>3589</v>
      </c>
      <c r="C1909" s="36">
        <v>45900</v>
      </c>
      <c r="D1909" s="36" t="s">
        <v>301</v>
      </c>
      <c r="E1909" s="37" t="s">
        <v>3461</v>
      </c>
      <c r="F1909" s="37" t="s">
        <v>4026</v>
      </c>
      <c r="G1909" s="38"/>
      <c r="H1909" s="38">
        <v>58.74</v>
      </c>
      <c r="I1909" s="37"/>
      <c r="J1909" s="37"/>
      <c r="K1909" s="38"/>
      <c r="L1909" s="38"/>
    </row>
    <row r="1910" spans="2:12" ht="14.5" x14ac:dyDescent="0.35">
      <c r="B1910" s="46" t="s">
        <v>3589</v>
      </c>
      <c r="C1910" s="36">
        <v>45900</v>
      </c>
      <c r="D1910" s="36" t="s">
        <v>301</v>
      </c>
      <c r="E1910" s="37">
        <v>38557</v>
      </c>
      <c r="F1910" s="37" t="s">
        <v>4026</v>
      </c>
      <c r="G1910" s="38"/>
      <c r="H1910" s="38">
        <v>3216.2999999999993</v>
      </c>
      <c r="I1910" s="37"/>
      <c r="J1910" s="37"/>
      <c r="K1910" s="38"/>
      <c r="L1910" s="38"/>
    </row>
    <row r="1911" spans="2:12" ht="14.5" x14ac:dyDescent="0.35">
      <c r="B1911" s="46" t="s">
        <v>3589</v>
      </c>
      <c r="C1911" s="36">
        <v>45900</v>
      </c>
      <c r="D1911" s="36" t="s">
        <v>3519</v>
      </c>
      <c r="E1911" s="37">
        <v>38603</v>
      </c>
      <c r="F1911" s="37" t="s">
        <v>4026</v>
      </c>
      <c r="G1911" s="38"/>
      <c r="H1911" s="38">
        <v>527.86</v>
      </c>
      <c r="I1911" s="37"/>
      <c r="J1911" s="37"/>
      <c r="K1911" s="38"/>
      <c r="L1911" s="38"/>
    </row>
    <row r="1912" spans="2:12" ht="14.5" x14ac:dyDescent="0.35">
      <c r="B1912" s="46" t="s">
        <v>3589</v>
      </c>
      <c r="C1912" s="36">
        <v>45900</v>
      </c>
      <c r="D1912" s="36" t="s">
        <v>1484</v>
      </c>
      <c r="E1912" s="37" t="s">
        <v>3462</v>
      </c>
      <c r="F1912" s="37" t="s">
        <v>4026</v>
      </c>
      <c r="G1912" s="38"/>
      <c r="H1912" s="38">
        <v>517.41</v>
      </c>
      <c r="I1912" s="37"/>
      <c r="J1912" s="37"/>
      <c r="K1912" s="38"/>
      <c r="L1912" s="38"/>
    </row>
    <row r="1913" spans="2:12" ht="14.5" x14ac:dyDescent="0.35">
      <c r="B1913" s="46" t="s">
        <v>3589</v>
      </c>
      <c r="C1913" s="36">
        <v>45900</v>
      </c>
      <c r="D1913" s="36" t="s">
        <v>3514</v>
      </c>
      <c r="E1913" s="37">
        <v>38607</v>
      </c>
      <c r="F1913" s="37" t="s">
        <v>4026</v>
      </c>
      <c r="G1913" s="38"/>
      <c r="H1913" s="38">
        <v>1339.21</v>
      </c>
      <c r="I1913" s="37"/>
      <c r="J1913" s="37"/>
      <c r="K1913" s="38"/>
      <c r="L1913" s="38"/>
    </row>
    <row r="1914" spans="2:12" ht="14.5" x14ac:dyDescent="0.35">
      <c r="B1914" s="46" t="s">
        <v>3589</v>
      </c>
      <c r="C1914" s="36">
        <v>45900</v>
      </c>
      <c r="D1914" s="36" t="s">
        <v>2459</v>
      </c>
      <c r="E1914" s="37">
        <v>38621</v>
      </c>
      <c r="F1914" s="37" t="s">
        <v>4026</v>
      </c>
      <c r="G1914" s="38"/>
      <c r="H1914" s="38">
        <v>10377.15</v>
      </c>
      <c r="I1914" s="37"/>
      <c r="J1914" s="37"/>
      <c r="K1914" s="38"/>
      <c r="L1914" s="38"/>
    </row>
    <row r="1915" spans="2:12" ht="14.5" x14ac:dyDescent="0.35">
      <c r="B1915" s="46" t="s">
        <v>3589</v>
      </c>
      <c r="C1915" s="36">
        <v>45900</v>
      </c>
      <c r="D1915" s="36" t="s">
        <v>2144</v>
      </c>
      <c r="E1915" s="37">
        <v>38627</v>
      </c>
      <c r="F1915" s="37" t="s">
        <v>4026</v>
      </c>
      <c r="G1915" s="38"/>
      <c r="H1915" s="38">
        <v>855.64</v>
      </c>
      <c r="I1915" s="37"/>
      <c r="J1915" s="37"/>
      <c r="K1915" s="38"/>
      <c r="L1915" s="38"/>
    </row>
    <row r="1916" spans="2:12" ht="14.5" x14ac:dyDescent="0.35">
      <c r="B1916" s="46" t="s">
        <v>3589</v>
      </c>
      <c r="C1916" s="36">
        <v>45900</v>
      </c>
      <c r="D1916" s="36" t="s">
        <v>3494</v>
      </c>
      <c r="E1916" s="37">
        <v>38636</v>
      </c>
      <c r="F1916" s="37" t="s">
        <v>4026</v>
      </c>
      <c r="G1916" s="38"/>
      <c r="H1916" s="38">
        <v>4751.6100000000006</v>
      </c>
      <c r="I1916" s="37"/>
      <c r="J1916" s="37"/>
      <c r="K1916" s="38"/>
      <c r="L1916" s="38"/>
    </row>
    <row r="1917" spans="2:12" ht="14.5" x14ac:dyDescent="0.35">
      <c r="B1917" s="46" t="s">
        <v>3589</v>
      </c>
      <c r="C1917" s="36">
        <v>45900</v>
      </c>
      <c r="D1917" s="36" t="s">
        <v>2386</v>
      </c>
      <c r="E1917" s="37">
        <v>38670</v>
      </c>
      <c r="F1917" s="37" t="s">
        <v>4026</v>
      </c>
      <c r="G1917" s="38"/>
      <c r="H1917" s="38">
        <v>80397.33</v>
      </c>
      <c r="I1917" s="37"/>
      <c r="J1917" s="37"/>
      <c r="K1917" s="38"/>
      <c r="L1917" s="38"/>
    </row>
    <row r="1918" spans="2:12" ht="14.5" x14ac:dyDescent="0.35">
      <c r="B1918" s="46" t="s">
        <v>3589</v>
      </c>
      <c r="C1918" s="36">
        <v>45900</v>
      </c>
      <c r="D1918" s="36" t="s">
        <v>2220</v>
      </c>
      <c r="E1918" s="37">
        <v>38671</v>
      </c>
      <c r="F1918" s="37" t="s">
        <v>4026</v>
      </c>
      <c r="G1918" s="38"/>
      <c r="H1918" s="38">
        <v>16765.79</v>
      </c>
      <c r="I1918" s="37"/>
      <c r="J1918" s="37"/>
      <c r="K1918" s="38"/>
      <c r="L1918" s="38"/>
    </row>
    <row r="1919" spans="2:12" ht="14.5" x14ac:dyDescent="0.35">
      <c r="B1919" s="46" t="s">
        <v>3589</v>
      </c>
      <c r="C1919" s="36">
        <v>45900</v>
      </c>
      <c r="D1919" s="36" t="s">
        <v>2220</v>
      </c>
      <c r="E1919" s="37" t="s">
        <v>3463</v>
      </c>
      <c r="F1919" s="37" t="s">
        <v>4026</v>
      </c>
      <c r="G1919" s="38"/>
      <c r="H1919" s="38">
        <v>31055.1</v>
      </c>
      <c r="I1919" s="37"/>
      <c r="J1919" s="37"/>
      <c r="K1919" s="38"/>
      <c r="L1919" s="38"/>
    </row>
    <row r="1920" spans="2:12" ht="14.5" x14ac:dyDescent="0.35">
      <c r="B1920" s="46" t="s">
        <v>3589</v>
      </c>
      <c r="C1920" s="36">
        <v>45900</v>
      </c>
      <c r="D1920" s="36" t="s">
        <v>3520</v>
      </c>
      <c r="E1920" s="37">
        <v>38674</v>
      </c>
      <c r="F1920" s="37" t="s">
        <v>4026</v>
      </c>
      <c r="G1920" s="38"/>
      <c r="H1920" s="38">
        <v>166.1</v>
      </c>
      <c r="I1920" s="37"/>
      <c r="J1920" s="37"/>
      <c r="K1920" s="38"/>
      <c r="L1920" s="38"/>
    </row>
    <row r="1921" spans="2:12" ht="14.5" x14ac:dyDescent="0.35">
      <c r="B1921" s="46" t="s">
        <v>3589</v>
      </c>
      <c r="C1921" s="36">
        <v>45900</v>
      </c>
      <c r="D1921" s="36" t="s">
        <v>3826</v>
      </c>
      <c r="E1921" s="37" t="s">
        <v>3827</v>
      </c>
      <c r="F1921" s="37" t="s">
        <v>4026</v>
      </c>
      <c r="G1921" s="38"/>
      <c r="H1921" s="38">
        <v>0</v>
      </c>
      <c r="I1921" s="37"/>
      <c r="J1921" s="37"/>
      <c r="K1921" s="38"/>
      <c r="L1921" s="38"/>
    </row>
    <row r="1922" spans="2:12" ht="14.5" x14ac:dyDescent="0.35">
      <c r="B1922" s="46" t="s">
        <v>3589</v>
      </c>
      <c r="C1922" s="36">
        <v>45900</v>
      </c>
      <c r="D1922" s="36" t="s">
        <v>3502</v>
      </c>
      <c r="E1922" s="37">
        <v>38701</v>
      </c>
      <c r="F1922" s="37" t="s">
        <v>4026</v>
      </c>
      <c r="G1922" s="38"/>
      <c r="H1922" s="38">
        <v>2482.3200000000002</v>
      </c>
      <c r="I1922" s="37"/>
      <c r="J1922" s="37"/>
      <c r="K1922" s="38"/>
      <c r="L1922" s="38"/>
    </row>
    <row r="1923" spans="2:12" ht="14.5" x14ac:dyDescent="0.35">
      <c r="B1923" s="46" t="s">
        <v>3589</v>
      </c>
      <c r="C1923" s="36">
        <v>45900</v>
      </c>
      <c r="D1923" s="36" t="s">
        <v>3521</v>
      </c>
      <c r="E1923" s="37">
        <v>38718</v>
      </c>
      <c r="F1923" s="37" t="s">
        <v>4026</v>
      </c>
      <c r="G1923" s="38"/>
      <c r="H1923" s="38">
        <v>1272.71</v>
      </c>
      <c r="I1923" s="37"/>
      <c r="J1923" s="37"/>
      <c r="K1923" s="38"/>
      <c r="L1923" s="38"/>
    </row>
    <row r="1924" spans="2:12" ht="14.5" x14ac:dyDescent="0.35">
      <c r="B1924" s="46" t="s">
        <v>3589</v>
      </c>
      <c r="C1924" s="36">
        <v>45900</v>
      </c>
      <c r="D1924" s="36" t="s">
        <v>3522</v>
      </c>
      <c r="E1924" s="37">
        <v>38721</v>
      </c>
      <c r="F1924" s="37" t="s">
        <v>4026</v>
      </c>
      <c r="G1924" s="38"/>
      <c r="H1924" s="38">
        <v>72</v>
      </c>
      <c r="I1924" s="37"/>
      <c r="J1924" s="37"/>
      <c r="K1924" s="38"/>
      <c r="L1924" s="38"/>
    </row>
    <row r="1925" spans="2:12" ht="14.5" x14ac:dyDescent="0.35">
      <c r="B1925" s="46" t="s">
        <v>3589</v>
      </c>
      <c r="C1925" s="36">
        <v>45900</v>
      </c>
      <c r="D1925" s="36" t="s">
        <v>3523</v>
      </c>
      <c r="E1925" s="37">
        <v>38726</v>
      </c>
      <c r="F1925" s="37" t="s">
        <v>4026</v>
      </c>
      <c r="G1925" s="38"/>
      <c r="H1925" s="38">
        <v>1024.74</v>
      </c>
      <c r="I1925" s="37"/>
      <c r="J1925" s="37"/>
      <c r="K1925" s="38"/>
      <c r="L1925" s="38"/>
    </row>
    <row r="1926" spans="2:12" ht="14.5" x14ac:dyDescent="0.35">
      <c r="B1926" s="46" t="s">
        <v>3589</v>
      </c>
      <c r="C1926" s="36">
        <v>45900</v>
      </c>
      <c r="D1926" s="36" t="s">
        <v>3524</v>
      </c>
      <c r="E1926" s="37" t="s">
        <v>3464</v>
      </c>
      <c r="F1926" s="37" t="s">
        <v>4026</v>
      </c>
      <c r="G1926" s="38"/>
      <c r="H1926" s="38">
        <v>1096.04</v>
      </c>
      <c r="I1926" s="37"/>
      <c r="J1926" s="37"/>
      <c r="K1926" s="38"/>
      <c r="L1926" s="38"/>
    </row>
    <row r="1927" spans="2:12" ht="14.5" x14ac:dyDescent="0.35">
      <c r="B1927" s="46" t="s">
        <v>3589</v>
      </c>
      <c r="C1927" s="36">
        <v>45900</v>
      </c>
      <c r="D1927" s="36" t="s">
        <v>3525</v>
      </c>
      <c r="E1927" s="37">
        <v>38744</v>
      </c>
      <c r="F1927" s="37" t="s">
        <v>4026</v>
      </c>
      <c r="G1927" s="38"/>
      <c r="H1927" s="38">
        <v>1157.02</v>
      </c>
      <c r="I1927" s="37"/>
      <c r="J1927" s="37"/>
      <c r="K1927" s="38"/>
      <c r="L1927" s="38"/>
    </row>
    <row r="1928" spans="2:12" ht="14.5" x14ac:dyDescent="0.35">
      <c r="B1928" s="46" t="s">
        <v>3589</v>
      </c>
      <c r="C1928" s="36">
        <v>45900</v>
      </c>
      <c r="D1928" s="36" t="s">
        <v>2480</v>
      </c>
      <c r="E1928" s="37">
        <v>38749</v>
      </c>
      <c r="F1928" s="37" t="s">
        <v>4026</v>
      </c>
      <c r="G1928" s="38"/>
      <c r="H1928" s="38">
        <v>669.75</v>
      </c>
      <c r="I1928" s="37"/>
      <c r="J1928" s="37"/>
      <c r="K1928" s="38"/>
      <c r="L1928" s="38"/>
    </row>
    <row r="1929" spans="2:12" ht="14.5" x14ac:dyDescent="0.35">
      <c r="B1929" s="46" t="s">
        <v>3589</v>
      </c>
      <c r="C1929" s="36">
        <v>45900</v>
      </c>
      <c r="D1929" s="36" t="s">
        <v>3475</v>
      </c>
      <c r="E1929" s="37">
        <v>38758</v>
      </c>
      <c r="F1929" s="37" t="s">
        <v>4026</v>
      </c>
      <c r="G1929" s="38"/>
      <c r="H1929" s="38">
        <v>941</v>
      </c>
      <c r="I1929" s="37"/>
      <c r="J1929" s="37"/>
      <c r="K1929" s="38"/>
      <c r="L1929" s="38"/>
    </row>
    <row r="1930" spans="2:12" ht="14.5" x14ac:dyDescent="0.35">
      <c r="B1930" s="46" t="s">
        <v>3589</v>
      </c>
      <c r="C1930" s="36">
        <v>45900</v>
      </c>
      <c r="D1930" s="36" t="s">
        <v>3526</v>
      </c>
      <c r="E1930" s="37">
        <v>38785</v>
      </c>
      <c r="F1930" s="37" t="s">
        <v>4026</v>
      </c>
      <c r="G1930" s="38"/>
      <c r="H1930" s="38">
        <v>1480</v>
      </c>
      <c r="I1930" s="37"/>
      <c r="J1930" s="37"/>
      <c r="K1930" s="38"/>
      <c r="L1930" s="38"/>
    </row>
    <row r="1931" spans="2:12" ht="14.5" x14ac:dyDescent="0.35">
      <c r="B1931" s="46" t="s">
        <v>3589</v>
      </c>
      <c r="C1931" s="36">
        <v>45900</v>
      </c>
      <c r="D1931" s="36" t="s">
        <v>2189</v>
      </c>
      <c r="E1931" s="37">
        <v>38793</v>
      </c>
      <c r="F1931" s="37" t="s">
        <v>4026</v>
      </c>
      <c r="G1931" s="38"/>
      <c r="H1931" s="38">
        <v>77.34</v>
      </c>
      <c r="I1931" s="37"/>
      <c r="J1931" s="37"/>
      <c r="K1931" s="38"/>
      <c r="L1931" s="38"/>
    </row>
    <row r="1932" spans="2:12" ht="14.5" x14ac:dyDescent="0.35">
      <c r="B1932" s="46" t="s">
        <v>3589</v>
      </c>
      <c r="C1932" s="36">
        <v>45900</v>
      </c>
      <c r="D1932" s="36" t="s">
        <v>3527</v>
      </c>
      <c r="E1932" s="37">
        <v>38795</v>
      </c>
      <c r="F1932" s="37" t="s">
        <v>4026</v>
      </c>
      <c r="G1932" s="38"/>
      <c r="H1932" s="38">
        <v>42.97</v>
      </c>
      <c r="I1932" s="37"/>
      <c r="J1932" s="37"/>
      <c r="K1932" s="38"/>
      <c r="L1932" s="38"/>
    </row>
    <row r="1933" spans="2:12" ht="14.5" x14ac:dyDescent="0.35">
      <c r="B1933" s="46" t="s">
        <v>3589</v>
      </c>
      <c r="C1933" s="36">
        <v>45900</v>
      </c>
      <c r="D1933" s="36" t="s">
        <v>3528</v>
      </c>
      <c r="E1933" s="37">
        <v>38796</v>
      </c>
      <c r="F1933" s="37" t="s">
        <v>4026</v>
      </c>
      <c r="G1933" s="38"/>
      <c r="H1933" s="38">
        <v>822.7</v>
      </c>
      <c r="I1933" s="37"/>
      <c r="J1933" s="37"/>
      <c r="K1933" s="38"/>
      <c r="L1933" s="38"/>
    </row>
    <row r="1934" spans="2:12" ht="14.5" x14ac:dyDescent="0.35">
      <c r="B1934" s="46" t="s">
        <v>3589</v>
      </c>
      <c r="C1934" s="36">
        <v>45900</v>
      </c>
      <c r="D1934" s="36" t="s">
        <v>3529</v>
      </c>
      <c r="E1934" s="37">
        <v>38799</v>
      </c>
      <c r="F1934" s="37" t="s">
        <v>4026</v>
      </c>
      <c r="G1934" s="38"/>
      <c r="H1934" s="38">
        <v>4876.0200000000004</v>
      </c>
      <c r="I1934" s="37"/>
      <c r="J1934" s="37"/>
      <c r="K1934" s="38"/>
      <c r="L1934" s="38"/>
    </row>
    <row r="1935" spans="2:12" ht="14.5" x14ac:dyDescent="0.35">
      <c r="B1935" s="46" t="s">
        <v>3589</v>
      </c>
      <c r="C1935" s="36">
        <v>45900</v>
      </c>
      <c r="D1935" s="36" t="s">
        <v>3530</v>
      </c>
      <c r="E1935" s="37">
        <v>38800</v>
      </c>
      <c r="F1935" s="37" t="s">
        <v>4026</v>
      </c>
      <c r="G1935" s="38"/>
      <c r="H1935" s="38">
        <v>19930.93</v>
      </c>
      <c r="I1935" s="37"/>
      <c r="J1935" s="37"/>
      <c r="K1935" s="38"/>
      <c r="L1935" s="38"/>
    </row>
    <row r="1936" spans="2:12" ht="14.5" x14ac:dyDescent="0.35">
      <c r="B1936" s="46" t="s">
        <v>3589</v>
      </c>
      <c r="C1936" s="36">
        <v>45900</v>
      </c>
      <c r="D1936" s="36" t="s">
        <v>3531</v>
      </c>
      <c r="E1936" s="37">
        <v>38801</v>
      </c>
      <c r="F1936" s="37" t="s">
        <v>4026</v>
      </c>
      <c r="G1936" s="38"/>
      <c r="H1936" s="38">
        <v>2935.66</v>
      </c>
      <c r="I1936" s="37"/>
      <c r="J1936" s="37"/>
      <c r="K1936" s="38"/>
      <c r="L1936" s="38"/>
    </row>
    <row r="1937" spans="2:12" ht="14.5" x14ac:dyDescent="0.35">
      <c r="B1937" s="46" t="s">
        <v>3589</v>
      </c>
      <c r="C1937" s="36">
        <v>45900</v>
      </c>
      <c r="D1937" s="36" t="s">
        <v>3532</v>
      </c>
      <c r="E1937" s="37">
        <v>38803</v>
      </c>
      <c r="F1937" s="37" t="s">
        <v>4026</v>
      </c>
      <c r="G1937" s="38"/>
      <c r="H1937" s="38">
        <v>1029.58</v>
      </c>
      <c r="I1937" s="37"/>
      <c r="J1937" s="37"/>
      <c r="K1937" s="38"/>
      <c r="L1937" s="38"/>
    </row>
    <row r="1938" spans="2:12" ht="14.5" x14ac:dyDescent="0.35">
      <c r="B1938" s="46" t="s">
        <v>3589</v>
      </c>
      <c r="C1938" s="36">
        <v>45900</v>
      </c>
      <c r="D1938" s="36" t="s">
        <v>3533</v>
      </c>
      <c r="E1938" s="37" t="s">
        <v>3465</v>
      </c>
      <c r="F1938" s="37" t="s">
        <v>4026</v>
      </c>
      <c r="G1938" s="38"/>
      <c r="H1938" s="38">
        <v>0.02</v>
      </c>
      <c r="I1938" s="37"/>
      <c r="J1938" s="37"/>
      <c r="K1938" s="38"/>
      <c r="L1938" s="38"/>
    </row>
    <row r="1939" spans="2:12" ht="14.5" x14ac:dyDescent="0.35">
      <c r="B1939" s="46" t="s">
        <v>3589</v>
      </c>
      <c r="C1939" s="36">
        <v>45900</v>
      </c>
      <c r="D1939" s="36" t="s">
        <v>3535</v>
      </c>
      <c r="E1939" s="37">
        <v>38815</v>
      </c>
      <c r="F1939" s="37" t="s">
        <v>4026</v>
      </c>
      <c r="G1939" s="38"/>
      <c r="H1939" s="38">
        <v>1343.69</v>
      </c>
      <c r="I1939" s="37"/>
      <c r="J1939" s="37"/>
      <c r="K1939" s="38"/>
      <c r="L1939" s="38"/>
    </row>
    <row r="1940" spans="2:12" ht="14.5" x14ac:dyDescent="0.35">
      <c r="B1940" s="46" t="s">
        <v>3589</v>
      </c>
      <c r="C1940" s="36">
        <v>45900</v>
      </c>
      <c r="D1940" s="36" t="s">
        <v>3536</v>
      </c>
      <c r="E1940" s="37">
        <v>38818</v>
      </c>
      <c r="F1940" s="37" t="s">
        <v>4026</v>
      </c>
      <c r="G1940" s="38"/>
      <c r="H1940" s="38">
        <v>405.54</v>
      </c>
      <c r="I1940" s="37"/>
      <c r="J1940" s="37"/>
      <c r="K1940" s="38"/>
      <c r="L1940" s="38"/>
    </row>
    <row r="1941" spans="2:12" ht="14.5" x14ac:dyDescent="0.35">
      <c r="B1941" s="46" t="s">
        <v>3589</v>
      </c>
      <c r="C1941" s="36">
        <v>45900</v>
      </c>
      <c r="D1941" s="36" t="s">
        <v>3537</v>
      </c>
      <c r="E1941" s="37">
        <v>38820</v>
      </c>
      <c r="F1941" s="37" t="s">
        <v>4026</v>
      </c>
      <c r="G1941" s="38"/>
      <c r="H1941" s="38">
        <v>73414.359999999986</v>
      </c>
      <c r="I1941" s="37"/>
      <c r="J1941" s="37"/>
      <c r="K1941" s="38"/>
      <c r="L1941" s="38"/>
    </row>
    <row r="1942" spans="2:12" ht="14.5" x14ac:dyDescent="0.35">
      <c r="B1942" s="46" t="s">
        <v>3589</v>
      </c>
      <c r="C1942" s="36">
        <v>45900</v>
      </c>
      <c r="D1942" s="36" t="s">
        <v>3537</v>
      </c>
      <c r="E1942" s="37" t="s">
        <v>3466</v>
      </c>
      <c r="F1942" s="37" t="s">
        <v>4026</v>
      </c>
      <c r="G1942" s="38"/>
      <c r="H1942" s="38">
        <v>2903.2200000000003</v>
      </c>
      <c r="I1942" s="37"/>
      <c r="J1942" s="37"/>
      <c r="K1942" s="38"/>
      <c r="L1942" s="38"/>
    </row>
    <row r="1943" spans="2:12" ht="14.5" x14ac:dyDescent="0.35">
      <c r="B1943" s="46" t="s">
        <v>3589</v>
      </c>
      <c r="C1943" s="36">
        <v>45900</v>
      </c>
      <c r="D1943" s="36" t="s">
        <v>3537</v>
      </c>
      <c r="E1943" s="37" t="s">
        <v>3467</v>
      </c>
      <c r="F1943" s="37" t="s">
        <v>4026</v>
      </c>
      <c r="G1943" s="38"/>
      <c r="H1943" s="38">
        <v>403.5800000000001</v>
      </c>
      <c r="I1943" s="37"/>
      <c r="J1943" s="37"/>
      <c r="K1943" s="38"/>
      <c r="L1943" s="38"/>
    </row>
    <row r="1944" spans="2:12" ht="14.5" x14ac:dyDescent="0.35">
      <c r="B1944" s="46" t="s">
        <v>3589</v>
      </c>
      <c r="C1944" s="36">
        <v>45900</v>
      </c>
      <c r="D1944" s="36" t="s">
        <v>3538</v>
      </c>
      <c r="E1944" s="37">
        <v>38824</v>
      </c>
      <c r="F1944" s="37" t="s">
        <v>4026</v>
      </c>
      <c r="G1944" s="38"/>
      <c r="H1944" s="38">
        <v>176.49</v>
      </c>
      <c r="I1944" s="37"/>
      <c r="J1944" s="37"/>
      <c r="K1944" s="38"/>
      <c r="L1944" s="38"/>
    </row>
    <row r="1945" spans="2:12" ht="14.5" x14ac:dyDescent="0.35">
      <c r="B1945" s="46" t="s">
        <v>3589</v>
      </c>
      <c r="C1945" s="36">
        <v>45900</v>
      </c>
      <c r="D1945" s="36" t="s">
        <v>3539</v>
      </c>
      <c r="E1945" s="37">
        <v>38835</v>
      </c>
      <c r="F1945" s="37" t="s">
        <v>4026</v>
      </c>
      <c r="G1945" s="38"/>
      <c r="H1945" s="38">
        <v>918.16</v>
      </c>
      <c r="I1945" s="37"/>
      <c r="J1945" s="37"/>
      <c r="K1945" s="38"/>
      <c r="L1945" s="38"/>
    </row>
    <row r="1946" spans="2:12" ht="14.5" x14ac:dyDescent="0.35">
      <c r="B1946" s="46" t="s">
        <v>3589</v>
      </c>
      <c r="C1946" s="36">
        <v>45900</v>
      </c>
      <c r="D1946" s="36" t="s">
        <v>3540</v>
      </c>
      <c r="E1946" s="37">
        <v>38842</v>
      </c>
      <c r="F1946" s="37" t="s">
        <v>4026</v>
      </c>
      <c r="G1946" s="38"/>
      <c r="H1946" s="38">
        <v>50021.969999999987</v>
      </c>
      <c r="I1946" s="37"/>
      <c r="J1946" s="37"/>
      <c r="K1946" s="38"/>
      <c r="L1946" s="38"/>
    </row>
    <row r="1947" spans="2:12" ht="14.5" x14ac:dyDescent="0.35">
      <c r="B1947" s="46" t="s">
        <v>3589</v>
      </c>
      <c r="C1947" s="36">
        <v>45900</v>
      </c>
      <c r="D1947" s="36" t="s">
        <v>3497</v>
      </c>
      <c r="E1947" s="37">
        <v>38843</v>
      </c>
      <c r="F1947" s="37" t="s">
        <v>4026</v>
      </c>
      <c r="G1947" s="38"/>
      <c r="H1947" s="38">
        <v>262.65999999999997</v>
      </c>
      <c r="I1947" s="37"/>
      <c r="J1947" s="37"/>
      <c r="K1947" s="38"/>
      <c r="L1947" s="38"/>
    </row>
    <row r="1948" spans="2:12" ht="14.5" x14ac:dyDescent="0.35">
      <c r="B1948" s="46" t="s">
        <v>3589</v>
      </c>
      <c r="C1948" s="36">
        <v>45900</v>
      </c>
      <c r="D1948" s="36" t="s">
        <v>3541</v>
      </c>
      <c r="E1948" s="37">
        <v>38849</v>
      </c>
      <c r="F1948" s="37" t="s">
        <v>4026</v>
      </c>
      <c r="G1948" s="38"/>
      <c r="H1948" s="38">
        <v>21627</v>
      </c>
      <c r="I1948" s="37"/>
      <c r="J1948" s="37"/>
      <c r="K1948" s="38"/>
      <c r="L1948" s="38"/>
    </row>
    <row r="1949" spans="2:12" ht="14.5" x14ac:dyDescent="0.35">
      <c r="B1949" s="46" t="s">
        <v>3589</v>
      </c>
      <c r="C1949" s="36">
        <v>45900</v>
      </c>
      <c r="D1949" s="36" t="s">
        <v>3542</v>
      </c>
      <c r="E1949" s="37">
        <v>38853</v>
      </c>
      <c r="F1949" s="37" t="s">
        <v>4026</v>
      </c>
      <c r="G1949" s="38"/>
      <c r="H1949" s="38">
        <v>1422.12</v>
      </c>
      <c r="I1949" s="37"/>
      <c r="J1949" s="37"/>
      <c r="K1949" s="38"/>
      <c r="L1949" s="38"/>
    </row>
    <row r="1950" spans="2:12" ht="14.5" x14ac:dyDescent="0.35">
      <c r="B1950" s="46" t="s">
        <v>3589</v>
      </c>
      <c r="C1950" s="36">
        <v>45900</v>
      </c>
      <c r="D1950" s="36" t="s">
        <v>3543</v>
      </c>
      <c r="E1950" s="37">
        <v>38854</v>
      </c>
      <c r="F1950" s="37" t="s">
        <v>4026</v>
      </c>
      <c r="G1950" s="38"/>
      <c r="H1950" s="38">
        <v>31862.13</v>
      </c>
      <c r="I1950" s="37"/>
      <c r="J1950" s="37"/>
      <c r="K1950" s="38"/>
      <c r="L1950" s="38"/>
    </row>
    <row r="1951" spans="2:12" ht="14.5" x14ac:dyDescent="0.35">
      <c r="B1951" s="46" t="s">
        <v>3589</v>
      </c>
      <c r="C1951" s="36">
        <v>45900</v>
      </c>
      <c r="D1951" s="36" t="s">
        <v>3544</v>
      </c>
      <c r="E1951" s="37">
        <v>38855</v>
      </c>
      <c r="F1951" s="37" t="s">
        <v>4026</v>
      </c>
      <c r="G1951" s="38"/>
      <c r="H1951" s="38">
        <v>3777.1200000000008</v>
      </c>
      <c r="I1951" s="37"/>
      <c r="J1951" s="37"/>
      <c r="K1951" s="38"/>
      <c r="L1951" s="38"/>
    </row>
    <row r="1952" spans="2:12" ht="14.5" x14ac:dyDescent="0.35">
      <c r="B1952" s="46" t="s">
        <v>3589</v>
      </c>
      <c r="C1952" s="36">
        <v>45900</v>
      </c>
      <c r="D1952" s="36" t="s">
        <v>3545</v>
      </c>
      <c r="E1952" s="37">
        <v>38856</v>
      </c>
      <c r="F1952" s="37" t="s">
        <v>4026</v>
      </c>
      <c r="G1952" s="38"/>
      <c r="H1952" s="38">
        <v>571.71</v>
      </c>
      <c r="I1952" s="37"/>
      <c r="J1952" s="37"/>
      <c r="K1952" s="38"/>
      <c r="L1952" s="38"/>
    </row>
    <row r="1953" spans="2:12" ht="14.5" x14ac:dyDescent="0.35">
      <c r="B1953" s="46" t="s">
        <v>3589</v>
      </c>
      <c r="C1953" s="36">
        <v>45900</v>
      </c>
      <c r="D1953" s="36" t="s">
        <v>3546</v>
      </c>
      <c r="E1953" s="37">
        <v>38865</v>
      </c>
      <c r="F1953" s="37" t="s">
        <v>4026</v>
      </c>
      <c r="G1953" s="38"/>
      <c r="H1953" s="38">
        <v>108</v>
      </c>
      <c r="I1953" s="37"/>
      <c r="J1953" s="37"/>
      <c r="K1953" s="38"/>
      <c r="L1953" s="38"/>
    </row>
    <row r="1954" spans="2:12" ht="14.5" x14ac:dyDescent="0.35">
      <c r="B1954" s="46" t="s">
        <v>3589</v>
      </c>
      <c r="C1954" s="36">
        <v>45900</v>
      </c>
      <c r="D1954" s="36" t="s">
        <v>3547</v>
      </c>
      <c r="E1954" s="37">
        <v>38867</v>
      </c>
      <c r="F1954" s="37" t="s">
        <v>4026</v>
      </c>
      <c r="G1954" s="38"/>
      <c r="H1954" s="38">
        <v>150.11000000000001</v>
      </c>
      <c r="I1954" s="37"/>
      <c r="J1954" s="37"/>
      <c r="K1954" s="38"/>
      <c r="L1954" s="38"/>
    </row>
    <row r="1955" spans="2:12" ht="14.5" x14ac:dyDescent="0.35">
      <c r="B1955" s="46" t="s">
        <v>3589</v>
      </c>
      <c r="C1955" s="36">
        <v>45900</v>
      </c>
      <c r="D1955" s="36" t="s">
        <v>3548</v>
      </c>
      <c r="E1955" s="37">
        <v>38868</v>
      </c>
      <c r="F1955" s="37" t="s">
        <v>4026</v>
      </c>
      <c r="G1955" s="38"/>
      <c r="H1955" s="38">
        <v>722.17000000000007</v>
      </c>
      <c r="I1955" s="37"/>
      <c r="J1955" s="37"/>
      <c r="K1955" s="38"/>
      <c r="L1955" s="38"/>
    </row>
    <row r="1956" spans="2:12" ht="14.5" x14ac:dyDescent="0.35">
      <c r="B1956" s="46" t="s">
        <v>3589</v>
      </c>
      <c r="C1956" s="36">
        <v>45900</v>
      </c>
      <c r="D1956" s="36" t="s">
        <v>3500</v>
      </c>
      <c r="E1956" s="37">
        <v>38871</v>
      </c>
      <c r="F1956" s="37" t="s">
        <v>4026</v>
      </c>
      <c r="G1956" s="38"/>
      <c r="H1956" s="38">
        <v>2757.01</v>
      </c>
      <c r="I1956" s="37"/>
      <c r="J1956" s="37"/>
      <c r="K1956" s="38"/>
      <c r="L1956" s="38"/>
    </row>
    <row r="1957" spans="2:12" ht="14.5" x14ac:dyDescent="0.35">
      <c r="B1957" s="46" t="s">
        <v>3589</v>
      </c>
      <c r="C1957" s="36">
        <v>45900</v>
      </c>
      <c r="D1957" s="36" t="s">
        <v>3536</v>
      </c>
      <c r="E1957" s="37">
        <v>38873</v>
      </c>
      <c r="F1957" s="37" t="s">
        <v>4026</v>
      </c>
      <c r="G1957" s="38"/>
      <c r="H1957" s="38">
        <v>660.59</v>
      </c>
      <c r="I1957" s="37"/>
      <c r="J1957" s="37"/>
      <c r="K1957" s="38"/>
      <c r="L1957" s="38"/>
    </row>
    <row r="1958" spans="2:12" ht="14.5" x14ac:dyDescent="0.35">
      <c r="B1958" s="46" t="s">
        <v>3589</v>
      </c>
      <c r="C1958" s="36">
        <v>45900</v>
      </c>
      <c r="D1958" s="36" t="s">
        <v>1656</v>
      </c>
      <c r="E1958" s="37">
        <v>38880</v>
      </c>
      <c r="F1958" s="37" t="s">
        <v>4026</v>
      </c>
      <c r="G1958" s="38"/>
      <c r="H1958" s="38">
        <v>0</v>
      </c>
      <c r="I1958" s="37"/>
      <c r="J1958" s="37"/>
      <c r="K1958" s="38"/>
      <c r="L1958" s="38"/>
    </row>
    <row r="1959" spans="2:12" ht="14.5" x14ac:dyDescent="0.35">
      <c r="B1959" s="46" t="s">
        <v>3589</v>
      </c>
      <c r="C1959" s="36">
        <v>45900</v>
      </c>
      <c r="D1959" s="36" t="s">
        <v>3545</v>
      </c>
      <c r="E1959" s="37">
        <v>38884</v>
      </c>
      <c r="F1959" s="37" t="s">
        <v>4026</v>
      </c>
      <c r="G1959" s="38"/>
      <c r="H1959" s="38">
        <v>285.86</v>
      </c>
      <c r="I1959" s="37"/>
      <c r="J1959" s="37"/>
      <c r="K1959" s="38"/>
      <c r="L1959" s="38"/>
    </row>
    <row r="1960" spans="2:12" ht="14.5" x14ac:dyDescent="0.35">
      <c r="B1960" s="46" t="s">
        <v>3589</v>
      </c>
      <c r="C1960" s="36">
        <v>45900</v>
      </c>
      <c r="D1960" s="36" t="s">
        <v>3549</v>
      </c>
      <c r="E1960" s="37">
        <v>38904</v>
      </c>
      <c r="F1960" s="37" t="s">
        <v>4026</v>
      </c>
      <c r="G1960" s="38"/>
      <c r="H1960" s="38">
        <v>3153.67</v>
      </c>
      <c r="I1960" s="37"/>
      <c r="J1960" s="37"/>
      <c r="K1960" s="38"/>
      <c r="L1960" s="38"/>
    </row>
    <row r="1961" spans="2:12" ht="14.5" x14ac:dyDescent="0.35">
      <c r="B1961" s="46" t="s">
        <v>3589</v>
      </c>
      <c r="C1961" s="36">
        <v>45900</v>
      </c>
      <c r="D1961" s="36" t="s">
        <v>3550</v>
      </c>
      <c r="E1961" s="37">
        <v>38909</v>
      </c>
      <c r="F1961" s="37" t="s">
        <v>4026</v>
      </c>
      <c r="G1961" s="38"/>
      <c r="H1961" s="38">
        <v>3087.85</v>
      </c>
      <c r="I1961" s="37"/>
      <c r="J1961" s="37"/>
      <c r="K1961" s="38"/>
      <c r="L1961" s="38"/>
    </row>
    <row r="1962" spans="2:12" ht="14.5" x14ac:dyDescent="0.35">
      <c r="B1962" s="46" t="s">
        <v>3589</v>
      </c>
      <c r="C1962" s="36">
        <v>45900</v>
      </c>
      <c r="D1962" s="36" t="s">
        <v>3551</v>
      </c>
      <c r="E1962" s="37">
        <v>38911</v>
      </c>
      <c r="F1962" s="37" t="s">
        <v>4026</v>
      </c>
      <c r="G1962" s="38"/>
      <c r="H1962" s="38">
        <v>510.15999999999997</v>
      </c>
      <c r="I1962" s="37"/>
      <c r="J1962" s="37"/>
      <c r="K1962" s="38"/>
      <c r="L1962" s="38"/>
    </row>
    <row r="1963" spans="2:12" ht="14.5" x14ac:dyDescent="0.35">
      <c r="B1963" s="46" t="s">
        <v>3589</v>
      </c>
      <c r="C1963" s="36">
        <v>45900</v>
      </c>
      <c r="D1963" s="36" t="s">
        <v>3552</v>
      </c>
      <c r="E1963" s="37">
        <v>38912</v>
      </c>
      <c r="F1963" s="37" t="s">
        <v>4026</v>
      </c>
      <c r="G1963" s="38"/>
      <c r="H1963" s="38">
        <v>16186.990000000002</v>
      </c>
      <c r="I1963" s="37"/>
      <c r="J1963" s="37"/>
      <c r="K1963" s="38"/>
      <c r="L1963" s="38"/>
    </row>
    <row r="1964" spans="2:12" ht="14.5" x14ac:dyDescent="0.35">
      <c r="B1964" s="46" t="s">
        <v>3589</v>
      </c>
      <c r="C1964" s="36">
        <v>45900</v>
      </c>
      <c r="D1964" s="36" t="s">
        <v>3553</v>
      </c>
      <c r="E1964" s="37">
        <v>38913</v>
      </c>
      <c r="F1964" s="37" t="s">
        <v>4026</v>
      </c>
      <c r="G1964" s="38"/>
      <c r="H1964" s="38">
        <v>695.77</v>
      </c>
      <c r="I1964" s="37"/>
      <c r="J1964" s="37"/>
      <c r="K1964" s="38"/>
      <c r="L1964" s="38"/>
    </row>
    <row r="1965" spans="2:12" ht="14.5" x14ac:dyDescent="0.35">
      <c r="B1965" s="46" t="s">
        <v>3589</v>
      </c>
      <c r="C1965" s="36">
        <v>45900</v>
      </c>
      <c r="D1965" s="36" t="s">
        <v>3554</v>
      </c>
      <c r="E1965" s="37">
        <v>38915</v>
      </c>
      <c r="F1965" s="37" t="s">
        <v>4026</v>
      </c>
      <c r="G1965" s="38"/>
      <c r="H1965" s="38">
        <v>100.03</v>
      </c>
      <c r="I1965" s="37"/>
      <c r="J1965" s="37"/>
      <c r="K1965" s="38"/>
      <c r="L1965" s="38"/>
    </row>
    <row r="1966" spans="2:12" ht="14.5" x14ac:dyDescent="0.35">
      <c r="B1966" s="46" t="s">
        <v>3589</v>
      </c>
      <c r="C1966" s="36">
        <v>45900</v>
      </c>
      <c r="D1966" s="36" t="s">
        <v>3555</v>
      </c>
      <c r="E1966" s="37">
        <v>38916</v>
      </c>
      <c r="F1966" s="37" t="s">
        <v>4026</v>
      </c>
      <c r="G1966" s="38"/>
      <c r="H1966" s="38">
        <v>61.76</v>
      </c>
      <c r="I1966" s="37"/>
      <c r="J1966" s="37"/>
      <c r="K1966" s="38"/>
      <c r="L1966" s="38"/>
    </row>
    <row r="1967" spans="2:12" ht="14.5" x14ac:dyDescent="0.35">
      <c r="B1967" s="46" t="s">
        <v>3589</v>
      </c>
      <c r="C1967" s="36">
        <v>45900</v>
      </c>
      <c r="D1967" s="36" t="s">
        <v>3556</v>
      </c>
      <c r="E1967" s="37">
        <v>38921</v>
      </c>
      <c r="F1967" s="37" t="s">
        <v>4026</v>
      </c>
      <c r="G1967" s="38"/>
      <c r="H1967" s="38">
        <v>25.8</v>
      </c>
      <c r="I1967" s="37"/>
      <c r="J1967" s="37"/>
      <c r="K1967" s="38"/>
      <c r="L1967" s="38"/>
    </row>
    <row r="1968" spans="2:12" ht="14.5" x14ac:dyDescent="0.35">
      <c r="B1968" s="46" t="s">
        <v>3589</v>
      </c>
      <c r="C1968" s="36">
        <v>45900</v>
      </c>
      <c r="D1968" s="36" t="s">
        <v>3557</v>
      </c>
      <c r="E1968" s="37">
        <v>38942</v>
      </c>
      <c r="F1968" s="37" t="s">
        <v>4026</v>
      </c>
      <c r="G1968" s="38"/>
      <c r="H1968" s="38">
        <v>219.74</v>
      </c>
      <c r="I1968" s="37"/>
      <c r="J1968" s="37"/>
      <c r="K1968" s="38"/>
      <c r="L1968" s="38"/>
    </row>
    <row r="1969" spans="2:12" ht="14.5" x14ac:dyDescent="0.35">
      <c r="B1969" s="46" t="s">
        <v>3589</v>
      </c>
      <c r="C1969" s="36">
        <v>45900</v>
      </c>
      <c r="D1969" s="36" t="s">
        <v>3558</v>
      </c>
      <c r="E1969" s="37">
        <v>38946</v>
      </c>
      <c r="F1969" s="37" t="s">
        <v>4026</v>
      </c>
      <c r="G1969" s="38"/>
      <c r="H1969" s="38">
        <v>1200</v>
      </c>
      <c r="I1969" s="37"/>
      <c r="J1969" s="37"/>
      <c r="K1969" s="38"/>
      <c r="L1969" s="38"/>
    </row>
    <row r="1970" spans="2:12" ht="14.5" x14ac:dyDescent="0.35">
      <c r="B1970" s="46" t="s">
        <v>3589</v>
      </c>
      <c r="C1970" s="36">
        <v>45900</v>
      </c>
      <c r="D1970" s="36" t="s">
        <v>3559</v>
      </c>
      <c r="E1970" s="37">
        <v>38957</v>
      </c>
      <c r="F1970" s="37" t="s">
        <v>4026</v>
      </c>
      <c r="G1970" s="38"/>
      <c r="H1970" s="38">
        <v>314.96000000000004</v>
      </c>
      <c r="I1970" s="37"/>
      <c r="J1970" s="37"/>
      <c r="K1970" s="38"/>
      <c r="L1970" s="38"/>
    </row>
    <row r="1971" spans="2:12" ht="14.5" x14ac:dyDescent="0.35">
      <c r="B1971" s="46" t="s">
        <v>3589</v>
      </c>
      <c r="C1971" s="36">
        <v>45900</v>
      </c>
      <c r="D1971" s="36" t="s">
        <v>3560</v>
      </c>
      <c r="E1971" s="37">
        <v>38962</v>
      </c>
      <c r="F1971" s="37" t="s">
        <v>4026</v>
      </c>
      <c r="G1971" s="38"/>
      <c r="H1971" s="38">
        <v>76.08</v>
      </c>
      <c r="I1971" s="37"/>
      <c r="J1971" s="37"/>
      <c r="K1971" s="38"/>
      <c r="L1971" s="38"/>
    </row>
    <row r="1972" spans="2:12" ht="14.5" x14ac:dyDescent="0.35">
      <c r="B1972" s="46" t="s">
        <v>3589</v>
      </c>
      <c r="C1972" s="36">
        <v>45900</v>
      </c>
      <c r="D1972" s="36" t="s">
        <v>714</v>
      </c>
      <c r="E1972" s="37">
        <v>14658649</v>
      </c>
      <c r="F1972" s="37" t="s">
        <v>4026</v>
      </c>
      <c r="G1972" s="38"/>
      <c r="H1972" s="38">
        <v>0</v>
      </c>
      <c r="I1972" s="37"/>
      <c r="J1972" s="37"/>
      <c r="K1972" s="38"/>
      <c r="L1972" s="38"/>
    </row>
    <row r="1973" spans="2:12" ht="14.5" x14ac:dyDescent="0.35">
      <c r="B1973" s="46" t="s">
        <v>3589</v>
      </c>
      <c r="C1973" s="36">
        <v>45900</v>
      </c>
      <c r="D1973" s="36" t="s">
        <v>3561</v>
      </c>
      <c r="E1973" s="37">
        <v>38963</v>
      </c>
      <c r="F1973" s="37" t="s">
        <v>4026</v>
      </c>
      <c r="G1973" s="38"/>
      <c r="H1973" s="38">
        <v>53.91</v>
      </c>
      <c r="I1973" s="37"/>
      <c r="J1973" s="37"/>
      <c r="K1973" s="38"/>
      <c r="L1973" s="38"/>
    </row>
    <row r="1974" spans="2:12" ht="14.5" x14ac:dyDescent="0.35">
      <c r="B1974" s="46" t="s">
        <v>3589</v>
      </c>
      <c r="C1974" s="36">
        <v>45900</v>
      </c>
      <c r="D1974" s="36" t="s">
        <v>3562</v>
      </c>
      <c r="E1974" s="37">
        <v>38965</v>
      </c>
      <c r="F1974" s="37" t="s">
        <v>4026</v>
      </c>
      <c r="G1974" s="38"/>
      <c r="H1974" s="38">
        <v>175</v>
      </c>
      <c r="I1974" s="37"/>
      <c r="J1974" s="37"/>
      <c r="K1974" s="38"/>
      <c r="L1974" s="38"/>
    </row>
    <row r="1975" spans="2:12" ht="14.5" x14ac:dyDescent="0.35">
      <c r="B1975" s="46" t="s">
        <v>3589</v>
      </c>
      <c r="C1975" s="36">
        <v>45900</v>
      </c>
      <c r="D1975" s="36" t="s">
        <v>3563</v>
      </c>
      <c r="E1975" s="37">
        <v>38974</v>
      </c>
      <c r="F1975" s="37" t="s">
        <v>4026</v>
      </c>
      <c r="G1975" s="38"/>
      <c r="H1975" s="38">
        <v>347.88</v>
      </c>
      <c r="I1975" s="37"/>
      <c r="J1975" s="37"/>
      <c r="K1975" s="38"/>
      <c r="L1975" s="38"/>
    </row>
    <row r="1976" spans="2:12" ht="14.5" x14ac:dyDescent="0.35">
      <c r="B1976" s="46" t="s">
        <v>3589</v>
      </c>
      <c r="C1976" s="36">
        <v>45900</v>
      </c>
      <c r="D1976" s="36" t="s">
        <v>1840</v>
      </c>
      <c r="E1976" s="37">
        <v>38984</v>
      </c>
      <c r="F1976" s="37" t="s">
        <v>4026</v>
      </c>
      <c r="G1976" s="38"/>
      <c r="H1976" s="38">
        <v>5711.34</v>
      </c>
      <c r="I1976" s="37"/>
      <c r="J1976" s="37"/>
      <c r="K1976" s="38"/>
      <c r="L1976" s="38"/>
    </row>
    <row r="1977" spans="2:12" ht="14.5" x14ac:dyDescent="0.35">
      <c r="B1977" s="46" t="s">
        <v>3589</v>
      </c>
      <c r="C1977" s="36">
        <v>45900</v>
      </c>
      <c r="D1977" s="36" t="s">
        <v>3564</v>
      </c>
      <c r="E1977" s="37">
        <v>38985</v>
      </c>
      <c r="F1977" s="37" t="s">
        <v>4026</v>
      </c>
      <c r="G1977" s="38"/>
      <c r="H1977" s="38">
        <v>391.98</v>
      </c>
      <c r="I1977" s="37"/>
      <c r="J1977" s="37"/>
      <c r="K1977" s="38"/>
      <c r="L1977" s="38"/>
    </row>
    <row r="1978" spans="2:12" ht="14.5" x14ac:dyDescent="0.35">
      <c r="B1978" s="46" t="s">
        <v>3589</v>
      </c>
      <c r="C1978" s="36">
        <v>45900</v>
      </c>
      <c r="D1978" s="36" t="s">
        <v>2258</v>
      </c>
      <c r="E1978" s="37">
        <v>38992</v>
      </c>
      <c r="F1978" s="37" t="s">
        <v>4026</v>
      </c>
      <c r="G1978" s="38"/>
      <c r="H1978" s="38">
        <v>6350.72</v>
      </c>
      <c r="I1978" s="37"/>
      <c r="J1978" s="37"/>
      <c r="K1978" s="38"/>
      <c r="L1978" s="38"/>
    </row>
    <row r="1979" spans="2:12" ht="14.5" x14ac:dyDescent="0.35">
      <c r="B1979" s="46" t="s">
        <v>3589</v>
      </c>
      <c r="C1979" s="36">
        <v>45900</v>
      </c>
      <c r="D1979" s="36" t="s">
        <v>1924</v>
      </c>
      <c r="E1979" s="37">
        <v>38997</v>
      </c>
      <c r="F1979" s="37" t="s">
        <v>4026</v>
      </c>
      <c r="G1979" s="38"/>
      <c r="H1979" s="38">
        <v>11695.460000000001</v>
      </c>
      <c r="I1979" s="37"/>
      <c r="J1979" s="37"/>
      <c r="K1979" s="38"/>
      <c r="L1979" s="38"/>
    </row>
    <row r="1980" spans="2:12" ht="14.5" x14ac:dyDescent="0.35">
      <c r="B1980" s="46" t="s">
        <v>3589</v>
      </c>
      <c r="C1980" s="36">
        <v>45900</v>
      </c>
      <c r="D1980" s="36" t="s">
        <v>3565</v>
      </c>
      <c r="E1980" s="37">
        <v>38998</v>
      </c>
      <c r="F1980" s="37" t="s">
        <v>4026</v>
      </c>
      <c r="G1980" s="38"/>
      <c r="H1980" s="38">
        <v>1406.44</v>
      </c>
      <c r="I1980" s="37"/>
      <c r="J1980" s="37"/>
      <c r="K1980" s="38"/>
      <c r="L1980" s="38"/>
    </row>
    <row r="1981" spans="2:12" ht="14.5" x14ac:dyDescent="0.35">
      <c r="B1981" s="46" t="s">
        <v>3589</v>
      </c>
      <c r="C1981" s="36">
        <v>45900</v>
      </c>
      <c r="D1981" s="36" t="s">
        <v>3566</v>
      </c>
      <c r="E1981" s="37">
        <v>39003</v>
      </c>
      <c r="F1981" s="37" t="s">
        <v>4026</v>
      </c>
      <c r="G1981" s="38"/>
      <c r="H1981" s="38">
        <v>6474.2999999999993</v>
      </c>
      <c r="I1981" s="37"/>
      <c r="J1981" s="37"/>
      <c r="K1981" s="38"/>
      <c r="L1981" s="38"/>
    </row>
    <row r="1982" spans="2:12" ht="14.5" x14ac:dyDescent="0.35">
      <c r="B1982" s="46" t="s">
        <v>3589</v>
      </c>
      <c r="C1982" s="36">
        <v>45900</v>
      </c>
      <c r="D1982" s="36" t="s">
        <v>3565</v>
      </c>
      <c r="E1982" s="37">
        <v>39009</v>
      </c>
      <c r="F1982" s="37" t="s">
        <v>4026</v>
      </c>
      <c r="G1982" s="38"/>
      <c r="H1982" s="38">
        <v>2707.93</v>
      </c>
      <c r="I1982" s="37"/>
      <c r="J1982" s="37"/>
      <c r="K1982" s="38"/>
      <c r="L1982" s="38"/>
    </row>
    <row r="1983" spans="2:12" ht="14.5" x14ac:dyDescent="0.35">
      <c r="B1983" s="46" t="s">
        <v>3589</v>
      </c>
      <c r="C1983" s="36">
        <v>45900</v>
      </c>
      <c r="D1983" s="36" t="s">
        <v>3567</v>
      </c>
      <c r="E1983" s="37">
        <v>39063</v>
      </c>
      <c r="F1983" s="37" t="s">
        <v>4026</v>
      </c>
      <c r="G1983" s="38"/>
      <c r="H1983" s="38">
        <v>1684.42</v>
      </c>
      <c r="I1983" s="37"/>
      <c r="J1983" s="37"/>
      <c r="K1983" s="38"/>
      <c r="L1983" s="38"/>
    </row>
    <row r="1984" spans="2:12" ht="14.5" x14ac:dyDescent="0.35">
      <c r="B1984" s="46" t="s">
        <v>3589</v>
      </c>
      <c r="C1984" s="36">
        <v>45900</v>
      </c>
      <c r="D1984" s="36" t="s">
        <v>3544</v>
      </c>
      <c r="E1984" s="37">
        <v>39073</v>
      </c>
      <c r="F1984" s="37" t="s">
        <v>4026</v>
      </c>
      <c r="G1984" s="38"/>
      <c r="H1984" s="38">
        <v>4815.2199999999993</v>
      </c>
      <c r="I1984" s="37"/>
      <c r="J1984" s="37"/>
      <c r="K1984" s="38"/>
      <c r="L1984" s="38"/>
    </row>
    <row r="1985" spans="2:12" ht="14.5" x14ac:dyDescent="0.35">
      <c r="B1985" s="46" t="s">
        <v>3589</v>
      </c>
      <c r="C1985" s="36">
        <v>45900</v>
      </c>
      <c r="D1985" s="36" t="s">
        <v>3544</v>
      </c>
      <c r="E1985" s="37">
        <v>39074</v>
      </c>
      <c r="F1985" s="37" t="s">
        <v>4026</v>
      </c>
      <c r="G1985" s="38"/>
      <c r="H1985" s="38">
        <v>7195.48</v>
      </c>
      <c r="I1985" s="37"/>
      <c r="J1985" s="37"/>
      <c r="K1985" s="38"/>
      <c r="L1985" s="38"/>
    </row>
    <row r="1986" spans="2:12" ht="14.5" x14ac:dyDescent="0.35">
      <c r="B1986" s="46" t="s">
        <v>3589</v>
      </c>
      <c r="C1986" s="36">
        <v>45900</v>
      </c>
      <c r="D1986" s="36" t="s">
        <v>2459</v>
      </c>
      <c r="E1986" s="37">
        <v>39084</v>
      </c>
      <c r="F1986" s="37" t="s">
        <v>4026</v>
      </c>
      <c r="G1986" s="38"/>
      <c r="H1986" s="38">
        <v>6264.45</v>
      </c>
      <c r="I1986" s="37"/>
      <c r="J1986" s="37"/>
      <c r="K1986" s="38"/>
      <c r="L1986" s="38"/>
    </row>
    <row r="1987" spans="2:12" ht="14.5" x14ac:dyDescent="0.35">
      <c r="B1987" s="46" t="s">
        <v>3589</v>
      </c>
      <c r="C1987" s="36">
        <v>45900</v>
      </c>
      <c r="D1987" s="36" t="s">
        <v>301</v>
      </c>
      <c r="E1987" s="37">
        <v>39086</v>
      </c>
      <c r="F1987" s="37" t="s">
        <v>4026</v>
      </c>
      <c r="G1987" s="38"/>
      <c r="H1987" s="38">
        <v>29633.089999999986</v>
      </c>
      <c r="I1987" s="37"/>
      <c r="J1987" s="37"/>
      <c r="K1987" s="38"/>
      <c r="L1987" s="38"/>
    </row>
    <row r="1988" spans="2:12" ht="14.5" x14ac:dyDescent="0.35">
      <c r="B1988" s="46" t="s">
        <v>3589</v>
      </c>
      <c r="C1988" s="36">
        <v>45900</v>
      </c>
      <c r="D1988" s="36" t="s">
        <v>301</v>
      </c>
      <c r="E1988" s="37" t="s">
        <v>3471</v>
      </c>
      <c r="F1988" s="37" t="s">
        <v>4026</v>
      </c>
      <c r="G1988" s="38"/>
      <c r="H1988" s="38">
        <v>58633.30999999999</v>
      </c>
      <c r="I1988" s="37"/>
      <c r="J1988" s="37"/>
      <c r="K1988" s="38"/>
      <c r="L1988" s="38"/>
    </row>
    <row r="1989" spans="2:12" ht="14.5" x14ac:dyDescent="0.35">
      <c r="B1989" s="46" t="s">
        <v>3589</v>
      </c>
      <c r="C1989" s="36">
        <v>45900</v>
      </c>
      <c r="D1989" s="36" t="s">
        <v>3568</v>
      </c>
      <c r="E1989" s="37">
        <v>39088</v>
      </c>
      <c r="F1989" s="37" t="s">
        <v>4026</v>
      </c>
      <c r="G1989" s="38"/>
      <c r="H1989" s="38">
        <v>6646.87</v>
      </c>
      <c r="I1989" s="37"/>
      <c r="J1989" s="37"/>
      <c r="K1989" s="38"/>
      <c r="L1989" s="38"/>
    </row>
    <row r="1990" spans="2:12" ht="14.5" x14ac:dyDescent="0.35">
      <c r="B1990" s="46" t="s">
        <v>3589</v>
      </c>
      <c r="C1990" s="36">
        <v>45900</v>
      </c>
      <c r="D1990" s="36" t="s">
        <v>3500</v>
      </c>
      <c r="E1990" s="37">
        <v>39089</v>
      </c>
      <c r="F1990" s="37" t="s">
        <v>4026</v>
      </c>
      <c r="G1990" s="38"/>
      <c r="H1990" s="38">
        <v>367.06</v>
      </c>
      <c r="I1990" s="37"/>
      <c r="J1990" s="37"/>
      <c r="K1990" s="38"/>
      <c r="L1990" s="38"/>
    </row>
    <row r="1991" spans="2:12" ht="14.5" x14ac:dyDescent="0.35">
      <c r="B1991" s="46" t="s">
        <v>3589</v>
      </c>
      <c r="C1991" s="36">
        <v>45900</v>
      </c>
      <c r="D1991" s="36" t="s">
        <v>992</v>
      </c>
      <c r="E1991" s="37">
        <v>39091</v>
      </c>
      <c r="F1991" s="37" t="s">
        <v>4026</v>
      </c>
      <c r="G1991" s="38"/>
      <c r="H1991" s="38">
        <v>198.76</v>
      </c>
      <c r="I1991" s="37"/>
      <c r="J1991" s="37"/>
      <c r="K1991" s="38"/>
      <c r="L1991" s="38"/>
    </row>
    <row r="1992" spans="2:12" ht="14.5" x14ac:dyDescent="0.35">
      <c r="B1992" s="46" t="s">
        <v>3589</v>
      </c>
      <c r="C1992" s="36">
        <v>45900</v>
      </c>
      <c r="D1992" s="36" t="s">
        <v>3481</v>
      </c>
      <c r="E1992" s="37">
        <v>39092</v>
      </c>
      <c r="F1992" s="37" t="s">
        <v>4026</v>
      </c>
      <c r="G1992" s="38"/>
      <c r="H1992" s="38">
        <v>29466.970000000012</v>
      </c>
      <c r="I1992" s="37"/>
      <c r="J1992" s="37"/>
      <c r="K1992" s="38"/>
      <c r="L1992" s="38"/>
    </row>
    <row r="1993" spans="2:12" ht="14.5" x14ac:dyDescent="0.35">
      <c r="B1993" s="46" t="s">
        <v>3589</v>
      </c>
      <c r="C1993" s="36">
        <v>45900</v>
      </c>
      <c r="D1993" s="36" t="s">
        <v>2892</v>
      </c>
      <c r="E1993" s="37">
        <v>39093</v>
      </c>
      <c r="F1993" s="37" t="s">
        <v>4026</v>
      </c>
      <c r="G1993" s="38"/>
      <c r="H1993" s="38">
        <v>1044.99</v>
      </c>
      <c r="I1993" s="37"/>
      <c r="J1993" s="37"/>
      <c r="K1993" s="38"/>
      <c r="L1993" s="38"/>
    </row>
    <row r="1994" spans="2:12" ht="14.5" x14ac:dyDescent="0.35">
      <c r="B1994" s="46" t="s">
        <v>3589</v>
      </c>
      <c r="C1994" s="36">
        <v>45900</v>
      </c>
      <c r="D1994" s="36" t="s">
        <v>1334</v>
      </c>
      <c r="E1994" s="37">
        <v>39094</v>
      </c>
      <c r="F1994" s="37" t="s">
        <v>4026</v>
      </c>
      <c r="G1994" s="38"/>
      <c r="H1994" s="38">
        <v>7903.0999999999995</v>
      </c>
      <c r="I1994" s="37"/>
      <c r="J1994" s="37"/>
      <c r="K1994" s="38"/>
      <c r="L1994" s="38"/>
    </row>
    <row r="1995" spans="2:12" ht="14.5" x14ac:dyDescent="0.35">
      <c r="B1995" s="46" t="s">
        <v>3589</v>
      </c>
      <c r="C1995" s="36">
        <v>45900</v>
      </c>
      <c r="D1995" s="36" t="s">
        <v>1358</v>
      </c>
      <c r="E1995" s="37">
        <v>39095</v>
      </c>
      <c r="F1995" s="37" t="s">
        <v>4026</v>
      </c>
      <c r="G1995" s="38"/>
      <c r="H1995" s="38">
        <v>419.52</v>
      </c>
      <c r="I1995" s="37"/>
      <c r="J1995" s="37"/>
      <c r="K1995" s="38"/>
      <c r="L1995" s="38"/>
    </row>
    <row r="1996" spans="2:12" ht="14.5" x14ac:dyDescent="0.35">
      <c r="B1996" s="46" t="s">
        <v>3589</v>
      </c>
      <c r="C1996" s="36">
        <v>45900</v>
      </c>
      <c r="D1996" s="36" t="s">
        <v>1371</v>
      </c>
      <c r="E1996" s="37">
        <v>39096</v>
      </c>
      <c r="F1996" s="37" t="s">
        <v>4026</v>
      </c>
      <c r="G1996" s="38"/>
      <c r="H1996" s="38">
        <v>2153.42</v>
      </c>
      <c r="I1996" s="37"/>
      <c r="J1996" s="37"/>
      <c r="K1996" s="38"/>
      <c r="L1996" s="38"/>
    </row>
    <row r="1997" spans="2:12" ht="14.5" x14ac:dyDescent="0.35">
      <c r="B1997" s="46" t="s">
        <v>3589</v>
      </c>
      <c r="C1997" s="36">
        <v>45900</v>
      </c>
      <c r="D1997" s="36" t="s">
        <v>1376</v>
      </c>
      <c r="E1997" s="37">
        <v>39097</v>
      </c>
      <c r="F1997" s="37" t="s">
        <v>4026</v>
      </c>
      <c r="G1997" s="38"/>
      <c r="H1997" s="38">
        <v>12.05</v>
      </c>
      <c r="I1997" s="37"/>
      <c r="J1997" s="37"/>
      <c r="K1997" s="38"/>
      <c r="L1997" s="38"/>
    </row>
    <row r="1998" spans="2:12" ht="14.5" x14ac:dyDescent="0.35">
      <c r="B1998" s="46" t="s">
        <v>3589</v>
      </c>
      <c r="C1998" s="36">
        <v>45900</v>
      </c>
      <c r="D1998" s="36" t="s">
        <v>1426</v>
      </c>
      <c r="E1998" s="37">
        <v>39098</v>
      </c>
      <c r="F1998" s="37" t="s">
        <v>4026</v>
      </c>
      <c r="G1998" s="38"/>
      <c r="H1998" s="38">
        <v>6120.17</v>
      </c>
      <c r="I1998" s="37"/>
      <c r="J1998" s="37"/>
      <c r="K1998" s="38"/>
      <c r="L1998" s="38"/>
    </row>
    <row r="1999" spans="2:12" ht="14.5" x14ac:dyDescent="0.35">
      <c r="B1999" s="46" t="s">
        <v>3589</v>
      </c>
      <c r="C1999" s="36">
        <v>45900</v>
      </c>
      <c r="D1999" s="36" t="s">
        <v>3474</v>
      </c>
      <c r="E1999" s="37">
        <v>39099</v>
      </c>
      <c r="F1999" s="37" t="s">
        <v>4026</v>
      </c>
      <c r="G1999" s="38"/>
      <c r="H1999" s="38">
        <v>8003.11</v>
      </c>
      <c r="I1999" s="37"/>
      <c r="J1999" s="37"/>
      <c r="K1999" s="38"/>
      <c r="L1999" s="38"/>
    </row>
    <row r="2000" spans="2:12" ht="14.5" x14ac:dyDescent="0.35">
      <c r="B2000" s="46" t="s">
        <v>3589</v>
      </c>
      <c r="C2000" s="36">
        <v>45900</v>
      </c>
      <c r="D2000" s="36" t="s">
        <v>3569</v>
      </c>
      <c r="E2000" s="37">
        <v>39100</v>
      </c>
      <c r="F2000" s="37" t="s">
        <v>4026</v>
      </c>
      <c r="G2000" s="38"/>
      <c r="H2000" s="38">
        <v>612.88</v>
      </c>
      <c r="I2000" s="37"/>
      <c r="J2000" s="37"/>
      <c r="K2000" s="38"/>
      <c r="L2000" s="38"/>
    </row>
    <row r="2001" spans="2:12" ht="14.5" x14ac:dyDescent="0.35">
      <c r="B2001" s="46" t="s">
        <v>3589</v>
      </c>
      <c r="C2001" s="36">
        <v>45900</v>
      </c>
      <c r="D2001" s="36" t="s">
        <v>3554</v>
      </c>
      <c r="E2001" s="37">
        <v>39101</v>
      </c>
      <c r="F2001" s="37" t="s">
        <v>4026</v>
      </c>
      <c r="G2001" s="38"/>
      <c r="H2001" s="38">
        <v>18</v>
      </c>
      <c r="I2001" s="37"/>
      <c r="J2001" s="37"/>
      <c r="K2001" s="38"/>
      <c r="L2001" s="38"/>
    </row>
    <row r="2002" spans="2:12" ht="14.5" x14ac:dyDescent="0.35">
      <c r="B2002" s="46" t="s">
        <v>3589</v>
      </c>
      <c r="C2002" s="36">
        <v>45900</v>
      </c>
      <c r="D2002" s="36" t="s">
        <v>3570</v>
      </c>
      <c r="E2002" s="37">
        <v>39102</v>
      </c>
      <c r="F2002" s="37" t="s">
        <v>4026</v>
      </c>
      <c r="G2002" s="38"/>
      <c r="H2002" s="38">
        <v>11734.369999999999</v>
      </c>
      <c r="I2002" s="37"/>
      <c r="J2002" s="37"/>
      <c r="K2002" s="38"/>
      <c r="L2002" s="38"/>
    </row>
    <row r="2003" spans="2:12" ht="14.5" x14ac:dyDescent="0.35">
      <c r="B2003" s="46" t="s">
        <v>3589</v>
      </c>
      <c r="C2003" s="36">
        <v>45900</v>
      </c>
      <c r="D2003" s="36" t="s">
        <v>1656</v>
      </c>
      <c r="E2003" s="37">
        <v>39103</v>
      </c>
      <c r="F2003" s="37" t="s">
        <v>4026</v>
      </c>
      <c r="G2003" s="38"/>
      <c r="H2003" s="38">
        <v>7479.1600000000008</v>
      </c>
      <c r="I2003" s="37"/>
      <c r="J2003" s="37"/>
      <c r="K2003" s="38"/>
      <c r="L2003" s="38"/>
    </row>
    <row r="2004" spans="2:12" ht="14.5" x14ac:dyDescent="0.35">
      <c r="B2004" s="46" t="s">
        <v>3589</v>
      </c>
      <c r="C2004" s="36">
        <v>45900</v>
      </c>
      <c r="D2004" s="36" t="s">
        <v>2906</v>
      </c>
      <c r="E2004" s="37">
        <v>39104</v>
      </c>
      <c r="F2004" s="37" t="s">
        <v>4026</v>
      </c>
      <c r="G2004" s="38"/>
      <c r="H2004" s="38">
        <v>1242.3200000000002</v>
      </c>
      <c r="I2004" s="37"/>
      <c r="J2004" s="37"/>
      <c r="K2004" s="38"/>
      <c r="L2004" s="38"/>
    </row>
    <row r="2005" spans="2:12" ht="14.5" x14ac:dyDescent="0.35">
      <c r="B2005" s="46" t="s">
        <v>3589</v>
      </c>
      <c r="C2005" s="36">
        <v>45900</v>
      </c>
      <c r="D2005" s="36" t="s">
        <v>3534</v>
      </c>
      <c r="E2005" s="37">
        <v>39105</v>
      </c>
      <c r="F2005" s="37" t="s">
        <v>4026</v>
      </c>
      <c r="G2005" s="38"/>
      <c r="H2005" s="38">
        <v>1225.57</v>
      </c>
      <c r="I2005" s="37"/>
      <c r="J2005" s="37"/>
      <c r="K2005" s="38"/>
      <c r="L2005" s="38"/>
    </row>
    <row r="2006" spans="2:12" ht="14.5" x14ac:dyDescent="0.35">
      <c r="B2006" s="46" t="s">
        <v>3589</v>
      </c>
      <c r="C2006" s="36">
        <v>45900</v>
      </c>
      <c r="D2006" s="36" t="s">
        <v>3571</v>
      </c>
      <c r="E2006" s="37">
        <v>39106</v>
      </c>
      <c r="F2006" s="37" t="s">
        <v>4026</v>
      </c>
      <c r="G2006" s="38"/>
      <c r="H2006" s="38">
        <v>93.44</v>
      </c>
      <c r="I2006" s="37"/>
      <c r="J2006" s="37"/>
      <c r="K2006" s="38"/>
      <c r="L2006" s="38"/>
    </row>
    <row r="2007" spans="2:12" ht="14.5" x14ac:dyDescent="0.35">
      <c r="B2007" s="46" t="s">
        <v>3589</v>
      </c>
      <c r="C2007" s="36">
        <v>45900</v>
      </c>
      <c r="D2007" s="36" t="s">
        <v>3230</v>
      </c>
      <c r="E2007" s="37">
        <v>39107</v>
      </c>
      <c r="F2007" s="37" t="s">
        <v>4026</v>
      </c>
      <c r="G2007" s="38"/>
      <c r="H2007" s="38">
        <v>108369.32000000002</v>
      </c>
      <c r="I2007" s="37"/>
      <c r="J2007" s="37"/>
      <c r="K2007" s="38"/>
      <c r="L2007" s="38"/>
    </row>
    <row r="2008" spans="2:12" ht="14.5" x14ac:dyDescent="0.35">
      <c r="B2008" s="46" t="s">
        <v>3589</v>
      </c>
      <c r="C2008" s="36">
        <v>45900</v>
      </c>
      <c r="D2008" s="36" t="s">
        <v>2467</v>
      </c>
      <c r="E2008" s="37">
        <v>39108</v>
      </c>
      <c r="F2008" s="37" t="s">
        <v>4026</v>
      </c>
      <c r="G2008" s="38"/>
      <c r="H2008" s="38">
        <v>33038.870000000003</v>
      </c>
      <c r="I2008" s="37"/>
      <c r="J2008" s="37"/>
      <c r="K2008" s="38"/>
      <c r="L2008" s="38"/>
    </row>
    <row r="2009" spans="2:12" ht="14.5" x14ac:dyDescent="0.35">
      <c r="B2009" s="46" t="s">
        <v>3589</v>
      </c>
      <c r="C2009" s="36">
        <v>45900</v>
      </c>
      <c r="D2009" s="36" t="s">
        <v>1839</v>
      </c>
      <c r="E2009" s="37">
        <v>39109</v>
      </c>
      <c r="F2009" s="37" t="s">
        <v>4026</v>
      </c>
      <c r="G2009" s="38"/>
      <c r="H2009" s="38">
        <v>5616.6100000000006</v>
      </c>
      <c r="I2009" s="37"/>
      <c r="J2009" s="37"/>
      <c r="K2009" s="38"/>
      <c r="L2009" s="38"/>
    </row>
    <row r="2010" spans="2:12" ht="14.5" x14ac:dyDescent="0.35">
      <c r="B2010" s="46" t="s">
        <v>3589</v>
      </c>
      <c r="C2010" s="36">
        <v>45900</v>
      </c>
      <c r="D2010" s="36" t="s">
        <v>1919</v>
      </c>
      <c r="E2010" s="37">
        <v>39110</v>
      </c>
      <c r="F2010" s="37" t="s">
        <v>4026</v>
      </c>
      <c r="G2010" s="38"/>
      <c r="H2010" s="38">
        <v>359.2</v>
      </c>
      <c r="I2010" s="37"/>
      <c r="J2010" s="37"/>
      <c r="K2010" s="38"/>
      <c r="L2010" s="38"/>
    </row>
    <row r="2011" spans="2:12" ht="14.5" x14ac:dyDescent="0.35">
      <c r="B2011" s="46" t="s">
        <v>3589</v>
      </c>
      <c r="C2011" s="36">
        <v>45900</v>
      </c>
      <c r="D2011" s="36" t="s">
        <v>1999</v>
      </c>
      <c r="E2011" s="37">
        <v>39111</v>
      </c>
      <c r="F2011" s="37" t="s">
        <v>4026</v>
      </c>
      <c r="G2011" s="38"/>
      <c r="H2011" s="38">
        <v>74594.319999999992</v>
      </c>
      <c r="I2011" s="37"/>
      <c r="J2011" s="37"/>
      <c r="K2011" s="38"/>
      <c r="L2011" s="38"/>
    </row>
    <row r="2012" spans="2:12" ht="14.5" x14ac:dyDescent="0.35">
      <c r="B2012" s="46" t="s">
        <v>3589</v>
      </c>
      <c r="C2012" s="36">
        <v>45900</v>
      </c>
      <c r="D2012" s="36" t="s">
        <v>2555</v>
      </c>
      <c r="E2012" s="37">
        <v>39112</v>
      </c>
      <c r="F2012" s="37" t="s">
        <v>4026</v>
      </c>
      <c r="G2012" s="38"/>
      <c r="H2012" s="38">
        <v>8199.75</v>
      </c>
      <c r="I2012" s="37"/>
      <c r="J2012" s="37"/>
      <c r="K2012" s="38"/>
      <c r="L2012" s="38"/>
    </row>
    <row r="2013" spans="2:12" ht="14.5" x14ac:dyDescent="0.35">
      <c r="B2013" s="46" t="s">
        <v>3589</v>
      </c>
      <c r="C2013" s="36">
        <v>45900</v>
      </c>
      <c r="D2013" s="36" t="s">
        <v>2846</v>
      </c>
      <c r="E2013" s="37">
        <v>39113</v>
      </c>
      <c r="F2013" s="37" t="s">
        <v>4026</v>
      </c>
      <c r="G2013" s="38"/>
      <c r="H2013" s="38">
        <v>5665.88</v>
      </c>
      <c r="I2013" s="37"/>
      <c r="J2013" s="37"/>
      <c r="K2013" s="38"/>
      <c r="L2013" s="38"/>
    </row>
    <row r="2014" spans="2:12" ht="14.5" x14ac:dyDescent="0.35">
      <c r="B2014" s="46" t="s">
        <v>3589</v>
      </c>
      <c r="C2014" s="36">
        <v>45900</v>
      </c>
      <c r="D2014" s="36" t="s">
        <v>2027</v>
      </c>
      <c r="E2014" s="37">
        <v>39114</v>
      </c>
      <c r="F2014" s="37" t="s">
        <v>4026</v>
      </c>
      <c r="G2014" s="38"/>
      <c r="H2014" s="38">
        <v>22879.89</v>
      </c>
      <c r="I2014" s="37"/>
      <c r="J2014" s="37"/>
      <c r="K2014" s="38"/>
      <c r="L2014" s="38"/>
    </row>
    <row r="2015" spans="2:12" ht="14.5" x14ac:dyDescent="0.35">
      <c r="B2015" s="46" t="s">
        <v>3589</v>
      </c>
      <c r="C2015" s="36">
        <v>45900</v>
      </c>
      <c r="D2015" s="36" t="s">
        <v>2067</v>
      </c>
      <c r="E2015" s="37">
        <v>39115</v>
      </c>
      <c r="F2015" s="37" t="s">
        <v>4026</v>
      </c>
      <c r="G2015" s="38"/>
      <c r="H2015" s="38">
        <v>42631.83</v>
      </c>
      <c r="I2015" s="37"/>
      <c r="J2015" s="37"/>
      <c r="K2015" s="38"/>
      <c r="L2015" s="38"/>
    </row>
    <row r="2016" spans="2:12" ht="14.5" x14ac:dyDescent="0.35">
      <c r="B2016" s="46" t="s">
        <v>3589</v>
      </c>
      <c r="C2016" s="36">
        <v>45900</v>
      </c>
      <c r="D2016" s="36" t="s">
        <v>2575</v>
      </c>
      <c r="E2016" s="37">
        <v>39116</v>
      </c>
      <c r="F2016" s="37" t="s">
        <v>4026</v>
      </c>
      <c r="G2016" s="38"/>
      <c r="H2016" s="38">
        <v>199.07999999999998</v>
      </c>
      <c r="I2016" s="37"/>
      <c r="J2016" s="37"/>
      <c r="K2016" s="38"/>
      <c r="L2016" s="38"/>
    </row>
    <row r="2017" spans="1:12" ht="14.5" x14ac:dyDescent="0.35">
      <c r="B2017" s="46" t="s">
        <v>3589</v>
      </c>
      <c r="C2017" s="36">
        <v>45900</v>
      </c>
      <c r="D2017" s="36" t="s">
        <v>2144</v>
      </c>
      <c r="E2017" s="37">
        <v>39117</v>
      </c>
      <c r="F2017" s="37" t="s">
        <v>4026</v>
      </c>
      <c r="G2017" s="38"/>
      <c r="H2017" s="38">
        <v>11039.179999999998</v>
      </c>
      <c r="I2017" s="37"/>
      <c r="J2017" s="37"/>
      <c r="K2017" s="38"/>
      <c r="L2017" s="38"/>
    </row>
    <row r="2018" spans="1:12" ht="14.5" x14ac:dyDescent="0.35">
      <c r="B2018" s="46" t="s">
        <v>3589</v>
      </c>
      <c r="C2018" s="36">
        <v>45900</v>
      </c>
      <c r="D2018" s="36" t="s">
        <v>2629</v>
      </c>
      <c r="E2018" s="37">
        <v>39118</v>
      </c>
      <c r="F2018" s="37" t="s">
        <v>4026</v>
      </c>
      <c r="G2018" s="38"/>
      <c r="H2018" s="38">
        <v>8706.17</v>
      </c>
      <c r="I2018" s="37"/>
      <c r="J2018" s="37"/>
      <c r="K2018" s="38"/>
      <c r="L2018" s="38"/>
    </row>
    <row r="2019" spans="1:12" ht="14.5" x14ac:dyDescent="0.35">
      <c r="B2019" s="46" t="s">
        <v>3589</v>
      </c>
      <c r="C2019" s="36">
        <v>45900</v>
      </c>
      <c r="D2019" s="36" t="s">
        <v>3476</v>
      </c>
      <c r="E2019" s="37">
        <v>39119</v>
      </c>
      <c r="F2019" s="37" t="s">
        <v>4026</v>
      </c>
      <c r="G2019" s="38"/>
      <c r="H2019" s="38">
        <v>766.56</v>
      </c>
      <c r="I2019" s="37"/>
      <c r="J2019" s="37"/>
      <c r="K2019" s="38"/>
      <c r="L2019" s="38"/>
    </row>
    <row r="2020" spans="1:12" ht="14.5" x14ac:dyDescent="0.35">
      <c r="B2020" s="46" t="s">
        <v>3589</v>
      </c>
      <c r="C2020" s="36">
        <v>45900</v>
      </c>
      <c r="D2020" s="36" t="s">
        <v>3572</v>
      </c>
      <c r="E2020" s="37">
        <v>39120</v>
      </c>
      <c r="F2020" s="37" t="s">
        <v>4026</v>
      </c>
      <c r="G2020" s="38"/>
      <c r="H2020" s="38">
        <v>180.9</v>
      </c>
      <c r="I2020" s="37"/>
      <c r="J2020" s="37"/>
      <c r="K2020" s="38"/>
      <c r="L2020" s="38"/>
    </row>
    <row r="2021" spans="1:12" ht="14.5" x14ac:dyDescent="0.35">
      <c r="B2021" s="46" t="s">
        <v>3589</v>
      </c>
      <c r="C2021" s="36">
        <v>45900</v>
      </c>
      <c r="D2021" s="36" t="s">
        <v>3144</v>
      </c>
      <c r="E2021" s="37">
        <v>39121</v>
      </c>
      <c r="F2021" s="37" t="s">
        <v>4026</v>
      </c>
      <c r="G2021" s="38"/>
      <c r="H2021" s="38">
        <v>329.85</v>
      </c>
      <c r="I2021" s="37"/>
      <c r="J2021" s="37"/>
      <c r="K2021" s="38"/>
      <c r="L2021" s="38"/>
    </row>
    <row r="2022" spans="1:12" ht="14.5" x14ac:dyDescent="0.35">
      <c r="B2022" s="46" t="s">
        <v>3589</v>
      </c>
      <c r="C2022" s="36">
        <v>45900</v>
      </c>
      <c r="D2022" s="36" t="s">
        <v>2459</v>
      </c>
      <c r="E2022" s="37">
        <v>39122</v>
      </c>
      <c r="F2022" s="37" t="s">
        <v>4026</v>
      </c>
      <c r="G2022" s="38"/>
      <c r="H2022" s="38">
        <v>4449.7700000000004</v>
      </c>
      <c r="I2022" s="37"/>
      <c r="J2022" s="37"/>
      <c r="K2022" s="38"/>
      <c r="L2022" s="38"/>
    </row>
    <row r="2023" spans="1:12" ht="14.5" x14ac:dyDescent="0.35">
      <c r="B2023" s="46" t="s">
        <v>3589</v>
      </c>
      <c r="C2023" s="36">
        <v>45900</v>
      </c>
      <c r="D2023" s="36" t="s">
        <v>2392</v>
      </c>
      <c r="E2023" s="37">
        <v>39124</v>
      </c>
      <c r="F2023" s="37" t="s">
        <v>4026</v>
      </c>
      <c r="G2023" s="38"/>
      <c r="H2023" s="38">
        <v>10762.41</v>
      </c>
      <c r="I2023" s="37"/>
      <c r="J2023" s="37"/>
      <c r="K2023" s="38"/>
      <c r="L2023" s="38"/>
    </row>
    <row r="2024" spans="1:12" ht="14.5" x14ac:dyDescent="0.35">
      <c r="A2024" s="45" t="s">
        <v>3799</v>
      </c>
      <c r="B2024" s="45"/>
      <c r="C2024" s="55">
        <v>45870</v>
      </c>
      <c r="D2024" s="45" t="s">
        <v>422</v>
      </c>
      <c r="E2024" s="45" t="s">
        <v>3829</v>
      </c>
      <c r="G2024" s="38">
        <v>2250</v>
      </c>
      <c r="H2024" s="38"/>
      <c r="K2024" s="38"/>
      <c r="L2024" s="38">
        <f>G2024-H2024</f>
        <v>2250</v>
      </c>
    </row>
    <row r="2025" spans="1:12" ht="14.5" x14ac:dyDescent="0.35">
      <c r="A2025" s="45" t="s">
        <v>3799</v>
      </c>
      <c r="B2025" s="45"/>
      <c r="C2025" s="55">
        <v>45870</v>
      </c>
      <c r="D2025" s="45" t="s">
        <v>422</v>
      </c>
      <c r="E2025" s="45" t="s">
        <v>3830</v>
      </c>
      <c r="G2025" s="38">
        <v>2301.5</v>
      </c>
      <c r="H2025" s="38"/>
      <c r="K2025" s="38"/>
      <c r="L2025" s="38">
        <f t="shared" ref="L2025:L2087" si="16">G2025-H2025</f>
        <v>2301.5</v>
      </c>
    </row>
    <row r="2026" spans="1:12" ht="14.5" x14ac:dyDescent="0.35">
      <c r="A2026" s="45" t="s">
        <v>3799</v>
      </c>
      <c r="B2026" s="45"/>
      <c r="C2026" s="55">
        <v>45870</v>
      </c>
      <c r="D2026" s="45" t="s">
        <v>819</v>
      </c>
      <c r="E2026" s="45" t="s">
        <v>831</v>
      </c>
      <c r="G2026" s="38">
        <v>4201.5999999999985</v>
      </c>
      <c r="H2026" s="38"/>
      <c r="K2026" s="38"/>
      <c r="L2026" s="38">
        <f t="shared" si="16"/>
        <v>4201.5999999999985</v>
      </c>
    </row>
    <row r="2027" spans="1:12" ht="14.5" x14ac:dyDescent="0.35">
      <c r="A2027" s="45" t="s">
        <v>3799</v>
      </c>
      <c r="B2027" s="45"/>
      <c r="C2027" s="55">
        <v>45870</v>
      </c>
      <c r="D2027" s="45" t="s">
        <v>819</v>
      </c>
      <c r="E2027" s="45" t="s">
        <v>337</v>
      </c>
      <c r="G2027" s="38">
        <v>51252.06</v>
      </c>
      <c r="H2027" s="38"/>
      <c r="K2027" s="38"/>
      <c r="L2027" s="38">
        <f t="shared" si="16"/>
        <v>51252.06</v>
      </c>
    </row>
    <row r="2028" spans="1:12" ht="14.5" x14ac:dyDescent="0.35">
      <c r="A2028" s="45" t="s">
        <v>3799</v>
      </c>
      <c r="B2028" s="45"/>
      <c r="C2028" s="55">
        <v>45870</v>
      </c>
      <c r="D2028" s="45" t="s">
        <v>49</v>
      </c>
      <c r="E2028" s="45">
        <v>14036</v>
      </c>
      <c r="G2028" s="38">
        <v>200</v>
      </c>
      <c r="H2028" s="38"/>
      <c r="K2028" s="38"/>
      <c r="L2028" s="38">
        <f t="shared" si="16"/>
        <v>200</v>
      </c>
    </row>
    <row r="2029" spans="1:12" ht="14.5" x14ac:dyDescent="0.35">
      <c r="A2029" s="45" t="s">
        <v>3799</v>
      </c>
      <c r="B2029" s="45"/>
      <c r="C2029" s="55">
        <v>45870</v>
      </c>
      <c r="D2029" s="45" t="s">
        <v>702</v>
      </c>
      <c r="E2029" s="45">
        <v>41188101</v>
      </c>
      <c r="G2029" s="38">
        <v>217.65</v>
      </c>
      <c r="H2029" s="38"/>
      <c r="K2029" s="38"/>
      <c r="L2029" s="38">
        <f t="shared" si="16"/>
        <v>217.65</v>
      </c>
    </row>
    <row r="2030" spans="1:12" ht="14.5" x14ac:dyDescent="0.35">
      <c r="A2030" s="45" t="s">
        <v>3799</v>
      </c>
      <c r="B2030" s="45"/>
      <c r="C2030" s="55">
        <v>45871</v>
      </c>
      <c r="D2030" s="45" t="s">
        <v>819</v>
      </c>
      <c r="E2030" s="45" t="s">
        <v>3831</v>
      </c>
      <c r="G2030" s="38">
        <v>1851.94</v>
      </c>
      <c r="H2030" s="38"/>
      <c r="K2030" s="38"/>
      <c r="L2030" s="38">
        <f t="shared" si="16"/>
        <v>1851.94</v>
      </c>
    </row>
    <row r="2031" spans="1:12" ht="14.5" x14ac:dyDescent="0.35">
      <c r="A2031" s="45" t="s">
        <v>3799</v>
      </c>
      <c r="B2031" s="45"/>
      <c r="C2031" s="55">
        <v>45873</v>
      </c>
      <c r="D2031" s="45" t="s">
        <v>819</v>
      </c>
      <c r="E2031" s="45" t="s">
        <v>3832</v>
      </c>
      <c r="G2031" s="38">
        <v>0</v>
      </c>
      <c r="H2031" s="38"/>
      <c r="K2031" s="38"/>
      <c r="L2031" s="38">
        <f t="shared" si="16"/>
        <v>0</v>
      </c>
    </row>
    <row r="2032" spans="1:12" ht="14.5" x14ac:dyDescent="0.35">
      <c r="A2032" s="45" t="s">
        <v>3799</v>
      </c>
      <c r="B2032" s="45"/>
      <c r="C2032" s="55">
        <v>45873</v>
      </c>
      <c r="D2032" s="45" t="s">
        <v>819</v>
      </c>
      <c r="E2032" s="45" t="s">
        <v>3833</v>
      </c>
      <c r="G2032" s="38">
        <v>669</v>
      </c>
      <c r="H2032" s="38"/>
      <c r="K2032" s="38"/>
      <c r="L2032" s="38">
        <f t="shared" si="16"/>
        <v>669</v>
      </c>
    </row>
    <row r="2033" spans="1:12" ht="14.5" x14ac:dyDescent="0.35">
      <c r="A2033" s="45" t="s">
        <v>3799</v>
      </c>
      <c r="B2033" s="45"/>
      <c r="C2033" s="55">
        <v>45873</v>
      </c>
      <c r="D2033" s="45" t="s">
        <v>819</v>
      </c>
      <c r="E2033" s="45" t="s">
        <v>840</v>
      </c>
      <c r="G2033" s="38">
        <v>904.00000000000011</v>
      </c>
      <c r="H2033" s="38"/>
      <c r="K2033" s="38"/>
      <c r="L2033" s="38">
        <f t="shared" si="16"/>
        <v>904.00000000000011</v>
      </c>
    </row>
    <row r="2034" spans="1:12" ht="14.5" x14ac:dyDescent="0.35">
      <c r="A2034" s="45" t="s">
        <v>3799</v>
      </c>
      <c r="B2034" s="45"/>
      <c r="C2034" s="55">
        <v>45873</v>
      </c>
      <c r="D2034" s="45" t="s">
        <v>819</v>
      </c>
      <c r="E2034" s="45" t="s">
        <v>839</v>
      </c>
      <c r="G2034" s="38">
        <v>334.5</v>
      </c>
      <c r="H2034" s="38"/>
      <c r="K2034" s="38"/>
      <c r="L2034" s="38">
        <f t="shared" si="16"/>
        <v>334.5</v>
      </c>
    </row>
    <row r="2035" spans="1:12" ht="14.5" x14ac:dyDescent="0.35">
      <c r="A2035" s="45" t="s">
        <v>3799</v>
      </c>
      <c r="B2035" s="45"/>
      <c r="C2035" s="55">
        <v>45873</v>
      </c>
      <c r="D2035" s="45" t="s">
        <v>66</v>
      </c>
      <c r="E2035" s="45" t="s">
        <v>3634</v>
      </c>
      <c r="G2035" s="38">
        <v>314.5</v>
      </c>
      <c r="H2035" s="38"/>
      <c r="K2035" s="38"/>
      <c r="L2035" s="38">
        <f t="shared" si="16"/>
        <v>314.5</v>
      </c>
    </row>
    <row r="2036" spans="1:12" ht="14.5" x14ac:dyDescent="0.35">
      <c r="A2036" s="45" t="s">
        <v>3799</v>
      </c>
      <c r="B2036" s="45"/>
      <c r="C2036" s="55">
        <v>45874</v>
      </c>
      <c r="D2036" s="45" t="s">
        <v>324</v>
      </c>
      <c r="E2036" s="45" t="s">
        <v>3834</v>
      </c>
      <c r="G2036" s="38">
        <v>193</v>
      </c>
      <c r="H2036" s="38"/>
      <c r="K2036" s="38"/>
      <c r="L2036" s="38">
        <f t="shared" si="16"/>
        <v>193</v>
      </c>
    </row>
    <row r="2037" spans="1:12" ht="14.5" x14ac:dyDescent="0.35">
      <c r="A2037" s="45" t="s">
        <v>3799</v>
      </c>
      <c r="B2037" s="45"/>
      <c r="C2037" s="55">
        <v>45875</v>
      </c>
      <c r="D2037" s="45" t="s">
        <v>716</v>
      </c>
      <c r="E2037" s="45" t="s">
        <v>726</v>
      </c>
      <c r="G2037" s="38">
        <v>2075</v>
      </c>
      <c r="H2037" s="38"/>
      <c r="K2037" s="38"/>
      <c r="L2037" s="38">
        <f t="shared" si="16"/>
        <v>2075</v>
      </c>
    </row>
    <row r="2038" spans="1:12" ht="14.5" x14ac:dyDescent="0.35">
      <c r="A2038" s="45" t="s">
        <v>3799</v>
      </c>
      <c r="B2038" s="45"/>
      <c r="C2038" s="55">
        <v>45875</v>
      </c>
      <c r="D2038" s="45" t="s">
        <v>422</v>
      </c>
      <c r="E2038" s="45" t="s">
        <v>3835</v>
      </c>
      <c r="G2038" s="38">
        <v>92.999999999999986</v>
      </c>
      <c r="H2038" s="38"/>
      <c r="K2038" s="38"/>
      <c r="L2038" s="38">
        <f t="shared" si="16"/>
        <v>92.999999999999986</v>
      </c>
    </row>
    <row r="2039" spans="1:12" ht="14.5" x14ac:dyDescent="0.35">
      <c r="A2039" s="45" t="s">
        <v>3799</v>
      </c>
      <c r="B2039" s="45"/>
      <c r="C2039" s="55">
        <v>45875</v>
      </c>
      <c r="D2039" s="45" t="s">
        <v>422</v>
      </c>
      <c r="E2039" s="45" t="s">
        <v>3836</v>
      </c>
      <c r="G2039" s="38">
        <v>93.000000000000014</v>
      </c>
      <c r="H2039" s="38"/>
      <c r="K2039" s="38"/>
      <c r="L2039" s="38">
        <f t="shared" si="16"/>
        <v>93.000000000000014</v>
      </c>
    </row>
    <row r="2040" spans="1:12" ht="14.5" x14ac:dyDescent="0.35">
      <c r="A2040" s="45" t="s">
        <v>3799</v>
      </c>
      <c r="B2040" s="45"/>
      <c r="C2040" s="55">
        <v>45875</v>
      </c>
      <c r="D2040" s="45" t="s">
        <v>422</v>
      </c>
      <c r="E2040" s="45" t="s">
        <v>3837</v>
      </c>
      <c r="G2040" s="38">
        <v>93.000000000000014</v>
      </c>
      <c r="H2040" s="38"/>
      <c r="K2040" s="38"/>
      <c r="L2040" s="38">
        <f t="shared" si="16"/>
        <v>93.000000000000014</v>
      </c>
    </row>
    <row r="2041" spans="1:12" ht="14.5" x14ac:dyDescent="0.35">
      <c r="A2041" s="45" t="s">
        <v>3799</v>
      </c>
      <c r="B2041" s="45"/>
      <c r="C2041" s="55">
        <v>45875</v>
      </c>
      <c r="D2041" s="45" t="s">
        <v>819</v>
      </c>
      <c r="E2041" s="45" t="s">
        <v>3838</v>
      </c>
      <c r="G2041" s="38">
        <v>89</v>
      </c>
      <c r="H2041" s="38"/>
      <c r="K2041" s="38"/>
      <c r="L2041" s="38">
        <f t="shared" si="16"/>
        <v>89</v>
      </c>
    </row>
    <row r="2042" spans="1:12" ht="14.5" x14ac:dyDescent="0.35">
      <c r="A2042" s="45" t="s">
        <v>3799</v>
      </c>
      <c r="B2042" s="45"/>
      <c r="C2042" s="55">
        <v>45875</v>
      </c>
      <c r="D2042" s="45" t="s">
        <v>819</v>
      </c>
      <c r="E2042" s="45" t="s">
        <v>3651</v>
      </c>
      <c r="G2042" s="38">
        <v>89</v>
      </c>
      <c r="H2042" s="38"/>
      <c r="K2042" s="38"/>
      <c r="L2042" s="38">
        <f t="shared" si="16"/>
        <v>89</v>
      </c>
    </row>
    <row r="2043" spans="1:12" ht="14.5" x14ac:dyDescent="0.35">
      <c r="A2043" s="45" t="s">
        <v>3799</v>
      </c>
      <c r="B2043" s="45"/>
      <c r="C2043" s="55">
        <v>45875</v>
      </c>
      <c r="D2043" s="45" t="s">
        <v>422</v>
      </c>
      <c r="E2043" s="45" t="s">
        <v>3839</v>
      </c>
      <c r="G2043" s="38">
        <v>79</v>
      </c>
      <c r="H2043" s="38"/>
      <c r="K2043" s="38"/>
      <c r="L2043" s="38">
        <f t="shared" si="16"/>
        <v>79</v>
      </c>
    </row>
    <row r="2044" spans="1:12" ht="14.5" x14ac:dyDescent="0.35">
      <c r="A2044" s="45" t="s">
        <v>3799</v>
      </c>
      <c r="B2044" s="45"/>
      <c r="C2044" s="55">
        <v>45875</v>
      </c>
      <c r="D2044" s="45" t="s">
        <v>819</v>
      </c>
      <c r="E2044" s="45" t="s">
        <v>3840</v>
      </c>
      <c r="G2044" s="38">
        <v>89</v>
      </c>
      <c r="H2044" s="38"/>
      <c r="K2044" s="38"/>
      <c r="L2044" s="38">
        <f t="shared" si="16"/>
        <v>89</v>
      </c>
    </row>
    <row r="2045" spans="1:12" ht="14.5" x14ac:dyDescent="0.35">
      <c r="A2045" s="45" t="s">
        <v>3799</v>
      </c>
      <c r="B2045" s="45"/>
      <c r="C2045" s="55">
        <v>45875</v>
      </c>
      <c r="D2045" s="45" t="s">
        <v>422</v>
      </c>
      <c r="E2045" s="45" t="s">
        <v>3841</v>
      </c>
      <c r="G2045" s="38">
        <v>79</v>
      </c>
      <c r="H2045" s="38"/>
      <c r="K2045" s="38"/>
      <c r="L2045" s="38">
        <f t="shared" si="16"/>
        <v>79</v>
      </c>
    </row>
    <row r="2046" spans="1:12" ht="14.5" x14ac:dyDescent="0.35">
      <c r="A2046" s="45" t="s">
        <v>3799</v>
      </c>
      <c r="B2046" s="45"/>
      <c r="C2046" s="55">
        <v>45875</v>
      </c>
      <c r="D2046" s="45" t="s">
        <v>819</v>
      </c>
      <c r="E2046" s="45" t="s">
        <v>3842</v>
      </c>
      <c r="G2046" s="38">
        <v>163</v>
      </c>
      <c r="H2046" s="38"/>
      <c r="K2046" s="38"/>
      <c r="L2046" s="38">
        <f t="shared" si="16"/>
        <v>163</v>
      </c>
    </row>
    <row r="2047" spans="1:12" ht="14.5" x14ac:dyDescent="0.35">
      <c r="A2047" s="45" t="s">
        <v>3799</v>
      </c>
      <c r="B2047" s="45"/>
      <c r="C2047" s="55">
        <v>45875</v>
      </c>
      <c r="D2047" s="45" t="s">
        <v>819</v>
      </c>
      <c r="E2047" s="45" t="s">
        <v>3843</v>
      </c>
      <c r="G2047" s="38">
        <v>110</v>
      </c>
      <c r="H2047" s="38"/>
      <c r="K2047" s="38"/>
      <c r="L2047" s="38">
        <f t="shared" si="16"/>
        <v>110</v>
      </c>
    </row>
    <row r="2048" spans="1:12" ht="14.5" x14ac:dyDescent="0.35">
      <c r="A2048" s="45" t="s">
        <v>3799</v>
      </c>
      <c r="B2048" s="45"/>
      <c r="C2048" s="55">
        <v>45875</v>
      </c>
      <c r="D2048" s="45" t="s">
        <v>819</v>
      </c>
      <c r="E2048" s="45" t="s">
        <v>3844</v>
      </c>
      <c r="G2048" s="38">
        <v>89</v>
      </c>
      <c r="H2048" s="38"/>
      <c r="K2048" s="38"/>
      <c r="L2048" s="38">
        <f t="shared" si="16"/>
        <v>89</v>
      </c>
    </row>
    <row r="2049" spans="1:12" ht="14.5" x14ac:dyDescent="0.35">
      <c r="A2049" s="45" t="s">
        <v>3799</v>
      </c>
      <c r="B2049" s="45"/>
      <c r="C2049" s="55">
        <v>45875</v>
      </c>
      <c r="D2049" s="45" t="s">
        <v>819</v>
      </c>
      <c r="E2049" s="45" t="s">
        <v>3845</v>
      </c>
      <c r="G2049" s="38">
        <v>832.99999999999989</v>
      </c>
      <c r="H2049" s="38"/>
      <c r="K2049" s="38"/>
      <c r="L2049" s="38">
        <f t="shared" si="16"/>
        <v>832.99999999999989</v>
      </c>
    </row>
    <row r="2050" spans="1:12" ht="14.5" x14ac:dyDescent="0.35">
      <c r="A2050" s="45" t="s">
        <v>3799</v>
      </c>
      <c r="B2050" s="45"/>
      <c r="C2050" s="55">
        <v>45875</v>
      </c>
      <c r="D2050" s="45" t="s">
        <v>422</v>
      </c>
      <c r="E2050" s="45" t="s">
        <v>3846</v>
      </c>
      <c r="G2050" s="38">
        <v>63.999999999999993</v>
      </c>
      <c r="H2050" s="38"/>
      <c r="K2050" s="38"/>
      <c r="L2050" s="38">
        <f t="shared" si="16"/>
        <v>63.999999999999993</v>
      </c>
    </row>
    <row r="2051" spans="1:12" ht="14.5" x14ac:dyDescent="0.35">
      <c r="A2051" s="45" t="s">
        <v>3799</v>
      </c>
      <c r="B2051" s="45"/>
      <c r="C2051" s="55">
        <v>45875</v>
      </c>
      <c r="D2051" s="45" t="s">
        <v>422</v>
      </c>
      <c r="E2051" s="45" t="s">
        <v>574</v>
      </c>
      <c r="G2051" s="38">
        <v>117</v>
      </c>
      <c r="H2051" s="38"/>
      <c r="K2051" s="38"/>
      <c r="L2051" s="38">
        <f t="shared" si="16"/>
        <v>117</v>
      </c>
    </row>
    <row r="2052" spans="1:12" ht="14.5" x14ac:dyDescent="0.35">
      <c r="A2052" s="45" t="s">
        <v>3799</v>
      </c>
      <c r="B2052" s="45"/>
      <c r="C2052" s="55">
        <v>45875</v>
      </c>
      <c r="D2052" s="45" t="s">
        <v>422</v>
      </c>
      <c r="E2052" s="45" t="s">
        <v>3847</v>
      </c>
      <c r="G2052" s="38">
        <v>154.00000000000003</v>
      </c>
      <c r="H2052" s="38"/>
      <c r="K2052" s="38"/>
      <c r="L2052" s="38">
        <f t="shared" si="16"/>
        <v>154.00000000000003</v>
      </c>
    </row>
    <row r="2053" spans="1:12" ht="14.5" x14ac:dyDescent="0.35">
      <c r="A2053" s="45" t="s">
        <v>3799</v>
      </c>
      <c r="B2053" s="45"/>
      <c r="C2053" s="55">
        <v>45875</v>
      </c>
      <c r="D2053" s="45" t="s">
        <v>819</v>
      </c>
      <c r="E2053" s="45" t="s">
        <v>3848</v>
      </c>
      <c r="G2053" s="38">
        <v>89.000000000000014</v>
      </c>
      <c r="H2053" s="38"/>
      <c r="K2053" s="38"/>
      <c r="L2053" s="38">
        <f t="shared" si="16"/>
        <v>89.000000000000014</v>
      </c>
    </row>
    <row r="2054" spans="1:12" ht="14.5" x14ac:dyDescent="0.35">
      <c r="A2054" s="45" t="s">
        <v>3799</v>
      </c>
      <c r="B2054" s="45"/>
      <c r="C2054" s="55">
        <v>45875</v>
      </c>
      <c r="D2054" s="45" t="s">
        <v>819</v>
      </c>
      <c r="E2054" s="45" t="s">
        <v>3849</v>
      </c>
      <c r="G2054" s="38">
        <v>89</v>
      </c>
      <c r="H2054" s="38"/>
      <c r="K2054" s="38"/>
      <c r="L2054" s="38">
        <f t="shared" si="16"/>
        <v>89</v>
      </c>
    </row>
    <row r="2055" spans="1:12" ht="14.5" x14ac:dyDescent="0.35">
      <c r="A2055" s="45" t="s">
        <v>3799</v>
      </c>
      <c r="B2055" s="45"/>
      <c r="C2055" s="55">
        <v>45875</v>
      </c>
      <c r="D2055" s="45" t="s">
        <v>819</v>
      </c>
      <c r="E2055" s="45" t="s">
        <v>3850</v>
      </c>
      <c r="G2055" s="38">
        <v>105</v>
      </c>
      <c r="H2055" s="38"/>
      <c r="K2055" s="38"/>
      <c r="L2055" s="38">
        <f t="shared" si="16"/>
        <v>105</v>
      </c>
    </row>
    <row r="2056" spans="1:12" ht="14.5" x14ac:dyDescent="0.35">
      <c r="A2056" s="45" t="s">
        <v>3799</v>
      </c>
      <c r="B2056" s="45"/>
      <c r="C2056" s="55">
        <v>45875</v>
      </c>
      <c r="D2056" s="45" t="s">
        <v>819</v>
      </c>
      <c r="E2056" s="45" t="s">
        <v>3851</v>
      </c>
      <c r="G2056" s="38">
        <v>89</v>
      </c>
      <c r="H2056" s="38"/>
      <c r="K2056" s="38"/>
      <c r="L2056" s="38">
        <f t="shared" si="16"/>
        <v>89</v>
      </c>
    </row>
    <row r="2057" spans="1:12" ht="14.5" x14ac:dyDescent="0.35">
      <c r="A2057" s="45" t="s">
        <v>3799</v>
      </c>
      <c r="B2057" s="45"/>
      <c r="C2057" s="55">
        <v>45875</v>
      </c>
      <c r="D2057" s="45" t="s">
        <v>422</v>
      </c>
      <c r="E2057" s="45" t="s">
        <v>3852</v>
      </c>
      <c r="G2057" s="38">
        <v>78</v>
      </c>
      <c r="H2057" s="38"/>
      <c r="K2057" s="38"/>
      <c r="L2057" s="38">
        <f t="shared" si="16"/>
        <v>78</v>
      </c>
    </row>
    <row r="2058" spans="1:12" ht="14.5" x14ac:dyDescent="0.35">
      <c r="A2058" s="45" t="s">
        <v>3799</v>
      </c>
      <c r="B2058" s="45"/>
      <c r="C2058" s="55">
        <v>45875</v>
      </c>
      <c r="D2058" s="45" t="s">
        <v>819</v>
      </c>
      <c r="E2058" s="45" t="s">
        <v>3853</v>
      </c>
      <c r="G2058" s="38">
        <v>178</v>
      </c>
      <c r="H2058" s="38"/>
      <c r="K2058" s="38"/>
      <c r="L2058" s="38">
        <f t="shared" si="16"/>
        <v>178</v>
      </c>
    </row>
    <row r="2059" spans="1:12" ht="14.5" x14ac:dyDescent="0.35">
      <c r="A2059" s="45" t="s">
        <v>3799</v>
      </c>
      <c r="B2059" s="45"/>
      <c r="C2059" s="55">
        <v>45875</v>
      </c>
      <c r="D2059" s="45" t="s">
        <v>422</v>
      </c>
      <c r="E2059" s="45" t="s">
        <v>3721</v>
      </c>
      <c r="G2059" s="38">
        <v>216.70000000000002</v>
      </c>
      <c r="H2059" s="38"/>
      <c r="K2059" s="38"/>
      <c r="L2059" s="38">
        <f t="shared" si="16"/>
        <v>216.70000000000002</v>
      </c>
    </row>
    <row r="2060" spans="1:12" ht="14.5" x14ac:dyDescent="0.35">
      <c r="A2060" s="45" t="s">
        <v>3799</v>
      </c>
      <c r="B2060" s="45"/>
      <c r="C2060" s="55">
        <v>45875</v>
      </c>
      <c r="D2060" s="45" t="s">
        <v>422</v>
      </c>
      <c r="E2060" s="45" t="s">
        <v>3723</v>
      </c>
      <c r="G2060" s="38">
        <v>266</v>
      </c>
      <c r="H2060" s="38"/>
      <c r="K2060" s="38"/>
      <c r="L2060" s="38">
        <f t="shared" si="16"/>
        <v>266</v>
      </c>
    </row>
    <row r="2061" spans="1:12" ht="14.5" x14ac:dyDescent="0.35">
      <c r="A2061" s="45" t="s">
        <v>3799</v>
      </c>
      <c r="B2061" s="45"/>
      <c r="C2061" s="55">
        <v>45875</v>
      </c>
      <c r="D2061" s="45" t="s">
        <v>422</v>
      </c>
      <c r="E2061" s="45" t="s">
        <v>3854</v>
      </c>
      <c r="G2061" s="38">
        <v>210</v>
      </c>
      <c r="H2061" s="38"/>
      <c r="K2061" s="38"/>
      <c r="L2061" s="38">
        <f t="shared" si="16"/>
        <v>210</v>
      </c>
    </row>
    <row r="2062" spans="1:12" ht="14.5" x14ac:dyDescent="0.35">
      <c r="A2062" s="45" t="s">
        <v>3799</v>
      </c>
      <c r="B2062" s="45"/>
      <c r="C2062" s="55">
        <v>45875</v>
      </c>
      <c r="D2062" s="45" t="s">
        <v>422</v>
      </c>
      <c r="E2062" s="45" t="s">
        <v>530</v>
      </c>
      <c r="G2062" s="38">
        <v>1568</v>
      </c>
      <c r="H2062" s="38"/>
      <c r="K2062" s="38"/>
      <c r="L2062" s="38">
        <f t="shared" si="16"/>
        <v>1568</v>
      </c>
    </row>
    <row r="2063" spans="1:12" ht="14.5" x14ac:dyDescent="0.35">
      <c r="A2063" s="45" t="s">
        <v>3799</v>
      </c>
      <c r="B2063" s="45"/>
      <c r="C2063" s="55">
        <v>45875</v>
      </c>
      <c r="D2063" s="45" t="s">
        <v>422</v>
      </c>
      <c r="E2063" s="45" t="s">
        <v>560</v>
      </c>
      <c r="G2063" s="38">
        <v>111</v>
      </c>
      <c r="H2063" s="38"/>
      <c r="K2063" s="38"/>
      <c r="L2063" s="38">
        <f t="shared" si="16"/>
        <v>111</v>
      </c>
    </row>
    <row r="2064" spans="1:12" ht="14.5" x14ac:dyDescent="0.35">
      <c r="A2064" s="45" t="s">
        <v>3799</v>
      </c>
      <c r="B2064" s="45"/>
      <c r="C2064" s="55">
        <v>45875</v>
      </c>
      <c r="D2064" s="45" t="s">
        <v>422</v>
      </c>
      <c r="E2064" s="45" t="s">
        <v>3855</v>
      </c>
      <c r="G2064" s="38">
        <v>298</v>
      </c>
      <c r="H2064" s="38"/>
      <c r="K2064" s="38"/>
      <c r="L2064" s="38">
        <f t="shared" si="16"/>
        <v>298</v>
      </c>
    </row>
    <row r="2065" spans="1:12" ht="14.5" x14ac:dyDescent="0.35">
      <c r="A2065" s="45" t="s">
        <v>3799</v>
      </c>
      <c r="B2065" s="45"/>
      <c r="C2065" s="55">
        <v>45875</v>
      </c>
      <c r="D2065" s="45" t="s">
        <v>422</v>
      </c>
      <c r="E2065" s="45" t="s">
        <v>527</v>
      </c>
      <c r="G2065" s="38">
        <v>3687.1</v>
      </c>
      <c r="H2065" s="38"/>
      <c r="K2065" s="38"/>
      <c r="L2065" s="38">
        <f t="shared" si="16"/>
        <v>3687.1</v>
      </c>
    </row>
    <row r="2066" spans="1:12" ht="14.5" x14ac:dyDescent="0.35">
      <c r="A2066" s="45" t="s">
        <v>3799</v>
      </c>
      <c r="B2066" s="45"/>
      <c r="C2066" s="55">
        <v>45875</v>
      </c>
      <c r="D2066" s="45" t="s">
        <v>422</v>
      </c>
      <c r="E2066" s="45" t="s">
        <v>3727</v>
      </c>
      <c r="G2066" s="38">
        <v>159</v>
      </c>
      <c r="H2066" s="38"/>
      <c r="K2066" s="38"/>
      <c r="L2066" s="38">
        <f t="shared" si="16"/>
        <v>159</v>
      </c>
    </row>
    <row r="2067" spans="1:12" ht="14.5" x14ac:dyDescent="0.35">
      <c r="A2067" s="45" t="s">
        <v>3799</v>
      </c>
      <c r="B2067" s="45"/>
      <c r="C2067" s="55">
        <v>45875</v>
      </c>
      <c r="D2067" s="45" t="s">
        <v>819</v>
      </c>
      <c r="E2067" s="45" t="s">
        <v>832</v>
      </c>
      <c r="G2067" s="38">
        <v>3123</v>
      </c>
      <c r="H2067" s="38"/>
      <c r="K2067" s="38"/>
      <c r="L2067" s="38">
        <f t="shared" si="16"/>
        <v>3123</v>
      </c>
    </row>
    <row r="2068" spans="1:12" ht="14.5" x14ac:dyDescent="0.35">
      <c r="A2068" s="45" t="s">
        <v>3799</v>
      </c>
      <c r="B2068" s="45"/>
      <c r="C2068" s="55">
        <v>45875</v>
      </c>
      <c r="D2068" s="45" t="s">
        <v>422</v>
      </c>
      <c r="E2068" s="45" t="s">
        <v>3618</v>
      </c>
      <c r="G2068" s="38">
        <v>86</v>
      </c>
      <c r="H2068" s="38"/>
      <c r="K2068" s="38"/>
      <c r="L2068" s="38">
        <f t="shared" si="16"/>
        <v>86</v>
      </c>
    </row>
    <row r="2069" spans="1:12" ht="14.5" x14ac:dyDescent="0.35">
      <c r="A2069" s="45" t="s">
        <v>3799</v>
      </c>
      <c r="B2069" s="45"/>
      <c r="C2069" s="55">
        <v>45875</v>
      </c>
      <c r="D2069" s="45" t="s">
        <v>422</v>
      </c>
      <c r="E2069" s="45" t="s">
        <v>3856</v>
      </c>
      <c r="G2069" s="38">
        <v>64</v>
      </c>
      <c r="H2069" s="38"/>
      <c r="K2069" s="38"/>
      <c r="L2069" s="38">
        <f t="shared" si="16"/>
        <v>64</v>
      </c>
    </row>
    <row r="2070" spans="1:12" ht="14.5" x14ac:dyDescent="0.35">
      <c r="A2070" s="45" t="s">
        <v>3799</v>
      </c>
      <c r="B2070" s="45"/>
      <c r="C2070" s="55">
        <v>45875</v>
      </c>
      <c r="D2070" s="45" t="s">
        <v>17</v>
      </c>
      <c r="E2070" s="45">
        <v>20250213</v>
      </c>
      <c r="G2070" s="38">
        <v>2100</v>
      </c>
      <c r="H2070" s="38"/>
      <c r="K2070" s="38"/>
      <c r="L2070" s="38">
        <f t="shared" si="16"/>
        <v>2100</v>
      </c>
    </row>
    <row r="2071" spans="1:12" ht="14.5" x14ac:dyDescent="0.35">
      <c r="A2071" s="45" t="s">
        <v>3799</v>
      </c>
      <c r="B2071" s="45"/>
      <c r="C2071" s="55">
        <v>45875</v>
      </c>
      <c r="D2071" s="45" t="s">
        <v>422</v>
      </c>
      <c r="E2071" s="45" t="s">
        <v>556</v>
      </c>
      <c r="G2071" s="38">
        <v>86</v>
      </c>
      <c r="H2071" s="38"/>
      <c r="K2071" s="38"/>
      <c r="L2071" s="38">
        <f t="shared" si="16"/>
        <v>86</v>
      </c>
    </row>
    <row r="2072" spans="1:12" ht="14.5" x14ac:dyDescent="0.35">
      <c r="A2072" s="45" t="s">
        <v>3799</v>
      </c>
      <c r="B2072" s="45"/>
      <c r="C2072" s="55">
        <v>45875</v>
      </c>
      <c r="D2072" s="45" t="s">
        <v>819</v>
      </c>
      <c r="E2072" s="45" t="s">
        <v>3857</v>
      </c>
      <c r="G2072" s="38">
        <v>89</v>
      </c>
      <c r="H2072" s="38"/>
      <c r="K2072" s="38"/>
      <c r="L2072" s="38">
        <f t="shared" si="16"/>
        <v>89</v>
      </c>
    </row>
    <row r="2073" spans="1:12" ht="14.5" x14ac:dyDescent="0.35">
      <c r="A2073" s="45" t="s">
        <v>3799</v>
      </c>
      <c r="B2073" s="45"/>
      <c r="C2073" s="55">
        <v>45875</v>
      </c>
      <c r="D2073" s="45" t="s">
        <v>819</v>
      </c>
      <c r="E2073" s="45" t="s">
        <v>3858</v>
      </c>
      <c r="G2073" s="38">
        <v>684.99999999999989</v>
      </c>
      <c r="H2073" s="38"/>
      <c r="K2073" s="38"/>
      <c r="L2073" s="38">
        <f t="shared" si="16"/>
        <v>684.99999999999989</v>
      </c>
    </row>
    <row r="2074" spans="1:12" ht="14.5" x14ac:dyDescent="0.35">
      <c r="A2074" s="45" t="s">
        <v>3799</v>
      </c>
      <c r="B2074" s="45"/>
      <c r="C2074" s="55">
        <v>45875</v>
      </c>
      <c r="D2074" s="45" t="s">
        <v>422</v>
      </c>
      <c r="E2074" s="45" t="s">
        <v>3793</v>
      </c>
      <c r="G2074" s="38">
        <v>131.41999999999999</v>
      </c>
      <c r="H2074" s="38"/>
      <c r="K2074" s="38"/>
      <c r="L2074" s="38">
        <f t="shared" si="16"/>
        <v>131.41999999999999</v>
      </c>
    </row>
    <row r="2075" spans="1:12" ht="14.5" x14ac:dyDescent="0.35">
      <c r="A2075" s="45" t="s">
        <v>3799</v>
      </c>
      <c r="B2075" s="45"/>
      <c r="C2075" s="55">
        <v>45875</v>
      </c>
      <c r="D2075" s="45" t="s">
        <v>422</v>
      </c>
      <c r="E2075" s="45" t="s">
        <v>3859</v>
      </c>
      <c r="G2075" s="38">
        <v>78</v>
      </c>
      <c r="H2075" s="38"/>
      <c r="K2075" s="38"/>
      <c r="L2075" s="38">
        <f t="shared" si="16"/>
        <v>78</v>
      </c>
    </row>
    <row r="2076" spans="1:12" ht="14.5" x14ac:dyDescent="0.35">
      <c r="A2076" s="45" t="s">
        <v>3799</v>
      </c>
      <c r="B2076" s="45"/>
      <c r="C2076" s="55">
        <v>45875</v>
      </c>
      <c r="D2076" s="45" t="s">
        <v>422</v>
      </c>
      <c r="E2076" s="45" t="s">
        <v>3860</v>
      </c>
      <c r="G2076" s="38">
        <v>78</v>
      </c>
      <c r="H2076" s="38"/>
      <c r="K2076" s="38"/>
      <c r="L2076" s="38">
        <f t="shared" si="16"/>
        <v>78</v>
      </c>
    </row>
    <row r="2077" spans="1:12" ht="14.5" x14ac:dyDescent="0.35">
      <c r="A2077" s="45" t="s">
        <v>3799</v>
      </c>
      <c r="B2077" s="45"/>
      <c r="C2077" s="55">
        <v>45875</v>
      </c>
      <c r="D2077" s="45" t="s">
        <v>422</v>
      </c>
      <c r="E2077" s="45" t="s">
        <v>548</v>
      </c>
      <c r="G2077" s="38">
        <v>203</v>
      </c>
      <c r="H2077" s="38"/>
      <c r="K2077" s="38"/>
      <c r="L2077" s="38">
        <f t="shared" si="16"/>
        <v>203</v>
      </c>
    </row>
    <row r="2078" spans="1:12" ht="14.5" x14ac:dyDescent="0.35">
      <c r="A2078" s="45" t="s">
        <v>3799</v>
      </c>
      <c r="B2078" s="45"/>
      <c r="C2078" s="55">
        <v>45875</v>
      </c>
      <c r="D2078" s="45" t="s">
        <v>422</v>
      </c>
      <c r="E2078" s="45" t="s">
        <v>3861</v>
      </c>
      <c r="G2078" s="38">
        <v>203</v>
      </c>
      <c r="H2078" s="38"/>
      <c r="K2078" s="38"/>
      <c r="L2078" s="38">
        <f t="shared" si="16"/>
        <v>203</v>
      </c>
    </row>
    <row r="2079" spans="1:12" ht="14.5" x14ac:dyDescent="0.35">
      <c r="A2079" s="45" t="s">
        <v>3799</v>
      </c>
      <c r="B2079" s="45"/>
      <c r="C2079" s="55">
        <v>45875</v>
      </c>
      <c r="D2079" s="45" t="s">
        <v>422</v>
      </c>
      <c r="E2079" s="45" t="s">
        <v>3862</v>
      </c>
      <c r="G2079" s="38">
        <v>406</v>
      </c>
      <c r="H2079" s="38"/>
      <c r="K2079" s="38"/>
      <c r="L2079" s="38">
        <f t="shared" si="16"/>
        <v>406</v>
      </c>
    </row>
    <row r="2080" spans="1:12" ht="14.5" x14ac:dyDescent="0.35">
      <c r="A2080" s="45" t="s">
        <v>3799</v>
      </c>
      <c r="B2080" s="45"/>
      <c r="C2080" s="55">
        <v>45875</v>
      </c>
      <c r="D2080" s="45" t="s">
        <v>422</v>
      </c>
      <c r="E2080" s="45" t="s">
        <v>3622</v>
      </c>
      <c r="G2080" s="38">
        <v>246.19</v>
      </c>
      <c r="H2080" s="38"/>
      <c r="K2080" s="38"/>
      <c r="L2080" s="38">
        <f t="shared" si="16"/>
        <v>246.19</v>
      </c>
    </row>
    <row r="2081" spans="1:12" ht="14.5" x14ac:dyDescent="0.35">
      <c r="A2081" s="45" t="s">
        <v>3799</v>
      </c>
      <c r="B2081" s="45"/>
      <c r="C2081" s="55">
        <v>45875</v>
      </c>
      <c r="D2081" s="45" t="s">
        <v>422</v>
      </c>
      <c r="E2081" s="45" t="s">
        <v>3623</v>
      </c>
      <c r="G2081" s="38">
        <v>221</v>
      </c>
      <c r="H2081" s="38"/>
      <c r="K2081" s="38"/>
      <c r="L2081" s="38">
        <f t="shared" si="16"/>
        <v>221</v>
      </c>
    </row>
    <row r="2082" spans="1:12" ht="14.5" x14ac:dyDescent="0.35">
      <c r="A2082" s="45" t="s">
        <v>3799</v>
      </c>
      <c r="B2082" s="45"/>
      <c r="C2082" s="55">
        <v>45875</v>
      </c>
      <c r="D2082" s="45" t="s">
        <v>422</v>
      </c>
      <c r="E2082" s="45" t="s">
        <v>542</v>
      </c>
      <c r="G2082" s="38">
        <v>610</v>
      </c>
      <c r="H2082" s="38"/>
      <c r="K2082" s="38"/>
      <c r="L2082" s="38">
        <f t="shared" si="16"/>
        <v>610</v>
      </c>
    </row>
    <row r="2083" spans="1:12" ht="14.5" x14ac:dyDescent="0.35">
      <c r="A2083" s="45" t="s">
        <v>3799</v>
      </c>
      <c r="B2083" s="45"/>
      <c r="C2083" s="55">
        <v>45875</v>
      </c>
      <c r="D2083" s="45" t="s">
        <v>819</v>
      </c>
      <c r="E2083" s="45" t="s">
        <v>3600</v>
      </c>
      <c r="G2083" s="38">
        <v>324</v>
      </c>
      <c r="H2083" s="38"/>
      <c r="K2083" s="38"/>
      <c r="L2083" s="38">
        <f t="shared" si="16"/>
        <v>324</v>
      </c>
    </row>
    <row r="2084" spans="1:12" ht="14.5" x14ac:dyDescent="0.35">
      <c r="A2084" s="45" t="s">
        <v>3799</v>
      </c>
      <c r="B2084" s="45"/>
      <c r="C2084" s="55">
        <v>45875</v>
      </c>
      <c r="D2084" s="45" t="s">
        <v>819</v>
      </c>
      <c r="E2084" s="45" t="s">
        <v>3863</v>
      </c>
      <c r="G2084" s="38">
        <v>110</v>
      </c>
      <c r="H2084" s="38"/>
      <c r="K2084" s="38"/>
      <c r="L2084" s="38">
        <f t="shared" si="16"/>
        <v>110</v>
      </c>
    </row>
    <row r="2085" spans="1:12" ht="14.5" x14ac:dyDescent="0.35">
      <c r="A2085" s="45" t="s">
        <v>3799</v>
      </c>
      <c r="B2085" s="45"/>
      <c r="C2085" s="55">
        <v>45875</v>
      </c>
      <c r="D2085" s="45" t="s">
        <v>422</v>
      </c>
      <c r="E2085" s="45" t="s">
        <v>3864</v>
      </c>
      <c r="G2085" s="38">
        <v>39</v>
      </c>
      <c r="H2085" s="38"/>
      <c r="K2085" s="38"/>
      <c r="L2085" s="38">
        <f t="shared" si="16"/>
        <v>39</v>
      </c>
    </row>
    <row r="2086" spans="1:12" ht="14.5" x14ac:dyDescent="0.35">
      <c r="A2086" s="45" t="s">
        <v>3799</v>
      </c>
      <c r="B2086" s="45"/>
      <c r="C2086" s="55">
        <v>45875</v>
      </c>
      <c r="D2086" s="45" t="s">
        <v>422</v>
      </c>
      <c r="E2086" s="45" t="s">
        <v>3865</v>
      </c>
      <c r="G2086" s="38">
        <v>38</v>
      </c>
      <c r="H2086" s="38"/>
      <c r="K2086" s="38"/>
      <c r="L2086" s="38">
        <f t="shared" si="16"/>
        <v>38</v>
      </c>
    </row>
    <row r="2087" spans="1:12" ht="14.5" x14ac:dyDescent="0.35">
      <c r="A2087" s="45" t="s">
        <v>3799</v>
      </c>
      <c r="B2087" s="45"/>
      <c r="C2087" s="55">
        <v>45875</v>
      </c>
      <c r="D2087" s="45" t="s">
        <v>422</v>
      </c>
      <c r="E2087" s="45" t="s">
        <v>3866</v>
      </c>
      <c r="G2087" s="38">
        <v>39</v>
      </c>
      <c r="H2087" s="38"/>
      <c r="K2087" s="38"/>
      <c r="L2087" s="38">
        <f t="shared" si="16"/>
        <v>39</v>
      </c>
    </row>
    <row r="2088" spans="1:12" ht="14.5" x14ac:dyDescent="0.35">
      <c r="A2088" s="45" t="s">
        <v>3799</v>
      </c>
      <c r="B2088" s="45"/>
      <c r="C2088" s="55">
        <v>45875</v>
      </c>
      <c r="D2088" s="45" t="s">
        <v>422</v>
      </c>
      <c r="E2088" s="45" t="s">
        <v>561</v>
      </c>
      <c r="G2088" s="38">
        <v>104</v>
      </c>
      <c r="H2088" s="38"/>
      <c r="K2088" s="38"/>
      <c r="L2088" s="38">
        <f t="shared" ref="L2088:L2151" si="17">G2088-H2088</f>
        <v>104</v>
      </c>
    </row>
    <row r="2089" spans="1:12" ht="14.5" x14ac:dyDescent="0.35">
      <c r="A2089" s="45" t="s">
        <v>3799</v>
      </c>
      <c r="B2089" s="45"/>
      <c r="C2089" s="55">
        <v>45875</v>
      </c>
      <c r="D2089" s="45" t="s">
        <v>422</v>
      </c>
      <c r="E2089" s="45" t="s">
        <v>3627</v>
      </c>
      <c r="G2089" s="38">
        <v>112.99999999999999</v>
      </c>
      <c r="H2089" s="38"/>
      <c r="K2089" s="38"/>
      <c r="L2089" s="38">
        <f t="shared" si="17"/>
        <v>112.99999999999999</v>
      </c>
    </row>
    <row r="2090" spans="1:12" ht="14.5" x14ac:dyDescent="0.35">
      <c r="A2090" s="45" t="s">
        <v>3799</v>
      </c>
      <c r="B2090" s="45"/>
      <c r="C2090" s="55">
        <v>45875</v>
      </c>
      <c r="D2090" s="45" t="s">
        <v>422</v>
      </c>
      <c r="E2090" s="45" t="s">
        <v>3867</v>
      </c>
      <c r="G2090" s="38">
        <v>648.76</v>
      </c>
      <c r="H2090" s="38"/>
      <c r="K2090" s="38"/>
      <c r="L2090" s="38">
        <f t="shared" si="17"/>
        <v>648.76</v>
      </c>
    </row>
    <row r="2091" spans="1:12" ht="14.5" x14ac:dyDescent="0.35">
      <c r="A2091" s="45" t="s">
        <v>3799</v>
      </c>
      <c r="B2091" s="45"/>
      <c r="C2091" s="55">
        <v>45875</v>
      </c>
      <c r="D2091" s="45" t="s">
        <v>422</v>
      </c>
      <c r="E2091" s="45" t="s">
        <v>3868</v>
      </c>
      <c r="G2091" s="38">
        <v>38</v>
      </c>
      <c r="H2091" s="38"/>
      <c r="K2091" s="38"/>
      <c r="L2091" s="38">
        <f t="shared" si="17"/>
        <v>38</v>
      </c>
    </row>
    <row r="2092" spans="1:12" ht="14.5" x14ac:dyDescent="0.35">
      <c r="A2092" s="45" t="s">
        <v>3799</v>
      </c>
      <c r="B2092" s="45"/>
      <c r="C2092" s="55">
        <v>45875</v>
      </c>
      <c r="D2092" s="45" t="s">
        <v>17</v>
      </c>
      <c r="E2092" s="45">
        <v>20250263</v>
      </c>
      <c r="G2092" s="38">
        <v>650</v>
      </c>
      <c r="H2092" s="38"/>
      <c r="K2092" s="38"/>
      <c r="L2092" s="38">
        <f t="shared" si="17"/>
        <v>650</v>
      </c>
    </row>
    <row r="2093" spans="1:12" ht="14.5" x14ac:dyDescent="0.35">
      <c r="A2093" s="45" t="s">
        <v>3799</v>
      </c>
      <c r="B2093" s="45"/>
      <c r="C2093" s="55">
        <v>45875</v>
      </c>
      <c r="D2093" s="45" t="s">
        <v>422</v>
      </c>
      <c r="E2093" s="45" t="s">
        <v>3629</v>
      </c>
      <c r="G2093" s="38">
        <v>268</v>
      </c>
      <c r="H2093" s="38"/>
      <c r="K2093" s="38"/>
      <c r="L2093" s="38">
        <f t="shared" si="17"/>
        <v>268</v>
      </c>
    </row>
    <row r="2094" spans="1:12" ht="14.5" x14ac:dyDescent="0.35">
      <c r="A2094" s="45" t="s">
        <v>3799</v>
      </c>
      <c r="B2094" s="45"/>
      <c r="C2094" s="55">
        <v>45875</v>
      </c>
      <c r="D2094" s="45" t="s">
        <v>819</v>
      </c>
      <c r="E2094" s="45" t="s">
        <v>835</v>
      </c>
      <c r="G2094" s="38">
        <v>647.99999999999966</v>
      </c>
      <c r="H2094" s="38"/>
      <c r="K2094" s="38"/>
      <c r="L2094" s="38">
        <f t="shared" si="17"/>
        <v>647.99999999999966</v>
      </c>
    </row>
    <row r="2095" spans="1:12" ht="14.5" x14ac:dyDescent="0.35">
      <c r="A2095" s="45" t="s">
        <v>3799</v>
      </c>
      <c r="B2095" s="45"/>
      <c r="C2095" s="55">
        <v>45875</v>
      </c>
      <c r="D2095" s="45" t="s">
        <v>422</v>
      </c>
      <c r="E2095" s="45" t="s">
        <v>3869</v>
      </c>
      <c r="G2095" s="38">
        <v>78</v>
      </c>
      <c r="H2095" s="38"/>
      <c r="K2095" s="38"/>
      <c r="L2095" s="38">
        <f t="shared" si="17"/>
        <v>78</v>
      </c>
    </row>
    <row r="2096" spans="1:12" ht="14.5" x14ac:dyDescent="0.35">
      <c r="A2096" s="45" t="s">
        <v>3799</v>
      </c>
      <c r="B2096" s="45"/>
      <c r="C2096" s="55">
        <v>45875</v>
      </c>
      <c r="D2096" s="45" t="s">
        <v>422</v>
      </c>
      <c r="E2096" s="45" t="s">
        <v>3630</v>
      </c>
      <c r="G2096" s="38">
        <v>111</v>
      </c>
      <c r="H2096" s="38"/>
      <c r="K2096" s="38"/>
      <c r="L2096" s="38">
        <f t="shared" si="17"/>
        <v>111</v>
      </c>
    </row>
    <row r="2097" spans="1:12" ht="14.5" x14ac:dyDescent="0.35">
      <c r="A2097" s="45" t="s">
        <v>3799</v>
      </c>
      <c r="B2097" s="45"/>
      <c r="C2097" s="55">
        <v>45875</v>
      </c>
      <c r="D2097" s="45" t="s">
        <v>422</v>
      </c>
      <c r="E2097" s="45" t="s">
        <v>3870</v>
      </c>
      <c r="G2097" s="38">
        <v>203</v>
      </c>
      <c r="H2097" s="38"/>
      <c r="K2097" s="38"/>
      <c r="L2097" s="38">
        <f t="shared" si="17"/>
        <v>203</v>
      </c>
    </row>
    <row r="2098" spans="1:12" ht="14.5" x14ac:dyDescent="0.35">
      <c r="A2098" s="45" t="s">
        <v>3799</v>
      </c>
      <c r="B2098" s="45"/>
      <c r="C2098" s="55">
        <v>45875</v>
      </c>
      <c r="D2098" s="45" t="s">
        <v>422</v>
      </c>
      <c r="E2098" s="45" t="s">
        <v>3871</v>
      </c>
      <c r="G2098" s="38">
        <v>93</v>
      </c>
      <c r="H2098" s="38"/>
      <c r="K2098" s="38"/>
      <c r="L2098" s="38">
        <f t="shared" si="17"/>
        <v>93</v>
      </c>
    </row>
    <row r="2099" spans="1:12" ht="14.5" x14ac:dyDescent="0.35">
      <c r="A2099" s="45" t="s">
        <v>3799</v>
      </c>
      <c r="B2099" s="45"/>
      <c r="C2099" s="55">
        <v>45875</v>
      </c>
      <c r="D2099" s="45" t="s">
        <v>422</v>
      </c>
      <c r="E2099" s="45" t="s">
        <v>3872</v>
      </c>
      <c r="G2099" s="38">
        <v>78</v>
      </c>
      <c r="H2099" s="38"/>
      <c r="K2099" s="38"/>
      <c r="L2099" s="38">
        <f t="shared" si="17"/>
        <v>78</v>
      </c>
    </row>
    <row r="2100" spans="1:12" ht="14.5" x14ac:dyDescent="0.35">
      <c r="A2100" s="45" t="s">
        <v>3799</v>
      </c>
      <c r="B2100" s="45"/>
      <c r="C2100" s="55">
        <v>45875</v>
      </c>
      <c r="D2100" s="45" t="s">
        <v>422</v>
      </c>
      <c r="E2100" s="45" t="s">
        <v>3873</v>
      </c>
      <c r="G2100" s="38">
        <v>78</v>
      </c>
      <c r="H2100" s="38"/>
      <c r="K2100" s="38"/>
      <c r="L2100" s="38">
        <f t="shared" si="17"/>
        <v>78</v>
      </c>
    </row>
    <row r="2101" spans="1:12" ht="14.5" x14ac:dyDescent="0.35">
      <c r="A2101" s="45" t="s">
        <v>3799</v>
      </c>
      <c r="B2101" s="45"/>
      <c r="C2101" s="55">
        <v>45875</v>
      </c>
      <c r="D2101" s="45" t="s">
        <v>819</v>
      </c>
      <c r="E2101" s="45" t="s">
        <v>3609</v>
      </c>
      <c r="G2101" s="38">
        <v>110</v>
      </c>
      <c r="H2101" s="38"/>
      <c r="K2101" s="38"/>
      <c r="L2101" s="38">
        <f t="shared" si="17"/>
        <v>110</v>
      </c>
    </row>
    <row r="2102" spans="1:12" ht="14.5" x14ac:dyDescent="0.35">
      <c r="A2102" s="45" t="s">
        <v>3799</v>
      </c>
      <c r="B2102" s="45"/>
      <c r="C2102" s="55">
        <v>45875</v>
      </c>
      <c r="D2102" s="45" t="s">
        <v>422</v>
      </c>
      <c r="E2102" s="45" t="s">
        <v>3874</v>
      </c>
      <c r="G2102" s="38">
        <v>93</v>
      </c>
      <c r="H2102" s="38"/>
      <c r="K2102" s="38"/>
      <c r="L2102" s="38">
        <f t="shared" si="17"/>
        <v>93</v>
      </c>
    </row>
    <row r="2103" spans="1:12" ht="14.5" x14ac:dyDescent="0.35">
      <c r="A2103" s="45" t="s">
        <v>3799</v>
      </c>
      <c r="B2103" s="45"/>
      <c r="C2103" s="55">
        <v>45875</v>
      </c>
      <c r="D2103" s="45" t="s">
        <v>819</v>
      </c>
      <c r="E2103" s="45" t="s">
        <v>3875</v>
      </c>
      <c r="G2103" s="38">
        <v>110</v>
      </c>
      <c r="H2103" s="38"/>
      <c r="K2103" s="38"/>
      <c r="L2103" s="38">
        <f t="shared" si="17"/>
        <v>110</v>
      </c>
    </row>
    <row r="2104" spans="1:12" ht="14.5" x14ac:dyDescent="0.35">
      <c r="A2104" s="45" t="s">
        <v>3799</v>
      </c>
      <c r="B2104" s="45"/>
      <c r="C2104" s="55">
        <v>45875</v>
      </c>
      <c r="D2104" s="45" t="s">
        <v>422</v>
      </c>
      <c r="E2104" s="45" t="s">
        <v>598</v>
      </c>
      <c r="G2104" s="38">
        <v>78</v>
      </c>
      <c r="H2104" s="38"/>
      <c r="K2104" s="38"/>
      <c r="L2104" s="38">
        <f t="shared" si="17"/>
        <v>78</v>
      </c>
    </row>
    <row r="2105" spans="1:12" ht="14.5" x14ac:dyDescent="0.35">
      <c r="A2105" s="45" t="s">
        <v>3799</v>
      </c>
      <c r="B2105" s="45"/>
      <c r="C2105" s="55">
        <v>45875</v>
      </c>
      <c r="D2105" s="45" t="s">
        <v>422</v>
      </c>
      <c r="E2105" s="45" t="s">
        <v>3876</v>
      </c>
      <c r="G2105" s="38">
        <v>78</v>
      </c>
      <c r="H2105" s="38"/>
      <c r="K2105" s="38"/>
      <c r="L2105" s="38">
        <f t="shared" si="17"/>
        <v>78</v>
      </c>
    </row>
    <row r="2106" spans="1:12" ht="14.5" x14ac:dyDescent="0.35">
      <c r="A2106" s="45" t="s">
        <v>3799</v>
      </c>
      <c r="B2106" s="45"/>
      <c r="C2106" s="55">
        <v>45875</v>
      </c>
      <c r="D2106" s="45" t="s">
        <v>422</v>
      </c>
      <c r="E2106" s="45" t="s">
        <v>3877</v>
      </c>
      <c r="G2106" s="38">
        <v>324.38</v>
      </c>
      <c r="H2106" s="38"/>
      <c r="K2106" s="38"/>
      <c r="L2106" s="38">
        <f t="shared" si="17"/>
        <v>324.38</v>
      </c>
    </row>
    <row r="2107" spans="1:12" ht="14.5" x14ac:dyDescent="0.35">
      <c r="A2107" s="45" t="s">
        <v>3799</v>
      </c>
      <c r="B2107" s="45"/>
      <c r="C2107" s="55">
        <v>45875</v>
      </c>
      <c r="D2107" s="45" t="s">
        <v>819</v>
      </c>
      <c r="E2107" s="45" t="s">
        <v>3878</v>
      </c>
      <c r="G2107" s="38">
        <v>105</v>
      </c>
      <c r="H2107" s="38"/>
      <c r="K2107" s="38"/>
      <c r="L2107" s="38">
        <f t="shared" si="17"/>
        <v>105</v>
      </c>
    </row>
    <row r="2108" spans="1:12" ht="14.5" x14ac:dyDescent="0.35">
      <c r="A2108" s="45" t="s">
        <v>3799</v>
      </c>
      <c r="B2108" s="45"/>
      <c r="C2108" s="55">
        <v>45875</v>
      </c>
      <c r="D2108" s="45" t="s">
        <v>819</v>
      </c>
      <c r="E2108" s="45" t="s">
        <v>3879</v>
      </c>
      <c r="G2108" s="38">
        <v>219</v>
      </c>
      <c r="H2108" s="38"/>
      <c r="K2108" s="38"/>
      <c r="L2108" s="38">
        <f t="shared" si="17"/>
        <v>219</v>
      </c>
    </row>
    <row r="2109" spans="1:12" ht="14.5" x14ac:dyDescent="0.35">
      <c r="A2109" s="45" t="s">
        <v>3799</v>
      </c>
      <c r="B2109" s="45"/>
      <c r="C2109" s="55">
        <v>45875</v>
      </c>
      <c r="D2109" s="45" t="s">
        <v>422</v>
      </c>
      <c r="E2109" s="45" t="s">
        <v>3880</v>
      </c>
      <c r="G2109" s="38">
        <v>78</v>
      </c>
      <c r="H2109" s="38"/>
      <c r="K2109" s="38"/>
      <c r="L2109" s="38">
        <f t="shared" si="17"/>
        <v>78</v>
      </c>
    </row>
    <row r="2110" spans="1:12" ht="14.5" x14ac:dyDescent="0.35">
      <c r="A2110" s="45" t="s">
        <v>3799</v>
      </c>
      <c r="B2110" s="45"/>
      <c r="C2110" s="55">
        <v>45875</v>
      </c>
      <c r="D2110" s="45" t="s">
        <v>819</v>
      </c>
      <c r="E2110" s="45" t="s">
        <v>3881</v>
      </c>
      <c r="G2110" s="38">
        <v>500</v>
      </c>
      <c r="H2110" s="38"/>
      <c r="K2110" s="38"/>
      <c r="L2110" s="38">
        <f t="shared" si="17"/>
        <v>500</v>
      </c>
    </row>
    <row r="2111" spans="1:12" ht="14.5" x14ac:dyDescent="0.35">
      <c r="A2111" s="45" t="s">
        <v>3799</v>
      </c>
      <c r="B2111" s="45"/>
      <c r="C2111" s="55">
        <v>45875</v>
      </c>
      <c r="D2111" s="45" t="s">
        <v>422</v>
      </c>
      <c r="E2111" s="45" t="s">
        <v>3882</v>
      </c>
      <c r="G2111" s="38">
        <v>850</v>
      </c>
      <c r="H2111" s="38"/>
      <c r="K2111" s="38"/>
      <c r="L2111" s="38">
        <f t="shared" si="17"/>
        <v>850</v>
      </c>
    </row>
    <row r="2112" spans="1:12" ht="14.5" x14ac:dyDescent="0.35">
      <c r="A2112" s="45" t="s">
        <v>3799</v>
      </c>
      <c r="B2112" s="45"/>
      <c r="C2112" s="55">
        <v>45875</v>
      </c>
      <c r="D2112" s="45" t="s">
        <v>716</v>
      </c>
      <c r="E2112" s="45" t="s">
        <v>725</v>
      </c>
      <c r="G2112" s="38">
        <v>4924</v>
      </c>
      <c r="H2112" s="38"/>
      <c r="K2112" s="38"/>
      <c r="L2112" s="38">
        <f t="shared" si="17"/>
        <v>4924</v>
      </c>
    </row>
    <row r="2113" spans="1:12" ht="14.5" x14ac:dyDescent="0.35">
      <c r="A2113" s="45" t="s">
        <v>3799</v>
      </c>
      <c r="B2113" s="45"/>
      <c r="C2113" s="55">
        <v>45875</v>
      </c>
      <c r="D2113" s="45" t="s">
        <v>819</v>
      </c>
      <c r="E2113" s="45" t="s">
        <v>3883</v>
      </c>
      <c r="G2113" s="38">
        <v>500</v>
      </c>
      <c r="H2113" s="38"/>
      <c r="K2113" s="38"/>
      <c r="L2113" s="38">
        <f t="shared" si="17"/>
        <v>500</v>
      </c>
    </row>
    <row r="2114" spans="1:12" ht="14.5" x14ac:dyDescent="0.35">
      <c r="A2114" s="45" t="s">
        <v>3799</v>
      </c>
      <c r="B2114" s="45"/>
      <c r="C2114" s="55">
        <v>45875</v>
      </c>
      <c r="D2114" s="45" t="s">
        <v>422</v>
      </c>
      <c r="E2114" s="45" t="s">
        <v>3776</v>
      </c>
      <c r="G2114" s="38">
        <v>313.5</v>
      </c>
      <c r="H2114" s="38"/>
      <c r="K2114" s="38"/>
      <c r="L2114" s="38">
        <f t="shared" si="17"/>
        <v>313.5</v>
      </c>
    </row>
    <row r="2115" spans="1:12" ht="14.5" x14ac:dyDescent="0.35">
      <c r="A2115" s="45" t="s">
        <v>3799</v>
      </c>
      <c r="B2115" s="45"/>
      <c r="C2115" s="55">
        <v>45875</v>
      </c>
      <c r="D2115" s="45" t="s">
        <v>819</v>
      </c>
      <c r="E2115" s="45" t="s">
        <v>3884</v>
      </c>
      <c r="G2115" s="38">
        <v>109</v>
      </c>
      <c r="H2115" s="38"/>
      <c r="K2115" s="38"/>
      <c r="L2115" s="38">
        <f t="shared" si="17"/>
        <v>109</v>
      </c>
    </row>
    <row r="2116" spans="1:12" ht="14.5" x14ac:dyDescent="0.35">
      <c r="A2116" s="45" t="s">
        <v>3799</v>
      </c>
      <c r="B2116" s="45"/>
      <c r="C2116" s="55">
        <v>45875</v>
      </c>
      <c r="D2116" s="45" t="s">
        <v>34</v>
      </c>
      <c r="E2116" s="45" t="s">
        <v>38</v>
      </c>
      <c r="G2116" s="38">
        <v>3537</v>
      </c>
      <c r="H2116" s="38"/>
      <c r="K2116" s="38"/>
      <c r="L2116" s="38">
        <f t="shared" si="17"/>
        <v>3537</v>
      </c>
    </row>
    <row r="2117" spans="1:12" ht="14.5" x14ac:dyDescent="0.35">
      <c r="A2117" s="45" t="s">
        <v>3799</v>
      </c>
      <c r="B2117" s="45"/>
      <c r="C2117" s="55">
        <v>45876</v>
      </c>
      <c r="D2117" s="45" t="s">
        <v>913</v>
      </c>
      <c r="E2117" s="45" t="s">
        <v>3885</v>
      </c>
      <c r="G2117" s="38">
        <v>1379.9999999999998</v>
      </c>
      <c r="H2117" s="38"/>
      <c r="K2117" s="38"/>
      <c r="L2117" s="38">
        <f t="shared" si="17"/>
        <v>1379.9999999999998</v>
      </c>
    </row>
    <row r="2118" spans="1:12" ht="14.5" x14ac:dyDescent="0.35">
      <c r="A2118" s="45" t="s">
        <v>3799</v>
      </c>
      <c r="B2118" s="45"/>
      <c r="C2118" s="55">
        <v>45876</v>
      </c>
      <c r="D2118" s="45" t="s">
        <v>422</v>
      </c>
      <c r="E2118" s="45" t="s">
        <v>426</v>
      </c>
      <c r="G2118" s="38">
        <v>299.7</v>
      </c>
      <c r="H2118" s="38"/>
      <c r="K2118" s="38"/>
      <c r="L2118" s="38">
        <f t="shared" si="17"/>
        <v>299.7</v>
      </c>
    </row>
    <row r="2119" spans="1:12" ht="14.5" x14ac:dyDescent="0.35">
      <c r="A2119" s="45" t="s">
        <v>3799</v>
      </c>
      <c r="B2119" s="45"/>
      <c r="C2119" s="55">
        <v>45876</v>
      </c>
      <c r="D2119" s="45" t="s">
        <v>96</v>
      </c>
      <c r="E2119" s="45" t="s">
        <v>3886</v>
      </c>
      <c r="G2119" s="38">
        <v>3998.86</v>
      </c>
      <c r="H2119" s="38"/>
      <c r="K2119" s="38"/>
      <c r="L2119" s="38">
        <f t="shared" si="17"/>
        <v>3998.86</v>
      </c>
    </row>
    <row r="2120" spans="1:12" ht="14.5" x14ac:dyDescent="0.35">
      <c r="A2120" s="45" t="s">
        <v>3799</v>
      </c>
      <c r="B2120" s="45"/>
      <c r="C2120" s="55">
        <v>45876</v>
      </c>
      <c r="D2120" s="45" t="s">
        <v>422</v>
      </c>
      <c r="E2120" s="45" t="s">
        <v>3673</v>
      </c>
      <c r="G2120" s="38">
        <v>700.89</v>
      </c>
      <c r="H2120" s="38"/>
      <c r="K2120" s="38"/>
      <c r="L2120" s="38">
        <f t="shared" si="17"/>
        <v>700.89</v>
      </c>
    </row>
    <row r="2121" spans="1:12" ht="14.5" x14ac:dyDescent="0.35">
      <c r="A2121" s="45" t="s">
        <v>3799</v>
      </c>
      <c r="B2121" s="45"/>
      <c r="C2121" s="55">
        <v>45876</v>
      </c>
      <c r="D2121" s="45" t="s">
        <v>422</v>
      </c>
      <c r="E2121" s="45" t="s">
        <v>3626</v>
      </c>
      <c r="G2121" s="38">
        <v>251.7</v>
      </c>
      <c r="H2121" s="38"/>
      <c r="K2121" s="38"/>
      <c r="L2121" s="38">
        <f t="shared" si="17"/>
        <v>251.7</v>
      </c>
    </row>
    <row r="2122" spans="1:12" ht="14.5" x14ac:dyDescent="0.35">
      <c r="A2122" s="45" t="s">
        <v>3799</v>
      </c>
      <c r="B2122" s="45"/>
      <c r="C2122" s="55">
        <v>45876</v>
      </c>
      <c r="D2122" s="45" t="s">
        <v>17</v>
      </c>
      <c r="E2122" s="45">
        <v>20250275</v>
      </c>
      <c r="G2122" s="38">
        <v>650</v>
      </c>
      <c r="H2122" s="38"/>
      <c r="K2122" s="38"/>
      <c r="L2122" s="38">
        <f t="shared" si="17"/>
        <v>650</v>
      </c>
    </row>
    <row r="2123" spans="1:12" ht="14.5" x14ac:dyDescent="0.35">
      <c r="A2123" s="45" t="s">
        <v>3799</v>
      </c>
      <c r="B2123" s="45"/>
      <c r="C2123" s="55">
        <v>45876</v>
      </c>
      <c r="D2123" s="45" t="s">
        <v>422</v>
      </c>
      <c r="E2123" s="45" t="s">
        <v>3887</v>
      </c>
      <c r="G2123" s="38">
        <v>251.70000000000002</v>
      </c>
      <c r="H2123" s="38"/>
      <c r="K2123" s="38"/>
      <c r="L2123" s="38">
        <f t="shared" si="17"/>
        <v>251.70000000000002</v>
      </c>
    </row>
    <row r="2124" spans="1:12" ht="14.5" x14ac:dyDescent="0.35">
      <c r="A2124" s="45" t="s">
        <v>3799</v>
      </c>
      <c r="B2124" s="45"/>
      <c r="C2124" s="55">
        <v>45876</v>
      </c>
      <c r="D2124" s="45" t="s">
        <v>422</v>
      </c>
      <c r="E2124" s="45" t="s">
        <v>3888</v>
      </c>
      <c r="G2124" s="38">
        <v>251.7</v>
      </c>
      <c r="H2124" s="38"/>
      <c r="K2124" s="38"/>
      <c r="L2124" s="38">
        <f t="shared" si="17"/>
        <v>251.7</v>
      </c>
    </row>
    <row r="2125" spans="1:12" ht="14.5" x14ac:dyDescent="0.35">
      <c r="A2125" s="45" t="s">
        <v>3799</v>
      </c>
      <c r="B2125" s="45"/>
      <c r="C2125" s="55">
        <v>45876</v>
      </c>
      <c r="D2125" s="45" t="s">
        <v>927</v>
      </c>
      <c r="E2125" s="45" t="s">
        <v>3632</v>
      </c>
      <c r="G2125" s="38">
        <v>108</v>
      </c>
      <c r="H2125" s="38"/>
      <c r="K2125" s="38"/>
      <c r="L2125" s="38">
        <f t="shared" si="17"/>
        <v>108</v>
      </c>
    </row>
    <row r="2126" spans="1:12" ht="14.5" x14ac:dyDescent="0.35">
      <c r="A2126" s="45" t="s">
        <v>3799</v>
      </c>
      <c r="B2126" s="45"/>
      <c r="C2126" s="55">
        <v>45876</v>
      </c>
      <c r="D2126" s="45" t="s">
        <v>422</v>
      </c>
      <c r="E2126" s="45" t="s">
        <v>3889</v>
      </c>
      <c r="G2126" s="38">
        <v>503.75</v>
      </c>
      <c r="H2126" s="38"/>
      <c r="K2126" s="38"/>
      <c r="L2126" s="38">
        <f t="shared" si="17"/>
        <v>503.75</v>
      </c>
    </row>
    <row r="2127" spans="1:12" ht="14.5" x14ac:dyDescent="0.35">
      <c r="A2127" s="45" t="s">
        <v>3799</v>
      </c>
      <c r="B2127" s="45"/>
      <c r="C2127" s="55">
        <v>45876</v>
      </c>
      <c r="D2127" s="45" t="s">
        <v>422</v>
      </c>
      <c r="E2127" s="45" t="s">
        <v>3890</v>
      </c>
      <c r="G2127" s="38">
        <v>251.7</v>
      </c>
      <c r="H2127" s="38"/>
      <c r="K2127" s="38"/>
      <c r="L2127" s="38">
        <f t="shared" si="17"/>
        <v>251.7</v>
      </c>
    </row>
    <row r="2128" spans="1:12" ht="14.5" x14ac:dyDescent="0.35">
      <c r="A2128" s="45" t="s">
        <v>3799</v>
      </c>
      <c r="B2128" s="45"/>
      <c r="C2128" s="55">
        <v>45876</v>
      </c>
      <c r="D2128" s="45" t="s">
        <v>819</v>
      </c>
      <c r="E2128" s="45" t="s">
        <v>3891</v>
      </c>
      <c r="G2128" s="38">
        <v>730</v>
      </c>
      <c r="H2128" s="38"/>
      <c r="K2128" s="38"/>
      <c r="L2128" s="38">
        <f t="shared" si="17"/>
        <v>730</v>
      </c>
    </row>
    <row r="2129" spans="1:12" ht="14.5" x14ac:dyDescent="0.35">
      <c r="A2129" s="45" t="s">
        <v>3799</v>
      </c>
      <c r="B2129" s="45"/>
      <c r="C2129" s="55">
        <v>45876</v>
      </c>
      <c r="D2129" s="45" t="s">
        <v>927</v>
      </c>
      <c r="E2129" s="45" t="s">
        <v>3635</v>
      </c>
      <c r="G2129" s="38">
        <v>108</v>
      </c>
      <c r="H2129" s="38"/>
      <c r="K2129" s="38"/>
      <c r="L2129" s="38">
        <f t="shared" si="17"/>
        <v>108</v>
      </c>
    </row>
    <row r="2130" spans="1:12" ht="14.5" x14ac:dyDescent="0.35">
      <c r="A2130" s="45" t="s">
        <v>3799</v>
      </c>
      <c r="B2130" s="45"/>
      <c r="C2130" s="55">
        <v>45876</v>
      </c>
      <c r="D2130" s="45" t="s">
        <v>422</v>
      </c>
      <c r="E2130" s="45" t="s">
        <v>3615</v>
      </c>
      <c r="G2130" s="38">
        <v>650</v>
      </c>
      <c r="H2130" s="38"/>
      <c r="K2130" s="38"/>
      <c r="L2130" s="38">
        <f t="shared" si="17"/>
        <v>650</v>
      </c>
    </row>
    <row r="2131" spans="1:12" ht="14.5" x14ac:dyDescent="0.35">
      <c r="A2131" s="45" t="s">
        <v>3799</v>
      </c>
      <c r="B2131" s="45"/>
      <c r="C2131" s="55">
        <v>45876</v>
      </c>
      <c r="D2131" s="45" t="s">
        <v>34</v>
      </c>
      <c r="E2131" s="45" t="s">
        <v>41</v>
      </c>
      <c r="G2131" s="38">
        <v>7280.9199999999983</v>
      </c>
      <c r="H2131" s="38"/>
      <c r="K2131" s="38"/>
      <c r="L2131" s="38">
        <f t="shared" si="17"/>
        <v>7280.9199999999983</v>
      </c>
    </row>
    <row r="2132" spans="1:12" ht="14.5" x14ac:dyDescent="0.35">
      <c r="A2132" s="45" t="s">
        <v>3799</v>
      </c>
      <c r="B2132" s="45"/>
      <c r="C2132" s="55">
        <v>45876</v>
      </c>
      <c r="D2132" s="45" t="s">
        <v>422</v>
      </c>
      <c r="E2132" s="45" t="s">
        <v>3892</v>
      </c>
      <c r="G2132" s="38">
        <v>251.6999999999999</v>
      </c>
      <c r="H2132" s="38"/>
      <c r="K2132" s="38"/>
      <c r="L2132" s="38">
        <f t="shared" si="17"/>
        <v>251.6999999999999</v>
      </c>
    </row>
    <row r="2133" spans="1:12" ht="14.5" x14ac:dyDescent="0.35">
      <c r="A2133" s="45" t="s">
        <v>3799</v>
      </c>
      <c r="B2133" s="45"/>
      <c r="C2133" s="55">
        <v>45876</v>
      </c>
      <c r="D2133" s="45" t="s">
        <v>34</v>
      </c>
      <c r="E2133" s="45" t="s">
        <v>39</v>
      </c>
      <c r="G2133" s="38">
        <v>4657</v>
      </c>
      <c r="H2133" s="38"/>
      <c r="K2133" s="38"/>
      <c r="L2133" s="38">
        <f t="shared" si="17"/>
        <v>4657</v>
      </c>
    </row>
    <row r="2134" spans="1:12" ht="14.5" x14ac:dyDescent="0.35">
      <c r="A2134" s="45" t="s">
        <v>3799</v>
      </c>
      <c r="B2134" s="45"/>
      <c r="C2134" s="55">
        <v>45876</v>
      </c>
      <c r="D2134" s="45" t="s">
        <v>927</v>
      </c>
      <c r="E2134" s="45" t="s">
        <v>3636</v>
      </c>
      <c r="G2134" s="38">
        <v>108</v>
      </c>
      <c r="H2134" s="38"/>
      <c r="K2134" s="38"/>
      <c r="L2134" s="38">
        <f t="shared" si="17"/>
        <v>108</v>
      </c>
    </row>
    <row r="2135" spans="1:12" ht="14.5" x14ac:dyDescent="0.35">
      <c r="A2135" s="45" t="s">
        <v>3799</v>
      </c>
      <c r="B2135" s="45"/>
      <c r="C2135" s="55">
        <v>45876</v>
      </c>
      <c r="D2135" s="45" t="s">
        <v>927</v>
      </c>
      <c r="E2135" s="45" t="s">
        <v>3637</v>
      </c>
      <c r="G2135" s="38">
        <v>108</v>
      </c>
      <c r="H2135" s="38"/>
      <c r="K2135" s="38"/>
      <c r="L2135" s="38">
        <f t="shared" si="17"/>
        <v>108</v>
      </c>
    </row>
    <row r="2136" spans="1:12" ht="14.5" x14ac:dyDescent="0.35">
      <c r="A2136" s="45" t="s">
        <v>3799</v>
      </c>
      <c r="B2136" s="45"/>
      <c r="C2136" s="55">
        <v>45876</v>
      </c>
      <c r="D2136" s="45" t="s">
        <v>422</v>
      </c>
      <c r="E2136" s="45" t="s">
        <v>3893</v>
      </c>
      <c r="G2136" s="38">
        <v>251.7</v>
      </c>
      <c r="H2136" s="38"/>
      <c r="K2136" s="38"/>
      <c r="L2136" s="38">
        <f t="shared" si="17"/>
        <v>251.7</v>
      </c>
    </row>
    <row r="2137" spans="1:12" ht="14.5" x14ac:dyDescent="0.35">
      <c r="A2137" s="45" t="s">
        <v>3799</v>
      </c>
      <c r="B2137" s="45"/>
      <c r="C2137" s="55">
        <v>45876</v>
      </c>
      <c r="D2137" s="45" t="s">
        <v>927</v>
      </c>
      <c r="E2137" s="45" t="s">
        <v>3638</v>
      </c>
      <c r="G2137" s="38">
        <v>109</v>
      </c>
      <c r="H2137" s="38"/>
      <c r="K2137" s="38"/>
      <c r="L2137" s="38">
        <f t="shared" si="17"/>
        <v>109</v>
      </c>
    </row>
    <row r="2138" spans="1:12" ht="14.5" x14ac:dyDescent="0.35">
      <c r="A2138" s="45" t="s">
        <v>3799</v>
      </c>
      <c r="B2138" s="45"/>
      <c r="C2138" s="55">
        <v>45876</v>
      </c>
      <c r="D2138" s="45" t="s">
        <v>927</v>
      </c>
      <c r="E2138" s="45" t="s">
        <v>3639</v>
      </c>
      <c r="G2138" s="38">
        <v>109</v>
      </c>
      <c r="H2138" s="38"/>
      <c r="K2138" s="38"/>
      <c r="L2138" s="38">
        <f t="shared" si="17"/>
        <v>109</v>
      </c>
    </row>
    <row r="2139" spans="1:12" ht="14.5" x14ac:dyDescent="0.35">
      <c r="A2139" s="45" t="s">
        <v>3799</v>
      </c>
      <c r="B2139" s="45"/>
      <c r="C2139" s="55">
        <v>45877</v>
      </c>
      <c r="D2139" s="45" t="s">
        <v>422</v>
      </c>
      <c r="E2139" s="45" t="s">
        <v>3631</v>
      </c>
      <c r="G2139" s="38">
        <v>240</v>
      </c>
      <c r="H2139" s="38"/>
      <c r="K2139" s="38"/>
      <c r="L2139" s="38">
        <f t="shared" si="17"/>
        <v>240</v>
      </c>
    </row>
    <row r="2140" spans="1:12" ht="14.5" x14ac:dyDescent="0.35">
      <c r="A2140" s="45" t="s">
        <v>3799</v>
      </c>
      <c r="B2140" s="45"/>
      <c r="C2140" s="55">
        <v>45877</v>
      </c>
      <c r="D2140" s="45" t="s">
        <v>819</v>
      </c>
      <c r="E2140" s="45" t="s">
        <v>3894</v>
      </c>
      <c r="G2140" s="38">
        <v>81</v>
      </c>
      <c r="H2140" s="38"/>
      <c r="K2140" s="38"/>
      <c r="L2140" s="38">
        <f t="shared" si="17"/>
        <v>81</v>
      </c>
    </row>
    <row r="2141" spans="1:12" ht="14.5" x14ac:dyDescent="0.35">
      <c r="A2141" s="45" t="s">
        <v>3799</v>
      </c>
      <c r="B2141" s="45"/>
      <c r="C2141" s="55">
        <v>45877</v>
      </c>
      <c r="D2141" s="45" t="s">
        <v>793</v>
      </c>
      <c r="E2141" s="45">
        <v>9</v>
      </c>
      <c r="G2141" s="38">
        <v>739</v>
      </c>
      <c r="H2141" s="38"/>
      <c r="K2141" s="38"/>
      <c r="L2141" s="38">
        <f t="shared" si="17"/>
        <v>739</v>
      </c>
    </row>
    <row r="2142" spans="1:12" ht="14.5" x14ac:dyDescent="0.35">
      <c r="A2142" s="45" t="s">
        <v>3799</v>
      </c>
      <c r="B2142" s="45"/>
      <c r="C2142" s="55">
        <v>45877</v>
      </c>
      <c r="D2142" s="45" t="s">
        <v>96</v>
      </c>
      <c r="E2142" s="45" t="s">
        <v>3787</v>
      </c>
      <c r="G2142" s="38">
        <v>4046</v>
      </c>
      <c r="H2142" s="38"/>
      <c r="K2142" s="38"/>
      <c r="L2142" s="38">
        <f t="shared" si="17"/>
        <v>4046</v>
      </c>
    </row>
    <row r="2143" spans="1:12" ht="14.5" x14ac:dyDescent="0.35">
      <c r="A2143" s="45" t="s">
        <v>3799</v>
      </c>
      <c r="B2143" s="45"/>
      <c r="C2143" s="55">
        <v>45877</v>
      </c>
      <c r="D2143" s="45" t="s">
        <v>782</v>
      </c>
      <c r="E2143" s="45" t="s">
        <v>785</v>
      </c>
      <c r="G2143" s="38">
        <v>17667.16</v>
      </c>
      <c r="H2143" s="38"/>
      <c r="K2143" s="38"/>
      <c r="L2143" s="38">
        <f t="shared" si="17"/>
        <v>17667.16</v>
      </c>
    </row>
    <row r="2144" spans="1:12" ht="14.5" x14ac:dyDescent="0.35">
      <c r="A2144" s="45" t="s">
        <v>3799</v>
      </c>
      <c r="B2144" s="45"/>
      <c r="C2144" s="55">
        <v>45877</v>
      </c>
      <c r="D2144" s="45" t="s">
        <v>422</v>
      </c>
      <c r="E2144" s="45" t="s">
        <v>559</v>
      </c>
      <c r="G2144" s="38">
        <v>74</v>
      </c>
      <c r="H2144" s="38"/>
      <c r="K2144" s="38"/>
      <c r="L2144" s="38">
        <f t="shared" si="17"/>
        <v>74</v>
      </c>
    </row>
    <row r="2145" spans="1:12" ht="14.5" x14ac:dyDescent="0.35">
      <c r="A2145" s="45" t="s">
        <v>3799</v>
      </c>
      <c r="B2145" s="45"/>
      <c r="C2145" s="55">
        <v>45877</v>
      </c>
      <c r="D2145" s="45" t="s">
        <v>422</v>
      </c>
      <c r="E2145" s="45" t="s">
        <v>3895</v>
      </c>
      <c r="G2145" s="38">
        <v>26</v>
      </c>
      <c r="H2145" s="38"/>
      <c r="K2145" s="38"/>
      <c r="L2145" s="38">
        <f t="shared" si="17"/>
        <v>26</v>
      </c>
    </row>
    <row r="2146" spans="1:12" ht="14.5" x14ac:dyDescent="0.35">
      <c r="A2146" s="45" t="s">
        <v>3799</v>
      </c>
      <c r="B2146" s="45"/>
      <c r="C2146" s="55">
        <v>45877</v>
      </c>
      <c r="D2146" s="45" t="s">
        <v>109</v>
      </c>
      <c r="E2146" s="45" t="s">
        <v>293</v>
      </c>
      <c r="G2146" s="38">
        <v>737</v>
      </c>
      <c r="H2146" s="38"/>
      <c r="K2146" s="38"/>
      <c r="L2146" s="38">
        <f t="shared" si="17"/>
        <v>737</v>
      </c>
    </row>
    <row r="2147" spans="1:12" ht="14.5" x14ac:dyDescent="0.35">
      <c r="A2147" s="45" t="s">
        <v>3799</v>
      </c>
      <c r="B2147" s="45"/>
      <c r="C2147" s="55">
        <v>45877</v>
      </c>
      <c r="D2147" s="45" t="s">
        <v>819</v>
      </c>
      <c r="E2147" s="45" t="s">
        <v>3896</v>
      </c>
      <c r="G2147" s="38">
        <v>96</v>
      </c>
      <c r="H2147" s="38"/>
      <c r="K2147" s="38"/>
      <c r="L2147" s="38">
        <f t="shared" si="17"/>
        <v>96</v>
      </c>
    </row>
    <row r="2148" spans="1:12" ht="14.5" x14ac:dyDescent="0.35">
      <c r="A2148" s="45" t="s">
        <v>3799</v>
      </c>
      <c r="B2148" s="45"/>
      <c r="C2148" s="55">
        <v>45877</v>
      </c>
      <c r="D2148" s="45" t="s">
        <v>422</v>
      </c>
      <c r="E2148" s="45" t="s">
        <v>3682</v>
      </c>
      <c r="G2148" s="38">
        <v>340</v>
      </c>
      <c r="H2148" s="38"/>
      <c r="K2148" s="38"/>
      <c r="L2148" s="38">
        <f t="shared" si="17"/>
        <v>340</v>
      </c>
    </row>
    <row r="2149" spans="1:12" ht="14.5" x14ac:dyDescent="0.35">
      <c r="A2149" s="45" t="s">
        <v>3799</v>
      </c>
      <c r="B2149" s="45"/>
      <c r="C2149" s="55">
        <v>45877</v>
      </c>
      <c r="D2149" s="45" t="s">
        <v>422</v>
      </c>
      <c r="E2149" s="45" t="s">
        <v>3897</v>
      </c>
      <c r="G2149" s="38">
        <v>52</v>
      </c>
      <c r="H2149" s="38"/>
      <c r="K2149" s="38"/>
      <c r="L2149" s="38">
        <f t="shared" si="17"/>
        <v>52</v>
      </c>
    </row>
    <row r="2150" spans="1:12" ht="14.5" x14ac:dyDescent="0.35">
      <c r="A2150" s="45" t="s">
        <v>3799</v>
      </c>
      <c r="B2150" s="45"/>
      <c r="C2150" s="55">
        <v>45877</v>
      </c>
      <c r="D2150" s="45" t="s">
        <v>422</v>
      </c>
      <c r="E2150" s="45" t="s">
        <v>3624</v>
      </c>
      <c r="G2150" s="38">
        <v>183</v>
      </c>
      <c r="H2150" s="38"/>
      <c r="K2150" s="38"/>
      <c r="L2150" s="38">
        <f t="shared" si="17"/>
        <v>183</v>
      </c>
    </row>
    <row r="2151" spans="1:12" ht="14.5" x14ac:dyDescent="0.35">
      <c r="A2151" s="45" t="s">
        <v>3799</v>
      </c>
      <c r="B2151" s="45"/>
      <c r="C2151" s="55">
        <v>45877</v>
      </c>
      <c r="D2151" s="45" t="s">
        <v>819</v>
      </c>
      <c r="E2151" s="45" t="s">
        <v>3898</v>
      </c>
      <c r="G2151" s="38">
        <v>82</v>
      </c>
      <c r="H2151" s="38"/>
      <c r="K2151" s="38"/>
      <c r="L2151" s="38">
        <f t="shared" si="17"/>
        <v>82</v>
      </c>
    </row>
    <row r="2152" spans="1:12" ht="14.5" x14ac:dyDescent="0.35">
      <c r="A2152" s="45" t="s">
        <v>3799</v>
      </c>
      <c r="B2152" s="45"/>
      <c r="C2152" s="55">
        <v>45877</v>
      </c>
      <c r="D2152" s="45" t="s">
        <v>422</v>
      </c>
      <c r="E2152" s="45" t="s">
        <v>3899</v>
      </c>
      <c r="G2152" s="38">
        <v>52</v>
      </c>
      <c r="H2152" s="38"/>
      <c r="K2152" s="38"/>
      <c r="L2152" s="38">
        <f t="shared" ref="L2152:L2215" si="18">G2152-H2152</f>
        <v>52</v>
      </c>
    </row>
    <row r="2153" spans="1:12" ht="14.5" x14ac:dyDescent="0.35">
      <c r="A2153" s="45" t="s">
        <v>3799</v>
      </c>
      <c r="B2153" s="45"/>
      <c r="C2153" s="55">
        <v>45877</v>
      </c>
      <c r="D2153" s="45" t="s">
        <v>819</v>
      </c>
      <c r="E2153" s="45" t="s">
        <v>3900</v>
      </c>
      <c r="G2153" s="38">
        <v>1311.7800000000002</v>
      </c>
      <c r="H2153" s="38"/>
      <c r="K2153" s="38"/>
      <c r="L2153" s="38">
        <f t="shared" si="18"/>
        <v>1311.7800000000002</v>
      </c>
    </row>
    <row r="2154" spans="1:12" ht="14.5" x14ac:dyDescent="0.35">
      <c r="A2154" s="45" t="s">
        <v>3799</v>
      </c>
      <c r="B2154" s="45"/>
      <c r="C2154" s="55">
        <v>45877</v>
      </c>
      <c r="D2154" s="45" t="s">
        <v>422</v>
      </c>
      <c r="E2154" s="45" t="s">
        <v>649</v>
      </c>
      <c r="G2154" s="38">
        <v>26</v>
      </c>
      <c r="H2154" s="38"/>
      <c r="K2154" s="38"/>
      <c r="L2154" s="38">
        <f t="shared" si="18"/>
        <v>26</v>
      </c>
    </row>
    <row r="2155" spans="1:12" ht="14.5" x14ac:dyDescent="0.35">
      <c r="A2155" s="45" t="s">
        <v>3799</v>
      </c>
      <c r="B2155" s="45"/>
      <c r="C2155" s="55">
        <v>45877</v>
      </c>
      <c r="D2155" s="45" t="s">
        <v>422</v>
      </c>
      <c r="E2155" s="45" t="s">
        <v>3760</v>
      </c>
      <c r="G2155" s="38">
        <v>163.75</v>
      </c>
      <c r="H2155" s="38"/>
      <c r="K2155" s="38"/>
      <c r="L2155" s="38">
        <f t="shared" si="18"/>
        <v>163.75</v>
      </c>
    </row>
    <row r="2156" spans="1:12" ht="14.5" x14ac:dyDescent="0.35">
      <c r="A2156" s="45" t="s">
        <v>3799</v>
      </c>
      <c r="B2156" s="45"/>
      <c r="C2156" s="55">
        <v>45877</v>
      </c>
      <c r="D2156" s="45" t="s">
        <v>422</v>
      </c>
      <c r="E2156" s="45" t="s">
        <v>570</v>
      </c>
      <c r="G2156" s="38">
        <v>26</v>
      </c>
      <c r="H2156" s="38"/>
      <c r="K2156" s="38"/>
      <c r="L2156" s="38">
        <f t="shared" si="18"/>
        <v>26</v>
      </c>
    </row>
    <row r="2157" spans="1:12" ht="14.5" x14ac:dyDescent="0.35">
      <c r="A2157" s="45" t="s">
        <v>3799</v>
      </c>
      <c r="B2157" s="45"/>
      <c r="C2157" s="55">
        <v>45877</v>
      </c>
      <c r="D2157" s="45" t="s">
        <v>109</v>
      </c>
      <c r="E2157" s="45" t="s">
        <v>295</v>
      </c>
      <c r="G2157" s="38">
        <v>738</v>
      </c>
      <c r="H2157" s="38"/>
      <c r="K2157" s="38"/>
      <c r="L2157" s="38">
        <f t="shared" si="18"/>
        <v>738</v>
      </c>
    </row>
    <row r="2158" spans="1:12" ht="14.5" x14ac:dyDescent="0.35">
      <c r="A2158" s="45" t="s">
        <v>3799</v>
      </c>
      <c r="B2158" s="45"/>
      <c r="C2158" s="55">
        <v>45877</v>
      </c>
      <c r="D2158" s="45" t="s">
        <v>819</v>
      </c>
      <c r="E2158" s="45" t="s">
        <v>3901</v>
      </c>
      <c r="G2158" s="38">
        <v>81</v>
      </c>
      <c r="H2158" s="38"/>
      <c r="K2158" s="38"/>
      <c r="L2158" s="38">
        <f t="shared" si="18"/>
        <v>81</v>
      </c>
    </row>
    <row r="2159" spans="1:12" ht="14.5" x14ac:dyDescent="0.35">
      <c r="A2159" s="45" t="s">
        <v>3799</v>
      </c>
      <c r="B2159" s="45"/>
      <c r="C2159" s="55">
        <v>45877</v>
      </c>
      <c r="D2159" s="45" t="s">
        <v>882</v>
      </c>
      <c r="E2159" s="45">
        <v>72500046</v>
      </c>
      <c r="G2159" s="38">
        <v>811</v>
      </c>
      <c r="H2159" s="38"/>
      <c r="K2159" s="38"/>
      <c r="L2159" s="38">
        <f t="shared" si="18"/>
        <v>811</v>
      </c>
    </row>
    <row r="2160" spans="1:12" ht="14.5" x14ac:dyDescent="0.35">
      <c r="A2160" s="45" t="s">
        <v>3799</v>
      </c>
      <c r="B2160" s="45"/>
      <c r="C2160" s="55">
        <v>45877</v>
      </c>
      <c r="D2160" s="45" t="s">
        <v>109</v>
      </c>
      <c r="E2160" s="45" t="s">
        <v>294</v>
      </c>
      <c r="G2160" s="38">
        <v>738</v>
      </c>
      <c r="H2160" s="38"/>
      <c r="K2160" s="38"/>
      <c r="L2160" s="38">
        <f t="shared" si="18"/>
        <v>738</v>
      </c>
    </row>
    <row r="2161" spans="1:12" ht="14.5" x14ac:dyDescent="0.35">
      <c r="A2161" s="45" t="s">
        <v>3799</v>
      </c>
      <c r="B2161" s="45"/>
      <c r="C2161" s="55">
        <v>45877</v>
      </c>
      <c r="D2161" s="45" t="s">
        <v>422</v>
      </c>
      <c r="E2161" s="45" t="s">
        <v>3902</v>
      </c>
      <c r="G2161" s="38">
        <v>26</v>
      </c>
      <c r="H2161" s="38"/>
      <c r="K2161" s="38"/>
      <c r="L2161" s="38">
        <f t="shared" si="18"/>
        <v>26</v>
      </c>
    </row>
    <row r="2162" spans="1:12" ht="14.5" x14ac:dyDescent="0.35">
      <c r="A2162" s="45" t="s">
        <v>3799</v>
      </c>
      <c r="B2162" s="45"/>
      <c r="C2162" s="55">
        <v>45877</v>
      </c>
      <c r="D2162" s="45" t="s">
        <v>807</v>
      </c>
      <c r="E2162" s="45">
        <v>28</v>
      </c>
      <c r="G2162" s="38">
        <v>739</v>
      </c>
      <c r="H2162" s="38"/>
      <c r="K2162" s="38"/>
      <c r="L2162" s="38">
        <f t="shared" si="18"/>
        <v>739</v>
      </c>
    </row>
    <row r="2163" spans="1:12" ht="14.5" x14ac:dyDescent="0.35">
      <c r="A2163" s="45" t="s">
        <v>3799</v>
      </c>
      <c r="B2163" s="45"/>
      <c r="C2163" s="55">
        <v>45877</v>
      </c>
      <c r="D2163" s="45" t="s">
        <v>3791</v>
      </c>
      <c r="E2163" s="45" t="s">
        <v>3792</v>
      </c>
      <c r="G2163" s="38">
        <v>4510.0000000000009</v>
      </c>
      <c r="H2163" s="38"/>
      <c r="K2163" s="38"/>
      <c r="L2163" s="38">
        <f t="shared" si="18"/>
        <v>4510.0000000000009</v>
      </c>
    </row>
    <row r="2164" spans="1:12" ht="14.5" x14ac:dyDescent="0.35">
      <c r="A2164" s="45" t="s">
        <v>3799</v>
      </c>
      <c r="B2164" s="45"/>
      <c r="C2164" s="55">
        <v>45877</v>
      </c>
      <c r="D2164" s="45" t="s">
        <v>422</v>
      </c>
      <c r="E2164" s="45" t="s">
        <v>3903</v>
      </c>
      <c r="G2164" s="38">
        <v>26</v>
      </c>
      <c r="H2164" s="38"/>
      <c r="K2164" s="38"/>
      <c r="L2164" s="38">
        <f t="shared" si="18"/>
        <v>26</v>
      </c>
    </row>
    <row r="2165" spans="1:12" ht="14.5" x14ac:dyDescent="0.35">
      <c r="A2165" s="45" t="s">
        <v>3799</v>
      </c>
      <c r="B2165" s="45"/>
      <c r="C2165" s="55">
        <v>45877</v>
      </c>
      <c r="D2165" s="45" t="s">
        <v>109</v>
      </c>
      <c r="E2165" s="45" t="s">
        <v>297</v>
      </c>
      <c r="G2165" s="38">
        <v>738</v>
      </c>
      <c r="H2165" s="38"/>
      <c r="K2165" s="38"/>
      <c r="L2165" s="38">
        <f t="shared" si="18"/>
        <v>738</v>
      </c>
    </row>
    <row r="2166" spans="1:12" ht="14.5" x14ac:dyDescent="0.35">
      <c r="A2166" s="45" t="s">
        <v>3799</v>
      </c>
      <c r="B2166" s="45"/>
      <c r="C2166" s="55">
        <v>45877</v>
      </c>
      <c r="D2166" s="45" t="s">
        <v>923</v>
      </c>
      <c r="E2166" s="45">
        <v>41279</v>
      </c>
      <c r="G2166" s="38">
        <v>17667</v>
      </c>
      <c r="H2166" s="38"/>
      <c r="K2166" s="38"/>
      <c r="L2166" s="38">
        <f t="shared" si="18"/>
        <v>17667</v>
      </c>
    </row>
    <row r="2167" spans="1:12" ht="14.5" x14ac:dyDescent="0.35">
      <c r="A2167" s="45" t="s">
        <v>3799</v>
      </c>
      <c r="B2167" s="45"/>
      <c r="C2167" s="55">
        <v>45877</v>
      </c>
      <c r="D2167" s="45" t="s">
        <v>109</v>
      </c>
      <c r="E2167" s="45" t="s">
        <v>298</v>
      </c>
      <c r="G2167" s="38">
        <v>738</v>
      </c>
      <c r="H2167" s="38"/>
      <c r="K2167" s="38"/>
      <c r="L2167" s="38">
        <f t="shared" si="18"/>
        <v>738</v>
      </c>
    </row>
    <row r="2168" spans="1:12" ht="14.5" x14ac:dyDescent="0.35">
      <c r="A2168" s="45" t="s">
        <v>3799</v>
      </c>
      <c r="B2168" s="45"/>
      <c r="C2168" s="55">
        <v>45877</v>
      </c>
      <c r="D2168" s="45" t="s">
        <v>422</v>
      </c>
      <c r="E2168" s="45" t="s">
        <v>3904</v>
      </c>
      <c r="G2168" s="38">
        <v>26</v>
      </c>
      <c r="H2168" s="38"/>
      <c r="K2168" s="38"/>
      <c r="L2168" s="38">
        <f t="shared" si="18"/>
        <v>26</v>
      </c>
    </row>
    <row r="2169" spans="1:12" ht="14.5" x14ac:dyDescent="0.35">
      <c r="A2169" s="45" t="s">
        <v>3799</v>
      </c>
      <c r="B2169" s="45"/>
      <c r="C2169" s="55">
        <v>45877</v>
      </c>
      <c r="D2169" s="45" t="s">
        <v>422</v>
      </c>
      <c r="E2169" s="45" t="s">
        <v>630</v>
      </c>
      <c r="G2169" s="38">
        <v>26</v>
      </c>
      <c r="H2169" s="38"/>
      <c r="K2169" s="38"/>
      <c r="L2169" s="38">
        <f t="shared" si="18"/>
        <v>26</v>
      </c>
    </row>
    <row r="2170" spans="1:12" ht="14.5" x14ac:dyDescent="0.35">
      <c r="A2170" s="45" t="s">
        <v>3799</v>
      </c>
      <c r="B2170" s="45"/>
      <c r="C2170" s="55">
        <v>45877</v>
      </c>
      <c r="D2170" s="45" t="s">
        <v>422</v>
      </c>
      <c r="E2170" s="45" t="s">
        <v>3905</v>
      </c>
      <c r="G2170" s="38">
        <v>26</v>
      </c>
      <c r="H2170" s="38"/>
      <c r="K2170" s="38"/>
      <c r="L2170" s="38">
        <f t="shared" si="18"/>
        <v>26</v>
      </c>
    </row>
    <row r="2171" spans="1:12" ht="14.5" x14ac:dyDescent="0.35">
      <c r="A2171" s="45" t="s">
        <v>3799</v>
      </c>
      <c r="B2171" s="45"/>
      <c r="C2171" s="55">
        <v>45877</v>
      </c>
      <c r="D2171" s="45" t="s">
        <v>819</v>
      </c>
      <c r="E2171" s="45" t="s">
        <v>3906</v>
      </c>
      <c r="G2171" s="38">
        <v>81</v>
      </c>
      <c r="H2171" s="38"/>
      <c r="K2171" s="38"/>
      <c r="L2171" s="38">
        <f t="shared" si="18"/>
        <v>81</v>
      </c>
    </row>
    <row r="2172" spans="1:12" ht="14.5" x14ac:dyDescent="0.35">
      <c r="A2172" s="45" t="s">
        <v>3799</v>
      </c>
      <c r="B2172" s="45"/>
      <c r="C2172" s="55">
        <v>45877</v>
      </c>
      <c r="D2172" s="45" t="s">
        <v>422</v>
      </c>
      <c r="E2172" s="45" t="s">
        <v>3907</v>
      </c>
      <c r="G2172" s="38">
        <v>26</v>
      </c>
      <c r="H2172" s="38"/>
      <c r="K2172" s="38"/>
      <c r="L2172" s="38">
        <f t="shared" si="18"/>
        <v>26</v>
      </c>
    </row>
    <row r="2173" spans="1:12" ht="14.5" x14ac:dyDescent="0.35">
      <c r="A2173" s="45" t="s">
        <v>3799</v>
      </c>
      <c r="B2173" s="45"/>
      <c r="C2173" s="55">
        <v>45877</v>
      </c>
      <c r="D2173" s="45" t="s">
        <v>819</v>
      </c>
      <c r="E2173" s="45" t="s">
        <v>3908</v>
      </c>
      <c r="G2173" s="38">
        <v>81</v>
      </c>
      <c r="H2173" s="38"/>
      <c r="K2173" s="38"/>
      <c r="L2173" s="38">
        <f t="shared" si="18"/>
        <v>81</v>
      </c>
    </row>
    <row r="2174" spans="1:12" ht="14.5" x14ac:dyDescent="0.35">
      <c r="A2174" s="45" t="s">
        <v>3799</v>
      </c>
      <c r="B2174" s="45"/>
      <c r="C2174" s="55">
        <v>45880</v>
      </c>
      <c r="D2174" s="45" t="s">
        <v>422</v>
      </c>
      <c r="E2174" s="45" t="s">
        <v>3640</v>
      </c>
      <c r="G2174" s="38">
        <v>314</v>
      </c>
      <c r="H2174" s="38"/>
      <c r="K2174" s="38"/>
      <c r="L2174" s="38">
        <f t="shared" si="18"/>
        <v>314</v>
      </c>
    </row>
    <row r="2175" spans="1:12" ht="14.5" x14ac:dyDescent="0.35">
      <c r="A2175" s="45" t="s">
        <v>3799</v>
      </c>
      <c r="B2175" s="45"/>
      <c r="C2175" s="55">
        <v>45880</v>
      </c>
      <c r="D2175" s="45" t="s">
        <v>422</v>
      </c>
      <c r="E2175" s="45" t="s">
        <v>3641</v>
      </c>
      <c r="G2175" s="38">
        <v>174.44</v>
      </c>
      <c r="H2175" s="38"/>
      <c r="K2175" s="38"/>
      <c r="L2175" s="38">
        <f t="shared" si="18"/>
        <v>174.44</v>
      </c>
    </row>
    <row r="2176" spans="1:12" ht="14.5" x14ac:dyDescent="0.35">
      <c r="A2176" s="45" t="s">
        <v>3799</v>
      </c>
      <c r="B2176" s="45"/>
      <c r="C2176" s="55">
        <v>45880</v>
      </c>
      <c r="D2176" s="45" t="s">
        <v>66</v>
      </c>
      <c r="E2176" s="45" t="s">
        <v>3909</v>
      </c>
      <c r="G2176" s="38">
        <v>204.80000000000013</v>
      </c>
      <c r="H2176" s="38"/>
      <c r="K2176" s="38"/>
      <c r="L2176" s="38">
        <f t="shared" si="18"/>
        <v>204.80000000000013</v>
      </c>
    </row>
    <row r="2177" spans="1:12" ht="14.5" x14ac:dyDescent="0.35">
      <c r="A2177" s="45" t="s">
        <v>3799</v>
      </c>
      <c r="B2177" s="45"/>
      <c r="C2177" s="55">
        <v>45880</v>
      </c>
      <c r="D2177" s="45" t="s">
        <v>422</v>
      </c>
      <c r="E2177" s="45" t="s">
        <v>3642</v>
      </c>
      <c r="G2177" s="38">
        <v>167</v>
      </c>
      <c r="H2177" s="38"/>
      <c r="K2177" s="38"/>
      <c r="L2177" s="38">
        <f t="shared" si="18"/>
        <v>167</v>
      </c>
    </row>
    <row r="2178" spans="1:12" ht="14.5" x14ac:dyDescent="0.35">
      <c r="A2178" s="45" t="s">
        <v>3799</v>
      </c>
      <c r="B2178" s="45"/>
      <c r="C2178" s="55">
        <v>45880</v>
      </c>
      <c r="D2178" s="45" t="s">
        <v>422</v>
      </c>
      <c r="E2178" s="45" t="s">
        <v>3643</v>
      </c>
      <c r="G2178" s="38">
        <v>314</v>
      </c>
      <c r="H2178" s="38"/>
      <c r="K2178" s="38"/>
      <c r="L2178" s="38">
        <f t="shared" si="18"/>
        <v>314</v>
      </c>
    </row>
    <row r="2179" spans="1:12" ht="14.5" x14ac:dyDescent="0.35">
      <c r="A2179" s="45" t="s">
        <v>3799</v>
      </c>
      <c r="B2179" s="45"/>
      <c r="C2179" s="55">
        <v>45880</v>
      </c>
      <c r="D2179" s="45" t="s">
        <v>422</v>
      </c>
      <c r="E2179" s="45" t="s">
        <v>534</v>
      </c>
      <c r="G2179" s="38">
        <v>172</v>
      </c>
      <c r="H2179" s="38"/>
      <c r="K2179" s="38"/>
      <c r="L2179" s="38">
        <f t="shared" si="18"/>
        <v>172</v>
      </c>
    </row>
    <row r="2180" spans="1:12" ht="14.5" x14ac:dyDescent="0.35">
      <c r="A2180" s="45" t="s">
        <v>3799</v>
      </c>
      <c r="B2180" s="45"/>
      <c r="C2180" s="55">
        <v>45880</v>
      </c>
      <c r="D2180" s="45" t="s">
        <v>422</v>
      </c>
      <c r="E2180" s="45" t="s">
        <v>3695</v>
      </c>
      <c r="G2180" s="38">
        <v>43</v>
      </c>
      <c r="H2180" s="38"/>
      <c r="K2180" s="38"/>
      <c r="L2180" s="38">
        <f t="shared" si="18"/>
        <v>43</v>
      </c>
    </row>
    <row r="2181" spans="1:12" ht="14.5" x14ac:dyDescent="0.35">
      <c r="A2181" s="45" t="s">
        <v>3799</v>
      </c>
      <c r="B2181" s="45"/>
      <c r="C2181" s="55">
        <v>45880</v>
      </c>
      <c r="D2181" s="45" t="s">
        <v>422</v>
      </c>
      <c r="E2181" s="45" t="s">
        <v>3644</v>
      </c>
      <c r="G2181" s="38">
        <v>314</v>
      </c>
      <c r="H2181" s="38"/>
      <c r="K2181" s="38"/>
      <c r="L2181" s="38">
        <f t="shared" si="18"/>
        <v>314</v>
      </c>
    </row>
    <row r="2182" spans="1:12" ht="14.5" x14ac:dyDescent="0.35">
      <c r="A2182" s="45" t="s">
        <v>3799</v>
      </c>
      <c r="B2182" s="45"/>
      <c r="C2182" s="55">
        <v>45880</v>
      </c>
      <c r="D2182" s="45" t="s">
        <v>422</v>
      </c>
      <c r="E2182" s="45" t="s">
        <v>3645</v>
      </c>
      <c r="G2182" s="38">
        <v>313.19</v>
      </c>
      <c r="H2182" s="38"/>
      <c r="K2182" s="38"/>
      <c r="L2182" s="38">
        <f t="shared" si="18"/>
        <v>313.19</v>
      </c>
    </row>
    <row r="2183" spans="1:12" ht="14.5" x14ac:dyDescent="0.35">
      <c r="A2183" s="45" t="s">
        <v>3799</v>
      </c>
      <c r="B2183" s="45"/>
      <c r="C2183" s="55">
        <v>45880</v>
      </c>
      <c r="D2183" s="45" t="s">
        <v>422</v>
      </c>
      <c r="E2183" s="45" t="s">
        <v>3646</v>
      </c>
      <c r="G2183" s="38">
        <v>314</v>
      </c>
      <c r="H2183" s="38"/>
      <c r="K2183" s="38"/>
      <c r="L2183" s="38">
        <f t="shared" si="18"/>
        <v>314</v>
      </c>
    </row>
    <row r="2184" spans="1:12" ht="14.5" x14ac:dyDescent="0.35">
      <c r="A2184" s="45" t="s">
        <v>3799</v>
      </c>
      <c r="B2184" s="45"/>
      <c r="C2184" s="55">
        <v>45880</v>
      </c>
      <c r="D2184" s="45" t="s">
        <v>422</v>
      </c>
      <c r="E2184" s="45" t="s">
        <v>3647</v>
      </c>
      <c r="G2184" s="38">
        <v>314</v>
      </c>
      <c r="H2184" s="38"/>
      <c r="K2184" s="38"/>
      <c r="L2184" s="38">
        <f t="shared" si="18"/>
        <v>314</v>
      </c>
    </row>
    <row r="2185" spans="1:12" ht="14.5" x14ac:dyDescent="0.35">
      <c r="A2185" s="45" t="s">
        <v>3799</v>
      </c>
      <c r="B2185" s="45"/>
      <c r="C2185" s="55">
        <v>45880</v>
      </c>
      <c r="D2185" s="45" t="s">
        <v>422</v>
      </c>
      <c r="E2185" s="45" t="s">
        <v>3648</v>
      </c>
      <c r="G2185" s="38">
        <v>313.19</v>
      </c>
      <c r="H2185" s="38"/>
      <c r="K2185" s="38"/>
      <c r="L2185" s="38">
        <f t="shared" si="18"/>
        <v>313.19</v>
      </c>
    </row>
    <row r="2186" spans="1:12" ht="14.5" x14ac:dyDescent="0.35">
      <c r="A2186" s="45" t="s">
        <v>3799</v>
      </c>
      <c r="B2186" s="45"/>
      <c r="C2186" s="55">
        <v>45880</v>
      </c>
      <c r="D2186" s="45" t="s">
        <v>422</v>
      </c>
      <c r="E2186" s="45">
        <v>20242912</v>
      </c>
      <c r="G2186" s="38">
        <v>308.3</v>
      </c>
      <c r="H2186" s="38"/>
      <c r="K2186" s="38"/>
      <c r="L2186" s="38">
        <f t="shared" si="18"/>
        <v>308.3</v>
      </c>
    </row>
    <row r="2187" spans="1:12" ht="14.5" x14ac:dyDescent="0.35">
      <c r="A2187" s="45" t="s">
        <v>3799</v>
      </c>
      <c r="B2187" s="45"/>
      <c r="C2187" s="55">
        <v>45880</v>
      </c>
      <c r="D2187" s="45" t="s">
        <v>422</v>
      </c>
      <c r="E2187" s="45" t="s">
        <v>3696</v>
      </c>
      <c r="G2187" s="38">
        <v>348.87999999999994</v>
      </c>
      <c r="H2187" s="38"/>
      <c r="K2187" s="38"/>
      <c r="L2187" s="38">
        <f t="shared" si="18"/>
        <v>348.87999999999994</v>
      </c>
    </row>
    <row r="2188" spans="1:12" ht="14.5" x14ac:dyDescent="0.35">
      <c r="A2188" s="45" t="s">
        <v>3799</v>
      </c>
      <c r="B2188" s="45"/>
      <c r="C2188" s="55">
        <v>45880</v>
      </c>
      <c r="D2188" s="45" t="s">
        <v>422</v>
      </c>
      <c r="E2188" s="45" t="s">
        <v>3649</v>
      </c>
      <c r="G2188" s="38">
        <v>314</v>
      </c>
      <c r="H2188" s="38"/>
      <c r="K2188" s="38"/>
      <c r="L2188" s="38">
        <f t="shared" si="18"/>
        <v>314</v>
      </c>
    </row>
    <row r="2189" spans="1:12" ht="14.5" x14ac:dyDescent="0.35">
      <c r="A2189" s="45" t="s">
        <v>3799</v>
      </c>
      <c r="B2189" s="45"/>
      <c r="C2189" s="55">
        <v>45880</v>
      </c>
      <c r="D2189" s="45" t="s">
        <v>422</v>
      </c>
      <c r="E2189" s="45" t="s">
        <v>3650</v>
      </c>
      <c r="G2189" s="38">
        <v>314</v>
      </c>
      <c r="H2189" s="38"/>
      <c r="K2189" s="38"/>
      <c r="L2189" s="38">
        <f t="shared" si="18"/>
        <v>314</v>
      </c>
    </row>
    <row r="2190" spans="1:12" ht="14.5" x14ac:dyDescent="0.35">
      <c r="A2190" s="45" t="s">
        <v>3799</v>
      </c>
      <c r="B2190" s="45"/>
      <c r="C2190" s="55">
        <v>45880</v>
      </c>
      <c r="D2190" s="45" t="s">
        <v>422</v>
      </c>
      <c r="E2190" s="45" t="s">
        <v>3652</v>
      </c>
      <c r="G2190" s="38">
        <v>314</v>
      </c>
      <c r="H2190" s="38"/>
      <c r="K2190" s="38"/>
      <c r="L2190" s="38">
        <f t="shared" si="18"/>
        <v>314</v>
      </c>
    </row>
    <row r="2191" spans="1:12" ht="14.5" x14ac:dyDescent="0.35">
      <c r="A2191" s="45" t="s">
        <v>3799</v>
      </c>
      <c r="B2191" s="45"/>
      <c r="C2191" s="55">
        <v>45880</v>
      </c>
      <c r="D2191" s="45" t="s">
        <v>422</v>
      </c>
      <c r="E2191" s="45" t="s">
        <v>3653</v>
      </c>
      <c r="G2191" s="38">
        <v>313.18999999999994</v>
      </c>
      <c r="H2191" s="38"/>
      <c r="K2191" s="38"/>
      <c r="L2191" s="38">
        <f t="shared" si="18"/>
        <v>313.18999999999994</v>
      </c>
    </row>
    <row r="2192" spans="1:12" ht="14.5" x14ac:dyDescent="0.35">
      <c r="A2192" s="45" t="s">
        <v>3799</v>
      </c>
      <c r="B2192" s="45"/>
      <c r="C2192" s="55">
        <v>45880</v>
      </c>
      <c r="D2192" s="45" t="s">
        <v>422</v>
      </c>
      <c r="E2192" s="45" t="s">
        <v>3654</v>
      </c>
      <c r="G2192" s="38">
        <v>672.87999999999988</v>
      </c>
      <c r="H2192" s="38"/>
      <c r="K2192" s="38"/>
      <c r="L2192" s="38">
        <f t="shared" si="18"/>
        <v>672.87999999999988</v>
      </c>
    </row>
    <row r="2193" spans="1:12" ht="14.5" x14ac:dyDescent="0.35">
      <c r="A2193" s="45" t="s">
        <v>3799</v>
      </c>
      <c r="B2193" s="45"/>
      <c r="C2193" s="55">
        <v>45880</v>
      </c>
      <c r="D2193" s="45" t="s">
        <v>422</v>
      </c>
      <c r="E2193" s="45" t="s">
        <v>3656</v>
      </c>
      <c r="G2193" s="38">
        <v>319.08</v>
      </c>
      <c r="H2193" s="38"/>
      <c r="K2193" s="38"/>
      <c r="L2193" s="38">
        <f t="shared" si="18"/>
        <v>319.08</v>
      </c>
    </row>
    <row r="2194" spans="1:12" ht="14.5" x14ac:dyDescent="0.35">
      <c r="A2194" s="45" t="s">
        <v>3799</v>
      </c>
      <c r="B2194" s="45"/>
      <c r="C2194" s="55">
        <v>45880</v>
      </c>
      <c r="D2194" s="45" t="s">
        <v>422</v>
      </c>
      <c r="E2194" s="45" t="s">
        <v>3657</v>
      </c>
      <c r="G2194" s="38">
        <v>313.19</v>
      </c>
      <c r="H2194" s="38"/>
      <c r="K2194" s="38"/>
      <c r="L2194" s="38">
        <f t="shared" si="18"/>
        <v>313.19</v>
      </c>
    </row>
    <row r="2195" spans="1:12" ht="14.5" x14ac:dyDescent="0.35">
      <c r="A2195" s="45" t="s">
        <v>3799</v>
      </c>
      <c r="B2195" s="45"/>
      <c r="C2195" s="55">
        <v>45880</v>
      </c>
      <c r="D2195" s="45" t="s">
        <v>422</v>
      </c>
      <c r="E2195" s="45" t="s">
        <v>3697</v>
      </c>
      <c r="G2195" s="38">
        <v>173.44</v>
      </c>
      <c r="H2195" s="38"/>
      <c r="K2195" s="38"/>
      <c r="L2195" s="38">
        <f t="shared" si="18"/>
        <v>173.44</v>
      </c>
    </row>
    <row r="2196" spans="1:12" ht="14.5" x14ac:dyDescent="0.35">
      <c r="A2196" s="45" t="s">
        <v>3799</v>
      </c>
      <c r="B2196" s="45"/>
      <c r="C2196" s="55">
        <v>45880</v>
      </c>
      <c r="D2196" s="45" t="s">
        <v>422</v>
      </c>
      <c r="E2196" s="45" t="s">
        <v>3658</v>
      </c>
      <c r="G2196" s="38">
        <v>313.19</v>
      </c>
      <c r="H2196" s="38"/>
      <c r="K2196" s="38"/>
      <c r="L2196" s="38">
        <f t="shared" si="18"/>
        <v>313.19</v>
      </c>
    </row>
    <row r="2197" spans="1:12" ht="14.5" x14ac:dyDescent="0.35">
      <c r="A2197" s="45" t="s">
        <v>3799</v>
      </c>
      <c r="B2197" s="45"/>
      <c r="C2197" s="55">
        <v>45880</v>
      </c>
      <c r="D2197" s="45" t="s">
        <v>422</v>
      </c>
      <c r="E2197" s="45" t="s">
        <v>3659</v>
      </c>
      <c r="G2197" s="38">
        <v>339.43999999999994</v>
      </c>
      <c r="H2197" s="38"/>
      <c r="K2197" s="38"/>
      <c r="L2197" s="38">
        <f t="shared" si="18"/>
        <v>339.43999999999994</v>
      </c>
    </row>
    <row r="2198" spans="1:12" ht="14.5" x14ac:dyDescent="0.35">
      <c r="A2198" s="45" t="s">
        <v>3799</v>
      </c>
      <c r="B2198" s="45"/>
      <c r="C2198" s="55">
        <v>45880</v>
      </c>
      <c r="D2198" s="45" t="s">
        <v>422</v>
      </c>
      <c r="E2198" s="45" t="s">
        <v>3698</v>
      </c>
      <c r="G2198" s="38">
        <v>371.94</v>
      </c>
      <c r="H2198" s="38"/>
      <c r="K2198" s="38"/>
      <c r="L2198" s="38">
        <f t="shared" si="18"/>
        <v>371.94</v>
      </c>
    </row>
    <row r="2199" spans="1:12" ht="14.5" x14ac:dyDescent="0.35">
      <c r="A2199" s="45" t="s">
        <v>3799</v>
      </c>
      <c r="B2199" s="45"/>
      <c r="C2199" s="55">
        <v>45880</v>
      </c>
      <c r="D2199" s="45" t="s">
        <v>422</v>
      </c>
      <c r="E2199" s="45" t="s">
        <v>3699</v>
      </c>
      <c r="G2199" s="38">
        <v>173.44</v>
      </c>
      <c r="H2199" s="38"/>
      <c r="K2199" s="38"/>
      <c r="L2199" s="38">
        <f t="shared" si="18"/>
        <v>173.44</v>
      </c>
    </row>
    <row r="2200" spans="1:12" ht="14.5" x14ac:dyDescent="0.35">
      <c r="A2200" s="45" t="s">
        <v>3799</v>
      </c>
      <c r="B2200" s="45"/>
      <c r="C2200" s="55">
        <v>45880</v>
      </c>
      <c r="D2200" s="45" t="s">
        <v>422</v>
      </c>
      <c r="E2200" s="45" t="s">
        <v>3700</v>
      </c>
      <c r="G2200" s="38">
        <v>173</v>
      </c>
      <c r="H2200" s="38"/>
      <c r="K2200" s="38"/>
      <c r="L2200" s="38">
        <f t="shared" si="18"/>
        <v>173</v>
      </c>
    </row>
    <row r="2201" spans="1:12" ht="14.5" x14ac:dyDescent="0.35">
      <c r="A2201" s="45" t="s">
        <v>3799</v>
      </c>
      <c r="B2201" s="45"/>
      <c r="C2201" s="55">
        <v>45880</v>
      </c>
      <c r="D2201" s="45" t="s">
        <v>422</v>
      </c>
      <c r="E2201" s="45" t="s">
        <v>3701</v>
      </c>
      <c r="G2201" s="38">
        <v>173.44</v>
      </c>
      <c r="H2201" s="38"/>
      <c r="K2201" s="38"/>
      <c r="L2201" s="38">
        <f t="shared" si="18"/>
        <v>173.44</v>
      </c>
    </row>
    <row r="2202" spans="1:12" ht="14.5" x14ac:dyDescent="0.35">
      <c r="A2202" s="45" t="s">
        <v>3799</v>
      </c>
      <c r="B2202" s="45"/>
      <c r="C2202" s="55">
        <v>45880</v>
      </c>
      <c r="D2202" s="45" t="s">
        <v>422</v>
      </c>
      <c r="E2202" s="45" t="s">
        <v>3660</v>
      </c>
      <c r="G2202" s="38">
        <v>313.19</v>
      </c>
      <c r="H2202" s="38"/>
      <c r="K2202" s="38"/>
      <c r="L2202" s="38">
        <f t="shared" si="18"/>
        <v>313.19</v>
      </c>
    </row>
    <row r="2203" spans="1:12" ht="14.5" x14ac:dyDescent="0.35">
      <c r="A2203" s="45" t="s">
        <v>3799</v>
      </c>
      <c r="B2203" s="45"/>
      <c r="C2203" s="55">
        <v>45880</v>
      </c>
      <c r="D2203" s="45" t="s">
        <v>422</v>
      </c>
      <c r="E2203" s="45" t="s">
        <v>3661</v>
      </c>
      <c r="G2203" s="38">
        <v>166</v>
      </c>
      <c r="H2203" s="38"/>
      <c r="K2203" s="38"/>
      <c r="L2203" s="38">
        <f t="shared" si="18"/>
        <v>166</v>
      </c>
    </row>
    <row r="2204" spans="1:12" ht="14.5" x14ac:dyDescent="0.35">
      <c r="A2204" s="45" t="s">
        <v>3799</v>
      </c>
      <c r="B2204" s="45"/>
      <c r="C2204" s="55">
        <v>45880</v>
      </c>
      <c r="D2204" s="45" t="s">
        <v>422</v>
      </c>
      <c r="E2204" s="45" t="s">
        <v>3662</v>
      </c>
      <c r="G2204" s="38">
        <v>339.44000000000005</v>
      </c>
      <c r="H2204" s="38"/>
      <c r="K2204" s="38"/>
      <c r="L2204" s="38">
        <f t="shared" si="18"/>
        <v>339.44000000000005</v>
      </c>
    </row>
    <row r="2205" spans="1:12" ht="14.5" x14ac:dyDescent="0.35">
      <c r="A2205" s="45" t="s">
        <v>3799</v>
      </c>
      <c r="B2205" s="45"/>
      <c r="C2205" s="55">
        <v>45880</v>
      </c>
      <c r="D2205" s="45" t="s">
        <v>422</v>
      </c>
      <c r="E2205" s="45" t="s">
        <v>3664</v>
      </c>
      <c r="G2205" s="38">
        <v>167.43999999999997</v>
      </c>
      <c r="H2205" s="38"/>
      <c r="K2205" s="38"/>
      <c r="L2205" s="38">
        <f t="shared" si="18"/>
        <v>167.43999999999997</v>
      </c>
    </row>
    <row r="2206" spans="1:12" ht="14.5" x14ac:dyDescent="0.35">
      <c r="A2206" s="45" t="s">
        <v>3799</v>
      </c>
      <c r="B2206" s="45"/>
      <c r="C2206" s="55">
        <v>45880</v>
      </c>
      <c r="D2206" s="45" t="s">
        <v>422</v>
      </c>
      <c r="E2206" s="45" t="s">
        <v>3665</v>
      </c>
      <c r="G2206" s="38">
        <v>313.19</v>
      </c>
      <c r="H2206" s="38"/>
      <c r="K2206" s="38"/>
      <c r="L2206" s="38">
        <f t="shared" si="18"/>
        <v>313.19</v>
      </c>
    </row>
    <row r="2207" spans="1:12" ht="14.5" x14ac:dyDescent="0.35">
      <c r="A2207" s="45" t="s">
        <v>3799</v>
      </c>
      <c r="B2207" s="45"/>
      <c r="C2207" s="55">
        <v>45880</v>
      </c>
      <c r="D2207" s="45" t="s">
        <v>422</v>
      </c>
      <c r="E2207" s="45" t="s">
        <v>3910</v>
      </c>
      <c r="G2207" s="38">
        <v>5090</v>
      </c>
      <c r="H2207" s="38"/>
      <c r="K2207" s="38"/>
      <c r="L2207" s="38">
        <f t="shared" si="18"/>
        <v>5090</v>
      </c>
    </row>
    <row r="2208" spans="1:12" ht="14.5" x14ac:dyDescent="0.35">
      <c r="A2208" s="45" t="s">
        <v>3799</v>
      </c>
      <c r="B2208" s="45"/>
      <c r="C2208" s="55">
        <v>45880</v>
      </c>
      <c r="D2208" s="45" t="s">
        <v>422</v>
      </c>
      <c r="E2208" s="45" t="s">
        <v>3703</v>
      </c>
      <c r="G2208" s="38">
        <v>173</v>
      </c>
      <c r="H2208" s="38"/>
      <c r="K2208" s="38"/>
      <c r="L2208" s="38">
        <f t="shared" si="18"/>
        <v>173</v>
      </c>
    </row>
    <row r="2209" spans="1:12" ht="14.5" x14ac:dyDescent="0.35">
      <c r="A2209" s="45" t="s">
        <v>3799</v>
      </c>
      <c r="B2209" s="45"/>
      <c r="C2209" s="55">
        <v>45880</v>
      </c>
      <c r="D2209" s="45" t="s">
        <v>422</v>
      </c>
      <c r="E2209" s="45" t="s">
        <v>3666</v>
      </c>
      <c r="G2209" s="38">
        <v>314</v>
      </c>
      <c r="H2209" s="38"/>
      <c r="K2209" s="38"/>
      <c r="L2209" s="38">
        <f t="shared" si="18"/>
        <v>314</v>
      </c>
    </row>
    <row r="2210" spans="1:12" ht="14.5" x14ac:dyDescent="0.35">
      <c r="A2210" s="45" t="s">
        <v>3799</v>
      </c>
      <c r="B2210" s="45"/>
      <c r="C2210" s="55">
        <v>45880</v>
      </c>
      <c r="D2210" s="45" t="s">
        <v>422</v>
      </c>
      <c r="E2210" s="45" t="s">
        <v>3705</v>
      </c>
      <c r="G2210" s="38">
        <v>173</v>
      </c>
      <c r="H2210" s="38"/>
      <c r="K2210" s="38"/>
      <c r="L2210" s="38">
        <f t="shared" si="18"/>
        <v>173</v>
      </c>
    </row>
    <row r="2211" spans="1:12" ht="14.5" x14ac:dyDescent="0.35">
      <c r="A2211" s="45" t="s">
        <v>3799</v>
      </c>
      <c r="B2211" s="45"/>
      <c r="C2211" s="55">
        <v>45880</v>
      </c>
      <c r="D2211" s="45" t="s">
        <v>422</v>
      </c>
      <c r="E2211" s="45" t="s">
        <v>3706</v>
      </c>
      <c r="G2211" s="38">
        <v>173.44</v>
      </c>
      <c r="H2211" s="38"/>
      <c r="K2211" s="38"/>
      <c r="L2211" s="38">
        <f t="shared" si="18"/>
        <v>173.44</v>
      </c>
    </row>
    <row r="2212" spans="1:12" ht="14.5" x14ac:dyDescent="0.35">
      <c r="A2212" s="45" t="s">
        <v>3799</v>
      </c>
      <c r="B2212" s="45"/>
      <c r="C2212" s="55">
        <v>45880</v>
      </c>
      <c r="D2212" s="45" t="s">
        <v>422</v>
      </c>
      <c r="E2212" s="45" t="s">
        <v>3707</v>
      </c>
      <c r="G2212" s="38">
        <v>173.44</v>
      </c>
      <c r="H2212" s="38"/>
      <c r="K2212" s="38"/>
      <c r="L2212" s="38">
        <f t="shared" si="18"/>
        <v>173.44</v>
      </c>
    </row>
    <row r="2213" spans="1:12" ht="14.5" x14ac:dyDescent="0.35">
      <c r="A2213" s="45" t="s">
        <v>3799</v>
      </c>
      <c r="B2213" s="45"/>
      <c r="C2213" s="55">
        <v>45880</v>
      </c>
      <c r="D2213" s="45" t="s">
        <v>422</v>
      </c>
      <c r="E2213" s="45" t="s">
        <v>3708</v>
      </c>
      <c r="G2213" s="38">
        <v>173.44</v>
      </c>
      <c r="H2213" s="38"/>
      <c r="K2213" s="38"/>
      <c r="L2213" s="38">
        <f t="shared" si="18"/>
        <v>173.44</v>
      </c>
    </row>
    <row r="2214" spans="1:12" ht="14.5" x14ac:dyDescent="0.35">
      <c r="A2214" s="45" t="s">
        <v>3799</v>
      </c>
      <c r="B2214" s="45"/>
      <c r="C2214" s="55">
        <v>45880</v>
      </c>
      <c r="D2214" s="45" t="s">
        <v>422</v>
      </c>
      <c r="E2214" s="45" t="s">
        <v>3669</v>
      </c>
      <c r="G2214" s="38">
        <v>313.18999999999994</v>
      </c>
      <c r="H2214" s="38"/>
      <c r="K2214" s="38"/>
      <c r="L2214" s="38">
        <f t="shared" si="18"/>
        <v>313.18999999999994</v>
      </c>
    </row>
    <row r="2215" spans="1:12" ht="14.5" x14ac:dyDescent="0.35">
      <c r="A2215" s="45" t="s">
        <v>3799</v>
      </c>
      <c r="B2215" s="45"/>
      <c r="C2215" s="55">
        <v>45880</v>
      </c>
      <c r="D2215" s="45" t="s">
        <v>422</v>
      </c>
      <c r="E2215" s="45" t="s">
        <v>3670</v>
      </c>
      <c r="G2215" s="38">
        <v>422.19</v>
      </c>
      <c r="H2215" s="38"/>
      <c r="K2215" s="38"/>
      <c r="L2215" s="38">
        <f t="shared" si="18"/>
        <v>422.19</v>
      </c>
    </row>
    <row r="2216" spans="1:12" ht="14.5" x14ac:dyDescent="0.35">
      <c r="A2216" s="45" t="s">
        <v>3799</v>
      </c>
      <c r="B2216" s="45"/>
      <c r="C2216" s="55">
        <v>45880</v>
      </c>
      <c r="D2216" s="45" t="s">
        <v>933</v>
      </c>
      <c r="E2216" s="45" t="s">
        <v>3710</v>
      </c>
      <c r="G2216" s="38">
        <v>788.65</v>
      </c>
      <c r="H2216" s="38"/>
      <c r="K2216" s="38"/>
      <c r="L2216" s="38">
        <f t="shared" ref="L2216:L2279" si="19">G2216-H2216</f>
        <v>788.65</v>
      </c>
    </row>
    <row r="2217" spans="1:12" ht="14.5" x14ac:dyDescent="0.35">
      <c r="A2217" s="45" t="s">
        <v>3799</v>
      </c>
      <c r="B2217" s="45"/>
      <c r="C2217" s="55">
        <v>45880</v>
      </c>
      <c r="D2217" s="45" t="s">
        <v>422</v>
      </c>
      <c r="E2217" s="45" t="s">
        <v>3671</v>
      </c>
      <c r="G2217" s="38">
        <v>313.19000000000011</v>
      </c>
      <c r="H2217" s="38"/>
      <c r="K2217" s="38"/>
      <c r="L2217" s="38">
        <f t="shared" si="19"/>
        <v>313.19000000000011</v>
      </c>
    </row>
    <row r="2218" spans="1:12" ht="14.5" x14ac:dyDescent="0.35">
      <c r="A2218" s="45" t="s">
        <v>3799</v>
      </c>
      <c r="B2218" s="45"/>
      <c r="C2218" s="55">
        <v>45880</v>
      </c>
      <c r="D2218" s="45" t="s">
        <v>422</v>
      </c>
      <c r="E2218" s="45" t="s">
        <v>3711</v>
      </c>
      <c r="G2218" s="38">
        <v>173</v>
      </c>
      <c r="H2218" s="38"/>
      <c r="K2218" s="38"/>
      <c r="L2218" s="38">
        <f t="shared" si="19"/>
        <v>173</v>
      </c>
    </row>
    <row r="2219" spans="1:12" ht="14.5" x14ac:dyDescent="0.35">
      <c r="A2219" s="45" t="s">
        <v>3799</v>
      </c>
      <c r="B2219" s="45"/>
      <c r="C2219" s="55">
        <v>45880</v>
      </c>
      <c r="D2219" s="45" t="s">
        <v>422</v>
      </c>
      <c r="E2219" s="45" t="s">
        <v>3672</v>
      </c>
      <c r="G2219" s="38">
        <v>314</v>
      </c>
      <c r="H2219" s="38"/>
      <c r="K2219" s="38"/>
      <c r="L2219" s="38">
        <f t="shared" si="19"/>
        <v>314</v>
      </c>
    </row>
    <row r="2220" spans="1:12" ht="14.5" x14ac:dyDescent="0.35">
      <c r="A2220" s="45" t="s">
        <v>3799</v>
      </c>
      <c r="B2220" s="45"/>
      <c r="C2220" s="55">
        <v>45880</v>
      </c>
      <c r="D2220" s="45" t="s">
        <v>422</v>
      </c>
      <c r="E2220" s="45" t="s">
        <v>525</v>
      </c>
      <c r="G2220" s="38">
        <v>43</v>
      </c>
      <c r="H2220" s="38"/>
      <c r="K2220" s="38"/>
      <c r="L2220" s="38">
        <f t="shared" si="19"/>
        <v>43</v>
      </c>
    </row>
    <row r="2221" spans="1:12" ht="14.5" x14ac:dyDescent="0.35">
      <c r="A2221" s="45" t="s">
        <v>3799</v>
      </c>
      <c r="B2221" s="45"/>
      <c r="C2221" s="55">
        <v>45880</v>
      </c>
      <c r="D2221" s="45" t="s">
        <v>422</v>
      </c>
      <c r="E2221" s="45" t="s">
        <v>3714</v>
      </c>
      <c r="G2221" s="38">
        <v>173.44</v>
      </c>
      <c r="H2221" s="38"/>
      <c r="K2221" s="38"/>
      <c r="L2221" s="38">
        <f t="shared" si="19"/>
        <v>173.44</v>
      </c>
    </row>
    <row r="2222" spans="1:12" ht="14.5" x14ac:dyDescent="0.35">
      <c r="A2222" s="45" t="s">
        <v>3799</v>
      </c>
      <c r="B2222" s="45"/>
      <c r="C2222" s="55">
        <v>45880</v>
      </c>
      <c r="D2222" s="45" t="s">
        <v>66</v>
      </c>
      <c r="E2222" s="45" t="s">
        <v>3911</v>
      </c>
      <c r="G2222" s="38">
        <v>204.8</v>
      </c>
      <c r="H2222" s="38"/>
      <c r="K2222" s="38"/>
      <c r="L2222" s="38">
        <f t="shared" si="19"/>
        <v>204.8</v>
      </c>
    </row>
    <row r="2223" spans="1:12" ht="14.5" x14ac:dyDescent="0.35">
      <c r="A2223" s="45" t="s">
        <v>3799</v>
      </c>
      <c r="B2223" s="45"/>
      <c r="C2223" s="55">
        <v>45880</v>
      </c>
      <c r="D2223" s="45" t="s">
        <v>422</v>
      </c>
      <c r="E2223" s="45" t="s">
        <v>3716</v>
      </c>
      <c r="G2223" s="38">
        <v>173.44</v>
      </c>
      <c r="H2223" s="38"/>
      <c r="K2223" s="38"/>
      <c r="L2223" s="38">
        <f t="shared" si="19"/>
        <v>173.44</v>
      </c>
    </row>
    <row r="2224" spans="1:12" ht="14.5" x14ac:dyDescent="0.35">
      <c r="A2224" s="45" t="s">
        <v>3799</v>
      </c>
      <c r="B2224" s="45"/>
      <c r="C2224" s="55">
        <v>45880</v>
      </c>
      <c r="D2224" s="45" t="s">
        <v>422</v>
      </c>
      <c r="E2224" s="45" t="s">
        <v>3717</v>
      </c>
      <c r="G2224" s="38">
        <v>174.44</v>
      </c>
      <c r="H2224" s="38"/>
      <c r="K2224" s="38"/>
      <c r="L2224" s="38">
        <f t="shared" si="19"/>
        <v>174.44</v>
      </c>
    </row>
    <row r="2225" spans="1:12" ht="14.5" x14ac:dyDescent="0.35">
      <c r="A2225" s="45" t="s">
        <v>3799</v>
      </c>
      <c r="B2225" s="45"/>
      <c r="C2225" s="55">
        <v>45880</v>
      </c>
      <c r="D2225" s="45" t="s">
        <v>422</v>
      </c>
      <c r="E2225" s="45" t="s">
        <v>3718</v>
      </c>
      <c r="G2225" s="38">
        <v>43</v>
      </c>
      <c r="H2225" s="38"/>
      <c r="K2225" s="38"/>
      <c r="L2225" s="38">
        <f t="shared" si="19"/>
        <v>43</v>
      </c>
    </row>
    <row r="2226" spans="1:12" ht="14.5" x14ac:dyDescent="0.35">
      <c r="A2226" s="45" t="s">
        <v>3799</v>
      </c>
      <c r="B2226" s="45"/>
      <c r="C2226" s="55">
        <v>45880</v>
      </c>
      <c r="D2226" s="45" t="s">
        <v>422</v>
      </c>
      <c r="E2226" s="45" t="s">
        <v>3674</v>
      </c>
      <c r="G2226" s="38">
        <v>167</v>
      </c>
      <c r="H2226" s="38"/>
      <c r="K2226" s="38"/>
      <c r="L2226" s="38">
        <f t="shared" si="19"/>
        <v>167</v>
      </c>
    </row>
    <row r="2227" spans="1:12" ht="14.5" x14ac:dyDescent="0.35">
      <c r="A2227" s="45" t="s">
        <v>3799</v>
      </c>
      <c r="B2227" s="45"/>
      <c r="C2227" s="55">
        <v>45880</v>
      </c>
      <c r="D2227" s="45" t="s">
        <v>422</v>
      </c>
      <c r="E2227" s="45" t="s">
        <v>3677</v>
      </c>
      <c r="G2227" s="38">
        <v>313.19000000000005</v>
      </c>
      <c r="H2227" s="38"/>
      <c r="K2227" s="38"/>
      <c r="L2227" s="38">
        <f t="shared" si="19"/>
        <v>313.19000000000005</v>
      </c>
    </row>
    <row r="2228" spans="1:12" ht="14.5" x14ac:dyDescent="0.35">
      <c r="A2228" s="45" t="s">
        <v>3799</v>
      </c>
      <c r="B2228" s="45"/>
      <c r="C2228" s="55">
        <v>45880</v>
      </c>
      <c r="D2228" s="45" t="s">
        <v>422</v>
      </c>
      <c r="E2228" s="45" t="s">
        <v>3678</v>
      </c>
      <c r="G2228" s="38">
        <v>162.99999999999997</v>
      </c>
      <c r="H2228" s="38"/>
      <c r="K2228" s="38"/>
      <c r="L2228" s="38">
        <f t="shared" si="19"/>
        <v>162.99999999999997</v>
      </c>
    </row>
    <row r="2229" spans="1:12" ht="14.5" x14ac:dyDescent="0.35">
      <c r="A2229" s="45" t="s">
        <v>3799</v>
      </c>
      <c r="B2229" s="45"/>
      <c r="C2229" s="55">
        <v>45880</v>
      </c>
      <c r="D2229" s="45" t="s">
        <v>422</v>
      </c>
      <c r="E2229" s="45" t="s">
        <v>523</v>
      </c>
      <c r="G2229" s="38">
        <v>314</v>
      </c>
      <c r="H2229" s="38"/>
      <c r="K2229" s="38"/>
      <c r="L2229" s="38">
        <f t="shared" si="19"/>
        <v>314</v>
      </c>
    </row>
    <row r="2230" spans="1:12" ht="14.5" x14ac:dyDescent="0.35">
      <c r="A2230" s="45" t="s">
        <v>3799</v>
      </c>
      <c r="B2230" s="45"/>
      <c r="C2230" s="55">
        <v>45880</v>
      </c>
      <c r="D2230" s="45" t="s">
        <v>422</v>
      </c>
      <c r="E2230" s="45" t="s">
        <v>3724</v>
      </c>
      <c r="G2230" s="38">
        <v>174.44</v>
      </c>
      <c r="H2230" s="38"/>
      <c r="K2230" s="38"/>
      <c r="L2230" s="38">
        <f t="shared" si="19"/>
        <v>174.44</v>
      </c>
    </row>
    <row r="2231" spans="1:12" ht="14.5" x14ac:dyDescent="0.35">
      <c r="A2231" s="45" t="s">
        <v>3799</v>
      </c>
      <c r="B2231" s="45"/>
      <c r="C2231" s="55">
        <v>45880</v>
      </c>
      <c r="D2231" s="45" t="s">
        <v>66</v>
      </c>
      <c r="E2231" s="45" t="s">
        <v>3912</v>
      </c>
      <c r="G2231" s="38">
        <v>204.80000000000007</v>
      </c>
      <c r="H2231" s="38"/>
      <c r="K2231" s="38"/>
      <c r="L2231" s="38">
        <f t="shared" si="19"/>
        <v>204.80000000000007</v>
      </c>
    </row>
    <row r="2232" spans="1:12" ht="14.5" x14ac:dyDescent="0.35">
      <c r="A2232" s="45" t="s">
        <v>3799</v>
      </c>
      <c r="B2232" s="45"/>
      <c r="C2232" s="55">
        <v>45880</v>
      </c>
      <c r="D2232" s="45" t="s">
        <v>422</v>
      </c>
      <c r="E2232" s="45" t="s">
        <v>3726</v>
      </c>
      <c r="G2232" s="38">
        <v>173.43999999999997</v>
      </c>
      <c r="H2232" s="38"/>
      <c r="K2232" s="38"/>
      <c r="L2232" s="38">
        <f t="shared" si="19"/>
        <v>173.43999999999997</v>
      </c>
    </row>
    <row r="2233" spans="1:12" ht="14.5" x14ac:dyDescent="0.35">
      <c r="A2233" s="45" t="s">
        <v>3799</v>
      </c>
      <c r="B2233" s="45"/>
      <c r="C2233" s="55">
        <v>45880</v>
      </c>
      <c r="D2233" s="45" t="s">
        <v>422</v>
      </c>
      <c r="E2233" s="45" t="s">
        <v>3681</v>
      </c>
      <c r="G2233" s="38">
        <v>313.18999999999988</v>
      </c>
      <c r="H2233" s="38"/>
      <c r="K2233" s="38"/>
      <c r="L2233" s="38">
        <f t="shared" si="19"/>
        <v>313.18999999999988</v>
      </c>
    </row>
    <row r="2234" spans="1:12" ht="14.5" x14ac:dyDescent="0.35">
      <c r="A2234" s="45" t="s">
        <v>3799</v>
      </c>
      <c r="B2234" s="45"/>
      <c r="C2234" s="55">
        <v>45880</v>
      </c>
      <c r="D2234" s="45" t="s">
        <v>422</v>
      </c>
      <c r="E2234" s="45" t="s">
        <v>3728</v>
      </c>
      <c r="G2234" s="38">
        <v>172.99999999999997</v>
      </c>
      <c r="H2234" s="38"/>
      <c r="K2234" s="38"/>
      <c r="L2234" s="38">
        <f t="shared" si="19"/>
        <v>172.99999999999997</v>
      </c>
    </row>
    <row r="2235" spans="1:12" ht="14.5" x14ac:dyDescent="0.35">
      <c r="A2235" s="45" t="s">
        <v>3799</v>
      </c>
      <c r="B2235" s="45"/>
      <c r="C2235" s="55">
        <v>45880</v>
      </c>
      <c r="D2235" s="45" t="s">
        <v>422</v>
      </c>
      <c r="E2235" s="45" t="s">
        <v>3913</v>
      </c>
      <c r="G2235" s="38">
        <v>170</v>
      </c>
      <c r="H2235" s="38"/>
      <c r="K2235" s="38"/>
      <c r="L2235" s="38">
        <f t="shared" si="19"/>
        <v>170</v>
      </c>
    </row>
    <row r="2236" spans="1:12" ht="14.5" x14ac:dyDescent="0.35">
      <c r="A2236" s="45" t="s">
        <v>3799</v>
      </c>
      <c r="B2236" s="45"/>
      <c r="C2236" s="55">
        <v>45880</v>
      </c>
      <c r="D2236" s="45" t="s">
        <v>422</v>
      </c>
      <c r="E2236" s="45" t="s">
        <v>3619</v>
      </c>
      <c r="G2236" s="38">
        <v>218</v>
      </c>
      <c r="H2236" s="38"/>
      <c r="K2236" s="38"/>
      <c r="L2236" s="38">
        <f t="shared" si="19"/>
        <v>218</v>
      </c>
    </row>
    <row r="2237" spans="1:12" ht="14.5" x14ac:dyDescent="0.35">
      <c r="A2237" s="45" t="s">
        <v>3799</v>
      </c>
      <c r="B2237" s="45"/>
      <c r="C2237" s="55">
        <v>45880</v>
      </c>
      <c r="D2237" s="45" t="s">
        <v>66</v>
      </c>
      <c r="E2237" s="45" t="s">
        <v>3914</v>
      </c>
      <c r="G2237" s="38">
        <v>204.8</v>
      </c>
      <c r="H2237" s="38"/>
      <c r="K2237" s="38"/>
      <c r="L2237" s="38">
        <f t="shared" si="19"/>
        <v>204.8</v>
      </c>
    </row>
    <row r="2238" spans="1:12" ht="14.5" x14ac:dyDescent="0.35">
      <c r="A2238" s="45" t="s">
        <v>3799</v>
      </c>
      <c r="B2238" s="45"/>
      <c r="C2238" s="55">
        <v>45880</v>
      </c>
      <c r="D2238" s="45" t="s">
        <v>422</v>
      </c>
      <c r="E2238" s="45" t="s">
        <v>3915</v>
      </c>
      <c r="G2238" s="38">
        <v>127.5</v>
      </c>
      <c r="H2238" s="38"/>
      <c r="K2238" s="38"/>
      <c r="L2238" s="38">
        <f t="shared" si="19"/>
        <v>127.5</v>
      </c>
    </row>
    <row r="2239" spans="1:12" ht="14.5" x14ac:dyDescent="0.35">
      <c r="A2239" s="45" t="s">
        <v>3799</v>
      </c>
      <c r="B2239" s="45"/>
      <c r="C2239" s="55">
        <v>45880</v>
      </c>
      <c r="D2239" s="45" t="s">
        <v>422</v>
      </c>
      <c r="E2239" s="45" t="s">
        <v>3729</v>
      </c>
      <c r="G2239" s="38">
        <v>337</v>
      </c>
      <c r="H2239" s="38"/>
      <c r="K2239" s="38"/>
      <c r="L2239" s="38">
        <f t="shared" si="19"/>
        <v>337</v>
      </c>
    </row>
    <row r="2240" spans="1:12" ht="14.5" x14ac:dyDescent="0.35">
      <c r="A2240" s="45" t="s">
        <v>3799</v>
      </c>
      <c r="B2240" s="45"/>
      <c r="C2240" s="55">
        <v>45880</v>
      </c>
      <c r="D2240" s="45" t="s">
        <v>422</v>
      </c>
      <c r="E2240" s="45" t="s">
        <v>3730</v>
      </c>
      <c r="G2240" s="38">
        <v>43</v>
      </c>
      <c r="H2240" s="38"/>
      <c r="K2240" s="38"/>
      <c r="L2240" s="38">
        <f t="shared" si="19"/>
        <v>43</v>
      </c>
    </row>
    <row r="2241" spans="1:12" ht="14.5" x14ac:dyDescent="0.35">
      <c r="A2241" s="45" t="s">
        <v>3799</v>
      </c>
      <c r="B2241" s="45"/>
      <c r="C2241" s="55">
        <v>45880</v>
      </c>
      <c r="D2241" s="45" t="s">
        <v>422</v>
      </c>
      <c r="E2241" s="45" t="s">
        <v>3759</v>
      </c>
      <c r="G2241" s="38">
        <v>237.50000000000003</v>
      </c>
      <c r="H2241" s="38"/>
      <c r="K2241" s="38"/>
      <c r="L2241" s="38">
        <f t="shared" si="19"/>
        <v>237.50000000000003</v>
      </c>
    </row>
    <row r="2242" spans="1:12" ht="14.5" x14ac:dyDescent="0.35">
      <c r="A2242" s="45" t="s">
        <v>3799</v>
      </c>
      <c r="B2242" s="45"/>
      <c r="C2242" s="55">
        <v>45880</v>
      </c>
      <c r="D2242" s="45" t="s">
        <v>66</v>
      </c>
      <c r="E2242" s="45" t="s">
        <v>3916</v>
      </c>
      <c r="G2242" s="38">
        <v>204.8</v>
      </c>
      <c r="H2242" s="38"/>
      <c r="K2242" s="38"/>
      <c r="L2242" s="38">
        <f t="shared" si="19"/>
        <v>204.8</v>
      </c>
    </row>
    <row r="2243" spans="1:12" ht="14.5" x14ac:dyDescent="0.35">
      <c r="A2243" s="45" t="s">
        <v>3799</v>
      </c>
      <c r="B2243" s="45"/>
      <c r="C2243" s="55">
        <v>45880</v>
      </c>
      <c r="D2243" s="45" t="s">
        <v>66</v>
      </c>
      <c r="E2243" s="45" t="s">
        <v>3917</v>
      </c>
      <c r="G2243" s="38">
        <v>204.79999999999998</v>
      </c>
      <c r="H2243" s="38"/>
      <c r="K2243" s="38"/>
      <c r="L2243" s="38">
        <f t="shared" si="19"/>
        <v>204.79999999999998</v>
      </c>
    </row>
    <row r="2244" spans="1:12" ht="14.5" x14ac:dyDescent="0.35">
      <c r="A2244" s="45" t="s">
        <v>3799</v>
      </c>
      <c r="B2244" s="45"/>
      <c r="C2244" s="55">
        <v>45880</v>
      </c>
      <c r="D2244" s="45" t="s">
        <v>422</v>
      </c>
      <c r="E2244" s="45" t="s">
        <v>3731</v>
      </c>
      <c r="G2244" s="38">
        <v>192</v>
      </c>
      <c r="H2244" s="38"/>
      <c r="K2244" s="38"/>
      <c r="L2244" s="38">
        <f t="shared" si="19"/>
        <v>192</v>
      </c>
    </row>
    <row r="2245" spans="1:12" ht="14.5" x14ac:dyDescent="0.35">
      <c r="A2245" s="45" t="s">
        <v>3799</v>
      </c>
      <c r="B2245" s="45"/>
      <c r="C2245" s="55">
        <v>45880</v>
      </c>
      <c r="D2245" s="45" t="s">
        <v>422</v>
      </c>
      <c r="E2245" s="45" t="s">
        <v>3732</v>
      </c>
      <c r="G2245" s="38">
        <v>173.44</v>
      </c>
      <c r="H2245" s="38"/>
      <c r="K2245" s="38"/>
      <c r="L2245" s="38">
        <f t="shared" si="19"/>
        <v>173.44</v>
      </c>
    </row>
    <row r="2246" spans="1:12" ht="14.5" x14ac:dyDescent="0.35">
      <c r="A2246" s="45" t="s">
        <v>3799</v>
      </c>
      <c r="B2246" s="45"/>
      <c r="C2246" s="55">
        <v>45880</v>
      </c>
      <c r="D2246" s="45" t="s">
        <v>422</v>
      </c>
      <c r="E2246" s="45" t="s">
        <v>3683</v>
      </c>
      <c r="G2246" s="38">
        <v>174.44</v>
      </c>
      <c r="H2246" s="38"/>
      <c r="K2246" s="38"/>
      <c r="L2246" s="38">
        <f t="shared" si="19"/>
        <v>174.44</v>
      </c>
    </row>
    <row r="2247" spans="1:12" ht="14.5" x14ac:dyDescent="0.35">
      <c r="A2247" s="45" t="s">
        <v>3799</v>
      </c>
      <c r="B2247" s="45"/>
      <c r="C2247" s="55">
        <v>45880</v>
      </c>
      <c r="D2247" s="45" t="s">
        <v>422</v>
      </c>
      <c r="E2247" s="45" t="s">
        <v>3733</v>
      </c>
      <c r="G2247" s="38">
        <v>173.44</v>
      </c>
      <c r="H2247" s="38"/>
      <c r="K2247" s="38"/>
      <c r="L2247" s="38">
        <f t="shared" si="19"/>
        <v>173.44</v>
      </c>
    </row>
    <row r="2248" spans="1:12" ht="14.5" x14ac:dyDescent="0.35">
      <c r="A2248" s="45" t="s">
        <v>3799</v>
      </c>
      <c r="B2248" s="45"/>
      <c r="C2248" s="55">
        <v>45880</v>
      </c>
      <c r="D2248" s="45" t="s">
        <v>422</v>
      </c>
      <c r="E2248" s="45" t="s">
        <v>3734</v>
      </c>
      <c r="G2248" s="38">
        <v>86</v>
      </c>
      <c r="H2248" s="38"/>
      <c r="K2248" s="38"/>
      <c r="L2248" s="38">
        <f t="shared" si="19"/>
        <v>86</v>
      </c>
    </row>
    <row r="2249" spans="1:12" ht="14.5" x14ac:dyDescent="0.35">
      <c r="A2249" s="45" t="s">
        <v>3799</v>
      </c>
      <c r="B2249" s="45"/>
      <c r="C2249" s="55">
        <v>45880</v>
      </c>
      <c r="D2249" s="45" t="s">
        <v>422</v>
      </c>
      <c r="E2249" s="45" t="s">
        <v>3735</v>
      </c>
      <c r="G2249" s="38">
        <v>173</v>
      </c>
      <c r="H2249" s="38"/>
      <c r="K2249" s="38"/>
      <c r="L2249" s="38">
        <f t="shared" si="19"/>
        <v>173</v>
      </c>
    </row>
    <row r="2250" spans="1:12" ht="14.5" x14ac:dyDescent="0.35">
      <c r="A2250" s="45" t="s">
        <v>3799</v>
      </c>
      <c r="B2250" s="45"/>
      <c r="C2250" s="55">
        <v>45880</v>
      </c>
      <c r="D2250" s="45" t="s">
        <v>66</v>
      </c>
      <c r="E2250" s="45" t="s">
        <v>3918</v>
      </c>
      <c r="G2250" s="38">
        <v>409.59999999999997</v>
      </c>
      <c r="H2250" s="38"/>
      <c r="K2250" s="38"/>
      <c r="L2250" s="38">
        <f t="shared" si="19"/>
        <v>409.59999999999997</v>
      </c>
    </row>
    <row r="2251" spans="1:12" ht="14.5" x14ac:dyDescent="0.35">
      <c r="A2251" s="45" t="s">
        <v>3799</v>
      </c>
      <c r="B2251" s="45"/>
      <c r="C2251" s="55">
        <v>45880</v>
      </c>
      <c r="D2251" s="45" t="s">
        <v>422</v>
      </c>
      <c r="E2251" s="45" t="s">
        <v>3736</v>
      </c>
      <c r="G2251" s="38">
        <v>173</v>
      </c>
      <c r="H2251" s="38"/>
      <c r="K2251" s="38"/>
      <c r="L2251" s="38">
        <f t="shared" si="19"/>
        <v>173</v>
      </c>
    </row>
    <row r="2252" spans="1:12" ht="14.5" x14ac:dyDescent="0.35">
      <c r="A2252" s="45" t="s">
        <v>3799</v>
      </c>
      <c r="B2252" s="45"/>
      <c r="C2252" s="55">
        <v>45880</v>
      </c>
      <c r="D2252" s="45" t="s">
        <v>933</v>
      </c>
      <c r="E2252" s="45" t="s">
        <v>946</v>
      </c>
      <c r="G2252" s="38">
        <v>788.74999999999989</v>
      </c>
      <c r="H2252" s="38"/>
      <c r="K2252" s="38"/>
      <c r="L2252" s="38">
        <f t="shared" si="19"/>
        <v>788.74999999999989</v>
      </c>
    </row>
    <row r="2253" spans="1:12" ht="14.5" x14ac:dyDescent="0.35">
      <c r="A2253" s="45" t="s">
        <v>3799</v>
      </c>
      <c r="B2253" s="45"/>
      <c r="C2253" s="55">
        <v>45880</v>
      </c>
      <c r="D2253" s="45" t="s">
        <v>422</v>
      </c>
      <c r="E2253" s="45" t="s">
        <v>3738</v>
      </c>
      <c r="G2253" s="38">
        <v>173.43999999999997</v>
      </c>
      <c r="H2253" s="38"/>
      <c r="K2253" s="38"/>
      <c r="L2253" s="38">
        <f t="shared" si="19"/>
        <v>173.43999999999997</v>
      </c>
    </row>
    <row r="2254" spans="1:12" ht="14.5" x14ac:dyDescent="0.35">
      <c r="A2254" s="45" t="s">
        <v>3799</v>
      </c>
      <c r="B2254" s="45"/>
      <c r="C2254" s="55">
        <v>45880</v>
      </c>
      <c r="D2254" s="45" t="s">
        <v>422</v>
      </c>
      <c r="E2254" s="45" t="s">
        <v>3919</v>
      </c>
      <c r="G2254" s="38">
        <v>67.78</v>
      </c>
      <c r="H2254" s="38"/>
      <c r="K2254" s="38"/>
      <c r="L2254" s="38">
        <f t="shared" si="19"/>
        <v>67.78</v>
      </c>
    </row>
    <row r="2255" spans="1:12" ht="14.5" x14ac:dyDescent="0.35">
      <c r="A2255" s="45" t="s">
        <v>3799</v>
      </c>
      <c r="B2255" s="45"/>
      <c r="C2255" s="55">
        <v>45880</v>
      </c>
      <c r="D2255" s="45" t="s">
        <v>422</v>
      </c>
      <c r="E2255" s="45" t="s">
        <v>3621</v>
      </c>
      <c r="G2255" s="38">
        <v>114.78</v>
      </c>
      <c r="H2255" s="38"/>
      <c r="K2255" s="38"/>
      <c r="L2255" s="38">
        <f t="shared" si="19"/>
        <v>114.78</v>
      </c>
    </row>
    <row r="2256" spans="1:12" ht="14.5" x14ac:dyDescent="0.35">
      <c r="A2256" s="45" t="s">
        <v>3799</v>
      </c>
      <c r="B2256" s="45"/>
      <c r="C2256" s="55">
        <v>45880</v>
      </c>
      <c r="D2256" s="45" t="s">
        <v>422</v>
      </c>
      <c r="E2256" s="45" t="s">
        <v>3740</v>
      </c>
      <c r="G2256" s="38">
        <v>174.44</v>
      </c>
      <c r="H2256" s="38"/>
      <c r="K2256" s="38"/>
      <c r="L2256" s="38">
        <f t="shared" si="19"/>
        <v>174.44</v>
      </c>
    </row>
    <row r="2257" spans="1:12" ht="14.5" x14ac:dyDescent="0.35">
      <c r="A2257" s="45" t="s">
        <v>3799</v>
      </c>
      <c r="B2257" s="45"/>
      <c r="C2257" s="55">
        <v>45880</v>
      </c>
      <c r="D2257" s="45" t="s">
        <v>422</v>
      </c>
      <c r="E2257" s="45" t="s">
        <v>573</v>
      </c>
      <c r="G2257" s="38">
        <v>67.759999999999991</v>
      </c>
      <c r="H2257" s="38"/>
      <c r="K2257" s="38"/>
      <c r="L2257" s="38">
        <f t="shared" si="19"/>
        <v>67.759999999999991</v>
      </c>
    </row>
    <row r="2258" spans="1:12" ht="14.5" x14ac:dyDescent="0.35">
      <c r="A2258" s="45" t="s">
        <v>3799</v>
      </c>
      <c r="B2258" s="45"/>
      <c r="C2258" s="55">
        <v>45880</v>
      </c>
      <c r="D2258" s="45" t="s">
        <v>422</v>
      </c>
      <c r="E2258" s="45" t="s">
        <v>3920</v>
      </c>
      <c r="G2258" s="38">
        <v>67.78</v>
      </c>
      <c r="H2258" s="38"/>
      <c r="K2258" s="38"/>
      <c r="L2258" s="38">
        <f t="shared" si="19"/>
        <v>67.78</v>
      </c>
    </row>
    <row r="2259" spans="1:12" ht="14.5" x14ac:dyDescent="0.35">
      <c r="A2259" s="45" t="s">
        <v>3799</v>
      </c>
      <c r="B2259" s="45"/>
      <c r="C2259" s="55">
        <v>45880</v>
      </c>
      <c r="D2259" s="45" t="s">
        <v>422</v>
      </c>
      <c r="E2259" s="45" t="s">
        <v>3921</v>
      </c>
      <c r="G2259" s="38">
        <v>67.78</v>
      </c>
      <c r="H2259" s="38"/>
      <c r="K2259" s="38"/>
      <c r="L2259" s="38">
        <f t="shared" si="19"/>
        <v>67.78</v>
      </c>
    </row>
    <row r="2260" spans="1:12" ht="14.5" x14ac:dyDescent="0.35">
      <c r="A2260" s="45" t="s">
        <v>3799</v>
      </c>
      <c r="B2260" s="45"/>
      <c r="C2260" s="55">
        <v>45880</v>
      </c>
      <c r="D2260" s="45" t="s">
        <v>66</v>
      </c>
      <c r="E2260" s="45" t="s">
        <v>3922</v>
      </c>
      <c r="G2260" s="38">
        <v>853.62000000000035</v>
      </c>
      <c r="H2260" s="38"/>
      <c r="K2260" s="38"/>
      <c r="L2260" s="38">
        <f t="shared" si="19"/>
        <v>853.62000000000035</v>
      </c>
    </row>
    <row r="2261" spans="1:12" ht="14.5" x14ac:dyDescent="0.35">
      <c r="A2261" s="45" t="s">
        <v>3799</v>
      </c>
      <c r="B2261" s="45"/>
      <c r="C2261" s="55">
        <v>45880</v>
      </c>
      <c r="D2261" s="45" t="s">
        <v>66</v>
      </c>
      <c r="E2261" s="45" t="s">
        <v>3923</v>
      </c>
      <c r="G2261" s="38">
        <v>855.48</v>
      </c>
      <c r="H2261" s="38"/>
      <c r="K2261" s="38"/>
      <c r="L2261" s="38">
        <f t="shared" si="19"/>
        <v>855.48</v>
      </c>
    </row>
    <row r="2262" spans="1:12" ht="14.5" x14ac:dyDescent="0.35">
      <c r="A2262" s="45" t="s">
        <v>3799</v>
      </c>
      <c r="B2262" s="45"/>
      <c r="C2262" s="55">
        <v>45880</v>
      </c>
      <c r="D2262" s="45" t="s">
        <v>422</v>
      </c>
      <c r="E2262" s="45" t="s">
        <v>3749</v>
      </c>
      <c r="G2262" s="38">
        <v>173.44</v>
      </c>
      <c r="H2262" s="38"/>
      <c r="K2262" s="38"/>
      <c r="L2262" s="38">
        <f t="shared" si="19"/>
        <v>173.44</v>
      </c>
    </row>
    <row r="2263" spans="1:12" ht="14.5" x14ac:dyDescent="0.35">
      <c r="A2263" s="45" t="s">
        <v>3799</v>
      </c>
      <c r="B2263" s="45"/>
      <c r="C2263" s="55">
        <v>45880</v>
      </c>
      <c r="D2263" s="45" t="s">
        <v>422</v>
      </c>
      <c r="E2263" s="45" t="s">
        <v>3752</v>
      </c>
      <c r="G2263" s="38">
        <v>173</v>
      </c>
      <c r="H2263" s="38"/>
      <c r="K2263" s="38"/>
      <c r="L2263" s="38">
        <f t="shared" si="19"/>
        <v>173</v>
      </c>
    </row>
    <row r="2264" spans="1:12" ht="14.5" x14ac:dyDescent="0.35">
      <c r="A2264" s="45" t="s">
        <v>3799</v>
      </c>
      <c r="B2264" s="45"/>
      <c r="C2264" s="55">
        <v>45880</v>
      </c>
      <c r="D2264" s="45" t="s">
        <v>422</v>
      </c>
      <c r="E2264" s="45" t="s">
        <v>3924</v>
      </c>
      <c r="G2264" s="38">
        <v>67.78</v>
      </c>
      <c r="H2264" s="38"/>
      <c r="K2264" s="38"/>
      <c r="L2264" s="38">
        <f t="shared" si="19"/>
        <v>67.78</v>
      </c>
    </row>
    <row r="2265" spans="1:12" ht="14.5" x14ac:dyDescent="0.35">
      <c r="A2265" s="45" t="s">
        <v>3799</v>
      </c>
      <c r="B2265" s="45"/>
      <c r="C2265" s="55">
        <v>45880</v>
      </c>
      <c r="D2265" s="45" t="s">
        <v>422</v>
      </c>
      <c r="E2265" s="45" t="s">
        <v>3925</v>
      </c>
      <c r="G2265" s="38">
        <v>67.78</v>
      </c>
      <c r="H2265" s="38"/>
      <c r="K2265" s="38"/>
      <c r="L2265" s="38">
        <f t="shared" si="19"/>
        <v>67.78</v>
      </c>
    </row>
    <row r="2266" spans="1:12" ht="14.5" x14ac:dyDescent="0.35">
      <c r="A2266" s="45" t="s">
        <v>3799</v>
      </c>
      <c r="B2266" s="45"/>
      <c r="C2266" s="55">
        <v>45880</v>
      </c>
      <c r="D2266" s="45" t="s">
        <v>422</v>
      </c>
      <c r="E2266" s="45" t="s">
        <v>3755</v>
      </c>
      <c r="G2266" s="38">
        <v>173.44</v>
      </c>
      <c r="H2266" s="38"/>
      <c r="K2266" s="38"/>
      <c r="L2266" s="38">
        <f t="shared" si="19"/>
        <v>173.44</v>
      </c>
    </row>
    <row r="2267" spans="1:12" ht="14.5" x14ac:dyDescent="0.35">
      <c r="A2267" s="45" t="s">
        <v>3799</v>
      </c>
      <c r="B2267" s="45"/>
      <c r="C2267" s="55">
        <v>45880</v>
      </c>
      <c r="D2267" s="45" t="s">
        <v>422</v>
      </c>
      <c r="E2267" s="45" t="s">
        <v>3926</v>
      </c>
      <c r="G2267" s="38">
        <v>305.56</v>
      </c>
      <c r="H2267" s="38"/>
      <c r="K2267" s="38"/>
      <c r="L2267" s="38">
        <f t="shared" si="19"/>
        <v>305.56</v>
      </c>
    </row>
    <row r="2268" spans="1:12" ht="14.5" x14ac:dyDescent="0.35">
      <c r="A2268" s="45" t="s">
        <v>3799</v>
      </c>
      <c r="B2268" s="45"/>
      <c r="C2268" s="55">
        <v>45880</v>
      </c>
      <c r="D2268" s="45" t="s">
        <v>422</v>
      </c>
      <c r="E2268" s="45" t="s">
        <v>3688</v>
      </c>
      <c r="G2268" s="38">
        <v>313.19</v>
      </c>
      <c r="H2268" s="38"/>
      <c r="K2268" s="38"/>
      <c r="L2268" s="38">
        <f t="shared" si="19"/>
        <v>313.19</v>
      </c>
    </row>
    <row r="2269" spans="1:12" ht="14.5" x14ac:dyDescent="0.35">
      <c r="A2269" s="45" t="s">
        <v>3799</v>
      </c>
      <c r="B2269" s="45"/>
      <c r="C2269" s="55">
        <v>45880</v>
      </c>
      <c r="D2269" s="45" t="s">
        <v>422</v>
      </c>
      <c r="E2269" s="45" t="s">
        <v>3756</v>
      </c>
      <c r="G2269" s="38">
        <v>173.00000000000003</v>
      </c>
      <c r="H2269" s="38"/>
      <c r="K2269" s="38"/>
      <c r="L2269" s="38">
        <f t="shared" si="19"/>
        <v>173.00000000000003</v>
      </c>
    </row>
    <row r="2270" spans="1:12" ht="14.5" x14ac:dyDescent="0.35">
      <c r="A2270" s="45" t="s">
        <v>3799</v>
      </c>
      <c r="B2270" s="45"/>
      <c r="C2270" s="55">
        <v>45880</v>
      </c>
      <c r="D2270" s="45" t="s">
        <v>422</v>
      </c>
      <c r="E2270" s="45" t="s">
        <v>3757</v>
      </c>
      <c r="G2270" s="38">
        <v>43</v>
      </c>
      <c r="H2270" s="38"/>
      <c r="K2270" s="38"/>
      <c r="L2270" s="38">
        <f t="shared" si="19"/>
        <v>43</v>
      </c>
    </row>
    <row r="2271" spans="1:12" ht="14.5" x14ac:dyDescent="0.35">
      <c r="A2271" s="45" t="s">
        <v>3799</v>
      </c>
      <c r="B2271" s="45"/>
      <c r="C2271" s="55">
        <v>45880</v>
      </c>
      <c r="D2271" s="45" t="s">
        <v>66</v>
      </c>
      <c r="E2271" s="45" t="s">
        <v>3927</v>
      </c>
      <c r="G2271" s="38">
        <v>1705</v>
      </c>
      <c r="H2271" s="38"/>
      <c r="K2271" s="38"/>
      <c r="L2271" s="38">
        <f t="shared" si="19"/>
        <v>1705</v>
      </c>
    </row>
    <row r="2272" spans="1:12" ht="14.5" x14ac:dyDescent="0.35">
      <c r="A2272" s="45" t="s">
        <v>3799</v>
      </c>
      <c r="B2272" s="45"/>
      <c r="C2272" s="55">
        <v>45880</v>
      </c>
      <c r="D2272" s="45" t="s">
        <v>422</v>
      </c>
      <c r="E2272" s="45" t="s">
        <v>3764</v>
      </c>
      <c r="G2272" s="38">
        <v>173</v>
      </c>
      <c r="H2272" s="38"/>
      <c r="K2272" s="38"/>
      <c r="L2272" s="38">
        <f t="shared" si="19"/>
        <v>173</v>
      </c>
    </row>
    <row r="2273" spans="1:12" ht="14.5" x14ac:dyDescent="0.35">
      <c r="A2273" s="45" t="s">
        <v>3799</v>
      </c>
      <c r="B2273" s="45"/>
      <c r="C2273" s="55">
        <v>45880</v>
      </c>
      <c r="D2273" s="45" t="s">
        <v>422</v>
      </c>
      <c r="E2273" s="45" t="s">
        <v>3689</v>
      </c>
      <c r="G2273" s="38">
        <v>163</v>
      </c>
      <c r="H2273" s="38"/>
      <c r="K2273" s="38"/>
      <c r="L2273" s="38">
        <f t="shared" si="19"/>
        <v>163</v>
      </c>
    </row>
    <row r="2274" spans="1:12" ht="14.5" x14ac:dyDescent="0.35">
      <c r="A2274" s="45" t="s">
        <v>3799</v>
      </c>
      <c r="B2274" s="45"/>
      <c r="C2274" s="55">
        <v>45880</v>
      </c>
      <c r="D2274" s="45" t="s">
        <v>422</v>
      </c>
      <c r="E2274" s="45" t="s">
        <v>3772</v>
      </c>
      <c r="G2274" s="38">
        <v>173</v>
      </c>
      <c r="H2274" s="38"/>
      <c r="K2274" s="38"/>
      <c r="L2274" s="38">
        <f t="shared" si="19"/>
        <v>173</v>
      </c>
    </row>
    <row r="2275" spans="1:12" ht="14.5" x14ac:dyDescent="0.35">
      <c r="A2275" s="45" t="s">
        <v>3799</v>
      </c>
      <c r="B2275" s="45"/>
      <c r="C2275" s="55">
        <v>45880</v>
      </c>
      <c r="D2275" s="45" t="s">
        <v>422</v>
      </c>
      <c r="E2275" s="45" t="s">
        <v>3690</v>
      </c>
      <c r="G2275" s="38">
        <v>176.52</v>
      </c>
      <c r="H2275" s="38"/>
      <c r="K2275" s="38"/>
      <c r="L2275" s="38">
        <f t="shared" si="19"/>
        <v>176.52</v>
      </c>
    </row>
    <row r="2276" spans="1:12" ht="14.5" x14ac:dyDescent="0.35">
      <c r="A2276" s="45" t="s">
        <v>3799</v>
      </c>
      <c r="B2276" s="45"/>
      <c r="C2276" s="55">
        <v>45880</v>
      </c>
      <c r="D2276" s="45" t="s">
        <v>422</v>
      </c>
      <c r="E2276" s="45" t="s">
        <v>3778</v>
      </c>
      <c r="G2276" s="38">
        <v>48</v>
      </c>
      <c r="H2276" s="38"/>
      <c r="K2276" s="38"/>
      <c r="L2276" s="38">
        <f t="shared" si="19"/>
        <v>48</v>
      </c>
    </row>
    <row r="2277" spans="1:12" ht="14.5" x14ac:dyDescent="0.35">
      <c r="A2277" s="45" t="s">
        <v>3799</v>
      </c>
      <c r="B2277" s="45"/>
      <c r="C2277" s="55">
        <v>45880</v>
      </c>
      <c r="D2277" s="45" t="s">
        <v>324</v>
      </c>
      <c r="E2277" s="45" t="s">
        <v>3928</v>
      </c>
      <c r="G2277" s="38">
        <v>130.09</v>
      </c>
      <c r="H2277" s="38"/>
      <c r="K2277" s="38"/>
      <c r="L2277" s="38">
        <f t="shared" si="19"/>
        <v>130.09</v>
      </c>
    </row>
    <row r="2278" spans="1:12" ht="14.5" x14ac:dyDescent="0.35">
      <c r="A2278" s="45" t="s">
        <v>3799</v>
      </c>
      <c r="B2278" s="45"/>
      <c r="C2278" s="55">
        <v>45881</v>
      </c>
      <c r="D2278" s="45" t="s">
        <v>803</v>
      </c>
      <c r="E2278" s="45" t="s">
        <v>3655</v>
      </c>
      <c r="G2278" s="38">
        <v>5079.0799999999981</v>
      </c>
      <c r="H2278" s="38"/>
      <c r="K2278" s="38"/>
      <c r="L2278" s="38">
        <f t="shared" si="19"/>
        <v>5079.0799999999981</v>
      </c>
    </row>
    <row r="2279" spans="1:12" ht="14.5" x14ac:dyDescent="0.35">
      <c r="A2279" s="45" t="s">
        <v>3799</v>
      </c>
      <c r="B2279" s="45"/>
      <c r="C2279" s="55">
        <v>45881</v>
      </c>
      <c r="D2279" s="45" t="s">
        <v>3929</v>
      </c>
      <c r="E2279" s="45" t="s">
        <v>3930</v>
      </c>
      <c r="G2279" s="38">
        <v>195</v>
      </c>
      <c r="H2279" s="38"/>
      <c r="K2279" s="38"/>
      <c r="L2279" s="38">
        <f t="shared" si="19"/>
        <v>195</v>
      </c>
    </row>
    <row r="2280" spans="1:12" ht="14.5" x14ac:dyDescent="0.35">
      <c r="A2280" s="45" t="s">
        <v>3799</v>
      </c>
      <c r="B2280" s="45"/>
      <c r="C2280" s="55">
        <v>45881</v>
      </c>
      <c r="D2280" s="45" t="s">
        <v>421</v>
      </c>
      <c r="E2280" s="45" t="s">
        <v>3931</v>
      </c>
      <c r="G2280" s="38">
        <v>262.5</v>
      </c>
      <c r="H2280" s="38"/>
      <c r="K2280" s="38"/>
      <c r="L2280" s="38">
        <f t="shared" ref="L2280:L2343" si="20">G2280-H2280</f>
        <v>262.5</v>
      </c>
    </row>
    <row r="2281" spans="1:12" ht="14.5" x14ac:dyDescent="0.35">
      <c r="A2281" s="45" t="s">
        <v>3799</v>
      </c>
      <c r="B2281" s="45"/>
      <c r="C2281" s="55">
        <v>45881</v>
      </c>
      <c r="D2281" s="45" t="s">
        <v>96</v>
      </c>
      <c r="E2281" s="45" t="s">
        <v>3605</v>
      </c>
      <c r="G2281" s="38">
        <v>902.69999999999993</v>
      </c>
      <c r="H2281" s="38"/>
      <c r="K2281" s="38"/>
      <c r="L2281" s="38">
        <f t="shared" si="20"/>
        <v>902.69999999999993</v>
      </c>
    </row>
    <row r="2282" spans="1:12" ht="14.5" x14ac:dyDescent="0.35">
      <c r="A2282" s="45" t="s">
        <v>3799</v>
      </c>
      <c r="B2282" s="45"/>
      <c r="C2282" s="55">
        <v>45881</v>
      </c>
      <c r="D2282" s="45" t="s">
        <v>421</v>
      </c>
      <c r="E2282" s="45" t="s">
        <v>3932</v>
      </c>
      <c r="G2282" s="38">
        <v>150</v>
      </c>
      <c r="H2282" s="38"/>
      <c r="K2282" s="38"/>
      <c r="L2282" s="38">
        <f t="shared" si="20"/>
        <v>150</v>
      </c>
    </row>
    <row r="2283" spans="1:12" ht="14.5" x14ac:dyDescent="0.35">
      <c r="A2283" s="45" t="s">
        <v>3799</v>
      </c>
      <c r="B2283" s="45"/>
      <c r="C2283" s="55">
        <v>45881</v>
      </c>
      <c r="D2283" s="45" t="s">
        <v>96</v>
      </c>
      <c r="E2283" s="45" t="s">
        <v>3713</v>
      </c>
      <c r="G2283" s="38">
        <v>104.6</v>
      </c>
      <c r="H2283" s="38"/>
      <c r="K2283" s="38"/>
      <c r="L2283" s="38">
        <f t="shared" si="20"/>
        <v>104.6</v>
      </c>
    </row>
    <row r="2284" spans="1:12" ht="14.5" x14ac:dyDescent="0.35">
      <c r="A2284" s="45" t="s">
        <v>3799</v>
      </c>
      <c r="B2284" s="45"/>
      <c r="C2284" s="55">
        <v>45881</v>
      </c>
      <c r="D2284" s="45" t="s">
        <v>882</v>
      </c>
      <c r="E2284" s="45">
        <v>72500017</v>
      </c>
      <c r="G2284" s="38">
        <v>105.1</v>
      </c>
      <c r="H2284" s="38"/>
      <c r="K2284" s="38"/>
      <c r="L2284" s="38">
        <f t="shared" si="20"/>
        <v>105.1</v>
      </c>
    </row>
    <row r="2285" spans="1:12" ht="14.5" x14ac:dyDescent="0.35">
      <c r="A2285" s="45" t="s">
        <v>3799</v>
      </c>
      <c r="B2285" s="45"/>
      <c r="C2285" s="55">
        <v>45881</v>
      </c>
      <c r="D2285" s="45" t="s">
        <v>422</v>
      </c>
      <c r="E2285" s="45" t="s">
        <v>554</v>
      </c>
      <c r="G2285" s="38">
        <v>16.71</v>
      </c>
      <c r="H2285" s="38"/>
      <c r="K2285" s="38"/>
      <c r="L2285" s="38">
        <f t="shared" si="20"/>
        <v>16.71</v>
      </c>
    </row>
    <row r="2286" spans="1:12" ht="14.5" x14ac:dyDescent="0.35">
      <c r="A2286" s="45" t="s">
        <v>3799</v>
      </c>
      <c r="B2286" s="45"/>
      <c r="C2286" s="55">
        <v>45881</v>
      </c>
      <c r="D2286" s="45" t="s">
        <v>3607</v>
      </c>
      <c r="E2286" s="45" t="s">
        <v>3608</v>
      </c>
      <c r="G2286" s="38">
        <v>1614.17</v>
      </c>
      <c r="H2286" s="38"/>
      <c r="K2286" s="38"/>
      <c r="L2286" s="38">
        <f t="shared" si="20"/>
        <v>1614.17</v>
      </c>
    </row>
    <row r="2287" spans="1:12" ht="14.5" x14ac:dyDescent="0.35">
      <c r="A2287" s="45" t="s">
        <v>3799</v>
      </c>
      <c r="B2287" s="45"/>
      <c r="C2287" s="55">
        <v>45881</v>
      </c>
      <c r="D2287" s="45" t="s">
        <v>422</v>
      </c>
      <c r="E2287" s="45" t="s">
        <v>3933</v>
      </c>
      <c r="G2287" s="38">
        <v>16</v>
      </c>
      <c r="H2287" s="38"/>
      <c r="K2287" s="38"/>
      <c r="L2287" s="38">
        <f t="shared" si="20"/>
        <v>16</v>
      </c>
    </row>
    <row r="2288" spans="1:12" ht="14.5" x14ac:dyDescent="0.35">
      <c r="A2288" s="45" t="s">
        <v>3799</v>
      </c>
      <c r="B2288" s="45"/>
      <c r="C2288" s="55">
        <v>45881</v>
      </c>
      <c r="D2288" s="45" t="s">
        <v>422</v>
      </c>
      <c r="E2288" s="45" t="s">
        <v>3934</v>
      </c>
      <c r="G2288" s="38">
        <v>15</v>
      </c>
      <c r="H2288" s="38"/>
      <c r="K2288" s="38"/>
      <c r="L2288" s="38">
        <f t="shared" si="20"/>
        <v>15</v>
      </c>
    </row>
    <row r="2289" spans="1:12" ht="14.5" x14ac:dyDescent="0.35">
      <c r="A2289" s="45" t="s">
        <v>3799</v>
      </c>
      <c r="B2289" s="45"/>
      <c r="C2289" s="55">
        <v>45881</v>
      </c>
      <c r="D2289" s="45" t="s">
        <v>324</v>
      </c>
      <c r="E2289" s="45" t="s">
        <v>338</v>
      </c>
      <c r="G2289" s="38">
        <v>875.7</v>
      </c>
      <c r="H2289" s="38"/>
      <c r="K2289" s="38"/>
      <c r="L2289" s="38">
        <f t="shared" si="20"/>
        <v>875.7</v>
      </c>
    </row>
    <row r="2290" spans="1:12" ht="14.5" x14ac:dyDescent="0.35">
      <c r="A2290" s="45" t="s">
        <v>3799</v>
      </c>
      <c r="B2290" s="45"/>
      <c r="C2290" s="55">
        <v>45881</v>
      </c>
      <c r="D2290" s="45" t="s">
        <v>324</v>
      </c>
      <c r="E2290" s="45" t="s">
        <v>3935</v>
      </c>
      <c r="G2290" s="38">
        <v>677.67000000000007</v>
      </c>
      <c r="H2290" s="38"/>
      <c r="K2290" s="38"/>
      <c r="L2290" s="38">
        <f t="shared" si="20"/>
        <v>677.67000000000007</v>
      </c>
    </row>
    <row r="2291" spans="1:12" ht="14.5" x14ac:dyDescent="0.35">
      <c r="A2291" s="45" t="s">
        <v>3799</v>
      </c>
      <c r="B2291" s="45"/>
      <c r="C2291" s="55">
        <v>45881</v>
      </c>
      <c r="D2291" s="45" t="s">
        <v>324</v>
      </c>
      <c r="E2291" s="45" t="s">
        <v>3936</v>
      </c>
      <c r="G2291" s="38">
        <v>243</v>
      </c>
      <c r="H2291" s="38"/>
      <c r="K2291" s="38"/>
      <c r="L2291" s="38">
        <f t="shared" si="20"/>
        <v>243</v>
      </c>
    </row>
    <row r="2292" spans="1:12" ht="14.5" x14ac:dyDescent="0.35">
      <c r="A2292" s="45" t="s">
        <v>3799</v>
      </c>
      <c r="B2292" s="45"/>
      <c r="C2292" s="55">
        <v>45881</v>
      </c>
      <c r="D2292" s="45" t="s">
        <v>324</v>
      </c>
      <c r="E2292" s="45" t="s">
        <v>3595</v>
      </c>
      <c r="G2292" s="38">
        <v>45</v>
      </c>
      <c r="H2292" s="38"/>
      <c r="K2292" s="38"/>
      <c r="L2292" s="38">
        <f t="shared" si="20"/>
        <v>45</v>
      </c>
    </row>
    <row r="2293" spans="1:12" ht="14.5" x14ac:dyDescent="0.35">
      <c r="A2293" s="45" t="s">
        <v>3799</v>
      </c>
      <c r="B2293" s="45"/>
      <c r="C2293" s="55">
        <v>45881</v>
      </c>
      <c r="D2293" s="45" t="s">
        <v>324</v>
      </c>
      <c r="E2293" s="45" t="s">
        <v>3937</v>
      </c>
      <c r="G2293" s="38">
        <v>259.07</v>
      </c>
      <c r="H2293" s="38"/>
      <c r="K2293" s="38"/>
      <c r="L2293" s="38">
        <f t="shared" si="20"/>
        <v>259.07</v>
      </c>
    </row>
    <row r="2294" spans="1:12" ht="14.5" x14ac:dyDescent="0.35">
      <c r="A2294" s="45" t="s">
        <v>3799</v>
      </c>
      <c r="B2294" s="45"/>
      <c r="C2294" s="55">
        <v>45882</v>
      </c>
      <c r="D2294" s="45" t="s">
        <v>422</v>
      </c>
      <c r="E2294" s="45" t="s">
        <v>3938</v>
      </c>
      <c r="G2294" s="38">
        <v>6.44</v>
      </c>
      <c r="H2294" s="38"/>
      <c r="K2294" s="38"/>
      <c r="L2294" s="38">
        <f t="shared" si="20"/>
        <v>6.44</v>
      </c>
    </row>
    <row r="2295" spans="1:12" ht="14.5" x14ac:dyDescent="0.35">
      <c r="A2295" s="45" t="s">
        <v>3799</v>
      </c>
      <c r="B2295" s="45"/>
      <c r="C2295" s="55">
        <v>45882</v>
      </c>
      <c r="D2295" s="45" t="s">
        <v>422</v>
      </c>
      <c r="E2295" s="45" t="s">
        <v>3939</v>
      </c>
      <c r="G2295" s="38">
        <v>5.0000000000000009</v>
      </c>
      <c r="H2295" s="38"/>
      <c r="K2295" s="38"/>
      <c r="L2295" s="38">
        <f t="shared" si="20"/>
        <v>5.0000000000000009</v>
      </c>
    </row>
    <row r="2296" spans="1:12" ht="14.5" x14ac:dyDescent="0.35">
      <c r="A2296" s="45" t="s">
        <v>3799</v>
      </c>
      <c r="B2296" s="45"/>
      <c r="C2296" s="55">
        <v>45882</v>
      </c>
      <c r="D2296" s="45" t="s">
        <v>422</v>
      </c>
      <c r="E2296" s="45" t="s">
        <v>3940</v>
      </c>
      <c r="G2296" s="38">
        <v>5</v>
      </c>
      <c r="H2296" s="38"/>
      <c r="K2296" s="38"/>
      <c r="L2296" s="38">
        <f t="shared" si="20"/>
        <v>5</v>
      </c>
    </row>
    <row r="2297" spans="1:12" ht="14.5" x14ac:dyDescent="0.35">
      <c r="A2297" s="45" t="s">
        <v>3799</v>
      </c>
      <c r="B2297" s="45"/>
      <c r="C2297" s="55">
        <v>45882</v>
      </c>
      <c r="D2297" s="45" t="s">
        <v>109</v>
      </c>
      <c r="E2297" s="45" t="s">
        <v>273</v>
      </c>
      <c r="G2297" s="38">
        <v>555</v>
      </c>
      <c r="H2297" s="38"/>
      <c r="K2297" s="38"/>
      <c r="L2297" s="38">
        <f t="shared" si="20"/>
        <v>555</v>
      </c>
    </row>
    <row r="2298" spans="1:12" ht="14.5" x14ac:dyDescent="0.35">
      <c r="A2298" s="45" t="s">
        <v>3799</v>
      </c>
      <c r="B2298" s="45"/>
      <c r="C2298" s="55">
        <v>45882</v>
      </c>
      <c r="D2298" s="45" t="s">
        <v>422</v>
      </c>
      <c r="E2298" s="45" t="s">
        <v>3941</v>
      </c>
      <c r="G2298" s="38">
        <v>5</v>
      </c>
      <c r="H2298" s="38"/>
      <c r="K2298" s="38"/>
      <c r="L2298" s="38">
        <f t="shared" si="20"/>
        <v>5</v>
      </c>
    </row>
    <row r="2299" spans="1:12" ht="14.5" x14ac:dyDescent="0.35">
      <c r="A2299" s="45" t="s">
        <v>3799</v>
      </c>
      <c r="B2299" s="45"/>
      <c r="C2299" s="55">
        <v>45882</v>
      </c>
      <c r="D2299" s="45" t="s">
        <v>422</v>
      </c>
      <c r="E2299" s="45" t="s">
        <v>3942</v>
      </c>
      <c r="G2299" s="38">
        <v>5</v>
      </c>
      <c r="H2299" s="38"/>
      <c r="K2299" s="38"/>
      <c r="L2299" s="38">
        <f t="shared" si="20"/>
        <v>5</v>
      </c>
    </row>
    <row r="2300" spans="1:12" ht="14.5" x14ac:dyDescent="0.35">
      <c r="A2300" s="45" t="s">
        <v>3799</v>
      </c>
      <c r="B2300" s="45"/>
      <c r="C2300" s="55">
        <v>45882</v>
      </c>
      <c r="D2300" s="45" t="s">
        <v>422</v>
      </c>
      <c r="E2300" s="45" t="s">
        <v>3943</v>
      </c>
      <c r="G2300" s="38">
        <v>5</v>
      </c>
      <c r="H2300" s="38"/>
      <c r="K2300" s="38"/>
      <c r="L2300" s="38">
        <f t="shared" si="20"/>
        <v>5</v>
      </c>
    </row>
    <row r="2301" spans="1:12" ht="14.5" x14ac:dyDescent="0.35">
      <c r="A2301" s="45" t="s">
        <v>3799</v>
      </c>
      <c r="B2301" s="45"/>
      <c r="C2301" s="55">
        <v>45882</v>
      </c>
      <c r="D2301" s="45" t="s">
        <v>422</v>
      </c>
      <c r="E2301" s="45" t="s">
        <v>3944</v>
      </c>
      <c r="G2301" s="38">
        <v>5</v>
      </c>
      <c r="H2301" s="38"/>
      <c r="K2301" s="38"/>
      <c r="L2301" s="38">
        <f t="shared" si="20"/>
        <v>5</v>
      </c>
    </row>
    <row r="2302" spans="1:12" ht="14.5" x14ac:dyDescent="0.35">
      <c r="A2302" s="45" t="s">
        <v>3799</v>
      </c>
      <c r="B2302" s="45"/>
      <c r="C2302" s="55">
        <v>45882</v>
      </c>
      <c r="D2302" s="45" t="s">
        <v>422</v>
      </c>
      <c r="E2302" s="45" t="s">
        <v>3667</v>
      </c>
      <c r="G2302" s="38">
        <v>305.44000000000005</v>
      </c>
      <c r="H2302" s="38"/>
      <c r="K2302" s="38"/>
      <c r="L2302" s="38">
        <f t="shared" si="20"/>
        <v>305.44000000000005</v>
      </c>
    </row>
    <row r="2303" spans="1:12" ht="14.5" x14ac:dyDescent="0.35">
      <c r="A2303" s="45" t="s">
        <v>3799</v>
      </c>
      <c r="B2303" s="45"/>
      <c r="C2303" s="55">
        <v>45882</v>
      </c>
      <c r="D2303" s="45" t="s">
        <v>422</v>
      </c>
      <c r="E2303" s="45" t="s">
        <v>3668</v>
      </c>
      <c r="G2303" s="38">
        <v>23.000000000000004</v>
      </c>
      <c r="H2303" s="38"/>
      <c r="K2303" s="38"/>
      <c r="L2303" s="38">
        <f t="shared" si="20"/>
        <v>23.000000000000004</v>
      </c>
    </row>
    <row r="2304" spans="1:12" ht="14.5" x14ac:dyDescent="0.35">
      <c r="A2304" s="45" t="s">
        <v>3799</v>
      </c>
      <c r="B2304" s="45"/>
      <c r="C2304" s="55">
        <v>45882</v>
      </c>
      <c r="D2304" s="45" t="s">
        <v>422</v>
      </c>
      <c r="E2304" s="45" t="s">
        <v>550</v>
      </c>
      <c r="G2304" s="38">
        <v>15.129999999999976</v>
      </c>
      <c r="H2304" s="38"/>
      <c r="K2304" s="38"/>
      <c r="L2304" s="38">
        <f t="shared" si="20"/>
        <v>15.129999999999976</v>
      </c>
    </row>
    <row r="2305" spans="1:12" ht="14.5" x14ac:dyDescent="0.35">
      <c r="A2305" s="45" t="s">
        <v>3799</v>
      </c>
      <c r="B2305" s="45"/>
      <c r="C2305" s="55">
        <v>45882</v>
      </c>
      <c r="D2305" s="45" t="s">
        <v>422</v>
      </c>
      <c r="E2305" s="45" t="s">
        <v>543</v>
      </c>
      <c r="G2305" s="38">
        <v>148</v>
      </c>
      <c r="H2305" s="38"/>
      <c r="K2305" s="38"/>
      <c r="L2305" s="38">
        <f t="shared" si="20"/>
        <v>148</v>
      </c>
    </row>
    <row r="2306" spans="1:12" ht="14.5" x14ac:dyDescent="0.35">
      <c r="A2306" s="45" t="s">
        <v>3799</v>
      </c>
      <c r="B2306" s="45"/>
      <c r="C2306" s="55">
        <v>45882</v>
      </c>
      <c r="D2306" s="45" t="s">
        <v>422</v>
      </c>
      <c r="E2306" s="45" t="s">
        <v>3945</v>
      </c>
      <c r="G2306" s="38">
        <v>10</v>
      </c>
      <c r="H2306" s="38"/>
      <c r="K2306" s="38"/>
      <c r="L2306" s="38">
        <f t="shared" si="20"/>
        <v>10</v>
      </c>
    </row>
    <row r="2307" spans="1:12" ht="14.5" x14ac:dyDescent="0.35">
      <c r="A2307" s="45" t="s">
        <v>3799</v>
      </c>
      <c r="B2307" s="45"/>
      <c r="C2307" s="55">
        <v>45882</v>
      </c>
      <c r="D2307" s="45" t="s">
        <v>422</v>
      </c>
      <c r="E2307" s="45" t="s">
        <v>3946</v>
      </c>
      <c r="G2307" s="38">
        <v>10</v>
      </c>
      <c r="H2307" s="38"/>
      <c r="K2307" s="38"/>
      <c r="L2307" s="38">
        <f t="shared" si="20"/>
        <v>10</v>
      </c>
    </row>
    <row r="2308" spans="1:12" ht="14.5" x14ac:dyDescent="0.35">
      <c r="A2308" s="45" t="s">
        <v>3799</v>
      </c>
      <c r="B2308" s="45"/>
      <c r="C2308" s="55">
        <v>45882</v>
      </c>
      <c r="D2308" s="45" t="s">
        <v>422</v>
      </c>
      <c r="E2308" s="45" t="s">
        <v>3947</v>
      </c>
      <c r="G2308" s="38">
        <v>9</v>
      </c>
      <c r="H2308" s="38"/>
      <c r="K2308" s="38"/>
      <c r="L2308" s="38">
        <f t="shared" si="20"/>
        <v>9</v>
      </c>
    </row>
    <row r="2309" spans="1:12" ht="14.5" x14ac:dyDescent="0.35">
      <c r="A2309" s="45" t="s">
        <v>3799</v>
      </c>
      <c r="B2309" s="45"/>
      <c r="C2309" s="55">
        <v>45882</v>
      </c>
      <c r="D2309" s="45" t="s">
        <v>422</v>
      </c>
      <c r="E2309" s="45" t="s">
        <v>3948</v>
      </c>
      <c r="G2309" s="38">
        <v>9</v>
      </c>
      <c r="H2309" s="38"/>
      <c r="K2309" s="38"/>
      <c r="L2309" s="38">
        <f t="shared" si="20"/>
        <v>9</v>
      </c>
    </row>
    <row r="2310" spans="1:12" ht="14.5" x14ac:dyDescent="0.35">
      <c r="A2310" s="45" t="s">
        <v>3799</v>
      </c>
      <c r="B2310" s="45"/>
      <c r="C2310" s="55">
        <v>45882</v>
      </c>
      <c r="D2310" s="45" t="s">
        <v>422</v>
      </c>
      <c r="E2310" s="45" t="s">
        <v>3949</v>
      </c>
      <c r="G2310" s="38">
        <v>9</v>
      </c>
      <c r="H2310" s="38"/>
      <c r="K2310" s="38"/>
      <c r="L2310" s="38">
        <f t="shared" si="20"/>
        <v>9</v>
      </c>
    </row>
    <row r="2311" spans="1:12" ht="14.5" x14ac:dyDescent="0.35">
      <c r="A2311" s="45" t="s">
        <v>3799</v>
      </c>
      <c r="B2311" s="45"/>
      <c r="C2311" s="55">
        <v>45882</v>
      </c>
      <c r="D2311" s="45" t="s">
        <v>422</v>
      </c>
      <c r="E2311" s="45" t="s">
        <v>544</v>
      </c>
      <c r="G2311" s="38">
        <v>6</v>
      </c>
      <c r="H2311" s="38"/>
      <c r="K2311" s="38"/>
      <c r="L2311" s="38">
        <f t="shared" si="20"/>
        <v>6</v>
      </c>
    </row>
    <row r="2312" spans="1:12" ht="14.5" x14ac:dyDescent="0.35">
      <c r="A2312" s="45" t="s">
        <v>3799</v>
      </c>
      <c r="B2312" s="45"/>
      <c r="C2312" s="55">
        <v>45882</v>
      </c>
      <c r="D2312" s="45" t="s">
        <v>422</v>
      </c>
      <c r="E2312" s="45" t="s">
        <v>545</v>
      </c>
      <c r="G2312" s="38">
        <v>4</v>
      </c>
      <c r="H2312" s="38"/>
      <c r="K2312" s="38"/>
      <c r="L2312" s="38">
        <f t="shared" si="20"/>
        <v>4</v>
      </c>
    </row>
    <row r="2313" spans="1:12" ht="14.5" x14ac:dyDescent="0.35">
      <c r="A2313" s="45" t="s">
        <v>3799</v>
      </c>
      <c r="B2313" s="45"/>
      <c r="C2313" s="55">
        <v>45882</v>
      </c>
      <c r="D2313" s="45" t="s">
        <v>422</v>
      </c>
      <c r="E2313" s="45" t="s">
        <v>3950</v>
      </c>
      <c r="G2313" s="38">
        <v>9</v>
      </c>
      <c r="H2313" s="38"/>
      <c r="K2313" s="38"/>
      <c r="L2313" s="38">
        <f t="shared" si="20"/>
        <v>9</v>
      </c>
    </row>
    <row r="2314" spans="1:12" ht="14.5" x14ac:dyDescent="0.35">
      <c r="A2314" s="45" t="s">
        <v>3799</v>
      </c>
      <c r="B2314" s="45"/>
      <c r="C2314" s="55">
        <v>45882</v>
      </c>
      <c r="D2314" s="45" t="s">
        <v>66</v>
      </c>
      <c r="E2314" s="45" t="s">
        <v>3680</v>
      </c>
      <c r="G2314" s="38">
        <v>387.40000000000003</v>
      </c>
      <c r="H2314" s="38"/>
      <c r="K2314" s="38"/>
      <c r="L2314" s="38">
        <f t="shared" si="20"/>
        <v>387.40000000000003</v>
      </c>
    </row>
    <row r="2315" spans="1:12" ht="14.5" x14ac:dyDescent="0.35">
      <c r="A2315" s="45" t="s">
        <v>3799</v>
      </c>
      <c r="B2315" s="45"/>
      <c r="C2315" s="55">
        <v>45882</v>
      </c>
      <c r="D2315" s="45" t="s">
        <v>3951</v>
      </c>
      <c r="E2315" s="45" t="s">
        <v>3952</v>
      </c>
      <c r="G2315" s="38">
        <v>139.41999999999999</v>
      </c>
      <c r="H2315" s="38"/>
      <c r="K2315" s="38"/>
      <c r="L2315" s="38">
        <f t="shared" si="20"/>
        <v>139.41999999999999</v>
      </c>
    </row>
    <row r="2316" spans="1:12" ht="14.5" x14ac:dyDescent="0.35">
      <c r="A2316" s="45" t="s">
        <v>3799</v>
      </c>
      <c r="B2316" s="45"/>
      <c r="C2316" s="55">
        <v>45882</v>
      </c>
      <c r="D2316" s="45" t="s">
        <v>422</v>
      </c>
      <c r="E2316" s="45" t="s">
        <v>3953</v>
      </c>
      <c r="G2316" s="38">
        <v>5</v>
      </c>
      <c r="H2316" s="38"/>
      <c r="K2316" s="38"/>
      <c r="L2316" s="38">
        <f t="shared" si="20"/>
        <v>5</v>
      </c>
    </row>
    <row r="2317" spans="1:12" ht="14.5" x14ac:dyDescent="0.35">
      <c r="A2317" s="45" t="s">
        <v>3799</v>
      </c>
      <c r="B2317" s="45"/>
      <c r="C2317" s="55">
        <v>45882</v>
      </c>
      <c r="D2317" s="45" t="s">
        <v>66</v>
      </c>
      <c r="E2317" s="45" t="s">
        <v>3684</v>
      </c>
      <c r="G2317" s="38">
        <v>387.4</v>
      </c>
      <c r="H2317" s="38"/>
      <c r="K2317" s="38"/>
      <c r="L2317" s="38">
        <f t="shared" si="20"/>
        <v>387.4</v>
      </c>
    </row>
    <row r="2318" spans="1:12" ht="14.5" x14ac:dyDescent="0.35">
      <c r="A2318" s="45" t="s">
        <v>3799</v>
      </c>
      <c r="B2318" s="45"/>
      <c r="C2318" s="55">
        <v>45882</v>
      </c>
      <c r="D2318" s="45" t="s">
        <v>422</v>
      </c>
      <c r="E2318" s="45" t="s">
        <v>3954</v>
      </c>
      <c r="G2318" s="38">
        <v>10</v>
      </c>
      <c r="H2318" s="38"/>
      <c r="K2318" s="38"/>
      <c r="L2318" s="38">
        <f t="shared" si="20"/>
        <v>10</v>
      </c>
    </row>
    <row r="2319" spans="1:12" ht="14.5" x14ac:dyDescent="0.35">
      <c r="A2319" s="45" t="s">
        <v>3799</v>
      </c>
      <c r="B2319" s="45"/>
      <c r="C2319" s="55">
        <v>45882</v>
      </c>
      <c r="D2319" s="45" t="s">
        <v>66</v>
      </c>
      <c r="E2319" s="45" t="s">
        <v>3685</v>
      </c>
      <c r="G2319" s="38">
        <v>387.4</v>
      </c>
      <c r="H2319" s="38"/>
      <c r="K2319" s="38"/>
      <c r="L2319" s="38">
        <f t="shared" si="20"/>
        <v>387.4</v>
      </c>
    </row>
    <row r="2320" spans="1:12" ht="14.5" x14ac:dyDescent="0.35">
      <c r="A2320" s="45" t="s">
        <v>3799</v>
      </c>
      <c r="B2320" s="45"/>
      <c r="C2320" s="55">
        <v>45882</v>
      </c>
      <c r="D2320" s="45" t="s">
        <v>819</v>
      </c>
      <c r="E2320" s="45" t="s">
        <v>3955</v>
      </c>
      <c r="G2320" s="38">
        <v>61.680000000000007</v>
      </c>
      <c r="H2320" s="38"/>
      <c r="K2320" s="38"/>
      <c r="L2320" s="38">
        <f t="shared" si="20"/>
        <v>61.680000000000007</v>
      </c>
    </row>
    <row r="2321" spans="1:12" ht="14.5" x14ac:dyDescent="0.35">
      <c r="A2321" s="45" t="s">
        <v>3799</v>
      </c>
      <c r="B2321" s="45"/>
      <c r="C2321" s="55">
        <v>45882</v>
      </c>
      <c r="D2321" s="45" t="s">
        <v>66</v>
      </c>
      <c r="E2321" s="45" t="s">
        <v>3686</v>
      </c>
      <c r="G2321" s="38">
        <v>387.40000000000003</v>
      </c>
      <c r="H2321" s="38"/>
      <c r="K2321" s="38"/>
      <c r="L2321" s="38">
        <f t="shared" si="20"/>
        <v>387.40000000000003</v>
      </c>
    </row>
    <row r="2322" spans="1:12" ht="14.5" x14ac:dyDescent="0.35">
      <c r="A2322" s="45" t="s">
        <v>3799</v>
      </c>
      <c r="B2322" s="45"/>
      <c r="C2322" s="55">
        <v>45882</v>
      </c>
      <c r="D2322" s="45" t="s">
        <v>66</v>
      </c>
      <c r="E2322" s="45" t="s">
        <v>3687</v>
      </c>
      <c r="G2322" s="38">
        <v>387.4</v>
      </c>
      <c r="H2322" s="38"/>
      <c r="K2322" s="38"/>
      <c r="L2322" s="38">
        <f t="shared" si="20"/>
        <v>387.4</v>
      </c>
    </row>
    <row r="2323" spans="1:12" ht="14.5" x14ac:dyDescent="0.35">
      <c r="A2323" s="45" t="s">
        <v>3799</v>
      </c>
      <c r="B2323" s="45"/>
      <c r="C2323" s="55">
        <v>45882</v>
      </c>
      <c r="D2323" s="45" t="s">
        <v>66</v>
      </c>
      <c r="E2323" s="45" t="s">
        <v>67</v>
      </c>
      <c r="G2323" s="38">
        <v>387.4</v>
      </c>
      <c r="H2323" s="38"/>
      <c r="K2323" s="38"/>
      <c r="L2323" s="38">
        <f t="shared" si="20"/>
        <v>387.4</v>
      </c>
    </row>
    <row r="2324" spans="1:12" ht="14.5" x14ac:dyDescent="0.35">
      <c r="A2324" s="45" t="s">
        <v>3799</v>
      </c>
      <c r="B2324" s="45"/>
      <c r="C2324" s="55">
        <v>45882</v>
      </c>
      <c r="D2324" s="45" t="s">
        <v>422</v>
      </c>
      <c r="E2324" s="45" t="s">
        <v>3956</v>
      </c>
      <c r="G2324" s="38">
        <v>50.99</v>
      </c>
      <c r="H2324" s="38"/>
      <c r="K2324" s="38"/>
      <c r="L2324" s="38">
        <f t="shared" si="20"/>
        <v>50.99</v>
      </c>
    </row>
    <row r="2325" spans="1:12" ht="14.5" x14ac:dyDescent="0.35">
      <c r="A2325" s="45" t="s">
        <v>3799</v>
      </c>
      <c r="B2325" s="45"/>
      <c r="C2325" s="55">
        <v>45882</v>
      </c>
      <c r="D2325" s="45" t="s">
        <v>933</v>
      </c>
      <c r="E2325" s="45" t="s">
        <v>3957</v>
      </c>
      <c r="G2325" s="38">
        <v>763.35999999999956</v>
      </c>
      <c r="H2325" s="38"/>
      <c r="K2325" s="38"/>
      <c r="L2325" s="38">
        <f t="shared" si="20"/>
        <v>763.35999999999956</v>
      </c>
    </row>
    <row r="2326" spans="1:12" ht="14.5" x14ac:dyDescent="0.35">
      <c r="A2326" s="45" t="s">
        <v>3799</v>
      </c>
      <c r="B2326" s="45"/>
      <c r="C2326" s="55">
        <v>45882</v>
      </c>
      <c r="D2326" s="45" t="s">
        <v>422</v>
      </c>
      <c r="E2326" s="45" t="s">
        <v>541</v>
      </c>
      <c r="G2326" s="38">
        <v>10</v>
      </c>
      <c r="H2326" s="38"/>
      <c r="K2326" s="38"/>
      <c r="L2326" s="38">
        <f t="shared" si="20"/>
        <v>10</v>
      </c>
    </row>
    <row r="2327" spans="1:12" ht="14.5" x14ac:dyDescent="0.35">
      <c r="A2327" s="45" t="s">
        <v>3799</v>
      </c>
      <c r="B2327" s="45"/>
      <c r="C2327" s="55">
        <v>45882</v>
      </c>
      <c r="D2327" s="45" t="s">
        <v>422</v>
      </c>
      <c r="E2327" s="45" t="s">
        <v>3958</v>
      </c>
      <c r="G2327" s="38">
        <v>5</v>
      </c>
      <c r="H2327" s="38"/>
      <c r="K2327" s="38"/>
      <c r="L2327" s="38">
        <f t="shared" si="20"/>
        <v>5</v>
      </c>
    </row>
    <row r="2328" spans="1:12" ht="14.5" x14ac:dyDescent="0.35">
      <c r="A2328" s="45" t="s">
        <v>3799</v>
      </c>
      <c r="B2328" s="45"/>
      <c r="C2328" s="55">
        <v>45882</v>
      </c>
      <c r="D2328" s="45" t="s">
        <v>819</v>
      </c>
      <c r="E2328" s="45" t="s">
        <v>3959</v>
      </c>
      <c r="G2328" s="38">
        <v>75.419999999999987</v>
      </c>
      <c r="H2328" s="38"/>
      <c r="K2328" s="38"/>
      <c r="L2328" s="38">
        <f t="shared" si="20"/>
        <v>75.419999999999987</v>
      </c>
    </row>
    <row r="2329" spans="1:12" ht="14.5" x14ac:dyDescent="0.35">
      <c r="A2329" s="45" t="s">
        <v>3799</v>
      </c>
      <c r="B2329" s="45"/>
      <c r="C2329" s="55">
        <v>45882</v>
      </c>
      <c r="D2329" s="45" t="s">
        <v>422</v>
      </c>
      <c r="E2329" s="45" t="s">
        <v>3960</v>
      </c>
      <c r="G2329" s="38">
        <v>153.51</v>
      </c>
      <c r="H2329" s="38"/>
      <c r="K2329" s="38"/>
      <c r="L2329" s="38">
        <f t="shared" si="20"/>
        <v>153.51</v>
      </c>
    </row>
    <row r="2330" spans="1:12" ht="14.5" x14ac:dyDescent="0.35">
      <c r="A2330" s="45" t="s">
        <v>3799</v>
      </c>
      <c r="B2330" s="45"/>
      <c r="C2330" s="55">
        <v>45882</v>
      </c>
      <c r="D2330" s="45" t="s">
        <v>3593</v>
      </c>
      <c r="E2330" s="45" t="s">
        <v>3775</v>
      </c>
      <c r="G2330" s="38">
        <v>75.42</v>
      </c>
      <c r="H2330" s="38"/>
      <c r="K2330" s="38"/>
      <c r="L2330" s="38">
        <f t="shared" si="20"/>
        <v>75.42</v>
      </c>
    </row>
    <row r="2331" spans="1:12" ht="14.5" x14ac:dyDescent="0.35">
      <c r="A2331" s="45" t="s">
        <v>3799</v>
      </c>
      <c r="B2331" s="45"/>
      <c r="C2331" s="55">
        <v>45882</v>
      </c>
      <c r="D2331" s="45" t="s">
        <v>66</v>
      </c>
      <c r="E2331" s="45" t="s">
        <v>75</v>
      </c>
      <c r="G2331" s="38">
        <v>2659.95</v>
      </c>
      <c r="H2331" s="38"/>
      <c r="K2331" s="38"/>
      <c r="L2331" s="38">
        <f t="shared" si="20"/>
        <v>2659.95</v>
      </c>
    </row>
    <row r="2332" spans="1:12" ht="14.5" x14ac:dyDescent="0.35">
      <c r="A2332" s="45" t="s">
        <v>3799</v>
      </c>
      <c r="B2332" s="45"/>
      <c r="C2332" s="55">
        <v>45882</v>
      </c>
      <c r="D2332" s="45" t="s">
        <v>66</v>
      </c>
      <c r="E2332" s="45" t="s">
        <v>77</v>
      </c>
      <c r="G2332" s="38">
        <v>120.00000000000001</v>
      </c>
      <c r="H2332" s="38"/>
      <c r="K2332" s="38"/>
      <c r="L2332" s="38">
        <f t="shared" si="20"/>
        <v>120.00000000000001</v>
      </c>
    </row>
    <row r="2333" spans="1:12" ht="14.5" x14ac:dyDescent="0.35">
      <c r="A2333" s="45" t="s">
        <v>3799</v>
      </c>
      <c r="B2333" s="45"/>
      <c r="C2333" s="55">
        <v>45882</v>
      </c>
      <c r="D2333" s="45" t="s">
        <v>819</v>
      </c>
      <c r="E2333" s="45" t="s">
        <v>3783</v>
      </c>
      <c r="G2333" s="38">
        <v>60</v>
      </c>
      <c r="H2333" s="38"/>
      <c r="K2333" s="38"/>
      <c r="L2333" s="38">
        <f t="shared" si="20"/>
        <v>60</v>
      </c>
    </row>
    <row r="2334" spans="1:12" ht="14.5" x14ac:dyDescent="0.35">
      <c r="A2334" s="45" t="s">
        <v>3799</v>
      </c>
      <c r="B2334" s="45"/>
      <c r="C2334" s="55">
        <v>45882</v>
      </c>
      <c r="D2334" s="45" t="s">
        <v>422</v>
      </c>
      <c r="E2334" s="45" t="s">
        <v>3961</v>
      </c>
      <c r="G2334" s="38">
        <v>100.45</v>
      </c>
      <c r="H2334" s="38"/>
      <c r="K2334" s="38"/>
      <c r="L2334" s="38">
        <f t="shared" si="20"/>
        <v>100.45</v>
      </c>
    </row>
    <row r="2335" spans="1:12" ht="14.5" x14ac:dyDescent="0.35">
      <c r="A2335" s="45" t="s">
        <v>3799</v>
      </c>
      <c r="B2335" s="45"/>
      <c r="C2335" s="55">
        <v>45882</v>
      </c>
      <c r="D2335" s="45" t="s">
        <v>819</v>
      </c>
      <c r="E2335" s="45" t="s">
        <v>842</v>
      </c>
      <c r="G2335" s="38">
        <v>37.710000000000015</v>
      </c>
      <c r="H2335" s="38"/>
      <c r="K2335" s="38"/>
      <c r="L2335" s="38">
        <f t="shared" si="20"/>
        <v>37.710000000000015</v>
      </c>
    </row>
    <row r="2336" spans="1:12" ht="14.5" x14ac:dyDescent="0.35">
      <c r="A2336" s="45" t="s">
        <v>3799</v>
      </c>
      <c r="B2336" s="45"/>
      <c r="C2336" s="55">
        <v>45883</v>
      </c>
      <c r="D2336" s="45" t="s">
        <v>422</v>
      </c>
      <c r="E2336" s="45" t="s">
        <v>3962</v>
      </c>
      <c r="G2336" s="38">
        <v>19</v>
      </c>
      <c r="H2336" s="38"/>
      <c r="K2336" s="38"/>
      <c r="L2336" s="38">
        <f t="shared" si="20"/>
        <v>19</v>
      </c>
    </row>
    <row r="2337" spans="1:12" ht="14.5" x14ac:dyDescent="0.35">
      <c r="A2337" s="45" t="s">
        <v>3799</v>
      </c>
      <c r="B2337" s="45"/>
      <c r="C2337" s="55">
        <v>45883</v>
      </c>
      <c r="D2337" s="45" t="s">
        <v>422</v>
      </c>
      <c r="E2337" s="45" t="s">
        <v>3963</v>
      </c>
      <c r="G2337" s="38">
        <v>19.000000000000004</v>
      </c>
      <c r="H2337" s="38"/>
      <c r="K2337" s="38"/>
      <c r="L2337" s="38">
        <f t="shared" si="20"/>
        <v>19.000000000000004</v>
      </c>
    </row>
    <row r="2338" spans="1:12" ht="14.5" x14ac:dyDescent="0.35">
      <c r="A2338" s="45" t="s">
        <v>3799</v>
      </c>
      <c r="B2338" s="45"/>
      <c r="C2338" s="55">
        <v>45883</v>
      </c>
      <c r="D2338" s="45" t="s">
        <v>422</v>
      </c>
      <c r="E2338" s="45" t="s">
        <v>613</v>
      </c>
      <c r="G2338" s="38">
        <v>175.42</v>
      </c>
      <c r="H2338" s="38"/>
      <c r="K2338" s="38"/>
      <c r="L2338" s="38">
        <f t="shared" si="20"/>
        <v>175.42</v>
      </c>
    </row>
    <row r="2339" spans="1:12" ht="14.5" x14ac:dyDescent="0.35">
      <c r="A2339" s="45" t="s">
        <v>3799</v>
      </c>
      <c r="B2339" s="45"/>
      <c r="C2339" s="55">
        <v>45883</v>
      </c>
      <c r="D2339" s="45" t="s">
        <v>422</v>
      </c>
      <c r="E2339" s="45" t="s">
        <v>609</v>
      </c>
      <c r="G2339" s="38">
        <v>16</v>
      </c>
      <c r="H2339" s="38"/>
      <c r="K2339" s="38"/>
      <c r="L2339" s="38">
        <f t="shared" si="20"/>
        <v>16</v>
      </c>
    </row>
    <row r="2340" spans="1:12" ht="14.5" x14ac:dyDescent="0.35">
      <c r="A2340" s="45" t="s">
        <v>3799</v>
      </c>
      <c r="B2340" s="45"/>
      <c r="C2340" s="55">
        <v>45883</v>
      </c>
      <c r="D2340" s="45" t="s">
        <v>422</v>
      </c>
      <c r="E2340" s="45" t="s">
        <v>3794</v>
      </c>
      <c r="G2340" s="38">
        <v>111.99999999999994</v>
      </c>
      <c r="H2340" s="38"/>
      <c r="K2340" s="38"/>
      <c r="L2340" s="38">
        <f t="shared" si="20"/>
        <v>111.99999999999994</v>
      </c>
    </row>
    <row r="2341" spans="1:12" ht="14.5" x14ac:dyDescent="0.35">
      <c r="A2341" s="45" t="s">
        <v>3799</v>
      </c>
      <c r="B2341" s="45"/>
      <c r="C2341" s="55">
        <v>45883</v>
      </c>
      <c r="D2341" s="45" t="s">
        <v>422</v>
      </c>
      <c r="E2341" s="45" t="s">
        <v>614</v>
      </c>
      <c r="G2341" s="38">
        <v>15.42</v>
      </c>
      <c r="H2341" s="38"/>
      <c r="K2341" s="38"/>
      <c r="L2341" s="38">
        <f t="shared" si="20"/>
        <v>15.42</v>
      </c>
    </row>
    <row r="2342" spans="1:12" ht="14.5" x14ac:dyDescent="0.35">
      <c r="A2342" s="45" t="s">
        <v>3799</v>
      </c>
      <c r="B2342" s="45"/>
      <c r="C2342" s="55">
        <v>45883</v>
      </c>
      <c r="D2342" s="45" t="s">
        <v>66</v>
      </c>
      <c r="E2342" s="45" t="s">
        <v>78</v>
      </c>
      <c r="G2342" s="38">
        <v>3950.1899999999987</v>
      </c>
      <c r="H2342" s="38"/>
      <c r="K2342" s="38"/>
      <c r="L2342" s="38">
        <f t="shared" si="20"/>
        <v>3950.1899999999987</v>
      </c>
    </row>
    <row r="2343" spans="1:12" ht="14.5" x14ac:dyDescent="0.35">
      <c r="A2343" s="45" t="s">
        <v>3799</v>
      </c>
      <c r="B2343" s="45"/>
      <c r="C2343" s="55">
        <v>45883</v>
      </c>
      <c r="D2343" s="45" t="s">
        <v>422</v>
      </c>
      <c r="E2343" s="45" t="s">
        <v>3795</v>
      </c>
      <c r="G2343" s="38">
        <v>16</v>
      </c>
      <c r="H2343" s="38"/>
      <c r="K2343" s="38"/>
      <c r="L2343" s="38">
        <f t="shared" si="20"/>
        <v>16</v>
      </c>
    </row>
    <row r="2344" spans="1:12" ht="14.5" x14ac:dyDescent="0.35">
      <c r="A2344" s="45" t="s">
        <v>3799</v>
      </c>
      <c r="B2344" s="45"/>
      <c r="C2344" s="55">
        <v>45883</v>
      </c>
      <c r="D2344" s="45" t="s">
        <v>422</v>
      </c>
      <c r="E2344" s="45" t="s">
        <v>3796</v>
      </c>
      <c r="G2344" s="38">
        <v>16</v>
      </c>
      <c r="H2344" s="38"/>
      <c r="K2344" s="38"/>
      <c r="L2344" s="38">
        <f t="shared" ref="L2344:L2407" si="21">G2344-H2344</f>
        <v>16</v>
      </c>
    </row>
    <row r="2345" spans="1:12" ht="14.5" x14ac:dyDescent="0.35">
      <c r="A2345" s="45" t="s">
        <v>3799</v>
      </c>
      <c r="B2345" s="45"/>
      <c r="C2345" s="55">
        <v>45884</v>
      </c>
      <c r="D2345" s="45" t="s">
        <v>96</v>
      </c>
      <c r="E2345" s="45" t="s">
        <v>97</v>
      </c>
      <c r="G2345" s="38">
        <v>370</v>
      </c>
      <c r="H2345" s="38"/>
      <c r="K2345" s="38"/>
      <c r="L2345" s="38">
        <f t="shared" si="21"/>
        <v>370</v>
      </c>
    </row>
    <row r="2346" spans="1:12" ht="14.5" x14ac:dyDescent="0.35">
      <c r="A2346" s="45" t="s">
        <v>3799</v>
      </c>
      <c r="B2346" s="45"/>
      <c r="C2346" s="55">
        <v>45884</v>
      </c>
      <c r="D2346" s="45" t="s">
        <v>3593</v>
      </c>
      <c r="E2346" s="45" t="s">
        <v>3594</v>
      </c>
      <c r="G2346" s="38">
        <v>5905.3899999999994</v>
      </c>
      <c r="H2346" s="38"/>
      <c r="K2346" s="38"/>
      <c r="L2346" s="38">
        <f t="shared" si="21"/>
        <v>5905.3899999999994</v>
      </c>
    </row>
    <row r="2347" spans="1:12" ht="14.5" x14ac:dyDescent="0.35">
      <c r="A2347" s="45" t="s">
        <v>3799</v>
      </c>
      <c r="B2347" s="45"/>
      <c r="C2347" s="55">
        <v>45885</v>
      </c>
      <c r="D2347" s="45" t="s">
        <v>422</v>
      </c>
      <c r="E2347" s="45" t="s">
        <v>489</v>
      </c>
      <c r="G2347" s="38">
        <v>9</v>
      </c>
      <c r="H2347" s="38"/>
      <c r="K2347" s="38"/>
      <c r="L2347" s="38">
        <f t="shared" si="21"/>
        <v>9</v>
      </c>
    </row>
    <row r="2348" spans="1:12" ht="14.5" x14ac:dyDescent="0.35">
      <c r="A2348" s="45" t="s">
        <v>3799</v>
      </c>
      <c r="B2348" s="45"/>
      <c r="C2348" s="55">
        <v>45885</v>
      </c>
      <c r="D2348" s="45" t="s">
        <v>422</v>
      </c>
      <c r="E2348" s="45" t="s">
        <v>3964</v>
      </c>
      <c r="G2348" s="38">
        <v>10</v>
      </c>
      <c r="H2348" s="38"/>
      <c r="K2348" s="38"/>
      <c r="L2348" s="38">
        <f t="shared" si="21"/>
        <v>10</v>
      </c>
    </row>
    <row r="2349" spans="1:12" ht="14.5" x14ac:dyDescent="0.35">
      <c r="A2349" s="45" t="s">
        <v>3799</v>
      </c>
      <c r="B2349" s="45"/>
      <c r="C2349" s="55">
        <v>45885</v>
      </c>
      <c r="D2349" s="45" t="s">
        <v>422</v>
      </c>
      <c r="E2349" s="45" t="s">
        <v>3965</v>
      </c>
      <c r="G2349" s="38">
        <v>10</v>
      </c>
      <c r="H2349" s="38"/>
      <c r="K2349" s="38"/>
      <c r="L2349" s="38">
        <f t="shared" si="21"/>
        <v>10</v>
      </c>
    </row>
    <row r="2350" spans="1:12" ht="14.5" x14ac:dyDescent="0.35">
      <c r="A2350" s="45" t="s">
        <v>3799</v>
      </c>
      <c r="B2350" s="45"/>
      <c r="C2350" s="55">
        <v>45885</v>
      </c>
      <c r="D2350" s="45" t="s">
        <v>422</v>
      </c>
      <c r="E2350" s="45" t="s">
        <v>3966</v>
      </c>
      <c r="G2350" s="38">
        <v>9</v>
      </c>
      <c r="H2350" s="38"/>
      <c r="K2350" s="38"/>
      <c r="L2350" s="38">
        <f t="shared" si="21"/>
        <v>9</v>
      </c>
    </row>
    <row r="2351" spans="1:12" ht="14.5" x14ac:dyDescent="0.35">
      <c r="A2351" s="45" t="s">
        <v>3799</v>
      </c>
      <c r="B2351" s="45"/>
      <c r="C2351" s="55">
        <v>45885</v>
      </c>
      <c r="D2351" s="45" t="s">
        <v>66</v>
      </c>
      <c r="E2351" s="45" t="s">
        <v>3779</v>
      </c>
      <c r="G2351" s="38">
        <v>433.00000000000006</v>
      </c>
      <c r="H2351" s="38"/>
      <c r="K2351" s="38"/>
      <c r="L2351" s="38">
        <f t="shared" si="21"/>
        <v>433.00000000000006</v>
      </c>
    </row>
    <row r="2352" spans="1:12" ht="14.5" x14ac:dyDescent="0.35">
      <c r="A2352" s="45" t="s">
        <v>3799</v>
      </c>
      <c r="B2352" s="45"/>
      <c r="C2352" s="55">
        <v>45885</v>
      </c>
      <c r="D2352" s="45" t="s">
        <v>422</v>
      </c>
      <c r="E2352" s="45" t="s">
        <v>3620</v>
      </c>
      <c r="G2352" s="38">
        <v>47</v>
      </c>
      <c r="H2352" s="38"/>
      <c r="K2352" s="38"/>
      <c r="L2352" s="38">
        <f t="shared" si="21"/>
        <v>47</v>
      </c>
    </row>
    <row r="2353" spans="1:12" ht="14.5" x14ac:dyDescent="0.35">
      <c r="A2353" s="45" t="s">
        <v>3799</v>
      </c>
      <c r="B2353" s="45"/>
      <c r="C2353" s="55">
        <v>45885</v>
      </c>
      <c r="D2353" s="45" t="s">
        <v>422</v>
      </c>
      <c r="E2353" s="45" t="s">
        <v>3967</v>
      </c>
      <c r="G2353" s="38">
        <v>9.42</v>
      </c>
      <c r="H2353" s="38"/>
      <c r="K2353" s="38"/>
      <c r="L2353" s="38">
        <f t="shared" si="21"/>
        <v>9.42</v>
      </c>
    </row>
    <row r="2354" spans="1:12" ht="14.5" x14ac:dyDescent="0.35">
      <c r="A2354" s="45" t="s">
        <v>3799</v>
      </c>
      <c r="B2354" s="45"/>
      <c r="C2354" s="55">
        <v>45885</v>
      </c>
      <c r="D2354" s="45" t="s">
        <v>422</v>
      </c>
      <c r="E2354" s="45" t="s">
        <v>3968</v>
      </c>
      <c r="G2354" s="38">
        <v>10</v>
      </c>
      <c r="H2354" s="38"/>
      <c r="K2354" s="38"/>
      <c r="L2354" s="38">
        <f t="shared" si="21"/>
        <v>10</v>
      </c>
    </row>
    <row r="2355" spans="1:12" ht="14.5" x14ac:dyDescent="0.35">
      <c r="A2355" s="45" t="s">
        <v>3799</v>
      </c>
      <c r="B2355" s="45"/>
      <c r="C2355" s="55">
        <v>45885</v>
      </c>
      <c r="D2355" s="45" t="s">
        <v>422</v>
      </c>
      <c r="E2355" s="45" t="s">
        <v>3747</v>
      </c>
      <c r="G2355" s="38">
        <v>118</v>
      </c>
      <c r="H2355" s="38"/>
      <c r="K2355" s="38"/>
      <c r="L2355" s="38">
        <f t="shared" si="21"/>
        <v>118</v>
      </c>
    </row>
    <row r="2356" spans="1:12" ht="14.5" x14ac:dyDescent="0.35">
      <c r="A2356" s="45" t="s">
        <v>3799</v>
      </c>
      <c r="B2356" s="45"/>
      <c r="C2356" s="55">
        <v>45885</v>
      </c>
      <c r="D2356" s="45" t="s">
        <v>422</v>
      </c>
      <c r="E2356" s="45" t="s">
        <v>3625</v>
      </c>
      <c r="G2356" s="38">
        <v>48</v>
      </c>
      <c r="H2356" s="38"/>
      <c r="K2356" s="38"/>
      <c r="L2356" s="38">
        <f t="shared" si="21"/>
        <v>48</v>
      </c>
    </row>
    <row r="2357" spans="1:12" ht="14.5" x14ac:dyDescent="0.35">
      <c r="A2357" s="45" t="s">
        <v>3799</v>
      </c>
      <c r="B2357" s="45"/>
      <c r="C2357" s="55">
        <v>45885</v>
      </c>
      <c r="D2357" s="45" t="s">
        <v>66</v>
      </c>
      <c r="E2357" s="45" t="s">
        <v>3780</v>
      </c>
      <c r="G2357" s="38">
        <v>542</v>
      </c>
      <c r="H2357" s="38"/>
      <c r="K2357" s="38"/>
      <c r="L2357" s="38">
        <f t="shared" si="21"/>
        <v>542</v>
      </c>
    </row>
    <row r="2358" spans="1:12" ht="14.5" x14ac:dyDescent="0.35">
      <c r="A2358" s="45" t="s">
        <v>3799</v>
      </c>
      <c r="B2358" s="45"/>
      <c r="C2358" s="55">
        <v>45885</v>
      </c>
      <c r="D2358" s="45" t="s">
        <v>422</v>
      </c>
      <c r="E2358" s="45" t="s">
        <v>3628</v>
      </c>
      <c r="G2358" s="38">
        <v>48</v>
      </c>
      <c r="H2358" s="38"/>
      <c r="K2358" s="38"/>
      <c r="L2358" s="38">
        <f t="shared" si="21"/>
        <v>48</v>
      </c>
    </row>
    <row r="2359" spans="1:12" ht="14.5" x14ac:dyDescent="0.35">
      <c r="A2359" s="45" t="s">
        <v>3799</v>
      </c>
      <c r="B2359" s="45"/>
      <c r="C2359" s="55">
        <v>45885</v>
      </c>
      <c r="D2359" s="45" t="s">
        <v>422</v>
      </c>
      <c r="E2359" s="45" t="s">
        <v>3969</v>
      </c>
      <c r="G2359" s="38">
        <v>9</v>
      </c>
      <c r="H2359" s="38"/>
      <c r="K2359" s="38"/>
      <c r="L2359" s="38">
        <f t="shared" si="21"/>
        <v>9</v>
      </c>
    </row>
    <row r="2360" spans="1:12" ht="14.5" x14ac:dyDescent="0.35">
      <c r="A2360" s="45" t="s">
        <v>3799</v>
      </c>
      <c r="B2360" s="45"/>
      <c r="C2360" s="55">
        <v>45885</v>
      </c>
      <c r="D2360" s="45" t="s">
        <v>716</v>
      </c>
      <c r="E2360" s="45" t="s">
        <v>724</v>
      </c>
      <c r="G2360" s="38">
        <v>990</v>
      </c>
      <c r="H2360" s="38"/>
      <c r="K2360" s="38"/>
      <c r="L2360" s="38">
        <f t="shared" si="21"/>
        <v>990</v>
      </c>
    </row>
    <row r="2361" spans="1:12" ht="14.5" x14ac:dyDescent="0.35">
      <c r="A2361" s="45" t="s">
        <v>3799</v>
      </c>
      <c r="B2361" s="45"/>
      <c r="C2361" s="55">
        <v>45885</v>
      </c>
      <c r="D2361" s="45" t="s">
        <v>66</v>
      </c>
      <c r="E2361" s="45" t="s">
        <v>3782</v>
      </c>
      <c r="G2361" s="38">
        <v>325</v>
      </c>
      <c r="H2361" s="38"/>
      <c r="K2361" s="38"/>
      <c r="L2361" s="38">
        <f t="shared" si="21"/>
        <v>325</v>
      </c>
    </row>
    <row r="2362" spans="1:12" ht="14.5" x14ac:dyDescent="0.35">
      <c r="A2362" s="45" t="s">
        <v>3799</v>
      </c>
      <c r="B2362" s="45"/>
      <c r="C2362" s="55">
        <v>45887</v>
      </c>
      <c r="D2362" s="45" t="s">
        <v>422</v>
      </c>
      <c r="E2362" s="45" t="s">
        <v>3691</v>
      </c>
      <c r="G2362" s="38">
        <v>121</v>
      </c>
      <c r="H2362" s="38"/>
      <c r="K2362" s="38"/>
      <c r="L2362" s="38">
        <f t="shared" si="21"/>
        <v>121</v>
      </c>
    </row>
    <row r="2363" spans="1:12" ht="14.5" x14ac:dyDescent="0.35">
      <c r="A2363" s="45" t="s">
        <v>3799</v>
      </c>
      <c r="B2363" s="45"/>
      <c r="C2363" s="55">
        <v>45887</v>
      </c>
      <c r="D2363" s="45" t="s">
        <v>422</v>
      </c>
      <c r="E2363" s="45" t="s">
        <v>3612</v>
      </c>
      <c r="G2363" s="38">
        <v>109</v>
      </c>
      <c r="H2363" s="38"/>
      <c r="K2363" s="38"/>
      <c r="L2363" s="38">
        <f t="shared" si="21"/>
        <v>109</v>
      </c>
    </row>
    <row r="2364" spans="1:12" ht="14.5" x14ac:dyDescent="0.35">
      <c r="A2364" s="45" t="s">
        <v>3799</v>
      </c>
      <c r="B2364" s="45"/>
      <c r="C2364" s="55">
        <v>45887</v>
      </c>
      <c r="D2364" s="45" t="s">
        <v>422</v>
      </c>
      <c r="E2364" s="45" t="s">
        <v>3692</v>
      </c>
      <c r="G2364" s="38">
        <v>110</v>
      </c>
      <c r="H2364" s="38"/>
      <c r="K2364" s="38"/>
      <c r="L2364" s="38">
        <f t="shared" si="21"/>
        <v>110</v>
      </c>
    </row>
    <row r="2365" spans="1:12" ht="14.5" x14ac:dyDescent="0.35">
      <c r="A2365" s="45" t="s">
        <v>3799</v>
      </c>
      <c r="B2365" s="45"/>
      <c r="C2365" s="55">
        <v>45887</v>
      </c>
      <c r="D2365" s="45" t="s">
        <v>422</v>
      </c>
      <c r="E2365" s="45" t="s">
        <v>3693</v>
      </c>
      <c r="G2365" s="38">
        <v>109</v>
      </c>
      <c r="H2365" s="38"/>
      <c r="K2365" s="38"/>
      <c r="L2365" s="38">
        <f t="shared" si="21"/>
        <v>109</v>
      </c>
    </row>
    <row r="2366" spans="1:12" ht="14.5" x14ac:dyDescent="0.35">
      <c r="A2366" s="45" t="s">
        <v>3799</v>
      </c>
      <c r="B2366" s="45"/>
      <c r="C2366" s="55">
        <v>45887</v>
      </c>
      <c r="D2366" s="45" t="s">
        <v>422</v>
      </c>
      <c r="E2366" s="45" t="s">
        <v>3694</v>
      </c>
      <c r="G2366" s="38">
        <v>109</v>
      </c>
      <c r="H2366" s="38"/>
      <c r="K2366" s="38"/>
      <c r="L2366" s="38">
        <f t="shared" si="21"/>
        <v>109</v>
      </c>
    </row>
    <row r="2367" spans="1:12" ht="14.5" x14ac:dyDescent="0.35">
      <c r="A2367" s="45" t="s">
        <v>3799</v>
      </c>
      <c r="B2367" s="45"/>
      <c r="C2367" s="55">
        <v>45887</v>
      </c>
      <c r="D2367" s="45" t="s">
        <v>422</v>
      </c>
      <c r="E2367" s="45" t="s">
        <v>483</v>
      </c>
      <c r="G2367" s="38">
        <v>109</v>
      </c>
      <c r="H2367" s="38"/>
      <c r="K2367" s="38"/>
      <c r="L2367" s="38">
        <f t="shared" si="21"/>
        <v>109</v>
      </c>
    </row>
    <row r="2368" spans="1:12" ht="14.5" x14ac:dyDescent="0.35">
      <c r="A2368" s="45" t="s">
        <v>3799</v>
      </c>
      <c r="B2368" s="45"/>
      <c r="C2368" s="55">
        <v>45887</v>
      </c>
      <c r="D2368" s="45" t="s">
        <v>422</v>
      </c>
      <c r="E2368" s="45" t="s">
        <v>3702</v>
      </c>
      <c r="G2368" s="38">
        <v>109.99999999999999</v>
      </c>
      <c r="H2368" s="38"/>
      <c r="K2368" s="38"/>
      <c r="L2368" s="38">
        <f t="shared" si="21"/>
        <v>109.99999999999999</v>
      </c>
    </row>
    <row r="2369" spans="1:12" ht="14.5" x14ac:dyDescent="0.35">
      <c r="A2369" s="45" t="s">
        <v>3799</v>
      </c>
      <c r="B2369" s="45"/>
      <c r="C2369" s="55">
        <v>45887</v>
      </c>
      <c r="D2369" s="45" t="s">
        <v>422</v>
      </c>
      <c r="E2369" s="45" t="s">
        <v>3704</v>
      </c>
      <c r="G2369" s="38">
        <v>137.75</v>
      </c>
      <c r="H2369" s="38"/>
      <c r="K2369" s="38"/>
      <c r="L2369" s="38">
        <f t="shared" si="21"/>
        <v>137.75</v>
      </c>
    </row>
    <row r="2370" spans="1:12" ht="14.5" x14ac:dyDescent="0.35">
      <c r="A2370" s="45" t="s">
        <v>3799</v>
      </c>
      <c r="B2370" s="45"/>
      <c r="C2370" s="55">
        <v>45887</v>
      </c>
      <c r="D2370" s="45" t="s">
        <v>422</v>
      </c>
      <c r="E2370" s="45" t="s">
        <v>3709</v>
      </c>
      <c r="G2370" s="38">
        <v>137.75</v>
      </c>
      <c r="H2370" s="38"/>
      <c r="K2370" s="38"/>
      <c r="L2370" s="38">
        <f t="shared" si="21"/>
        <v>137.75</v>
      </c>
    </row>
    <row r="2371" spans="1:12" ht="14.5" x14ac:dyDescent="0.35">
      <c r="A2371" s="45" t="s">
        <v>3799</v>
      </c>
      <c r="B2371" s="45"/>
      <c r="C2371" s="55">
        <v>45887</v>
      </c>
      <c r="D2371" s="45" t="s">
        <v>422</v>
      </c>
      <c r="E2371" s="45" t="s">
        <v>3712</v>
      </c>
      <c r="G2371" s="38">
        <v>121</v>
      </c>
      <c r="H2371" s="38"/>
      <c r="K2371" s="38"/>
      <c r="L2371" s="38">
        <f t="shared" si="21"/>
        <v>121</v>
      </c>
    </row>
    <row r="2372" spans="1:12" ht="14.5" x14ac:dyDescent="0.35">
      <c r="A2372" s="45" t="s">
        <v>3799</v>
      </c>
      <c r="B2372" s="45"/>
      <c r="C2372" s="55">
        <v>45887</v>
      </c>
      <c r="D2372" s="45" t="s">
        <v>422</v>
      </c>
      <c r="E2372" s="45" t="s">
        <v>3719</v>
      </c>
      <c r="G2372" s="38">
        <v>120</v>
      </c>
      <c r="H2372" s="38"/>
      <c r="K2372" s="38"/>
      <c r="L2372" s="38">
        <f t="shared" si="21"/>
        <v>120</v>
      </c>
    </row>
    <row r="2373" spans="1:12" ht="14.5" x14ac:dyDescent="0.35">
      <c r="A2373" s="45" t="s">
        <v>3799</v>
      </c>
      <c r="B2373" s="45"/>
      <c r="C2373" s="55">
        <v>45887</v>
      </c>
      <c r="D2373" s="45" t="s">
        <v>422</v>
      </c>
      <c r="E2373" s="45" t="s">
        <v>3720</v>
      </c>
      <c r="G2373" s="38">
        <v>137.75</v>
      </c>
      <c r="H2373" s="38"/>
      <c r="K2373" s="38"/>
      <c r="L2373" s="38">
        <f t="shared" si="21"/>
        <v>137.75</v>
      </c>
    </row>
    <row r="2374" spans="1:12" ht="14.5" x14ac:dyDescent="0.35">
      <c r="A2374" s="45" t="s">
        <v>3799</v>
      </c>
      <c r="B2374" s="45"/>
      <c r="C2374" s="55">
        <v>45887</v>
      </c>
      <c r="D2374" s="45" t="s">
        <v>422</v>
      </c>
      <c r="E2374" s="45" t="s">
        <v>3722</v>
      </c>
      <c r="G2374" s="38">
        <v>137.75</v>
      </c>
      <c r="H2374" s="38"/>
      <c r="K2374" s="38"/>
      <c r="L2374" s="38">
        <f t="shared" si="21"/>
        <v>137.75</v>
      </c>
    </row>
    <row r="2375" spans="1:12" ht="14.5" x14ac:dyDescent="0.35">
      <c r="A2375" s="45" t="s">
        <v>3799</v>
      </c>
      <c r="B2375" s="45"/>
      <c r="C2375" s="55">
        <v>45887</v>
      </c>
      <c r="D2375" s="45" t="s">
        <v>422</v>
      </c>
      <c r="E2375" s="45" t="s">
        <v>600</v>
      </c>
      <c r="G2375" s="38">
        <v>121</v>
      </c>
      <c r="H2375" s="38"/>
      <c r="K2375" s="38"/>
      <c r="L2375" s="38">
        <f t="shared" si="21"/>
        <v>121</v>
      </c>
    </row>
    <row r="2376" spans="1:12" ht="14.5" x14ac:dyDescent="0.35">
      <c r="A2376" s="45" t="s">
        <v>3799</v>
      </c>
      <c r="B2376" s="45"/>
      <c r="C2376" s="55">
        <v>45887</v>
      </c>
      <c r="D2376" s="45" t="s">
        <v>422</v>
      </c>
      <c r="E2376" s="45" t="s">
        <v>596</v>
      </c>
      <c r="G2376" s="38">
        <v>1365</v>
      </c>
      <c r="H2376" s="38"/>
      <c r="K2376" s="38"/>
      <c r="L2376" s="38">
        <f t="shared" si="21"/>
        <v>1365</v>
      </c>
    </row>
    <row r="2377" spans="1:12" ht="14.5" x14ac:dyDescent="0.35">
      <c r="A2377" s="45" t="s">
        <v>3799</v>
      </c>
      <c r="B2377" s="45"/>
      <c r="C2377" s="55">
        <v>45887</v>
      </c>
      <c r="D2377" s="45" t="s">
        <v>422</v>
      </c>
      <c r="E2377" s="45" t="s">
        <v>3725</v>
      </c>
      <c r="G2377" s="38">
        <v>275.49999999999994</v>
      </c>
      <c r="H2377" s="38"/>
      <c r="K2377" s="38"/>
      <c r="L2377" s="38">
        <f t="shared" si="21"/>
        <v>275.49999999999994</v>
      </c>
    </row>
    <row r="2378" spans="1:12" ht="14.5" x14ac:dyDescent="0.35">
      <c r="A2378" s="45" t="s">
        <v>3799</v>
      </c>
      <c r="B2378" s="45"/>
      <c r="C2378" s="55">
        <v>45887</v>
      </c>
      <c r="D2378" s="45" t="s">
        <v>422</v>
      </c>
      <c r="E2378" s="45" t="s">
        <v>3737</v>
      </c>
      <c r="G2378" s="38">
        <v>351</v>
      </c>
      <c r="H2378" s="38"/>
      <c r="K2378" s="38"/>
      <c r="L2378" s="38">
        <f t="shared" si="21"/>
        <v>351</v>
      </c>
    </row>
    <row r="2379" spans="1:12" ht="14.5" x14ac:dyDescent="0.35">
      <c r="A2379" s="45" t="s">
        <v>3799</v>
      </c>
      <c r="B2379" s="45"/>
      <c r="C2379" s="55">
        <v>45887</v>
      </c>
      <c r="D2379" s="45" t="s">
        <v>422</v>
      </c>
      <c r="E2379" s="45" t="s">
        <v>3739</v>
      </c>
      <c r="G2379" s="38">
        <v>218</v>
      </c>
      <c r="H2379" s="38"/>
      <c r="K2379" s="38"/>
      <c r="L2379" s="38">
        <f t="shared" si="21"/>
        <v>218</v>
      </c>
    </row>
    <row r="2380" spans="1:12" ht="14.5" x14ac:dyDescent="0.35">
      <c r="A2380" s="45" t="s">
        <v>3799</v>
      </c>
      <c r="B2380" s="45"/>
      <c r="C2380" s="55">
        <v>45887</v>
      </c>
      <c r="D2380" s="45" t="s">
        <v>422</v>
      </c>
      <c r="E2380" s="45" t="s">
        <v>3741</v>
      </c>
      <c r="G2380" s="38">
        <v>121</v>
      </c>
      <c r="H2380" s="38"/>
      <c r="K2380" s="38"/>
      <c r="L2380" s="38">
        <f t="shared" si="21"/>
        <v>121</v>
      </c>
    </row>
    <row r="2381" spans="1:12" ht="14.5" x14ac:dyDescent="0.35">
      <c r="A2381" s="45" t="s">
        <v>3799</v>
      </c>
      <c r="B2381" s="45"/>
      <c r="C2381" s="55">
        <v>45887</v>
      </c>
      <c r="D2381" s="45" t="s">
        <v>422</v>
      </c>
      <c r="E2381" s="45" t="s">
        <v>3742</v>
      </c>
      <c r="G2381" s="38">
        <v>137.75</v>
      </c>
      <c r="H2381" s="38"/>
      <c r="K2381" s="38"/>
      <c r="L2381" s="38">
        <f t="shared" si="21"/>
        <v>137.75</v>
      </c>
    </row>
    <row r="2382" spans="1:12" ht="14.5" x14ac:dyDescent="0.35">
      <c r="A2382" s="45" t="s">
        <v>3799</v>
      </c>
      <c r="B2382" s="45"/>
      <c r="C2382" s="55">
        <v>45887</v>
      </c>
      <c r="D2382" s="45" t="s">
        <v>422</v>
      </c>
      <c r="E2382" s="45" t="s">
        <v>3743</v>
      </c>
      <c r="G2382" s="38">
        <v>120</v>
      </c>
      <c r="H2382" s="38"/>
      <c r="K2382" s="38"/>
      <c r="L2382" s="38">
        <f t="shared" si="21"/>
        <v>120</v>
      </c>
    </row>
    <row r="2383" spans="1:12" ht="14.5" x14ac:dyDescent="0.35">
      <c r="A2383" s="45" t="s">
        <v>3799</v>
      </c>
      <c r="B2383" s="45"/>
      <c r="C2383" s="55">
        <v>45887</v>
      </c>
      <c r="D2383" s="45" t="s">
        <v>422</v>
      </c>
      <c r="E2383" s="45" t="s">
        <v>3744</v>
      </c>
      <c r="G2383" s="38">
        <v>137.75</v>
      </c>
      <c r="H2383" s="38"/>
      <c r="K2383" s="38"/>
      <c r="L2383" s="38">
        <f t="shared" si="21"/>
        <v>137.75</v>
      </c>
    </row>
    <row r="2384" spans="1:12" ht="14.5" x14ac:dyDescent="0.35">
      <c r="A2384" s="45" t="s">
        <v>3799</v>
      </c>
      <c r="B2384" s="45"/>
      <c r="C2384" s="55">
        <v>45887</v>
      </c>
      <c r="D2384" s="45" t="s">
        <v>422</v>
      </c>
      <c r="E2384" s="45" t="s">
        <v>3745</v>
      </c>
      <c r="G2384" s="38">
        <v>109</v>
      </c>
      <c r="H2384" s="38"/>
      <c r="K2384" s="38"/>
      <c r="L2384" s="38">
        <f t="shared" si="21"/>
        <v>109</v>
      </c>
    </row>
    <row r="2385" spans="1:12" ht="14.5" x14ac:dyDescent="0.35">
      <c r="A2385" s="45" t="s">
        <v>3799</v>
      </c>
      <c r="B2385" s="45"/>
      <c r="C2385" s="55">
        <v>45887</v>
      </c>
      <c r="D2385" s="45" t="s">
        <v>422</v>
      </c>
      <c r="E2385" s="45" t="s">
        <v>3746</v>
      </c>
      <c r="G2385" s="38">
        <v>110</v>
      </c>
      <c r="H2385" s="38"/>
      <c r="K2385" s="38"/>
      <c r="L2385" s="38">
        <f t="shared" si="21"/>
        <v>110</v>
      </c>
    </row>
    <row r="2386" spans="1:12" ht="14.5" x14ac:dyDescent="0.35">
      <c r="A2386" s="45" t="s">
        <v>3799</v>
      </c>
      <c r="B2386" s="45"/>
      <c r="C2386" s="55">
        <v>45887</v>
      </c>
      <c r="D2386" s="45" t="s">
        <v>422</v>
      </c>
      <c r="E2386" s="45" t="s">
        <v>3748</v>
      </c>
      <c r="G2386" s="38">
        <v>109</v>
      </c>
      <c r="H2386" s="38"/>
      <c r="K2386" s="38"/>
      <c r="L2386" s="38">
        <f t="shared" si="21"/>
        <v>109</v>
      </c>
    </row>
    <row r="2387" spans="1:12" ht="14.5" x14ac:dyDescent="0.35">
      <c r="A2387" s="45" t="s">
        <v>3799</v>
      </c>
      <c r="B2387" s="45"/>
      <c r="C2387" s="55">
        <v>45887</v>
      </c>
      <c r="D2387" s="45" t="s">
        <v>422</v>
      </c>
      <c r="E2387" s="45" t="s">
        <v>3750</v>
      </c>
      <c r="G2387" s="38">
        <v>137.75</v>
      </c>
      <c r="H2387" s="38"/>
      <c r="K2387" s="38"/>
      <c r="L2387" s="38">
        <f t="shared" si="21"/>
        <v>137.75</v>
      </c>
    </row>
    <row r="2388" spans="1:12" ht="14.5" x14ac:dyDescent="0.35">
      <c r="A2388" s="45" t="s">
        <v>3799</v>
      </c>
      <c r="B2388" s="45"/>
      <c r="C2388" s="55">
        <v>45887</v>
      </c>
      <c r="D2388" s="45" t="s">
        <v>422</v>
      </c>
      <c r="E2388" s="45" t="s">
        <v>3753</v>
      </c>
      <c r="G2388" s="38">
        <v>137.75</v>
      </c>
      <c r="H2388" s="38"/>
      <c r="K2388" s="38"/>
      <c r="L2388" s="38">
        <f t="shared" si="21"/>
        <v>137.75</v>
      </c>
    </row>
    <row r="2389" spans="1:12" ht="14.5" x14ac:dyDescent="0.35">
      <c r="A2389" s="45" t="s">
        <v>3799</v>
      </c>
      <c r="B2389" s="45"/>
      <c r="C2389" s="55">
        <v>45887</v>
      </c>
      <c r="D2389" s="45" t="s">
        <v>422</v>
      </c>
      <c r="E2389" s="45" t="s">
        <v>3754</v>
      </c>
      <c r="G2389" s="38">
        <v>109</v>
      </c>
      <c r="H2389" s="38"/>
      <c r="K2389" s="38"/>
      <c r="L2389" s="38">
        <f t="shared" si="21"/>
        <v>109</v>
      </c>
    </row>
    <row r="2390" spans="1:12" ht="14.5" x14ac:dyDescent="0.35">
      <c r="A2390" s="45" t="s">
        <v>3799</v>
      </c>
      <c r="B2390" s="45"/>
      <c r="C2390" s="55">
        <v>45887</v>
      </c>
      <c r="D2390" s="45" t="s">
        <v>422</v>
      </c>
      <c r="E2390" s="45" t="s">
        <v>3758</v>
      </c>
      <c r="G2390" s="38">
        <v>121</v>
      </c>
      <c r="H2390" s="38"/>
      <c r="K2390" s="38"/>
      <c r="L2390" s="38">
        <f t="shared" si="21"/>
        <v>121</v>
      </c>
    </row>
    <row r="2391" spans="1:12" ht="14.5" x14ac:dyDescent="0.35">
      <c r="A2391" s="45" t="s">
        <v>3799</v>
      </c>
      <c r="B2391" s="45"/>
      <c r="C2391" s="55">
        <v>45887</v>
      </c>
      <c r="D2391" s="45" t="s">
        <v>422</v>
      </c>
      <c r="E2391" s="45" t="s">
        <v>628</v>
      </c>
      <c r="G2391" s="38">
        <v>229</v>
      </c>
      <c r="H2391" s="38"/>
      <c r="K2391" s="38"/>
      <c r="L2391" s="38">
        <f t="shared" si="21"/>
        <v>229</v>
      </c>
    </row>
    <row r="2392" spans="1:12" ht="14.5" x14ac:dyDescent="0.35">
      <c r="A2392" s="45" t="s">
        <v>3799</v>
      </c>
      <c r="B2392" s="45"/>
      <c r="C2392" s="55">
        <v>45887</v>
      </c>
      <c r="D2392" s="45" t="s">
        <v>422</v>
      </c>
      <c r="E2392" s="45" t="s">
        <v>3761</v>
      </c>
      <c r="G2392" s="38">
        <v>137.75</v>
      </c>
      <c r="H2392" s="38"/>
      <c r="K2392" s="38"/>
      <c r="L2392" s="38">
        <f t="shared" si="21"/>
        <v>137.75</v>
      </c>
    </row>
    <row r="2393" spans="1:12" ht="14.5" x14ac:dyDescent="0.35">
      <c r="A2393" s="45" t="s">
        <v>3799</v>
      </c>
      <c r="B2393" s="45"/>
      <c r="C2393" s="55">
        <v>45887</v>
      </c>
      <c r="D2393" s="45" t="s">
        <v>422</v>
      </c>
      <c r="E2393" s="45" t="s">
        <v>3762</v>
      </c>
      <c r="G2393" s="38">
        <v>137.75000000000003</v>
      </c>
      <c r="H2393" s="38"/>
      <c r="K2393" s="38"/>
      <c r="L2393" s="38">
        <f t="shared" si="21"/>
        <v>137.75000000000003</v>
      </c>
    </row>
    <row r="2394" spans="1:12" ht="14.5" x14ac:dyDescent="0.35">
      <c r="A2394" s="45" t="s">
        <v>3799</v>
      </c>
      <c r="B2394" s="45"/>
      <c r="C2394" s="55">
        <v>45887</v>
      </c>
      <c r="D2394" s="45" t="s">
        <v>422</v>
      </c>
      <c r="E2394" s="45" t="s">
        <v>551</v>
      </c>
      <c r="G2394" s="38">
        <v>109</v>
      </c>
      <c r="H2394" s="38"/>
      <c r="K2394" s="38"/>
      <c r="L2394" s="38">
        <f t="shared" si="21"/>
        <v>109</v>
      </c>
    </row>
    <row r="2395" spans="1:12" ht="14.5" x14ac:dyDescent="0.35">
      <c r="A2395" s="45" t="s">
        <v>3799</v>
      </c>
      <c r="B2395" s="45"/>
      <c r="C2395" s="55">
        <v>45887</v>
      </c>
      <c r="D2395" s="45" t="s">
        <v>422</v>
      </c>
      <c r="E2395" s="45" t="s">
        <v>3763</v>
      </c>
      <c r="G2395" s="38">
        <v>120</v>
      </c>
      <c r="H2395" s="38"/>
      <c r="K2395" s="38"/>
      <c r="L2395" s="38">
        <f t="shared" si="21"/>
        <v>120</v>
      </c>
    </row>
    <row r="2396" spans="1:12" ht="14.5" x14ac:dyDescent="0.35">
      <c r="A2396" s="45" t="s">
        <v>3799</v>
      </c>
      <c r="B2396" s="45"/>
      <c r="C2396" s="55">
        <v>45887</v>
      </c>
      <c r="D2396" s="45" t="s">
        <v>422</v>
      </c>
      <c r="E2396" s="45" t="s">
        <v>3765</v>
      </c>
      <c r="G2396" s="38">
        <v>120</v>
      </c>
      <c r="H2396" s="38"/>
      <c r="K2396" s="38"/>
      <c r="L2396" s="38">
        <f t="shared" si="21"/>
        <v>120</v>
      </c>
    </row>
    <row r="2397" spans="1:12" ht="14.5" x14ac:dyDescent="0.35">
      <c r="A2397" s="45" t="s">
        <v>3799</v>
      </c>
      <c r="B2397" s="45"/>
      <c r="C2397" s="55">
        <v>45887</v>
      </c>
      <c r="D2397" s="45" t="s">
        <v>422</v>
      </c>
      <c r="E2397" s="45" t="s">
        <v>3766</v>
      </c>
      <c r="G2397" s="38">
        <v>137.75</v>
      </c>
      <c r="H2397" s="38"/>
      <c r="K2397" s="38"/>
      <c r="L2397" s="38">
        <f t="shared" si="21"/>
        <v>137.75</v>
      </c>
    </row>
    <row r="2398" spans="1:12" ht="14.5" x14ac:dyDescent="0.35">
      <c r="A2398" s="45" t="s">
        <v>3799</v>
      </c>
      <c r="B2398" s="45"/>
      <c r="C2398" s="55">
        <v>45887</v>
      </c>
      <c r="D2398" s="45" t="s">
        <v>422</v>
      </c>
      <c r="E2398" s="45" t="s">
        <v>3767</v>
      </c>
      <c r="G2398" s="38">
        <v>109</v>
      </c>
      <c r="H2398" s="38"/>
      <c r="K2398" s="38"/>
      <c r="L2398" s="38">
        <f t="shared" si="21"/>
        <v>109</v>
      </c>
    </row>
    <row r="2399" spans="1:12" ht="14.5" x14ac:dyDescent="0.35">
      <c r="A2399" s="45" t="s">
        <v>3799</v>
      </c>
      <c r="B2399" s="45"/>
      <c r="C2399" s="55">
        <v>45887</v>
      </c>
      <c r="D2399" s="45" t="s">
        <v>422</v>
      </c>
      <c r="E2399" s="45" t="s">
        <v>3768</v>
      </c>
      <c r="G2399" s="38">
        <v>120</v>
      </c>
      <c r="H2399" s="38"/>
      <c r="K2399" s="38"/>
      <c r="L2399" s="38">
        <f t="shared" si="21"/>
        <v>120</v>
      </c>
    </row>
    <row r="2400" spans="1:12" ht="14.5" x14ac:dyDescent="0.35">
      <c r="A2400" s="45" t="s">
        <v>3799</v>
      </c>
      <c r="B2400" s="45"/>
      <c r="C2400" s="55">
        <v>45887</v>
      </c>
      <c r="D2400" s="45" t="s">
        <v>422</v>
      </c>
      <c r="E2400" s="45" t="s">
        <v>3769</v>
      </c>
      <c r="G2400" s="38">
        <v>120</v>
      </c>
      <c r="H2400" s="38"/>
      <c r="K2400" s="38"/>
      <c r="L2400" s="38">
        <f t="shared" si="21"/>
        <v>120</v>
      </c>
    </row>
    <row r="2401" spans="1:12" ht="14.5" x14ac:dyDescent="0.35">
      <c r="A2401" s="45" t="s">
        <v>3799</v>
      </c>
      <c r="B2401" s="45"/>
      <c r="C2401" s="55">
        <v>45887</v>
      </c>
      <c r="D2401" s="45" t="s">
        <v>422</v>
      </c>
      <c r="E2401" s="45" t="s">
        <v>3770</v>
      </c>
      <c r="G2401" s="38">
        <v>120</v>
      </c>
      <c r="H2401" s="38"/>
      <c r="K2401" s="38"/>
      <c r="L2401" s="38">
        <f t="shared" si="21"/>
        <v>120</v>
      </c>
    </row>
    <row r="2402" spans="1:12" ht="14.5" x14ac:dyDescent="0.35">
      <c r="A2402" s="45" t="s">
        <v>3799</v>
      </c>
      <c r="B2402" s="45"/>
      <c r="C2402" s="55">
        <v>45887</v>
      </c>
      <c r="D2402" s="45" t="s">
        <v>422</v>
      </c>
      <c r="E2402" s="45" t="s">
        <v>3771</v>
      </c>
      <c r="G2402" s="38">
        <v>230</v>
      </c>
      <c r="H2402" s="38"/>
      <c r="K2402" s="38"/>
      <c r="L2402" s="38">
        <f t="shared" si="21"/>
        <v>230</v>
      </c>
    </row>
    <row r="2403" spans="1:12" ht="14.5" x14ac:dyDescent="0.35">
      <c r="A2403" s="45" t="s">
        <v>3799</v>
      </c>
      <c r="B2403" s="45"/>
      <c r="C2403" s="55">
        <v>45887</v>
      </c>
      <c r="D2403" s="45" t="s">
        <v>422</v>
      </c>
      <c r="E2403" s="45" t="s">
        <v>3773</v>
      </c>
      <c r="G2403" s="38">
        <v>120</v>
      </c>
      <c r="H2403" s="38"/>
      <c r="K2403" s="38"/>
      <c r="L2403" s="38">
        <f t="shared" si="21"/>
        <v>120</v>
      </c>
    </row>
    <row r="2404" spans="1:12" ht="14.5" x14ac:dyDescent="0.35">
      <c r="A2404" s="45" t="s">
        <v>3799</v>
      </c>
      <c r="B2404" s="45"/>
      <c r="C2404" s="55">
        <v>45887</v>
      </c>
      <c r="D2404" s="45" t="s">
        <v>422</v>
      </c>
      <c r="E2404" s="45" t="s">
        <v>3774</v>
      </c>
      <c r="G2404" s="38">
        <v>137.75</v>
      </c>
      <c r="H2404" s="38"/>
      <c r="K2404" s="38"/>
      <c r="L2404" s="38">
        <f t="shared" si="21"/>
        <v>137.75</v>
      </c>
    </row>
    <row r="2405" spans="1:12" ht="14.5" x14ac:dyDescent="0.35">
      <c r="A2405" s="45" t="s">
        <v>3799</v>
      </c>
      <c r="B2405" s="45"/>
      <c r="C2405" s="55">
        <v>45887</v>
      </c>
      <c r="D2405" s="45" t="s">
        <v>422</v>
      </c>
      <c r="E2405" s="45" t="s">
        <v>3777</v>
      </c>
      <c r="G2405" s="38">
        <v>120</v>
      </c>
      <c r="H2405" s="38"/>
      <c r="K2405" s="38"/>
      <c r="L2405" s="38">
        <f t="shared" si="21"/>
        <v>120</v>
      </c>
    </row>
    <row r="2406" spans="1:12" ht="14.5" x14ac:dyDescent="0.35">
      <c r="A2406" s="45" t="s">
        <v>3799</v>
      </c>
      <c r="B2406" s="45"/>
      <c r="C2406" s="55">
        <v>45887</v>
      </c>
      <c r="D2406" s="45" t="s">
        <v>66</v>
      </c>
      <c r="E2406" s="45" t="s">
        <v>76</v>
      </c>
      <c r="G2406" s="38">
        <v>856.73000000000013</v>
      </c>
      <c r="H2406" s="38"/>
      <c r="K2406" s="38"/>
      <c r="L2406" s="38">
        <f t="shared" si="21"/>
        <v>856.73000000000013</v>
      </c>
    </row>
    <row r="2407" spans="1:12" ht="14.5" x14ac:dyDescent="0.35">
      <c r="A2407" s="45" t="s">
        <v>3799</v>
      </c>
      <c r="B2407" s="45"/>
      <c r="C2407" s="55">
        <v>45888</v>
      </c>
      <c r="D2407" s="45" t="s">
        <v>96</v>
      </c>
      <c r="E2407" s="45" t="s">
        <v>3970</v>
      </c>
      <c r="G2407" s="38">
        <v>110</v>
      </c>
      <c r="H2407" s="38"/>
      <c r="K2407" s="38"/>
      <c r="L2407" s="38">
        <f t="shared" si="21"/>
        <v>110</v>
      </c>
    </row>
    <row r="2408" spans="1:12" ht="14.5" x14ac:dyDescent="0.35">
      <c r="A2408" s="45" t="s">
        <v>3799</v>
      </c>
      <c r="B2408" s="45"/>
      <c r="C2408" s="55">
        <v>45888</v>
      </c>
      <c r="D2408" s="45" t="s">
        <v>96</v>
      </c>
      <c r="E2408" s="45" t="s">
        <v>3971</v>
      </c>
      <c r="G2408" s="38">
        <v>210</v>
      </c>
      <c r="H2408" s="38"/>
      <c r="K2408" s="38"/>
      <c r="L2408" s="38">
        <f t="shared" ref="L2408" si="22">G2408-H2408</f>
        <v>210</v>
      </c>
    </row>
    <row r="2409" spans="1:12" ht="14.5" x14ac:dyDescent="0.35">
      <c r="A2409" s="45"/>
      <c r="B2409" s="45" t="s">
        <v>3802</v>
      </c>
      <c r="C2409" s="55">
        <v>45870</v>
      </c>
      <c r="D2409" s="45" t="s">
        <v>422</v>
      </c>
      <c r="E2409" s="45" t="s">
        <v>3829</v>
      </c>
      <c r="G2409" s="38"/>
      <c r="H2409" s="38">
        <v>2250</v>
      </c>
    </row>
    <row r="2410" spans="1:12" ht="14.5" x14ac:dyDescent="0.35">
      <c r="A2410" s="45"/>
      <c r="B2410" s="45" t="s">
        <v>3802</v>
      </c>
      <c r="C2410" s="55">
        <v>45870</v>
      </c>
      <c r="D2410" s="45" t="s">
        <v>422</v>
      </c>
      <c r="E2410" s="45" t="s">
        <v>3830</v>
      </c>
      <c r="G2410" s="38"/>
      <c r="H2410" s="38">
        <v>2301.5</v>
      </c>
    </row>
    <row r="2411" spans="1:12" ht="14.5" x14ac:dyDescent="0.35">
      <c r="A2411" s="45"/>
      <c r="B2411" s="45" t="s">
        <v>3802</v>
      </c>
      <c r="C2411" s="55">
        <v>45870</v>
      </c>
      <c r="D2411" s="45" t="s">
        <v>819</v>
      </c>
      <c r="E2411" s="45" t="s">
        <v>831</v>
      </c>
      <c r="G2411" s="38"/>
      <c r="H2411" s="38">
        <v>4201.6000000000004</v>
      </c>
    </row>
    <row r="2412" spans="1:12" ht="14.5" x14ac:dyDescent="0.35">
      <c r="A2412" s="45"/>
      <c r="B2412" s="45" t="s">
        <v>3802</v>
      </c>
      <c r="C2412" s="55">
        <v>45870</v>
      </c>
      <c r="D2412" s="45" t="s">
        <v>819</v>
      </c>
      <c r="E2412" s="45" t="s">
        <v>337</v>
      </c>
      <c r="G2412" s="38"/>
      <c r="H2412" s="38">
        <v>0</v>
      </c>
    </row>
    <row r="2413" spans="1:12" ht="14.5" x14ac:dyDescent="0.35">
      <c r="A2413" s="45"/>
      <c r="B2413" s="45" t="s">
        <v>3802</v>
      </c>
      <c r="C2413" s="55">
        <v>45870</v>
      </c>
      <c r="D2413" s="45" t="s">
        <v>49</v>
      </c>
      <c r="E2413" s="45">
        <v>14036</v>
      </c>
      <c r="G2413" s="38"/>
      <c r="H2413" s="38">
        <v>200</v>
      </c>
    </row>
    <row r="2414" spans="1:12" ht="14.5" x14ac:dyDescent="0.35">
      <c r="A2414" s="45"/>
      <c r="B2414" s="45" t="s">
        <v>3802</v>
      </c>
      <c r="C2414" s="55">
        <v>45870</v>
      </c>
      <c r="D2414" s="45" t="s">
        <v>702</v>
      </c>
      <c r="E2414" s="45">
        <v>41188101</v>
      </c>
      <c r="G2414" s="38"/>
      <c r="H2414" s="38">
        <v>217.65</v>
      </c>
    </row>
    <row r="2415" spans="1:12" ht="14.5" x14ac:dyDescent="0.35">
      <c r="A2415" s="45"/>
      <c r="B2415" s="45" t="s">
        <v>3802</v>
      </c>
      <c r="C2415" s="55">
        <v>45871</v>
      </c>
      <c r="D2415" s="45" t="s">
        <v>819</v>
      </c>
      <c r="E2415" s="45" t="s">
        <v>3831</v>
      </c>
      <c r="G2415" s="38"/>
      <c r="H2415" s="38">
        <v>0</v>
      </c>
    </row>
    <row r="2416" spans="1:12" ht="14.5" x14ac:dyDescent="0.35">
      <c r="A2416" s="45"/>
      <c r="B2416" s="45" t="s">
        <v>3802</v>
      </c>
      <c r="C2416" s="55">
        <v>45873</v>
      </c>
      <c r="D2416" s="45" t="s">
        <v>819</v>
      </c>
      <c r="E2416" s="45" t="s">
        <v>3832</v>
      </c>
      <c r="G2416" s="38"/>
      <c r="H2416" s="38">
        <v>0</v>
      </c>
    </row>
    <row r="2417" spans="1:8" ht="14.5" x14ac:dyDescent="0.35">
      <c r="A2417" s="45"/>
      <c r="B2417" s="45" t="s">
        <v>3802</v>
      </c>
      <c r="C2417" s="55">
        <v>45873</v>
      </c>
      <c r="D2417" s="45" t="s">
        <v>819</v>
      </c>
      <c r="E2417" s="45" t="s">
        <v>3833</v>
      </c>
      <c r="G2417" s="38"/>
      <c r="H2417" s="38">
        <v>669</v>
      </c>
    </row>
    <row r="2418" spans="1:8" ht="14.5" x14ac:dyDescent="0.35">
      <c r="A2418" s="45"/>
      <c r="B2418" s="45" t="s">
        <v>3802</v>
      </c>
      <c r="C2418" s="55">
        <v>45873</v>
      </c>
      <c r="D2418" s="45" t="s">
        <v>819</v>
      </c>
      <c r="E2418" s="45" t="s">
        <v>840</v>
      </c>
      <c r="G2418" s="38"/>
      <c r="H2418" s="38">
        <v>904</v>
      </c>
    </row>
    <row r="2419" spans="1:8" ht="14.5" x14ac:dyDescent="0.35">
      <c r="A2419" s="45"/>
      <c r="B2419" s="45" t="s">
        <v>3802</v>
      </c>
      <c r="C2419" s="55">
        <v>45873</v>
      </c>
      <c r="D2419" s="45" t="s">
        <v>819</v>
      </c>
      <c r="E2419" s="45" t="s">
        <v>839</v>
      </c>
      <c r="G2419" s="38"/>
      <c r="H2419" s="38">
        <v>334.5</v>
      </c>
    </row>
    <row r="2420" spans="1:8" ht="14.5" x14ac:dyDescent="0.35">
      <c r="A2420" s="45"/>
      <c r="B2420" s="45" t="s">
        <v>3802</v>
      </c>
      <c r="C2420" s="55">
        <v>45873</v>
      </c>
      <c r="D2420" s="45" t="s">
        <v>66</v>
      </c>
      <c r="E2420" s="45" t="s">
        <v>3634</v>
      </c>
      <c r="G2420" s="38"/>
      <c r="H2420" s="38">
        <v>314.5</v>
      </c>
    </row>
    <row r="2421" spans="1:8" ht="14.5" x14ac:dyDescent="0.35">
      <c r="A2421" s="45"/>
      <c r="B2421" s="45" t="s">
        <v>3802</v>
      </c>
      <c r="C2421" s="55">
        <v>45874</v>
      </c>
      <c r="D2421" s="45" t="s">
        <v>324</v>
      </c>
      <c r="E2421" s="45" t="s">
        <v>3834</v>
      </c>
      <c r="G2421" s="38"/>
      <c r="H2421" s="38">
        <v>0</v>
      </c>
    </row>
    <row r="2422" spans="1:8" ht="14.5" x14ac:dyDescent="0.35">
      <c r="A2422" s="45"/>
      <c r="B2422" s="45" t="s">
        <v>3802</v>
      </c>
      <c r="C2422" s="55">
        <v>45875</v>
      </c>
      <c r="D2422" s="45" t="s">
        <v>716</v>
      </c>
      <c r="E2422" s="45" t="s">
        <v>726</v>
      </c>
      <c r="G2422" s="38"/>
      <c r="H2422" s="38">
        <v>2075</v>
      </c>
    </row>
    <row r="2423" spans="1:8" ht="14.5" x14ac:dyDescent="0.35">
      <c r="A2423" s="45"/>
      <c r="B2423" s="45" t="s">
        <v>3802</v>
      </c>
      <c r="C2423" s="55">
        <v>45875</v>
      </c>
      <c r="D2423" s="45" t="s">
        <v>422</v>
      </c>
      <c r="E2423" s="45" t="s">
        <v>3835</v>
      </c>
      <c r="G2423" s="38"/>
      <c r="H2423" s="38">
        <v>93</v>
      </c>
    </row>
    <row r="2424" spans="1:8" ht="14.5" x14ac:dyDescent="0.35">
      <c r="A2424" s="45"/>
      <c r="B2424" s="45" t="s">
        <v>3802</v>
      </c>
      <c r="C2424" s="55">
        <v>45875</v>
      </c>
      <c r="D2424" s="45" t="s">
        <v>422</v>
      </c>
      <c r="E2424" s="45" t="s">
        <v>3836</v>
      </c>
      <c r="G2424" s="38"/>
      <c r="H2424" s="38">
        <v>93</v>
      </c>
    </row>
    <row r="2425" spans="1:8" ht="14.5" x14ac:dyDescent="0.35">
      <c r="A2425" s="45"/>
      <c r="B2425" s="45" t="s">
        <v>3802</v>
      </c>
      <c r="C2425" s="55">
        <v>45875</v>
      </c>
      <c r="D2425" s="45" t="s">
        <v>422</v>
      </c>
      <c r="E2425" s="45" t="s">
        <v>3837</v>
      </c>
      <c r="G2425" s="38"/>
      <c r="H2425" s="38">
        <v>93</v>
      </c>
    </row>
    <row r="2426" spans="1:8" ht="14.5" x14ac:dyDescent="0.35">
      <c r="A2426" s="45"/>
      <c r="B2426" s="45" t="s">
        <v>3802</v>
      </c>
      <c r="C2426" s="55">
        <v>45875</v>
      </c>
      <c r="D2426" s="45" t="s">
        <v>819</v>
      </c>
      <c r="E2426" s="45" t="s">
        <v>3838</v>
      </c>
      <c r="G2426" s="38"/>
      <c r="H2426" s="38">
        <v>89</v>
      </c>
    </row>
    <row r="2427" spans="1:8" ht="14.5" x14ac:dyDescent="0.35">
      <c r="A2427" s="45"/>
      <c r="B2427" s="45" t="s">
        <v>3802</v>
      </c>
      <c r="C2427" s="55">
        <v>45875</v>
      </c>
      <c r="D2427" s="45" t="s">
        <v>819</v>
      </c>
      <c r="E2427" s="45" t="s">
        <v>3651</v>
      </c>
      <c r="G2427" s="38"/>
      <c r="H2427" s="38">
        <v>89</v>
      </c>
    </row>
    <row r="2428" spans="1:8" ht="14.5" x14ac:dyDescent="0.35">
      <c r="A2428" s="45"/>
      <c r="B2428" s="45" t="s">
        <v>3802</v>
      </c>
      <c r="C2428" s="55">
        <v>45875</v>
      </c>
      <c r="D2428" s="45" t="s">
        <v>422</v>
      </c>
      <c r="E2428" s="45" t="s">
        <v>3839</v>
      </c>
      <c r="G2428" s="38"/>
      <c r="H2428" s="38">
        <v>79</v>
      </c>
    </row>
    <row r="2429" spans="1:8" ht="14.5" x14ac:dyDescent="0.35">
      <c r="A2429" s="45"/>
      <c r="B2429" s="45" t="s">
        <v>3802</v>
      </c>
      <c r="C2429" s="55">
        <v>45875</v>
      </c>
      <c r="D2429" s="45" t="s">
        <v>819</v>
      </c>
      <c r="E2429" s="45" t="s">
        <v>3840</v>
      </c>
      <c r="G2429" s="38"/>
      <c r="H2429" s="38">
        <v>89</v>
      </c>
    </row>
    <row r="2430" spans="1:8" ht="14.5" x14ac:dyDescent="0.35">
      <c r="A2430" s="45"/>
      <c r="B2430" s="45" t="s">
        <v>3802</v>
      </c>
      <c r="C2430" s="55">
        <v>45875</v>
      </c>
      <c r="D2430" s="45" t="s">
        <v>422</v>
      </c>
      <c r="E2430" s="45" t="s">
        <v>3841</v>
      </c>
      <c r="G2430" s="38"/>
      <c r="H2430" s="38">
        <v>79</v>
      </c>
    </row>
    <row r="2431" spans="1:8" ht="14.5" x14ac:dyDescent="0.35">
      <c r="A2431" s="45"/>
      <c r="B2431" s="45" t="s">
        <v>3802</v>
      </c>
      <c r="C2431" s="55">
        <v>45875</v>
      </c>
      <c r="D2431" s="45" t="s">
        <v>819</v>
      </c>
      <c r="E2431" s="45" t="s">
        <v>3842</v>
      </c>
      <c r="G2431" s="38"/>
      <c r="H2431" s="38">
        <v>163</v>
      </c>
    </row>
    <row r="2432" spans="1:8" ht="14.5" x14ac:dyDescent="0.35">
      <c r="A2432" s="45"/>
      <c r="B2432" s="45" t="s">
        <v>3802</v>
      </c>
      <c r="C2432" s="55">
        <v>45875</v>
      </c>
      <c r="D2432" s="45" t="s">
        <v>819</v>
      </c>
      <c r="E2432" s="45" t="s">
        <v>3843</v>
      </c>
      <c r="G2432" s="38"/>
      <c r="H2432" s="38">
        <v>110</v>
      </c>
    </row>
    <row r="2433" spans="1:8" ht="14.5" x14ac:dyDescent="0.35">
      <c r="A2433" s="45"/>
      <c r="B2433" s="45" t="s">
        <v>3802</v>
      </c>
      <c r="C2433" s="55">
        <v>45875</v>
      </c>
      <c r="D2433" s="45" t="s">
        <v>819</v>
      </c>
      <c r="E2433" s="45" t="s">
        <v>3844</v>
      </c>
      <c r="G2433" s="38"/>
      <c r="H2433" s="38">
        <v>89</v>
      </c>
    </row>
    <row r="2434" spans="1:8" ht="14.5" x14ac:dyDescent="0.35">
      <c r="A2434" s="45"/>
      <c r="B2434" s="45" t="s">
        <v>3802</v>
      </c>
      <c r="C2434" s="55">
        <v>45875</v>
      </c>
      <c r="D2434" s="45" t="s">
        <v>819</v>
      </c>
      <c r="E2434" s="45" t="s">
        <v>3845</v>
      </c>
      <c r="G2434" s="38"/>
      <c r="H2434" s="38">
        <v>833</v>
      </c>
    </row>
    <row r="2435" spans="1:8" ht="14.5" x14ac:dyDescent="0.35">
      <c r="A2435" s="45"/>
      <c r="B2435" s="45" t="s">
        <v>3802</v>
      </c>
      <c r="C2435" s="55">
        <v>45875</v>
      </c>
      <c r="D2435" s="45" t="s">
        <v>422</v>
      </c>
      <c r="E2435" s="45" t="s">
        <v>3846</v>
      </c>
      <c r="G2435" s="38"/>
      <c r="H2435" s="38">
        <v>64</v>
      </c>
    </row>
    <row r="2436" spans="1:8" ht="14.5" x14ac:dyDescent="0.35">
      <c r="A2436" s="45"/>
      <c r="B2436" s="45" t="s">
        <v>3802</v>
      </c>
      <c r="C2436" s="55">
        <v>45875</v>
      </c>
      <c r="D2436" s="45" t="s">
        <v>422</v>
      </c>
      <c r="E2436" s="45" t="s">
        <v>574</v>
      </c>
      <c r="G2436" s="38"/>
      <c r="H2436" s="38">
        <v>117</v>
      </c>
    </row>
    <row r="2437" spans="1:8" ht="14.5" x14ac:dyDescent="0.35">
      <c r="A2437" s="45"/>
      <c r="B2437" s="45" t="s">
        <v>3802</v>
      </c>
      <c r="C2437" s="55">
        <v>45875</v>
      </c>
      <c r="D2437" s="45" t="s">
        <v>422</v>
      </c>
      <c r="E2437" s="45" t="s">
        <v>3847</v>
      </c>
      <c r="G2437" s="38"/>
      <c r="H2437" s="38">
        <v>154</v>
      </c>
    </row>
    <row r="2438" spans="1:8" ht="14.5" x14ac:dyDescent="0.35">
      <c r="A2438" s="45"/>
      <c r="B2438" s="45" t="s">
        <v>3802</v>
      </c>
      <c r="C2438" s="55">
        <v>45875</v>
      </c>
      <c r="D2438" s="45" t="s">
        <v>819</v>
      </c>
      <c r="E2438" s="45" t="s">
        <v>3848</v>
      </c>
      <c r="G2438" s="38"/>
      <c r="H2438" s="38">
        <v>89</v>
      </c>
    </row>
    <row r="2439" spans="1:8" ht="14.5" x14ac:dyDescent="0.35">
      <c r="A2439" s="45"/>
      <c r="B2439" s="45" t="s">
        <v>3802</v>
      </c>
      <c r="C2439" s="55">
        <v>45875</v>
      </c>
      <c r="D2439" s="45" t="s">
        <v>819</v>
      </c>
      <c r="E2439" s="45" t="s">
        <v>3849</v>
      </c>
      <c r="G2439" s="38"/>
      <c r="H2439" s="38">
        <v>89</v>
      </c>
    </row>
    <row r="2440" spans="1:8" ht="14.5" x14ac:dyDescent="0.35">
      <c r="A2440" s="45"/>
      <c r="B2440" s="45" t="s">
        <v>3802</v>
      </c>
      <c r="C2440" s="55">
        <v>45875</v>
      </c>
      <c r="D2440" s="45" t="s">
        <v>819</v>
      </c>
      <c r="E2440" s="45" t="s">
        <v>3850</v>
      </c>
      <c r="G2440" s="38"/>
      <c r="H2440" s="38">
        <v>105</v>
      </c>
    </row>
    <row r="2441" spans="1:8" ht="14.5" x14ac:dyDescent="0.35">
      <c r="A2441" s="45"/>
      <c r="B2441" s="45" t="s">
        <v>3802</v>
      </c>
      <c r="C2441" s="55">
        <v>45875</v>
      </c>
      <c r="D2441" s="45" t="s">
        <v>819</v>
      </c>
      <c r="E2441" s="45" t="s">
        <v>3851</v>
      </c>
      <c r="G2441" s="38"/>
      <c r="H2441" s="38">
        <v>89</v>
      </c>
    </row>
    <row r="2442" spans="1:8" ht="14.5" x14ac:dyDescent="0.35">
      <c r="A2442" s="45"/>
      <c r="B2442" s="45" t="s">
        <v>3802</v>
      </c>
      <c r="C2442" s="55">
        <v>45875</v>
      </c>
      <c r="D2442" s="45" t="s">
        <v>422</v>
      </c>
      <c r="E2442" s="45" t="s">
        <v>3852</v>
      </c>
      <c r="G2442" s="38"/>
      <c r="H2442" s="38">
        <v>78</v>
      </c>
    </row>
    <row r="2443" spans="1:8" ht="14.5" x14ac:dyDescent="0.35">
      <c r="A2443" s="45"/>
      <c r="B2443" s="45" t="s">
        <v>3802</v>
      </c>
      <c r="C2443" s="55">
        <v>45875</v>
      </c>
      <c r="D2443" s="45" t="s">
        <v>819</v>
      </c>
      <c r="E2443" s="45" t="s">
        <v>3853</v>
      </c>
      <c r="G2443" s="38"/>
      <c r="H2443" s="38">
        <v>178</v>
      </c>
    </row>
    <row r="2444" spans="1:8" ht="14.5" x14ac:dyDescent="0.35">
      <c r="A2444" s="45"/>
      <c r="B2444" s="45" t="s">
        <v>3802</v>
      </c>
      <c r="C2444" s="55">
        <v>45875</v>
      </c>
      <c r="D2444" s="45" t="s">
        <v>422</v>
      </c>
      <c r="E2444" s="45" t="s">
        <v>3721</v>
      </c>
      <c r="G2444" s="38"/>
      <c r="H2444" s="38">
        <v>216.7</v>
      </c>
    </row>
    <row r="2445" spans="1:8" ht="14.5" x14ac:dyDescent="0.35">
      <c r="A2445" s="45"/>
      <c r="B2445" s="45" t="s">
        <v>3802</v>
      </c>
      <c r="C2445" s="55">
        <v>45875</v>
      </c>
      <c r="D2445" s="45" t="s">
        <v>422</v>
      </c>
      <c r="E2445" s="45" t="s">
        <v>3723</v>
      </c>
      <c r="G2445" s="38"/>
      <c r="H2445" s="38">
        <v>266</v>
      </c>
    </row>
    <row r="2446" spans="1:8" ht="14.5" x14ac:dyDescent="0.35">
      <c r="A2446" s="45"/>
      <c r="B2446" s="45" t="s">
        <v>3802</v>
      </c>
      <c r="C2446" s="55">
        <v>45875</v>
      </c>
      <c r="D2446" s="45" t="s">
        <v>422</v>
      </c>
      <c r="E2446" s="45" t="s">
        <v>3854</v>
      </c>
      <c r="G2446" s="38"/>
      <c r="H2446" s="38">
        <v>210</v>
      </c>
    </row>
    <row r="2447" spans="1:8" ht="14.5" x14ac:dyDescent="0.35">
      <c r="A2447" s="45"/>
      <c r="B2447" s="45" t="s">
        <v>3802</v>
      </c>
      <c r="C2447" s="55">
        <v>45875</v>
      </c>
      <c r="D2447" s="45" t="s">
        <v>422</v>
      </c>
      <c r="E2447" s="45" t="s">
        <v>530</v>
      </c>
      <c r="G2447" s="38"/>
      <c r="H2447" s="38">
        <v>1568</v>
      </c>
    </row>
    <row r="2448" spans="1:8" ht="14.5" x14ac:dyDescent="0.35">
      <c r="A2448" s="45"/>
      <c r="B2448" s="45" t="s">
        <v>3802</v>
      </c>
      <c r="C2448" s="55">
        <v>45875</v>
      </c>
      <c r="D2448" s="45" t="s">
        <v>422</v>
      </c>
      <c r="E2448" s="45" t="s">
        <v>560</v>
      </c>
      <c r="G2448" s="38"/>
      <c r="H2448" s="38">
        <v>111</v>
      </c>
    </row>
    <row r="2449" spans="1:8" ht="14.5" x14ac:dyDescent="0.35">
      <c r="A2449" s="45"/>
      <c r="B2449" s="45" t="s">
        <v>3802</v>
      </c>
      <c r="C2449" s="55">
        <v>45875</v>
      </c>
      <c r="D2449" s="45" t="s">
        <v>422</v>
      </c>
      <c r="E2449" s="45" t="s">
        <v>3855</v>
      </c>
      <c r="G2449" s="38"/>
      <c r="H2449" s="38">
        <v>298</v>
      </c>
    </row>
    <row r="2450" spans="1:8" ht="14.5" x14ac:dyDescent="0.35">
      <c r="A2450" s="45"/>
      <c r="B2450" s="45" t="s">
        <v>3802</v>
      </c>
      <c r="C2450" s="55">
        <v>45875</v>
      </c>
      <c r="D2450" s="45" t="s">
        <v>422</v>
      </c>
      <c r="E2450" s="45" t="s">
        <v>527</v>
      </c>
      <c r="G2450" s="38"/>
      <c r="H2450" s="38">
        <v>3687.1000000000004</v>
      </c>
    </row>
    <row r="2451" spans="1:8" ht="14.5" x14ac:dyDescent="0.35">
      <c r="A2451" s="45"/>
      <c r="B2451" s="45" t="s">
        <v>3802</v>
      </c>
      <c r="C2451" s="55">
        <v>45875</v>
      </c>
      <c r="D2451" s="45" t="s">
        <v>422</v>
      </c>
      <c r="E2451" s="45" t="s">
        <v>3727</v>
      </c>
      <c r="G2451" s="38"/>
      <c r="H2451" s="38">
        <v>159</v>
      </c>
    </row>
    <row r="2452" spans="1:8" ht="14.5" x14ac:dyDescent="0.35">
      <c r="A2452" s="45"/>
      <c r="B2452" s="45" t="s">
        <v>3802</v>
      </c>
      <c r="C2452" s="55">
        <v>45875</v>
      </c>
      <c r="D2452" s="45" t="s">
        <v>819</v>
      </c>
      <c r="E2452" s="45" t="s">
        <v>832</v>
      </c>
      <c r="G2452" s="38"/>
      <c r="H2452" s="38">
        <v>3123</v>
      </c>
    </row>
    <row r="2453" spans="1:8" ht="14.5" x14ac:dyDescent="0.35">
      <c r="A2453" s="45"/>
      <c r="B2453" s="45" t="s">
        <v>3802</v>
      </c>
      <c r="C2453" s="55">
        <v>45875</v>
      </c>
      <c r="D2453" s="45" t="s">
        <v>422</v>
      </c>
      <c r="E2453" s="45" t="s">
        <v>3618</v>
      </c>
      <c r="G2453" s="38"/>
      <c r="H2453" s="38">
        <v>86</v>
      </c>
    </row>
    <row r="2454" spans="1:8" ht="14.5" x14ac:dyDescent="0.35">
      <c r="A2454" s="45"/>
      <c r="B2454" s="45" t="s">
        <v>3802</v>
      </c>
      <c r="C2454" s="55">
        <v>45875</v>
      </c>
      <c r="D2454" s="45" t="s">
        <v>422</v>
      </c>
      <c r="E2454" s="45" t="s">
        <v>3856</v>
      </c>
      <c r="G2454" s="38"/>
      <c r="H2454" s="38">
        <v>64</v>
      </c>
    </row>
    <row r="2455" spans="1:8" ht="14.5" x14ac:dyDescent="0.35">
      <c r="A2455" s="45"/>
      <c r="B2455" s="45" t="s">
        <v>3802</v>
      </c>
      <c r="C2455" s="55">
        <v>45875</v>
      </c>
      <c r="D2455" s="45" t="s">
        <v>17</v>
      </c>
      <c r="E2455" s="45">
        <v>20250213</v>
      </c>
      <c r="G2455" s="38"/>
      <c r="H2455" s="38">
        <v>2100</v>
      </c>
    </row>
    <row r="2456" spans="1:8" ht="14.5" x14ac:dyDescent="0.35">
      <c r="A2456" s="45"/>
      <c r="B2456" s="45" t="s">
        <v>3802</v>
      </c>
      <c r="C2456" s="55">
        <v>45875</v>
      </c>
      <c r="D2456" s="45" t="s">
        <v>422</v>
      </c>
      <c r="E2456" s="45" t="s">
        <v>556</v>
      </c>
      <c r="G2456" s="38"/>
      <c r="H2456" s="38">
        <v>86</v>
      </c>
    </row>
    <row r="2457" spans="1:8" ht="14.5" x14ac:dyDescent="0.35">
      <c r="A2457" s="45"/>
      <c r="B2457" s="45" t="s">
        <v>3802</v>
      </c>
      <c r="C2457" s="55">
        <v>45875</v>
      </c>
      <c r="D2457" s="45" t="s">
        <v>819</v>
      </c>
      <c r="E2457" s="45" t="s">
        <v>3857</v>
      </c>
      <c r="G2457" s="38"/>
      <c r="H2457" s="38">
        <v>89</v>
      </c>
    </row>
    <row r="2458" spans="1:8" ht="14.5" x14ac:dyDescent="0.35">
      <c r="A2458" s="45"/>
      <c r="B2458" s="45" t="s">
        <v>3802</v>
      </c>
      <c r="C2458" s="55">
        <v>45875</v>
      </c>
      <c r="D2458" s="45" t="s">
        <v>819</v>
      </c>
      <c r="E2458" s="45" t="s">
        <v>3858</v>
      </c>
      <c r="G2458" s="38"/>
      <c r="H2458" s="38">
        <v>685</v>
      </c>
    </row>
    <row r="2459" spans="1:8" ht="14.5" x14ac:dyDescent="0.35">
      <c r="A2459" s="45"/>
      <c r="B2459" s="45" t="s">
        <v>3802</v>
      </c>
      <c r="C2459" s="55">
        <v>45875</v>
      </c>
      <c r="D2459" s="45" t="s">
        <v>422</v>
      </c>
      <c r="E2459" s="45" t="s">
        <v>3793</v>
      </c>
      <c r="G2459" s="38"/>
      <c r="H2459" s="38">
        <v>131.41999999999999</v>
      </c>
    </row>
    <row r="2460" spans="1:8" ht="14.5" x14ac:dyDescent="0.35">
      <c r="A2460" s="45"/>
      <c r="B2460" s="45" t="s">
        <v>3802</v>
      </c>
      <c r="C2460" s="55">
        <v>45875</v>
      </c>
      <c r="D2460" s="45" t="s">
        <v>422</v>
      </c>
      <c r="E2460" s="45" t="s">
        <v>3859</v>
      </c>
      <c r="G2460" s="38"/>
      <c r="H2460" s="38">
        <v>78</v>
      </c>
    </row>
    <row r="2461" spans="1:8" ht="14.5" x14ac:dyDescent="0.35">
      <c r="A2461" s="45"/>
      <c r="B2461" s="45" t="s">
        <v>3802</v>
      </c>
      <c r="C2461" s="55">
        <v>45875</v>
      </c>
      <c r="D2461" s="45" t="s">
        <v>422</v>
      </c>
      <c r="E2461" s="45" t="s">
        <v>3860</v>
      </c>
      <c r="G2461" s="38"/>
      <c r="H2461" s="38">
        <v>78</v>
      </c>
    </row>
    <row r="2462" spans="1:8" ht="14.5" x14ac:dyDescent="0.35">
      <c r="A2462" s="45"/>
      <c r="B2462" s="45" t="s">
        <v>3802</v>
      </c>
      <c r="C2462" s="55">
        <v>45875</v>
      </c>
      <c r="D2462" s="45" t="s">
        <v>422</v>
      </c>
      <c r="E2462" s="45" t="s">
        <v>548</v>
      </c>
      <c r="G2462" s="38"/>
      <c r="H2462" s="38">
        <v>203</v>
      </c>
    </row>
    <row r="2463" spans="1:8" ht="14.5" x14ac:dyDescent="0.35">
      <c r="A2463" s="45"/>
      <c r="B2463" s="45" t="s">
        <v>3802</v>
      </c>
      <c r="C2463" s="55">
        <v>45875</v>
      </c>
      <c r="D2463" s="45" t="s">
        <v>422</v>
      </c>
      <c r="E2463" s="45" t="s">
        <v>3861</v>
      </c>
      <c r="G2463" s="38"/>
      <c r="H2463" s="38">
        <v>203</v>
      </c>
    </row>
    <row r="2464" spans="1:8" ht="14.5" x14ac:dyDescent="0.35">
      <c r="A2464" s="45"/>
      <c r="B2464" s="45" t="s">
        <v>3802</v>
      </c>
      <c r="C2464" s="55">
        <v>45875</v>
      </c>
      <c r="D2464" s="45" t="s">
        <v>422</v>
      </c>
      <c r="E2464" s="45" t="s">
        <v>3862</v>
      </c>
      <c r="G2464" s="38"/>
      <c r="H2464" s="38">
        <v>406</v>
      </c>
    </row>
    <row r="2465" spans="1:8" ht="14.5" x14ac:dyDescent="0.35">
      <c r="A2465" s="45"/>
      <c r="B2465" s="45" t="s">
        <v>3802</v>
      </c>
      <c r="C2465" s="55">
        <v>45875</v>
      </c>
      <c r="D2465" s="45" t="s">
        <v>422</v>
      </c>
      <c r="E2465" s="45" t="s">
        <v>3622</v>
      </c>
      <c r="G2465" s="38"/>
      <c r="H2465" s="38">
        <v>87</v>
      </c>
    </row>
    <row r="2466" spans="1:8" ht="14.5" x14ac:dyDescent="0.35">
      <c r="A2466" s="45"/>
      <c r="B2466" s="45" t="s">
        <v>3802</v>
      </c>
      <c r="C2466" s="55">
        <v>45875</v>
      </c>
      <c r="D2466" s="45" t="s">
        <v>422</v>
      </c>
      <c r="E2466" s="45" t="s">
        <v>3623</v>
      </c>
      <c r="G2466" s="38"/>
      <c r="H2466" s="38">
        <v>221</v>
      </c>
    </row>
    <row r="2467" spans="1:8" ht="14.5" x14ac:dyDescent="0.35">
      <c r="A2467" s="45"/>
      <c r="B2467" s="45" t="s">
        <v>3802</v>
      </c>
      <c r="C2467" s="55">
        <v>45875</v>
      </c>
      <c r="D2467" s="45" t="s">
        <v>422</v>
      </c>
      <c r="E2467" s="45" t="s">
        <v>542</v>
      </c>
      <c r="G2467" s="38"/>
      <c r="H2467" s="38">
        <v>610</v>
      </c>
    </row>
    <row r="2468" spans="1:8" ht="14.5" x14ac:dyDescent="0.35">
      <c r="A2468" s="45"/>
      <c r="B2468" s="45" t="s">
        <v>3802</v>
      </c>
      <c r="C2468" s="55">
        <v>45875</v>
      </c>
      <c r="D2468" s="45" t="s">
        <v>819</v>
      </c>
      <c r="E2468" s="45" t="s">
        <v>3600</v>
      </c>
      <c r="G2468" s="38"/>
      <c r="H2468" s="38">
        <v>324</v>
      </c>
    </row>
    <row r="2469" spans="1:8" ht="14.5" x14ac:dyDescent="0.35">
      <c r="A2469" s="45"/>
      <c r="B2469" s="45" t="s">
        <v>3802</v>
      </c>
      <c r="C2469" s="55">
        <v>45875</v>
      </c>
      <c r="D2469" s="45" t="s">
        <v>819</v>
      </c>
      <c r="E2469" s="45" t="s">
        <v>3863</v>
      </c>
      <c r="G2469" s="38"/>
      <c r="H2469" s="38">
        <v>110</v>
      </c>
    </row>
    <row r="2470" spans="1:8" ht="14.5" x14ac:dyDescent="0.35">
      <c r="A2470" s="45"/>
      <c r="B2470" s="45" t="s">
        <v>3802</v>
      </c>
      <c r="C2470" s="55">
        <v>45875</v>
      </c>
      <c r="D2470" s="45" t="s">
        <v>422</v>
      </c>
      <c r="E2470" s="45" t="s">
        <v>3864</v>
      </c>
      <c r="G2470" s="38"/>
      <c r="H2470" s="38">
        <v>39</v>
      </c>
    </row>
    <row r="2471" spans="1:8" ht="14.5" x14ac:dyDescent="0.35">
      <c r="A2471" s="45"/>
      <c r="B2471" s="45" t="s">
        <v>3802</v>
      </c>
      <c r="C2471" s="55">
        <v>45875</v>
      </c>
      <c r="D2471" s="45" t="s">
        <v>422</v>
      </c>
      <c r="E2471" s="45" t="s">
        <v>3865</v>
      </c>
      <c r="G2471" s="38"/>
      <c r="H2471" s="38">
        <v>38</v>
      </c>
    </row>
    <row r="2472" spans="1:8" ht="14.5" x14ac:dyDescent="0.35">
      <c r="A2472" s="45"/>
      <c r="B2472" s="45" t="s">
        <v>3802</v>
      </c>
      <c r="C2472" s="55">
        <v>45875</v>
      </c>
      <c r="D2472" s="45" t="s">
        <v>422</v>
      </c>
      <c r="E2472" s="45" t="s">
        <v>3866</v>
      </c>
      <c r="G2472" s="38"/>
      <c r="H2472" s="38">
        <v>39</v>
      </c>
    </row>
    <row r="2473" spans="1:8" ht="14.5" x14ac:dyDescent="0.35">
      <c r="A2473" s="45"/>
      <c r="B2473" s="45" t="s">
        <v>3802</v>
      </c>
      <c r="C2473" s="55">
        <v>45875</v>
      </c>
      <c r="D2473" s="45" t="s">
        <v>422</v>
      </c>
      <c r="E2473" s="45" t="s">
        <v>561</v>
      </c>
      <c r="G2473" s="38"/>
      <c r="H2473" s="38">
        <v>104</v>
      </c>
    </row>
    <row r="2474" spans="1:8" ht="14.5" x14ac:dyDescent="0.35">
      <c r="A2474" s="45"/>
      <c r="B2474" s="45" t="s">
        <v>3802</v>
      </c>
      <c r="C2474" s="55">
        <v>45875</v>
      </c>
      <c r="D2474" s="45" t="s">
        <v>422</v>
      </c>
      <c r="E2474" s="45" t="s">
        <v>3627</v>
      </c>
      <c r="G2474" s="38"/>
      <c r="H2474" s="38">
        <v>113</v>
      </c>
    </row>
    <row r="2475" spans="1:8" ht="14.5" x14ac:dyDescent="0.35">
      <c r="A2475" s="45"/>
      <c r="B2475" s="45" t="s">
        <v>3802</v>
      </c>
      <c r="C2475" s="55">
        <v>45875</v>
      </c>
      <c r="D2475" s="45" t="s">
        <v>422</v>
      </c>
      <c r="E2475" s="45" t="s">
        <v>3867</v>
      </c>
      <c r="G2475" s="38"/>
      <c r="H2475" s="38">
        <v>648.76</v>
      </c>
    </row>
    <row r="2476" spans="1:8" ht="14.5" x14ac:dyDescent="0.35">
      <c r="A2476" s="45"/>
      <c r="B2476" s="45" t="s">
        <v>3802</v>
      </c>
      <c r="C2476" s="55">
        <v>45875</v>
      </c>
      <c r="D2476" s="45" t="s">
        <v>422</v>
      </c>
      <c r="E2476" s="45" t="s">
        <v>3868</v>
      </c>
      <c r="G2476" s="38"/>
      <c r="H2476" s="38">
        <v>38</v>
      </c>
    </row>
    <row r="2477" spans="1:8" ht="14.5" x14ac:dyDescent="0.35">
      <c r="A2477" s="45"/>
      <c r="B2477" s="45" t="s">
        <v>3802</v>
      </c>
      <c r="C2477" s="55">
        <v>45875</v>
      </c>
      <c r="D2477" s="45" t="s">
        <v>17</v>
      </c>
      <c r="E2477" s="45">
        <v>20250263</v>
      </c>
      <c r="G2477" s="38"/>
      <c r="H2477" s="38">
        <v>650</v>
      </c>
    </row>
    <row r="2478" spans="1:8" ht="14.5" x14ac:dyDescent="0.35">
      <c r="A2478" s="45"/>
      <c r="B2478" s="45" t="s">
        <v>3802</v>
      </c>
      <c r="C2478" s="55">
        <v>45875</v>
      </c>
      <c r="D2478" s="45" t="s">
        <v>422</v>
      </c>
      <c r="E2478" s="45" t="s">
        <v>3629</v>
      </c>
      <c r="G2478" s="38"/>
      <c r="H2478" s="38">
        <v>268</v>
      </c>
    </row>
    <row r="2479" spans="1:8" ht="14.5" x14ac:dyDescent="0.35">
      <c r="A2479" s="45"/>
      <c r="B2479" s="45" t="s">
        <v>3802</v>
      </c>
      <c r="C2479" s="55">
        <v>45875</v>
      </c>
      <c r="D2479" s="45" t="s">
        <v>819</v>
      </c>
      <c r="E2479" s="45" t="s">
        <v>835</v>
      </c>
      <c r="G2479" s="38"/>
      <c r="H2479" s="38">
        <v>648</v>
      </c>
    </row>
    <row r="2480" spans="1:8" ht="14.5" x14ac:dyDescent="0.35">
      <c r="A2480" s="45"/>
      <c r="B2480" s="45" t="s">
        <v>3802</v>
      </c>
      <c r="C2480" s="55">
        <v>45875</v>
      </c>
      <c r="D2480" s="45" t="s">
        <v>422</v>
      </c>
      <c r="E2480" s="45" t="s">
        <v>3869</v>
      </c>
      <c r="G2480" s="38"/>
      <c r="H2480" s="38">
        <v>78</v>
      </c>
    </row>
    <row r="2481" spans="1:8" ht="14.5" x14ac:dyDescent="0.35">
      <c r="A2481" s="45"/>
      <c r="B2481" s="45" t="s">
        <v>3802</v>
      </c>
      <c r="C2481" s="55">
        <v>45875</v>
      </c>
      <c r="D2481" s="45" t="s">
        <v>422</v>
      </c>
      <c r="E2481" s="45" t="s">
        <v>3630</v>
      </c>
      <c r="G2481" s="38"/>
      <c r="H2481" s="38">
        <v>111</v>
      </c>
    </row>
    <row r="2482" spans="1:8" ht="14.5" x14ac:dyDescent="0.35">
      <c r="A2482" s="45"/>
      <c r="B2482" s="45" t="s">
        <v>3802</v>
      </c>
      <c r="C2482" s="55">
        <v>45875</v>
      </c>
      <c r="D2482" s="45" t="s">
        <v>422</v>
      </c>
      <c r="E2482" s="45" t="s">
        <v>3870</v>
      </c>
      <c r="G2482" s="38"/>
      <c r="H2482" s="38">
        <v>203</v>
      </c>
    </row>
    <row r="2483" spans="1:8" ht="14.5" x14ac:dyDescent="0.35">
      <c r="A2483" s="45"/>
      <c r="B2483" s="45" t="s">
        <v>3802</v>
      </c>
      <c r="C2483" s="55">
        <v>45875</v>
      </c>
      <c r="D2483" s="45" t="s">
        <v>422</v>
      </c>
      <c r="E2483" s="45" t="s">
        <v>3871</v>
      </c>
      <c r="G2483" s="38"/>
      <c r="H2483" s="38">
        <v>93</v>
      </c>
    </row>
    <row r="2484" spans="1:8" ht="14.5" x14ac:dyDescent="0.35">
      <c r="A2484" s="45"/>
      <c r="B2484" s="45" t="s">
        <v>3802</v>
      </c>
      <c r="C2484" s="55">
        <v>45875</v>
      </c>
      <c r="D2484" s="45" t="s">
        <v>422</v>
      </c>
      <c r="E2484" s="45" t="s">
        <v>3872</v>
      </c>
      <c r="G2484" s="38"/>
      <c r="H2484" s="38">
        <v>78</v>
      </c>
    </row>
    <row r="2485" spans="1:8" ht="14.5" x14ac:dyDescent="0.35">
      <c r="A2485" s="45"/>
      <c r="B2485" s="45" t="s">
        <v>3802</v>
      </c>
      <c r="C2485" s="55">
        <v>45875</v>
      </c>
      <c r="D2485" s="45" t="s">
        <v>422</v>
      </c>
      <c r="E2485" s="45" t="s">
        <v>3873</v>
      </c>
      <c r="G2485" s="38"/>
      <c r="H2485" s="38">
        <v>78</v>
      </c>
    </row>
    <row r="2486" spans="1:8" ht="14.5" x14ac:dyDescent="0.35">
      <c r="A2486" s="45"/>
      <c r="B2486" s="45" t="s">
        <v>3802</v>
      </c>
      <c r="C2486" s="55">
        <v>45875</v>
      </c>
      <c r="D2486" s="45" t="s">
        <v>819</v>
      </c>
      <c r="E2486" s="45" t="s">
        <v>3609</v>
      </c>
      <c r="G2486" s="38"/>
      <c r="H2486" s="38">
        <v>110</v>
      </c>
    </row>
    <row r="2487" spans="1:8" ht="14.5" x14ac:dyDescent="0.35">
      <c r="A2487" s="45"/>
      <c r="B2487" s="45" t="s">
        <v>3802</v>
      </c>
      <c r="C2487" s="55">
        <v>45875</v>
      </c>
      <c r="D2487" s="45" t="s">
        <v>422</v>
      </c>
      <c r="E2487" s="45" t="s">
        <v>3874</v>
      </c>
      <c r="G2487" s="38"/>
      <c r="H2487" s="38">
        <v>93</v>
      </c>
    </row>
    <row r="2488" spans="1:8" ht="14.5" x14ac:dyDescent="0.35">
      <c r="A2488" s="45"/>
      <c r="B2488" s="45" t="s">
        <v>3802</v>
      </c>
      <c r="C2488" s="55">
        <v>45875</v>
      </c>
      <c r="D2488" s="45" t="s">
        <v>819</v>
      </c>
      <c r="E2488" s="45" t="s">
        <v>3875</v>
      </c>
      <c r="G2488" s="38"/>
      <c r="H2488" s="38">
        <v>110</v>
      </c>
    </row>
    <row r="2489" spans="1:8" ht="14.5" x14ac:dyDescent="0.35">
      <c r="A2489" s="45"/>
      <c r="B2489" s="45" t="s">
        <v>3802</v>
      </c>
      <c r="C2489" s="55">
        <v>45875</v>
      </c>
      <c r="D2489" s="45" t="s">
        <v>422</v>
      </c>
      <c r="E2489" s="45" t="s">
        <v>598</v>
      </c>
      <c r="G2489" s="38"/>
      <c r="H2489" s="38">
        <v>78</v>
      </c>
    </row>
    <row r="2490" spans="1:8" ht="14.5" x14ac:dyDescent="0.35">
      <c r="A2490" s="45"/>
      <c r="B2490" s="45" t="s">
        <v>3802</v>
      </c>
      <c r="C2490" s="55">
        <v>45875</v>
      </c>
      <c r="D2490" s="45" t="s">
        <v>422</v>
      </c>
      <c r="E2490" s="45" t="s">
        <v>3876</v>
      </c>
      <c r="G2490" s="38"/>
      <c r="H2490" s="38">
        <v>78</v>
      </c>
    </row>
    <row r="2491" spans="1:8" ht="14.5" x14ac:dyDescent="0.35">
      <c r="A2491" s="45"/>
      <c r="B2491" s="45" t="s">
        <v>3802</v>
      </c>
      <c r="C2491" s="55">
        <v>45875</v>
      </c>
      <c r="D2491" s="45" t="s">
        <v>422</v>
      </c>
      <c r="E2491" s="45" t="s">
        <v>3877</v>
      </c>
      <c r="G2491" s="38"/>
      <c r="H2491" s="38">
        <v>324.38</v>
      </c>
    </row>
    <row r="2492" spans="1:8" ht="14.5" x14ac:dyDescent="0.35">
      <c r="A2492" s="45"/>
      <c r="B2492" s="45" t="s">
        <v>3802</v>
      </c>
      <c r="C2492" s="55">
        <v>45875</v>
      </c>
      <c r="D2492" s="45" t="s">
        <v>819</v>
      </c>
      <c r="E2492" s="45" t="s">
        <v>3878</v>
      </c>
      <c r="G2492" s="38"/>
      <c r="H2492" s="38">
        <v>105</v>
      </c>
    </row>
    <row r="2493" spans="1:8" ht="14.5" x14ac:dyDescent="0.35">
      <c r="A2493" s="45"/>
      <c r="B2493" s="45" t="s">
        <v>3802</v>
      </c>
      <c r="C2493" s="55">
        <v>45875</v>
      </c>
      <c r="D2493" s="45" t="s">
        <v>819</v>
      </c>
      <c r="E2493" s="45" t="s">
        <v>3879</v>
      </c>
      <c r="G2493" s="38"/>
      <c r="H2493" s="38">
        <v>219</v>
      </c>
    </row>
    <row r="2494" spans="1:8" ht="14.5" x14ac:dyDescent="0.35">
      <c r="A2494" s="45"/>
      <c r="B2494" s="45" t="s">
        <v>3802</v>
      </c>
      <c r="C2494" s="55">
        <v>45875</v>
      </c>
      <c r="D2494" s="45" t="s">
        <v>422</v>
      </c>
      <c r="E2494" s="45" t="s">
        <v>3880</v>
      </c>
      <c r="G2494" s="38"/>
      <c r="H2494" s="38">
        <v>78</v>
      </c>
    </row>
    <row r="2495" spans="1:8" ht="14.5" x14ac:dyDescent="0.35">
      <c r="A2495" s="45"/>
      <c r="B2495" s="45" t="s">
        <v>3802</v>
      </c>
      <c r="C2495" s="55">
        <v>45875</v>
      </c>
      <c r="D2495" s="45" t="s">
        <v>819</v>
      </c>
      <c r="E2495" s="45" t="s">
        <v>3881</v>
      </c>
      <c r="G2495" s="38"/>
      <c r="H2495" s="38">
        <v>500</v>
      </c>
    </row>
    <row r="2496" spans="1:8" ht="14.5" x14ac:dyDescent="0.35">
      <c r="A2496" s="45"/>
      <c r="B2496" s="45" t="s">
        <v>3802</v>
      </c>
      <c r="C2496" s="55">
        <v>45875</v>
      </c>
      <c r="D2496" s="45" t="s">
        <v>422</v>
      </c>
      <c r="E2496" s="45" t="s">
        <v>3882</v>
      </c>
      <c r="G2496" s="38"/>
      <c r="H2496" s="38">
        <v>850</v>
      </c>
    </row>
    <row r="2497" spans="1:8" ht="14.5" x14ac:dyDescent="0.35">
      <c r="A2497" s="45"/>
      <c r="B2497" s="45" t="s">
        <v>3802</v>
      </c>
      <c r="C2497" s="55">
        <v>45875</v>
      </c>
      <c r="D2497" s="45" t="s">
        <v>716</v>
      </c>
      <c r="E2497" s="45" t="s">
        <v>725</v>
      </c>
      <c r="G2497" s="38"/>
      <c r="H2497" s="38">
        <v>4924</v>
      </c>
    </row>
    <row r="2498" spans="1:8" ht="14.5" x14ac:dyDescent="0.35">
      <c r="A2498" s="45"/>
      <c r="B2498" s="45" t="s">
        <v>3802</v>
      </c>
      <c r="C2498" s="55">
        <v>45875</v>
      </c>
      <c r="D2498" s="45" t="s">
        <v>819</v>
      </c>
      <c r="E2498" s="45" t="s">
        <v>3883</v>
      </c>
      <c r="G2498" s="38"/>
      <c r="H2498" s="38">
        <v>500</v>
      </c>
    </row>
    <row r="2499" spans="1:8" ht="14.5" x14ac:dyDescent="0.35">
      <c r="A2499" s="45"/>
      <c r="B2499" s="45" t="s">
        <v>3802</v>
      </c>
      <c r="C2499" s="55">
        <v>45875</v>
      </c>
      <c r="D2499" s="45" t="s">
        <v>422</v>
      </c>
      <c r="E2499" s="45" t="s">
        <v>3776</v>
      </c>
      <c r="G2499" s="38"/>
      <c r="H2499" s="38">
        <v>313.5</v>
      </c>
    </row>
    <row r="2500" spans="1:8" ht="14.5" x14ac:dyDescent="0.35">
      <c r="A2500" s="45"/>
      <c r="B2500" s="45" t="s">
        <v>3802</v>
      </c>
      <c r="C2500" s="55">
        <v>45875</v>
      </c>
      <c r="D2500" s="45" t="s">
        <v>819</v>
      </c>
      <c r="E2500" s="45" t="s">
        <v>3884</v>
      </c>
      <c r="G2500" s="38"/>
      <c r="H2500" s="38">
        <v>109</v>
      </c>
    </row>
    <row r="2501" spans="1:8" ht="14.5" x14ac:dyDescent="0.35">
      <c r="A2501" s="45"/>
      <c r="B2501" s="45" t="s">
        <v>3802</v>
      </c>
      <c r="C2501" s="55">
        <v>45875</v>
      </c>
      <c r="D2501" s="45" t="s">
        <v>34</v>
      </c>
      <c r="E2501" s="45" t="s">
        <v>38</v>
      </c>
      <c r="G2501" s="38"/>
      <c r="H2501" s="38">
        <v>3537</v>
      </c>
    </row>
    <row r="2502" spans="1:8" ht="14.5" x14ac:dyDescent="0.35">
      <c r="A2502" s="45"/>
      <c r="B2502" s="45" t="s">
        <v>3802</v>
      </c>
      <c r="C2502" s="55">
        <v>45876</v>
      </c>
      <c r="D2502" s="45" t="s">
        <v>913</v>
      </c>
      <c r="E2502" s="45" t="s">
        <v>3885</v>
      </c>
      <c r="G2502" s="38"/>
      <c r="H2502" s="38">
        <v>1380</v>
      </c>
    </row>
    <row r="2503" spans="1:8" ht="14.5" x14ac:dyDescent="0.35">
      <c r="A2503" s="45"/>
      <c r="B2503" s="45" t="s">
        <v>3802</v>
      </c>
      <c r="C2503" s="55">
        <v>45876</v>
      </c>
      <c r="D2503" s="45" t="s">
        <v>422</v>
      </c>
      <c r="E2503" s="45" t="s">
        <v>426</v>
      </c>
      <c r="G2503" s="38"/>
      <c r="H2503" s="38">
        <v>299.7</v>
      </c>
    </row>
    <row r="2504" spans="1:8" ht="14.5" x14ac:dyDescent="0.35">
      <c r="A2504" s="45"/>
      <c r="B2504" s="45" t="s">
        <v>3802</v>
      </c>
      <c r="C2504" s="55">
        <v>45876</v>
      </c>
      <c r="D2504" s="45" t="s">
        <v>96</v>
      </c>
      <c r="E2504" s="45" t="s">
        <v>3886</v>
      </c>
      <c r="G2504" s="38"/>
      <c r="H2504" s="38">
        <v>1320</v>
      </c>
    </row>
    <row r="2505" spans="1:8" ht="14.5" x14ac:dyDescent="0.35">
      <c r="A2505" s="45"/>
      <c r="B2505" s="45" t="s">
        <v>3802</v>
      </c>
      <c r="C2505" s="55">
        <v>45876</v>
      </c>
      <c r="D2505" s="45" t="s">
        <v>422</v>
      </c>
      <c r="E2505" s="45" t="s">
        <v>3673</v>
      </c>
      <c r="G2505" s="38"/>
      <c r="H2505" s="38">
        <v>700.89</v>
      </c>
    </row>
    <row r="2506" spans="1:8" ht="14.5" x14ac:dyDescent="0.35">
      <c r="A2506" s="45"/>
      <c r="B2506" s="45" t="s">
        <v>3802</v>
      </c>
      <c r="C2506" s="55">
        <v>45876</v>
      </c>
      <c r="D2506" s="45" t="s">
        <v>422</v>
      </c>
      <c r="E2506" s="45" t="s">
        <v>3626</v>
      </c>
      <c r="G2506" s="38"/>
      <c r="H2506" s="38">
        <v>251.7</v>
      </c>
    </row>
    <row r="2507" spans="1:8" ht="14.5" x14ac:dyDescent="0.35">
      <c r="A2507" s="45"/>
      <c r="B2507" s="45" t="s">
        <v>3802</v>
      </c>
      <c r="C2507" s="55">
        <v>45876</v>
      </c>
      <c r="D2507" s="45" t="s">
        <v>17</v>
      </c>
      <c r="E2507" s="45">
        <v>20250275</v>
      </c>
      <c r="G2507" s="38"/>
      <c r="H2507" s="38">
        <v>650</v>
      </c>
    </row>
    <row r="2508" spans="1:8" ht="14.5" x14ac:dyDescent="0.35">
      <c r="A2508" s="45"/>
      <c r="B2508" s="45" t="s">
        <v>3802</v>
      </c>
      <c r="C2508" s="55">
        <v>45876</v>
      </c>
      <c r="D2508" s="45" t="s">
        <v>422</v>
      </c>
      <c r="E2508" s="45" t="s">
        <v>3887</v>
      </c>
      <c r="G2508" s="38"/>
      <c r="H2508" s="38">
        <v>251.7</v>
      </c>
    </row>
    <row r="2509" spans="1:8" ht="14.5" x14ac:dyDescent="0.35">
      <c r="A2509" s="45"/>
      <c r="B2509" s="45" t="s">
        <v>3802</v>
      </c>
      <c r="C2509" s="55">
        <v>45876</v>
      </c>
      <c r="D2509" s="45" t="s">
        <v>422</v>
      </c>
      <c r="E2509" s="45" t="s">
        <v>3888</v>
      </c>
      <c r="G2509" s="38"/>
      <c r="H2509" s="38">
        <v>251.7</v>
      </c>
    </row>
    <row r="2510" spans="1:8" ht="14.5" x14ac:dyDescent="0.35">
      <c r="A2510" s="45"/>
      <c r="B2510" s="45" t="s">
        <v>3802</v>
      </c>
      <c r="C2510" s="55">
        <v>45876</v>
      </c>
      <c r="D2510" s="45" t="s">
        <v>927</v>
      </c>
      <c r="E2510" s="45" t="s">
        <v>3632</v>
      </c>
      <c r="G2510" s="38"/>
      <c r="H2510" s="38">
        <v>108</v>
      </c>
    </row>
    <row r="2511" spans="1:8" ht="14.5" x14ac:dyDescent="0.35">
      <c r="A2511" s="45"/>
      <c r="B2511" s="45" t="s">
        <v>3802</v>
      </c>
      <c r="C2511" s="55">
        <v>45876</v>
      </c>
      <c r="D2511" s="45" t="s">
        <v>422</v>
      </c>
      <c r="E2511" s="45" t="s">
        <v>3889</v>
      </c>
      <c r="G2511" s="38"/>
      <c r="H2511" s="38">
        <v>503.75</v>
      </c>
    </row>
    <row r="2512" spans="1:8" ht="14.5" x14ac:dyDescent="0.35">
      <c r="A2512" s="45"/>
      <c r="B2512" s="45" t="s">
        <v>3802</v>
      </c>
      <c r="C2512" s="55">
        <v>45876</v>
      </c>
      <c r="D2512" s="45" t="s">
        <v>422</v>
      </c>
      <c r="E2512" s="45" t="s">
        <v>3890</v>
      </c>
      <c r="G2512" s="38"/>
      <c r="H2512" s="38">
        <v>251.7</v>
      </c>
    </row>
    <row r="2513" spans="1:8" ht="14.5" x14ac:dyDescent="0.35">
      <c r="A2513" s="45"/>
      <c r="B2513" s="45" t="s">
        <v>3802</v>
      </c>
      <c r="C2513" s="55">
        <v>45876</v>
      </c>
      <c r="D2513" s="45" t="s">
        <v>819</v>
      </c>
      <c r="E2513" s="45" t="s">
        <v>3891</v>
      </c>
      <c r="G2513" s="38"/>
      <c r="H2513" s="38">
        <v>730</v>
      </c>
    </row>
    <row r="2514" spans="1:8" ht="14.5" x14ac:dyDescent="0.35">
      <c r="A2514" s="45"/>
      <c r="B2514" s="45" t="s">
        <v>3802</v>
      </c>
      <c r="C2514" s="55">
        <v>45876</v>
      </c>
      <c r="D2514" s="45" t="s">
        <v>927</v>
      </c>
      <c r="E2514" s="45" t="s">
        <v>3635</v>
      </c>
      <c r="G2514" s="38"/>
      <c r="H2514" s="38">
        <v>108</v>
      </c>
    </row>
    <row r="2515" spans="1:8" ht="14.5" x14ac:dyDescent="0.35">
      <c r="A2515" s="45"/>
      <c r="B2515" s="45" t="s">
        <v>3802</v>
      </c>
      <c r="C2515" s="55">
        <v>45876</v>
      </c>
      <c r="D2515" s="45" t="s">
        <v>422</v>
      </c>
      <c r="E2515" s="45" t="s">
        <v>3615</v>
      </c>
      <c r="G2515" s="38"/>
      <c r="H2515" s="38">
        <v>650</v>
      </c>
    </row>
    <row r="2516" spans="1:8" ht="14.5" x14ac:dyDescent="0.35">
      <c r="A2516" s="45"/>
      <c r="B2516" s="45" t="s">
        <v>3802</v>
      </c>
      <c r="C2516" s="55">
        <v>45876</v>
      </c>
      <c r="D2516" s="45" t="s">
        <v>34</v>
      </c>
      <c r="E2516" s="45" t="s">
        <v>41</v>
      </c>
      <c r="G2516" s="38"/>
      <c r="H2516" s="38">
        <v>7280.92</v>
      </c>
    </row>
    <row r="2517" spans="1:8" ht="14.5" x14ac:dyDescent="0.35">
      <c r="A2517" s="45"/>
      <c r="B2517" s="45" t="s">
        <v>3802</v>
      </c>
      <c r="C2517" s="55">
        <v>45876</v>
      </c>
      <c r="D2517" s="45" t="s">
        <v>422</v>
      </c>
      <c r="E2517" s="45" t="s">
        <v>3892</v>
      </c>
      <c r="G2517" s="38"/>
      <c r="H2517" s="38">
        <v>251.7</v>
      </c>
    </row>
    <row r="2518" spans="1:8" ht="14.5" x14ac:dyDescent="0.35">
      <c r="A2518" s="45"/>
      <c r="B2518" s="45" t="s">
        <v>3802</v>
      </c>
      <c r="C2518" s="55">
        <v>45876</v>
      </c>
      <c r="D2518" s="45" t="s">
        <v>34</v>
      </c>
      <c r="E2518" s="45" t="s">
        <v>39</v>
      </c>
      <c r="G2518" s="38"/>
      <c r="H2518" s="38">
        <v>4657</v>
      </c>
    </row>
    <row r="2519" spans="1:8" ht="14.5" x14ac:dyDescent="0.35">
      <c r="A2519" s="45"/>
      <c r="B2519" s="45" t="s">
        <v>3802</v>
      </c>
      <c r="C2519" s="55">
        <v>45876</v>
      </c>
      <c r="D2519" s="45" t="s">
        <v>927</v>
      </c>
      <c r="E2519" s="45" t="s">
        <v>3636</v>
      </c>
      <c r="G2519" s="38"/>
      <c r="H2519" s="38">
        <v>108</v>
      </c>
    </row>
    <row r="2520" spans="1:8" ht="14.5" x14ac:dyDescent="0.35">
      <c r="A2520" s="45"/>
      <c r="B2520" s="45" t="s">
        <v>3802</v>
      </c>
      <c r="C2520" s="55">
        <v>45876</v>
      </c>
      <c r="D2520" s="45" t="s">
        <v>927</v>
      </c>
      <c r="E2520" s="45" t="s">
        <v>3637</v>
      </c>
      <c r="G2520" s="38"/>
      <c r="H2520" s="38">
        <v>108</v>
      </c>
    </row>
    <row r="2521" spans="1:8" ht="14.5" x14ac:dyDescent="0.35">
      <c r="A2521" s="45"/>
      <c r="B2521" s="45" t="s">
        <v>3802</v>
      </c>
      <c r="C2521" s="55">
        <v>45876</v>
      </c>
      <c r="D2521" s="45" t="s">
        <v>422</v>
      </c>
      <c r="E2521" s="45" t="s">
        <v>3893</v>
      </c>
      <c r="G2521" s="38"/>
      <c r="H2521" s="38">
        <v>251.7</v>
      </c>
    </row>
    <row r="2522" spans="1:8" ht="14.5" x14ac:dyDescent="0.35">
      <c r="A2522" s="45"/>
      <c r="B2522" s="45" t="s">
        <v>3802</v>
      </c>
      <c r="C2522" s="55">
        <v>45876</v>
      </c>
      <c r="D2522" s="45" t="s">
        <v>927</v>
      </c>
      <c r="E2522" s="45" t="s">
        <v>3638</v>
      </c>
      <c r="G2522" s="38"/>
      <c r="H2522" s="38">
        <v>109</v>
      </c>
    </row>
    <row r="2523" spans="1:8" ht="14.5" x14ac:dyDescent="0.35">
      <c r="A2523" s="45"/>
      <c r="B2523" s="45" t="s">
        <v>3802</v>
      </c>
      <c r="C2523" s="55">
        <v>45876</v>
      </c>
      <c r="D2523" s="45" t="s">
        <v>927</v>
      </c>
      <c r="E2523" s="45" t="s">
        <v>3639</v>
      </c>
      <c r="G2523" s="38"/>
      <c r="H2523" s="38">
        <v>109</v>
      </c>
    </row>
    <row r="2524" spans="1:8" ht="14.5" x14ac:dyDescent="0.35">
      <c r="A2524" s="45"/>
      <c r="B2524" s="45" t="s">
        <v>3802</v>
      </c>
      <c r="C2524" s="55">
        <v>45877</v>
      </c>
      <c r="D2524" s="45" t="s">
        <v>422</v>
      </c>
      <c r="E2524" s="45" t="s">
        <v>3631</v>
      </c>
      <c r="G2524" s="38"/>
      <c r="H2524" s="38">
        <v>240</v>
      </c>
    </row>
    <row r="2525" spans="1:8" ht="14.5" x14ac:dyDescent="0.35">
      <c r="A2525" s="45"/>
      <c r="B2525" s="45" t="s">
        <v>3802</v>
      </c>
      <c r="C2525" s="55">
        <v>45877</v>
      </c>
      <c r="D2525" s="45" t="s">
        <v>819</v>
      </c>
      <c r="E2525" s="45" t="s">
        <v>3894</v>
      </c>
      <c r="G2525" s="38"/>
      <c r="H2525" s="38">
        <v>81</v>
      </c>
    </row>
    <row r="2526" spans="1:8" ht="14.5" x14ac:dyDescent="0.35">
      <c r="A2526" s="45"/>
      <c r="B2526" s="45" t="s">
        <v>3802</v>
      </c>
      <c r="C2526" s="55">
        <v>45877</v>
      </c>
      <c r="D2526" s="45" t="s">
        <v>793</v>
      </c>
      <c r="E2526" s="45">
        <v>9</v>
      </c>
      <c r="G2526" s="38"/>
      <c r="H2526" s="38">
        <v>739</v>
      </c>
    </row>
    <row r="2527" spans="1:8" ht="14.5" x14ac:dyDescent="0.35">
      <c r="A2527" s="45"/>
      <c r="B2527" s="45" t="s">
        <v>3802</v>
      </c>
      <c r="C2527" s="55">
        <v>45877</v>
      </c>
      <c r="D2527" s="45" t="s">
        <v>96</v>
      </c>
      <c r="E2527" s="45" t="s">
        <v>3787</v>
      </c>
      <c r="G2527" s="38"/>
      <c r="H2527" s="38">
        <v>4046</v>
      </c>
    </row>
    <row r="2528" spans="1:8" ht="14.5" x14ac:dyDescent="0.35">
      <c r="A2528" s="45"/>
      <c r="B2528" s="45" t="s">
        <v>3802</v>
      </c>
      <c r="C2528" s="55">
        <v>45877</v>
      </c>
      <c r="D2528" s="45" t="s">
        <v>782</v>
      </c>
      <c r="E2528" s="45" t="s">
        <v>785</v>
      </c>
      <c r="G2528" s="38"/>
      <c r="H2528" s="38">
        <v>325</v>
      </c>
    </row>
    <row r="2529" spans="1:8" ht="14.5" x14ac:dyDescent="0.35">
      <c r="A2529" s="45"/>
      <c r="B2529" s="45" t="s">
        <v>3802</v>
      </c>
      <c r="C2529" s="55">
        <v>45877</v>
      </c>
      <c r="D2529" s="45" t="s">
        <v>422</v>
      </c>
      <c r="E2529" s="45" t="s">
        <v>559</v>
      </c>
      <c r="G2529" s="38"/>
      <c r="H2529" s="38">
        <v>74</v>
      </c>
    </row>
    <row r="2530" spans="1:8" ht="14.5" x14ac:dyDescent="0.35">
      <c r="A2530" s="45"/>
      <c r="B2530" s="45" t="s">
        <v>3802</v>
      </c>
      <c r="C2530" s="55">
        <v>45877</v>
      </c>
      <c r="D2530" s="45" t="s">
        <v>422</v>
      </c>
      <c r="E2530" s="45" t="s">
        <v>3895</v>
      </c>
      <c r="G2530" s="38"/>
      <c r="H2530" s="38">
        <v>26</v>
      </c>
    </row>
    <row r="2531" spans="1:8" ht="14.5" x14ac:dyDescent="0.35">
      <c r="A2531" s="45"/>
      <c r="B2531" s="45" t="s">
        <v>3802</v>
      </c>
      <c r="C2531" s="55">
        <v>45877</v>
      </c>
      <c r="D2531" s="45" t="s">
        <v>109</v>
      </c>
      <c r="E2531" s="45" t="s">
        <v>293</v>
      </c>
      <c r="G2531" s="38"/>
      <c r="H2531" s="38">
        <v>737</v>
      </c>
    </row>
    <row r="2532" spans="1:8" ht="14.5" x14ac:dyDescent="0.35">
      <c r="A2532" s="45"/>
      <c r="B2532" s="45" t="s">
        <v>3802</v>
      </c>
      <c r="C2532" s="55">
        <v>45877</v>
      </c>
      <c r="D2532" s="45" t="s">
        <v>819</v>
      </c>
      <c r="E2532" s="45" t="s">
        <v>3896</v>
      </c>
      <c r="G2532" s="38"/>
      <c r="H2532" s="38">
        <v>96</v>
      </c>
    </row>
    <row r="2533" spans="1:8" ht="14.5" x14ac:dyDescent="0.35">
      <c r="A2533" s="45"/>
      <c r="B2533" s="45" t="s">
        <v>3802</v>
      </c>
      <c r="C2533" s="55">
        <v>45877</v>
      </c>
      <c r="D2533" s="45" t="s">
        <v>422</v>
      </c>
      <c r="E2533" s="45" t="s">
        <v>3682</v>
      </c>
      <c r="G2533" s="38"/>
      <c r="H2533" s="38">
        <v>340</v>
      </c>
    </row>
    <row r="2534" spans="1:8" ht="14.5" x14ac:dyDescent="0.35">
      <c r="A2534" s="45"/>
      <c r="B2534" s="45" t="s">
        <v>3802</v>
      </c>
      <c r="C2534" s="55">
        <v>45877</v>
      </c>
      <c r="D2534" s="45" t="s">
        <v>422</v>
      </c>
      <c r="E2534" s="45" t="s">
        <v>3897</v>
      </c>
      <c r="G2534" s="38"/>
      <c r="H2534" s="38">
        <v>52</v>
      </c>
    </row>
    <row r="2535" spans="1:8" ht="14.5" x14ac:dyDescent="0.35">
      <c r="A2535" s="45"/>
      <c r="B2535" s="45" t="s">
        <v>3802</v>
      </c>
      <c r="C2535" s="55">
        <v>45877</v>
      </c>
      <c r="D2535" s="45" t="s">
        <v>422</v>
      </c>
      <c r="E2535" s="45" t="s">
        <v>3624</v>
      </c>
      <c r="G2535" s="38"/>
      <c r="H2535" s="38">
        <v>183</v>
      </c>
    </row>
    <row r="2536" spans="1:8" ht="14.5" x14ac:dyDescent="0.35">
      <c r="A2536" s="45"/>
      <c r="B2536" s="45" t="s">
        <v>3802</v>
      </c>
      <c r="C2536" s="55">
        <v>45877</v>
      </c>
      <c r="D2536" s="45" t="s">
        <v>819</v>
      </c>
      <c r="E2536" s="45" t="s">
        <v>3898</v>
      </c>
      <c r="G2536" s="38"/>
      <c r="H2536" s="38">
        <v>82</v>
      </c>
    </row>
    <row r="2537" spans="1:8" ht="14.5" x14ac:dyDescent="0.35">
      <c r="A2537" s="45"/>
      <c r="B2537" s="45" t="s">
        <v>3802</v>
      </c>
      <c r="C2537" s="55">
        <v>45877</v>
      </c>
      <c r="D2537" s="45" t="s">
        <v>422</v>
      </c>
      <c r="E2537" s="45" t="s">
        <v>3899</v>
      </c>
      <c r="G2537" s="38"/>
      <c r="H2537" s="38">
        <v>52</v>
      </c>
    </row>
    <row r="2538" spans="1:8" ht="14.5" x14ac:dyDescent="0.35">
      <c r="A2538" s="45"/>
      <c r="B2538" s="45" t="s">
        <v>3802</v>
      </c>
      <c r="C2538" s="55">
        <v>45877</v>
      </c>
      <c r="D2538" s="45" t="s">
        <v>819</v>
      </c>
      <c r="E2538" s="45" t="s">
        <v>3900</v>
      </c>
      <c r="G2538" s="38"/>
      <c r="H2538" s="38">
        <v>1311.7799999999997</v>
      </c>
    </row>
    <row r="2539" spans="1:8" ht="14.5" x14ac:dyDescent="0.35">
      <c r="A2539" s="45"/>
      <c r="B2539" s="45" t="s">
        <v>3802</v>
      </c>
      <c r="C2539" s="55">
        <v>45877</v>
      </c>
      <c r="D2539" s="45" t="s">
        <v>422</v>
      </c>
      <c r="E2539" s="45" t="s">
        <v>649</v>
      </c>
      <c r="G2539" s="38"/>
      <c r="H2539" s="38">
        <v>26</v>
      </c>
    </row>
    <row r="2540" spans="1:8" ht="14.5" x14ac:dyDescent="0.35">
      <c r="A2540" s="45"/>
      <c r="B2540" s="45" t="s">
        <v>3802</v>
      </c>
      <c r="C2540" s="55">
        <v>45877</v>
      </c>
      <c r="D2540" s="45" t="s">
        <v>422</v>
      </c>
      <c r="E2540" s="45" t="s">
        <v>3760</v>
      </c>
      <c r="G2540" s="38"/>
      <c r="H2540" s="38">
        <v>163.75</v>
      </c>
    </row>
    <row r="2541" spans="1:8" ht="14.5" x14ac:dyDescent="0.35">
      <c r="A2541" s="45"/>
      <c r="B2541" s="45" t="s">
        <v>3802</v>
      </c>
      <c r="C2541" s="55">
        <v>45877</v>
      </c>
      <c r="D2541" s="45" t="s">
        <v>422</v>
      </c>
      <c r="E2541" s="45" t="s">
        <v>570</v>
      </c>
      <c r="G2541" s="38"/>
      <c r="H2541" s="38">
        <v>171.88</v>
      </c>
    </row>
    <row r="2542" spans="1:8" ht="14.5" x14ac:dyDescent="0.35">
      <c r="A2542" s="45"/>
      <c r="B2542" s="45" t="s">
        <v>3802</v>
      </c>
      <c r="C2542" s="55">
        <v>45877</v>
      </c>
      <c r="D2542" s="45" t="s">
        <v>109</v>
      </c>
      <c r="E2542" s="45" t="s">
        <v>295</v>
      </c>
      <c r="G2542" s="38"/>
      <c r="H2542" s="38">
        <v>738</v>
      </c>
    </row>
    <row r="2543" spans="1:8" ht="14.5" x14ac:dyDescent="0.35">
      <c r="A2543" s="45"/>
      <c r="B2543" s="45" t="s">
        <v>3802</v>
      </c>
      <c r="C2543" s="55">
        <v>45877</v>
      </c>
      <c r="D2543" s="45" t="s">
        <v>819</v>
      </c>
      <c r="E2543" s="45" t="s">
        <v>3901</v>
      </c>
      <c r="G2543" s="38"/>
      <c r="H2543" s="38">
        <v>81</v>
      </c>
    </row>
    <row r="2544" spans="1:8" ht="14.5" x14ac:dyDescent="0.35">
      <c r="A2544" s="45"/>
      <c r="B2544" s="45" t="s">
        <v>3802</v>
      </c>
      <c r="C2544" s="55">
        <v>45877</v>
      </c>
      <c r="D2544" s="45" t="s">
        <v>882</v>
      </c>
      <c r="E2544" s="45">
        <v>72500046</v>
      </c>
      <c r="G2544" s="38"/>
      <c r="H2544" s="38">
        <v>811</v>
      </c>
    </row>
    <row r="2545" spans="1:8" ht="14.5" x14ac:dyDescent="0.35">
      <c r="A2545" s="45"/>
      <c r="B2545" s="45" t="s">
        <v>3802</v>
      </c>
      <c r="C2545" s="55">
        <v>45877</v>
      </c>
      <c r="D2545" s="45" t="s">
        <v>109</v>
      </c>
      <c r="E2545" s="45" t="s">
        <v>294</v>
      </c>
      <c r="G2545" s="38"/>
      <c r="H2545" s="38">
        <v>738</v>
      </c>
    </row>
    <row r="2546" spans="1:8" ht="14.5" x14ac:dyDescent="0.35">
      <c r="A2546" s="45"/>
      <c r="B2546" s="45" t="s">
        <v>3802</v>
      </c>
      <c r="C2546" s="55">
        <v>45877</v>
      </c>
      <c r="D2546" s="45" t="s">
        <v>422</v>
      </c>
      <c r="E2546" s="45" t="s">
        <v>3902</v>
      </c>
      <c r="G2546" s="38"/>
      <c r="H2546" s="38">
        <v>26</v>
      </c>
    </row>
    <row r="2547" spans="1:8" ht="14.5" x14ac:dyDescent="0.35">
      <c r="A2547" s="45"/>
      <c r="B2547" s="45" t="s">
        <v>3802</v>
      </c>
      <c r="C2547" s="55">
        <v>45877</v>
      </c>
      <c r="D2547" s="45" t="s">
        <v>807</v>
      </c>
      <c r="E2547" s="45">
        <v>28</v>
      </c>
      <c r="G2547" s="38"/>
      <c r="H2547" s="38">
        <v>739</v>
      </c>
    </row>
    <row r="2548" spans="1:8" ht="14.5" x14ac:dyDescent="0.35">
      <c r="A2548" s="45"/>
      <c r="B2548" s="45" t="s">
        <v>3802</v>
      </c>
      <c r="C2548" s="55">
        <v>45877</v>
      </c>
      <c r="D2548" s="45" t="s">
        <v>3791</v>
      </c>
      <c r="E2548" s="45" t="s">
        <v>3792</v>
      </c>
      <c r="G2548" s="38"/>
      <c r="H2548" s="38">
        <v>4510</v>
      </c>
    </row>
    <row r="2549" spans="1:8" ht="14.5" x14ac:dyDescent="0.35">
      <c r="A2549" s="45"/>
      <c r="B2549" s="45" t="s">
        <v>3802</v>
      </c>
      <c r="C2549" s="55">
        <v>45877</v>
      </c>
      <c r="D2549" s="45" t="s">
        <v>422</v>
      </c>
      <c r="E2549" s="45" t="s">
        <v>3903</v>
      </c>
      <c r="G2549" s="38"/>
      <c r="H2549" s="38">
        <v>26</v>
      </c>
    </row>
    <row r="2550" spans="1:8" ht="14.5" x14ac:dyDescent="0.35">
      <c r="A2550" s="45"/>
      <c r="B2550" s="45" t="s">
        <v>3802</v>
      </c>
      <c r="C2550" s="55">
        <v>45877</v>
      </c>
      <c r="D2550" s="45" t="s">
        <v>109</v>
      </c>
      <c r="E2550" s="45" t="s">
        <v>297</v>
      </c>
      <c r="G2550" s="38"/>
      <c r="H2550" s="38">
        <v>738</v>
      </c>
    </row>
    <row r="2551" spans="1:8" ht="14.5" x14ac:dyDescent="0.35">
      <c r="A2551" s="45"/>
      <c r="B2551" s="45" t="s">
        <v>3802</v>
      </c>
      <c r="C2551" s="55">
        <v>45877</v>
      </c>
      <c r="D2551" s="45" t="s">
        <v>923</v>
      </c>
      <c r="E2551" s="45">
        <v>41279</v>
      </c>
      <c r="G2551" s="38"/>
      <c r="H2551" s="38">
        <v>325</v>
      </c>
    </row>
    <row r="2552" spans="1:8" ht="14.5" x14ac:dyDescent="0.35">
      <c r="A2552" s="45"/>
      <c r="B2552" s="45" t="s">
        <v>3802</v>
      </c>
      <c r="C2552" s="55">
        <v>45877</v>
      </c>
      <c r="D2552" s="45" t="s">
        <v>109</v>
      </c>
      <c r="E2552" s="45" t="s">
        <v>298</v>
      </c>
      <c r="G2552" s="38"/>
      <c r="H2552" s="38">
        <v>738</v>
      </c>
    </row>
    <row r="2553" spans="1:8" ht="14.5" x14ac:dyDescent="0.35">
      <c r="A2553" s="45"/>
      <c r="B2553" s="45" t="s">
        <v>3802</v>
      </c>
      <c r="C2553" s="55">
        <v>45877</v>
      </c>
      <c r="D2553" s="45" t="s">
        <v>422</v>
      </c>
      <c r="E2553" s="45" t="s">
        <v>3904</v>
      </c>
      <c r="G2553" s="38"/>
      <c r="H2553" s="38">
        <v>26</v>
      </c>
    </row>
    <row r="2554" spans="1:8" ht="14.5" x14ac:dyDescent="0.35">
      <c r="A2554" s="45"/>
      <c r="B2554" s="45" t="s">
        <v>3802</v>
      </c>
      <c r="C2554" s="55">
        <v>45877</v>
      </c>
      <c r="D2554" s="45" t="s">
        <v>422</v>
      </c>
      <c r="E2554" s="45" t="s">
        <v>630</v>
      </c>
      <c r="G2554" s="38"/>
      <c r="H2554" s="38">
        <v>26</v>
      </c>
    </row>
    <row r="2555" spans="1:8" ht="14.5" x14ac:dyDescent="0.35">
      <c r="A2555" s="45"/>
      <c r="B2555" s="45" t="s">
        <v>3802</v>
      </c>
      <c r="C2555" s="55">
        <v>45877</v>
      </c>
      <c r="D2555" s="45" t="s">
        <v>422</v>
      </c>
      <c r="E2555" s="45" t="s">
        <v>3905</v>
      </c>
      <c r="G2555" s="38"/>
      <c r="H2555" s="38">
        <v>26</v>
      </c>
    </row>
    <row r="2556" spans="1:8" ht="14.5" x14ac:dyDescent="0.35">
      <c r="A2556" s="45"/>
      <c r="B2556" s="45" t="s">
        <v>3802</v>
      </c>
      <c r="C2556" s="55">
        <v>45877</v>
      </c>
      <c r="D2556" s="45" t="s">
        <v>819</v>
      </c>
      <c r="E2556" s="45" t="s">
        <v>3906</v>
      </c>
      <c r="G2556" s="38"/>
      <c r="H2556" s="38">
        <v>81</v>
      </c>
    </row>
    <row r="2557" spans="1:8" ht="14.5" x14ac:dyDescent="0.35">
      <c r="A2557" s="45"/>
      <c r="B2557" s="45" t="s">
        <v>3802</v>
      </c>
      <c r="C2557" s="55">
        <v>45877</v>
      </c>
      <c r="D2557" s="45" t="s">
        <v>422</v>
      </c>
      <c r="E2557" s="45" t="s">
        <v>3907</v>
      </c>
      <c r="G2557" s="38"/>
      <c r="H2557" s="38">
        <v>26</v>
      </c>
    </row>
    <row r="2558" spans="1:8" ht="14.5" x14ac:dyDescent="0.35">
      <c r="A2558" s="45"/>
      <c r="B2558" s="45" t="s">
        <v>3802</v>
      </c>
      <c r="C2558" s="55">
        <v>45877</v>
      </c>
      <c r="D2558" s="45" t="s">
        <v>819</v>
      </c>
      <c r="E2558" s="45" t="s">
        <v>3908</v>
      </c>
      <c r="G2558" s="38"/>
      <c r="H2558" s="38">
        <v>81</v>
      </c>
    </row>
    <row r="2559" spans="1:8" ht="14.5" x14ac:dyDescent="0.35">
      <c r="A2559" s="45"/>
      <c r="B2559" s="45" t="s">
        <v>3802</v>
      </c>
      <c r="C2559" s="55">
        <v>45880</v>
      </c>
      <c r="D2559" s="45" t="s">
        <v>422</v>
      </c>
      <c r="E2559" s="45" t="s">
        <v>3640</v>
      </c>
      <c r="G2559" s="38"/>
      <c r="H2559" s="38">
        <v>314</v>
      </c>
    </row>
    <row r="2560" spans="1:8" ht="14.5" x14ac:dyDescent="0.35">
      <c r="A2560" s="45"/>
      <c r="B2560" s="45" t="s">
        <v>3802</v>
      </c>
      <c r="C2560" s="55">
        <v>45880</v>
      </c>
      <c r="D2560" s="45" t="s">
        <v>422</v>
      </c>
      <c r="E2560" s="45" t="s">
        <v>3641</v>
      </c>
      <c r="G2560" s="38"/>
      <c r="H2560" s="38">
        <v>174.44</v>
      </c>
    </row>
    <row r="2561" spans="1:8" ht="14.5" x14ac:dyDescent="0.35">
      <c r="A2561" s="45"/>
      <c r="B2561" s="45" t="s">
        <v>3802</v>
      </c>
      <c r="C2561" s="55">
        <v>45880</v>
      </c>
      <c r="D2561" s="45" t="s">
        <v>66</v>
      </c>
      <c r="E2561" s="45" t="s">
        <v>3909</v>
      </c>
      <c r="G2561" s="38"/>
      <c r="H2561" s="38">
        <v>204.8</v>
      </c>
    </row>
    <row r="2562" spans="1:8" ht="14.5" x14ac:dyDescent="0.35">
      <c r="A2562" s="45"/>
      <c r="B2562" s="45" t="s">
        <v>3802</v>
      </c>
      <c r="C2562" s="55">
        <v>45880</v>
      </c>
      <c r="D2562" s="45" t="s">
        <v>422</v>
      </c>
      <c r="E2562" s="45" t="s">
        <v>3642</v>
      </c>
      <c r="G2562" s="38"/>
      <c r="H2562" s="38">
        <v>167</v>
      </c>
    </row>
    <row r="2563" spans="1:8" ht="14.5" x14ac:dyDescent="0.35">
      <c r="A2563" s="45"/>
      <c r="B2563" s="45" t="s">
        <v>3802</v>
      </c>
      <c r="C2563" s="55">
        <v>45880</v>
      </c>
      <c r="D2563" s="45" t="s">
        <v>422</v>
      </c>
      <c r="E2563" s="45" t="s">
        <v>3643</v>
      </c>
      <c r="G2563" s="38"/>
      <c r="H2563" s="38">
        <v>314</v>
      </c>
    </row>
    <row r="2564" spans="1:8" ht="14.5" x14ac:dyDescent="0.35">
      <c r="A2564" s="45"/>
      <c r="B2564" s="45" t="s">
        <v>3802</v>
      </c>
      <c r="C2564" s="55">
        <v>45880</v>
      </c>
      <c r="D2564" s="45" t="s">
        <v>422</v>
      </c>
      <c r="E2564" s="45" t="s">
        <v>534</v>
      </c>
      <c r="G2564" s="38"/>
      <c r="H2564" s="38">
        <v>172</v>
      </c>
    </row>
    <row r="2565" spans="1:8" ht="14.5" x14ac:dyDescent="0.35">
      <c r="A2565" s="45"/>
      <c r="B2565" s="45" t="s">
        <v>3802</v>
      </c>
      <c r="C2565" s="55">
        <v>45880</v>
      </c>
      <c r="D2565" s="45" t="s">
        <v>422</v>
      </c>
      <c r="E2565" s="45" t="s">
        <v>3695</v>
      </c>
      <c r="G2565" s="38"/>
      <c r="H2565" s="38">
        <v>43</v>
      </c>
    </row>
    <row r="2566" spans="1:8" ht="14.5" x14ac:dyDescent="0.35">
      <c r="A2566" s="45"/>
      <c r="B2566" s="45" t="s">
        <v>3802</v>
      </c>
      <c r="C2566" s="55">
        <v>45880</v>
      </c>
      <c r="D2566" s="45" t="s">
        <v>422</v>
      </c>
      <c r="E2566" s="45" t="s">
        <v>3644</v>
      </c>
      <c r="G2566" s="38"/>
      <c r="H2566" s="38">
        <v>314</v>
      </c>
    </row>
    <row r="2567" spans="1:8" ht="14.5" x14ac:dyDescent="0.35">
      <c r="A2567" s="45"/>
      <c r="B2567" s="45" t="s">
        <v>3802</v>
      </c>
      <c r="C2567" s="55">
        <v>45880</v>
      </c>
      <c r="D2567" s="45" t="s">
        <v>422</v>
      </c>
      <c r="E2567" s="45" t="s">
        <v>3645</v>
      </c>
      <c r="G2567" s="38"/>
      <c r="H2567" s="38">
        <v>313.19</v>
      </c>
    </row>
    <row r="2568" spans="1:8" ht="14.5" x14ac:dyDescent="0.35">
      <c r="A2568" s="45"/>
      <c r="B2568" s="45" t="s">
        <v>3802</v>
      </c>
      <c r="C2568" s="55">
        <v>45880</v>
      </c>
      <c r="D2568" s="45" t="s">
        <v>422</v>
      </c>
      <c r="E2568" s="45" t="s">
        <v>3646</v>
      </c>
      <c r="G2568" s="38"/>
      <c r="H2568" s="38">
        <v>314</v>
      </c>
    </row>
    <row r="2569" spans="1:8" ht="14.5" x14ac:dyDescent="0.35">
      <c r="A2569" s="45"/>
      <c r="B2569" s="45" t="s">
        <v>3802</v>
      </c>
      <c r="C2569" s="55">
        <v>45880</v>
      </c>
      <c r="D2569" s="45" t="s">
        <v>422</v>
      </c>
      <c r="E2569" s="45" t="s">
        <v>3647</v>
      </c>
      <c r="G2569" s="38"/>
      <c r="H2569" s="38">
        <v>314</v>
      </c>
    </row>
    <row r="2570" spans="1:8" ht="14.5" x14ac:dyDescent="0.35">
      <c r="A2570" s="45"/>
      <c r="B2570" s="45" t="s">
        <v>3802</v>
      </c>
      <c r="C2570" s="55">
        <v>45880</v>
      </c>
      <c r="D2570" s="45" t="s">
        <v>422</v>
      </c>
      <c r="E2570" s="45" t="s">
        <v>3648</v>
      </c>
      <c r="G2570" s="38"/>
      <c r="H2570" s="38">
        <v>313.19</v>
      </c>
    </row>
    <row r="2571" spans="1:8" ht="14.5" x14ac:dyDescent="0.35">
      <c r="A2571" s="45"/>
      <c r="B2571" s="45" t="s">
        <v>3802</v>
      </c>
      <c r="C2571" s="55">
        <v>45880</v>
      </c>
      <c r="D2571" s="45" t="s">
        <v>422</v>
      </c>
      <c r="E2571" s="45">
        <v>20242912</v>
      </c>
      <c r="G2571" s="38"/>
      <c r="H2571" s="38">
        <v>308.3</v>
      </c>
    </row>
    <row r="2572" spans="1:8" ht="14.5" x14ac:dyDescent="0.35">
      <c r="A2572" s="45"/>
      <c r="B2572" s="45" t="s">
        <v>3802</v>
      </c>
      <c r="C2572" s="55">
        <v>45880</v>
      </c>
      <c r="D2572" s="45" t="s">
        <v>422</v>
      </c>
      <c r="E2572" s="45" t="s">
        <v>3696</v>
      </c>
      <c r="G2572" s="38"/>
      <c r="H2572" s="38">
        <v>348.88</v>
      </c>
    </row>
    <row r="2573" spans="1:8" ht="14.5" x14ac:dyDescent="0.35">
      <c r="A2573" s="45"/>
      <c r="B2573" s="45" t="s">
        <v>3802</v>
      </c>
      <c r="C2573" s="55">
        <v>45880</v>
      </c>
      <c r="D2573" s="45" t="s">
        <v>422</v>
      </c>
      <c r="E2573" s="45" t="s">
        <v>3649</v>
      </c>
      <c r="G2573" s="38"/>
      <c r="H2573" s="38">
        <v>314</v>
      </c>
    </row>
    <row r="2574" spans="1:8" ht="14.5" x14ac:dyDescent="0.35">
      <c r="A2574" s="45"/>
      <c r="B2574" s="45" t="s">
        <v>3802</v>
      </c>
      <c r="C2574" s="55">
        <v>45880</v>
      </c>
      <c r="D2574" s="45" t="s">
        <v>422</v>
      </c>
      <c r="E2574" s="45" t="s">
        <v>3650</v>
      </c>
      <c r="G2574" s="38"/>
      <c r="H2574" s="38">
        <v>314</v>
      </c>
    </row>
    <row r="2575" spans="1:8" ht="14.5" x14ac:dyDescent="0.35">
      <c r="A2575" s="45"/>
      <c r="B2575" s="45" t="s">
        <v>3802</v>
      </c>
      <c r="C2575" s="55">
        <v>45880</v>
      </c>
      <c r="D2575" s="45" t="s">
        <v>422</v>
      </c>
      <c r="E2575" s="45" t="s">
        <v>3652</v>
      </c>
      <c r="G2575" s="38"/>
      <c r="H2575" s="38">
        <v>314</v>
      </c>
    </row>
    <row r="2576" spans="1:8" ht="14.5" x14ac:dyDescent="0.35">
      <c r="A2576" s="45"/>
      <c r="B2576" s="45" t="s">
        <v>3802</v>
      </c>
      <c r="C2576" s="55">
        <v>45880</v>
      </c>
      <c r="D2576" s="45" t="s">
        <v>422</v>
      </c>
      <c r="E2576" s="45" t="s">
        <v>3653</v>
      </c>
      <c r="G2576" s="38"/>
      <c r="H2576" s="38">
        <v>313.19</v>
      </c>
    </row>
    <row r="2577" spans="1:8" ht="14.5" x14ac:dyDescent="0.35">
      <c r="A2577" s="45"/>
      <c r="B2577" s="45" t="s">
        <v>3802</v>
      </c>
      <c r="C2577" s="55">
        <v>45880</v>
      </c>
      <c r="D2577" s="45" t="s">
        <v>422</v>
      </c>
      <c r="E2577" s="45" t="s">
        <v>3654</v>
      </c>
      <c r="G2577" s="38"/>
      <c r="H2577" s="38">
        <v>672.88</v>
      </c>
    </row>
    <row r="2578" spans="1:8" ht="14.5" x14ac:dyDescent="0.35">
      <c r="A2578" s="45"/>
      <c r="B2578" s="45" t="s">
        <v>3802</v>
      </c>
      <c r="C2578" s="55">
        <v>45880</v>
      </c>
      <c r="D2578" s="45" t="s">
        <v>422</v>
      </c>
      <c r="E2578" s="45" t="s">
        <v>3656</v>
      </c>
      <c r="G2578" s="38"/>
      <c r="H2578" s="38">
        <v>319.08</v>
      </c>
    </row>
    <row r="2579" spans="1:8" ht="14.5" x14ac:dyDescent="0.35">
      <c r="A2579" s="45"/>
      <c r="B2579" s="45" t="s">
        <v>3802</v>
      </c>
      <c r="C2579" s="55">
        <v>45880</v>
      </c>
      <c r="D2579" s="45" t="s">
        <v>422</v>
      </c>
      <c r="E2579" s="45" t="s">
        <v>3657</v>
      </c>
      <c r="G2579" s="38"/>
      <c r="H2579" s="38">
        <v>313.19</v>
      </c>
    </row>
    <row r="2580" spans="1:8" ht="14.5" x14ac:dyDescent="0.35">
      <c r="A2580" s="45"/>
      <c r="B2580" s="45" t="s">
        <v>3802</v>
      </c>
      <c r="C2580" s="55">
        <v>45880</v>
      </c>
      <c r="D2580" s="45" t="s">
        <v>422</v>
      </c>
      <c r="E2580" s="45" t="s">
        <v>3697</v>
      </c>
      <c r="G2580" s="38"/>
      <c r="H2580" s="38">
        <v>173.44</v>
      </c>
    </row>
    <row r="2581" spans="1:8" ht="14.5" x14ac:dyDescent="0.35">
      <c r="A2581" s="45"/>
      <c r="B2581" s="45" t="s">
        <v>3802</v>
      </c>
      <c r="C2581" s="55">
        <v>45880</v>
      </c>
      <c r="D2581" s="45" t="s">
        <v>422</v>
      </c>
      <c r="E2581" s="45" t="s">
        <v>3658</v>
      </c>
      <c r="G2581" s="38"/>
      <c r="H2581" s="38">
        <v>313.19</v>
      </c>
    </row>
    <row r="2582" spans="1:8" ht="14.5" x14ac:dyDescent="0.35">
      <c r="A2582" s="45"/>
      <c r="B2582" s="45" t="s">
        <v>3802</v>
      </c>
      <c r="C2582" s="55">
        <v>45880</v>
      </c>
      <c r="D2582" s="45" t="s">
        <v>422</v>
      </c>
      <c r="E2582" s="45" t="s">
        <v>3659</v>
      </c>
      <c r="G2582" s="38"/>
      <c r="H2582" s="38">
        <v>339.44</v>
      </c>
    </row>
    <row r="2583" spans="1:8" ht="14.5" x14ac:dyDescent="0.35">
      <c r="A2583" s="45"/>
      <c r="B2583" s="45" t="s">
        <v>3802</v>
      </c>
      <c r="C2583" s="55">
        <v>45880</v>
      </c>
      <c r="D2583" s="45" t="s">
        <v>422</v>
      </c>
      <c r="E2583" s="45" t="s">
        <v>3698</v>
      </c>
      <c r="G2583" s="38"/>
      <c r="H2583" s="38">
        <v>371.94</v>
      </c>
    </row>
    <row r="2584" spans="1:8" ht="14.5" x14ac:dyDescent="0.35">
      <c r="A2584" s="45"/>
      <c r="B2584" s="45" t="s">
        <v>3802</v>
      </c>
      <c r="C2584" s="55">
        <v>45880</v>
      </c>
      <c r="D2584" s="45" t="s">
        <v>422</v>
      </c>
      <c r="E2584" s="45" t="s">
        <v>3699</v>
      </c>
      <c r="G2584" s="38"/>
      <c r="H2584" s="38">
        <v>173.44</v>
      </c>
    </row>
    <row r="2585" spans="1:8" ht="14.5" x14ac:dyDescent="0.35">
      <c r="A2585" s="45"/>
      <c r="B2585" s="45" t="s">
        <v>3802</v>
      </c>
      <c r="C2585" s="55">
        <v>45880</v>
      </c>
      <c r="D2585" s="45" t="s">
        <v>422</v>
      </c>
      <c r="E2585" s="45" t="s">
        <v>3700</v>
      </c>
      <c r="G2585" s="38"/>
      <c r="H2585" s="38">
        <v>173</v>
      </c>
    </row>
    <row r="2586" spans="1:8" ht="14.5" x14ac:dyDescent="0.35">
      <c r="A2586" s="45"/>
      <c r="B2586" s="45" t="s">
        <v>3802</v>
      </c>
      <c r="C2586" s="55">
        <v>45880</v>
      </c>
      <c r="D2586" s="45" t="s">
        <v>422</v>
      </c>
      <c r="E2586" s="45" t="s">
        <v>3701</v>
      </c>
      <c r="G2586" s="38"/>
      <c r="H2586" s="38">
        <v>173.44</v>
      </c>
    </row>
    <row r="2587" spans="1:8" ht="14.5" x14ac:dyDescent="0.35">
      <c r="A2587" s="45"/>
      <c r="B2587" s="45" t="s">
        <v>3802</v>
      </c>
      <c r="C2587" s="55">
        <v>45880</v>
      </c>
      <c r="D2587" s="45" t="s">
        <v>422</v>
      </c>
      <c r="E2587" s="45" t="s">
        <v>3660</v>
      </c>
      <c r="G2587" s="38"/>
      <c r="H2587" s="38">
        <v>313.19</v>
      </c>
    </row>
    <row r="2588" spans="1:8" ht="14.5" x14ac:dyDescent="0.35">
      <c r="A2588" s="45"/>
      <c r="B2588" s="45" t="s">
        <v>3802</v>
      </c>
      <c r="C2588" s="55">
        <v>45880</v>
      </c>
      <c r="D2588" s="45" t="s">
        <v>422</v>
      </c>
      <c r="E2588" s="45" t="s">
        <v>3661</v>
      </c>
      <c r="G2588" s="38"/>
      <c r="H2588" s="38">
        <v>166</v>
      </c>
    </row>
    <row r="2589" spans="1:8" ht="14.5" x14ac:dyDescent="0.35">
      <c r="A2589" s="45"/>
      <c r="B2589" s="45" t="s">
        <v>3802</v>
      </c>
      <c r="C2589" s="55">
        <v>45880</v>
      </c>
      <c r="D2589" s="45" t="s">
        <v>422</v>
      </c>
      <c r="E2589" s="45" t="s">
        <v>3662</v>
      </c>
      <c r="G2589" s="38"/>
      <c r="H2589" s="38">
        <v>339.44</v>
      </c>
    </row>
    <row r="2590" spans="1:8" ht="14.5" x14ac:dyDescent="0.35">
      <c r="A2590" s="45"/>
      <c r="B2590" s="45" t="s">
        <v>3802</v>
      </c>
      <c r="C2590" s="55">
        <v>45880</v>
      </c>
      <c r="D2590" s="45" t="s">
        <v>422</v>
      </c>
      <c r="E2590" s="45" t="s">
        <v>3664</v>
      </c>
      <c r="G2590" s="38"/>
      <c r="H2590" s="38">
        <v>167.44</v>
      </c>
    </row>
    <row r="2591" spans="1:8" ht="14.5" x14ac:dyDescent="0.35">
      <c r="A2591" s="45"/>
      <c r="B2591" s="45" t="s">
        <v>3802</v>
      </c>
      <c r="C2591" s="55">
        <v>45880</v>
      </c>
      <c r="D2591" s="45" t="s">
        <v>422</v>
      </c>
      <c r="E2591" s="45" t="s">
        <v>3665</v>
      </c>
      <c r="G2591" s="38"/>
      <c r="H2591" s="38">
        <v>313.19</v>
      </c>
    </row>
    <row r="2592" spans="1:8" ht="14.5" x14ac:dyDescent="0.35">
      <c r="A2592" s="45"/>
      <c r="B2592" s="45" t="s">
        <v>3802</v>
      </c>
      <c r="C2592" s="55">
        <v>45880</v>
      </c>
      <c r="D2592" s="45" t="s">
        <v>422</v>
      </c>
      <c r="E2592" s="45" t="s">
        <v>3910</v>
      </c>
      <c r="G2592" s="38"/>
      <c r="H2592" s="38">
        <v>5090</v>
      </c>
    </row>
    <row r="2593" spans="1:8" ht="14.5" x14ac:dyDescent="0.35">
      <c r="A2593" s="45"/>
      <c r="B2593" s="45" t="s">
        <v>3802</v>
      </c>
      <c r="C2593" s="55">
        <v>45880</v>
      </c>
      <c r="D2593" s="45" t="s">
        <v>422</v>
      </c>
      <c r="E2593" s="45" t="s">
        <v>3703</v>
      </c>
      <c r="G2593" s="38"/>
      <c r="H2593" s="38">
        <v>173</v>
      </c>
    </row>
    <row r="2594" spans="1:8" ht="14.5" x14ac:dyDescent="0.35">
      <c r="A2594" s="45"/>
      <c r="B2594" s="45" t="s">
        <v>3802</v>
      </c>
      <c r="C2594" s="55">
        <v>45880</v>
      </c>
      <c r="D2594" s="45" t="s">
        <v>422</v>
      </c>
      <c r="E2594" s="45" t="s">
        <v>3666</v>
      </c>
      <c r="G2594" s="38"/>
      <c r="H2594" s="38">
        <v>314</v>
      </c>
    </row>
    <row r="2595" spans="1:8" ht="14.5" x14ac:dyDescent="0.35">
      <c r="A2595" s="45"/>
      <c r="B2595" s="45" t="s">
        <v>3802</v>
      </c>
      <c r="C2595" s="55">
        <v>45880</v>
      </c>
      <c r="D2595" s="45" t="s">
        <v>422</v>
      </c>
      <c r="E2595" s="45" t="s">
        <v>3705</v>
      </c>
      <c r="G2595" s="38"/>
      <c r="H2595" s="38">
        <v>173</v>
      </c>
    </row>
    <row r="2596" spans="1:8" ht="14.5" x14ac:dyDescent="0.35">
      <c r="A2596" s="45"/>
      <c r="B2596" s="45" t="s">
        <v>3802</v>
      </c>
      <c r="C2596" s="55">
        <v>45880</v>
      </c>
      <c r="D2596" s="45" t="s">
        <v>422</v>
      </c>
      <c r="E2596" s="45" t="s">
        <v>3706</v>
      </c>
      <c r="G2596" s="38"/>
      <c r="H2596" s="38">
        <v>173.44</v>
      </c>
    </row>
    <row r="2597" spans="1:8" ht="14.5" x14ac:dyDescent="0.35">
      <c r="A2597" s="45"/>
      <c r="B2597" s="45" t="s">
        <v>3802</v>
      </c>
      <c r="C2597" s="55">
        <v>45880</v>
      </c>
      <c r="D2597" s="45" t="s">
        <v>422</v>
      </c>
      <c r="E2597" s="45" t="s">
        <v>3707</v>
      </c>
      <c r="G2597" s="38"/>
      <c r="H2597" s="38">
        <v>173.44</v>
      </c>
    </row>
    <row r="2598" spans="1:8" ht="14.5" x14ac:dyDescent="0.35">
      <c r="A2598" s="45"/>
      <c r="B2598" s="45" t="s">
        <v>3802</v>
      </c>
      <c r="C2598" s="55">
        <v>45880</v>
      </c>
      <c r="D2598" s="45" t="s">
        <v>422</v>
      </c>
      <c r="E2598" s="45" t="s">
        <v>3708</v>
      </c>
      <c r="G2598" s="38"/>
      <c r="H2598" s="38">
        <v>173.44</v>
      </c>
    </row>
    <row r="2599" spans="1:8" ht="14.5" x14ac:dyDescent="0.35">
      <c r="A2599" s="45"/>
      <c r="B2599" s="45" t="s">
        <v>3802</v>
      </c>
      <c r="C2599" s="55">
        <v>45880</v>
      </c>
      <c r="D2599" s="45" t="s">
        <v>422</v>
      </c>
      <c r="E2599" s="45" t="s">
        <v>3669</v>
      </c>
      <c r="G2599" s="38"/>
      <c r="H2599" s="38">
        <v>313.19</v>
      </c>
    </row>
    <row r="2600" spans="1:8" ht="14.5" x14ac:dyDescent="0.35">
      <c r="A2600" s="45"/>
      <c r="B2600" s="45" t="s">
        <v>3802</v>
      </c>
      <c r="C2600" s="55">
        <v>45880</v>
      </c>
      <c r="D2600" s="45" t="s">
        <v>422</v>
      </c>
      <c r="E2600" s="45" t="s">
        <v>3670</v>
      </c>
      <c r="G2600" s="38"/>
      <c r="H2600" s="38">
        <v>422.19</v>
      </c>
    </row>
    <row r="2601" spans="1:8" ht="14.5" x14ac:dyDescent="0.35">
      <c r="A2601" s="45"/>
      <c r="B2601" s="45" t="s">
        <v>3802</v>
      </c>
      <c r="C2601" s="55">
        <v>45880</v>
      </c>
      <c r="D2601" s="45" t="s">
        <v>933</v>
      </c>
      <c r="E2601" s="45" t="s">
        <v>3710</v>
      </c>
      <c r="G2601" s="38"/>
      <c r="H2601" s="38">
        <v>788.65</v>
      </c>
    </row>
    <row r="2602" spans="1:8" ht="14.5" x14ac:dyDescent="0.35">
      <c r="A2602" s="45"/>
      <c r="B2602" s="45" t="s">
        <v>3802</v>
      </c>
      <c r="C2602" s="55">
        <v>45880</v>
      </c>
      <c r="D2602" s="45" t="s">
        <v>422</v>
      </c>
      <c r="E2602" s="45" t="s">
        <v>3671</v>
      </c>
      <c r="G2602" s="38"/>
      <c r="H2602" s="38">
        <v>313.19</v>
      </c>
    </row>
    <row r="2603" spans="1:8" ht="14.5" x14ac:dyDescent="0.35">
      <c r="A2603" s="45"/>
      <c r="B2603" s="45" t="s">
        <v>3802</v>
      </c>
      <c r="C2603" s="55">
        <v>45880</v>
      </c>
      <c r="D2603" s="45" t="s">
        <v>422</v>
      </c>
      <c r="E2603" s="45" t="s">
        <v>3711</v>
      </c>
      <c r="G2603" s="38"/>
      <c r="H2603" s="38">
        <v>173</v>
      </c>
    </row>
    <row r="2604" spans="1:8" ht="14.5" x14ac:dyDescent="0.35">
      <c r="A2604" s="45"/>
      <c r="B2604" s="45" t="s">
        <v>3802</v>
      </c>
      <c r="C2604" s="55">
        <v>45880</v>
      </c>
      <c r="D2604" s="45" t="s">
        <v>422</v>
      </c>
      <c r="E2604" s="45" t="s">
        <v>3672</v>
      </c>
      <c r="G2604" s="38"/>
      <c r="H2604" s="38">
        <v>314</v>
      </c>
    </row>
    <row r="2605" spans="1:8" ht="14.5" x14ac:dyDescent="0.35">
      <c r="A2605" s="45"/>
      <c r="B2605" s="45" t="s">
        <v>3802</v>
      </c>
      <c r="C2605" s="55">
        <v>45880</v>
      </c>
      <c r="D2605" s="45" t="s">
        <v>422</v>
      </c>
      <c r="E2605" s="45" t="s">
        <v>525</v>
      </c>
      <c r="G2605" s="38"/>
      <c r="H2605" s="38">
        <v>43</v>
      </c>
    </row>
    <row r="2606" spans="1:8" ht="14.5" x14ac:dyDescent="0.35">
      <c r="A2606" s="45"/>
      <c r="B2606" s="45" t="s">
        <v>3802</v>
      </c>
      <c r="C2606" s="55">
        <v>45880</v>
      </c>
      <c r="D2606" s="45" t="s">
        <v>422</v>
      </c>
      <c r="E2606" s="45" t="s">
        <v>3714</v>
      </c>
      <c r="G2606" s="38"/>
      <c r="H2606" s="38">
        <v>173.44</v>
      </c>
    </row>
    <row r="2607" spans="1:8" ht="14.5" x14ac:dyDescent="0.35">
      <c r="A2607" s="45"/>
      <c r="B2607" s="45" t="s">
        <v>3802</v>
      </c>
      <c r="C2607" s="55">
        <v>45880</v>
      </c>
      <c r="D2607" s="45" t="s">
        <v>66</v>
      </c>
      <c r="E2607" s="45" t="s">
        <v>3911</v>
      </c>
      <c r="G2607" s="38"/>
      <c r="H2607" s="38">
        <v>204.8</v>
      </c>
    </row>
    <row r="2608" spans="1:8" ht="14.5" x14ac:dyDescent="0.35">
      <c r="A2608" s="45"/>
      <c r="B2608" s="45" t="s">
        <v>3802</v>
      </c>
      <c r="C2608" s="55">
        <v>45880</v>
      </c>
      <c r="D2608" s="45" t="s">
        <v>422</v>
      </c>
      <c r="E2608" s="45" t="s">
        <v>3716</v>
      </c>
      <c r="G2608" s="38"/>
      <c r="H2608" s="38">
        <v>173.44</v>
      </c>
    </row>
    <row r="2609" spans="1:8" ht="14.5" x14ac:dyDescent="0.35">
      <c r="A2609" s="45"/>
      <c r="B2609" s="45" t="s">
        <v>3802</v>
      </c>
      <c r="C2609" s="55">
        <v>45880</v>
      </c>
      <c r="D2609" s="45" t="s">
        <v>422</v>
      </c>
      <c r="E2609" s="45" t="s">
        <v>3717</v>
      </c>
      <c r="G2609" s="38"/>
      <c r="H2609" s="38">
        <v>174.44</v>
      </c>
    </row>
    <row r="2610" spans="1:8" ht="14.5" x14ac:dyDescent="0.35">
      <c r="A2610" s="45"/>
      <c r="B2610" s="45" t="s">
        <v>3802</v>
      </c>
      <c r="C2610" s="55">
        <v>45880</v>
      </c>
      <c r="D2610" s="45" t="s">
        <v>422</v>
      </c>
      <c r="E2610" s="45" t="s">
        <v>3718</v>
      </c>
      <c r="G2610" s="38"/>
      <c r="H2610" s="38">
        <v>43</v>
      </c>
    </row>
    <row r="2611" spans="1:8" ht="14.5" x14ac:dyDescent="0.35">
      <c r="A2611" s="45"/>
      <c r="B2611" s="45" t="s">
        <v>3802</v>
      </c>
      <c r="C2611" s="55">
        <v>45880</v>
      </c>
      <c r="D2611" s="45" t="s">
        <v>422</v>
      </c>
      <c r="E2611" s="45" t="s">
        <v>3674</v>
      </c>
      <c r="G2611" s="38"/>
      <c r="H2611" s="38">
        <v>167</v>
      </c>
    </row>
    <row r="2612" spans="1:8" ht="14.5" x14ac:dyDescent="0.35">
      <c r="A2612" s="45"/>
      <c r="B2612" s="45" t="s">
        <v>3802</v>
      </c>
      <c r="C2612" s="55">
        <v>45880</v>
      </c>
      <c r="D2612" s="45" t="s">
        <v>422</v>
      </c>
      <c r="E2612" s="45" t="s">
        <v>3677</v>
      </c>
      <c r="G2612" s="38"/>
      <c r="H2612" s="38">
        <v>313.19</v>
      </c>
    </row>
    <row r="2613" spans="1:8" ht="14.5" x14ac:dyDescent="0.35">
      <c r="A2613" s="45"/>
      <c r="B2613" s="45" t="s">
        <v>3802</v>
      </c>
      <c r="C2613" s="55">
        <v>45880</v>
      </c>
      <c r="D2613" s="45" t="s">
        <v>422</v>
      </c>
      <c r="E2613" s="45" t="s">
        <v>3678</v>
      </c>
      <c r="G2613" s="38"/>
      <c r="H2613" s="38">
        <v>163</v>
      </c>
    </row>
    <row r="2614" spans="1:8" ht="14.5" x14ac:dyDescent="0.35">
      <c r="A2614" s="45"/>
      <c r="B2614" s="45" t="s">
        <v>3802</v>
      </c>
      <c r="C2614" s="55">
        <v>45880</v>
      </c>
      <c r="D2614" s="45" t="s">
        <v>422</v>
      </c>
      <c r="E2614" s="45" t="s">
        <v>523</v>
      </c>
      <c r="G2614" s="38"/>
      <c r="H2614" s="38">
        <v>314</v>
      </c>
    </row>
    <row r="2615" spans="1:8" ht="14.5" x14ac:dyDescent="0.35">
      <c r="A2615" s="45"/>
      <c r="B2615" s="45" t="s">
        <v>3802</v>
      </c>
      <c r="C2615" s="55">
        <v>45880</v>
      </c>
      <c r="D2615" s="45" t="s">
        <v>422</v>
      </c>
      <c r="E2615" s="45" t="s">
        <v>3724</v>
      </c>
      <c r="G2615" s="38"/>
      <c r="H2615" s="38">
        <v>174.44</v>
      </c>
    </row>
    <row r="2616" spans="1:8" ht="14.5" x14ac:dyDescent="0.35">
      <c r="A2616" s="45"/>
      <c r="B2616" s="45" t="s">
        <v>3802</v>
      </c>
      <c r="C2616" s="55">
        <v>45880</v>
      </c>
      <c r="D2616" s="45" t="s">
        <v>66</v>
      </c>
      <c r="E2616" s="45" t="s">
        <v>3912</v>
      </c>
      <c r="G2616" s="38"/>
      <c r="H2616" s="38">
        <v>204.8</v>
      </c>
    </row>
    <row r="2617" spans="1:8" ht="14.5" x14ac:dyDescent="0.35">
      <c r="A2617" s="45"/>
      <c r="B2617" s="45" t="s">
        <v>3802</v>
      </c>
      <c r="C2617" s="55">
        <v>45880</v>
      </c>
      <c r="D2617" s="45" t="s">
        <v>422</v>
      </c>
      <c r="E2617" s="45" t="s">
        <v>3726</v>
      </c>
      <c r="G2617" s="38"/>
      <c r="H2617" s="38">
        <v>173.44</v>
      </c>
    </row>
    <row r="2618" spans="1:8" ht="14.5" x14ac:dyDescent="0.35">
      <c r="A2618" s="45"/>
      <c r="B2618" s="45" t="s">
        <v>3802</v>
      </c>
      <c r="C2618" s="55">
        <v>45880</v>
      </c>
      <c r="D2618" s="45" t="s">
        <v>422</v>
      </c>
      <c r="E2618" s="45" t="s">
        <v>3681</v>
      </c>
      <c r="G2618" s="38"/>
      <c r="H2618" s="38">
        <v>313.19</v>
      </c>
    </row>
    <row r="2619" spans="1:8" ht="14.5" x14ac:dyDescent="0.35">
      <c r="A2619" s="45"/>
      <c r="B2619" s="45" t="s">
        <v>3802</v>
      </c>
      <c r="C2619" s="55">
        <v>45880</v>
      </c>
      <c r="D2619" s="45" t="s">
        <v>422</v>
      </c>
      <c r="E2619" s="45" t="s">
        <v>3728</v>
      </c>
      <c r="G2619" s="38"/>
      <c r="H2619" s="38">
        <v>173</v>
      </c>
    </row>
    <row r="2620" spans="1:8" ht="14.5" x14ac:dyDescent="0.35">
      <c r="A2620" s="45"/>
      <c r="B2620" s="45" t="s">
        <v>3802</v>
      </c>
      <c r="C2620" s="55">
        <v>45880</v>
      </c>
      <c r="D2620" s="45" t="s">
        <v>422</v>
      </c>
      <c r="E2620" s="45" t="s">
        <v>3913</v>
      </c>
      <c r="G2620" s="38"/>
      <c r="H2620" s="38">
        <v>170</v>
      </c>
    </row>
    <row r="2621" spans="1:8" ht="14.5" x14ac:dyDescent="0.35">
      <c r="A2621" s="45"/>
      <c r="B2621" s="45" t="s">
        <v>3802</v>
      </c>
      <c r="C2621" s="55">
        <v>45880</v>
      </c>
      <c r="D2621" s="45" t="s">
        <v>422</v>
      </c>
      <c r="E2621" s="45" t="s">
        <v>3619</v>
      </c>
      <c r="G2621" s="38"/>
      <c r="H2621" s="38">
        <v>218</v>
      </c>
    </row>
    <row r="2622" spans="1:8" ht="14.5" x14ac:dyDescent="0.35">
      <c r="A2622" s="45"/>
      <c r="B2622" s="45" t="s">
        <v>3802</v>
      </c>
      <c r="C2622" s="55">
        <v>45880</v>
      </c>
      <c r="D2622" s="45" t="s">
        <v>66</v>
      </c>
      <c r="E2622" s="45" t="s">
        <v>3914</v>
      </c>
      <c r="G2622" s="38"/>
      <c r="H2622" s="38">
        <v>204.8</v>
      </c>
    </row>
    <row r="2623" spans="1:8" ht="14.5" x14ac:dyDescent="0.35">
      <c r="A2623" s="45"/>
      <c r="B2623" s="45" t="s">
        <v>3802</v>
      </c>
      <c r="C2623" s="55">
        <v>45880</v>
      </c>
      <c r="D2623" s="45" t="s">
        <v>422</v>
      </c>
      <c r="E2623" s="45" t="s">
        <v>3915</v>
      </c>
      <c r="G2623" s="38"/>
      <c r="H2623" s="38">
        <v>127.5</v>
      </c>
    </row>
    <row r="2624" spans="1:8" ht="14.5" x14ac:dyDescent="0.35">
      <c r="A2624" s="45"/>
      <c r="B2624" s="45" t="s">
        <v>3802</v>
      </c>
      <c r="C2624" s="55">
        <v>45880</v>
      </c>
      <c r="D2624" s="45" t="s">
        <v>422</v>
      </c>
      <c r="E2624" s="45" t="s">
        <v>3729</v>
      </c>
      <c r="G2624" s="38"/>
      <c r="H2624" s="38">
        <v>337</v>
      </c>
    </row>
    <row r="2625" spans="1:8" ht="14.5" x14ac:dyDescent="0.35">
      <c r="A2625" s="45"/>
      <c r="B2625" s="45" t="s">
        <v>3802</v>
      </c>
      <c r="C2625" s="55">
        <v>45880</v>
      </c>
      <c r="D2625" s="45" t="s">
        <v>422</v>
      </c>
      <c r="E2625" s="45" t="s">
        <v>3730</v>
      </c>
      <c r="G2625" s="38"/>
      <c r="H2625" s="38">
        <v>43</v>
      </c>
    </row>
    <row r="2626" spans="1:8" ht="14.5" x14ac:dyDescent="0.35">
      <c r="A2626" s="45"/>
      <c r="B2626" s="45" t="s">
        <v>3802</v>
      </c>
      <c r="C2626" s="55">
        <v>45880</v>
      </c>
      <c r="D2626" s="45" t="s">
        <v>422</v>
      </c>
      <c r="E2626" s="45" t="s">
        <v>3759</v>
      </c>
      <c r="G2626" s="38"/>
      <c r="H2626" s="38">
        <v>237.5</v>
      </c>
    </row>
    <row r="2627" spans="1:8" ht="14.5" x14ac:dyDescent="0.35">
      <c r="A2627" s="45"/>
      <c r="B2627" s="45" t="s">
        <v>3802</v>
      </c>
      <c r="C2627" s="55">
        <v>45880</v>
      </c>
      <c r="D2627" s="45" t="s">
        <v>66</v>
      </c>
      <c r="E2627" s="45" t="s">
        <v>3916</v>
      </c>
      <c r="G2627" s="38"/>
      <c r="H2627" s="38">
        <v>204.8</v>
      </c>
    </row>
    <row r="2628" spans="1:8" ht="14.5" x14ac:dyDescent="0.35">
      <c r="A2628" s="45"/>
      <c r="B2628" s="45" t="s">
        <v>3802</v>
      </c>
      <c r="C2628" s="55">
        <v>45880</v>
      </c>
      <c r="D2628" s="45" t="s">
        <v>66</v>
      </c>
      <c r="E2628" s="45" t="s">
        <v>3917</v>
      </c>
      <c r="G2628" s="38"/>
      <c r="H2628" s="38">
        <v>204.8</v>
      </c>
    </row>
    <row r="2629" spans="1:8" ht="14.5" x14ac:dyDescent="0.35">
      <c r="A2629" s="45"/>
      <c r="B2629" s="45" t="s">
        <v>3802</v>
      </c>
      <c r="C2629" s="55">
        <v>45880</v>
      </c>
      <c r="D2629" s="45" t="s">
        <v>422</v>
      </c>
      <c r="E2629" s="45" t="s">
        <v>3731</v>
      </c>
      <c r="G2629" s="38"/>
      <c r="H2629" s="38">
        <v>192</v>
      </c>
    </row>
    <row r="2630" spans="1:8" ht="14.5" x14ac:dyDescent="0.35">
      <c r="A2630" s="45"/>
      <c r="B2630" s="45" t="s">
        <v>3802</v>
      </c>
      <c r="C2630" s="55">
        <v>45880</v>
      </c>
      <c r="D2630" s="45" t="s">
        <v>422</v>
      </c>
      <c r="E2630" s="45" t="s">
        <v>3732</v>
      </c>
      <c r="G2630" s="38"/>
      <c r="H2630" s="38">
        <v>173.44</v>
      </c>
    </row>
    <row r="2631" spans="1:8" ht="14.5" x14ac:dyDescent="0.35">
      <c r="A2631" s="45"/>
      <c r="B2631" s="45" t="s">
        <v>3802</v>
      </c>
      <c r="C2631" s="55">
        <v>45880</v>
      </c>
      <c r="D2631" s="45" t="s">
        <v>422</v>
      </c>
      <c r="E2631" s="45" t="s">
        <v>3683</v>
      </c>
      <c r="G2631" s="38"/>
      <c r="H2631" s="38">
        <v>174.44</v>
      </c>
    </row>
    <row r="2632" spans="1:8" ht="14.5" x14ac:dyDescent="0.35">
      <c r="A2632" s="45"/>
      <c r="B2632" s="45" t="s">
        <v>3802</v>
      </c>
      <c r="C2632" s="55">
        <v>45880</v>
      </c>
      <c r="D2632" s="45" t="s">
        <v>422</v>
      </c>
      <c r="E2632" s="45" t="s">
        <v>3733</v>
      </c>
      <c r="G2632" s="38"/>
      <c r="H2632" s="38">
        <v>173.44</v>
      </c>
    </row>
    <row r="2633" spans="1:8" ht="14.5" x14ac:dyDescent="0.35">
      <c r="A2633" s="45"/>
      <c r="B2633" s="45" t="s">
        <v>3802</v>
      </c>
      <c r="C2633" s="55">
        <v>45880</v>
      </c>
      <c r="D2633" s="45" t="s">
        <v>422</v>
      </c>
      <c r="E2633" s="45" t="s">
        <v>3734</v>
      </c>
      <c r="G2633" s="38"/>
      <c r="H2633" s="38">
        <v>86</v>
      </c>
    </row>
    <row r="2634" spans="1:8" ht="14.5" x14ac:dyDescent="0.35">
      <c r="A2634" s="45"/>
      <c r="B2634" s="45" t="s">
        <v>3802</v>
      </c>
      <c r="C2634" s="55">
        <v>45880</v>
      </c>
      <c r="D2634" s="45" t="s">
        <v>422</v>
      </c>
      <c r="E2634" s="45" t="s">
        <v>3735</v>
      </c>
      <c r="G2634" s="38"/>
      <c r="H2634" s="38">
        <v>173</v>
      </c>
    </row>
    <row r="2635" spans="1:8" ht="14.5" x14ac:dyDescent="0.35">
      <c r="A2635" s="45"/>
      <c r="B2635" s="45" t="s">
        <v>3802</v>
      </c>
      <c r="C2635" s="55">
        <v>45880</v>
      </c>
      <c r="D2635" s="45" t="s">
        <v>66</v>
      </c>
      <c r="E2635" s="45" t="s">
        <v>3918</v>
      </c>
      <c r="G2635" s="38"/>
      <c r="H2635" s="38">
        <v>409.6</v>
      </c>
    </row>
    <row r="2636" spans="1:8" ht="14.5" x14ac:dyDescent="0.35">
      <c r="A2636" s="45"/>
      <c r="B2636" s="45" t="s">
        <v>3802</v>
      </c>
      <c r="C2636" s="55">
        <v>45880</v>
      </c>
      <c r="D2636" s="45" t="s">
        <v>422</v>
      </c>
      <c r="E2636" s="45" t="s">
        <v>3736</v>
      </c>
      <c r="G2636" s="38"/>
      <c r="H2636" s="38">
        <v>173</v>
      </c>
    </row>
    <row r="2637" spans="1:8" ht="14.5" x14ac:dyDescent="0.35">
      <c r="A2637" s="45"/>
      <c r="B2637" s="45" t="s">
        <v>3802</v>
      </c>
      <c r="C2637" s="55">
        <v>45880</v>
      </c>
      <c r="D2637" s="45" t="s">
        <v>933</v>
      </c>
      <c r="E2637" s="45" t="s">
        <v>946</v>
      </c>
      <c r="G2637" s="38"/>
      <c r="H2637" s="38">
        <v>788.75</v>
      </c>
    </row>
    <row r="2638" spans="1:8" ht="14.5" x14ac:dyDescent="0.35">
      <c r="A2638" s="45"/>
      <c r="B2638" s="45" t="s">
        <v>3802</v>
      </c>
      <c r="C2638" s="55">
        <v>45880</v>
      </c>
      <c r="D2638" s="45" t="s">
        <v>422</v>
      </c>
      <c r="E2638" s="45" t="s">
        <v>3738</v>
      </c>
      <c r="G2638" s="38"/>
      <c r="H2638" s="38">
        <v>173.44</v>
      </c>
    </row>
    <row r="2639" spans="1:8" ht="14.5" x14ac:dyDescent="0.35">
      <c r="A2639" s="45"/>
      <c r="B2639" s="45" t="s">
        <v>3802</v>
      </c>
      <c r="C2639" s="55">
        <v>45880</v>
      </c>
      <c r="D2639" s="45" t="s">
        <v>422</v>
      </c>
      <c r="E2639" s="45" t="s">
        <v>3919</v>
      </c>
      <c r="G2639" s="38"/>
      <c r="H2639" s="38">
        <v>67.78</v>
      </c>
    </row>
    <row r="2640" spans="1:8" ht="14.5" x14ac:dyDescent="0.35">
      <c r="A2640" s="45"/>
      <c r="B2640" s="45" t="s">
        <v>3802</v>
      </c>
      <c r="C2640" s="55">
        <v>45880</v>
      </c>
      <c r="D2640" s="45" t="s">
        <v>422</v>
      </c>
      <c r="E2640" s="45" t="s">
        <v>3621</v>
      </c>
      <c r="G2640" s="38"/>
      <c r="H2640" s="38">
        <v>114.78</v>
      </c>
    </row>
    <row r="2641" spans="1:8" ht="14.5" x14ac:dyDescent="0.35">
      <c r="A2641" s="45"/>
      <c r="B2641" s="45" t="s">
        <v>3802</v>
      </c>
      <c r="C2641" s="55">
        <v>45880</v>
      </c>
      <c r="D2641" s="45" t="s">
        <v>422</v>
      </c>
      <c r="E2641" s="45" t="s">
        <v>3740</v>
      </c>
      <c r="G2641" s="38"/>
      <c r="H2641" s="38">
        <v>174.44</v>
      </c>
    </row>
    <row r="2642" spans="1:8" ht="14.5" x14ac:dyDescent="0.35">
      <c r="A2642" s="45"/>
      <c r="B2642" s="45" t="s">
        <v>3802</v>
      </c>
      <c r="C2642" s="55">
        <v>45880</v>
      </c>
      <c r="D2642" s="45" t="s">
        <v>422</v>
      </c>
      <c r="E2642" s="45" t="s">
        <v>573</v>
      </c>
      <c r="G2642" s="38"/>
      <c r="H2642" s="38">
        <v>67.760000000000005</v>
      </c>
    </row>
    <row r="2643" spans="1:8" ht="14.5" x14ac:dyDescent="0.35">
      <c r="A2643" s="45"/>
      <c r="B2643" s="45" t="s">
        <v>3802</v>
      </c>
      <c r="C2643" s="55">
        <v>45880</v>
      </c>
      <c r="D2643" s="45" t="s">
        <v>422</v>
      </c>
      <c r="E2643" s="45" t="s">
        <v>3920</v>
      </c>
      <c r="G2643" s="38"/>
      <c r="H2643" s="38">
        <v>67.78</v>
      </c>
    </row>
    <row r="2644" spans="1:8" ht="14.5" x14ac:dyDescent="0.35">
      <c r="A2644" s="45"/>
      <c r="B2644" s="45" t="s">
        <v>3802</v>
      </c>
      <c r="C2644" s="55">
        <v>45880</v>
      </c>
      <c r="D2644" s="45" t="s">
        <v>422</v>
      </c>
      <c r="E2644" s="45" t="s">
        <v>3921</v>
      </c>
      <c r="G2644" s="38"/>
      <c r="H2644" s="38">
        <v>67.78</v>
      </c>
    </row>
    <row r="2645" spans="1:8" ht="14.5" x14ac:dyDescent="0.35">
      <c r="A2645" s="45"/>
      <c r="B2645" s="45" t="s">
        <v>3802</v>
      </c>
      <c r="C2645" s="55">
        <v>45880</v>
      </c>
      <c r="D2645" s="45" t="s">
        <v>66</v>
      </c>
      <c r="E2645" s="45" t="s">
        <v>3922</v>
      </c>
      <c r="G2645" s="38"/>
      <c r="H2645" s="38">
        <v>853.62</v>
      </c>
    </row>
    <row r="2646" spans="1:8" ht="14.5" x14ac:dyDescent="0.35">
      <c r="A2646" s="45"/>
      <c r="B2646" s="45" t="s">
        <v>3802</v>
      </c>
      <c r="C2646" s="55">
        <v>45880</v>
      </c>
      <c r="D2646" s="45" t="s">
        <v>66</v>
      </c>
      <c r="E2646" s="45" t="s">
        <v>3923</v>
      </c>
      <c r="G2646" s="38"/>
      <c r="H2646" s="38">
        <v>855.48</v>
      </c>
    </row>
    <row r="2647" spans="1:8" ht="14.5" x14ac:dyDescent="0.35">
      <c r="A2647" s="45"/>
      <c r="B2647" s="45" t="s">
        <v>3802</v>
      </c>
      <c r="C2647" s="55">
        <v>45880</v>
      </c>
      <c r="D2647" s="45" t="s">
        <v>422</v>
      </c>
      <c r="E2647" s="45" t="s">
        <v>3749</v>
      </c>
      <c r="G2647" s="38"/>
      <c r="H2647" s="38">
        <v>173.44</v>
      </c>
    </row>
    <row r="2648" spans="1:8" ht="14.5" x14ac:dyDescent="0.35">
      <c r="A2648" s="45"/>
      <c r="B2648" s="45" t="s">
        <v>3802</v>
      </c>
      <c r="C2648" s="55">
        <v>45880</v>
      </c>
      <c r="D2648" s="45" t="s">
        <v>422</v>
      </c>
      <c r="E2648" s="45" t="s">
        <v>3752</v>
      </c>
      <c r="G2648" s="38"/>
      <c r="H2648" s="38">
        <v>173</v>
      </c>
    </row>
    <row r="2649" spans="1:8" ht="14.5" x14ac:dyDescent="0.35">
      <c r="A2649" s="45"/>
      <c r="B2649" s="45" t="s">
        <v>3802</v>
      </c>
      <c r="C2649" s="55">
        <v>45880</v>
      </c>
      <c r="D2649" s="45" t="s">
        <v>422</v>
      </c>
      <c r="E2649" s="45" t="s">
        <v>3924</v>
      </c>
      <c r="G2649" s="38"/>
      <c r="H2649" s="38">
        <v>67.78</v>
      </c>
    </row>
    <row r="2650" spans="1:8" ht="14.5" x14ac:dyDescent="0.35">
      <c r="A2650" s="45"/>
      <c r="B2650" s="45" t="s">
        <v>3802</v>
      </c>
      <c r="C2650" s="55">
        <v>45880</v>
      </c>
      <c r="D2650" s="45" t="s">
        <v>422</v>
      </c>
      <c r="E2650" s="45" t="s">
        <v>3925</v>
      </c>
      <c r="G2650" s="38"/>
      <c r="H2650" s="38">
        <v>67.78</v>
      </c>
    </row>
    <row r="2651" spans="1:8" ht="14.5" x14ac:dyDescent="0.35">
      <c r="A2651" s="45"/>
      <c r="B2651" s="45" t="s">
        <v>3802</v>
      </c>
      <c r="C2651" s="55">
        <v>45880</v>
      </c>
      <c r="D2651" s="45" t="s">
        <v>422</v>
      </c>
      <c r="E2651" s="45" t="s">
        <v>3755</v>
      </c>
      <c r="G2651" s="38"/>
      <c r="H2651" s="38">
        <v>173.44</v>
      </c>
    </row>
    <row r="2652" spans="1:8" ht="14.5" x14ac:dyDescent="0.35">
      <c r="A2652" s="45"/>
      <c r="B2652" s="45" t="s">
        <v>3802</v>
      </c>
      <c r="C2652" s="55">
        <v>45880</v>
      </c>
      <c r="D2652" s="45" t="s">
        <v>422</v>
      </c>
      <c r="E2652" s="45" t="s">
        <v>3926</v>
      </c>
      <c r="G2652" s="38"/>
      <c r="H2652" s="38">
        <v>305.56</v>
      </c>
    </row>
    <row r="2653" spans="1:8" ht="14.5" x14ac:dyDescent="0.35">
      <c r="A2653" s="45"/>
      <c r="B2653" s="45" t="s">
        <v>3802</v>
      </c>
      <c r="C2653" s="55">
        <v>45880</v>
      </c>
      <c r="D2653" s="45" t="s">
        <v>422</v>
      </c>
      <c r="E2653" s="45" t="s">
        <v>3688</v>
      </c>
      <c r="G2653" s="38"/>
      <c r="H2653" s="38">
        <v>313.19</v>
      </c>
    </row>
    <row r="2654" spans="1:8" ht="14.5" x14ac:dyDescent="0.35">
      <c r="A2654" s="45"/>
      <c r="B2654" s="45" t="s">
        <v>3802</v>
      </c>
      <c r="C2654" s="55">
        <v>45880</v>
      </c>
      <c r="D2654" s="45" t="s">
        <v>422</v>
      </c>
      <c r="E2654" s="45" t="s">
        <v>3756</v>
      </c>
      <c r="G2654" s="38"/>
      <c r="H2654" s="38">
        <v>173</v>
      </c>
    </row>
    <row r="2655" spans="1:8" ht="14.5" x14ac:dyDescent="0.35">
      <c r="A2655" s="45"/>
      <c r="B2655" s="45" t="s">
        <v>3802</v>
      </c>
      <c r="C2655" s="55">
        <v>45880</v>
      </c>
      <c r="D2655" s="45" t="s">
        <v>422</v>
      </c>
      <c r="E2655" s="45" t="s">
        <v>3757</v>
      </c>
      <c r="G2655" s="38"/>
      <c r="H2655" s="38">
        <v>43</v>
      </c>
    </row>
    <row r="2656" spans="1:8" ht="14.5" x14ac:dyDescent="0.35">
      <c r="A2656" s="45"/>
      <c r="B2656" s="45" t="s">
        <v>3802</v>
      </c>
      <c r="C2656" s="55">
        <v>45880</v>
      </c>
      <c r="D2656" s="45" t="s">
        <v>66</v>
      </c>
      <c r="E2656" s="45" t="s">
        <v>3927</v>
      </c>
      <c r="G2656" s="38"/>
      <c r="H2656" s="38">
        <v>1705</v>
      </c>
    </row>
    <row r="2657" spans="1:8" ht="14.5" x14ac:dyDescent="0.35">
      <c r="A2657" s="45"/>
      <c r="B2657" s="45" t="s">
        <v>3802</v>
      </c>
      <c r="C2657" s="55">
        <v>45880</v>
      </c>
      <c r="D2657" s="45" t="s">
        <v>422</v>
      </c>
      <c r="E2657" s="45" t="s">
        <v>3764</v>
      </c>
      <c r="G2657" s="38"/>
      <c r="H2657" s="38">
        <v>173</v>
      </c>
    </row>
    <row r="2658" spans="1:8" ht="14.5" x14ac:dyDescent="0.35">
      <c r="A2658" s="45"/>
      <c r="B2658" s="45" t="s">
        <v>3802</v>
      </c>
      <c r="C2658" s="55">
        <v>45880</v>
      </c>
      <c r="D2658" s="45" t="s">
        <v>422</v>
      </c>
      <c r="E2658" s="45" t="s">
        <v>3689</v>
      </c>
      <c r="G2658" s="38"/>
      <c r="H2658" s="38">
        <v>163</v>
      </c>
    </row>
    <row r="2659" spans="1:8" ht="14.5" x14ac:dyDescent="0.35">
      <c r="A2659" s="45"/>
      <c r="B2659" s="45" t="s">
        <v>3802</v>
      </c>
      <c r="C2659" s="55">
        <v>45880</v>
      </c>
      <c r="D2659" s="45" t="s">
        <v>422</v>
      </c>
      <c r="E2659" s="45" t="s">
        <v>3772</v>
      </c>
      <c r="G2659" s="38"/>
      <c r="H2659" s="38">
        <v>173</v>
      </c>
    </row>
    <row r="2660" spans="1:8" ht="14.5" x14ac:dyDescent="0.35">
      <c r="A2660" s="45"/>
      <c r="B2660" s="45" t="s">
        <v>3802</v>
      </c>
      <c r="C2660" s="55">
        <v>45880</v>
      </c>
      <c r="D2660" s="45" t="s">
        <v>422</v>
      </c>
      <c r="E2660" s="45" t="s">
        <v>3690</v>
      </c>
      <c r="G2660" s="38"/>
      <c r="H2660" s="38">
        <v>176.52</v>
      </c>
    </row>
    <row r="2661" spans="1:8" ht="14.5" x14ac:dyDescent="0.35">
      <c r="A2661" s="45"/>
      <c r="B2661" s="45" t="s">
        <v>3802</v>
      </c>
      <c r="C2661" s="55">
        <v>45880</v>
      </c>
      <c r="D2661" s="45" t="s">
        <v>422</v>
      </c>
      <c r="E2661" s="45" t="s">
        <v>3778</v>
      </c>
      <c r="G2661" s="38"/>
      <c r="H2661" s="38">
        <v>48</v>
      </c>
    </row>
    <row r="2662" spans="1:8" ht="14.5" x14ac:dyDescent="0.35">
      <c r="A2662" s="45"/>
      <c r="B2662" s="45" t="s">
        <v>3802</v>
      </c>
      <c r="C2662" s="55">
        <v>45880</v>
      </c>
      <c r="D2662" s="45" t="s">
        <v>324</v>
      </c>
      <c r="E2662" s="45" t="s">
        <v>3928</v>
      </c>
      <c r="G2662" s="38"/>
      <c r="H2662" s="38">
        <v>0</v>
      </c>
    </row>
    <row r="2663" spans="1:8" ht="14.5" x14ac:dyDescent="0.35">
      <c r="A2663" s="45"/>
      <c r="B2663" s="45" t="s">
        <v>3802</v>
      </c>
      <c r="C2663" s="55">
        <v>45881</v>
      </c>
      <c r="D2663" s="45" t="s">
        <v>803</v>
      </c>
      <c r="E2663" s="45" t="s">
        <v>3655</v>
      </c>
      <c r="G2663" s="38"/>
      <c r="H2663" s="38">
        <v>5001</v>
      </c>
    </row>
    <row r="2664" spans="1:8" ht="14.5" x14ac:dyDescent="0.35">
      <c r="A2664" s="45"/>
      <c r="B2664" s="45" t="s">
        <v>3802</v>
      </c>
      <c r="C2664" s="55">
        <v>45881</v>
      </c>
      <c r="D2664" s="45" t="s">
        <v>3929</v>
      </c>
      <c r="E2664" s="45" t="s">
        <v>3930</v>
      </c>
      <c r="G2664" s="38"/>
      <c r="H2664" s="38">
        <v>195</v>
      </c>
    </row>
    <row r="2665" spans="1:8" ht="14.5" x14ac:dyDescent="0.35">
      <c r="A2665" s="45"/>
      <c r="B2665" s="45" t="s">
        <v>3802</v>
      </c>
      <c r="C2665" s="55">
        <v>45881</v>
      </c>
      <c r="D2665" s="45" t="s">
        <v>421</v>
      </c>
      <c r="E2665" s="45" t="s">
        <v>3931</v>
      </c>
      <c r="G2665" s="38"/>
      <c r="H2665" s="38">
        <v>262.5</v>
      </c>
    </row>
    <row r="2666" spans="1:8" ht="14.5" x14ac:dyDescent="0.35">
      <c r="A2666" s="45"/>
      <c r="B2666" s="45" t="s">
        <v>3802</v>
      </c>
      <c r="C2666" s="55">
        <v>45881</v>
      </c>
      <c r="D2666" s="45" t="s">
        <v>96</v>
      </c>
      <c r="E2666" s="45" t="s">
        <v>3605</v>
      </c>
      <c r="G2666" s="38"/>
      <c r="H2666" s="38">
        <v>902.7</v>
      </c>
    </row>
    <row r="2667" spans="1:8" ht="14.5" x14ac:dyDescent="0.35">
      <c r="A2667" s="45"/>
      <c r="B2667" s="45" t="s">
        <v>3802</v>
      </c>
      <c r="C2667" s="55">
        <v>45881</v>
      </c>
      <c r="D2667" s="45" t="s">
        <v>421</v>
      </c>
      <c r="E2667" s="45" t="s">
        <v>3932</v>
      </c>
      <c r="G2667" s="38"/>
      <c r="H2667" s="38">
        <v>150</v>
      </c>
    </row>
    <row r="2668" spans="1:8" ht="14.5" x14ac:dyDescent="0.35">
      <c r="A2668" s="45"/>
      <c r="B2668" s="45" t="s">
        <v>3802</v>
      </c>
      <c r="C2668" s="55">
        <v>45881</v>
      </c>
      <c r="D2668" s="45" t="s">
        <v>96</v>
      </c>
      <c r="E2668" s="45" t="s">
        <v>3713</v>
      </c>
      <c r="G2668" s="38"/>
      <c r="H2668" s="38">
        <v>104.6</v>
      </c>
    </row>
    <row r="2669" spans="1:8" ht="14.5" x14ac:dyDescent="0.35">
      <c r="A2669" s="45"/>
      <c r="B2669" s="45" t="s">
        <v>3802</v>
      </c>
      <c r="C2669" s="55">
        <v>45881</v>
      </c>
      <c r="D2669" s="45" t="s">
        <v>882</v>
      </c>
      <c r="E2669" s="45">
        <v>72500017</v>
      </c>
      <c r="G2669" s="38"/>
      <c r="H2669" s="38">
        <v>105.1</v>
      </c>
    </row>
    <row r="2670" spans="1:8" ht="14.5" x14ac:dyDescent="0.35">
      <c r="A2670" s="45"/>
      <c r="B2670" s="45" t="s">
        <v>3802</v>
      </c>
      <c r="C2670" s="55">
        <v>45881</v>
      </c>
      <c r="D2670" s="45" t="s">
        <v>422</v>
      </c>
      <c r="E2670" s="45" t="s">
        <v>554</v>
      </c>
      <c r="G2670" s="38"/>
      <c r="H2670" s="38">
        <v>16.71</v>
      </c>
    </row>
    <row r="2671" spans="1:8" ht="14.5" x14ac:dyDescent="0.35">
      <c r="A2671" s="45"/>
      <c r="B2671" s="45" t="s">
        <v>3802</v>
      </c>
      <c r="C2671" s="55">
        <v>45881</v>
      </c>
      <c r="D2671" s="45" t="s">
        <v>3607</v>
      </c>
      <c r="E2671" s="45" t="s">
        <v>3608</v>
      </c>
      <c r="G2671" s="38"/>
      <c r="H2671" s="38">
        <v>1614.17</v>
      </c>
    </row>
    <row r="2672" spans="1:8" ht="14.5" x14ac:dyDescent="0.35">
      <c r="A2672" s="45"/>
      <c r="B2672" s="45" t="s">
        <v>3802</v>
      </c>
      <c r="C2672" s="55">
        <v>45881</v>
      </c>
      <c r="D2672" s="45" t="s">
        <v>422</v>
      </c>
      <c r="E2672" s="45" t="s">
        <v>3933</v>
      </c>
      <c r="G2672" s="38"/>
      <c r="H2672" s="38">
        <v>16</v>
      </c>
    </row>
    <row r="2673" spans="1:8" ht="14.5" x14ac:dyDescent="0.35">
      <c r="A2673" s="45"/>
      <c r="B2673" s="45" t="s">
        <v>3802</v>
      </c>
      <c r="C2673" s="55">
        <v>45881</v>
      </c>
      <c r="D2673" s="45" t="s">
        <v>422</v>
      </c>
      <c r="E2673" s="45" t="s">
        <v>3934</v>
      </c>
      <c r="G2673" s="38"/>
      <c r="H2673" s="38">
        <v>15</v>
      </c>
    </row>
    <row r="2674" spans="1:8" ht="14.5" x14ac:dyDescent="0.35">
      <c r="A2674" s="45"/>
      <c r="B2674" s="45" t="s">
        <v>3802</v>
      </c>
      <c r="C2674" s="55">
        <v>45881</v>
      </c>
      <c r="D2674" s="45" t="s">
        <v>324</v>
      </c>
      <c r="E2674" s="45" t="s">
        <v>338</v>
      </c>
      <c r="G2674" s="38"/>
      <c r="H2674" s="38">
        <v>0</v>
      </c>
    </row>
    <row r="2675" spans="1:8" ht="14.5" x14ac:dyDescent="0.35">
      <c r="A2675" s="45"/>
      <c r="B2675" s="45" t="s">
        <v>3802</v>
      </c>
      <c r="C2675" s="55">
        <v>45881</v>
      </c>
      <c r="D2675" s="45" t="s">
        <v>324</v>
      </c>
      <c r="E2675" s="45" t="s">
        <v>3935</v>
      </c>
      <c r="G2675" s="38"/>
      <c r="H2675" s="38">
        <v>0</v>
      </c>
    </row>
    <row r="2676" spans="1:8" ht="14.5" x14ac:dyDescent="0.35">
      <c r="A2676" s="45"/>
      <c r="B2676" s="45" t="s">
        <v>3802</v>
      </c>
      <c r="C2676" s="55">
        <v>45881</v>
      </c>
      <c r="D2676" s="45" t="s">
        <v>324</v>
      </c>
      <c r="E2676" s="45" t="s">
        <v>3936</v>
      </c>
      <c r="G2676" s="38"/>
      <c r="H2676" s="38">
        <v>0</v>
      </c>
    </row>
    <row r="2677" spans="1:8" ht="14.5" x14ac:dyDescent="0.35">
      <c r="A2677" s="45"/>
      <c r="B2677" s="45" t="s">
        <v>3802</v>
      </c>
      <c r="C2677" s="55">
        <v>45881</v>
      </c>
      <c r="D2677" s="45" t="s">
        <v>324</v>
      </c>
      <c r="E2677" s="45" t="s">
        <v>3595</v>
      </c>
      <c r="G2677" s="38"/>
      <c r="H2677" s="38">
        <v>0</v>
      </c>
    </row>
    <row r="2678" spans="1:8" ht="14.5" x14ac:dyDescent="0.35">
      <c r="A2678" s="45"/>
      <c r="B2678" s="45" t="s">
        <v>3802</v>
      </c>
      <c r="C2678" s="55">
        <v>45881</v>
      </c>
      <c r="D2678" s="45" t="s">
        <v>324</v>
      </c>
      <c r="E2678" s="45" t="s">
        <v>3937</v>
      </c>
      <c r="G2678" s="38"/>
      <c r="H2678" s="38">
        <v>259.07</v>
      </c>
    </row>
    <row r="2679" spans="1:8" ht="14.5" x14ac:dyDescent="0.35">
      <c r="A2679" s="45"/>
      <c r="B2679" s="45" t="s">
        <v>3802</v>
      </c>
      <c r="C2679" s="55">
        <v>45882</v>
      </c>
      <c r="D2679" s="45" t="s">
        <v>422</v>
      </c>
      <c r="E2679" s="45" t="s">
        <v>3938</v>
      </c>
      <c r="G2679" s="38"/>
      <c r="H2679" s="38">
        <v>6.44</v>
      </c>
    </row>
    <row r="2680" spans="1:8" ht="14.5" x14ac:dyDescent="0.35">
      <c r="A2680" s="45"/>
      <c r="B2680" s="45" t="s">
        <v>3802</v>
      </c>
      <c r="C2680" s="55">
        <v>45882</v>
      </c>
      <c r="D2680" s="45" t="s">
        <v>422</v>
      </c>
      <c r="E2680" s="45" t="s">
        <v>3939</v>
      </c>
      <c r="G2680" s="38"/>
      <c r="H2680" s="38">
        <v>5</v>
      </c>
    </row>
    <row r="2681" spans="1:8" ht="14.5" x14ac:dyDescent="0.35">
      <c r="A2681" s="45"/>
      <c r="B2681" s="45" t="s">
        <v>3802</v>
      </c>
      <c r="C2681" s="55">
        <v>45882</v>
      </c>
      <c r="D2681" s="45" t="s">
        <v>422</v>
      </c>
      <c r="E2681" s="45" t="s">
        <v>3940</v>
      </c>
      <c r="G2681" s="38"/>
      <c r="H2681" s="38">
        <v>5</v>
      </c>
    </row>
    <row r="2682" spans="1:8" ht="14.5" x14ac:dyDescent="0.35">
      <c r="A2682" s="45"/>
      <c r="B2682" s="45" t="s">
        <v>3802</v>
      </c>
      <c r="C2682" s="55">
        <v>45882</v>
      </c>
      <c r="D2682" s="45" t="s">
        <v>109</v>
      </c>
      <c r="E2682" s="45" t="s">
        <v>273</v>
      </c>
      <c r="G2682" s="38"/>
      <c r="H2682" s="38">
        <v>555</v>
      </c>
    </row>
    <row r="2683" spans="1:8" ht="14.5" x14ac:dyDescent="0.35">
      <c r="A2683" s="45"/>
      <c r="B2683" s="45" t="s">
        <v>3802</v>
      </c>
      <c r="C2683" s="55">
        <v>45882</v>
      </c>
      <c r="D2683" s="45" t="s">
        <v>422</v>
      </c>
      <c r="E2683" s="45" t="s">
        <v>3941</v>
      </c>
      <c r="G2683" s="38"/>
      <c r="H2683" s="38">
        <v>5</v>
      </c>
    </row>
    <row r="2684" spans="1:8" ht="14.5" x14ac:dyDescent="0.35">
      <c r="A2684" s="45"/>
      <c r="B2684" s="45" t="s">
        <v>3802</v>
      </c>
      <c r="C2684" s="55">
        <v>45882</v>
      </c>
      <c r="D2684" s="45" t="s">
        <v>422</v>
      </c>
      <c r="E2684" s="45" t="s">
        <v>3942</v>
      </c>
      <c r="G2684" s="38"/>
      <c r="H2684" s="38">
        <v>5</v>
      </c>
    </row>
    <row r="2685" spans="1:8" ht="14.5" x14ac:dyDescent="0.35">
      <c r="A2685" s="45"/>
      <c r="B2685" s="45" t="s">
        <v>3802</v>
      </c>
      <c r="C2685" s="55">
        <v>45882</v>
      </c>
      <c r="D2685" s="45" t="s">
        <v>422</v>
      </c>
      <c r="E2685" s="45" t="s">
        <v>3943</v>
      </c>
      <c r="G2685" s="38"/>
      <c r="H2685" s="38">
        <v>5</v>
      </c>
    </row>
    <row r="2686" spans="1:8" ht="14.5" x14ac:dyDescent="0.35">
      <c r="A2686" s="45"/>
      <c r="B2686" s="45" t="s">
        <v>3802</v>
      </c>
      <c r="C2686" s="55">
        <v>45882</v>
      </c>
      <c r="D2686" s="45" t="s">
        <v>422</v>
      </c>
      <c r="E2686" s="45" t="s">
        <v>3944</v>
      </c>
      <c r="G2686" s="38"/>
      <c r="H2686" s="38">
        <v>5</v>
      </c>
    </row>
    <row r="2687" spans="1:8" ht="14.5" x14ac:dyDescent="0.35">
      <c r="A2687" s="45"/>
      <c r="B2687" s="45" t="s">
        <v>3802</v>
      </c>
      <c r="C2687" s="55">
        <v>45882</v>
      </c>
      <c r="D2687" s="45" t="s">
        <v>422</v>
      </c>
      <c r="E2687" s="45" t="s">
        <v>3667</v>
      </c>
      <c r="G2687" s="38"/>
      <c r="H2687" s="38">
        <v>305.44</v>
      </c>
    </row>
    <row r="2688" spans="1:8" ht="14.5" x14ac:dyDescent="0.35">
      <c r="A2688" s="45"/>
      <c r="B2688" s="45" t="s">
        <v>3802</v>
      </c>
      <c r="C2688" s="55">
        <v>45882</v>
      </c>
      <c r="D2688" s="45" t="s">
        <v>422</v>
      </c>
      <c r="E2688" s="45" t="s">
        <v>3668</v>
      </c>
      <c r="G2688" s="38"/>
      <c r="H2688" s="38">
        <v>23</v>
      </c>
    </row>
    <row r="2689" spans="1:8" ht="14.5" x14ac:dyDescent="0.35">
      <c r="A2689" s="45"/>
      <c r="B2689" s="45" t="s">
        <v>3802</v>
      </c>
      <c r="C2689" s="55">
        <v>45882</v>
      </c>
      <c r="D2689" s="45" t="s">
        <v>422</v>
      </c>
      <c r="E2689" s="45" t="s">
        <v>550</v>
      </c>
      <c r="G2689" s="38"/>
      <c r="H2689" s="38">
        <v>15.129999999999999</v>
      </c>
    </row>
    <row r="2690" spans="1:8" ht="14.5" x14ac:dyDescent="0.35">
      <c r="A2690" s="45"/>
      <c r="B2690" s="45" t="s">
        <v>3802</v>
      </c>
      <c r="C2690" s="55">
        <v>45882</v>
      </c>
      <c r="D2690" s="45" t="s">
        <v>422</v>
      </c>
      <c r="E2690" s="45" t="s">
        <v>543</v>
      </c>
      <c r="G2690" s="38"/>
      <c r="H2690" s="38">
        <v>148</v>
      </c>
    </row>
    <row r="2691" spans="1:8" ht="14.5" x14ac:dyDescent="0.35">
      <c r="A2691" s="45"/>
      <c r="B2691" s="45" t="s">
        <v>3802</v>
      </c>
      <c r="C2691" s="55">
        <v>45882</v>
      </c>
      <c r="D2691" s="45" t="s">
        <v>422</v>
      </c>
      <c r="E2691" s="45" t="s">
        <v>3945</v>
      </c>
      <c r="G2691" s="38"/>
      <c r="H2691" s="38">
        <v>10</v>
      </c>
    </row>
    <row r="2692" spans="1:8" ht="14.5" x14ac:dyDescent="0.35">
      <c r="A2692" s="45"/>
      <c r="B2692" s="45" t="s">
        <v>3802</v>
      </c>
      <c r="C2692" s="55">
        <v>45882</v>
      </c>
      <c r="D2692" s="45" t="s">
        <v>422</v>
      </c>
      <c r="E2692" s="45" t="s">
        <v>3946</v>
      </c>
      <c r="G2692" s="38"/>
      <c r="H2692" s="38">
        <v>10</v>
      </c>
    </row>
    <row r="2693" spans="1:8" ht="14.5" x14ac:dyDescent="0.35">
      <c r="A2693" s="45"/>
      <c r="B2693" s="45" t="s">
        <v>3802</v>
      </c>
      <c r="C2693" s="55">
        <v>45882</v>
      </c>
      <c r="D2693" s="45" t="s">
        <v>422</v>
      </c>
      <c r="E2693" s="45" t="s">
        <v>3947</v>
      </c>
      <c r="G2693" s="38"/>
      <c r="H2693" s="38">
        <v>9</v>
      </c>
    </row>
    <row r="2694" spans="1:8" ht="14.5" x14ac:dyDescent="0.35">
      <c r="A2694" s="45"/>
      <c r="B2694" s="45" t="s">
        <v>3802</v>
      </c>
      <c r="C2694" s="55">
        <v>45882</v>
      </c>
      <c r="D2694" s="45" t="s">
        <v>422</v>
      </c>
      <c r="E2694" s="45" t="s">
        <v>3948</v>
      </c>
      <c r="G2694" s="38"/>
      <c r="H2694" s="38">
        <v>9</v>
      </c>
    </row>
    <row r="2695" spans="1:8" ht="14.5" x14ac:dyDescent="0.35">
      <c r="A2695" s="45"/>
      <c r="B2695" s="45" t="s">
        <v>3802</v>
      </c>
      <c r="C2695" s="55">
        <v>45882</v>
      </c>
      <c r="D2695" s="45" t="s">
        <v>422</v>
      </c>
      <c r="E2695" s="45" t="s">
        <v>3949</v>
      </c>
      <c r="G2695" s="38"/>
      <c r="H2695" s="38">
        <v>9</v>
      </c>
    </row>
    <row r="2696" spans="1:8" ht="14.5" x14ac:dyDescent="0.35">
      <c r="A2696" s="45"/>
      <c r="B2696" s="45" t="s">
        <v>3802</v>
      </c>
      <c r="C2696" s="55">
        <v>45882</v>
      </c>
      <c r="D2696" s="45" t="s">
        <v>422</v>
      </c>
      <c r="E2696" s="45" t="s">
        <v>544</v>
      </c>
      <c r="G2696" s="38"/>
      <c r="H2696" s="38">
        <v>6</v>
      </c>
    </row>
    <row r="2697" spans="1:8" ht="14.5" x14ac:dyDescent="0.35">
      <c r="A2697" s="45"/>
      <c r="B2697" s="45" t="s">
        <v>3802</v>
      </c>
      <c r="C2697" s="55">
        <v>45882</v>
      </c>
      <c r="D2697" s="45" t="s">
        <v>422</v>
      </c>
      <c r="E2697" s="45" t="s">
        <v>545</v>
      </c>
      <c r="G2697" s="38"/>
      <c r="H2697" s="38">
        <v>4</v>
      </c>
    </row>
    <row r="2698" spans="1:8" ht="14.5" x14ac:dyDescent="0.35">
      <c r="A2698" s="45"/>
      <c r="B2698" s="45" t="s">
        <v>3802</v>
      </c>
      <c r="C2698" s="55">
        <v>45882</v>
      </c>
      <c r="D2698" s="45" t="s">
        <v>422</v>
      </c>
      <c r="E2698" s="45" t="s">
        <v>3950</v>
      </c>
      <c r="G2698" s="38"/>
      <c r="H2698" s="38">
        <v>9</v>
      </c>
    </row>
    <row r="2699" spans="1:8" ht="14.5" x14ac:dyDescent="0.35">
      <c r="A2699" s="45"/>
      <c r="B2699" s="45" t="s">
        <v>3802</v>
      </c>
      <c r="C2699" s="55">
        <v>45882</v>
      </c>
      <c r="D2699" s="45" t="s">
        <v>66</v>
      </c>
      <c r="E2699" s="45" t="s">
        <v>3680</v>
      </c>
      <c r="G2699" s="38"/>
      <c r="H2699" s="38">
        <v>387.4</v>
      </c>
    </row>
    <row r="2700" spans="1:8" ht="14.5" x14ac:dyDescent="0.35">
      <c r="A2700" s="45"/>
      <c r="B2700" s="45" t="s">
        <v>3802</v>
      </c>
      <c r="C2700" s="55">
        <v>45882</v>
      </c>
      <c r="D2700" s="45" t="s">
        <v>3951</v>
      </c>
      <c r="E2700" s="45" t="s">
        <v>3952</v>
      </c>
      <c r="G2700" s="38"/>
      <c r="H2700" s="38">
        <v>139.41999999999999</v>
      </c>
    </row>
    <row r="2701" spans="1:8" ht="14.5" x14ac:dyDescent="0.35">
      <c r="A2701" s="45"/>
      <c r="B2701" s="45" t="s">
        <v>3802</v>
      </c>
      <c r="C2701" s="55">
        <v>45882</v>
      </c>
      <c r="D2701" s="45" t="s">
        <v>422</v>
      </c>
      <c r="E2701" s="45" t="s">
        <v>3953</v>
      </c>
      <c r="G2701" s="38"/>
      <c r="H2701" s="38">
        <v>5</v>
      </c>
    </row>
    <row r="2702" spans="1:8" ht="14.5" x14ac:dyDescent="0.35">
      <c r="A2702" s="45"/>
      <c r="B2702" s="45" t="s">
        <v>3802</v>
      </c>
      <c r="C2702" s="55">
        <v>45882</v>
      </c>
      <c r="D2702" s="45" t="s">
        <v>66</v>
      </c>
      <c r="E2702" s="45" t="s">
        <v>3684</v>
      </c>
      <c r="G2702" s="38"/>
      <c r="H2702" s="38">
        <v>387.4</v>
      </c>
    </row>
    <row r="2703" spans="1:8" ht="14.5" x14ac:dyDescent="0.35">
      <c r="A2703" s="45"/>
      <c r="B2703" s="45" t="s">
        <v>3802</v>
      </c>
      <c r="C2703" s="55">
        <v>45882</v>
      </c>
      <c r="D2703" s="45" t="s">
        <v>422</v>
      </c>
      <c r="E2703" s="45" t="s">
        <v>3954</v>
      </c>
      <c r="G2703" s="38"/>
      <c r="H2703" s="38">
        <v>10</v>
      </c>
    </row>
    <row r="2704" spans="1:8" ht="14.5" x14ac:dyDescent="0.35">
      <c r="A2704" s="45"/>
      <c r="B2704" s="45" t="s">
        <v>3802</v>
      </c>
      <c r="C2704" s="55">
        <v>45882</v>
      </c>
      <c r="D2704" s="45" t="s">
        <v>66</v>
      </c>
      <c r="E2704" s="45" t="s">
        <v>3685</v>
      </c>
      <c r="G2704" s="38"/>
      <c r="H2704" s="38">
        <v>387.4</v>
      </c>
    </row>
    <row r="2705" spans="1:8" ht="14.5" x14ac:dyDescent="0.35">
      <c r="A2705" s="45"/>
      <c r="B2705" s="45" t="s">
        <v>3802</v>
      </c>
      <c r="C2705" s="55">
        <v>45882</v>
      </c>
      <c r="D2705" s="45" t="s">
        <v>819</v>
      </c>
      <c r="E2705" s="45" t="s">
        <v>3955</v>
      </c>
      <c r="G2705" s="38"/>
      <c r="H2705" s="38">
        <v>61.68</v>
      </c>
    </row>
    <row r="2706" spans="1:8" ht="14.5" x14ac:dyDescent="0.35">
      <c r="A2706" s="45"/>
      <c r="B2706" s="45" t="s">
        <v>3802</v>
      </c>
      <c r="C2706" s="55">
        <v>45882</v>
      </c>
      <c r="D2706" s="45" t="s">
        <v>66</v>
      </c>
      <c r="E2706" s="45" t="s">
        <v>3686</v>
      </c>
      <c r="G2706" s="38"/>
      <c r="H2706" s="38">
        <v>387.4</v>
      </c>
    </row>
    <row r="2707" spans="1:8" ht="14.5" x14ac:dyDescent="0.35">
      <c r="A2707" s="45"/>
      <c r="B2707" s="45" t="s">
        <v>3802</v>
      </c>
      <c r="C2707" s="55">
        <v>45882</v>
      </c>
      <c r="D2707" s="45" t="s">
        <v>66</v>
      </c>
      <c r="E2707" s="45" t="s">
        <v>3687</v>
      </c>
      <c r="G2707" s="38"/>
      <c r="H2707" s="38">
        <v>387.4</v>
      </c>
    </row>
    <row r="2708" spans="1:8" ht="14.5" x14ac:dyDescent="0.35">
      <c r="A2708" s="45"/>
      <c r="B2708" s="45" t="s">
        <v>3802</v>
      </c>
      <c r="C2708" s="55">
        <v>45882</v>
      </c>
      <c r="D2708" s="45" t="s">
        <v>66</v>
      </c>
      <c r="E2708" s="45" t="s">
        <v>67</v>
      </c>
      <c r="G2708" s="38"/>
      <c r="H2708" s="38">
        <v>387.4</v>
      </c>
    </row>
    <row r="2709" spans="1:8" ht="14.5" x14ac:dyDescent="0.35">
      <c r="A2709" s="45"/>
      <c r="B2709" s="45" t="s">
        <v>3802</v>
      </c>
      <c r="C2709" s="55">
        <v>45882</v>
      </c>
      <c r="D2709" s="45" t="s">
        <v>422</v>
      </c>
      <c r="E2709" s="45" t="s">
        <v>3956</v>
      </c>
      <c r="G2709" s="38"/>
      <c r="H2709" s="38">
        <v>0</v>
      </c>
    </row>
    <row r="2710" spans="1:8" ht="14.5" x14ac:dyDescent="0.35">
      <c r="A2710" s="45"/>
      <c r="B2710" s="45" t="s">
        <v>3802</v>
      </c>
      <c r="C2710" s="55">
        <v>45882</v>
      </c>
      <c r="D2710" s="45" t="s">
        <v>933</v>
      </c>
      <c r="E2710" s="45" t="s">
        <v>3957</v>
      </c>
      <c r="G2710" s="38"/>
      <c r="H2710" s="38">
        <v>763.36</v>
      </c>
    </row>
    <row r="2711" spans="1:8" ht="14.5" x14ac:dyDescent="0.35">
      <c r="A2711" s="45"/>
      <c r="B2711" s="45" t="s">
        <v>3802</v>
      </c>
      <c r="C2711" s="55">
        <v>45882</v>
      </c>
      <c r="D2711" s="45" t="s">
        <v>422</v>
      </c>
      <c r="E2711" s="45" t="s">
        <v>541</v>
      </c>
      <c r="G2711" s="38"/>
      <c r="H2711" s="38">
        <v>10</v>
      </c>
    </row>
    <row r="2712" spans="1:8" ht="14.5" x14ac:dyDescent="0.35">
      <c r="A2712" s="45"/>
      <c r="B2712" s="45" t="s">
        <v>3802</v>
      </c>
      <c r="C2712" s="55">
        <v>45882</v>
      </c>
      <c r="D2712" s="45" t="s">
        <v>422</v>
      </c>
      <c r="E2712" s="45" t="s">
        <v>3958</v>
      </c>
      <c r="G2712" s="38"/>
      <c r="H2712" s="38">
        <v>5</v>
      </c>
    </row>
    <row r="2713" spans="1:8" ht="14.5" x14ac:dyDescent="0.35">
      <c r="A2713" s="45"/>
      <c r="B2713" s="45" t="s">
        <v>3802</v>
      </c>
      <c r="C2713" s="55">
        <v>45882</v>
      </c>
      <c r="D2713" s="45" t="s">
        <v>819</v>
      </c>
      <c r="E2713" s="45" t="s">
        <v>3959</v>
      </c>
      <c r="G2713" s="38"/>
      <c r="H2713" s="38">
        <v>75.42</v>
      </c>
    </row>
    <row r="2714" spans="1:8" ht="14.5" x14ac:dyDescent="0.35">
      <c r="A2714" s="45"/>
      <c r="B2714" s="45" t="s">
        <v>3802</v>
      </c>
      <c r="C2714" s="55">
        <v>45882</v>
      </c>
      <c r="D2714" s="45" t="s">
        <v>422</v>
      </c>
      <c r="E2714" s="45" t="s">
        <v>3960</v>
      </c>
      <c r="G2714" s="38"/>
      <c r="H2714" s="38">
        <v>0</v>
      </c>
    </row>
    <row r="2715" spans="1:8" ht="14.5" x14ac:dyDescent="0.35">
      <c r="A2715" s="45"/>
      <c r="B2715" s="45" t="s">
        <v>3802</v>
      </c>
      <c r="C2715" s="55">
        <v>45882</v>
      </c>
      <c r="D2715" s="45" t="s">
        <v>3593</v>
      </c>
      <c r="E2715" s="45" t="s">
        <v>3775</v>
      </c>
      <c r="G2715" s="38"/>
      <c r="H2715" s="38">
        <v>75.42</v>
      </c>
    </row>
    <row r="2716" spans="1:8" ht="14.5" x14ac:dyDescent="0.35">
      <c r="A2716" s="45"/>
      <c r="B2716" s="45" t="s">
        <v>3802</v>
      </c>
      <c r="C2716" s="55">
        <v>45882</v>
      </c>
      <c r="D2716" s="45" t="s">
        <v>66</v>
      </c>
      <c r="E2716" s="45" t="s">
        <v>75</v>
      </c>
      <c r="G2716" s="38"/>
      <c r="H2716" s="38">
        <v>60</v>
      </c>
    </row>
    <row r="2717" spans="1:8" ht="14.5" x14ac:dyDescent="0.35">
      <c r="A2717" s="45"/>
      <c r="B2717" s="45" t="s">
        <v>3802</v>
      </c>
      <c r="C2717" s="55">
        <v>45882</v>
      </c>
      <c r="D2717" s="45" t="s">
        <v>66</v>
      </c>
      <c r="E2717" s="45" t="s">
        <v>77</v>
      </c>
      <c r="G2717" s="38"/>
      <c r="H2717" s="38">
        <v>120</v>
      </c>
    </row>
    <row r="2718" spans="1:8" ht="14.5" x14ac:dyDescent="0.35">
      <c r="A2718" s="45"/>
      <c r="B2718" s="45" t="s">
        <v>3802</v>
      </c>
      <c r="C2718" s="55">
        <v>45882</v>
      </c>
      <c r="D2718" s="45" t="s">
        <v>819</v>
      </c>
      <c r="E2718" s="45" t="s">
        <v>3783</v>
      </c>
      <c r="G2718" s="38"/>
      <c r="H2718" s="38">
        <v>60</v>
      </c>
    </row>
    <row r="2719" spans="1:8" ht="14.5" x14ac:dyDescent="0.35">
      <c r="A2719" s="45"/>
      <c r="B2719" s="45" t="s">
        <v>3802</v>
      </c>
      <c r="C2719" s="55">
        <v>45882</v>
      </c>
      <c r="D2719" s="45" t="s">
        <v>422</v>
      </c>
      <c r="E2719" s="45" t="s">
        <v>3961</v>
      </c>
      <c r="G2719" s="38"/>
      <c r="H2719" s="38">
        <v>0</v>
      </c>
    </row>
    <row r="2720" spans="1:8" ht="14.5" x14ac:dyDescent="0.35">
      <c r="A2720" s="45"/>
      <c r="B2720" s="45" t="s">
        <v>3802</v>
      </c>
      <c r="C2720" s="55">
        <v>45882</v>
      </c>
      <c r="D2720" s="45" t="s">
        <v>819</v>
      </c>
      <c r="E2720" s="45" t="s">
        <v>842</v>
      </c>
      <c r="G2720" s="38"/>
      <c r="H2720" s="38">
        <v>37.71</v>
      </c>
    </row>
    <row r="2721" spans="1:8" ht="14.5" x14ac:dyDescent="0.35">
      <c r="A2721" s="45"/>
      <c r="B2721" s="45" t="s">
        <v>3802</v>
      </c>
      <c r="C2721" s="55">
        <v>45883</v>
      </c>
      <c r="D2721" s="45" t="s">
        <v>422</v>
      </c>
      <c r="E2721" s="45" t="s">
        <v>3962</v>
      </c>
      <c r="G2721" s="38"/>
      <c r="H2721" s="38">
        <v>19</v>
      </c>
    </row>
    <row r="2722" spans="1:8" ht="14.5" x14ac:dyDescent="0.35">
      <c r="A2722" s="45"/>
      <c r="B2722" s="45" t="s">
        <v>3802</v>
      </c>
      <c r="C2722" s="55">
        <v>45883</v>
      </c>
      <c r="D2722" s="45" t="s">
        <v>422</v>
      </c>
      <c r="E2722" s="45" t="s">
        <v>3963</v>
      </c>
      <c r="G2722" s="38"/>
      <c r="H2722" s="38">
        <v>19</v>
      </c>
    </row>
    <row r="2723" spans="1:8" ht="14.5" x14ac:dyDescent="0.35">
      <c r="A2723" s="45"/>
      <c r="B2723" s="45" t="s">
        <v>3802</v>
      </c>
      <c r="C2723" s="55">
        <v>45883</v>
      </c>
      <c r="D2723" s="45" t="s">
        <v>422</v>
      </c>
      <c r="E2723" s="45" t="s">
        <v>613</v>
      </c>
      <c r="G2723" s="38"/>
      <c r="H2723" s="38">
        <v>175.42000000000002</v>
      </c>
    </row>
    <row r="2724" spans="1:8" ht="14.5" x14ac:dyDescent="0.35">
      <c r="A2724" s="45"/>
      <c r="B2724" s="45" t="s">
        <v>3802</v>
      </c>
      <c r="C2724" s="55">
        <v>45883</v>
      </c>
      <c r="D2724" s="45" t="s">
        <v>422</v>
      </c>
      <c r="E2724" s="45" t="s">
        <v>609</v>
      </c>
      <c r="G2724" s="38"/>
      <c r="H2724" s="38">
        <v>16</v>
      </c>
    </row>
    <row r="2725" spans="1:8" ht="14.5" x14ac:dyDescent="0.35">
      <c r="A2725" s="45"/>
      <c r="B2725" s="45" t="s">
        <v>3802</v>
      </c>
      <c r="C2725" s="55">
        <v>45883</v>
      </c>
      <c r="D2725" s="45" t="s">
        <v>422</v>
      </c>
      <c r="E2725" s="45" t="s">
        <v>3794</v>
      </c>
      <c r="G2725" s="38"/>
      <c r="H2725" s="38">
        <v>112</v>
      </c>
    </row>
    <row r="2726" spans="1:8" ht="14.5" x14ac:dyDescent="0.35">
      <c r="A2726" s="45"/>
      <c r="B2726" s="45" t="s">
        <v>3802</v>
      </c>
      <c r="C2726" s="55">
        <v>45883</v>
      </c>
      <c r="D2726" s="45" t="s">
        <v>422</v>
      </c>
      <c r="E2726" s="45" t="s">
        <v>614</v>
      </c>
      <c r="G2726" s="38"/>
      <c r="H2726" s="38">
        <v>15.42</v>
      </c>
    </row>
    <row r="2727" spans="1:8" ht="14.5" x14ac:dyDescent="0.35">
      <c r="A2727" s="45"/>
      <c r="B2727" s="45" t="s">
        <v>3802</v>
      </c>
      <c r="C2727" s="55">
        <v>45883</v>
      </c>
      <c r="D2727" s="45" t="s">
        <v>66</v>
      </c>
      <c r="E2727" s="45" t="s">
        <v>78</v>
      </c>
      <c r="G2727" s="38"/>
      <c r="H2727" s="38">
        <v>3950.19</v>
      </c>
    </row>
    <row r="2728" spans="1:8" ht="14.5" x14ac:dyDescent="0.35">
      <c r="A2728" s="45"/>
      <c r="B2728" s="45" t="s">
        <v>3802</v>
      </c>
      <c r="C2728" s="55">
        <v>45883</v>
      </c>
      <c r="D2728" s="45" t="s">
        <v>422</v>
      </c>
      <c r="E2728" s="45" t="s">
        <v>3795</v>
      </c>
      <c r="G2728" s="38"/>
      <c r="H2728" s="38">
        <v>16</v>
      </c>
    </row>
    <row r="2729" spans="1:8" ht="14.5" x14ac:dyDescent="0.35">
      <c r="A2729" s="45"/>
      <c r="B2729" s="45" t="s">
        <v>3802</v>
      </c>
      <c r="C2729" s="55">
        <v>45883</v>
      </c>
      <c r="D2729" s="45" t="s">
        <v>422</v>
      </c>
      <c r="E2729" s="45" t="s">
        <v>3796</v>
      </c>
      <c r="G2729" s="38"/>
      <c r="H2729" s="38">
        <v>16</v>
      </c>
    </row>
    <row r="2730" spans="1:8" ht="14.5" x14ac:dyDescent="0.35">
      <c r="A2730" s="45"/>
      <c r="B2730" s="45" t="s">
        <v>3802</v>
      </c>
      <c r="C2730" s="55">
        <v>45884</v>
      </c>
      <c r="D2730" s="45" t="s">
        <v>96</v>
      </c>
      <c r="E2730" s="45" t="s">
        <v>97</v>
      </c>
      <c r="G2730" s="38"/>
      <c r="H2730" s="38">
        <v>370</v>
      </c>
    </row>
    <row r="2731" spans="1:8" ht="14.5" x14ac:dyDescent="0.35">
      <c r="A2731" s="45"/>
      <c r="B2731" s="45" t="s">
        <v>3802</v>
      </c>
      <c r="C2731" s="55">
        <v>45884</v>
      </c>
      <c r="D2731" s="45" t="s">
        <v>3593</v>
      </c>
      <c r="E2731" s="45" t="s">
        <v>3594</v>
      </c>
      <c r="G2731" s="38"/>
      <c r="H2731" s="38">
        <v>2615</v>
      </c>
    </row>
    <row r="2732" spans="1:8" ht="14.5" x14ac:dyDescent="0.35">
      <c r="A2732" s="45"/>
      <c r="B2732" s="45" t="s">
        <v>3802</v>
      </c>
      <c r="C2732" s="55">
        <v>45885</v>
      </c>
      <c r="D2732" s="45" t="s">
        <v>422</v>
      </c>
      <c r="E2732" s="45" t="s">
        <v>489</v>
      </c>
      <c r="G2732" s="38"/>
      <c r="H2732" s="38">
        <v>9</v>
      </c>
    </row>
    <row r="2733" spans="1:8" ht="14.5" x14ac:dyDescent="0.35">
      <c r="A2733" s="45"/>
      <c r="B2733" s="45" t="s">
        <v>3802</v>
      </c>
      <c r="C2733" s="55">
        <v>45885</v>
      </c>
      <c r="D2733" s="45" t="s">
        <v>422</v>
      </c>
      <c r="E2733" s="45" t="s">
        <v>3964</v>
      </c>
      <c r="G2733" s="38"/>
      <c r="H2733" s="38">
        <v>10</v>
      </c>
    </row>
    <row r="2734" spans="1:8" ht="14.5" x14ac:dyDescent="0.35">
      <c r="A2734" s="45"/>
      <c r="B2734" s="45" t="s">
        <v>3802</v>
      </c>
      <c r="C2734" s="55">
        <v>45885</v>
      </c>
      <c r="D2734" s="45" t="s">
        <v>422</v>
      </c>
      <c r="E2734" s="45" t="s">
        <v>3965</v>
      </c>
      <c r="G2734" s="38"/>
      <c r="H2734" s="38">
        <v>10</v>
      </c>
    </row>
    <row r="2735" spans="1:8" ht="14.5" x14ac:dyDescent="0.35">
      <c r="A2735" s="45"/>
      <c r="B2735" s="45" t="s">
        <v>3802</v>
      </c>
      <c r="C2735" s="55">
        <v>45885</v>
      </c>
      <c r="D2735" s="45" t="s">
        <v>422</v>
      </c>
      <c r="E2735" s="45" t="s">
        <v>3966</v>
      </c>
      <c r="G2735" s="38"/>
      <c r="H2735" s="38">
        <v>9</v>
      </c>
    </row>
    <row r="2736" spans="1:8" ht="14.5" x14ac:dyDescent="0.35">
      <c r="A2736" s="45"/>
      <c r="B2736" s="45" t="s">
        <v>3802</v>
      </c>
      <c r="C2736" s="55">
        <v>45885</v>
      </c>
      <c r="D2736" s="45" t="s">
        <v>66</v>
      </c>
      <c r="E2736" s="45" t="s">
        <v>3779</v>
      </c>
      <c r="G2736" s="38"/>
      <c r="H2736" s="38">
        <v>433</v>
      </c>
    </row>
    <row r="2737" spans="1:8" ht="14.5" x14ac:dyDescent="0.35">
      <c r="A2737" s="45"/>
      <c r="B2737" s="45" t="s">
        <v>3802</v>
      </c>
      <c r="C2737" s="55">
        <v>45885</v>
      </c>
      <c r="D2737" s="45" t="s">
        <v>422</v>
      </c>
      <c r="E2737" s="45" t="s">
        <v>3620</v>
      </c>
      <c r="G2737" s="38"/>
      <c r="H2737" s="38">
        <v>47</v>
      </c>
    </row>
    <row r="2738" spans="1:8" ht="14.5" x14ac:dyDescent="0.35">
      <c r="A2738" s="45"/>
      <c r="B2738" s="45" t="s">
        <v>3802</v>
      </c>
      <c r="C2738" s="55">
        <v>45885</v>
      </c>
      <c r="D2738" s="45" t="s">
        <v>422</v>
      </c>
      <c r="E2738" s="45" t="s">
        <v>3967</v>
      </c>
      <c r="G2738" s="38"/>
      <c r="H2738" s="38">
        <v>9.42</v>
      </c>
    </row>
    <row r="2739" spans="1:8" ht="14.5" x14ac:dyDescent="0.35">
      <c r="A2739" s="45"/>
      <c r="B2739" s="45" t="s">
        <v>3802</v>
      </c>
      <c r="C2739" s="55">
        <v>45885</v>
      </c>
      <c r="D2739" s="45" t="s">
        <v>422</v>
      </c>
      <c r="E2739" s="45" t="s">
        <v>3968</v>
      </c>
      <c r="G2739" s="38"/>
      <c r="H2739" s="38">
        <v>10</v>
      </c>
    </row>
    <row r="2740" spans="1:8" ht="14.5" x14ac:dyDescent="0.35">
      <c r="A2740" s="45"/>
      <c r="B2740" s="45" t="s">
        <v>3802</v>
      </c>
      <c r="C2740" s="55">
        <v>45885</v>
      </c>
      <c r="D2740" s="45" t="s">
        <v>422</v>
      </c>
      <c r="E2740" s="45" t="s">
        <v>3747</v>
      </c>
      <c r="G2740" s="38"/>
      <c r="H2740" s="38">
        <v>118</v>
      </c>
    </row>
    <row r="2741" spans="1:8" ht="14.5" x14ac:dyDescent="0.35">
      <c r="A2741" s="45"/>
      <c r="B2741" s="45" t="s">
        <v>3802</v>
      </c>
      <c r="C2741" s="55">
        <v>45885</v>
      </c>
      <c r="D2741" s="45" t="s">
        <v>422</v>
      </c>
      <c r="E2741" s="45" t="s">
        <v>3625</v>
      </c>
      <c r="G2741" s="38"/>
      <c r="H2741" s="38">
        <v>48</v>
      </c>
    </row>
    <row r="2742" spans="1:8" ht="14.5" x14ac:dyDescent="0.35">
      <c r="A2742" s="45"/>
      <c r="B2742" s="45" t="s">
        <v>3802</v>
      </c>
      <c r="C2742" s="55">
        <v>45885</v>
      </c>
      <c r="D2742" s="45" t="s">
        <v>66</v>
      </c>
      <c r="E2742" s="45" t="s">
        <v>3780</v>
      </c>
      <c r="G2742" s="38"/>
      <c r="H2742" s="38">
        <v>542</v>
      </c>
    </row>
    <row r="2743" spans="1:8" ht="14.5" x14ac:dyDescent="0.35">
      <c r="A2743" s="45"/>
      <c r="B2743" s="45" t="s">
        <v>3802</v>
      </c>
      <c r="C2743" s="55">
        <v>45885</v>
      </c>
      <c r="D2743" s="45" t="s">
        <v>422</v>
      </c>
      <c r="E2743" s="45" t="s">
        <v>3628</v>
      </c>
      <c r="G2743" s="38"/>
      <c r="H2743" s="38">
        <v>48</v>
      </c>
    </row>
    <row r="2744" spans="1:8" ht="14.5" x14ac:dyDescent="0.35">
      <c r="A2744" s="45"/>
      <c r="B2744" s="45" t="s">
        <v>3802</v>
      </c>
      <c r="C2744" s="55">
        <v>45885</v>
      </c>
      <c r="D2744" s="45" t="s">
        <v>422</v>
      </c>
      <c r="E2744" s="45" t="s">
        <v>3969</v>
      </c>
      <c r="G2744" s="38"/>
      <c r="H2744" s="38">
        <v>9</v>
      </c>
    </row>
    <row r="2745" spans="1:8" ht="14.5" x14ac:dyDescent="0.35">
      <c r="A2745" s="45"/>
      <c r="B2745" s="45" t="s">
        <v>3802</v>
      </c>
      <c r="C2745" s="55">
        <v>45885</v>
      </c>
      <c r="D2745" s="45" t="s">
        <v>716</v>
      </c>
      <c r="E2745" s="45" t="s">
        <v>724</v>
      </c>
      <c r="G2745" s="38"/>
      <c r="H2745" s="38">
        <v>990</v>
      </c>
    </row>
    <row r="2746" spans="1:8" ht="14.5" x14ac:dyDescent="0.35">
      <c r="A2746" s="45"/>
      <c r="B2746" s="45" t="s">
        <v>3802</v>
      </c>
      <c r="C2746" s="55">
        <v>45885</v>
      </c>
      <c r="D2746" s="45" t="s">
        <v>66</v>
      </c>
      <c r="E2746" s="45" t="s">
        <v>3782</v>
      </c>
      <c r="G2746" s="38"/>
      <c r="H2746" s="38">
        <v>325</v>
      </c>
    </row>
    <row r="2747" spans="1:8" ht="14.5" x14ac:dyDescent="0.35">
      <c r="A2747" s="45"/>
      <c r="B2747" s="45" t="s">
        <v>3802</v>
      </c>
      <c r="C2747" s="55">
        <v>45887</v>
      </c>
      <c r="D2747" s="45" t="s">
        <v>422</v>
      </c>
      <c r="E2747" s="45" t="s">
        <v>3691</v>
      </c>
      <c r="G2747" s="38"/>
      <c r="H2747" s="38">
        <v>121</v>
      </c>
    </row>
    <row r="2748" spans="1:8" ht="14.5" x14ac:dyDescent="0.35">
      <c r="A2748" s="45"/>
      <c r="B2748" s="45" t="s">
        <v>3802</v>
      </c>
      <c r="C2748" s="55">
        <v>45887</v>
      </c>
      <c r="D2748" s="45" t="s">
        <v>422</v>
      </c>
      <c r="E2748" s="45" t="s">
        <v>3612</v>
      </c>
      <c r="G2748" s="38"/>
      <c r="H2748" s="38">
        <v>241</v>
      </c>
    </row>
    <row r="2749" spans="1:8" ht="14.5" x14ac:dyDescent="0.35">
      <c r="A2749" s="45"/>
      <c r="B2749" s="45" t="s">
        <v>3802</v>
      </c>
      <c r="C2749" s="55">
        <v>45887</v>
      </c>
      <c r="D2749" s="45" t="s">
        <v>422</v>
      </c>
      <c r="E2749" s="45" t="s">
        <v>3692</v>
      </c>
      <c r="G2749" s="38"/>
      <c r="H2749" s="38">
        <v>110</v>
      </c>
    </row>
    <row r="2750" spans="1:8" ht="14.5" x14ac:dyDescent="0.35">
      <c r="A2750" s="45"/>
      <c r="B2750" s="45" t="s">
        <v>3802</v>
      </c>
      <c r="C2750" s="55">
        <v>45887</v>
      </c>
      <c r="D2750" s="45" t="s">
        <v>422</v>
      </c>
      <c r="E2750" s="45" t="s">
        <v>3693</v>
      </c>
      <c r="G2750" s="38"/>
      <c r="H2750" s="38">
        <v>109</v>
      </c>
    </row>
    <row r="2751" spans="1:8" ht="14.5" x14ac:dyDescent="0.35">
      <c r="A2751" s="45"/>
      <c r="B2751" s="45" t="s">
        <v>3802</v>
      </c>
      <c r="C2751" s="55">
        <v>45887</v>
      </c>
      <c r="D2751" s="45" t="s">
        <v>422</v>
      </c>
      <c r="E2751" s="45" t="s">
        <v>3694</v>
      </c>
      <c r="G2751" s="38"/>
      <c r="H2751" s="38">
        <v>109</v>
      </c>
    </row>
    <row r="2752" spans="1:8" ht="14.5" x14ac:dyDescent="0.35">
      <c r="A2752" s="45"/>
      <c r="B2752" s="45" t="s">
        <v>3802</v>
      </c>
      <c r="C2752" s="55">
        <v>45887</v>
      </c>
      <c r="D2752" s="45" t="s">
        <v>422</v>
      </c>
      <c r="E2752" s="45" t="s">
        <v>483</v>
      </c>
      <c r="G2752" s="38"/>
      <c r="H2752" s="38">
        <v>109</v>
      </c>
    </row>
    <row r="2753" spans="1:8" ht="14.5" x14ac:dyDescent="0.35">
      <c r="A2753" s="45"/>
      <c r="B2753" s="45" t="s">
        <v>3802</v>
      </c>
      <c r="C2753" s="55">
        <v>45887</v>
      </c>
      <c r="D2753" s="45" t="s">
        <v>422</v>
      </c>
      <c r="E2753" s="45" t="s">
        <v>3702</v>
      </c>
      <c r="G2753" s="38"/>
      <c r="H2753" s="38">
        <v>110</v>
      </c>
    </row>
    <row r="2754" spans="1:8" ht="14.5" x14ac:dyDescent="0.35">
      <c r="A2754" s="45"/>
      <c r="B2754" s="45" t="s">
        <v>3802</v>
      </c>
      <c r="C2754" s="55">
        <v>45887</v>
      </c>
      <c r="D2754" s="45" t="s">
        <v>422</v>
      </c>
      <c r="E2754" s="45" t="s">
        <v>3704</v>
      </c>
      <c r="G2754" s="38"/>
      <c r="H2754" s="38">
        <v>137.75</v>
      </c>
    </row>
    <row r="2755" spans="1:8" ht="14.5" x14ac:dyDescent="0.35">
      <c r="A2755" s="45"/>
      <c r="B2755" s="45" t="s">
        <v>3802</v>
      </c>
      <c r="C2755" s="55">
        <v>45887</v>
      </c>
      <c r="D2755" s="45" t="s">
        <v>422</v>
      </c>
      <c r="E2755" s="45" t="s">
        <v>3709</v>
      </c>
      <c r="G2755" s="38"/>
      <c r="H2755" s="38">
        <v>137.75</v>
      </c>
    </row>
    <row r="2756" spans="1:8" ht="14.5" x14ac:dyDescent="0.35">
      <c r="A2756" s="45"/>
      <c r="B2756" s="45" t="s">
        <v>3802</v>
      </c>
      <c r="C2756" s="55">
        <v>45887</v>
      </c>
      <c r="D2756" s="45" t="s">
        <v>422</v>
      </c>
      <c r="E2756" s="45" t="s">
        <v>3712</v>
      </c>
      <c r="G2756" s="38"/>
      <c r="H2756" s="38">
        <v>121</v>
      </c>
    </row>
    <row r="2757" spans="1:8" ht="14.5" x14ac:dyDescent="0.35">
      <c r="A2757" s="45"/>
      <c r="B2757" s="45" t="s">
        <v>3802</v>
      </c>
      <c r="C2757" s="55">
        <v>45887</v>
      </c>
      <c r="D2757" s="45" t="s">
        <v>422</v>
      </c>
      <c r="E2757" s="45" t="s">
        <v>3719</v>
      </c>
      <c r="G2757" s="38"/>
      <c r="H2757" s="38">
        <v>120</v>
      </c>
    </row>
    <row r="2758" spans="1:8" ht="14.5" x14ac:dyDescent="0.35">
      <c r="A2758" s="45"/>
      <c r="B2758" s="45" t="s">
        <v>3802</v>
      </c>
      <c r="C2758" s="55">
        <v>45887</v>
      </c>
      <c r="D2758" s="45" t="s">
        <v>422</v>
      </c>
      <c r="E2758" s="45" t="s">
        <v>3720</v>
      </c>
      <c r="G2758" s="38"/>
      <c r="H2758" s="38">
        <v>137.75</v>
      </c>
    </row>
    <row r="2759" spans="1:8" ht="14.5" x14ac:dyDescent="0.35">
      <c r="A2759" s="45"/>
      <c r="B2759" s="45" t="s">
        <v>3802</v>
      </c>
      <c r="C2759" s="55">
        <v>45887</v>
      </c>
      <c r="D2759" s="45" t="s">
        <v>422</v>
      </c>
      <c r="E2759" s="45" t="s">
        <v>3722</v>
      </c>
      <c r="G2759" s="38"/>
      <c r="H2759" s="38">
        <v>137.75</v>
      </c>
    </row>
    <row r="2760" spans="1:8" ht="14.5" x14ac:dyDescent="0.35">
      <c r="A2760" s="45"/>
      <c r="B2760" s="45" t="s">
        <v>3802</v>
      </c>
      <c r="C2760" s="55">
        <v>45887</v>
      </c>
      <c r="D2760" s="45" t="s">
        <v>422</v>
      </c>
      <c r="E2760" s="45" t="s">
        <v>600</v>
      </c>
      <c r="G2760" s="38"/>
      <c r="H2760" s="38">
        <v>121</v>
      </c>
    </row>
    <row r="2761" spans="1:8" ht="14.5" x14ac:dyDescent="0.35">
      <c r="A2761" s="45"/>
      <c r="B2761" s="45" t="s">
        <v>3802</v>
      </c>
      <c r="C2761" s="55">
        <v>45887</v>
      </c>
      <c r="D2761" s="45" t="s">
        <v>422</v>
      </c>
      <c r="E2761" s="45" t="s">
        <v>596</v>
      </c>
      <c r="G2761" s="38"/>
      <c r="H2761" s="38">
        <v>1365</v>
      </c>
    </row>
    <row r="2762" spans="1:8" ht="14.5" x14ac:dyDescent="0.35">
      <c r="A2762" s="45"/>
      <c r="B2762" s="45" t="s">
        <v>3802</v>
      </c>
      <c r="C2762" s="55">
        <v>45887</v>
      </c>
      <c r="D2762" s="45" t="s">
        <v>422</v>
      </c>
      <c r="E2762" s="45" t="s">
        <v>3725</v>
      </c>
      <c r="G2762" s="38"/>
      <c r="H2762" s="38">
        <v>275.5</v>
      </c>
    </row>
    <row r="2763" spans="1:8" ht="14.5" x14ac:dyDescent="0.35">
      <c r="A2763" s="45"/>
      <c r="B2763" s="45" t="s">
        <v>3802</v>
      </c>
      <c r="C2763" s="55">
        <v>45887</v>
      </c>
      <c r="D2763" s="45" t="s">
        <v>422</v>
      </c>
      <c r="E2763" s="45" t="s">
        <v>3737</v>
      </c>
      <c r="G2763" s="38"/>
      <c r="H2763" s="38">
        <v>351</v>
      </c>
    </row>
    <row r="2764" spans="1:8" ht="14.5" x14ac:dyDescent="0.35">
      <c r="A2764" s="45"/>
      <c r="B2764" s="45" t="s">
        <v>3802</v>
      </c>
      <c r="C2764" s="55">
        <v>45887</v>
      </c>
      <c r="D2764" s="45" t="s">
        <v>422</v>
      </c>
      <c r="E2764" s="45" t="s">
        <v>3739</v>
      </c>
      <c r="G2764" s="38"/>
      <c r="H2764" s="38">
        <v>218</v>
      </c>
    </row>
    <row r="2765" spans="1:8" ht="14.5" x14ac:dyDescent="0.35">
      <c r="A2765" s="45"/>
      <c r="B2765" s="45" t="s">
        <v>3802</v>
      </c>
      <c r="C2765" s="55">
        <v>45887</v>
      </c>
      <c r="D2765" s="45" t="s">
        <v>422</v>
      </c>
      <c r="E2765" s="45" t="s">
        <v>3741</v>
      </c>
      <c r="G2765" s="38"/>
      <c r="H2765" s="38">
        <v>121</v>
      </c>
    </row>
    <row r="2766" spans="1:8" ht="14.5" x14ac:dyDescent="0.35">
      <c r="A2766" s="45"/>
      <c r="B2766" s="45" t="s">
        <v>3802</v>
      </c>
      <c r="C2766" s="55">
        <v>45887</v>
      </c>
      <c r="D2766" s="45" t="s">
        <v>422</v>
      </c>
      <c r="E2766" s="45" t="s">
        <v>3742</v>
      </c>
      <c r="G2766" s="38"/>
      <c r="H2766" s="38">
        <v>137.75</v>
      </c>
    </row>
    <row r="2767" spans="1:8" ht="14.5" x14ac:dyDescent="0.35">
      <c r="A2767" s="45"/>
      <c r="B2767" s="45" t="s">
        <v>3802</v>
      </c>
      <c r="C2767" s="55">
        <v>45887</v>
      </c>
      <c r="D2767" s="45" t="s">
        <v>422</v>
      </c>
      <c r="E2767" s="45" t="s">
        <v>3743</v>
      </c>
      <c r="G2767" s="38"/>
      <c r="H2767" s="38">
        <v>120</v>
      </c>
    </row>
    <row r="2768" spans="1:8" ht="14.5" x14ac:dyDescent="0.35">
      <c r="A2768" s="45"/>
      <c r="B2768" s="45" t="s">
        <v>3802</v>
      </c>
      <c r="C2768" s="55">
        <v>45887</v>
      </c>
      <c r="D2768" s="45" t="s">
        <v>422</v>
      </c>
      <c r="E2768" s="45" t="s">
        <v>3744</v>
      </c>
      <c r="G2768" s="38"/>
      <c r="H2768" s="38">
        <v>137.75</v>
      </c>
    </row>
    <row r="2769" spans="1:8" ht="14.5" x14ac:dyDescent="0.35">
      <c r="A2769" s="45"/>
      <c r="B2769" s="45" t="s">
        <v>3802</v>
      </c>
      <c r="C2769" s="55">
        <v>45887</v>
      </c>
      <c r="D2769" s="45" t="s">
        <v>422</v>
      </c>
      <c r="E2769" s="45" t="s">
        <v>3745</v>
      </c>
      <c r="G2769" s="38"/>
      <c r="H2769" s="38">
        <v>109</v>
      </c>
    </row>
    <row r="2770" spans="1:8" ht="14.5" x14ac:dyDescent="0.35">
      <c r="A2770" s="45"/>
      <c r="B2770" s="45" t="s">
        <v>3802</v>
      </c>
      <c r="C2770" s="55">
        <v>45887</v>
      </c>
      <c r="D2770" s="45" t="s">
        <v>422</v>
      </c>
      <c r="E2770" s="45" t="s">
        <v>3746</v>
      </c>
      <c r="G2770" s="38"/>
      <c r="H2770" s="38">
        <v>110</v>
      </c>
    </row>
    <row r="2771" spans="1:8" ht="14.5" x14ac:dyDescent="0.35">
      <c r="A2771" s="45"/>
      <c r="B2771" s="45" t="s">
        <v>3802</v>
      </c>
      <c r="C2771" s="55">
        <v>45887</v>
      </c>
      <c r="D2771" s="45" t="s">
        <v>422</v>
      </c>
      <c r="E2771" s="45" t="s">
        <v>3748</v>
      </c>
      <c r="G2771" s="38"/>
      <c r="H2771" s="38">
        <v>109</v>
      </c>
    </row>
    <row r="2772" spans="1:8" ht="14.5" x14ac:dyDescent="0.35">
      <c r="A2772" s="45"/>
      <c r="B2772" s="45" t="s">
        <v>3802</v>
      </c>
      <c r="C2772" s="55">
        <v>45887</v>
      </c>
      <c r="D2772" s="45" t="s">
        <v>422</v>
      </c>
      <c r="E2772" s="45" t="s">
        <v>3750</v>
      </c>
      <c r="G2772" s="38"/>
      <c r="H2772" s="38">
        <v>137.75</v>
      </c>
    </row>
    <row r="2773" spans="1:8" ht="14.5" x14ac:dyDescent="0.35">
      <c r="A2773" s="45"/>
      <c r="B2773" s="45" t="s">
        <v>3802</v>
      </c>
      <c r="C2773" s="55">
        <v>45887</v>
      </c>
      <c r="D2773" s="45" t="s">
        <v>422</v>
      </c>
      <c r="E2773" s="45" t="s">
        <v>3753</v>
      </c>
      <c r="G2773" s="38"/>
      <c r="H2773" s="38">
        <v>137.75</v>
      </c>
    </row>
    <row r="2774" spans="1:8" ht="14.5" x14ac:dyDescent="0.35">
      <c r="A2774" s="45"/>
      <c r="B2774" s="45" t="s">
        <v>3802</v>
      </c>
      <c r="C2774" s="55">
        <v>45887</v>
      </c>
      <c r="D2774" s="45" t="s">
        <v>422</v>
      </c>
      <c r="E2774" s="45" t="s">
        <v>3754</v>
      </c>
      <c r="G2774" s="38"/>
      <c r="H2774" s="38">
        <v>109</v>
      </c>
    </row>
    <row r="2775" spans="1:8" ht="14.5" x14ac:dyDescent="0.35">
      <c r="A2775" s="45"/>
      <c r="B2775" s="45" t="s">
        <v>3802</v>
      </c>
      <c r="C2775" s="55">
        <v>45887</v>
      </c>
      <c r="D2775" s="45" t="s">
        <v>422</v>
      </c>
      <c r="E2775" s="45" t="s">
        <v>3758</v>
      </c>
      <c r="G2775" s="38"/>
      <c r="H2775" s="38">
        <v>121</v>
      </c>
    </row>
    <row r="2776" spans="1:8" ht="14.5" x14ac:dyDescent="0.35">
      <c r="A2776" s="45"/>
      <c r="B2776" s="45" t="s">
        <v>3802</v>
      </c>
      <c r="C2776" s="55">
        <v>45887</v>
      </c>
      <c r="D2776" s="45" t="s">
        <v>422</v>
      </c>
      <c r="E2776" s="45" t="s">
        <v>628</v>
      </c>
      <c r="G2776" s="38"/>
      <c r="H2776" s="38">
        <v>229</v>
      </c>
    </row>
    <row r="2777" spans="1:8" ht="14.5" x14ac:dyDescent="0.35">
      <c r="A2777" s="45"/>
      <c r="B2777" s="45" t="s">
        <v>3802</v>
      </c>
      <c r="C2777" s="55">
        <v>45887</v>
      </c>
      <c r="D2777" s="45" t="s">
        <v>422</v>
      </c>
      <c r="E2777" s="45" t="s">
        <v>3761</v>
      </c>
      <c r="G2777" s="38"/>
      <c r="H2777" s="38">
        <v>137.75</v>
      </c>
    </row>
    <row r="2778" spans="1:8" ht="14.5" x14ac:dyDescent="0.35">
      <c r="A2778" s="45"/>
      <c r="B2778" s="45" t="s">
        <v>3802</v>
      </c>
      <c r="C2778" s="55">
        <v>45887</v>
      </c>
      <c r="D2778" s="45" t="s">
        <v>422</v>
      </c>
      <c r="E2778" s="45" t="s">
        <v>3762</v>
      </c>
      <c r="G2778" s="38"/>
      <c r="H2778" s="38">
        <v>137.75</v>
      </c>
    </row>
    <row r="2779" spans="1:8" ht="14.5" x14ac:dyDescent="0.35">
      <c r="A2779" s="45"/>
      <c r="B2779" s="45" t="s">
        <v>3802</v>
      </c>
      <c r="C2779" s="55">
        <v>45887</v>
      </c>
      <c r="D2779" s="45" t="s">
        <v>422</v>
      </c>
      <c r="E2779" s="45" t="s">
        <v>551</v>
      </c>
      <c r="G2779" s="38"/>
      <c r="H2779" s="38">
        <v>109</v>
      </c>
    </row>
    <row r="2780" spans="1:8" ht="14.5" x14ac:dyDescent="0.35">
      <c r="A2780" s="45"/>
      <c r="B2780" s="45" t="s">
        <v>3802</v>
      </c>
      <c r="C2780" s="55">
        <v>45887</v>
      </c>
      <c r="D2780" s="45" t="s">
        <v>422</v>
      </c>
      <c r="E2780" s="45" t="s">
        <v>3763</v>
      </c>
      <c r="G2780" s="38"/>
      <c r="H2780" s="38">
        <v>120</v>
      </c>
    </row>
    <row r="2781" spans="1:8" ht="14.5" x14ac:dyDescent="0.35">
      <c r="A2781" s="45"/>
      <c r="B2781" s="45" t="s">
        <v>3802</v>
      </c>
      <c r="C2781" s="55">
        <v>45887</v>
      </c>
      <c r="D2781" s="45" t="s">
        <v>422</v>
      </c>
      <c r="E2781" s="45" t="s">
        <v>3765</v>
      </c>
      <c r="G2781" s="38"/>
      <c r="H2781" s="38">
        <v>120</v>
      </c>
    </row>
    <row r="2782" spans="1:8" ht="14.5" x14ac:dyDescent="0.35">
      <c r="A2782" s="45"/>
      <c r="B2782" s="45" t="s">
        <v>3802</v>
      </c>
      <c r="C2782" s="55">
        <v>45887</v>
      </c>
      <c r="D2782" s="45" t="s">
        <v>422</v>
      </c>
      <c r="E2782" s="45" t="s">
        <v>3766</v>
      </c>
      <c r="G2782" s="38"/>
      <c r="H2782" s="38">
        <v>137.75</v>
      </c>
    </row>
    <row r="2783" spans="1:8" ht="14.5" x14ac:dyDescent="0.35">
      <c r="A2783" s="45"/>
      <c r="B2783" s="45" t="s">
        <v>3802</v>
      </c>
      <c r="C2783" s="55">
        <v>45887</v>
      </c>
      <c r="D2783" s="45" t="s">
        <v>422</v>
      </c>
      <c r="E2783" s="45" t="s">
        <v>3767</v>
      </c>
      <c r="G2783" s="38"/>
      <c r="H2783" s="38">
        <v>109</v>
      </c>
    </row>
    <row r="2784" spans="1:8" ht="14.5" x14ac:dyDescent="0.35">
      <c r="A2784" s="45"/>
      <c r="B2784" s="45" t="s">
        <v>3802</v>
      </c>
      <c r="C2784" s="55">
        <v>45887</v>
      </c>
      <c r="D2784" s="45" t="s">
        <v>422</v>
      </c>
      <c r="E2784" s="45" t="s">
        <v>3768</v>
      </c>
      <c r="G2784" s="38"/>
      <c r="H2784" s="38">
        <v>120</v>
      </c>
    </row>
    <row r="2785" spans="1:8" ht="14.5" x14ac:dyDescent="0.35">
      <c r="A2785" s="45"/>
      <c r="B2785" s="45" t="s">
        <v>3802</v>
      </c>
      <c r="C2785" s="55">
        <v>45887</v>
      </c>
      <c r="D2785" s="45" t="s">
        <v>422</v>
      </c>
      <c r="E2785" s="45" t="s">
        <v>3769</v>
      </c>
      <c r="G2785" s="38"/>
      <c r="H2785" s="38">
        <v>120</v>
      </c>
    </row>
    <row r="2786" spans="1:8" ht="14.5" x14ac:dyDescent="0.35">
      <c r="A2786" s="45"/>
      <c r="B2786" s="45" t="s">
        <v>3802</v>
      </c>
      <c r="C2786" s="55">
        <v>45887</v>
      </c>
      <c r="D2786" s="45" t="s">
        <v>422</v>
      </c>
      <c r="E2786" s="45" t="s">
        <v>3770</v>
      </c>
      <c r="G2786" s="38"/>
      <c r="H2786" s="38">
        <v>120</v>
      </c>
    </row>
    <row r="2787" spans="1:8" ht="14.5" x14ac:dyDescent="0.35">
      <c r="A2787" s="45"/>
      <c r="B2787" s="45" t="s">
        <v>3802</v>
      </c>
      <c r="C2787" s="55">
        <v>45887</v>
      </c>
      <c r="D2787" s="45" t="s">
        <v>422</v>
      </c>
      <c r="E2787" s="45" t="s">
        <v>3771</v>
      </c>
      <c r="G2787" s="38"/>
      <c r="H2787" s="38">
        <v>230</v>
      </c>
    </row>
    <row r="2788" spans="1:8" ht="14.5" x14ac:dyDescent="0.35">
      <c r="A2788" s="45"/>
      <c r="B2788" s="45" t="s">
        <v>3802</v>
      </c>
      <c r="C2788" s="55">
        <v>45887</v>
      </c>
      <c r="D2788" s="45" t="s">
        <v>422</v>
      </c>
      <c r="E2788" s="45" t="s">
        <v>3773</v>
      </c>
      <c r="G2788" s="38"/>
      <c r="H2788" s="38">
        <v>120</v>
      </c>
    </row>
    <row r="2789" spans="1:8" ht="14.5" x14ac:dyDescent="0.35">
      <c r="A2789" s="45"/>
      <c r="B2789" s="45" t="s">
        <v>3802</v>
      </c>
      <c r="C2789" s="55">
        <v>45887</v>
      </c>
      <c r="D2789" s="45" t="s">
        <v>422</v>
      </c>
      <c r="E2789" s="45" t="s">
        <v>3774</v>
      </c>
      <c r="G2789" s="38"/>
      <c r="H2789" s="38">
        <v>137.75</v>
      </c>
    </row>
    <row r="2790" spans="1:8" ht="14.5" x14ac:dyDescent="0.35">
      <c r="A2790" s="45"/>
      <c r="B2790" s="45" t="s">
        <v>3802</v>
      </c>
      <c r="C2790" s="55">
        <v>45887</v>
      </c>
      <c r="D2790" s="45" t="s">
        <v>422</v>
      </c>
      <c r="E2790" s="45" t="s">
        <v>3777</v>
      </c>
      <c r="G2790" s="38"/>
      <c r="H2790" s="38">
        <v>120</v>
      </c>
    </row>
    <row r="2791" spans="1:8" ht="14.5" x14ac:dyDescent="0.35">
      <c r="A2791" s="45"/>
      <c r="B2791" s="45" t="s">
        <v>3802</v>
      </c>
      <c r="C2791" s="55">
        <v>45887</v>
      </c>
      <c r="D2791" s="45" t="s">
        <v>66</v>
      </c>
      <c r="E2791" s="45" t="s">
        <v>76</v>
      </c>
      <c r="G2791" s="38"/>
      <c r="H2791" s="38">
        <v>52.5</v>
      </c>
    </row>
    <row r="2792" spans="1:8" ht="14.5" x14ac:dyDescent="0.35">
      <c r="A2792" s="45"/>
      <c r="B2792" s="45" t="s">
        <v>3802</v>
      </c>
      <c r="C2792" s="55">
        <v>45888</v>
      </c>
      <c r="D2792" s="45" t="s">
        <v>96</v>
      </c>
      <c r="E2792" s="45" t="s">
        <v>3970</v>
      </c>
      <c r="G2792" s="38"/>
      <c r="H2792" s="38">
        <v>110</v>
      </c>
    </row>
    <row r="2793" spans="1:8" ht="14.5" x14ac:dyDescent="0.35">
      <c r="A2793" s="45"/>
      <c r="B2793" s="45" t="s">
        <v>3802</v>
      </c>
      <c r="C2793" s="55">
        <v>45888</v>
      </c>
      <c r="D2793" s="45" t="s">
        <v>96</v>
      </c>
      <c r="E2793" s="45" t="s">
        <v>3971</v>
      </c>
      <c r="G2793" s="38"/>
      <c r="H2793" s="38">
        <v>210</v>
      </c>
    </row>
    <row r="2794" spans="1:8" s="149" customFormat="1" ht="14.5" x14ac:dyDescent="0.35">
      <c r="A2794" s="147" t="s">
        <v>3799</v>
      </c>
      <c r="B2794" s="147" t="s">
        <v>3799</v>
      </c>
      <c r="C2794" s="148">
        <v>45889</v>
      </c>
      <c r="D2794" s="147" t="s">
        <v>716</v>
      </c>
      <c r="E2794" s="147" t="s">
        <v>3972</v>
      </c>
      <c r="G2794" s="150">
        <v>0</v>
      </c>
      <c r="H2794" s="150">
        <v>0.2</v>
      </c>
    </row>
    <row r="2795" spans="1:8" ht="14.5" x14ac:dyDescent="0.35">
      <c r="A2795" s="45" t="s">
        <v>3799</v>
      </c>
      <c r="B2795" s="45"/>
      <c r="C2795" s="55">
        <v>45890</v>
      </c>
      <c r="D2795" s="45" t="s">
        <v>819</v>
      </c>
      <c r="E2795" s="45" t="s">
        <v>3973</v>
      </c>
      <c r="G2795" s="38">
        <v>200</v>
      </c>
      <c r="H2795" s="38"/>
    </row>
    <row r="2796" spans="1:8" ht="14.5" x14ac:dyDescent="0.35">
      <c r="A2796" s="45"/>
      <c r="B2796" s="45" t="s">
        <v>3802</v>
      </c>
      <c r="C2796" s="55">
        <v>45890</v>
      </c>
      <c r="D2796" s="45" t="s">
        <v>819</v>
      </c>
      <c r="E2796" s="45" t="s">
        <v>3973</v>
      </c>
      <c r="G2796" s="38"/>
      <c r="H2796" s="38">
        <v>200</v>
      </c>
    </row>
    <row r="2797" spans="1:8" ht="14.5" x14ac:dyDescent="0.35">
      <c r="A2797" s="45" t="s">
        <v>3589</v>
      </c>
      <c r="B2797" s="45"/>
      <c r="C2797" s="55">
        <v>45890</v>
      </c>
      <c r="D2797" s="45" t="s">
        <v>819</v>
      </c>
      <c r="E2797" s="45" t="s">
        <v>3973</v>
      </c>
      <c r="G2797" s="38">
        <v>200</v>
      </c>
      <c r="H2797" s="38"/>
    </row>
    <row r="2798" spans="1:8" ht="14.5" x14ac:dyDescent="0.35">
      <c r="A2798" s="45"/>
      <c r="B2798" s="45" t="s">
        <v>3799</v>
      </c>
      <c r="C2798" s="55">
        <v>45890</v>
      </c>
      <c r="D2798" s="45" t="s">
        <v>819</v>
      </c>
      <c r="E2798" s="45" t="s">
        <v>3973</v>
      </c>
      <c r="G2798" s="38"/>
      <c r="H2798" s="38">
        <v>200</v>
      </c>
    </row>
    <row r="2799" spans="1:8" s="149" customFormat="1" ht="14.5" x14ac:dyDescent="0.35">
      <c r="A2799" s="147" t="s">
        <v>3799</v>
      </c>
      <c r="B2799" s="147"/>
      <c r="C2799" s="148">
        <v>45890</v>
      </c>
      <c r="D2799" s="147" t="s">
        <v>324</v>
      </c>
      <c r="E2799" s="147" t="s">
        <v>3974</v>
      </c>
      <c r="G2799" s="150">
        <v>446.48</v>
      </c>
      <c r="H2799" s="150">
        <v>0</v>
      </c>
    </row>
    <row r="2800" spans="1:8" ht="14.5" x14ac:dyDescent="0.35">
      <c r="A2800" s="45" t="s">
        <v>3799</v>
      </c>
      <c r="B2800" s="45"/>
      <c r="C2800" s="55">
        <v>45890</v>
      </c>
      <c r="D2800" s="45" t="s">
        <v>324</v>
      </c>
      <c r="E2800" s="45" t="s">
        <v>3975</v>
      </c>
      <c r="G2800" s="38">
        <v>264.45</v>
      </c>
      <c r="H2800" s="38"/>
    </row>
    <row r="2801" spans="1:8" ht="14.5" x14ac:dyDescent="0.35">
      <c r="A2801" s="45"/>
      <c r="B2801" s="45" t="s">
        <v>3802</v>
      </c>
      <c r="C2801" s="55">
        <v>45890</v>
      </c>
      <c r="D2801" s="45" t="s">
        <v>324</v>
      </c>
      <c r="E2801" s="45" t="s">
        <v>3975</v>
      </c>
      <c r="G2801" s="38"/>
      <c r="H2801" s="38">
        <v>264.45</v>
      </c>
    </row>
    <row r="2802" spans="1:8" ht="14.5" x14ac:dyDescent="0.35">
      <c r="A2802" s="45" t="s">
        <v>3589</v>
      </c>
      <c r="B2802" s="45"/>
      <c r="C2802" s="55">
        <v>45890</v>
      </c>
      <c r="D2802" s="45" t="s">
        <v>324</v>
      </c>
      <c r="E2802" s="45" t="s">
        <v>3975</v>
      </c>
      <c r="G2802" s="38">
        <v>264.45</v>
      </c>
      <c r="H2802" s="38"/>
    </row>
    <row r="2803" spans="1:8" ht="14.5" x14ac:dyDescent="0.35">
      <c r="A2803" s="45"/>
      <c r="B2803" s="45" t="s">
        <v>3799</v>
      </c>
      <c r="C2803" s="55">
        <v>45890</v>
      </c>
      <c r="D2803" s="45" t="s">
        <v>324</v>
      </c>
      <c r="E2803" s="45" t="s">
        <v>3975</v>
      </c>
      <c r="G2803" s="38"/>
      <c r="H2803" s="38">
        <v>264.45</v>
      </c>
    </row>
    <row r="2804" spans="1:8" ht="14.5" x14ac:dyDescent="0.35">
      <c r="A2804" s="45"/>
      <c r="B2804" s="45"/>
      <c r="C2804" s="55"/>
      <c r="D2804" s="45"/>
      <c r="E2804" s="45"/>
      <c r="G2804" s="38"/>
      <c r="H2804" s="38"/>
    </row>
    <row r="2805" spans="1:8" s="149" customFormat="1" ht="14.5" x14ac:dyDescent="0.35">
      <c r="A2805" s="147"/>
      <c r="B2805" s="147" t="s">
        <v>3802</v>
      </c>
      <c r="C2805" s="148">
        <v>45890</v>
      </c>
      <c r="D2805" s="147" t="s">
        <v>422</v>
      </c>
      <c r="E2805" s="147" t="s">
        <v>3976</v>
      </c>
      <c r="G2805" s="150">
        <v>0</v>
      </c>
      <c r="H2805" s="150">
        <v>101.4</v>
      </c>
    </row>
    <row r="2806" spans="1:8" ht="14.5" x14ac:dyDescent="0.35">
      <c r="A2806" s="45"/>
      <c r="B2806" s="45"/>
      <c r="C2806" s="55"/>
      <c r="D2806" s="45"/>
      <c r="E2806" s="45"/>
      <c r="G2806" s="38"/>
      <c r="H2806" s="38"/>
    </row>
    <row r="2807" spans="1:8" s="149" customFormat="1" ht="14.5" x14ac:dyDescent="0.35">
      <c r="A2807" s="147" t="s">
        <v>3799</v>
      </c>
      <c r="B2807" s="147" t="s">
        <v>3799</v>
      </c>
      <c r="C2807" s="148">
        <v>45890</v>
      </c>
      <c r="D2807" s="147" t="s">
        <v>324</v>
      </c>
      <c r="E2807" s="147" t="s">
        <v>3977</v>
      </c>
      <c r="G2807" s="150">
        <v>738.63</v>
      </c>
      <c r="H2807" s="150">
        <v>0</v>
      </c>
    </row>
    <row r="2808" spans="1:8" ht="14.5" x14ac:dyDescent="0.35">
      <c r="A2808" s="45"/>
      <c r="B2808" s="45"/>
      <c r="C2808" s="55"/>
      <c r="D2808" s="45"/>
      <c r="E2808" s="45"/>
      <c r="G2808" s="38"/>
      <c r="H2808" s="38"/>
    </row>
    <row r="2809" spans="1:8" s="149" customFormat="1" ht="14.5" x14ac:dyDescent="0.35">
      <c r="A2809" s="147" t="s">
        <v>3799</v>
      </c>
      <c r="B2809" s="147" t="s">
        <v>3799</v>
      </c>
      <c r="C2809" s="148">
        <v>45890</v>
      </c>
      <c r="D2809" s="147" t="s">
        <v>324</v>
      </c>
      <c r="E2809" s="147" t="s">
        <v>3978</v>
      </c>
      <c r="G2809" s="150">
        <v>573.75</v>
      </c>
      <c r="H2809" s="150">
        <v>0</v>
      </c>
    </row>
    <row r="2810" spans="1:8" s="149" customFormat="1" ht="14.5" x14ac:dyDescent="0.35">
      <c r="A2810" s="147"/>
      <c r="B2810" s="147" t="s">
        <v>3802</v>
      </c>
      <c r="C2810" s="148">
        <v>45893</v>
      </c>
      <c r="D2810" s="147" t="s">
        <v>324</v>
      </c>
      <c r="E2810" s="147" t="s">
        <v>3611</v>
      </c>
      <c r="G2810" s="150">
        <v>0</v>
      </c>
      <c r="H2810" s="150">
        <v>14666.45</v>
      </c>
    </row>
    <row r="2811" spans="1:8" s="149" customFormat="1" ht="14.5" x14ac:dyDescent="0.35">
      <c r="A2811" s="147" t="s">
        <v>3799</v>
      </c>
      <c r="B2811" s="147"/>
      <c r="C2811" s="148">
        <v>45895</v>
      </c>
      <c r="D2811" s="147" t="s">
        <v>3929</v>
      </c>
      <c r="E2811" s="147" t="s">
        <v>3980</v>
      </c>
      <c r="G2811" s="150">
        <v>7249.2500000000009</v>
      </c>
      <c r="H2811" s="150">
        <v>0</v>
      </c>
    </row>
    <row r="2812" spans="1:8" s="149" customFormat="1" ht="14.5" x14ac:dyDescent="0.35">
      <c r="A2812" s="147" t="s">
        <v>3799</v>
      </c>
      <c r="B2812" s="147"/>
      <c r="C2812" s="148">
        <v>45895</v>
      </c>
      <c r="D2812" s="147" t="s">
        <v>96</v>
      </c>
      <c r="E2812" s="147" t="s">
        <v>98</v>
      </c>
      <c r="G2812" s="150">
        <v>3650.62</v>
      </c>
      <c r="H2812" s="150">
        <v>0</v>
      </c>
    </row>
    <row r="2813" spans="1:8" s="149" customFormat="1" ht="14.5" x14ac:dyDescent="0.35">
      <c r="A2813" s="147" t="s">
        <v>3799</v>
      </c>
      <c r="B2813" s="147"/>
      <c r="C2813" s="148">
        <v>45895</v>
      </c>
      <c r="D2813" s="147" t="s">
        <v>17</v>
      </c>
      <c r="E2813" s="147">
        <v>20250414</v>
      </c>
      <c r="G2813" s="150">
        <v>3785.09</v>
      </c>
      <c r="H2813" s="150">
        <v>0</v>
      </c>
    </row>
    <row r="2814" spans="1:8" s="149" customFormat="1" ht="14.5" x14ac:dyDescent="0.35">
      <c r="A2814" s="147" t="s">
        <v>3799</v>
      </c>
      <c r="B2814" s="147"/>
      <c r="C2814" s="148">
        <v>45895</v>
      </c>
      <c r="D2814" s="147" t="s">
        <v>96</v>
      </c>
      <c r="E2814" s="147" t="s">
        <v>3983</v>
      </c>
      <c r="G2814" s="150">
        <v>108.55000000000001</v>
      </c>
      <c r="H2814" s="150">
        <v>0</v>
      </c>
    </row>
    <row r="2815" spans="1:8" ht="14.5" x14ac:dyDescent="0.35">
      <c r="A2815" s="45" t="s">
        <v>3799</v>
      </c>
      <c r="B2815" s="45"/>
      <c r="C2815" s="55">
        <v>45894</v>
      </c>
      <c r="D2815" s="45" t="s">
        <v>716</v>
      </c>
      <c r="E2815" s="45" t="s">
        <v>729</v>
      </c>
      <c r="G2815" s="38">
        <v>3582.92</v>
      </c>
      <c r="H2815" s="38"/>
    </row>
    <row r="2816" spans="1:8" ht="14.5" x14ac:dyDescent="0.35">
      <c r="A2816" s="45" t="s">
        <v>3799</v>
      </c>
      <c r="B2816" s="45"/>
      <c r="C2816" s="55">
        <v>45894</v>
      </c>
      <c r="D2816" s="45" t="s">
        <v>716</v>
      </c>
      <c r="E2816" s="45" t="s">
        <v>730</v>
      </c>
      <c r="G2816" s="38">
        <v>3583.9999999999982</v>
      </c>
      <c r="H2816" s="38"/>
    </row>
    <row r="2817" spans="1:8" ht="14.5" x14ac:dyDescent="0.35">
      <c r="A2817" s="45" t="s">
        <v>3799</v>
      </c>
      <c r="B2817" s="45"/>
      <c r="C2817" s="55">
        <v>45894</v>
      </c>
      <c r="D2817" s="45" t="s">
        <v>819</v>
      </c>
      <c r="E2817" s="45" t="s">
        <v>845</v>
      </c>
      <c r="G2817" s="38">
        <v>4950.0000000000009</v>
      </c>
      <c r="H2817" s="38"/>
    </row>
    <row r="2818" spans="1:8" ht="14.5" x14ac:dyDescent="0.35">
      <c r="A2818" s="45" t="s">
        <v>3799</v>
      </c>
      <c r="B2818" s="45"/>
      <c r="C2818" s="55">
        <v>45894</v>
      </c>
      <c r="D2818" s="45" t="s">
        <v>34</v>
      </c>
      <c r="E2818" s="45" t="s">
        <v>3979</v>
      </c>
      <c r="G2818" s="38">
        <v>4697</v>
      </c>
      <c r="H2818" s="38"/>
    </row>
    <row r="2819" spans="1:8" ht="14.5" x14ac:dyDescent="0.35">
      <c r="A2819" s="45" t="s">
        <v>3799</v>
      </c>
      <c r="B2819" s="45"/>
      <c r="C2819" s="55">
        <v>45894</v>
      </c>
      <c r="D2819" s="45" t="s">
        <v>82</v>
      </c>
      <c r="E2819" s="45" t="s">
        <v>84</v>
      </c>
      <c r="G2819" s="38">
        <v>5512.0000000000036</v>
      </c>
      <c r="H2819" s="38"/>
    </row>
    <row r="2820" spans="1:8" ht="14.5" x14ac:dyDescent="0.35">
      <c r="A2820" s="45" t="s">
        <v>3799</v>
      </c>
      <c r="B2820" s="45"/>
      <c r="C2820" s="55">
        <v>45894</v>
      </c>
      <c r="D2820" s="45" t="s">
        <v>716</v>
      </c>
      <c r="E2820" s="45" t="s">
        <v>731</v>
      </c>
      <c r="G2820" s="38">
        <v>14982.4</v>
      </c>
      <c r="H2820" s="38"/>
    </row>
    <row r="2821" spans="1:8" ht="14.5" x14ac:dyDescent="0.35">
      <c r="A2821" s="45" t="s">
        <v>3799</v>
      </c>
      <c r="B2821" s="45"/>
      <c r="C2821" s="55">
        <v>45894</v>
      </c>
      <c r="D2821" s="45" t="s">
        <v>34</v>
      </c>
      <c r="E2821" s="45" t="s">
        <v>47</v>
      </c>
      <c r="G2821" s="38">
        <v>9704.7900000000009</v>
      </c>
      <c r="H2821" s="38"/>
    </row>
    <row r="2822" spans="1:8" ht="14.5" x14ac:dyDescent="0.35">
      <c r="A2822" s="45" t="s">
        <v>3799</v>
      </c>
      <c r="B2822" s="45"/>
      <c r="C2822" s="55">
        <v>45894</v>
      </c>
      <c r="D2822" s="45" t="s">
        <v>34</v>
      </c>
      <c r="E2822" s="45" t="s">
        <v>45</v>
      </c>
      <c r="G2822" s="38">
        <v>4602</v>
      </c>
      <c r="H2822" s="38"/>
    </row>
    <row r="2823" spans="1:8" ht="14.5" x14ac:dyDescent="0.35">
      <c r="A2823" s="45" t="s">
        <v>3799</v>
      </c>
      <c r="B2823" s="45"/>
      <c r="C2823" s="55">
        <v>45894</v>
      </c>
      <c r="D2823" s="45" t="s">
        <v>34</v>
      </c>
      <c r="E2823" s="45" t="s">
        <v>40</v>
      </c>
      <c r="G2823" s="38">
        <v>14309.02</v>
      </c>
      <c r="H2823" s="38"/>
    </row>
    <row r="2824" spans="1:8" ht="14.5" x14ac:dyDescent="0.35">
      <c r="A2824" s="45" t="s">
        <v>3799</v>
      </c>
      <c r="B2824" s="45"/>
      <c r="C2824" s="55">
        <v>45895</v>
      </c>
      <c r="D2824" s="45" t="s">
        <v>422</v>
      </c>
      <c r="E2824" s="45" t="s">
        <v>3663</v>
      </c>
      <c r="G2824" s="38">
        <v>135</v>
      </c>
      <c r="H2824" s="38"/>
    </row>
    <row r="2825" spans="1:8" ht="14.5" x14ac:dyDescent="0.35">
      <c r="A2825" s="45" t="s">
        <v>3799</v>
      </c>
      <c r="B2825" s="45"/>
      <c r="C2825" s="55">
        <v>45895</v>
      </c>
      <c r="D2825" s="45" t="s">
        <v>422</v>
      </c>
      <c r="E2825" s="45" t="s">
        <v>3981</v>
      </c>
      <c r="G2825" s="38">
        <v>198</v>
      </c>
      <c r="H2825" s="38"/>
    </row>
    <row r="2826" spans="1:8" ht="14.5" x14ac:dyDescent="0.35">
      <c r="A2826" s="45" t="s">
        <v>3799</v>
      </c>
      <c r="B2826" s="45"/>
      <c r="C2826" s="55">
        <v>45895</v>
      </c>
      <c r="D2826" s="45" t="s">
        <v>422</v>
      </c>
      <c r="E2826" s="45" t="s">
        <v>3715</v>
      </c>
      <c r="G2826" s="38">
        <v>199</v>
      </c>
      <c r="H2826" s="38"/>
    </row>
    <row r="2827" spans="1:8" ht="14.5" x14ac:dyDescent="0.35">
      <c r="A2827" s="45" t="s">
        <v>3799</v>
      </c>
      <c r="B2827" s="45"/>
      <c r="C2827" s="55">
        <v>45895</v>
      </c>
      <c r="D2827" s="45" t="s">
        <v>422</v>
      </c>
      <c r="E2827" s="45" t="s">
        <v>3675</v>
      </c>
      <c r="G2827" s="38">
        <v>136</v>
      </c>
      <c r="H2827" s="38"/>
    </row>
    <row r="2828" spans="1:8" ht="14.5" x14ac:dyDescent="0.35">
      <c r="A2828" s="45" t="s">
        <v>3799</v>
      </c>
      <c r="B2828" s="45"/>
      <c r="C2828" s="55">
        <v>45895</v>
      </c>
      <c r="D2828" s="45" t="s">
        <v>422</v>
      </c>
      <c r="E2828" s="45" t="s">
        <v>3676</v>
      </c>
      <c r="G2828" s="38">
        <v>135.5</v>
      </c>
      <c r="H2828" s="38"/>
    </row>
    <row r="2829" spans="1:8" ht="14.5" x14ac:dyDescent="0.35">
      <c r="A2829" s="45" t="s">
        <v>3799</v>
      </c>
      <c r="B2829" s="45"/>
      <c r="C2829" s="55">
        <v>45895</v>
      </c>
      <c r="D2829" s="45" t="s">
        <v>422</v>
      </c>
      <c r="E2829" s="45" t="s">
        <v>3679</v>
      </c>
      <c r="G2829" s="38">
        <v>136</v>
      </c>
      <c r="H2829" s="38"/>
    </row>
    <row r="2830" spans="1:8" ht="14.5" x14ac:dyDescent="0.35">
      <c r="A2830" s="45" t="s">
        <v>3799</v>
      </c>
      <c r="B2830" s="45"/>
      <c r="C2830" s="55">
        <v>45895</v>
      </c>
      <c r="D2830" s="45" t="s">
        <v>422</v>
      </c>
      <c r="E2830" s="45" t="s">
        <v>3982</v>
      </c>
      <c r="G2830" s="38">
        <v>198.99999999999997</v>
      </c>
      <c r="H2830" s="38"/>
    </row>
    <row r="2831" spans="1:8" ht="14.5" x14ac:dyDescent="0.35">
      <c r="A2831" s="45" t="s">
        <v>3799</v>
      </c>
      <c r="B2831" s="45"/>
      <c r="C2831" s="55">
        <v>45895</v>
      </c>
      <c r="D2831" s="45" t="s">
        <v>422</v>
      </c>
      <c r="E2831" s="45" t="s">
        <v>3751</v>
      </c>
      <c r="G2831" s="38">
        <v>65</v>
      </c>
      <c r="H2831" s="38"/>
    </row>
    <row r="2832" spans="1:8" ht="14.5" x14ac:dyDescent="0.35">
      <c r="A2832" s="45" t="s">
        <v>3799</v>
      </c>
      <c r="B2832" s="45"/>
      <c r="C2832" s="55">
        <v>45896</v>
      </c>
      <c r="D2832" s="45" t="s">
        <v>422</v>
      </c>
      <c r="E2832" s="45" t="s">
        <v>3984</v>
      </c>
      <c r="G2832" s="38">
        <v>421</v>
      </c>
      <c r="H2832" s="38"/>
    </row>
    <row r="2833" spans="1:8" ht="14.5" x14ac:dyDescent="0.35">
      <c r="A2833" s="45" t="s">
        <v>3799</v>
      </c>
      <c r="B2833" s="45"/>
      <c r="C2833" s="55">
        <v>45896</v>
      </c>
      <c r="D2833" s="45" t="s">
        <v>422</v>
      </c>
      <c r="E2833" s="45" t="s">
        <v>3985</v>
      </c>
      <c r="G2833" s="38">
        <v>500.99999999999994</v>
      </c>
      <c r="H2833" s="38"/>
    </row>
    <row r="2834" spans="1:8" ht="14.5" x14ac:dyDescent="0.35">
      <c r="A2834" s="45" t="s">
        <v>3799</v>
      </c>
      <c r="B2834" s="45"/>
      <c r="C2834" s="55">
        <v>45896</v>
      </c>
      <c r="D2834" s="45" t="s">
        <v>422</v>
      </c>
      <c r="E2834" s="45" t="s">
        <v>3986</v>
      </c>
      <c r="G2834" s="38">
        <v>421</v>
      </c>
      <c r="H2834" s="38"/>
    </row>
    <row r="2835" spans="1:8" ht="14.5" x14ac:dyDescent="0.35">
      <c r="A2835" s="45" t="s">
        <v>3799</v>
      </c>
      <c r="B2835" s="45"/>
      <c r="C2835" s="55">
        <v>45896</v>
      </c>
      <c r="D2835" s="45" t="s">
        <v>422</v>
      </c>
      <c r="E2835" s="45" t="s">
        <v>3987</v>
      </c>
      <c r="G2835" s="38">
        <v>422</v>
      </c>
      <c r="H2835" s="38"/>
    </row>
    <row r="2836" spans="1:8" ht="14.5" x14ac:dyDescent="0.35">
      <c r="A2836" s="45" t="s">
        <v>3799</v>
      </c>
      <c r="B2836" s="45"/>
      <c r="C2836" s="55">
        <v>45896</v>
      </c>
      <c r="D2836" s="45" t="s">
        <v>422</v>
      </c>
      <c r="E2836" s="45" t="s">
        <v>665</v>
      </c>
      <c r="G2836" s="38">
        <v>422</v>
      </c>
      <c r="H2836" s="38"/>
    </row>
    <row r="2837" spans="1:8" ht="14.5" x14ac:dyDescent="0.35">
      <c r="A2837" s="45"/>
      <c r="B2837" s="45" t="s">
        <v>3802</v>
      </c>
      <c r="C2837" s="55">
        <v>45894</v>
      </c>
      <c r="D2837" s="45" t="s">
        <v>716</v>
      </c>
      <c r="E2837" s="45" t="s">
        <v>729</v>
      </c>
      <c r="G2837" s="38"/>
      <c r="H2837" s="38">
        <v>3582.92</v>
      </c>
    </row>
    <row r="2838" spans="1:8" ht="14.5" x14ac:dyDescent="0.35">
      <c r="A2838" s="45"/>
      <c r="B2838" s="45" t="s">
        <v>3802</v>
      </c>
      <c r="C2838" s="55">
        <v>45894</v>
      </c>
      <c r="D2838" s="45" t="s">
        <v>716</v>
      </c>
      <c r="E2838" s="45" t="s">
        <v>730</v>
      </c>
      <c r="G2838" s="38"/>
      <c r="H2838" s="38">
        <v>3584</v>
      </c>
    </row>
    <row r="2839" spans="1:8" ht="14.5" x14ac:dyDescent="0.35">
      <c r="A2839" s="45"/>
      <c r="B2839" s="45" t="s">
        <v>3802</v>
      </c>
      <c r="C2839" s="55">
        <v>45894</v>
      </c>
      <c r="D2839" s="45" t="s">
        <v>819</v>
      </c>
      <c r="E2839" s="45" t="s">
        <v>845</v>
      </c>
      <c r="G2839" s="38"/>
      <c r="H2839" s="38">
        <v>4950</v>
      </c>
    </row>
    <row r="2840" spans="1:8" ht="14.5" x14ac:dyDescent="0.35">
      <c r="A2840" s="45"/>
      <c r="B2840" s="45" t="s">
        <v>3802</v>
      </c>
      <c r="C2840" s="55">
        <v>45894</v>
      </c>
      <c r="D2840" s="45" t="s">
        <v>34</v>
      </c>
      <c r="E2840" s="45" t="s">
        <v>3979</v>
      </c>
      <c r="G2840" s="38"/>
      <c r="H2840" s="38">
        <v>4697</v>
      </c>
    </row>
    <row r="2841" spans="1:8" ht="14.5" x14ac:dyDescent="0.35">
      <c r="A2841" s="45"/>
      <c r="B2841" s="45" t="s">
        <v>3802</v>
      </c>
      <c r="C2841" s="55">
        <v>45894</v>
      </c>
      <c r="D2841" s="45" t="s">
        <v>82</v>
      </c>
      <c r="E2841" s="45" t="s">
        <v>84</v>
      </c>
      <c r="G2841" s="38"/>
      <c r="H2841" s="38">
        <v>5512</v>
      </c>
    </row>
    <row r="2842" spans="1:8" ht="14.5" x14ac:dyDescent="0.35">
      <c r="A2842" s="45"/>
      <c r="B2842" s="45" t="s">
        <v>3802</v>
      </c>
      <c r="C2842" s="55">
        <v>45894</v>
      </c>
      <c r="D2842" s="45" t="s">
        <v>716</v>
      </c>
      <c r="E2842" s="45" t="s">
        <v>731</v>
      </c>
      <c r="G2842" s="38"/>
      <c r="H2842" s="38">
        <v>4482</v>
      </c>
    </row>
    <row r="2843" spans="1:8" ht="14.5" x14ac:dyDescent="0.35">
      <c r="A2843" s="45"/>
      <c r="B2843" s="45" t="s">
        <v>3802</v>
      </c>
      <c r="C2843" s="55">
        <v>45894</v>
      </c>
      <c r="D2843" s="45" t="s">
        <v>34</v>
      </c>
      <c r="E2843" s="45" t="s">
        <v>47</v>
      </c>
      <c r="G2843" s="38"/>
      <c r="H2843" s="38">
        <v>4650.6100000000006</v>
      </c>
    </row>
    <row r="2844" spans="1:8" ht="14.5" x14ac:dyDescent="0.35">
      <c r="A2844" s="45"/>
      <c r="B2844" s="45" t="s">
        <v>3802</v>
      </c>
      <c r="C2844" s="55">
        <v>45894</v>
      </c>
      <c r="D2844" s="45" t="s">
        <v>34</v>
      </c>
      <c r="E2844" s="45" t="s">
        <v>45</v>
      </c>
      <c r="G2844" s="38"/>
      <c r="H2844" s="38">
        <v>4602</v>
      </c>
    </row>
    <row r="2845" spans="1:8" ht="14.5" x14ac:dyDescent="0.35">
      <c r="A2845" s="45"/>
      <c r="B2845" s="45" t="s">
        <v>3802</v>
      </c>
      <c r="C2845" s="55">
        <v>45894</v>
      </c>
      <c r="D2845" s="45" t="s">
        <v>34</v>
      </c>
      <c r="E2845" s="45" t="s">
        <v>40</v>
      </c>
      <c r="G2845" s="38"/>
      <c r="H2845" s="38">
        <v>2348</v>
      </c>
    </row>
    <row r="2846" spans="1:8" ht="14.5" x14ac:dyDescent="0.35">
      <c r="A2846" s="45"/>
      <c r="B2846" s="45" t="s">
        <v>3802</v>
      </c>
      <c r="C2846" s="55">
        <v>45895</v>
      </c>
      <c r="D2846" s="45" t="s">
        <v>422</v>
      </c>
      <c r="E2846" s="45" t="s">
        <v>3663</v>
      </c>
      <c r="G2846" s="38"/>
      <c r="H2846" s="38">
        <v>135</v>
      </c>
    </row>
    <row r="2847" spans="1:8" ht="14.5" x14ac:dyDescent="0.35">
      <c r="A2847" s="45"/>
      <c r="B2847" s="45" t="s">
        <v>3802</v>
      </c>
      <c r="C2847" s="55">
        <v>45895</v>
      </c>
      <c r="D2847" s="45" t="s">
        <v>422</v>
      </c>
      <c r="E2847" s="45" t="s">
        <v>3981</v>
      </c>
      <c r="G2847" s="38"/>
      <c r="H2847" s="38">
        <v>198</v>
      </c>
    </row>
    <row r="2848" spans="1:8" ht="14.5" x14ac:dyDescent="0.35">
      <c r="A2848" s="45"/>
      <c r="B2848" s="45" t="s">
        <v>3802</v>
      </c>
      <c r="C2848" s="55">
        <v>45895</v>
      </c>
      <c r="D2848" s="45" t="s">
        <v>422</v>
      </c>
      <c r="E2848" s="45" t="s">
        <v>3715</v>
      </c>
      <c r="G2848" s="38"/>
      <c r="H2848" s="38">
        <v>199</v>
      </c>
    </row>
    <row r="2849" spans="1:8" ht="14.5" x14ac:dyDescent="0.35">
      <c r="A2849" s="45"/>
      <c r="B2849" s="45" t="s">
        <v>3802</v>
      </c>
      <c r="C2849" s="55">
        <v>45895</v>
      </c>
      <c r="D2849" s="45" t="s">
        <v>422</v>
      </c>
      <c r="E2849" s="45" t="s">
        <v>3675</v>
      </c>
      <c r="G2849" s="38"/>
      <c r="H2849" s="38">
        <v>136</v>
      </c>
    </row>
    <row r="2850" spans="1:8" ht="14.5" x14ac:dyDescent="0.35">
      <c r="A2850" s="45"/>
      <c r="B2850" s="45" t="s">
        <v>3802</v>
      </c>
      <c r="C2850" s="55">
        <v>45895</v>
      </c>
      <c r="D2850" s="45" t="s">
        <v>422</v>
      </c>
      <c r="E2850" s="45" t="s">
        <v>3676</v>
      </c>
      <c r="G2850" s="38"/>
      <c r="H2850" s="38">
        <v>135.5</v>
      </c>
    </row>
    <row r="2851" spans="1:8" ht="14.5" x14ac:dyDescent="0.35">
      <c r="A2851" s="45"/>
      <c r="B2851" s="45" t="s">
        <v>3802</v>
      </c>
      <c r="C2851" s="55">
        <v>45895</v>
      </c>
      <c r="D2851" s="45" t="s">
        <v>422</v>
      </c>
      <c r="E2851" s="45" t="s">
        <v>3679</v>
      </c>
      <c r="G2851" s="38"/>
      <c r="H2851" s="38">
        <v>136</v>
      </c>
    </row>
    <row r="2852" spans="1:8" ht="14.5" x14ac:dyDescent="0.35">
      <c r="A2852" s="45"/>
      <c r="B2852" s="45" t="s">
        <v>3802</v>
      </c>
      <c r="C2852" s="55">
        <v>45895</v>
      </c>
      <c r="D2852" s="45" t="s">
        <v>422</v>
      </c>
      <c r="E2852" s="45" t="s">
        <v>3982</v>
      </c>
      <c r="G2852" s="38"/>
      <c r="H2852" s="38">
        <v>199</v>
      </c>
    </row>
    <row r="2853" spans="1:8" ht="14.5" x14ac:dyDescent="0.35">
      <c r="A2853" s="45"/>
      <c r="B2853" s="45" t="s">
        <v>3802</v>
      </c>
      <c r="C2853" s="55">
        <v>45895</v>
      </c>
      <c r="D2853" s="45" t="s">
        <v>422</v>
      </c>
      <c r="E2853" s="45" t="s">
        <v>3751</v>
      </c>
      <c r="G2853" s="38"/>
      <c r="H2853" s="38">
        <v>65</v>
      </c>
    </row>
    <row r="2854" spans="1:8" ht="14.5" x14ac:dyDescent="0.35">
      <c r="A2854" s="45"/>
      <c r="B2854" s="45" t="s">
        <v>3802</v>
      </c>
      <c r="C2854" s="55">
        <v>45896</v>
      </c>
      <c r="D2854" s="45" t="s">
        <v>422</v>
      </c>
      <c r="E2854" s="45" t="s">
        <v>3984</v>
      </c>
      <c r="G2854" s="38"/>
      <c r="H2854" s="38">
        <v>421</v>
      </c>
    </row>
    <row r="2855" spans="1:8" ht="14.5" x14ac:dyDescent="0.35">
      <c r="A2855" s="45"/>
      <c r="B2855" s="45" t="s">
        <v>3802</v>
      </c>
      <c r="C2855" s="55">
        <v>45896</v>
      </c>
      <c r="D2855" s="45" t="s">
        <v>422</v>
      </c>
      <c r="E2855" s="45" t="s">
        <v>3985</v>
      </c>
      <c r="G2855" s="38"/>
      <c r="H2855" s="38">
        <v>501</v>
      </c>
    </row>
    <row r="2856" spans="1:8" ht="14.5" x14ac:dyDescent="0.35">
      <c r="A2856" s="45"/>
      <c r="B2856" s="45" t="s">
        <v>3802</v>
      </c>
      <c r="C2856" s="55">
        <v>45896</v>
      </c>
      <c r="D2856" s="45" t="s">
        <v>422</v>
      </c>
      <c r="E2856" s="45" t="s">
        <v>3986</v>
      </c>
      <c r="G2856" s="38"/>
      <c r="H2856" s="38">
        <v>421</v>
      </c>
    </row>
    <row r="2857" spans="1:8" ht="14.5" x14ac:dyDescent="0.35">
      <c r="A2857" s="45"/>
      <c r="B2857" s="45" t="s">
        <v>3802</v>
      </c>
      <c r="C2857" s="55">
        <v>45896</v>
      </c>
      <c r="D2857" s="45" t="s">
        <v>422</v>
      </c>
      <c r="E2857" s="45" t="s">
        <v>3987</v>
      </c>
      <c r="G2857" s="38"/>
      <c r="H2857" s="38">
        <v>422</v>
      </c>
    </row>
    <row r="2858" spans="1:8" ht="14.5" x14ac:dyDescent="0.35">
      <c r="A2858" s="45"/>
      <c r="B2858" s="45" t="s">
        <v>3802</v>
      </c>
      <c r="C2858" s="55">
        <v>45896</v>
      </c>
      <c r="D2858" s="45" t="s">
        <v>422</v>
      </c>
      <c r="E2858" s="45" t="s">
        <v>665</v>
      </c>
      <c r="G2858" s="38"/>
      <c r="H2858" s="38">
        <v>422</v>
      </c>
    </row>
    <row r="2859" spans="1:8" ht="14.5" x14ac:dyDescent="0.35">
      <c r="A2859" s="45" t="s">
        <v>3799</v>
      </c>
      <c r="B2859" s="45"/>
      <c r="C2859" s="55">
        <v>45897</v>
      </c>
      <c r="D2859" s="45" t="s">
        <v>422</v>
      </c>
      <c r="E2859" s="45" t="s">
        <v>474</v>
      </c>
      <c r="G2859" s="38">
        <v>1901.47</v>
      </c>
      <c r="H2859" s="38"/>
    </row>
    <row r="2860" spans="1:8" ht="14.5" x14ac:dyDescent="0.35">
      <c r="A2860" s="45" t="s">
        <v>3799</v>
      </c>
      <c r="B2860" s="45"/>
      <c r="C2860" s="55">
        <v>45897</v>
      </c>
      <c r="D2860" s="45" t="s">
        <v>933</v>
      </c>
      <c r="E2860" s="45" t="s">
        <v>3598</v>
      </c>
      <c r="G2860" s="38">
        <v>3801.3999999999996</v>
      </c>
      <c r="H2860" s="38"/>
    </row>
    <row r="2861" spans="1:8" ht="14.5" x14ac:dyDescent="0.35">
      <c r="A2861" s="45" t="s">
        <v>3799</v>
      </c>
      <c r="B2861" s="45"/>
      <c r="C2861" s="55">
        <v>45898</v>
      </c>
      <c r="D2861" s="45" t="s">
        <v>793</v>
      </c>
      <c r="E2861" s="45" t="s">
        <v>3988</v>
      </c>
      <c r="G2861" s="38">
        <v>204.96000000000006</v>
      </c>
      <c r="H2861" s="38"/>
    </row>
    <row r="2862" spans="1:8" ht="14.5" x14ac:dyDescent="0.35">
      <c r="A2862" s="45" t="s">
        <v>3799</v>
      </c>
      <c r="B2862" s="45"/>
      <c r="C2862" s="55">
        <v>45898</v>
      </c>
      <c r="D2862" s="45" t="s">
        <v>793</v>
      </c>
      <c r="E2862" s="45" t="s">
        <v>3989</v>
      </c>
      <c r="G2862" s="38">
        <v>17.89</v>
      </c>
      <c r="H2862" s="38"/>
    </row>
    <row r="2863" spans="1:8" ht="14.5" x14ac:dyDescent="0.35">
      <c r="A2863" s="45" t="s">
        <v>3799</v>
      </c>
      <c r="B2863" s="45"/>
      <c r="C2863" s="55">
        <v>45898</v>
      </c>
      <c r="D2863" s="45" t="s">
        <v>736</v>
      </c>
      <c r="E2863" s="45" t="s">
        <v>3990</v>
      </c>
      <c r="G2863" s="38">
        <v>200</v>
      </c>
      <c r="H2863" s="38"/>
    </row>
    <row r="2864" spans="1:8" ht="14.5" x14ac:dyDescent="0.35">
      <c r="A2864" s="45" t="s">
        <v>3799</v>
      </c>
      <c r="B2864" s="45"/>
      <c r="C2864" s="55">
        <v>45898</v>
      </c>
      <c r="D2864" s="45" t="s">
        <v>793</v>
      </c>
      <c r="E2864" s="45" t="s">
        <v>3991</v>
      </c>
      <c r="G2864" s="38">
        <v>156.19</v>
      </c>
      <c r="H2864" s="38"/>
    </row>
    <row r="2865" spans="1:8" ht="14.5" x14ac:dyDescent="0.35">
      <c r="A2865" s="45" t="s">
        <v>3799</v>
      </c>
      <c r="B2865" s="45"/>
      <c r="C2865" s="55">
        <v>45898</v>
      </c>
      <c r="D2865" s="45" t="s">
        <v>863</v>
      </c>
      <c r="E2865" s="45" t="s">
        <v>3992</v>
      </c>
      <c r="G2865" s="38">
        <v>5402</v>
      </c>
      <c r="H2865" s="38"/>
    </row>
    <row r="2866" spans="1:8" ht="14.5" x14ac:dyDescent="0.35">
      <c r="A2866" s="45"/>
      <c r="B2866" s="45" t="s">
        <v>3802</v>
      </c>
      <c r="C2866" s="55">
        <v>45897</v>
      </c>
      <c r="D2866" s="45" t="s">
        <v>422</v>
      </c>
      <c r="E2866" s="45" t="s">
        <v>474</v>
      </c>
      <c r="G2866" s="38">
        <v>0</v>
      </c>
      <c r="H2866" s="38">
        <v>1901.47</v>
      </c>
    </row>
    <row r="2867" spans="1:8" ht="14.5" x14ac:dyDescent="0.35">
      <c r="A2867" s="45"/>
      <c r="B2867" s="45" t="s">
        <v>3802</v>
      </c>
      <c r="C2867" s="55">
        <v>45897</v>
      </c>
      <c r="D2867" s="45" t="s">
        <v>933</v>
      </c>
      <c r="E2867" s="45" t="s">
        <v>3598</v>
      </c>
      <c r="G2867" s="38">
        <v>0</v>
      </c>
      <c r="H2867" s="38">
        <v>3801.3999999999996</v>
      </c>
    </row>
    <row r="2868" spans="1:8" ht="14.5" x14ac:dyDescent="0.35">
      <c r="A2868" s="45"/>
      <c r="B2868" s="45" t="s">
        <v>3802</v>
      </c>
      <c r="C2868" s="55">
        <v>45898</v>
      </c>
      <c r="D2868" s="45" t="s">
        <v>793</v>
      </c>
      <c r="E2868" s="45" t="s">
        <v>3988</v>
      </c>
      <c r="G2868" s="38">
        <v>0</v>
      </c>
      <c r="H2868" s="38">
        <v>204.96000000000006</v>
      </c>
    </row>
    <row r="2869" spans="1:8" ht="14.5" x14ac:dyDescent="0.35">
      <c r="A2869" s="45"/>
      <c r="B2869" s="45" t="s">
        <v>3802</v>
      </c>
      <c r="C2869" s="55">
        <v>45898</v>
      </c>
      <c r="D2869" s="45" t="s">
        <v>793</v>
      </c>
      <c r="E2869" s="45" t="s">
        <v>3989</v>
      </c>
      <c r="G2869" s="38">
        <v>0</v>
      </c>
      <c r="H2869" s="38">
        <v>17.89</v>
      </c>
    </row>
    <row r="2870" spans="1:8" ht="14.5" x14ac:dyDescent="0.35">
      <c r="A2870" s="45"/>
      <c r="B2870" s="45" t="s">
        <v>3802</v>
      </c>
      <c r="C2870" s="55">
        <v>45898</v>
      </c>
      <c r="D2870" s="45" t="s">
        <v>736</v>
      </c>
      <c r="E2870" s="45" t="s">
        <v>3990</v>
      </c>
      <c r="G2870" s="38">
        <v>0</v>
      </c>
      <c r="H2870" s="38">
        <v>200</v>
      </c>
    </row>
    <row r="2871" spans="1:8" ht="14.5" x14ac:dyDescent="0.35">
      <c r="A2871" s="45"/>
      <c r="B2871" s="45" t="s">
        <v>3802</v>
      </c>
      <c r="C2871" s="55">
        <v>45898</v>
      </c>
      <c r="D2871" s="45" t="s">
        <v>793</v>
      </c>
      <c r="E2871" s="45" t="s">
        <v>3991</v>
      </c>
      <c r="G2871" s="38">
        <v>0</v>
      </c>
      <c r="H2871" s="38">
        <v>156.19</v>
      </c>
    </row>
    <row r="2872" spans="1:8" ht="14.5" x14ac:dyDescent="0.35">
      <c r="A2872" s="45"/>
      <c r="B2872" s="45" t="s">
        <v>3802</v>
      </c>
      <c r="C2872" s="55">
        <v>45898</v>
      </c>
      <c r="D2872" s="45" t="s">
        <v>863</v>
      </c>
      <c r="E2872" s="45" t="s">
        <v>3992</v>
      </c>
      <c r="G2872" s="38">
        <v>0</v>
      </c>
      <c r="H2872" s="38">
        <v>5402</v>
      </c>
    </row>
    <row r="2873" spans="1:8" ht="14.5" x14ac:dyDescent="0.35">
      <c r="A2873" s="45" t="s">
        <v>3799</v>
      </c>
      <c r="B2873" s="45"/>
      <c r="C2873" s="55">
        <v>45898</v>
      </c>
      <c r="D2873" s="45" t="s">
        <v>422</v>
      </c>
      <c r="E2873" s="45" t="s">
        <v>3993</v>
      </c>
      <c r="G2873" s="38">
        <v>80</v>
      </c>
      <c r="H2873" s="38"/>
    </row>
    <row r="2874" spans="1:8" ht="14.5" x14ac:dyDescent="0.35">
      <c r="A2874" s="45"/>
      <c r="B2874" s="45" t="s">
        <v>3802</v>
      </c>
      <c r="C2874" s="55">
        <v>45898</v>
      </c>
      <c r="D2874" s="45" t="s">
        <v>422</v>
      </c>
      <c r="E2874" s="45" t="s">
        <v>3993</v>
      </c>
      <c r="G2874" s="38"/>
      <c r="H2874" s="38">
        <v>80</v>
      </c>
    </row>
    <row r="2875" spans="1:8" ht="14.5" x14ac:dyDescent="0.35">
      <c r="A2875" s="45" t="s">
        <v>3589</v>
      </c>
      <c r="B2875" s="45"/>
      <c r="C2875" s="55">
        <v>45898</v>
      </c>
      <c r="D2875" s="45" t="s">
        <v>422</v>
      </c>
      <c r="E2875" s="45" t="s">
        <v>3993</v>
      </c>
      <c r="G2875" s="38">
        <v>80</v>
      </c>
      <c r="H2875" s="38"/>
    </row>
    <row r="2876" spans="1:8" ht="14.5" x14ac:dyDescent="0.35">
      <c r="A2876" s="45"/>
      <c r="B2876" s="45" t="s">
        <v>3799</v>
      </c>
      <c r="C2876" s="55">
        <v>45898</v>
      </c>
      <c r="D2876" s="45" t="s">
        <v>422</v>
      </c>
      <c r="E2876" s="45" t="s">
        <v>3993</v>
      </c>
      <c r="G2876" s="38"/>
      <c r="H2876" s="38">
        <v>80</v>
      </c>
    </row>
    <row r="2877" spans="1:8" ht="14.5" x14ac:dyDescent="0.35">
      <c r="A2877" s="45" t="s">
        <v>3799</v>
      </c>
      <c r="B2877" s="45"/>
      <c r="C2877" s="55">
        <v>45898</v>
      </c>
      <c r="D2877" s="45" t="s">
        <v>422</v>
      </c>
      <c r="E2877" s="45" t="s">
        <v>3994</v>
      </c>
      <c r="G2877" s="38">
        <v>80</v>
      </c>
      <c r="H2877" s="38"/>
    </row>
    <row r="2878" spans="1:8" ht="14.5" x14ac:dyDescent="0.35">
      <c r="A2878" s="45"/>
      <c r="B2878" s="45" t="s">
        <v>3802</v>
      </c>
      <c r="C2878" s="55">
        <v>45898</v>
      </c>
      <c r="D2878" s="45" t="s">
        <v>422</v>
      </c>
      <c r="E2878" s="45" t="s">
        <v>3994</v>
      </c>
      <c r="G2878" s="38"/>
      <c r="H2878" s="38">
        <v>80</v>
      </c>
    </row>
    <row r="2879" spans="1:8" ht="14.5" x14ac:dyDescent="0.35">
      <c r="A2879" s="45" t="s">
        <v>3589</v>
      </c>
      <c r="B2879" s="45"/>
      <c r="C2879" s="55">
        <v>45898</v>
      </c>
      <c r="D2879" s="45" t="s">
        <v>422</v>
      </c>
      <c r="E2879" s="45" t="s">
        <v>3994</v>
      </c>
      <c r="G2879" s="38">
        <v>80</v>
      </c>
      <c r="H2879" s="38"/>
    </row>
    <row r="2880" spans="1:8" ht="14.5" x14ac:dyDescent="0.35">
      <c r="A2880" s="45"/>
      <c r="B2880" s="45" t="s">
        <v>3799</v>
      </c>
      <c r="C2880" s="55">
        <v>45898</v>
      </c>
      <c r="D2880" s="45" t="s">
        <v>422</v>
      </c>
      <c r="E2880" s="45" t="s">
        <v>3994</v>
      </c>
      <c r="G2880" s="38"/>
      <c r="H2880" s="38">
        <v>80</v>
      </c>
    </row>
    <row r="2881" spans="1:8" ht="14.5" x14ac:dyDescent="0.35">
      <c r="A2881" s="45" t="s">
        <v>3799</v>
      </c>
      <c r="B2881" s="45"/>
      <c r="C2881" s="55">
        <v>45898</v>
      </c>
      <c r="D2881" s="45" t="s">
        <v>422</v>
      </c>
      <c r="E2881" s="45">
        <v>8302025</v>
      </c>
      <c r="G2881" s="38">
        <v>15330.109999999999</v>
      </c>
      <c r="H2881" s="38"/>
    </row>
    <row r="2882" spans="1:8" ht="14.5" x14ac:dyDescent="0.35">
      <c r="A2882" s="45"/>
      <c r="B2882" s="45" t="s">
        <v>3802</v>
      </c>
      <c r="C2882" s="55">
        <v>45898</v>
      </c>
      <c r="D2882" s="45" t="s">
        <v>422</v>
      </c>
      <c r="E2882" s="45">
        <v>8302025</v>
      </c>
      <c r="G2882" s="38"/>
      <c r="H2882" s="38">
        <v>15330.109999999999</v>
      </c>
    </row>
    <row r="2883" spans="1:8" ht="14.5" x14ac:dyDescent="0.35">
      <c r="A2883" s="45" t="s">
        <v>3589</v>
      </c>
      <c r="B2883" s="45"/>
      <c r="C2883" s="55">
        <v>45898</v>
      </c>
      <c r="D2883" s="45" t="s">
        <v>422</v>
      </c>
      <c r="E2883" s="45">
        <v>8302025</v>
      </c>
      <c r="G2883" s="38">
        <v>15330.109999999999</v>
      </c>
      <c r="H2883" s="38"/>
    </row>
    <row r="2884" spans="1:8" ht="14.5" x14ac:dyDescent="0.35">
      <c r="A2884" s="45"/>
      <c r="B2884" s="45" t="s">
        <v>3799</v>
      </c>
      <c r="C2884" s="55">
        <v>45898</v>
      </c>
      <c r="D2884" s="45" t="s">
        <v>422</v>
      </c>
      <c r="E2884" s="45">
        <v>8302025</v>
      </c>
      <c r="G2884" s="38"/>
      <c r="H2884" s="38">
        <v>15330.109999999999</v>
      </c>
    </row>
    <row r="2885" spans="1:8" ht="14.5" x14ac:dyDescent="0.35">
      <c r="A2885" s="45" t="s">
        <v>3799</v>
      </c>
      <c r="B2885" s="45"/>
      <c r="C2885" s="55">
        <v>45898</v>
      </c>
      <c r="D2885" s="45" t="s">
        <v>874</v>
      </c>
      <c r="E2885" s="45">
        <v>25013074</v>
      </c>
      <c r="G2885" s="38">
        <v>4095</v>
      </c>
      <c r="H2885" s="38"/>
    </row>
    <row r="2886" spans="1:8" ht="14.5" x14ac:dyDescent="0.35">
      <c r="A2886" s="45"/>
      <c r="B2886" s="45" t="s">
        <v>3802</v>
      </c>
      <c r="C2886" s="55">
        <v>45898</v>
      </c>
      <c r="D2886" s="45" t="s">
        <v>874</v>
      </c>
      <c r="E2886" s="45">
        <v>25013074</v>
      </c>
      <c r="G2886" s="38"/>
      <c r="H2886" s="38">
        <v>4095</v>
      </c>
    </row>
    <row r="2887" spans="1:8" ht="14.5" x14ac:dyDescent="0.35">
      <c r="A2887" s="45" t="s">
        <v>3589</v>
      </c>
      <c r="B2887" s="45"/>
      <c r="C2887" s="55">
        <v>45898</v>
      </c>
      <c r="D2887" s="45" t="s">
        <v>874</v>
      </c>
      <c r="E2887" s="45">
        <v>25013074</v>
      </c>
      <c r="G2887" s="38">
        <v>4095</v>
      </c>
      <c r="H2887" s="38"/>
    </row>
    <row r="2888" spans="1:8" ht="14.5" x14ac:dyDescent="0.35">
      <c r="A2888" s="45"/>
      <c r="B2888" s="45" t="s">
        <v>3799</v>
      </c>
      <c r="C2888" s="55">
        <v>45898</v>
      </c>
      <c r="D2888" s="45" t="s">
        <v>874</v>
      </c>
      <c r="E2888" s="45">
        <v>25013074</v>
      </c>
      <c r="G2888" s="38"/>
      <c r="H2888" s="38">
        <v>4095</v>
      </c>
    </row>
    <row r="2889" spans="1:8" ht="14.5" x14ac:dyDescent="0.35">
      <c r="A2889" s="45" t="s">
        <v>3799</v>
      </c>
      <c r="B2889" s="45"/>
      <c r="C2889" s="55">
        <v>45898</v>
      </c>
      <c r="D2889" s="45" t="s">
        <v>874</v>
      </c>
      <c r="E2889" s="45">
        <v>25013566</v>
      </c>
      <c r="G2889" s="38">
        <v>455</v>
      </c>
      <c r="H2889" s="38"/>
    </row>
    <row r="2890" spans="1:8" ht="14.5" x14ac:dyDescent="0.35">
      <c r="A2890" s="45"/>
      <c r="B2890" s="45" t="s">
        <v>3802</v>
      </c>
      <c r="C2890" s="55">
        <v>45898</v>
      </c>
      <c r="D2890" s="45" t="s">
        <v>874</v>
      </c>
      <c r="E2890" s="45">
        <v>25013566</v>
      </c>
      <c r="G2890" s="38"/>
      <c r="H2890" s="38">
        <v>455</v>
      </c>
    </row>
    <row r="2891" spans="1:8" ht="14.5" x14ac:dyDescent="0.35">
      <c r="A2891" s="45" t="s">
        <v>3589</v>
      </c>
      <c r="B2891" s="45"/>
      <c r="C2891" s="55">
        <v>45898</v>
      </c>
      <c r="D2891" s="45" t="s">
        <v>874</v>
      </c>
      <c r="E2891" s="45">
        <v>25013566</v>
      </c>
      <c r="G2891" s="38">
        <v>455</v>
      </c>
      <c r="H2891" s="38"/>
    </row>
    <row r="2892" spans="1:8" ht="14.5" x14ac:dyDescent="0.35">
      <c r="A2892" s="45"/>
      <c r="B2892" s="45" t="s">
        <v>3799</v>
      </c>
      <c r="C2892" s="55">
        <v>45898</v>
      </c>
      <c r="D2892" s="45" t="s">
        <v>874</v>
      </c>
      <c r="E2892" s="45">
        <v>25013566</v>
      </c>
      <c r="G2892" s="38"/>
      <c r="H2892" s="38">
        <v>455</v>
      </c>
    </row>
    <row r="2893" spans="1:8" ht="14.5" x14ac:dyDescent="0.35">
      <c r="A2893" s="45" t="s">
        <v>3799</v>
      </c>
      <c r="B2893" s="45"/>
      <c r="C2893" s="55">
        <v>45899</v>
      </c>
      <c r="D2893" s="45" t="s">
        <v>422</v>
      </c>
      <c r="E2893" s="45" t="s">
        <v>3995</v>
      </c>
      <c r="G2893" s="38">
        <v>40.76</v>
      </c>
      <c r="H2893" s="38"/>
    </row>
    <row r="2894" spans="1:8" ht="14.5" x14ac:dyDescent="0.35">
      <c r="A2894" s="45" t="s">
        <v>3799</v>
      </c>
      <c r="B2894" s="45"/>
      <c r="C2894" s="55">
        <v>45899</v>
      </c>
      <c r="D2894" s="45" t="s">
        <v>705</v>
      </c>
      <c r="E2894" s="45" t="s">
        <v>3996</v>
      </c>
      <c r="G2894" s="38">
        <v>130.5</v>
      </c>
      <c r="H2894" s="38"/>
    </row>
    <row r="2895" spans="1:8" ht="14.5" x14ac:dyDescent="0.35">
      <c r="A2895" s="45" t="s">
        <v>3799</v>
      </c>
      <c r="B2895" s="45"/>
      <c r="C2895" s="55">
        <v>45899</v>
      </c>
      <c r="D2895" s="45" t="s">
        <v>705</v>
      </c>
      <c r="E2895" s="45" t="s">
        <v>709</v>
      </c>
      <c r="G2895" s="38">
        <v>915</v>
      </c>
      <c r="H2895" s="38"/>
    </row>
    <row r="2896" spans="1:8" ht="14.5" x14ac:dyDescent="0.35">
      <c r="A2896" s="45" t="s">
        <v>3799</v>
      </c>
      <c r="B2896" s="45"/>
      <c r="C2896" s="55">
        <v>45899</v>
      </c>
      <c r="D2896" s="45" t="s">
        <v>3997</v>
      </c>
      <c r="E2896" s="45">
        <v>540748</v>
      </c>
      <c r="G2896" s="38">
        <v>149.33000000000001</v>
      </c>
      <c r="H2896" s="38"/>
    </row>
    <row r="2897" spans="1:8" ht="14.5" x14ac:dyDescent="0.35">
      <c r="A2897" s="45" t="s">
        <v>3799</v>
      </c>
      <c r="B2897" s="45"/>
      <c r="C2897" s="55">
        <v>45899</v>
      </c>
      <c r="D2897" s="45" t="s">
        <v>705</v>
      </c>
      <c r="E2897" s="45" t="s">
        <v>3998</v>
      </c>
      <c r="G2897" s="38">
        <v>1101.83</v>
      </c>
      <c r="H2897" s="38"/>
    </row>
    <row r="2898" spans="1:8" ht="14.5" x14ac:dyDescent="0.35">
      <c r="A2898" s="45" t="s">
        <v>3799</v>
      </c>
      <c r="B2898" s="45"/>
      <c r="C2898" s="55">
        <v>45899</v>
      </c>
      <c r="D2898" s="45" t="s">
        <v>34</v>
      </c>
      <c r="E2898" s="45" t="s">
        <v>3999</v>
      </c>
      <c r="G2898" s="38">
        <v>505</v>
      </c>
      <c r="H2898" s="38"/>
    </row>
    <row r="2899" spans="1:8" ht="14.5" x14ac:dyDescent="0.35">
      <c r="A2899" s="45" t="s">
        <v>3799</v>
      </c>
      <c r="B2899" s="45"/>
      <c r="C2899" s="55">
        <v>45899</v>
      </c>
      <c r="D2899" s="45" t="s">
        <v>422</v>
      </c>
      <c r="E2899" s="45" t="s">
        <v>4000</v>
      </c>
      <c r="G2899" s="38">
        <v>2781.67</v>
      </c>
      <c r="H2899" s="38"/>
    </row>
    <row r="2900" spans="1:8" ht="14.5" x14ac:dyDescent="0.35">
      <c r="A2900" s="45" t="s">
        <v>3799</v>
      </c>
      <c r="B2900" s="45"/>
      <c r="C2900" s="55">
        <v>45899</v>
      </c>
      <c r="D2900" s="45" t="s">
        <v>422</v>
      </c>
      <c r="E2900" s="45" t="s">
        <v>4001</v>
      </c>
      <c r="G2900" s="38">
        <v>180.5</v>
      </c>
      <c r="H2900" s="38"/>
    </row>
    <row r="2901" spans="1:8" ht="14.5" x14ac:dyDescent="0.35">
      <c r="A2901" s="45" t="s">
        <v>3799</v>
      </c>
      <c r="B2901" s="45"/>
      <c r="C2901" s="55">
        <v>45899</v>
      </c>
      <c r="D2901" s="45" t="s">
        <v>3820</v>
      </c>
      <c r="E2901" s="45" t="s">
        <v>3821</v>
      </c>
      <c r="G2901" s="38">
        <v>240.00000000000009</v>
      </c>
      <c r="H2901" s="38"/>
    </row>
    <row r="2902" spans="1:8" ht="14.5" x14ac:dyDescent="0.35">
      <c r="A2902" s="45" t="s">
        <v>3799</v>
      </c>
      <c r="B2902" s="45"/>
      <c r="C2902" s="55">
        <v>45899</v>
      </c>
      <c r="D2902" s="45" t="s">
        <v>3820</v>
      </c>
      <c r="E2902" s="45" t="s">
        <v>3822</v>
      </c>
      <c r="G2902" s="38">
        <v>39</v>
      </c>
      <c r="H2902" s="38"/>
    </row>
    <row r="2903" spans="1:8" ht="14.5" x14ac:dyDescent="0.35">
      <c r="A2903" s="45" t="s">
        <v>3799</v>
      </c>
      <c r="B2903" s="45"/>
      <c r="C2903" s="55">
        <v>45899</v>
      </c>
      <c r="D2903" s="45" t="s">
        <v>3820</v>
      </c>
      <c r="E2903" s="45" t="s">
        <v>3823</v>
      </c>
      <c r="G2903" s="38">
        <v>159.99999999999997</v>
      </c>
      <c r="H2903" s="38"/>
    </row>
    <row r="2904" spans="1:8" ht="14.5" x14ac:dyDescent="0.35">
      <c r="A2904" s="45" t="s">
        <v>3799</v>
      </c>
      <c r="B2904" s="45"/>
      <c r="C2904" s="55">
        <v>45899</v>
      </c>
      <c r="D2904" s="45" t="s">
        <v>884</v>
      </c>
      <c r="E2904" s="45">
        <v>24015762</v>
      </c>
      <c r="G2904" s="38">
        <v>1900</v>
      </c>
      <c r="H2904" s="38"/>
    </row>
    <row r="2905" spans="1:8" ht="14.5" x14ac:dyDescent="0.35">
      <c r="A2905" s="45" t="s">
        <v>3799</v>
      </c>
      <c r="B2905" s="45"/>
      <c r="C2905" s="55">
        <v>45899</v>
      </c>
      <c r="D2905" s="45" t="s">
        <v>50</v>
      </c>
      <c r="E2905" s="45" t="s">
        <v>53</v>
      </c>
      <c r="G2905" s="38">
        <v>551</v>
      </c>
      <c r="H2905" s="38"/>
    </row>
    <row r="2906" spans="1:8" ht="14.5" x14ac:dyDescent="0.35">
      <c r="A2906" s="45" t="s">
        <v>3799</v>
      </c>
      <c r="B2906" s="45"/>
      <c r="C2906" s="55">
        <v>45899</v>
      </c>
      <c r="D2906" s="45" t="s">
        <v>422</v>
      </c>
      <c r="E2906" s="45" t="s">
        <v>4002</v>
      </c>
      <c r="G2906" s="38">
        <v>360</v>
      </c>
      <c r="H2906" s="38"/>
    </row>
    <row r="2907" spans="1:8" ht="14.5" x14ac:dyDescent="0.35">
      <c r="A2907" s="45" t="s">
        <v>3799</v>
      </c>
      <c r="B2907" s="45"/>
      <c r="C2907" s="55">
        <v>45899</v>
      </c>
      <c r="D2907" s="45" t="s">
        <v>927</v>
      </c>
      <c r="E2907" s="45" t="s">
        <v>4003</v>
      </c>
      <c r="G2907" s="38">
        <v>75</v>
      </c>
      <c r="H2907" s="38"/>
    </row>
    <row r="2908" spans="1:8" ht="14.5" x14ac:dyDescent="0.35">
      <c r="A2908" s="45" t="s">
        <v>3799</v>
      </c>
      <c r="B2908" s="45"/>
      <c r="C2908" s="55">
        <v>45899</v>
      </c>
      <c r="D2908" s="45" t="s">
        <v>422</v>
      </c>
      <c r="E2908" s="45" t="s">
        <v>4004</v>
      </c>
      <c r="G2908" s="38">
        <v>21553.23</v>
      </c>
      <c r="H2908" s="38"/>
    </row>
    <row r="2909" spans="1:8" ht="14.5" x14ac:dyDescent="0.35">
      <c r="A2909" s="45" t="s">
        <v>3799</v>
      </c>
      <c r="B2909" s="45"/>
      <c r="C2909" s="55">
        <v>45899</v>
      </c>
      <c r="D2909" s="45" t="s">
        <v>4005</v>
      </c>
      <c r="E2909" s="45" t="s">
        <v>4006</v>
      </c>
      <c r="G2909" s="38">
        <v>283.42</v>
      </c>
      <c r="H2909" s="38"/>
    </row>
    <row r="2910" spans="1:8" ht="14.5" x14ac:dyDescent="0.35">
      <c r="A2910" s="45" t="s">
        <v>3799</v>
      </c>
      <c r="B2910" s="45"/>
      <c r="C2910" s="55">
        <v>45899</v>
      </c>
      <c r="D2910" s="45" t="s">
        <v>698</v>
      </c>
      <c r="E2910" s="45" t="s">
        <v>4007</v>
      </c>
      <c r="G2910" s="38">
        <v>282.83000000000004</v>
      </c>
      <c r="H2910" s="38"/>
    </row>
    <row r="2911" spans="1:8" ht="14.5" x14ac:dyDescent="0.35">
      <c r="A2911" s="45" t="s">
        <v>3799</v>
      </c>
      <c r="B2911" s="45"/>
      <c r="C2911" s="55">
        <v>45899</v>
      </c>
      <c r="D2911" s="45" t="s">
        <v>422</v>
      </c>
      <c r="E2911" s="45" t="s">
        <v>4008</v>
      </c>
      <c r="G2911" s="38">
        <v>75</v>
      </c>
      <c r="H2911" s="38"/>
    </row>
    <row r="2912" spans="1:8" ht="14.5" x14ac:dyDescent="0.35">
      <c r="A2912" s="45" t="s">
        <v>3799</v>
      </c>
      <c r="B2912" s="45"/>
      <c r="C2912" s="55">
        <v>45899</v>
      </c>
      <c r="D2912" s="45" t="s">
        <v>879</v>
      </c>
      <c r="E2912" s="45" t="s">
        <v>4010</v>
      </c>
      <c r="G2912" s="38">
        <v>1402</v>
      </c>
      <c r="H2912" s="38"/>
    </row>
    <row r="2913" spans="1:8" ht="14.5" x14ac:dyDescent="0.35">
      <c r="A2913" s="45" t="s">
        <v>3799</v>
      </c>
      <c r="B2913" s="45"/>
      <c r="C2913" s="55">
        <v>45899</v>
      </c>
      <c r="D2913" s="45" t="s">
        <v>879</v>
      </c>
      <c r="E2913" s="45" t="s">
        <v>4011</v>
      </c>
      <c r="G2913" s="38">
        <v>1897.0000000000002</v>
      </c>
      <c r="H2913" s="38"/>
    </row>
    <row r="2914" spans="1:8" ht="14.5" x14ac:dyDescent="0.35">
      <c r="A2914" s="45" t="s">
        <v>3799</v>
      </c>
      <c r="B2914" s="45"/>
      <c r="C2914" s="55">
        <v>45899</v>
      </c>
      <c r="D2914" s="45" t="s">
        <v>422</v>
      </c>
      <c r="E2914" s="45" t="s">
        <v>540</v>
      </c>
      <c r="G2914" s="38">
        <v>608.66</v>
      </c>
      <c r="H2914" s="38"/>
    </row>
    <row r="2915" spans="1:8" ht="14.5" x14ac:dyDescent="0.35">
      <c r="A2915" s="45" t="s">
        <v>3799</v>
      </c>
      <c r="B2915" s="45"/>
      <c r="C2915" s="55">
        <v>45899</v>
      </c>
      <c r="D2915" s="45" t="s">
        <v>879</v>
      </c>
      <c r="E2915" s="45" t="s">
        <v>4012</v>
      </c>
      <c r="G2915" s="38">
        <v>269.87</v>
      </c>
      <c r="H2915" s="38"/>
    </row>
    <row r="2916" spans="1:8" ht="14.5" x14ac:dyDescent="0.35">
      <c r="A2916" s="45" t="s">
        <v>3799</v>
      </c>
      <c r="B2916" s="45"/>
      <c r="C2916" s="55">
        <v>45899</v>
      </c>
      <c r="D2916" s="45" t="s">
        <v>422</v>
      </c>
      <c r="E2916" s="45" t="s">
        <v>4013</v>
      </c>
      <c r="G2916" s="38">
        <v>1690.38</v>
      </c>
      <c r="H2916" s="38"/>
    </row>
    <row r="2917" spans="1:8" ht="14.5" x14ac:dyDescent="0.35">
      <c r="A2917" s="45" t="s">
        <v>3799</v>
      </c>
      <c r="B2917" s="45" t="s">
        <v>3802</v>
      </c>
      <c r="C2917" s="55">
        <v>45899</v>
      </c>
      <c r="D2917" s="45" t="s">
        <v>422</v>
      </c>
      <c r="E2917" s="45" t="s">
        <v>3995</v>
      </c>
      <c r="G2917" s="38">
        <v>0</v>
      </c>
      <c r="H2917" s="38">
        <v>40.76</v>
      </c>
    </row>
    <row r="2918" spans="1:8" ht="14.5" x14ac:dyDescent="0.35">
      <c r="A2918" s="45" t="s">
        <v>3799</v>
      </c>
      <c r="B2918" s="45" t="s">
        <v>3802</v>
      </c>
      <c r="C2918" s="55">
        <v>45899</v>
      </c>
      <c r="D2918" s="45" t="s">
        <v>705</v>
      </c>
      <c r="E2918" s="45" t="s">
        <v>3996</v>
      </c>
      <c r="G2918" s="38">
        <v>0</v>
      </c>
      <c r="H2918" s="38">
        <v>130.5</v>
      </c>
    </row>
    <row r="2919" spans="1:8" ht="14.5" x14ac:dyDescent="0.35">
      <c r="A2919" s="45" t="s">
        <v>3799</v>
      </c>
      <c r="B2919" s="45" t="s">
        <v>3802</v>
      </c>
      <c r="C2919" s="55">
        <v>45899</v>
      </c>
      <c r="D2919" s="45" t="s">
        <v>705</v>
      </c>
      <c r="E2919" s="45" t="s">
        <v>709</v>
      </c>
      <c r="G2919" s="38">
        <v>0</v>
      </c>
      <c r="H2919" s="38">
        <v>915</v>
      </c>
    </row>
    <row r="2920" spans="1:8" ht="14.5" x14ac:dyDescent="0.35">
      <c r="A2920" s="45" t="s">
        <v>3799</v>
      </c>
      <c r="B2920" s="45" t="s">
        <v>3802</v>
      </c>
      <c r="C2920" s="55">
        <v>45899</v>
      </c>
      <c r="D2920" s="45" t="s">
        <v>3997</v>
      </c>
      <c r="E2920" s="45">
        <v>540748</v>
      </c>
      <c r="G2920" s="38">
        <v>0</v>
      </c>
      <c r="H2920" s="38">
        <v>149.33000000000001</v>
      </c>
    </row>
    <row r="2921" spans="1:8" ht="14.5" x14ac:dyDescent="0.35">
      <c r="A2921" s="45" t="s">
        <v>3799</v>
      </c>
      <c r="B2921" s="45" t="s">
        <v>3802</v>
      </c>
      <c r="C2921" s="55">
        <v>45899</v>
      </c>
      <c r="D2921" s="45" t="s">
        <v>705</v>
      </c>
      <c r="E2921" s="45" t="s">
        <v>3998</v>
      </c>
      <c r="G2921" s="38">
        <v>0</v>
      </c>
      <c r="H2921" s="38">
        <v>1101.83</v>
      </c>
    </row>
    <row r="2922" spans="1:8" ht="14.5" x14ac:dyDescent="0.35">
      <c r="A2922" s="45" t="s">
        <v>3799</v>
      </c>
      <c r="B2922" s="45" t="s">
        <v>3802</v>
      </c>
      <c r="C2922" s="55">
        <v>45899</v>
      </c>
      <c r="D2922" s="45" t="s">
        <v>34</v>
      </c>
      <c r="E2922" s="45" t="s">
        <v>3999</v>
      </c>
      <c r="G2922" s="38">
        <v>0</v>
      </c>
      <c r="H2922" s="38">
        <v>505</v>
      </c>
    </row>
    <row r="2923" spans="1:8" ht="14.5" x14ac:dyDescent="0.35">
      <c r="A2923" s="45" t="s">
        <v>3799</v>
      </c>
      <c r="B2923" s="45" t="s">
        <v>3802</v>
      </c>
      <c r="C2923" s="55">
        <v>45899</v>
      </c>
      <c r="D2923" s="45" t="s">
        <v>422</v>
      </c>
      <c r="E2923" s="45" t="s">
        <v>4000</v>
      </c>
      <c r="G2923" s="38">
        <v>0</v>
      </c>
      <c r="H2923" s="38">
        <v>2781.67</v>
      </c>
    </row>
    <row r="2924" spans="1:8" ht="14.5" x14ac:dyDescent="0.35">
      <c r="A2924" s="45" t="s">
        <v>3799</v>
      </c>
      <c r="B2924" s="45" t="s">
        <v>3802</v>
      </c>
      <c r="C2924" s="55">
        <v>45899</v>
      </c>
      <c r="D2924" s="45" t="s">
        <v>422</v>
      </c>
      <c r="E2924" s="45" t="s">
        <v>4001</v>
      </c>
      <c r="G2924" s="38">
        <v>0</v>
      </c>
      <c r="H2924" s="38">
        <v>180.5</v>
      </c>
    </row>
    <row r="2925" spans="1:8" ht="14.5" x14ac:dyDescent="0.35">
      <c r="A2925" s="45" t="s">
        <v>3799</v>
      </c>
      <c r="B2925" s="45" t="s">
        <v>3802</v>
      </c>
      <c r="C2925" s="55">
        <v>45899</v>
      </c>
      <c r="D2925" s="45" t="s">
        <v>3820</v>
      </c>
      <c r="E2925" s="45" t="s">
        <v>3821</v>
      </c>
      <c r="G2925" s="38">
        <v>0</v>
      </c>
      <c r="H2925" s="38">
        <v>240.00000000000009</v>
      </c>
    </row>
    <row r="2926" spans="1:8" ht="14.5" x14ac:dyDescent="0.35">
      <c r="A2926" s="45" t="s">
        <v>3799</v>
      </c>
      <c r="B2926" s="45" t="s">
        <v>3802</v>
      </c>
      <c r="C2926" s="55">
        <v>45899</v>
      </c>
      <c r="D2926" s="45" t="s">
        <v>3820</v>
      </c>
      <c r="E2926" s="45" t="s">
        <v>3822</v>
      </c>
      <c r="G2926" s="38">
        <v>0</v>
      </c>
      <c r="H2926" s="38">
        <v>39</v>
      </c>
    </row>
    <row r="2927" spans="1:8" ht="14.5" x14ac:dyDescent="0.35">
      <c r="A2927" s="45" t="s">
        <v>3799</v>
      </c>
      <c r="B2927" s="45" t="s">
        <v>3802</v>
      </c>
      <c r="C2927" s="55">
        <v>45899</v>
      </c>
      <c r="D2927" s="45" t="s">
        <v>3820</v>
      </c>
      <c r="E2927" s="45" t="s">
        <v>3823</v>
      </c>
      <c r="G2927" s="38">
        <v>0</v>
      </c>
      <c r="H2927" s="38">
        <v>159.99999999999997</v>
      </c>
    </row>
    <row r="2928" spans="1:8" ht="14.5" x14ac:dyDescent="0.35">
      <c r="A2928" s="45" t="s">
        <v>3799</v>
      </c>
      <c r="B2928" s="45" t="s">
        <v>3802</v>
      </c>
      <c r="C2928" s="55">
        <v>45899</v>
      </c>
      <c r="D2928" s="45" t="s">
        <v>884</v>
      </c>
      <c r="E2928" s="45">
        <v>24015762</v>
      </c>
      <c r="G2928" s="38">
        <v>0</v>
      </c>
      <c r="H2928" s="38">
        <v>1900</v>
      </c>
    </row>
    <row r="2929" spans="1:8" ht="14.5" x14ac:dyDescent="0.35">
      <c r="A2929" s="45" t="s">
        <v>3799</v>
      </c>
      <c r="B2929" s="45" t="s">
        <v>3802</v>
      </c>
      <c r="C2929" s="55">
        <v>45899</v>
      </c>
      <c r="D2929" s="45" t="s">
        <v>50</v>
      </c>
      <c r="E2929" s="45" t="s">
        <v>53</v>
      </c>
      <c r="G2929" s="38">
        <v>0</v>
      </c>
      <c r="H2929" s="38">
        <v>551</v>
      </c>
    </row>
    <row r="2930" spans="1:8" ht="14.5" x14ac:dyDescent="0.35">
      <c r="A2930" s="45" t="s">
        <v>3799</v>
      </c>
      <c r="B2930" s="45" t="s">
        <v>3802</v>
      </c>
      <c r="C2930" s="55">
        <v>45899</v>
      </c>
      <c r="D2930" s="45" t="s">
        <v>422</v>
      </c>
      <c r="E2930" s="45" t="s">
        <v>4002</v>
      </c>
      <c r="G2930" s="38">
        <v>0</v>
      </c>
      <c r="H2930" s="38">
        <v>360</v>
      </c>
    </row>
    <row r="2931" spans="1:8" ht="14.5" x14ac:dyDescent="0.35">
      <c r="A2931" s="45" t="s">
        <v>3799</v>
      </c>
      <c r="B2931" s="45" t="s">
        <v>3802</v>
      </c>
      <c r="C2931" s="55">
        <v>45899</v>
      </c>
      <c r="D2931" s="45" t="s">
        <v>927</v>
      </c>
      <c r="E2931" s="45" t="s">
        <v>4003</v>
      </c>
      <c r="G2931" s="38">
        <v>0</v>
      </c>
      <c r="H2931" s="38">
        <v>75</v>
      </c>
    </row>
    <row r="2932" spans="1:8" ht="14.5" x14ac:dyDescent="0.35">
      <c r="A2932" s="45" t="s">
        <v>3799</v>
      </c>
      <c r="B2932" s="45" t="s">
        <v>3802</v>
      </c>
      <c r="C2932" s="55">
        <v>45899</v>
      </c>
      <c r="D2932" s="45" t="s">
        <v>422</v>
      </c>
      <c r="E2932" s="45" t="s">
        <v>4004</v>
      </c>
      <c r="G2932" s="38">
        <v>0</v>
      </c>
      <c r="H2932" s="38">
        <v>21553.23</v>
      </c>
    </row>
    <row r="2933" spans="1:8" ht="14.5" x14ac:dyDescent="0.35">
      <c r="A2933" s="45" t="s">
        <v>3799</v>
      </c>
      <c r="B2933" s="45" t="s">
        <v>3802</v>
      </c>
      <c r="C2933" s="55">
        <v>45899</v>
      </c>
      <c r="D2933" s="45" t="s">
        <v>4005</v>
      </c>
      <c r="E2933" s="45" t="s">
        <v>4006</v>
      </c>
      <c r="G2933" s="38">
        <v>0</v>
      </c>
      <c r="H2933" s="38">
        <v>283.42</v>
      </c>
    </row>
    <row r="2934" spans="1:8" ht="14.5" x14ac:dyDescent="0.35">
      <c r="A2934" s="45" t="s">
        <v>3799</v>
      </c>
      <c r="B2934" s="45" t="s">
        <v>3802</v>
      </c>
      <c r="C2934" s="55">
        <v>45899</v>
      </c>
      <c r="D2934" s="45" t="s">
        <v>698</v>
      </c>
      <c r="E2934" s="45" t="s">
        <v>4007</v>
      </c>
      <c r="G2934" s="38">
        <v>0</v>
      </c>
      <c r="H2934" s="38">
        <v>282.83000000000004</v>
      </c>
    </row>
    <row r="2935" spans="1:8" ht="14.5" x14ac:dyDescent="0.35">
      <c r="A2935" s="45" t="s">
        <v>3799</v>
      </c>
      <c r="B2935" s="45" t="s">
        <v>3802</v>
      </c>
      <c r="C2935" s="55">
        <v>45899</v>
      </c>
      <c r="D2935" s="45" t="s">
        <v>422</v>
      </c>
      <c r="E2935" s="45" t="s">
        <v>4008</v>
      </c>
      <c r="G2935" s="38">
        <v>0</v>
      </c>
      <c r="H2935" s="38">
        <v>75</v>
      </c>
    </row>
    <row r="2936" spans="1:8" ht="14.5" x14ac:dyDescent="0.35">
      <c r="A2936" s="45" t="s">
        <v>3799</v>
      </c>
      <c r="B2936" s="45" t="s">
        <v>3802</v>
      </c>
      <c r="C2936" s="55">
        <v>45899</v>
      </c>
      <c r="D2936" s="45" t="s">
        <v>879</v>
      </c>
      <c r="E2936" s="45" t="s">
        <v>4010</v>
      </c>
      <c r="G2936" s="38">
        <v>0</v>
      </c>
      <c r="H2936" s="38">
        <v>1402</v>
      </c>
    </row>
    <row r="2937" spans="1:8" ht="14.5" x14ac:dyDescent="0.35">
      <c r="A2937" s="45" t="s">
        <v>3799</v>
      </c>
      <c r="B2937" s="45" t="s">
        <v>3802</v>
      </c>
      <c r="C2937" s="55">
        <v>45899</v>
      </c>
      <c r="D2937" s="45" t="s">
        <v>879</v>
      </c>
      <c r="E2937" s="45" t="s">
        <v>4011</v>
      </c>
      <c r="G2937" s="38">
        <v>0</v>
      </c>
      <c r="H2937" s="38">
        <v>1897.0000000000002</v>
      </c>
    </row>
    <row r="2938" spans="1:8" ht="14.5" x14ac:dyDescent="0.35">
      <c r="A2938" s="45" t="s">
        <v>3799</v>
      </c>
      <c r="B2938" s="45" t="s">
        <v>3802</v>
      </c>
      <c r="C2938" s="55">
        <v>45899</v>
      </c>
      <c r="D2938" s="45" t="s">
        <v>422</v>
      </c>
      <c r="E2938" s="45" t="s">
        <v>540</v>
      </c>
      <c r="G2938" s="38">
        <v>0</v>
      </c>
      <c r="H2938" s="38">
        <v>608.66</v>
      </c>
    </row>
    <row r="2939" spans="1:8" ht="14.5" x14ac:dyDescent="0.35">
      <c r="A2939" s="45" t="s">
        <v>3799</v>
      </c>
      <c r="B2939" s="45" t="s">
        <v>3802</v>
      </c>
      <c r="C2939" s="55">
        <v>45899</v>
      </c>
      <c r="D2939" s="45" t="s">
        <v>879</v>
      </c>
      <c r="E2939" s="45" t="s">
        <v>4012</v>
      </c>
      <c r="G2939" s="38">
        <v>0</v>
      </c>
      <c r="H2939" s="38">
        <v>269.87</v>
      </c>
    </row>
    <row r="2940" spans="1:8" ht="14.5" x14ac:dyDescent="0.35">
      <c r="A2940" s="45" t="s">
        <v>3799</v>
      </c>
      <c r="B2940" s="45" t="s">
        <v>3802</v>
      </c>
      <c r="C2940" s="55">
        <v>45899</v>
      </c>
      <c r="D2940" s="45" t="s">
        <v>422</v>
      </c>
      <c r="E2940" s="45" t="s">
        <v>4013</v>
      </c>
      <c r="G2940" s="38">
        <v>0</v>
      </c>
      <c r="H2940" s="38">
        <v>1690.38</v>
      </c>
    </row>
    <row r="2941" spans="1:8" ht="14.5" x14ac:dyDescent="0.35">
      <c r="A2941" s="45" t="s">
        <v>3799</v>
      </c>
      <c r="B2941" s="45"/>
      <c r="C2941" s="55">
        <v>45899</v>
      </c>
      <c r="D2941" s="45" t="s">
        <v>790</v>
      </c>
      <c r="E2941" s="45">
        <v>880</v>
      </c>
      <c r="G2941" s="38">
        <v>3760</v>
      </c>
      <c r="H2941" s="38"/>
    </row>
    <row r="2942" spans="1:8" ht="14.5" x14ac:dyDescent="0.35">
      <c r="A2942" s="45"/>
      <c r="B2942" s="45" t="s">
        <v>3802</v>
      </c>
      <c r="C2942" s="55">
        <v>45899</v>
      </c>
      <c r="D2942" s="45" t="s">
        <v>790</v>
      </c>
      <c r="E2942" s="45">
        <v>880</v>
      </c>
      <c r="G2942" s="38"/>
      <c r="H2942" s="38">
        <v>3760</v>
      </c>
    </row>
    <row r="2943" spans="1:8" ht="14.5" x14ac:dyDescent="0.35">
      <c r="A2943" s="45" t="s">
        <v>3589</v>
      </c>
      <c r="B2943" s="45"/>
      <c r="C2943" s="55">
        <v>45899</v>
      </c>
      <c r="D2943" s="45" t="s">
        <v>790</v>
      </c>
      <c r="E2943" s="45">
        <v>880</v>
      </c>
      <c r="G2943" s="38">
        <v>3760</v>
      </c>
      <c r="H2943" s="38"/>
    </row>
    <row r="2944" spans="1:8" ht="14.5" x14ac:dyDescent="0.35">
      <c r="A2944" s="45"/>
      <c r="B2944" s="45" t="s">
        <v>3799</v>
      </c>
      <c r="C2944" s="55">
        <v>45899</v>
      </c>
      <c r="D2944" s="45" t="s">
        <v>790</v>
      </c>
      <c r="E2944" s="45">
        <v>880</v>
      </c>
      <c r="G2944" s="38"/>
      <c r="H2944" s="38">
        <v>3760</v>
      </c>
    </row>
    <row r="2945" spans="1:8" ht="14.5" x14ac:dyDescent="0.35">
      <c r="A2945" s="45" t="s">
        <v>3799</v>
      </c>
      <c r="B2945" s="45" t="s">
        <v>3799</v>
      </c>
      <c r="C2945" s="55">
        <v>45899</v>
      </c>
      <c r="D2945" s="45" t="s">
        <v>790</v>
      </c>
      <c r="E2945" s="45">
        <v>881</v>
      </c>
      <c r="G2945" s="38">
        <v>3760</v>
      </c>
      <c r="H2945" s="38"/>
    </row>
    <row r="2946" spans="1:8" ht="14.5" x14ac:dyDescent="0.35">
      <c r="A2946" s="45"/>
      <c r="B2946" s="45" t="s">
        <v>3802</v>
      </c>
      <c r="C2946" s="55">
        <v>45899</v>
      </c>
      <c r="D2946" s="45" t="s">
        <v>790</v>
      </c>
      <c r="E2946" s="45">
        <v>881</v>
      </c>
      <c r="G2946" s="38"/>
      <c r="H2946" s="38">
        <v>3760</v>
      </c>
    </row>
    <row r="2947" spans="1:8" ht="14.5" x14ac:dyDescent="0.35">
      <c r="A2947" s="45" t="s">
        <v>3589</v>
      </c>
      <c r="B2947" s="45"/>
      <c r="C2947" s="55">
        <v>45899</v>
      </c>
      <c r="D2947" s="45" t="s">
        <v>790</v>
      </c>
      <c r="E2947" s="45">
        <v>881</v>
      </c>
      <c r="G2947" s="38">
        <v>3760</v>
      </c>
      <c r="H2947" s="38"/>
    </row>
    <row r="2948" spans="1:8" ht="14.5" x14ac:dyDescent="0.35">
      <c r="A2948" s="45"/>
      <c r="B2948" s="45" t="s">
        <v>3799</v>
      </c>
      <c r="C2948" s="55">
        <v>45899</v>
      </c>
      <c r="D2948" s="45" t="s">
        <v>790</v>
      </c>
      <c r="E2948" s="45">
        <v>881</v>
      </c>
      <c r="G2948" s="38"/>
      <c r="H2948" s="38">
        <v>3760</v>
      </c>
    </row>
    <row r="2949" spans="1:8" ht="14.5" x14ac:dyDescent="0.35">
      <c r="A2949" s="45"/>
      <c r="B2949" s="45" t="s">
        <v>3802</v>
      </c>
      <c r="C2949" s="55">
        <v>45899</v>
      </c>
      <c r="D2949" s="45" t="s">
        <v>422</v>
      </c>
      <c r="E2949" s="45" t="s">
        <v>538</v>
      </c>
      <c r="G2949" s="38">
        <v>0</v>
      </c>
      <c r="H2949" s="38">
        <v>150.6</v>
      </c>
    </row>
    <row r="2950" spans="1:8" ht="14.5" x14ac:dyDescent="0.35">
      <c r="A2950" s="45" t="s">
        <v>3799</v>
      </c>
      <c r="B2950" s="45"/>
      <c r="C2950" s="55">
        <v>45899</v>
      </c>
      <c r="D2950" s="45" t="s">
        <v>422</v>
      </c>
      <c r="E2950" s="45" t="s">
        <v>538</v>
      </c>
      <c r="G2950" s="38">
        <v>150.6</v>
      </c>
    </row>
    <row r="2951" spans="1:8" ht="14.5" x14ac:dyDescent="0.35">
      <c r="A2951" s="45"/>
      <c r="B2951" s="45" t="s">
        <v>3802</v>
      </c>
      <c r="C2951" s="55">
        <v>45899</v>
      </c>
      <c r="D2951" s="45" t="s">
        <v>907</v>
      </c>
      <c r="E2951" s="45">
        <v>4162025</v>
      </c>
      <c r="G2951" s="38"/>
      <c r="H2951" s="38">
        <v>288.06</v>
      </c>
    </row>
    <row r="2952" spans="1:8" ht="14.5" x14ac:dyDescent="0.35">
      <c r="A2952" s="45" t="s">
        <v>3799</v>
      </c>
      <c r="B2952" s="45"/>
      <c r="C2952" s="55">
        <v>45899</v>
      </c>
      <c r="D2952" s="45" t="s">
        <v>907</v>
      </c>
      <c r="E2952" s="45">
        <v>4162025</v>
      </c>
      <c r="G2952" s="38">
        <v>288.06</v>
      </c>
    </row>
    <row r="2953" spans="1:8" ht="14.5" x14ac:dyDescent="0.35">
      <c r="A2953" s="45" t="s">
        <v>3799</v>
      </c>
      <c r="B2953" s="45"/>
      <c r="C2953" s="55">
        <v>45899</v>
      </c>
      <c r="D2953" s="45" t="s">
        <v>716</v>
      </c>
      <c r="E2953" s="45" t="s">
        <v>732</v>
      </c>
      <c r="G2953" s="38">
        <v>3922</v>
      </c>
    </row>
    <row r="2954" spans="1:8" ht="14.5" x14ac:dyDescent="0.35">
      <c r="A2954" s="45"/>
      <c r="B2954" s="45" t="s">
        <v>3802</v>
      </c>
      <c r="C2954" s="55">
        <v>45899</v>
      </c>
      <c r="D2954" s="45" t="s">
        <v>716</v>
      </c>
      <c r="E2954" s="45" t="s">
        <v>732</v>
      </c>
      <c r="G2954" s="38"/>
      <c r="H2954" s="38">
        <v>3922</v>
      </c>
    </row>
    <row r="2955" spans="1:8" ht="14.5" x14ac:dyDescent="0.35">
      <c r="A2955" s="45" t="s">
        <v>3589</v>
      </c>
      <c r="B2955" s="45"/>
      <c r="C2955" s="55">
        <v>45899</v>
      </c>
      <c r="D2955" s="45" t="s">
        <v>716</v>
      </c>
      <c r="E2955" s="45" t="s">
        <v>732</v>
      </c>
      <c r="G2955" s="38">
        <v>3922</v>
      </c>
    </row>
    <row r="2956" spans="1:8" ht="14.5" x14ac:dyDescent="0.35">
      <c r="A2956" s="45"/>
      <c r="B2956" s="45" t="s">
        <v>3799</v>
      </c>
      <c r="C2956" s="55">
        <v>45899</v>
      </c>
      <c r="D2956" s="45" t="s">
        <v>716</v>
      </c>
      <c r="E2956" s="45" t="s">
        <v>732</v>
      </c>
      <c r="G2956" s="38"/>
      <c r="H2956" s="38">
        <v>3922</v>
      </c>
    </row>
    <row r="2957" spans="1:8" ht="14.5" x14ac:dyDescent="0.35">
      <c r="A2957" s="45"/>
      <c r="B2957" s="45" t="s">
        <v>3802</v>
      </c>
      <c r="C2957" s="55">
        <v>45899</v>
      </c>
      <c r="D2957" s="45" t="s">
        <v>422</v>
      </c>
      <c r="E2957" s="45" t="s">
        <v>4014</v>
      </c>
      <c r="G2957" s="38"/>
      <c r="H2957" s="38">
        <v>300.72000000000003</v>
      </c>
    </row>
    <row r="2958" spans="1:8" ht="14.5" x14ac:dyDescent="0.35">
      <c r="A2958" s="45" t="s">
        <v>3799</v>
      </c>
      <c r="B2958" s="45"/>
      <c r="C2958" s="55">
        <v>45899</v>
      </c>
      <c r="D2958" s="45" t="s">
        <v>422</v>
      </c>
      <c r="E2958" s="45" t="s">
        <v>4014</v>
      </c>
      <c r="G2958" s="38">
        <v>300.72000000000003</v>
      </c>
    </row>
    <row r="2959" spans="1:8" ht="14.5" x14ac:dyDescent="0.35">
      <c r="A2959" s="45" t="s">
        <v>3799</v>
      </c>
      <c r="B2959" s="45"/>
      <c r="C2959" s="55">
        <v>45899</v>
      </c>
      <c r="D2959" s="45" t="s">
        <v>34</v>
      </c>
      <c r="E2959" s="45" t="s">
        <v>42</v>
      </c>
      <c r="G2959" s="38">
        <v>2878</v>
      </c>
    </row>
    <row r="2960" spans="1:8" ht="14.5" x14ac:dyDescent="0.35">
      <c r="A2960" s="45"/>
      <c r="B2960" s="45" t="s">
        <v>3802</v>
      </c>
      <c r="C2960" s="55">
        <v>45899</v>
      </c>
      <c r="D2960" s="45" t="s">
        <v>34</v>
      </c>
      <c r="E2960" s="45" t="s">
        <v>42</v>
      </c>
      <c r="G2960" s="38"/>
      <c r="H2960" s="38">
        <v>2878</v>
      </c>
    </row>
    <row r="2961" spans="1:8" ht="14.5" x14ac:dyDescent="0.35">
      <c r="A2961" s="45" t="s">
        <v>3589</v>
      </c>
      <c r="B2961" s="45"/>
      <c r="C2961" s="55">
        <v>45899</v>
      </c>
      <c r="D2961" s="45" t="s">
        <v>34</v>
      </c>
      <c r="E2961" s="45" t="s">
        <v>42</v>
      </c>
      <c r="G2961" s="38">
        <v>2878</v>
      </c>
    </row>
    <row r="2962" spans="1:8" ht="14.5" x14ac:dyDescent="0.35">
      <c r="A2962" s="45"/>
      <c r="B2962" s="45" t="s">
        <v>3799</v>
      </c>
      <c r="C2962" s="55">
        <v>45899</v>
      </c>
      <c r="D2962" s="45" t="s">
        <v>34</v>
      </c>
      <c r="E2962" s="45" t="s">
        <v>42</v>
      </c>
      <c r="G2962" s="38"/>
      <c r="H2962" s="38">
        <v>2878</v>
      </c>
    </row>
    <row r="2963" spans="1:8" ht="14.5" x14ac:dyDescent="0.35">
      <c r="A2963" s="45" t="s">
        <v>3799</v>
      </c>
      <c r="B2963" s="45"/>
      <c r="C2963" s="55">
        <v>45899</v>
      </c>
      <c r="D2963" s="45" t="s">
        <v>34</v>
      </c>
      <c r="E2963" s="45" t="s">
        <v>44</v>
      </c>
      <c r="G2963" s="38">
        <v>2879</v>
      </c>
    </row>
    <row r="2964" spans="1:8" ht="14.5" x14ac:dyDescent="0.35">
      <c r="A2964" s="45"/>
      <c r="B2964" s="45" t="s">
        <v>3802</v>
      </c>
      <c r="C2964" s="55">
        <v>45899</v>
      </c>
      <c r="D2964" s="45" t="s">
        <v>34</v>
      </c>
      <c r="E2964" s="45" t="s">
        <v>44</v>
      </c>
      <c r="G2964" s="38"/>
      <c r="H2964" s="38">
        <v>2879</v>
      </c>
    </row>
    <row r="2965" spans="1:8" ht="14.5" x14ac:dyDescent="0.35">
      <c r="A2965" s="45" t="s">
        <v>3589</v>
      </c>
      <c r="B2965" s="45"/>
      <c r="C2965" s="55">
        <v>45899</v>
      </c>
      <c r="D2965" s="45" t="s">
        <v>34</v>
      </c>
      <c r="E2965" s="45" t="s">
        <v>44</v>
      </c>
      <c r="G2965" s="38">
        <v>2879</v>
      </c>
    </row>
    <row r="2966" spans="1:8" ht="14.5" x14ac:dyDescent="0.35">
      <c r="A2966" s="45"/>
      <c r="B2966" s="45" t="s">
        <v>3799</v>
      </c>
      <c r="C2966" s="55">
        <v>45899</v>
      </c>
      <c r="D2966" s="45" t="s">
        <v>34</v>
      </c>
      <c r="E2966" s="45" t="s">
        <v>44</v>
      </c>
      <c r="G2966" s="38"/>
      <c r="H2966" s="38">
        <v>2879</v>
      </c>
    </row>
    <row r="2967" spans="1:8" ht="14.5" x14ac:dyDescent="0.35">
      <c r="A2967" s="45" t="s">
        <v>3799</v>
      </c>
      <c r="B2967" s="45"/>
      <c r="C2967" s="55">
        <v>45899</v>
      </c>
      <c r="D2967" s="45" t="s">
        <v>34</v>
      </c>
      <c r="E2967" s="45" t="s">
        <v>43</v>
      </c>
      <c r="G2967" s="38">
        <v>2879</v>
      </c>
    </row>
    <row r="2968" spans="1:8" ht="14.5" x14ac:dyDescent="0.35">
      <c r="A2968" s="45"/>
      <c r="B2968" s="45" t="s">
        <v>3802</v>
      </c>
      <c r="C2968" s="55">
        <v>45899</v>
      </c>
      <c r="D2968" s="45" t="s">
        <v>34</v>
      </c>
      <c r="E2968" s="45" t="s">
        <v>43</v>
      </c>
      <c r="G2968" s="38"/>
      <c r="H2968" s="38">
        <v>2879</v>
      </c>
    </row>
    <row r="2969" spans="1:8" ht="14.5" x14ac:dyDescent="0.35">
      <c r="A2969" s="45" t="s">
        <v>3589</v>
      </c>
      <c r="B2969" s="45"/>
      <c r="C2969" s="55">
        <v>45899</v>
      </c>
      <c r="D2969" s="45" t="s">
        <v>34</v>
      </c>
      <c r="E2969" s="45" t="s">
        <v>43</v>
      </c>
      <c r="G2969" s="38">
        <v>2879</v>
      </c>
    </row>
    <row r="2970" spans="1:8" ht="14.5" x14ac:dyDescent="0.35">
      <c r="A2970" s="45"/>
      <c r="B2970" s="45" t="s">
        <v>3799</v>
      </c>
      <c r="C2970" s="55">
        <v>45899</v>
      </c>
      <c r="D2970" s="45" t="s">
        <v>34</v>
      </c>
      <c r="E2970" s="45" t="s">
        <v>43</v>
      </c>
      <c r="G2970" s="38"/>
      <c r="H2970" s="38">
        <v>2879</v>
      </c>
    </row>
    <row r="2971" spans="1:8" ht="14.5" x14ac:dyDescent="0.35">
      <c r="A2971" s="45" t="s">
        <v>3799</v>
      </c>
      <c r="B2971" s="45"/>
      <c r="C2971" s="55">
        <v>45899</v>
      </c>
      <c r="D2971" s="45" t="s">
        <v>34</v>
      </c>
      <c r="E2971" s="45" t="s">
        <v>48</v>
      </c>
      <c r="G2971" s="38">
        <v>3102</v>
      </c>
    </row>
    <row r="2972" spans="1:8" ht="14.5" x14ac:dyDescent="0.35">
      <c r="A2972" s="45"/>
      <c r="B2972" s="45" t="s">
        <v>3802</v>
      </c>
      <c r="C2972" s="55">
        <v>45899</v>
      </c>
      <c r="D2972" s="45" t="s">
        <v>34</v>
      </c>
      <c r="E2972" s="45" t="s">
        <v>48</v>
      </c>
      <c r="G2972" s="38"/>
      <c r="H2972" s="38">
        <v>3102</v>
      </c>
    </row>
    <row r="2973" spans="1:8" ht="14.5" x14ac:dyDescent="0.35">
      <c r="A2973" s="45" t="s">
        <v>3589</v>
      </c>
      <c r="B2973" s="45"/>
      <c r="C2973" s="55">
        <v>45899</v>
      </c>
      <c r="D2973" s="45" t="s">
        <v>34</v>
      </c>
      <c r="E2973" s="45" t="s">
        <v>48</v>
      </c>
      <c r="G2973" s="38">
        <v>3102</v>
      </c>
    </row>
    <row r="2974" spans="1:8" ht="14.5" x14ac:dyDescent="0.35">
      <c r="A2974" s="45"/>
      <c r="B2974" s="45" t="s">
        <v>3799</v>
      </c>
      <c r="C2974" s="55">
        <v>45899</v>
      </c>
      <c r="D2974" s="45" t="s">
        <v>34</v>
      </c>
      <c r="E2974" s="45" t="s">
        <v>48</v>
      </c>
      <c r="G2974" s="38"/>
      <c r="H2974" s="38">
        <v>3102</v>
      </c>
    </row>
    <row r="2975" spans="1:8" ht="14.5" x14ac:dyDescent="0.35">
      <c r="A2975" s="45"/>
      <c r="B2975" s="45" t="s">
        <v>3802</v>
      </c>
      <c r="C2975" s="55">
        <v>45899</v>
      </c>
      <c r="D2975" s="45" t="s">
        <v>422</v>
      </c>
      <c r="E2975" s="45" t="s">
        <v>634</v>
      </c>
      <c r="G2975" s="38"/>
      <c r="H2975" s="38">
        <v>641.98</v>
      </c>
    </row>
    <row r="2976" spans="1:8" ht="14.5" x14ac:dyDescent="0.35">
      <c r="A2976" s="45" t="s">
        <v>3799</v>
      </c>
      <c r="B2976" s="45"/>
      <c r="C2976" s="55">
        <v>45899</v>
      </c>
      <c r="D2976" s="45" t="s">
        <v>422</v>
      </c>
      <c r="E2976" s="45" t="s">
        <v>634</v>
      </c>
      <c r="G2976" s="38">
        <v>641.98</v>
      </c>
    </row>
    <row r="2977" spans="1:8" ht="14.5" x14ac:dyDescent="0.35">
      <c r="A2977" s="45"/>
      <c r="B2977" s="45" t="s">
        <v>3802</v>
      </c>
      <c r="C2977" s="55">
        <v>45899</v>
      </c>
      <c r="D2977" s="45" t="s">
        <v>50</v>
      </c>
      <c r="E2977" s="45" t="s">
        <v>4015</v>
      </c>
      <c r="G2977" s="38">
        <v>3072.86</v>
      </c>
    </row>
    <row r="2978" spans="1:8" ht="14.5" x14ac:dyDescent="0.35">
      <c r="A2978" s="45" t="s">
        <v>3799</v>
      </c>
      <c r="B2978" s="45"/>
      <c r="C2978" s="55">
        <v>45899</v>
      </c>
      <c r="D2978" s="45" t="s">
        <v>50</v>
      </c>
      <c r="E2978" s="45" t="s">
        <v>4015</v>
      </c>
      <c r="G2978" s="38"/>
      <c r="H2978" s="38">
        <v>3072.86</v>
      </c>
    </row>
    <row r="2979" spans="1:8" ht="14.5" x14ac:dyDescent="0.35">
      <c r="A2979" s="45"/>
      <c r="B2979" s="45" t="s">
        <v>3802</v>
      </c>
      <c r="C2979" s="55">
        <v>45899</v>
      </c>
      <c r="D2979" s="45" t="s">
        <v>819</v>
      </c>
      <c r="E2979" s="45" t="s">
        <v>852</v>
      </c>
      <c r="G2979" s="38"/>
      <c r="H2979" s="38">
        <v>1578.69</v>
      </c>
    </row>
    <row r="2980" spans="1:8" ht="14.5" x14ac:dyDescent="0.35">
      <c r="A2980" s="45" t="s">
        <v>3799</v>
      </c>
      <c r="B2980" s="45"/>
      <c r="C2980" s="55">
        <v>45899</v>
      </c>
      <c r="D2980" s="45" t="s">
        <v>819</v>
      </c>
      <c r="E2980" s="45" t="s">
        <v>852</v>
      </c>
      <c r="G2980" s="38">
        <v>1578.69</v>
      </c>
      <c r="H2980" s="38">
        <v>0</v>
      </c>
    </row>
    <row r="2981" spans="1:8" ht="14.5" x14ac:dyDescent="0.35">
      <c r="A2981" s="45"/>
      <c r="B2981" s="45" t="s">
        <v>3802</v>
      </c>
      <c r="C2981" s="55">
        <v>45899</v>
      </c>
      <c r="D2981" s="45" t="s">
        <v>422</v>
      </c>
      <c r="E2981" s="45" t="s">
        <v>651</v>
      </c>
      <c r="G2981" s="38"/>
      <c r="H2981" s="38">
        <v>424.99</v>
      </c>
    </row>
    <row r="2982" spans="1:8" ht="14.5" x14ac:dyDescent="0.35">
      <c r="A2982" s="45" t="s">
        <v>3799</v>
      </c>
      <c r="B2982" s="45"/>
      <c r="C2982" s="55">
        <v>45899</v>
      </c>
      <c r="D2982" s="45" t="s">
        <v>422</v>
      </c>
      <c r="E2982" s="45" t="s">
        <v>651</v>
      </c>
      <c r="G2982" s="38">
        <v>424.99</v>
      </c>
    </row>
    <row r="2983" spans="1:8" ht="14.5" x14ac:dyDescent="0.35">
      <c r="A2983" s="45"/>
      <c r="B2983" s="45" t="s">
        <v>3802</v>
      </c>
      <c r="C2983" s="55">
        <v>45899</v>
      </c>
      <c r="D2983" s="45" t="s">
        <v>3824</v>
      </c>
      <c r="E2983" s="45">
        <v>4102025</v>
      </c>
      <c r="G2983" s="38"/>
      <c r="H2983" s="38">
        <v>438.67999999999995</v>
      </c>
    </row>
    <row r="2984" spans="1:8" ht="14.5" x14ac:dyDescent="0.35">
      <c r="A2984" s="45" t="s">
        <v>3799</v>
      </c>
      <c r="B2984" s="45"/>
      <c r="C2984" s="55">
        <v>45899</v>
      </c>
      <c r="D2984" s="45" t="s">
        <v>3824</v>
      </c>
      <c r="E2984" s="45">
        <v>4102025</v>
      </c>
      <c r="G2984" s="38">
        <v>438.67999999999995</v>
      </c>
    </row>
    <row r="2985" spans="1:8" ht="14.5" x14ac:dyDescent="0.35">
      <c r="A2985" s="45" t="s">
        <v>3799</v>
      </c>
      <c r="B2985" s="45"/>
      <c r="C2985" s="55">
        <v>45900</v>
      </c>
      <c r="D2985" s="45" t="s">
        <v>913</v>
      </c>
      <c r="E2985" s="45" t="s">
        <v>4016</v>
      </c>
      <c r="G2985" s="38">
        <v>30</v>
      </c>
    </row>
    <row r="2986" spans="1:8" ht="14.5" x14ac:dyDescent="0.35">
      <c r="A2986" s="45"/>
      <c r="B2986" s="45" t="s">
        <v>3802</v>
      </c>
      <c r="C2986" s="55">
        <v>45900</v>
      </c>
      <c r="D2986" s="45" t="s">
        <v>913</v>
      </c>
      <c r="E2986" s="45" t="s">
        <v>4016</v>
      </c>
      <c r="G2986" s="38"/>
      <c r="H2986" s="38">
        <v>30</v>
      </c>
    </row>
    <row r="2987" spans="1:8" ht="14.5" x14ac:dyDescent="0.35">
      <c r="A2987" s="45" t="s">
        <v>3589</v>
      </c>
      <c r="B2987" s="45"/>
      <c r="C2987" s="55">
        <v>45900</v>
      </c>
      <c r="D2987" s="45" t="s">
        <v>913</v>
      </c>
      <c r="E2987" s="45" t="s">
        <v>4016</v>
      </c>
      <c r="G2987" s="38">
        <v>30</v>
      </c>
    </row>
    <row r="2988" spans="1:8" ht="14.5" x14ac:dyDescent="0.35">
      <c r="A2988" s="45"/>
      <c r="B2988" s="45" t="s">
        <v>3799</v>
      </c>
      <c r="C2988" s="55">
        <v>45900</v>
      </c>
      <c r="D2988" s="45" t="s">
        <v>913</v>
      </c>
      <c r="E2988" s="45" t="s">
        <v>4016</v>
      </c>
      <c r="G2988" s="38"/>
      <c r="H2988" s="38">
        <v>30</v>
      </c>
    </row>
    <row r="2989" spans="1:8" s="149" customFormat="1" ht="14.5" x14ac:dyDescent="0.35">
      <c r="A2989" s="147" t="s">
        <v>3799</v>
      </c>
      <c r="B2989" s="147"/>
      <c r="C2989" s="148">
        <v>45900</v>
      </c>
      <c r="D2989" s="147" t="s">
        <v>714</v>
      </c>
      <c r="E2989" s="147">
        <v>7240</v>
      </c>
      <c r="G2989" s="150">
        <v>94.17</v>
      </c>
      <c r="H2989" s="150"/>
    </row>
    <row r="2990" spans="1:8" ht="14.5" x14ac:dyDescent="0.35">
      <c r="A2990" s="45" t="s">
        <v>3799</v>
      </c>
      <c r="B2990" s="45"/>
      <c r="C2990" s="55">
        <v>45900</v>
      </c>
      <c r="D2990" s="45" t="s">
        <v>714</v>
      </c>
      <c r="E2990" s="45">
        <v>6122023</v>
      </c>
      <c r="G2990" s="38">
        <v>98.17</v>
      </c>
      <c r="H2990" s="38"/>
    </row>
    <row r="2991" spans="1:8" ht="14.5" x14ac:dyDescent="0.35">
      <c r="A2991" s="45" t="s">
        <v>3799</v>
      </c>
      <c r="B2991" s="45"/>
      <c r="C2991" s="55">
        <v>45900</v>
      </c>
      <c r="D2991" s="45" t="s">
        <v>869</v>
      </c>
      <c r="E2991" s="45" t="s">
        <v>4017</v>
      </c>
      <c r="G2991" s="38">
        <v>217.46</v>
      </c>
      <c r="H2991" s="38"/>
    </row>
    <row r="2992" spans="1:8" ht="14.5" x14ac:dyDescent="0.35">
      <c r="A2992" s="45" t="s">
        <v>3799</v>
      </c>
      <c r="B2992" s="45"/>
      <c r="C2992" s="55">
        <v>45900</v>
      </c>
      <c r="D2992" s="45" t="s">
        <v>346</v>
      </c>
      <c r="E2992" s="45" t="s">
        <v>3825</v>
      </c>
      <c r="G2992" s="38">
        <v>624.99999999999989</v>
      </c>
      <c r="H2992" s="38"/>
    </row>
    <row r="2993" spans="1:8" ht="14.5" x14ac:dyDescent="0.35">
      <c r="A2993" s="45" t="s">
        <v>3799</v>
      </c>
      <c r="B2993" s="45"/>
      <c r="C2993" s="55">
        <v>45900</v>
      </c>
      <c r="D2993" s="45" t="s">
        <v>879</v>
      </c>
      <c r="E2993" s="45" t="s">
        <v>4018</v>
      </c>
      <c r="G2993" s="38">
        <v>624.77</v>
      </c>
      <c r="H2993" s="38"/>
    </row>
    <row r="2994" spans="1:8" ht="14.5" x14ac:dyDescent="0.35">
      <c r="A2994" s="45" t="s">
        <v>3799</v>
      </c>
      <c r="B2994" s="45"/>
      <c r="C2994" s="55">
        <v>45900</v>
      </c>
      <c r="D2994" s="45" t="s">
        <v>3826</v>
      </c>
      <c r="E2994" s="45" t="s">
        <v>3827</v>
      </c>
      <c r="G2994" s="38">
        <v>770</v>
      </c>
      <c r="H2994" s="38"/>
    </row>
    <row r="2995" spans="1:8" ht="14.5" x14ac:dyDescent="0.35">
      <c r="A2995" s="45"/>
      <c r="B2995" s="45" t="s">
        <v>3802</v>
      </c>
      <c r="C2995" s="55">
        <v>45900</v>
      </c>
      <c r="D2995" s="45" t="s">
        <v>714</v>
      </c>
      <c r="E2995" s="45">
        <v>14658649</v>
      </c>
      <c r="G2995" s="38">
        <v>96.75</v>
      </c>
      <c r="H2995" s="38"/>
    </row>
    <row r="2996" spans="1:8" ht="14.5" x14ac:dyDescent="0.35">
      <c r="A2996" s="45"/>
      <c r="B2996" s="45" t="s">
        <v>3802</v>
      </c>
      <c r="C2996" s="55">
        <v>45900</v>
      </c>
      <c r="D2996" s="45" t="s">
        <v>714</v>
      </c>
      <c r="E2996" s="45">
        <v>14658649</v>
      </c>
      <c r="H2996" s="38">
        <v>94.17</v>
      </c>
    </row>
    <row r="2997" spans="1:8" ht="14.5" x14ac:dyDescent="0.35">
      <c r="A2997" s="45"/>
      <c r="B2997" s="45" t="s">
        <v>3802</v>
      </c>
      <c r="C2997" s="55">
        <v>45900</v>
      </c>
      <c r="D2997" s="45" t="s">
        <v>714</v>
      </c>
      <c r="E2997" s="45">
        <v>6122023</v>
      </c>
      <c r="G2997" s="38"/>
      <c r="H2997" s="38">
        <v>98.17</v>
      </c>
    </row>
    <row r="2998" spans="1:8" ht="14.5" x14ac:dyDescent="0.35">
      <c r="A2998" s="45"/>
      <c r="B2998" s="45" t="s">
        <v>3802</v>
      </c>
      <c r="C2998" s="55">
        <v>45900</v>
      </c>
      <c r="D2998" s="45" t="s">
        <v>869</v>
      </c>
      <c r="E2998" s="45" t="s">
        <v>4017</v>
      </c>
      <c r="G2998" s="38"/>
      <c r="H2998" s="38">
        <v>217.46</v>
      </c>
    </row>
    <row r="2999" spans="1:8" ht="14.5" x14ac:dyDescent="0.35">
      <c r="A2999" s="45"/>
      <c r="B2999" s="45" t="s">
        <v>3802</v>
      </c>
      <c r="C2999" s="55">
        <v>45900</v>
      </c>
      <c r="D2999" s="45" t="s">
        <v>346</v>
      </c>
      <c r="E2999" s="45" t="s">
        <v>3825</v>
      </c>
      <c r="G2999" s="38"/>
      <c r="H2999" s="38">
        <v>624.99999999999989</v>
      </c>
    </row>
    <row r="3000" spans="1:8" ht="14.5" x14ac:dyDescent="0.35">
      <c r="A3000" s="45"/>
      <c r="B3000" s="45" t="s">
        <v>3802</v>
      </c>
      <c r="C3000" s="55">
        <v>45900</v>
      </c>
      <c r="D3000" s="45" t="s">
        <v>879</v>
      </c>
      <c r="E3000" s="45" t="s">
        <v>4018</v>
      </c>
      <c r="G3000" s="38"/>
      <c r="H3000" s="38">
        <v>624.77</v>
      </c>
    </row>
    <row r="3001" spans="1:8" ht="14.5" x14ac:dyDescent="0.35">
      <c r="A3001" s="45"/>
      <c r="B3001" s="45" t="s">
        <v>3802</v>
      </c>
      <c r="C3001" s="55">
        <v>45900</v>
      </c>
      <c r="D3001" s="45" t="s">
        <v>3826</v>
      </c>
      <c r="E3001" s="45" t="s">
        <v>3827</v>
      </c>
      <c r="G3001" s="38"/>
      <c r="H3001" s="38">
        <v>770</v>
      </c>
    </row>
    <row r="3002" spans="1:8" ht="14.5" x14ac:dyDescent="0.35">
      <c r="A3002" s="45"/>
      <c r="B3002" s="45" t="s">
        <v>3802</v>
      </c>
      <c r="C3002" s="55">
        <v>45900</v>
      </c>
      <c r="D3002" s="45" t="s">
        <v>714</v>
      </c>
      <c r="E3002" s="45">
        <v>14658649</v>
      </c>
      <c r="G3002" s="38"/>
      <c r="H3002" s="38">
        <v>96.75</v>
      </c>
    </row>
    <row r="3003" spans="1:8" ht="14.5" x14ac:dyDescent="0.35">
      <c r="A3003" s="45" t="s">
        <v>3799</v>
      </c>
      <c r="B3003" s="45"/>
      <c r="C3003" s="55">
        <v>45900</v>
      </c>
      <c r="D3003" s="45" t="s">
        <v>422</v>
      </c>
      <c r="E3003" s="45">
        <v>8312025</v>
      </c>
      <c r="G3003" s="38">
        <v>981</v>
      </c>
    </row>
    <row r="3004" spans="1:8" ht="14.5" x14ac:dyDescent="0.35">
      <c r="A3004" s="45"/>
      <c r="B3004" s="45" t="s">
        <v>3802</v>
      </c>
      <c r="C3004" s="55">
        <v>45900</v>
      </c>
      <c r="D3004" s="45" t="s">
        <v>422</v>
      </c>
      <c r="E3004" s="45">
        <v>8312025</v>
      </c>
      <c r="G3004" s="38"/>
      <c r="H3004" s="38">
        <v>981</v>
      </c>
    </row>
    <row r="3005" spans="1:8" ht="14.5" x14ac:dyDescent="0.35">
      <c r="A3005" s="45" t="s">
        <v>3589</v>
      </c>
      <c r="B3005" s="45"/>
      <c r="C3005" s="55">
        <v>45900</v>
      </c>
      <c r="D3005" s="45" t="s">
        <v>422</v>
      </c>
      <c r="E3005" s="45">
        <v>8312025</v>
      </c>
      <c r="G3005" s="38">
        <v>981</v>
      </c>
    </row>
    <row r="3006" spans="1:8" ht="14.5" x14ac:dyDescent="0.35">
      <c r="A3006" s="45"/>
      <c r="B3006" s="45" t="s">
        <v>3799</v>
      </c>
      <c r="C3006" s="55">
        <v>45900</v>
      </c>
      <c r="D3006" s="45" t="s">
        <v>422</v>
      </c>
      <c r="E3006" s="45">
        <v>8312025</v>
      </c>
      <c r="G3006" s="38"/>
      <c r="H3006" s="38">
        <v>981</v>
      </c>
    </row>
    <row r="3007" spans="1:8" ht="14.5" x14ac:dyDescent="0.35">
      <c r="A3007" s="45"/>
      <c r="B3007" s="45" t="s">
        <v>3802</v>
      </c>
      <c r="C3007" s="55">
        <v>45900</v>
      </c>
      <c r="D3007" s="45" t="s">
        <v>4020</v>
      </c>
      <c r="E3007" s="45" t="s">
        <v>4021</v>
      </c>
      <c r="G3007" s="38"/>
      <c r="H3007" s="38">
        <v>65.099999999999994</v>
      </c>
    </row>
    <row r="3008" spans="1:8" ht="14.5" x14ac:dyDescent="0.35">
      <c r="A3008" s="45" t="s">
        <v>3799</v>
      </c>
      <c r="B3008" s="45"/>
      <c r="C3008" s="55">
        <v>45900</v>
      </c>
      <c r="D3008" s="45" t="s">
        <v>4020</v>
      </c>
      <c r="E3008" s="45" t="s">
        <v>4021</v>
      </c>
      <c r="G3008" s="38">
        <v>65.099999999999994</v>
      </c>
      <c r="H3008" s="38"/>
    </row>
    <row r="3009" spans="1:8" ht="14.5" x14ac:dyDescent="0.35">
      <c r="A3009" s="45" t="s">
        <v>3799</v>
      </c>
      <c r="B3009" s="45"/>
      <c r="C3009" s="55">
        <v>45900</v>
      </c>
      <c r="D3009" s="45" t="s">
        <v>698</v>
      </c>
      <c r="E3009" s="45" t="s">
        <v>3788</v>
      </c>
      <c r="G3009" s="38">
        <v>2535</v>
      </c>
    </row>
    <row r="3010" spans="1:8" ht="14.5" x14ac:dyDescent="0.35">
      <c r="A3010" s="45"/>
      <c r="B3010" s="45" t="s">
        <v>3802</v>
      </c>
      <c r="C3010" s="55">
        <v>45900</v>
      </c>
      <c r="D3010" s="45" t="s">
        <v>698</v>
      </c>
      <c r="E3010" s="45" t="s">
        <v>3788</v>
      </c>
      <c r="G3010" s="38"/>
      <c r="H3010" s="38">
        <v>2535</v>
      </c>
    </row>
    <row r="3011" spans="1:8" ht="14.5" x14ac:dyDescent="0.35">
      <c r="A3011" s="45" t="s">
        <v>3589</v>
      </c>
      <c r="B3011" s="45"/>
      <c r="C3011" s="55">
        <v>45900</v>
      </c>
      <c r="D3011" s="45" t="s">
        <v>698</v>
      </c>
      <c r="E3011" s="45" t="s">
        <v>3788</v>
      </c>
      <c r="G3011" s="38">
        <v>2535</v>
      </c>
    </row>
    <row r="3012" spans="1:8" ht="14.5" x14ac:dyDescent="0.35">
      <c r="A3012" s="45"/>
      <c r="B3012" s="45" t="s">
        <v>3799</v>
      </c>
      <c r="C3012" s="55">
        <v>45900</v>
      </c>
      <c r="D3012" s="45" t="s">
        <v>698</v>
      </c>
      <c r="E3012" s="45" t="s">
        <v>3788</v>
      </c>
      <c r="G3012" s="38"/>
      <c r="H3012" s="38">
        <v>2535</v>
      </c>
    </row>
    <row r="3013" spans="1:8" ht="14.5" x14ac:dyDescent="0.35">
      <c r="A3013" s="45" t="s">
        <v>3799</v>
      </c>
      <c r="B3013" s="45"/>
      <c r="C3013" s="55">
        <v>45900</v>
      </c>
      <c r="D3013" s="45" t="s">
        <v>879</v>
      </c>
      <c r="E3013" s="45" t="s">
        <v>4022</v>
      </c>
      <c r="G3013" s="38">
        <v>305.58999999999997</v>
      </c>
    </row>
    <row r="3014" spans="1:8" ht="14.5" x14ac:dyDescent="0.35">
      <c r="A3014" s="45" t="s">
        <v>3799</v>
      </c>
      <c r="B3014" s="45"/>
      <c r="C3014" s="55">
        <v>45900</v>
      </c>
      <c r="D3014" s="45" t="s">
        <v>34</v>
      </c>
      <c r="E3014" s="45" t="s">
        <v>4023</v>
      </c>
      <c r="G3014" s="38">
        <v>9.1999999999999993</v>
      </c>
      <c r="H3014" s="38"/>
    </row>
    <row r="3015" spans="1:8" ht="14.5" x14ac:dyDescent="0.35">
      <c r="A3015" s="45"/>
      <c r="B3015" s="45" t="s">
        <v>3802</v>
      </c>
      <c r="C3015" s="55">
        <v>45900</v>
      </c>
      <c r="D3015" s="45" t="s">
        <v>879</v>
      </c>
      <c r="E3015" s="45" t="s">
        <v>4022</v>
      </c>
      <c r="G3015" s="38"/>
      <c r="H3015" s="38">
        <v>305.58999999999997</v>
      </c>
    </row>
    <row r="3016" spans="1:8" ht="14.5" x14ac:dyDescent="0.35">
      <c r="A3016" s="45"/>
      <c r="B3016" s="45" t="s">
        <v>3802</v>
      </c>
      <c r="C3016" s="55">
        <v>45900</v>
      </c>
      <c r="D3016" s="45" t="s">
        <v>34</v>
      </c>
      <c r="E3016" s="45" t="s">
        <v>4023</v>
      </c>
      <c r="G3016" s="38"/>
      <c r="H3016" s="38">
        <v>9.1999999999999993</v>
      </c>
    </row>
    <row r="3017" spans="1:8" ht="14.5" x14ac:dyDescent="0.35">
      <c r="A3017" s="45" t="s">
        <v>3799</v>
      </c>
      <c r="B3017" s="45"/>
      <c r="C3017" s="55">
        <v>45900</v>
      </c>
      <c r="D3017" s="45" t="s">
        <v>422</v>
      </c>
      <c r="E3017" s="45" t="s">
        <v>4024</v>
      </c>
      <c r="G3017" s="38">
        <v>63.64</v>
      </c>
      <c r="H3017" s="38"/>
    </row>
    <row r="3018" spans="1:8" ht="14.5" x14ac:dyDescent="0.35">
      <c r="A3018" s="45"/>
      <c r="B3018" s="45" t="s">
        <v>3802</v>
      </c>
      <c r="C3018" s="55">
        <v>45900</v>
      </c>
      <c r="D3018" s="45" t="s">
        <v>422</v>
      </c>
      <c r="E3018" s="45" t="s">
        <v>4024</v>
      </c>
      <c r="G3018" s="38"/>
      <c r="H3018" s="38">
        <v>63.64</v>
      </c>
    </row>
    <row r="3019" spans="1:8" ht="14.5" x14ac:dyDescent="0.35">
      <c r="A3019" s="45" t="s">
        <v>3589</v>
      </c>
      <c r="B3019" s="45"/>
      <c r="C3019" s="55">
        <v>45900</v>
      </c>
      <c r="D3019" s="45" t="s">
        <v>422</v>
      </c>
      <c r="E3019" s="45" t="s">
        <v>4024</v>
      </c>
      <c r="G3019" s="38">
        <v>63.64</v>
      </c>
      <c r="H3019" s="38"/>
    </row>
    <row r="3020" spans="1:8" ht="14.5" x14ac:dyDescent="0.35">
      <c r="A3020" s="45"/>
      <c r="B3020" s="45" t="s">
        <v>3799</v>
      </c>
      <c r="C3020" s="55">
        <v>45900</v>
      </c>
      <c r="D3020" s="45" t="s">
        <v>422</v>
      </c>
      <c r="E3020" s="45" t="s">
        <v>4024</v>
      </c>
      <c r="G3020" s="38"/>
      <c r="H3020" s="38">
        <v>63.64</v>
      </c>
    </row>
    <row r="3021" spans="1:8" ht="14.5" x14ac:dyDescent="0.35">
      <c r="A3021" s="45" t="s">
        <v>3799</v>
      </c>
      <c r="B3021" s="45"/>
      <c r="C3021" s="55">
        <v>45900</v>
      </c>
      <c r="D3021" s="45" t="s">
        <v>8</v>
      </c>
      <c r="E3021" s="45" t="s">
        <v>4025</v>
      </c>
      <c r="G3021" s="38">
        <v>711</v>
      </c>
      <c r="H3021" s="38"/>
    </row>
    <row r="3022" spans="1:8" ht="14.5" x14ac:dyDescent="0.35">
      <c r="A3022" s="45"/>
      <c r="B3022" s="45" t="s">
        <v>3802</v>
      </c>
      <c r="C3022" s="55">
        <v>45900</v>
      </c>
      <c r="D3022" s="45" t="s">
        <v>8</v>
      </c>
      <c r="E3022" s="45" t="s">
        <v>4025</v>
      </c>
      <c r="G3022" s="38"/>
      <c r="H3022" s="38">
        <v>711</v>
      </c>
    </row>
    <row r="3023" spans="1:8" ht="14.5" x14ac:dyDescent="0.35">
      <c r="A3023" s="45" t="s">
        <v>3589</v>
      </c>
      <c r="B3023" s="45"/>
      <c r="C3023" s="55">
        <v>45900</v>
      </c>
      <c r="D3023" s="45" t="s">
        <v>8</v>
      </c>
      <c r="E3023" s="45" t="s">
        <v>4025</v>
      </c>
      <c r="G3023" s="38">
        <v>711</v>
      </c>
      <c r="H3023" s="38"/>
    </row>
    <row r="3024" spans="1:8" ht="14.5" x14ac:dyDescent="0.35">
      <c r="A3024" s="45"/>
      <c r="B3024" s="45" t="s">
        <v>3799</v>
      </c>
      <c r="C3024" s="55">
        <v>45900</v>
      </c>
      <c r="D3024" s="45" t="s">
        <v>8</v>
      </c>
      <c r="E3024" s="45" t="s">
        <v>4025</v>
      </c>
      <c r="G3024" s="38"/>
      <c r="H3024" s="38">
        <v>711</v>
      </c>
    </row>
    <row r="3025" spans="1:8" ht="14.5" x14ac:dyDescent="0.35">
      <c r="A3025" s="45"/>
      <c r="B3025" s="45" t="s">
        <v>3802</v>
      </c>
      <c r="C3025" s="55">
        <v>45900</v>
      </c>
      <c r="G3025" s="38"/>
      <c r="H3025" s="41">
        <f>SUM(G4:G3024)-SUM(H4:H3024)</f>
        <v>128890.31000000145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6422-C58B-48C4-A7A0-76F28BE0B513}">
  <dimension ref="A1:K67"/>
  <sheetViews>
    <sheetView workbookViewId="0">
      <selection activeCell="B15" sqref="B15"/>
    </sheetView>
  </sheetViews>
  <sheetFormatPr defaultRowHeight="14" x14ac:dyDescent="0.3"/>
  <cols>
    <col min="1" max="1" width="42" style="43" customWidth="1"/>
    <col min="2" max="2" width="26.83203125" style="43" customWidth="1"/>
    <col min="3" max="3" width="16.33203125" style="43" customWidth="1"/>
    <col min="4" max="4" width="18.9140625" style="43" customWidth="1"/>
    <col min="5" max="5" width="27.08203125" style="43" customWidth="1"/>
    <col min="6" max="6" width="8.83203125" style="43"/>
    <col min="7" max="7" width="30.08203125" style="43" customWidth="1"/>
    <col min="8" max="8" width="12.1640625" style="43" customWidth="1"/>
    <col min="11" max="11" width="36.08203125" customWidth="1"/>
  </cols>
  <sheetData>
    <row r="1" spans="1:11" ht="70.5" x14ac:dyDescent="0.35">
      <c r="H1" s="59">
        <f>SUM(H4:H66)</f>
        <v>85051.09</v>
      </c>
      <c r="J1" s="83" t="s">
        <v>4028</v>
      </c>
      <c r="K1" s="43" t="s">
        <v>4081</v>
      </c>
    </row>
    <row r="2" spans="1:11" ht="28.5" x14ac:dyDescent="0.35">
      <c r="A2" s="57" t="s">
        <v>2635</v>
      </c>
      <c r="B2" s="57" t="s">
        <v>3580</v>
      </c>
      <c r="C2" s="50" t="s">
        <v>2545</v>
      </c>
      <c r="D2" s="50" t="s">
        <v>1</v>
      </c>
      <c r="E2" s="50" t="s">
        <v>3807</v>
      </c>
      <c r="F2" s="50" t="s">
        <v>3808</v>
      </c>
      <c r="G2" s="50"/>
      <c r="H2" s="50" t="s">
        <v>3809</v>
      </c>
      <c r="I2" s="51"/>
      <c r="K2" s="99" t="s">
        <v>4080</v>
      </c>
    </row>
    <row r="3" spans="1:11" ht="14.5" x14ac:dyDescent="0.35">
      <c r="A3" s="57" t="s">
        <v>3582</v>
      </c>
      <c r="B3" s="57" t="s">
        <v>3581</v>
      </c>
      <c r="C3" s="52"/>
      <c r="D3" s="17"/>
      <c r="E3" s="17"/>
      <c r="F3" s="17"/>
      <c r="G3" s="17"/>
      <c r="H3" s="17"/>
    </row>
    <row r="4" spans="1:11" ht="14.5" x14ac:dyDescent="0.35">
      <c r="A4" s="49" t="s">
        <v>3802</v>
      </c>
      <c r="B4" s="49" t="s">
        <v>3810</v>
      </c>
      <c r="C4" s="48">
        <v>45869</v>
      </c>
      <c r="D4" s="37" t="s">
        <v>282</v>
      </c>
      <c r="E4" s="37" t="s">
        <v>109</v>
      </c>
      <c r="F4" s="37" t="s">
        <v>3811</v>
      </c>
      <c r="G4" s="37"/>
      <c r="H4" s="38">
        <v>12</v>
      </c>
    </row>
    <row r="5" spans="1:11" ht="14.5" x14ac:dyDescent="0.35">
      <c r="A5" s="49" t="s">
        <v>3802</v>
      </c>
      <c r="B5" s="49" t="s">
        <v>3810</v>
      </c>
      <c r="C5" s="48">
        <v>45869</v>
      </c>
      <c r="D5" s="37" t="s">
        <v>290</v>
      </c>
      <c r="E5" s="37" t="s">
        <v>109</v>
      </c>
      <c r="F5" s="37" t="s">
        <v>3811</v>
      </c>
      <c r="G5" s="37"/>
      <c r="H5" s="38">
        <v>12</v>
      </c>
    </row>
    <row r="6" spans="1:11" ht="14.5" x14ac:dyDescent="0.35">
      <c r="A6" s="49" t="s">
        <v>3802</v>
      </c>
      <c r="B6" s="49" t="s">
        <v>3810</v>
      </c>
      <c r="C6" s="48">
        <v>45869</v>
      </c>
      <c r="D6" s="37" t="s">
        <v>3605</v>
      </c>
      <c r="E6" s="37" t="s">
        <v>96</v>
      </c>
      <c r="F6" s="37" t="s">
        <v>3811</v>
      </c>
      <c r="G6" s="37"/>
      <c r="H6" s="38">
        <v>240.45</v>
      </c>
    </row>
    <row r="7" spans="1:11" ht="14.5" x14ac:dyDescent="0.35">
      <c r="A7" s="49" t="s">
        <v>3802</v>
      </c>
      <c r="B7" s="49" t="s">
        <v>3810</v>
      </c>
      <c r="C7" s="48">
        <v>45869</v>
      </c>
      <c r="D7" s="37" t="s">
        <v>289</v>
      </c>
      <c r="E7" s="37" t="s">
        <v>109</v>
      </c>
      <c r="F7" s="37" t="s">
        <v>3811</v>
      </c>
      <c r="G7" s="37"/>
      <c r="H7" s="38">
        <v>12</v>
      </c>
    </row>
    <row r="8" spans="1:11" ht="14.5" x14ac:dyDescent="0.35">
      <c r="A8" s="49" t="s">
        <v>3802</v>
      </c>
      <c r="B8" s="49" t="s">
        <v>3810</v>
      </c>
      <c r="C8" s="48">
        <v>45869</v>
      </c>
      <c r="D8" s="37" t="s">
        <v>291</v>
      </c>
      <c r="E8" s="37" t="s">
        <v>109</v>
      </c>
      <c r="F8" s="37" t="s">
        <v>3811</v>
      </c>
      <c r="G8" s="37"/>
      <c r="H8" s="38">
        <v>13</v>
      </c>
    </row>
    <row r="9" spans="1:11" ht="14.5" x14ac:dyDescent="0.35">
      <c r="A9" s="49" t="s">
        <v>3802</v>
      </c>
      <c r="B9" s="49" t="s">
        <v>3810</v>
      </c>
      <c r="C9" s="48">
        <v>45869</v>
      </c>
      <c r="D9" s="37" t="s">
        <v>283</v>
      </c>
      <c r="E9" s="37" t="s">
        <v>109</v>
      </c>
      <c r="F9" s="37" t="s">
        <v>3811</v>
      </c>
      <c r="G9" s="37"/>
      <c r="H9" s="38">
        <v>12</v>
      </c>
    </row>
    <row r="10" spans="1:11" ht="14.5" x14ac:dyDescent="0.35">
      <c r="A10" s="49" t="s">
        <v>3802</v>
      </c>
      <c r="B10" s="49" t="s">
        <v>3810</v>
      </c>
      <c r="C10" s="48">
        <v>45869</v>
      </c>
      <c r="D10" s="37" t="s">
        <v>284</v>
      </c>
      <c r="E10" s="37" t="s">
        <v>109</v>
      </c>
      <c r="F10" s="37" t="s">
        <v>3811</v>
      </c>
      <c r="G10" s="37"/>
      <c r="H10" s="38">
        <v>12</v>
      </c>
    </row>
    <row r="11" spans="1:11" ht="14.5" x14ac:dyDescent="0.35">
      <c r="A11" s="49" t="s">
        <v>3802</v>
      </c>
      <c r="B11" s="49" t="s">
        <v>3810</v>
      </c>
      <c r="C11" s="48">
        <v>45869</v>
      </c>
      <c r="D11" s="37" t="s">
        <v>285</v>
      </c>
      <c r="E11" s="37" t="s">
        <v>109</v>
      </c>
      <c r="F11" s="37" t="s">
        <v>3811</v>
      </c>
      <c r="G11" s="37"/>
      <c r="H11" s="38">
        <v>12</v>
      </c>
    </row>
    <row r="12" spans="1:11" ht="14.5" x14ac:dyDescent="0.35">
      <c r="A12" s="49" t="s">
        <v>3802</v>
      </c>
      <c r="B12" s="49" t="s">
        <v>3810</v>
      </c>
      <c r="C12" s="48">
        <v>45869</v>
      </c>
      <c r="D12" s="37">
        <v>20250209</v>
      </c>
      <c r="E12" s="37" t="s">
        <v>17</v>
      </c>
      <c r="F12" s="37" t="s">
        <v>3811</v>
      </c>
      <c r="G12" s="37"/>
      <c r="H12" s="38">
        <v>387.99</v>
      </c>
    </row>
    <row r="13" spans="1:11" ht="14.5" x14ac:dyDescent="0.35">
      <c r="A13" s="49" t="s">
        <v>3802</v>
      </c>
      <c r="B13" s="49" t="s">
        <v>3810</v>
      </c>
      <c r="C13" s="48">
        <v>45869</v>
      </c>
      <c r="D13" s="37">
        <v>20250180</v>
      </c>
      <c r="E13" s="37" t="s">
        <v>17</v>
      </c>
      <c r="F13" s="37" t="s">
        <v>3811</v>
      </c>
      <c r="G13" s="37"/>
      <c r="H13" s="38">
        <v>458.02</v>
      </c>
    </row>
    <row r="14" spans="1:11" ht="14.5" x14ac:dyDescent="0.35">
      <c r="A14" s="49" t="s">
        <v>3802</v>
      </c>
      <c r="B14" s="49" t="s">
        <v>3810</v>
      </c>
      <c r="C14" s="48">
        <v>45869</v>
      </c>
      <c r="D14" s="37" t="s">
        <v>287</v>
      </c>
      <c r="E14" s="37" t="s">
        <v>109</v>
      </c>
      <c r="F14" s="37" t="s">
        <v>3811</v>
      </c>
      <c r="G14" s="37"/>
      <c r="H14" s="38">
        <v>12</v>
      </c>
    </row>
    <row r="15" spans="1:11" ht="14.5" x14ac:dyDescent="0.35">
      <c r="A15" s="49" t="s">
        <v>3802</v>
      </c>
      <c r="B15" s="49" t="s">
        <v>3810</v>
      </c>
      <c r="C15" s="48">
        <v>45869</v>
      </c>
      <c r="D15" s="37" t="s">
        <v>3606</v>
      </c>
      <c r="E15" s="37" t="s">
        <v>96</v>
      </c>
      <c r="F15" s="37" t="s">
        <v>3811</v>
      </c>
      <c r="G15" s="37"/>
      <c r="H15" s="38">
        <v>236</v>
      </c>
    </row>
    <row r="16" spans="1:11" ht="14.5" x14ac:dyDescent="0.35">
      <c r="A16" s="49" t="s">
        <v>3802</v>
      </c>
      <c r="B16" s="49" t="s">
        <v>3810</v>
      </c>
      <c r="C16" s="48">
        <v>45869</v>
      </c>
      <c r="D16" s="37" t="s">
        <v>288</v>
      </c>
      <c r="E16" s="37" t="s">
        <v>109</v>
      </c>
      <c r="F16" s="37" t="s">
        <v>3811</v>
      </c>
      <c r="G16" s="37"/>
      <c r="H16" s="38">
        <v>12</v>
      </c>
    </row>
    <row r="17" spans="1:8" ht="14.5" x14ac:dyDescent="0.35">
      <c r="A17" s="49" t="s">
        <v>3802</v>
      </c>
      <c r="B17" s="49" t="s">
        <v>3810</v>
      </c>
      <c r="C17" s="48">
        <v>45869</v>
      </c>
      <c r="D17" s="37" t="s">
        <v>3608</v>
      </c>
      <c r="E17" s="37" t="s">
        <v>3607</v>
      </c>
      <c r="F17" s="37" t="s">
        <v>3811</v>
      </c>
      <c r="G17" s="37"/>
      <c r="H17" s="38">
        <v>1002.97</v>
      </c>
    </row>
    <row r="18" spans="1:8" ht="14.5" x14ac:dyDescent="0.35">
      <c r="A18" s="49" t="s">
        <v>3802</v>
      </c>
      <c r="B18" s="49" t="s">
        <v>3810</v>
      </c>
      <c r="C18" s="48">
        <v>45869</v>
      </c>
      <c r="D18" s="37" t="s">
        <v>292</v>
      </c>
      <c r="E18" s="37" t="s">
        <v>109</v>
      </c>
      <c r="F18" s="37" t="s">
        <v>3811</v>
      </c>
      <c r="G18" s="37"/>
      <c r="H18" s="38">
        <v>13</v>
      </c>
    </row>
    <row r="19" spans="1:8" ht="14.5" x14ac:dyDescent="0.35">
      <c r="A19" s="49" t="s">
        <v>3802</v>
      </c>
      <c r="B19" s="49" t="s">
        <v>3810</v>
      </c>
      <c r="C19" s="48">
        <v>45869</v>
      </c>
      <c r="D19" s="37">
        <v>20250179</v>
      </c>
      <c r="E19" s="37" t="s">
        <v>17</v>
      </c>
      <c r="F19" s="37" t="s">
        <v>3811</v>
      </c>
      <c r="G19" s="37"/>
      <c r="H19" s="38">
        <v>85.83</v>
      </c>
    </row>
    <row r="20" spans="1:8" ht="14.5" x14ac:dyDescent="0.35">
      <c r="A20" s="49" t="s">
        <v>3802</v>
      </c>
      <c r="B20" s="49" t="s">
        <v>3810</v>
      </c>
      <c r="C20" s="48">
        <v>45869</v>
      </c>
      <c r="D20" s="37" t="s">
        <v>3614</v>
      </c>
      <c r="E20" s="37" t="s">
        <v>96</v>
      </c>
      <c r="F20" s="37" t="s">
        <v>3811</v>
      </c>
      <c r="G20" s="37"/>
      <c r="H20" s="38">
        <v>5378.85</v>
      </c>
    </row>
    <row r="21" spans="1:8" ht="14.5" x14ac:dyDescent="0.35">
      <c r="A21" s="49" t="s">
        <v>3802</v>
      </c>
      <c r="B21" s="49" t="s">
        <v>3810</v>
      </c>
      <c r="C21" s="48">
        <v>45869</v>
      </c>
      <c r="D21" s="37" t="s">
        <v>75</v>
      </c>
      <c r="E21" s="37" t="s">
        <v>66</v>
      </c>
      <c r="F21" s="37" t="s">
        <v>3811</v>
      </c>
      <c r="G21" s="37"/>
      <c r="H21" s="38">
        <v>2513.94</v>
      </c>
    </row>
    <row r="22" spans="1:8" ht="14.5" x14ac:dyDescent="0.35">
      <c r="A22" s="49" t="s">
        <v>3802</v>
      </c>
      <c r="B22" s="49" t="s">
        <v>3810</v>
      </c>
      <c r="C22" s="48">
        <v>45869</v>
      </c>
      <c r="D22" s="37">
        <v>9</v>
      </c>
      <c r="E22" s="37" t="s">
        <v>793</v>
      </c>
      <c r="F22" s="37" t="s">
        <v>3811</v>
      </c>
      <c r="G22" s="37"/>
      <c r="H22" s="38">
        <v>11</v>
      </c>
    </row>
    <row r="23" spans="1:8" ht="14.5" x14ac:dyDescent="0.35">
      <c r="A23" s="49" t="s">
        <v>3802</v>
      </c>
      <c r="B23" s="49" t="s">
        <v>3810</v>
      </c>
      <c r="C23" s="48">
        <v>45869</v>
      </c>
      <c r="D23" s="37" t="s">
        <v>293</v>
      </c>
      <c r="E23" s="37" t="s">
        <v>109</v>
      </c>
      <c r="F23" s="37" t="s">
        <v>3811</v>
      </c>
      <c r="G23" s="37"/>
      <c r="H23" s="38">
        <v>12.14</v>
      </c>
    </row>
    <row r="24" spans="1:8" ht="14.5" x14ac:dyDescent="0.35">
      <c r="A24" s="49" t="s">
        <v>3802</v>
      </c>
      <c r="B24" s="49" t="s">
        <v>3810</v>
      </c>
      <c r="C24" s="48">
        <v>45869</v>
      </c>
      <c r="D24" s="37" t="s">
        <v>3779</v>
      </c>
      <c r="E24" s="37" t="s">
        <v>66</v>
      </c>
      <c r="F24" s="37" t="s">
        <v>3811</v>
      </c>
      <c r="G24" s="37"/>
      <c r="H24" s="38">
        <v>72.150000000000006</v>
      </c>
    </row>
    <row r="25" spans="1:8" ht="14.5" x14ac:dyDescent="0.35">
      <c r="A25" s="49" t="s">
        <v>3802</v>
      </c>
      <c r="B25" s="49" t="s">
        <v>3810</v>
      </c>
      <c r="C25" s="48">
        <v>45869</v>
      </c>
      <c r="D25" s="37" t="s">
        <v>3780</v>
      </c>
      <c r="E25" s="37" t="s">
        <v>66</v>
      </c>
      <c r="F25" s="37" t="s">
        <v>3811</v>
      </c>
      <c r="G25" s="37"/>
      <c r="H25" s="38">
        <v>36</v>
      </c>
    </row>
    <row r="26" spans="1:8" ht="14.5" x14ac:dyDescent="0.35">
      <c r="A26" s="49" t="s">
        <v>3802</v>
      </c>
      <c r="B26" s="49" t="s">
        <v>3810</v>
      </c>
      <c r="C26" s="48">
        <v>45869</v>
      </c>
      <c r="D26" s="37">
        <v>20250263</v>
      </c>
      <c r="E26" s="37" t="s">
        <v>17</v>
      </c>
      <c r="F26" s="37" t="s">
        <v>3811</v>
      </c>
      <c r="G26" s="37"/>
      <c r="H26" s="38">
        <v>43.15</v>
      </c>
    </row>
    <row r="27" spans="1:8" ht="14.5" x14ac:dyDescent="0.35">
      <c r="A27" s="49" t="s">
        <v>3802</v>
      </c>
      <c r="B27" s="49" t="s">
        <v>3810</v>
      </c>
      <c r="C27" s="48">
        <v>45869</v>
      </c>
      <c r="D27" s="37">
        <v>20250275</v>
      </c>
      <c r="E27" s="37" t="s">
        <v>17</v>
      </c>
      <c r="F27" s="37" t="s">
        <v>3811</v>
      </c>
      <c r="G27" s="37"/>
      <c r="H27" s="38">
        <v>163.44999999999999</v>
      </c>
    </row>
    <row r="28" spans="1:8" ht="14.5" x14ac:dyDescent="0.35">
      <c r="A28" s="49" t="s">
        <v>3802</v>
      </c>
      <c r="B28" s="49" t="s">
        <v>3810</v>
      </c>
      <c r="C28" s="48">
        <v>45869</v>
      </c>
      <c r="D28" s="37" t="s">
        <v>295</v>
      </c>
      <c r="E28" s="37" t="s">
        <v>109</v>
      </c>
      <c r="F28" s="37" t="s">
        <v>3811</v>
      </c>
      <c r="G28" s="37"/>
      <c r="H28" s="38">
        <v>11</v>
      </c>
    </row>
    <row r="29" spans="1:8" ht="14.5" x14ac:dyDescent="0.35">
      <c r="A29" s="49" t="s">
        <v>3802</v>
      </c>
      <c r="B29" s="49" t="s">
        <v>3810</v>
      </c>
      <c r="C29" s="48">
        <v>45869</v>
      </c>
      <c r="D29" s="37" t="s">
        <v>294</v>
      </c>
      <c r="E29" s="37" t="s">
        <v>109</v>
      </c>
      <c r="F29" s="37" t="s">
        <v>3811</v>
      </c>
      <c r="G29" s="37"/>
      <c r="H29" s="38">
        <v>11</v>
      </c>
    </row>
    <row r="30" spans="1:8" ht="14.5" x14ac:dyDescent="0.35">
      <c r="A30" s="49" t="s">
        <v>3802</v>
      </c>
      <c r="B30" s="49" t="s">
        <v>3810</v>
      </c>
      <c r="C30" s="48">
        <v>45869</v>
      </c>
      <c r="D30" s="37">
        <v>20250316</v>
      </c>
      <c r="E30" s="37" t="s">
        <v>17</v>
      </c>
      <c r="F30" s="37" t="s">
        <v>3811</v>
      </c>
      <c r="G30" s="37"/>
      <c r="H30" s="38">
        <v>137.72999999999999</v>
      </c>
    </row>
    <row r="31" spans="1:8" ht="14.5" x14ac:dyDescent="0.35">
      <c r="A31" s="49" t="s">
        <v>3802</v>
      </c>
      <c r="B31" s="49" t="s">
        <v>3810</v>
      </c>
      <c r="C31" s="48">
        <v>45869</v>
      </c>
      <c r="D31" s="37" t="s">
        <v>3633</v>
      </c>
      <c r="E31" s="37" t="s">
        <v>66</v>
      </c>
      <c r="F31" s="37" t="s">
        <v>3811</v>
      </c>
      <c r="G31" s="37"/>
      <c r="H31" s="38">
        <v>39.97</v>
      </c>
    </row>
    <row r="32" spans="1:8" ht="14.5" x14ac:dyDescent="0.35">
      <c r="A32" s="49" t="s">
        <v>3802</v>
      </c>
      <c r="B32" s="49" t="s">
        <v>3810</v>
      </c>
      <c r="C32" s="48">
        <v>45869</v>
      </c>
      <c r="D32" s="37">
        <v>28</v>
      </c>
      <c r="E32" s="37" t="s">
        <v>807</v>
      </c>
      <c r="F32" s="37" t="s">
        <v>3811</v>
      </c>
      <c r="G32" s="37"/>
      <c r="H32" s="38">
        <v>11</v>
      </c>
    </row>
    <row r="33" spans="1:8" ht="14.5" x14ac:dyDescent="0.35">
      <c r="A33" s="49" t="s">
        <v>3802</v>
      </c>
      <c r="B33" s="49" t="s">
        <v>3810</v>
      </c>
      <c r="C33" s="48">
        <v>45869</v>
      </c>
      <c r="D33" s="37" t="s">
        <v>3634</v>
      </c>
      <c r="E33" s="37" t="s">
        <v>66</v>
      </c>
      <c r="F33" s="37" t="s">
        <v>3811</v>
      </c>
      <c r="G33" s="37"/>
      <c r="H33" s="38">
        <v>22.22</v>
      </c>
    </row>
    <row r="34" spans="1:8" ht="14.5" x14ac:dyDescent="0.35">
      <c r="A34" s="49" t="s">
        <v>3802</v>
      </c>
      <c r="B34" s="49" t="s">
        <v>3810</v>
      </c>
      <c r="C34" s="48">
        <v>45869</v>
      </c>
      <c r="D34" s="37" t="s">
        <v>297</v>
      </c>
      <c r="E34" s="37" t="s">
        <v>109</v>
      </c>
      <c r="F34" s="37" t="s">
        <v>3811</v>
      </c>
      <c r="G34" s="37"/>
      <c r="H34" s="38">
        <v>11</v>
      </c>
    </row>
    <row r="35" spans="1:8" ht="14.5" x14ac:dyDescent="0.35">
      <c r="A35" s="49" t="s">
        <v>3802</v>
      </c>
      <c r="B35" s="49" t="s">
        <v>3810</v>
      </c>
      <c r="C35" s="48">
        <v>45869</v>
      </c>
      <c r="D35" s="37" t="s">
        <v>298</v>
      </c>
      <c r="E35" s="37" t="s">
        <v>109</v>
      </c>
      <c r="F35" s="37" t="s">
        <v>3811</v>
      </c>
      <c r="G35" s="37"/>
      <c r="H35" s="38">
        <v>11</v>
      </c>
    </row>
    <row r="36" spans="1:8" ht="14.5" x14ac:dyDescent="0.35">
      <c r="A36" s="49" t="s">
        <v>3802</v>
      </c>
      <c r="B36" s="49" t="s">
        <v>3810</v>
      </c>
      <c r="C36" s="48">
        <v>45869</v>
      </c>
      <c r="D36" s="37" t="s">
        <v>3782</v>
      </c>
      <c r="E36" s="37" t="s">
        <v>66</v>
      </c>
      <c r="F36" s="37" t="s">
        <v>3811</v>
      </c>
      <c r="G36" s="37"/>
      <c r="H36" s="38">
        <v>37</v>
      </c>
    </row>
    <row r="37" spans="1:8" ht="14.5" x14ac:dyDescent="0.35">
      <c r="A37" s="49" t="s">
        <v>3802</v>
      </c>
      <c r="B37" s="49" t="s">
        <v>3810</v>
      </c>
      <c r="C37" s="48">
        <v>45869</v>
      </c>
      <c r="D37" s="37" t="s">
        <v>726</v>
      </c>
      <c r="E37" s="37" t="s">
        <v>716</v>
      </c>
      <c r="F37" s="37" t="s">
        <v>3811</v>
      </c>
      <c r="G37" s="37"/>
      <c r="H37" s="38">
        <v>754.46</v>
      </c>
    </row>
    <row r="38" spans="1:8" ht="14.5" x14ac:dyDescent="0.35">
      <c r="A38" s="49" t="s">
        <v>3802</v>
      </c>
      <c r="B38" s="49" t="s">
        <v>3810</v>
      </c>
      <c r="C38" s="48">
        <v>45869</v>
      </c>
      <c r="D38" s="37" t="s">
        <v>729</v>
      </c>
      <c r="E38" s="37" t="s">
        <v>716</v>
      </c>
      <c r="F38" s="37" t="s">
        <v>3811</v>
      </c>
      <c r="G38" s="37"/>
      <c r="H38" s="38">
        <v>3038.35</v>
      </c>
    </row>
    <row r="39" spans="1:8" ht="14.5" x14ac:dyDescent="0.35">
      <c r="A39" s="49" t="s">
        <v>3802</v>
      </c>
      <c r="B39" s="49" t="s">
        <v>3810</v>
      </c>
      <c r="C39" s="48">
        <v>45869</v>
      </c>
      <c r="D39" s="37" t="s">
        <v>730</v>
      </c>
      <c r="E39" s="37" t="s">
        <v>716</v>
      </c>
      <c r="F39" s="37" t="s">
        <v>3811</v>
      </c>
      <c r="G39" s="37"/>
      <c r="H39" s="38">
        <v>3039</v>
      </c>
    </row>
    <row r="40" spans="1:8" ht="14.5" x14ac:dyDescent="0.35">
      <c r="A40" s="49" t="s">
        <v>3802</v>
      </c>
      <c r="B40" s="49" t="s">
        <v>3810</v>
      </c>
      <c r="C40" s="48">
        <v>45869</v>
      </c>
      <c r="D40" s="37" t="s">
        <v>68</v>
      </c>
      <c r="E40" s="37" t="s">
        <v>66</v>
      </c>
      <c r="F40" s="37" t="s">
        <v>3811</v>
      </c>
      <c r="G40" s="37"/>
      <c r="H40" s="38">
        <v>6125.98</v>
      </c>
    </row>
    <row r="41" spans="1:8" ht="14.5" x14ac:dyDescent="0.35">
      <c r="A41" s="49" t="s">
        <v>3802</v>
      </c>
      <c r="B41" s="49" t="s">
        <v>3810</v>
      </c>
      <c r="C41" s="48">
        <v>45869</v>
      </c>
      <c r="D41" s="37" t="s">
        <v>3787</v>
      </c>
      <c r="E41" s="37" t="s">
        <v>96</v>
      </c>
      <c r="F41" s="37" t="s">
        <v>3811</v>
      </c>
      <c r="G41" s="37"/>
      <c r="H41" s="38">
        <v>145.35</v>
      </c>
    </row>
    <row r="42" spans="1:8" ht="14.5" x14ac:dyDescent="0.35">
      <c r="A42" s="49" t="s">
        <v>3802</v>
      </c>
      <c r="B42" s="49" t="s">
        <v>3810</v>
      </c>
      <c r="C42" s="48">
        <v>45869</v>
      </c>
      <c r="D42" s="37" t="s">
        <v>3788</v>
      </c>
      <c r="E42" s="37" t="s">
        <v>698</v>
      </c>
      <c r="F42" s="37" t="s">
        <v>3811</v>
      </c>
      <c r="G42" s="37"/>
      <c r="H42" s="38">
        <v>496.99</v>
      </c>
    </row>
    <row r="43" spans="1:8" ht="14.5" x14ac:dyDescent="0.35">
      <c r="A43" s="49" t="s">
        <v>3802</v>
      </c>
      <c r="B43" s="49" t="s">
        <v>3810</v>
      </c>
      <c r="C43" s="48">
        <v>45869</v>
      </c>
      <c r="D43" s="37">
        <v>20250213</v>
      </c>
      <c r="E43" s="37" t="s">
        <v>17</v>
      </c>
      <c r="F43" s="37" t="s">
        <v>3811</v>
      </c>
      <c r="G43" s="37"/>
      <c r="H43" s="38">
        <v>278.5</v>
      </c>
    </row>
    <row r="44" spans="1:8" ht="14.5" x14ac:dyDescent="0.35">
      <c r="A44" s="49" t="s">
        <v>3802</v>
      </c>
      <c r="B44" s="49" t="s">
        <v>3810</v>
      </c>
      <c r="C44" s="48">
        <v>45869</v>
      </c>
      <c r="D44" s="37">
        <v>20250416</v>
      </c>
      <c r="E44" s="37" t="s">
        <v>17</v>
      </c>
      <c r="F44" s="37" t="s">
        <v>3811</v>
      </c>
      <c r="G44" s="37"/>
      <c r="H44" s="38">
        <v>5436.17</v>
      </c>
    </row>
    <row r="45" spans="1:8" ht="14.5" x14ac:dyDescent="0.35">
      <c r="A45" s="49" t="s">
        <v>3802</v>
      </c>
      <c r="B45" s="49" t="s">
        <v>3810</v>
      </c>
      <c r="C45" s="48">
        <v>45869</v>
      </c>
      <c r="D45" s="37" t="s">
        <v>69</v>
      </c>
      <c r="E45" s="37" t="s">
        <v>66</v>
      </c>
      <c r="F45" s="37" t="s">
        <v>3811</v>
      </c>
      <c r="G45" s="37"/>
      <c r="H45" s="38">
        <v>787</v>
      </c>
    </row>
    <row r="46" spans="1:8" ht="14.5" x14ac:dyDescent="0.35">
      <c r="A46" s="49" t="s">
        <v>3802</v>
      </c>
      <c r="B46" s="49" t="s">
        <v>3810</v>
      </c>
      <c r="C46" s="48">
        <v>45869</v>
      </c>
      <c r="D46" s="37" t="s">
        <v>3790</v>
      </c>
      <c r="E46" s="37" t="s">
        <v>34</v>
      </c>
      <c r="F46" s="37" t="s">
        <v>3811</v>
      </c>
      <c r="G46" s="37"/>
      <c r="H46" s="38">
        <v>976.92</v>
      </c>
    </row>
    <row r="47" spans="1:8" ht="14.5" x14ac:dyDescent="0.35">
      <c r="A47" s="49" t="s">
        <v>3802</v>
      </c>
      <c r="B47" s="49" t="s">
        <v>3810</v>
      </c>
      <c r="C47" s="48">
        <v>45869</v>
      </c>
      <c r="D47" s="37" t="s">
        <v>37</v>
      </c>
      <c r="E47" s="37" t="s">
        <v>34</v>
      </c>
      <c r="F47" s="37" t="s">
        <v>3811</v>
      </c>
      <c r="G47" s="37"/>
      <c r="H47" s="38">
        <v>977</v>
      </c>
    </row>
    <row r="48" spans="1:8" ht="14.5" x14ac:dyDescent="0.35">
      <c r="A48" s="49" t="s">
        <v>3802</v>
      </c>
      <c r="B48" s="49" t="s">
        <v>3810</v>
      </c>
      <c r="C48" s="48">
        <v>45869</v>
      </c>
      <c r="D48" s="37">
        <v>880</v>
      </c>
      <c r="E48" s="37" t="s">
        <v>790</v>
      </c>
      <c r="F48" s="37" t="s">
        <v>3811</v>
      </c>
      <c r="G48" s="37"/>
      <c r="H48" s="38">
        <v>5019.7199999999993</v>
      </c>
    </row>
    <row r="49" spans="1:8" ht="14.5" x14ac:dyDescent="0.35">
      <c r="A49" s="49" t="s">
        <v>3802</v>
      </c>
      <c r="B49" s="49" t="s">
        <v>3810</v>
      </c>
      <c r="C49" s="48">
        <v>45869</v>
      </c>
      <c r="D49" s="37" t="s">
        <v>724</v>
      </c>
      <c r="E49" s="37" t="s">
        <v>716</v>
      </c>
      <c r="F49" s="37" t="s">
        <v>3811</v>
      </c>
      <c r="G49" s="37"/>
      <c r="H49" s="38">
        <v>1907.6799999999998</v>
      </c>
    </row>
    <row r="50" spans="1:8" ht="14.5" x14ac:dyDescent="0.35">
      <c r="A50" s="49" t="s">
        <v>3802</v>
      </c>
      <c r="B50" s="49" t="s">
        <v>3810</v>
      </c>
      <c r="C50" s="48">
        <v>45869</v>
      </c>
      <c r="D50" s="37">
        <v>72500046</v>
      </c>
      <c r="E50" s="37" t="s">
        <v>882</v>
      </c>
      <c r="F50" s="37" t="s">
        <v>3811</v>
      </c>
      <c r="G50" s="37"/>
      <c r="H50" s="38">
        <v>30</v>
      </c>
    </row>
    <row r="51" spans="1:8" ht="14.5" x14ac:dyDescent="0.35">
      <c r="A51" s="49" t="s">
        <v>3802</v>
      </c>
      <c r="B51" s="49" t="s">
        <v>3810</v>
      </c>
      <c r="C51" s="48">
        <v>45869</v>
      </c>
      <c r="D51" s="37" t="s">
        <v>71</v>
      </c>
      <c r="E51" s="37" t="s">
        <v>66</v>
      </c>
      <c r="F51" s="37" t="s">
        <v>3811</v>
      </c>
      <c r="G51" s="37"/>
      <c r="H51" s="38">
        <v>786.65</v>
      </c>
    </row>
    <row r="52" spans="1:8" ht="14.5" x14ac:dyDescent="0.35">
      <c r="A52" s="49" t="s">
        <v>3802</v>
      </c>
      <c r="B52" s="49" t="s">
        <v>3810</v>
      </c>
      <c r="C52" s="48">
        <v>45869</v>
      </c>
      <c r="D52" s="37" t="s">
        <v>725</v>
      </c>
      <c r="E52" s="37" t="s">
        <v>716</v>
      </c>
      <c r="F52" s="37" t="s">
        <v>3811</v>
      </c>
      <c r="G52" s="37"/>
      <c r="H52" s="38">
        <v>2280</v>
      </c>
    </row>
    <row r="53" spans="1:8" ht="14.5" x14ac:dyDescent="0.35">
      <c r="A53" s="49" t="s">
        <v>3802</v>
      </c>
      <c r="B53" s="49" t="s">
        <v>3810</v>
      </c>
      <c r="C53" s="48">
        <v>45869</v>
      </c>
      <c r="D53" s="37" t="s">
        <v>70</v>
      </c>
      <c r="E53" s="37" t="s">
        <v>66</v>
      </c>
      <c r="F53" s="37" t="s">
        <v>3811</v>
      </c>
      <c r="G53" s="37"/>
      <c r="H53" s="38">
        <v>1572</v>
      </c>
    </row>
    <row r="54" spans="1:8" ht="14.5" x14ac:dyDescent="0.35">
      <c r="A54" s="49" t="s">
        <v>3802</v>
      </c>
      <c r="B54" s="49" t="s">
        <v>3810</v>
      </c>
      <c r="C54" s="48">
        <v>45869</v>
      </c>
      <c r="D54" s="37" t="s">
        <v>3792</v>
      </c>
      <c r="E54" s="37" t="s">
        <v>3791</v>
      </c>
      <c r="F54" s="37" t="s">
        <v>3811</v>
      </c>
      <c r="G54" s="37"/>
      <c r="H54" s="38">
        <v>1551.02</v>
      </c>
    </row>
    <row r="55" spans="1:8" ht="14.5" x14ac:dyDescent="0.35">
      <c r="A55" s="49" t="s">
        <v>3802</v>
      </c>
      <c r="B55" s="49" t="s">
        <v>3810</v>
      </c>
      <c r="C55" s="48">
        <v>45869</v>
      </c>
      <c r="D55" s="37" t="s">
        <v>3775</v>
      </c>
      <c r="E55" s="37" t="s">
        <v>3593</v>
      </c>
      <c r="F55" s="37" t="s">
        <v>3811</v>
      </c>
      <c r="G55" s="37"/>
      <c r="H55" s="38">
        <v>6580.78</v>
      </c>
    </row>
    <row r="56" spans="1:8" ht="14.5" x14ac:dyDescent="0.35">
      <c r="A56" s="49" t="s">
        <v>3802</v>
      </c>
      <c r="B56" s="49" t="s">
        <v>3810</v>
      </c>
      <c r="C56" s="48">
        <v>45869</v>
      </c>
      <c r="D56" s="37" t="s">
        <v>36</v>
      </c>
      <c r="E56" s="37" t="s">
        <v>34</v>
      </c>
      <c r="F56" s="37" t="s">
        <v>3811</v>
      </c>
      <c r="G56" s="37"/>
      <c r="H56" s="38">
        <v>1008</v>
      </c>
    </row>
    <row r="57" spans="1:8" ht="14.5" x14ac:dyDescent="0.35">
      <c r="A57" s="49" t="s">
        <v>3802</v>
      </c>
      <c r="B57" s="49" t="s">
        <v>3810</v>
      </c>
      <c r="C57" s="48">
        <v>45869</v>
      </c>
      <c r="D57" s="37" t="s">
        <v>41</v>
      </c>
      <c r="E57" s="37" t="s">
        <v>34</v>
      </c>
      <c r="F57" s="37" t="s">
        <v>3811</v>
      </c>
      <c r="G57" s="37"/>
      <c r="H57" s="38">
        <v>7356.52</v>
      </c>
    </row>
    <row r="58" spans="1:8" ht="14.5" x14ac:dyDescent="0.35">
      <c r="A58" s="49" t="s">
        <v>3802</v>
      </c>
      <c r="B58" s="49" t="s">
        <v>3810</v>
      </c>
      <c r="C58" s="48">
        <v>45869</v>
      </c>
      <c r="D58" s="37" t="s">
        <v>73</v>
      </c>
      <c r="E58" s="37" t="s">
        <v>66</v>
      </c>
      <c r="F58" s="37" t="s">
        <v>3811</v>
      </c>
      <c r="G58" s="37"/>
      <c r="H58" s="38">
        <v>786</v>
      </c>
    </row>
    <row r="59" spans="1:8" ht="14.5" x14ac:dyDescent="0.35">
      <c r="A59" s="49" t="s">
        <v>3802</v>
      </c>
      <c r="B59" s="49" t="s">
        <v>3810</v>
      </c>
      <c r="C59" s="48">
        <v>45869</v>
      </c>
      <c r="D59" s="37" t="s">
        <v>39</v>
      </c>
      <c r="E59" s="37" t="s">
        <v>34</v>
      </c>
      <c r="F59" s="37" t="s">
        <v>3811</v>
      </c>
      <c r="G59" s="37"/>
      <c r="H59" s="38">
        <v>2626.11</v>
      </c>
    </row>
    <row r="60" spans="1:8" ht="14.5" x14ac:dyDescent="0.35">
      <c r="A60" s="49" t="s">
        <v>3802</v>
      </c>
      <c r="B60" s="49" t="s">
        <v>3810</v>
      </c>
      <c r="C60" s="48">
        <v>45869</v>
      </c>
      <c r="D60" s="37" t="s">
        <v>45</v>
      </c>
      <c r="E60" s="37" t="s">
        <v>34</v>
      </c>
      <c r="F60" s="37" t="s">
        <v>3811</v>
      </c>
      <c r="G60" s="37"/>
      <c r="H60" s="38">
        <v>5640.08</v>
      </c>
    </row>
    <row r="61" spans="1:8" ht="14.5" x14ac:dyDescent="0.35">
      <c r="A61" s="49" t="s">
        <v>3802</v>
      </c>
      <c r="B61" s="49" t="s">
        <v>3810</v>
      </c>
      <c r="C61" s="48">
        <v>45869</v>
      </c>
      <c r="D61" s="37" t="s">
        <v>72</v>
      </c>
      <c r="E61" s="37" t="s">
        <v>66</v>
      </c>
      <c r="F61" s="37" t="s">
        <v>3811</v>
      </c>
      <c r="G61" s="37"/>
      <c r="H61" s="38">
        <v>786</v>
      </c>
    </row>
    <row r="62" spans="1:8" ht="14.5" x14ac:dyDescent="0.35">
      <c r="A62" s="49" t="s">
        <v>3802</v>
      </c>
      <c r="B62" s="49" t="s">
        <v>3810</v>
      </c>
      <c r="C62" s="48">
        <v>45869</v>
      </c>
      <c r="D62" s="37" t="s">
        <v>42</v>
      </c>
      <c r="E62" s="37" t="s">
        <v>34</v>
      </c>
      <c r="F62" s="37" t="s">
        <v>3811</v>
      </c>
      <c r="G62" s="37"/>
      <c r="H62" s="38">
        <v>3765.9</v>
      </c>
    </row>
    <row r="63" spans="1:8" ht="14.5" x14ac:dyDescent="0.35">
      <c r="A63" s="49" t="s">
        <v>3802</v>
      </c>
      <c r="B63" s="49" t="s">
        <v>3810</v>
      </c>
      <c r="C63" s="48">
        <v>45869</v>
      </c>
      <c r="D63" s="37" t="s">
        <v>44</v>
      </c>
      <c r="E63" s="37" t="s">
        <v>34</v>
      </c>
      <c r="F63" s="37" t="s">
        <v>3811</v>
      </c>
      <c r="G63" s="37"/>
      <c r="H63" s="38">
        <v>3765</v>
      </c>
    </row>
    <row r="64" spans="1:8" ht="14.5" x14ac:dyDescent="0.35">
      <c r="A64" s="49" t="s">
        <v>3802</v>
      </c>
      <c r="B64" s="49" t="s">
        <v>3810</v>
      </c>
      <c r="C64" s="48">
        <v>45869</v>
      </c>
      <c r="D64" s="37" t="s">
        <v>43</v>
      </c>
      <c r="E64" s="37" t="s">
        <v>34</v>
      </c>
      <c r="F64" s="37" t="s">
        <v>3811</v>
      </c>
      <c r="G64" s="37"/>
      <c r="H64" s="38">
        <v>3765</v>
      </c>
    </row>
    <row r="65" spans="1:8" ht="14.5" x14ac:dyDescent="0.35">
      <c r="A65" s="49" t="s">
        <v>3802</v>
      </c>
      <c r="B65" s="49" t="s">
        <v>3810</v>
      </c>
      <c r="C65" s="48">
        <v>45869</v>
      </c>
      <c r="D65" s="37" t="s">
        <v>38</v>
      </c>
      <c r="E65" s="37" t="s">
        <v>34</v>
      </c>
      <c r="F65" s="37" t="s">
        <v>3811</v>
      </c>
      <c r="G65" s="37"/>
      <c r="H65" s="38">
        <v>1927.05</v>
      </c>
    </row>
    <row r="66" spans="1:8" ht="14.5" x14ac:dyDescent="0.35">
      <c r="A66" s="49" t="s">
        <v>3802</v>
      </c>
      <c r="B66" s="49" t="s">
        <v>3810</v>
      </c>
      <c r="C66" s="48">
        <v>45869</v>
      </c>
      <c r="D66" s="37" t="s">
        <v>74</v>
      </c>
      <c r="E66" s="37" t="s">
        <v>66</v>
      </c>
      <c r="F66" s="37" t="s">
        <v>3811</v>
      </c>
      <c r="G66" s="37"/>
      <c r="H66" s="38">
        <v>786</v>
      </c>
    </row>
    <row r="67" spans="1:8" x14ac:dyDescent="0.3">
      <c r="E67" s="47"/>
      <c r="F67" s="47"/>
      <c r="G67" s="47"/>
      <c r="H67" s="4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54B5-33C5-42A2-A8EC-335B1ADBA476}">
  <dimension ref="A1:I29"/>
  <sheetViews>
    <sheetView topLeftCell="B3" workbookViewId="0">
      <selection activeCell="I4" sqref="I4"/>
    </sheetView>
  </sheetViews>
  <sheetFormatPr defaultRowHeight="14" x14ac:dyDescent="0.3"/>
  <cols>
    <col min="1" max="1" width="42" style="43" customWidth="1"/>
    <col min="2" max="2" width="26.83203125" style="43" customWidth="1"/>
    <col min="3" max="3" width="16.33203125" style="43" customWidth="1"/>
    <col min="4" max="4" width="18.9140625" style="43" customWidth="1"/>
    <col min="5" max="5" width="27.08203125" style="43" customWidth="1"/>
    <col min="6" max="6" width="27.33203125" style="43" customWidth="1"/>
    <col min="7" max="7" width="12.1640625" style="43" customWidth="1"/>
  </cols>
  <sheetData>
    <row r="1" spans="1:9" ht="14.5" x14ac:dyDescent="0.35">
      <c r="G1" s="56">
        <f>SUM(G4:G25)</f>
        <v>86444.78</v>
      </c>
      <c r="I1" s="43" t="s">
        <v>4028</v>
      </c>
    </row>
    <row r="2" spans="1:9" ht="14.5" x14ac:dyDescent="0.35">
      <c r="A2" s="57" t="s">
        <v>2635</v>
      </c>
      <c r="B2" s="57" t="s">
        <v>3580</v>
      </c>
      <c r="C2" s="50" t="s">
        <v>2545</v>
      </c>
      <c r="D2" s="50" t="s">
        <v>1</v>
      </c>
      <c r="E2" s="50" t="s">
        <v>3807</v>
      </c>
      <c r="F2" s="50" t="s">
        <v>3808</v>
      </c>
      <c r="G2" s="50"/>
      <c r="H2" s="51"/>
    </row>
    <row r="3" spans="1:9" ht="14.5" x14ac:dyDescent="0.35">
      <c r="A3" s="57" t="s">
        <v>3582</v>
      </c>
      <c r="B3" s="57" t="s">
        <v>3581</v>
      </c>
      <c r="C3" s="52"/>
      <c r="D3" s="17"/>
      <c r="G3" s="17"/>
    </row>
    <row r="4" spans="1:9" ht="14.5" x14ac:dyDescent="0.35">
      <c r="A4" s="49" t="s">
        <v>3802</v>
      </c>
      <c r="B4" s="49" t="s">
        <v>3810</v>
      </c>
      <c r="C4" s="58">
        <v>45894</v>
      </c>
      <c r="D4" s="37">
        <v>41279</v>
      </c>
      <c r="E4" t="s">
        <v>923</v>
      </c>
      <c r="F4" s="37" t="s">
        <v>4027</v>
      </c>
      <c r="G4" s="38">
        <v>17342</v>
      </c>
    </row>
    <row r="5" spans="1:9" ht="14.5" x14ac:dyDescent="0.35">
      <c r="A5" s="49" t="s">
        <v>3802</v>
      </c>
      <c r="B5" s="49" t="s">
        <v>3810</v>
      </c>
      <c r="C5" s="58">
        <v>45895</v>
      </c>
      <c r="D5" s="37">
        <v>20250414</v>
      </c>
      <c r="E5" t="s">
        <v>17</v>
      </c>
      <c r="F5" s="37" t="s">
        <v>4027</v>
      </c>
      <c r="G5" s="38">
        <v>3785.09</v>
      </c>
    </row>
    <row r="6" spans="1:9" ht="14.5" x14ac:dyDescent="0.35">
      <c r="A6" s="49" t="s">
        <v>3802</v>
      </c>
      <c r="B6" s="49" t="s">
        <v>3810</v>
      </c>
      <c r="C6" s="58">
        <v>45895</v>
      </c>
      <c r="D6" s="37" t="s">
        <v>40</v>
      </c>
      <c r="E6" t="s">
        <v>34</v>
      </c>
      <c r="F6" s="37" t="s">
        <v>4027</v>
      </c>
      <c r="G6" s="38">
        <v>4162</v>
      </c>
    </row>
    <row r="7" spans="1:9" ht="14.5" x14ac:dyDescent="0.35">
      <c r="A7" s="49" t="s">
        <v>3802</v>
      </c>
      <c r="B7" s="49" t="s">
        <v>3810</v>
      </c>
      <c r="C7" s="58">
        <v>45895</v>
      </c>
      <c r="D7" s="37" t="s">
        <v>40</v>
      </c>
      <c r="E7" t="s">
        <v>34</v>
      </c>
      <c r="F7" s="37" t="s">
        <v>4027</v>
      </c>
      <c r="G7" s="38">
        <v>4528.0200000000004</v>
      </c>
    </row>
    <row r="8" spans="1:9" ht="14.5" x14ac:dyDescent="0.35">
      <c r="A8" s="49" t="s">
        <v>3802</v>
      </c>
      <c r="B8" s="49" t="s">
        <v>3810</v>
      </c>
      <c r="C8" s="58">
        <v>45895</v>
      </c>
      <c r="D8" s="37" t="s">
        <v>40</v>
      </c>
      <c r="E8" t="s">
        <v>34</v>
      </c>
      <c r="F8" s="37" t="s">
        <v>4027</v>
      </c>
      <c r="G8" s="38">
        <v>3271</v>
      </c>
    </row>
    <row r="9" spans="1:9" ht="14.5" x14ac:dyDescent="0.35">
      <c r="A9" s="49" t="s">
        <v>3802</v>
      </c>
      <c r="B9" s="49" t="s">
        <v>3810</v>
      </c>
      <c r="C9" s="58">
        <v>45895</v>
      </c>
      <c r="D9" s="37" t="s">
        <v>731</v>
      </c>
      <c r="E9" t="s">
        <v>716</v>
      </c>
      <c r="F9" s="37" t="s">
        <v>4027</v>
      </c>
      <c r="G9" s="38">
        <v>10500.4</v>
      </c>
    </row>
    <row r="10" spans="1:9" ht="14.5" x14ac:dyDescent="0.35">
      <c r="A10" s="49" t="s">
        <v>3802</v>
      </c>
      <c r="B10" s="49" t="s">
        <v>3810</v>
      </c>
      <c r="C10" s="58">
        <v>45895</v>
      </c>
      <c r="D10" s="37" t="s">
        <v>47</v>
      </c>
      <c r="E10" t="s">
        <v>34</v>
      </c>
      <c r="F10" s="37" t="s">
        <v>4027</v>
      </c>
      <c r="G10" s="38">
        <v>2527.1799999999998</v>
      </c>
    </row>
    <row r="11" spans="1:9" ht="14.5" x14ac:dyDescent="0.35">
      <c r="A11" s="49" t="s">
        <v>3802</v>
      </c>
      <c r="B11" s="49" t="s">
        <v>3810</v>
      </c>
      <c r="C11" s="58">
        <v>45895</v>
      </c>
      <c r="D11" s="37" t="s">
        <v>47</v>
      </c>
      <c r="E11" t="s">
        <v>34</v>
      </c>
      <c r="F11" s="37" t="s">
        <v>4027</v>
      </c>
      <c r="G11" s="38">
        <v>2527</v>
      </c>
    </row>
    <row r="12" spans="1:9" ht="14.5" x14ac:dyDescent="0.35">
      <c r="A12" s="49" t="s">
        <v>3802</v>
      </c>
      <c r="B12" s="49" t="s">
        <v>3810</v>
      </c>
      <c r="C12" s="58">
        <v>45894</v>
      </c>
      <c r="D12" s="37" t="s">
        <v>3886</v>
      </c>
      <c r="E12" t="s">
        <v>96</v>
      </c>
      <c r="F12" s="37" t="s">
        <v>4027</v>
      </c>
      <c r="G12" s="38">
        <v>669</v>
      </c>
    </row>
    <row r="13" spans="1:9" ht="14.5" x14ac:dyDescent="0.35">
      <c r="A13" s="49" t="s">
        <v>3802</v>
      </c>
      <c r="B13" s="49" t="s">
        <v>3810</v>
      </c>
      <c r="C13" s="58">
        <v>45894</v>
      </c>
      <c r="D13" s="37" t="s">
        <v>3886</v>
      </c>
      <c r="E13" t="s">
        <v>96</v>
      </c>
      <c r="F13" s="37" t="s">
        <v>4027</v>
      </c>
      <c r="G13" s="38">
        <v>670</v>
      </c>
    </row>
    <row r="14" spans="1:9" ht="14.5" x14ac:dyDescent="0.35">
      <c r="A14" s="49" t="s">
        <v>3802</v>
      </c>
      <c r="B14" s="49" t="s">
        <v>3810</v>
      </c>
      <c r="C14" s="58">
        <v>45894</v>
      </c>
      <c r="D14" s="37" t="s">
        <v>3886</v>
      </c>
      <c r="E14" t="s">
        <v>96</v>
      </c>
      <c r="F14" s="37" t="s">
        <v>4027</v>
      </c>
      <c r="G14" s="38">
        <v>670</v>
      </c>
    </row>
    <row r="15" spans="1:9" ht="14.5" x14ac:dyDescent="0.35">
      <c r="A15" s="49" t="s">
        <v>3802</v>
      </c>
      <c r="B15" s="49" t="s">
        <v>3810</v>
      </c>
      <c r="C15" s="58">
        <v>45894</v>
      </c>
      <c r="D15" s="37" t="s">
        <v>3886</v>
      </c>
      <c r="E15" t="s">
        <v>96</v>
      </c>
      <c r="F15" s="37" t="s">
        <v>4027</v>
      </c>
      <c r="G15" s="38">
        <v>669.86</v>
      </c>
    </row>
    <row r="16" spans="1:9" ht="14.5" x14ac:dyDescent="0.35">
      <c r="A16" s="49" t="s">
        <v>3802</v>
      </c>
      <c r="B16" s="49" t="s">
        <v>3828</v>
      </c>
      <c r="C16" s="58">
        <v>45895</v>
      </c>
      <c r="D16" s="37" t="s">
        <v>3983</v>
      </c>
      <c r="E16" t="s">
        <v>96</v>
      </c>
      <c r="F16" s="37" t="s">
        <v>4027</v>
      </c>
      <c r="G16" s="38">
        <v>108.55</v>
      </c>
    </row>
    <row r="17" spans="1:7" ht="14.5" x14ac:dyDescent="0.35">
      <c r="A17" s="49" t="s">
        <v>3802</v>
      </c>
      <c r="B17" s="49" t="s">
        <v>3810</v>
      </c>
      <c r="C17" s="58">
        <v>45895</v>
      </c>
      <c r="D17" s="37" t="s">
        <v>98</v>
      </c>
      <c r="E17" t="s">
        <v>96</v>
      </c>
      <c r="F17" s="37" t="s">
        <v>4027</v>
      </c>
      <c r="G17" s="38">
        <v>1825.62</v>
      </c>
    </row>
    <row r="18" spans="1:7" ht="14.5" x14ac:dyDescent="0.35">
      <c r="A18" s="49" t="s">
        <v>3802</v>
      </c>
      <c r="B18" s="49" t="s">
        <v>3810</v>
      </c>
      <c r="C18" s="58">
        <v>45895</v>
      </c>
      <c r="D18" s="37" t="s">
        <v>98</v>
      </c>
      <c r="E18" t="s">
        <v>96</v>
      </c>
      <c r="F18" s="37" t="s">
        <v>4027</v>
      </c>
      <c r="G18" s="38">
        <v>1825</v>
      </c>
    </row>
    <row r="19" spans="1:7" ht="14.5" x14ac:dyDescent="0.35">
      <c r="A19" s="49" t="s">
        <v>3802</v>
      </c>
      <c r="B19" s="49" t="s">
        <v>3810</v>
      </c>
      <c r="C19" s="58">
        <v>45894</v>
      </c>
      <c r="D19" s="37" t="s">
        <v>785</v>
      </c>
      <c r="E19" t="s">
        <v>782</v>
      </c>
      <c r="F19" s="37" t="s">
        <v>4027</v>
      </c>
      <c r="G19" s="38">
        <v>17342.16</v>
      </c>
    </row>
    <row r="20" spans="1:7" ht="14.5" x14ac:dyDescent="0.35">
      <c r="A20" s="49" t="s">
        <v>3802</v>
      </c>
      <c r="B20" s="49" t="s">
        <v>3810</v>
      </c>
      <c r="C20" s="58">
        <v>45895</v>
      </c>
      <c r="D20" s="37" t="s">
        <v>3655</v>
      </c>
      <c r="E20" t="s">
        <v>803</v>
      </c>
      <c r="F20" s="37" t="s">
        <v>4027</v>
      </c>
      <c r="G20" s="38">
        <v>78.08</v>
      </c>
    </row>
    <row r="21" spans="1:7" ht="14.5" x14ac:dyDescent="0.35">
      <c r="A21" s="49" t="s">
        <v>3802</v>
      </c>
      <c r="B21" s="49" t="s">
        <v>3810</v>
      </c>
      <c r="C21" s="58">
        <v>45895</v>
      </c>
      <c r="D21" s="37" t="s">
        <v>3980</v>
      </c>
      <c r="E21" t="s">
        <v>3929</v>
      </c>
      <c r="F21" s="37" t="s">
        <v>4027</v>
      </c>
      <c r="G21" s="38">
        <v>3625</v>
      </c>
    </row>
    <row r="22" spans="1:7" ht="14.5" x14ac:dyDescent="0.35">
      <c r="A22" s="49" t="s">
        <v>3802</v>
      </c>
      <c r="B22" s="49" t="s">
        <v>3810</v>
      </c>
      <c r="C22" s="58">
        <v>45895</v>
      </c>
      <c r="D22" s="37" t="s">
        <v>3980</v>
      </c>
      <c r="E22" t="s">
        <v>3929</v>
      </c>
      <c r="F22" s="37" t="s">
        <v>4027</v>
      </c>
      <c r="G22" s="38">
        <v>3624.25</v>
      </c>
    </row>
    <row r="23" spans="1:7" ht="14.5" x14ac:dyDescent="0.35">
      <c r="A23" s="49" t="s">
        <v>3802</v>
      </c>
      <c r="B23" s="49" t="s">
        <v>3810</v>
      </c>
      <c r="C23" s="58">
        <v>45894</v>
      </c>
      <c r="D23" s="37" t="s">
        <v>75</v>
      </c>
      <c r="E23" t="s">
        <v>66</v>
      </c>
      <c r="F23" s="37" t="s">
        <v>4027</v>
      </c>
      <c r="G23" s="38">
        <v>2599.9499999999998</v>
      </c>
    </row>
    <row r="24" spans="1:7" ht="14.5" x14ac:dyDescent="0.35">
      <c r="A24" s="49" t="s">
        <v>3802</v>
      </c>
      <c r="B24" s="49" t="s">
        <v>3810</v>
      </c>
      <c r="C24" s="58">
        <v>45895</v>
      </c>
      <c r="D24" s="37" t="s">
        <v>76</v>
      </c>
      <c r="E24" t="s">
        <v>66</v>
      </c>
      <c r="F24" s="37" t="s">
        <v>4027</v>
      </c>
      <c r="G24" s="38">
        <v>804.23</v>
      </c>
    </row>
    <row r="25" spans="1:7" ht="14.5" x14ac:dyDescent="0.35">
      <c r="A25" s="49" t="s">
        <v>3802</v>
      </c>
      <c r="B25" s="49" t="s">
        <v>3810</v>
      </c>
      <c r="C25" s="58">
        <v>45895</v>
      </c>
      <c r="D25" s="37" t="s">
        <v>3594</v>
      </c>
      <c r="E25" t="s">
        <v>3593</v>
      </c>
      <c r="F25" s="37" t="s">
        <v>4027</v>
      </c>
      <c r="G25" s="38">
        <v>3290.39</v>
      </c>
    </row>
    <row r="26" spans="1:7" ht="14.5" x14ac:dyDescent="0.35">
      <c r="G26" s="38"/>
    </row>
    <row r="27" spans="1:7" ht="14.5" x14ac:dyDescent="0.35">
      <c r="G27" s="38"/>
    </row>
    <row r="28" spans="1:7" ht="14.5" x14ac:dyDescent="0.35">
      <c r="G28" s="38"/>
    </row>
    <row r="29" spans="1:7" ht="14.5" x14ac:dyDescent="0.35">
      <c r="G29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0_June 30 25 revised AP import </vt:lpstr>
      <vt:lpstr>1_June 30 25 AP import from sps</vt:lpstr>
      <vt:lpstr>2_June 30 25 AR Import from SPS</vt:lpstr>
      <vt:lpstr>3_July 25 Revenue</vt:lpstr>
      <vt:lpstr>3_July 25 Revenue modified</vt:lpstr>
      <vt:lpstr>4_Aug 25 Revenue</vt:lpstr>
      <vt:lpstr>4_Aug 25 Revenue modified</vt:lpstr>
      <vt:lpstr>5_July 25 COGS</vt:lpstr>
      <vt:lpstr>6_Aug 25 COGS </vt:lpstr>
      <vt:lpstr>6_Aug 25 COGS  modified</vt:lpstr>
      <vt:lpstr>7_July 25 Customs clearence</vt:lpstr>
      <vt:lpstr>8_Aug 25 Customs clearence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Admin</cp:lastModifiedBy>
  <dcterms:created xsi:type="dcterms:W3CDTF">2026-01-20T03:39:15Z</dcterms:created>
  <dcterms:modified xsi:type="dcterms:W3CDTF">2026-03-12T06:41:53Z</dcterms:modified>
</cp:coreProperties>
</file>