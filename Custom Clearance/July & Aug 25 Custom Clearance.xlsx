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raniti Vicentia\Custom Clearance\"/>
    </mc:Choice>
  </mc:AlternateContent>
  <xr:revisionPtr revIDLastSave="0" documentId="13_ncr:1_{C10F313F-B6B3-424F-B865-D0A57566EAA6}" xr6:coauthVersionLast="47" xr6:coauthVersionMax="47" xr10:uidLastSave="{00000000-0000-0000-0000-000000000000}"/>
  <bookViews>
    <workbookView xWindow="-110" yWindow="-110" windowWidth="19420" windowHeight="10300" firstSheet="3" activeTab="4" xr2:uid="{2C6A1756-7F53-4AB1-B227-DC633C164BAF}"/>
  </bookViews>
  <sheets>
    <sheet name="7_July 25 Customs clearence" sheetId="1" r:id="rId1"/>
    <sheet name="8_Aug 25 Customs clearence " sheetId="2" r:id="rId2"/>
    <sheet name="July custom working file" sheetId="4" r:id="rId3"/>
    <sheet name="Sheet5" sheetId="5" r:id="rId4"/>
    <sheet name="AUG Custom Clearance- working" sheetId="6" r:id="rId5"/>
  </sheets>
  <externalReferences>
    <externalReference r:id="rId6"/>
  </externalReferences>
  <definedNames>
    <definedName name="_xlnm._FilterDatabase" localSheetId="2" hidden="1">'July custom working file'!$B$1:$N$127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5" i="6" l="1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2" i="4"/>
  <c r="G1" i="2"/>
</calcChain>
</file>

<file path=xl/sharedStrings.xml><?xml version="1.0" encoding="utf-8"?>
<sst xmlns="http://schemas.openxmlformats.org/spreadsheetml/2006/main" count="1346" uniqueCount="177">
  <si>
    <t>Debit</t>
  </si>
  <si>
    <t xml:space="preserve">Credit </t>
  </si>
  <si>
    <t>Date</t>
  </si>
  <si>
    <t>Invoice #</t>
  </si>
  <si>
    <t>Vendor</t>
  </si>
  <si>
    <t>Decription</t>
  </si>
  <si>
    <t>Account#</t>
  </si>
  <si>
    <t>Account #</t>
  </si>
  <si>
    <t>A20001 - Accounts Payable Suppliers &amp; Vendors (New)</t>
  </si>
  <si>
    <t>A50003 - Customs Clearance (New)</t>
  </si>
  <si>
    <t>2024-FE-0000421, 12</t>
  </si>
  <si>
    <t>GIBAM SHOPS SPA</t>
  </si>
  <si>
    <t>customs clearence, July 25 in SPS</t>
  </si>
  <si>
    <t>2025-FE-0000020</t>
  </si>
  <si>
    <t>22530781-E</t>
  </si>
  <si>
    <t>Fama</t>
  </si>
  <si>
    <t>2025-FE-0000019</t>
  </si>
  <si>
    <t>2025-FE-0000021</t>
  </si>
  <si>
    <t>2025-FE-0000013</t>
  </si>
  <si>
    <t>2025-FE-0000014</t>
  </si>
  <si>
    <t>2025-FE-0000015</t>
  </si>
  <si>
    <t>AN CUONG WOOD -WORKING JOINT STOCK COMPANY</t>
  </si>
  <si>
    <t>2025-FE-0000017</t>
  </si>
  <si>
    <t>22530968-E</t>
  </si>
  <si>
    <t>2025-FE-0000018</t>
  </si>
  <si>
    <t>INV-1277</t>
  </si>
  <si>
    <t>Smink Studio</t>
  </si>
  <si>
    <t>2025-FE-0000023</t>
  </si>
  <si>
    <t>22532283-E</t>
  </si>
  <si>
    <t>GV2025008</t>
  </si>
  <si>
    <t>Cambodian Zulite Stone Co., Ltd.</t>
  </si>
  <si>
    <t>Pantarei</t>
  </si>
  <si>
    <t>2025-FE-0000031</t>
  </si>
  <si>
    <t>GV2024078</t>
  </si>
  <si>
    <t>GV2024100</t>
  </si>
  <si>
    <t>2025-FE-0000034</t>
  </si>
  <si>
    <t>2025-FE-0000032</t>
  </si>
  <si>
    <t>GV2025003</t>
  </si>
  <si>
    <t>PIERMARIA NEW FORM SRL</t>
  </si>
  <si>
    <t>GV2025002</t>
  </si>
  <si>
    <t>2025-FE-0000040</t>
  </si>
  <si>
    <t>2025-FE-0000041</t>
  </si>
  <si>
    <t>GV2025005</t>
  </si>
  <si>
    <t>7302/VE</t>
  </si>
  <si>
    <t>Mirage Granito Ceramico S.p.A.</t>
  </si>
  <si>
    <t>15341/VE</t>
  </si>
  <si>
    <t>15364/VE</t>
  </si>
  <si>
    <t>GV2024001</t>
  </si>
  <si>
    <t>22531839-E</t>
  </si>
  <si>
    <t>MMG/24-25/12</t>
  </si>
  <si>
    <t>MASOMEX GLOBAL</t>
  </si>
  <si>
    <t>GV2024100-Balance</t>
  </si>
  <si>
    <t>1297/VE</t>
  </si>
  <si>
    <t>ATLAS CONCORDE S.p.A</t>
  </si>
  <si>
    <t>9662/VE</t>
  </si>
  <si>
    <t>Oriental Weavers International Egypt</t>
  </si>
  <si>
    <t>7130/VE</t>
  </si>
  <si>
    <t>TM Leader Contract</t>
  </si>
  <si>
    <t>GV2025007</t>
  </si>
  <si>
    <t>7266/VE</t>
  </si>
  <si>
    <t>GV2025003-Balance</t>
  </si>
  <si>
    <t>GTB2025000000209</t>
  </si>
  <si>
    <t>AGT AGAC SAN VE TIC A.S.</t>
  </si>
  <si>
    <t>INV-GV-01-02-25</t>
  </si>
  <si>
    <t>AMY ACT CO., LTD</t>
  </si>
  <si>
    <t>9197/VE</t>
  </si>
  <si>
    <t>16430/VE</t>
  </si>
  <si>
    <t>GV2025010</t>
  </si>
  <si>
    <t>12285/VE</t>
  </si>
  <si>
    <t>20698/VE</t>
  </si>
  <si>
    <t>GV2025009</t>
  </si>
  <si>
    <t>19718/VE</t>
  </si>
  <si>
    <t>19839/VE</t>
  </si>
  <si>
    <t>19814/VE</t>
  </si>
  <si>
    <t>10039/VE</t>
  </si>
  <si>
    <t>GV2025011</t>
  </si>
  <si>
    <t>Green agrees to SPS income statement</t>
  </si>
  <si>
    <t>WOW USA, Inc.</t>
  </si>
  <si>
    <t>Aug 25 customs clerarence in netsuite</t>
  </si>
  <si>
    <t>14086/VE</t>
  </si>
  <si>
    <t>19542/VE</t>
  </si>
  <si>
    <t>22487/VE</t>
  </si>
  <si>
    <t>22532306-E</t>
  </si>
  <si>
    <t>22532939-E</t>
  </si>
  <si>
    <t>22533263-E</t>
  </si>
  <si>
    <t>E/201</t>
  </si>
  <si>
    <t>Natucer Ceramica</t>
  </si>
  <si>
    <t>EXP2024000000498</t>
  </si>
  <si>
    <t>Papatya</t>
  </si>
  <si>
    <t>FT 1/36203</t>
  </si>
  <si>
    <t>JMS / MILLENIUM BCP</t>
  </si>
  <si>
    <t>GV2025014</t>
  </si>
  <si>
    <t>INV-HE.05-02-03-25</t>
  </si>
  <si>
    <t>SL NO.</t>
  </si>
  <si>
    <t>Debit Account#</t>
  </si>
  <si>
    <t>Credit Account #</t>
  </si>
  <si>
    <t>Debit Amt</t>
  </si>
  <si>
    <t>Credit Amt</t>
  </si>
  <si>
    <t>Atlas Concorde</t>
  </si>
  <si>
    <t>AGTAGAC</t>
  </si>
  <si>
    <t>AMY Building Material Investments</t>
  </si>
  <si>
    <t>An Cuong Wood-Working</t>
  </si>
  <si>
    <t>Fama Sofas S.L.U</t>
  </si>
  <si>
    <t>MirageGranitoCeramico S.p.A</t>
  </si>
  <si>
    <t>Pantarei S.R.L</t>
  </si>
  <si>
    <t>SminkSt</t>
  </si>
  <si>
    <t>TMLeade</t>
  </si>
  <si>
    <t>Vendor ID</t>
  </si>
  <si>
    <t xml:space="preserve"> Acc ID</t>
  </si>
  <si>
    <t>External ID</t>
  </si>
  <si>
    <t>CUSTOM-2024-FE-0000421, 12</t>
  </si>
  <si>
    <t>CUSTOM-2025-FE-0000020</t>
  </si>
  <si>
    <t>CUSTOM-22530781-E</t>
  </si>
  <si>
    <t>CUSTOM-2025-FE-0000019</t>
  </si>
  <si>
    <t>CUSTOM-2025-FE-0000021</t>
  </si>
  <si>
    <t>CUSTOM-2025-FE-0000013</t>
  </si>
  <si>
    <t>CUSTOM-2025-FE-0000014</t>
  </si>
  <si>
    <t>CUSTOM-2025-FE-0000015</t>
  </si>
  <si>
    <t>CUSTOM-20250209</t>
  </si>
  <si>
    <t>CUSTOM-20250180</t>
  </si>
  <si>
    <t>CUSTOM-2025-FE-0000017</t>
  </si>
  <si>
    <t>CUSTOM-22530968-E</t>
  </si>
  <si>
    <t>CUSTOM-2025-FE-0000018</t>
  </si>
  <si>
    <t>CUSTOM-INV-1277</t>
  </si>
  <si>
    <t>CUSTOM-2025-FE-0000023</t>
  </si>
  <si>
    <t>CUSTOM-20250179</t>
  </si>
  <si>
    <t>CUSTOM-22532283-E</t>
  </si>
  <si>
    <t>CUSTOM-GV2025008</t>
  </si>
  <si>
    <t>CUSTOM-9</t>
  </si>
  <si>
    <t>CUSTOM-2025-FE-0000031</t>
  </si>
  <si>
    <t>CUSTOM-GV2024078</t>
  </si>
  <si>
    <t>CUSTOM-GV2024100</t>
  </si>
  <si>
    <t>CUSTOM-20250263</t>
  </si>
  <si>
    <t>CUSTOM-20250275</t>
  </si>
  <si>
    <t>CUSTOM-2025-FE-0000034</t>
  </si>
  <si>
    <t>CUSTOM-2025-FE-0000032</t>
  </si>
  <si>
    <t>CUSTOM-20250316</t>
  </si>
  <si>
    <t>CUSTOM-GV2025003</t>
  </si>
  <si>
    <t>CUSTOM-28</t>
  </si>
  <si>
    <t>CUSTOM-GV2025002</t>
  </si>
  <si>
    <t>CUSTOM-2025-FE-0000040</t>
  </si>
  <si>
    <t>CUSTOM-2025-FE-0000041</t>
  </si>
  <si>
    <t>CUSTOM-GV2025005</t>
  </si>
  <si>
    <t>CUSTOM-7302/VE</t>
  </si>
  <si>
    <t>CUSTOM-15341/VE</t>
  </si>
  <si>
    <t>CUSTOM-15364/VE</t>
  </si>
  <si>
    <t>CUSTOM-GV2024001</t>
  </si>
  <si>
    <t>CUSTOM-22531839-E</t>
  </si>
  <si>
    <t>CUSTOM-MMG/24-25/12</t>
  </si>
  <si>
    <t>CUSTOM-20250213</t>
  </si>
  <si>
    <t>CUSTOM-20250416</t>
  </si>
  <si>
    <t>CUSTOM-GV2024100-Balance</t>
  </si>
  <si>
    <t>CUSTOM-1297/VE</t>
  </si>
  <si>
    <t>CUSTOM-9662/VE</t>
  </si>
  <si>
    <t>CUSTOM-880</t>
  </si>
  <si>
    <t>CUSTOM-7130/VE</t>
  </si>
  <si>
    <t>CUSTOM-72500046</t>
  </si>
  <si>
    <t>CUSTOM-GV2025007</t>
  </si>
  <si>
    <t>CUSTOM-7266/VE</t>
  </si>
  <si>
    <t>CUSTOM-GV2025003-Balance</t>
  </si>
  <si>
    <t>CUSTOM-GTB2025000000209</t>
  </si>
  <si>
    <t>CUSTOM-INV-GV-01-02-25</t>
  </si>
  <si>
    <t>CUSTOM-9197/VE</t>
  </si>
  <si>
    <t>CUSTOM-16430/VE</t>
  </si>
  <si>
    <t>CUSTOM-GV2025010</t>
  </si>
  <si>
    <t>CUSTOM-12285/VE</t>
  </si>
  <si>
    <t>CUSTOM-20698/VE</t>
  </si>
  <si>
    <t>CUSTOM-GV2025009</t>
  </si>
  <si>
    <t>CUSTOM-19718/VE</t>
  </si>
  <si>
    <t>CUSTOM-19839/VE</t>
  </si>
  <si>
    <t>CUSTOM-19814/VE</t>
  </si>
  <si>
    <t>CUSTOM-10039/VE</t>
  </si>
  <si>
    <t>CUSTOM-GV2025011</t>
  </si>
  <si>
    <t>Sl No.</t>
  </si>
  <si>
    <t>Account ID</t>
  </si>
  <si>
    <t>Natucer Ceramica Natural</t>
  </si>
  <si>
    <t>JMSMILL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</si>
</sst>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&quot;$&quot;#,##0.00"/>
    <numFmt numFmtId="166" formatCode="mm\/dd\/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  <font>
      <sz val="8"/>
      <name val="Arial"/>
      <family val="2"/>
    </font>
    <font>
      <sz val="11"/>
      <color indexed="8"/>
      <name val="Calibri"/>
      <family val="2"/>
      <scheme val="minor"/>
    </font>
    <font>
      <sz val="11"/>
      <name val="Arial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6">
    <xf numFmtId="0" fontId="0" fillId="0" borderId="0" xfId="0"/>
    <xf numFmtId="164" fontId="3" fillId="0" borderId="0" xfId="0" applyNumberFormat="1" applyFont="1" applyAlignment="1">
      <alignment horizontal="center"/>
    </xf>
    <xf numFmtId="164" fontId="3" fillId="0" borderId="0" xfId="0" applyNumberFormat="1" applyFont="1"/>
    <xf numFmtId="14" fontId="2" fillId="0" borderId="0" xfId="1" applyNumberFormat="1" applyFont="1"/>
    <xf numFmtId="0" fontId="4" fillId="0" borderId="0" xfId="0" applyFont="1"/>
    <xf numFmtId="0" fontId="6" fillId="0" borderId="0" xfId="2" applyFont="1" applyAlignment="1">
      <alignment horizontal="left"/>
    </xf>
    <xf numFmtId="14" fontId="1" fillId="0" borderId="0" xfId="1" applyNumberFormat="1"/>
    <xf numFmtId="0" fontId="3" fillId="0" borderId="0" xfId="0" applyFont="1"/>
    <xf numFmtId="0" fontId="7" fillId="0" borderId="0" xfId="0" applyFont="1"/>
    <xf numFmtId="165" fontId="3" fillId="2" borderId="0" xfId="0" applyNumberFormat="1" applyFont="1" applyFill="1"/>
    <xf numFmtId="0" fontId="1" fillId="0" borderId="0" xfId="1" applyAlignment="1">
      <alignment horizontal="center"/>
    </xf>
    <xf numFmtId="14" fontId="0" fillId="0" borderId="0" xfId="0" applyNumberFormat="1" applyAlignment="1">
      <alignment wrapText="1"/>
    </xf>
    <xf numFmtId="165" fontId="3" fillId="0" borderId="0" xfId="0" applyNumberFormat="1" applyFont="1"/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6" fontId="1" fillId="0" borderId="0" xfId="1" applyNumberFormat="1" applyAlignment="1">
      <alignment horizontal="left"/>
    </xf>
    <xf numFmtId="0" fontId="2" fillId="0" borderId="0" xfId="0" applyFont="1"/>
    <xf numFmtId="164" fontId="8" fillId="0" borderId="0" xfId="0" applyNumberFormat="1" applyFont="1" applyAlignment="1">
      <alignment horizontal="center"/>
    </xf>
    <xf numFmtId="164" fontId="8" fillId="0" borderId="0" xfId="0" applyNumberFormat="1" applyFont="1"/>
    <xf numFmtId="164" fontId="8" fillId="0" borderId="0" xfId="0" applyNumberFormat="1" applyFont="1" applyAlignment="1">
      <alignment horizontal="left"/>
    </xf>
    <xf numFmtId="0" fontId="8" fillId="0" borderId="0" xfId="0" applyFont="1"/>
    <xf numFmtId="2" fontId="8" fillId="0" borderId="0" xfId="0" applyNumberFormat="1" applyFont="1"/>
    <xf numFmtId="2" fontId="2" fillId="0" borderId="0" xfId="1" applyNumberFormat="1" applyFont="1" applyAlignment="1">
      <alignment horizontal="center"/>
    </xf>
    <xf numFmtId="2" fontId="3" fillId="0" borderId="0" xfId="0" applyNumberFormat="1" applyFont="1"/>
    <xf numFmtId="2" fontId="0" fillId="0" borderId="0" xfId="0" applyNumberFormat="1"/>
    <xf numFmtId="2" fontId="7" fillId="0" borderId="0" xfId="0" applyNumberFormat="1" applyFont="1"/>
  </cellXfs>
  <cellStyles count="3">
    <cellStyle name="Normal" xfId="0" builtinId="0"/>
    <cellStyle name="Normal 2" xfId="1" xr:uid="{5640DD32-55C9-46B6-AF79-CE09F692AAF0}"/>
    <cellStyle name="Normal 6" xfId="2" xr:uid="{82C21200-61B7-480A-A1AA-0823C57E49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Vendors805.xls" TargetMode="External"/><Relationship Id="rId2" Type="http://schemas.openxmlformats.org/officeDocument/2006/relationships/externalLinkPath" Target="file:///C:\Users\Admin\Downloads\Vendors805.xls" TargetMode="External"/><Relationship Id="rId1" Type="http://schemas.openxmlformats.org/officeDocument/2006/relationships/externalLinkPath" Target="/Users/Admin/Downloads/Vendors8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endors"/>
    </sheetNames>
    <sheetDataSet>
      <sheetData sheetId="0">
        <row r="1">
          <cell r="B1" t="str">
            <v>Internal ID</v>
          </cell>
        </row>
        <row r="2">
          <cell r="B2">
            <v>-3</v>
          </cell>
        </row>
        <row r="3">
          <cell r="B3">
            <v>30</v>
          </cell>
        </row>
        <row r="4">
          <cell r="B4">
            <v>32</v>
          </cell>
        </row>
        <row r="5">
          <cell r="B5">
            <v>50</v>
          </cell>
        </row>
        <row r="6">
          <cell r="B6">
            <v>31</v>
          </cell>
        </row>
        <row r="7">
          <cell r="B7">
            <v>3216</v>
          </cell>
        </row>
        <row r="8">
          <cell r="B8">
            <v>2429</v>
          </cell>
        </row>
        <row r="9">
          <cell r="B9">
            <v>33</v>
          </cell>
        </row>
        <row r="10">
          <cell r="B10">
            <v>2430</v>
          </cell>
        </row>
        <row r="11">
          <cell r="B11">
            <v>1544</v>
          </cell>
        </row>
        <row r="12">
          <cell r="B12">
            <v>34</v>
          </cell>
        </row>
        <row r="13">
          <cell r="B13">
            <v>2996</v>
          </cell>
        </row>
        <row r="14">
          <cell r="B14">
            <v>3154</v>
          </cell>
        </row>
        <row r="15">
          <cell r="B15">
            <v>35</v>
          </cell>
        </row>
        <row r="16">
          <cell r="B16">
            <v>36</v>
          </cell>
        </row>
        <row r="17">
          <cell r="B17">
            <v>37</v>
          </cell>
        </row>
        <row r="18">
          <cell r="B18">
            <v>38</v>
          </cell>
        </row>
        <row r="19">
          <cell r="B19">
            <v>39</v>
          </cell>
        </row>
        <row r="20">
          <cell r="B20">
            <v>40</v>
          </cell>
        </row>
        <row r="21">
          <cell r="B21">
            <v>41</v>
          </cell>
        </row>
        <row r="22">
          <cell r="B22">
            <v>42</v>
          </cell>
        </row>
        <row r="23">
          <cell r="B23">
            <v>1958</v>
          </cell>
        </row>
        <row r="24">
          <cell r="B24">
            <v>43</v>
          </cell>
        </row>
        <row r="25">
          <cell r="B25">
            <v>44</v>
          </cell>
        </row>
        <row r="26">
          <cell r="B26">
            <v>45</v>
          </cell>
        </row>
        <row r="27">
          <cell r="B27">
            <v>46</v>
          </cell>
        </row>
        <row r="28">
          <cell r="B28">
            <v>47</v>
          </cell>
        </row>
        <row r="29">
          <cell r="B29">
            <v>2490</v>
          </cell>
        </row>
        <row r="30">
          <cell r="B30">
            <v>1929</v>
          </cell>
        </row>
        <row r="31">
          <cell r="B31">
            <v>3635</v>
          </cell>
        </row>
        <row r="32">
          <cell r="B32">
            <v>3199</v>
          </cell>
        </row>
        <row r="33">
          <cell r="B33">
            <v>3164</v>
          </cell>
        </row>
        <row r="34">
          <cell r="B34">
            <v>2053</v>
          </cell>
        </row>
        <row r="35">
          <cell r="B35">
            <v>48</v>
          </cell>
        </row>
        <row r="36">
          <cell r="B36">
            <v>49</v>
          </cell>
        </row>
        <row r="37">
          <cell r="B37">
            <v>3004</v>
          </cell>
        </row>
        <row r="38">
          <cell r="B38">
            <v>2432</v>
          </cell>
        </row>
        <row r="39">
          <cell r="B39">
            <v>2416</v>
          </cell>
        </row>
        <row r="40">
          <cell r="B40">
            <v>2489</v>
          </cell>
        </row>
        <row r="41">
          <cell r="B41">
            <v>3033</v>
          </cell>
        </row>
        <row r="42">
          <cell r="B42">
            <v>51</v>
          </cell>
        </row>
        <row r="43">
          <cell r="B43">
            <v>3083</v>
          </cell>
        </row>
        <row r="44">
          <cell r="B44">
            <v>1939</v>
          </cell>
        </row>
        <row r="45">
          <cell r="B45">
            <v>1331</v>
          </cell>
        </row>
        <row r="46">
          <cell r="B46">
            <v>1542</v>
          </cell>
        </row>
        <row r="47">
          <cell r="B47">
            <v>2766</v>
          </cell>
        </row>
        <row r="48">
          <cell r="B48">
            <v>3287</v>
          </cell>
        </row>
        <row r="49">
          <cell r="B49">
            <v>52</v>
          </cell>
        </row>
        <row r="50">
          <cell r="B50">
            <v>2722</v>
          </cell>
        </row>
        <row r="51">
          <cell r="B51">
            <v>2270</v>
          </cell>
        </row>
        <row r="52">
          <cell r="B52">
            <v>53</v>
          </cell>
        </row>
        <row r="53">
          <cell r="B53">
            <v>2189</v>
          </cell>
        </row>
        <row r="54">
          <cell r="B54">
            <v>54</v>
          </cell>
        </row>
        <row r="55">
          <cell r="B55">
            <v>2433</v>
          </cell>
        </row>
        <row r="56">
          <cell r="B56">
            <v>55</v>
          </cell>
        </row>
        <row r="57">
          <cell r="B57">
            <v>2042</v>
          </cell>
        </row>
        <row r="58">
          <cell r="B58">
            <v>2359</v>
          </cell>
        </row>
        <row r="59">
          <cell r="B59">
            <v>2361</v>
          </cell>
        </row>
        <row r="60">
          <cell r="B60">
            <v>1966</v>
          </cell>
        </row>
        <row r="61">
          <cell r="B61">
            <v>3215</v>
          </cell>
        </row>
        <row r="62">
          <cell r="B62">
            <v>56</v>
          </cell>
        </row>
        <row r="63">
          <cell r="B63">
            <v>57</v>
          </cell>
        </row>
        <row r="64">
          <cell r="B64">
            <v>2743</v>
          </cell>
        </row>
        <row r="65">
          <cell r="B65">
            <v>58</v>
          </cell>
        </row>
        <row r="66">
          <cell r="B66">
            <v>59</v>
          </cell>
        </row>
        <row r="67">
          <cell r="B67">
            <v>1232</v>
          </cell>
        </row>
        <row r="68">
          <cell r="B68">
            <v>60</v>
          </cell>
        </row>
        <row r="69">
          <cell r="B69">
            <v>61</v>
          </cell>
        </row>
        <row r="70">
          <cell r="B70">
            <v>62</v>
          </cell>
        </row>
        <row r="71">
          <cell r="B71">
            <v>63</v>
          </cell>
        </row>
        <row r="72">
          <cell r="B72">
            <v>2482</v>
          </cell>
        </row>
        <row r="73">
          <cell r="B73">
            <v>64</v>
          </cell>
        </row>
        <row r="74">
          <cell r="B74">
            <v>65</v>
          </cell>
        </row>
        <row r="75">
          <cell r="B75">
            <v>2782</v>
          </cell>
        </row>
        <row r="76">
          <cell r="B76">
            <v>2649</v>
          </cell>
        </row>
        <row r="77">
          <cell r="B77">
            <v>66</v>
          </cell>
        </row>
        <row r="78">
          <cell r="B78">
            <v>1233</v>
          </cell>
        </row>
        <row r="79">
          <cell r="B79">
            <v>2508</v>
          </cell>
        </row>
        <row r="80">
          <cell r="B80">
            <v>2948</v>
          </cell>
        </row>
        <row r="81">
          <cell r="B81">
            <v>2372</v>
          </cell>
        </row>
        <row r="82">
          <cell r="B82">
            <v>2903</v>
          </cell>
        </row>
        <row r="83">
          <cell r="B83">
            <v>2643</v>
          </cell>
        </row>
        <row r="84">
          <cell r="B84">
            <v>67</v>
          </cell>
        </row>
        <row r="85">
          <cell r="B85">
            <v>2915</v>
          </cell>
        </row>
        <row r="86">
          <cell r="B86">
            <v>1722</v>
          </cell>
        </row>
        <row r="87">
          <cell r="B87">
            <v>68</v>
          </cell>
        </row>
        <row r="88">
          <cell r="B88">
            <v>3008</v>
          </cell>
        </row>
        <row r="89">
          <cell r="B89">
            <v>69</v>
          </cell>
        </row>
        <row r="90">
          <cell r="B90">
            <v>2323</v>
          </cell>
        </row>
        <row r="91">
          <cell r="B91">
            <v>2716</v>
          </cell>
        </row>
        <row r="92">
          <cell r="B92">
            <v>2868</v>
          </cell>
        </row>
        <row r="93">
          <cell r="B93">
            <v>70</v>
          </cell>
        </row>
        <row r="94">
          <cell r="B94">
            <v>3208</v>
          </cell>
        </row>
        <row r="95">
          <cell r="B95">
            <v>1235</v>
          </cell>
        </row>
        <row r="96">
          <cell r="B96">
            <v>2278</v>
          </cell>
        </row>
        <row r="97">
          <cell r="B97">
            <v>71</v>
          </cell>
        </row>
        <row r="98">
          <cell r="B98">
            <v>72</v>
          </cell>
        </row>
        <row r="99">
          <cell r="B99">
            <v>2852</v>
          </cell>
        </row>
        <row r="100">
          <cell r="B100">
            <v>1237</v>
          </cell>
        </row>
        <row r="101">
          <cell r="B101">
            <v>3041</v>
          </cell>
        </row>
        <row r="102">
          <cell r="B102">
            <v>2391</v>
          </cell>
        </row>
        <row r="103">
          <cell r="B103">
            <v>2163</v>
          </cell>
        </row>
        <row r="104">
          <cell r="B104">
            <v>3244</v>
          </cell>
        </row>
        <row r="105">
          <cell r="B105">
            <v>2206</v>
          </cell>
        </row>
        <row r="106">
          <cell r="B106">
            <v>1238</v>
          </cell>
        </row>
        <row r="107">
          <cell r="B107">
            <v>2462</v>
          </cell>
        </row>
        <row r="108">
          <cell r="B108">
            <v>3023</v>
          </cell>
        </row>
        <row r="109">
          <cell r="B109">
            <v>2704</v>
          </cell>
        </row>
        <row r="110">
          <cell r="B110">
            <v>2824</v>
          </cell>
        </row>
        <row r="111">
          <cell r="B111">
            <v>2434</v>
          </cell>
        </row>
        <row r="112">
          <cell r="B112">
            <v>2721</v>
          </cell>
        </row>
        <row r="113">
          <cell r="B113">
            <v>2610</v>
          </cell>
        </row>
        <row r="114">
          <cell r="B114">
            <v>2511</v>
          </cell>
        </row>
        <row r="115">
          <cell r="B115">
            <v>2312</v>
          </cell>
        </row>
        <row r="116">
          <cell r="B116">
            <v>3281</v>
          </cell>
        </row>
        <row r="117">
          <cell r="B117">
            <v>2435</v>
          </cell>
        </row>
        <row r="118">
          <cell r="B118">
            <v>3240</v>
          </cell>
        </row>
        <row r="119">
          <cell r="B119">
            <v>2436</v>
          </cell>
        </row>
        <row r="120">
          <cell r="B120">
            <v>2871</v>
          </cell>
        </row>
        <row r="121">
          <cell r="B121">
            <v>73</v>
          </cell>
        </row>
        <row r="122">
          <cell r="B122">
            <v>3076</v>
          </cell>
        </row>
        <row r="123">
          <cell r="B123">
            <v>74</v>
          </cell>
        </row>
        <row r="124">
          <cell r="B124">
            <v>1930</v>
          </cell>
        </row>
        <row r="125">
          <cell r="B125">
            <v>75</v>
          </cell>
        </row>
        <row r="126">
          <cell r="B126">
            <v>3102</v>
          </cell>
        </row>
        <row r="127">
          <cell r="B127">
            <v>2393</v>
          </cell>
        </row>
        <row r="128">
          <cell r="B128">
            <v>1540</v>
          </cell>
        </row>
        <row r="129">
          <cell r="B129">
            <v>76</v>
          </cell>
        </row>
        <row r="130">
          <cell r="B130">
            <v>77</v>
          </cell>
        </row>
        <row r="131">
          <cell r="B131">
            <v>2888</v>
          </cell>
        </row>
        <row r="132">
          <cell r="B132">
            <v>1239</v>
          </cell>
        </row>
        <row r="133">
          <cell r="B133">
            <v>2975</v>
          </cell>
        </row>
        <row r="134">
          <cell r="B134">
            <v>3214</v>
          </cell>
        </row>
        <row r="135">
          <cell r="B135">
            <v>78</v>
          </cell>
        </row>
        <row r="136">
          <cell r="B136">
            <v>79</v>
          </cell>
        </row>
        <row r="137">
          <cell r="B137">
            <v>1240</v>
          </cell>
        </row>
        <row r="138">
          <cell r="B138">
            <v>80</v>
          </cell>
        </row>
        <row r="139">
          <cell r="B139">
            <v>81</v>
          </cell>
        </row>
        <row r="140">
          <cell r="B140">
            <v>82</v>
          </cell>
        </row>
        <row r="141">
          <cell r="B141">
            <v>3080</v>
          </cell>
        </row>
        <row r="142">
          <cell r="B142">
            <v>1241</v>
          </cell>
        </row>
        <row r="143">
          <cell r="B143">
            <v>2946</v>
          </cell>
        </row>
        <row r="144">
          <cell r="B144">
            <v>83</v>
          </cell>
        </row>
        <row r="145">
          <cell r="B145">
            <v>3181</v>
          </cell>
        </row>
        <row r="146">
          <cell r="B146">
            <v>84</v>
          </cell>
        </row>
        <row r="147">
          <cell r="B147">
            <v>85</v>
          </cell>
        </row>
        <row r="148">
          <cell r="B148">
            <v>3172</v>
          </cell>
        </row>
        <row r="149">
          <cell r="B149">
            <v>1723</v>
          </cell>
        </row>
        <row r="150">
          <cell r="B150">
            <v>1940</v>
          </cell>
        </row>
        <row r="151">
          <cell r="B151">
            <v>2506</v>
          </cell>
        </row>
        <row r="152">
          <cell r="B152">
            <v>86</v>
          </cell>
        </row>
        <row r="153">
          <cell r="B153">
            <v>2542</v>
          </cell>
        </row>
        <row r="154">
          <cell r="B154">
            <v>87</v>
          </cell>
        </row>
        <row r="155">
          <cell r="B155">
            <v>2886</v>
          </cell>
        </row>
        <row r="156">
          <cell r="B156">
            <v>3060</v>
          </cell>
        </row>
        <row r="157">
          <cell r="B157">
            <v>17</v>
          </cell>
        </row>
        <row r="158">
          <cell r="B158">
            <v>2056</v>
          </cell>
        </row>
        <row r="159">
          <cell r="B159">
            <v>89</v>
          </cell>
        </row>
        <row r="160">
          <cell r="B160">
            <v>3272</v>
          </cell>
        </row>
        <row r="161">
          <cell r="B161">
            <v>3142</v>
          </cell>
        </row>
        <row r="162">
          <cell r="B162">
            <v>90</v>
          </cell>
        </row>
        <row r="163">
          <cell r="B163">
            <v>3202</v>
          </cell>
        </row>
        <row r="164">
          <cell r="B164">
            <v>91</v>
          </cell>
        </row>
        <row r="165">
          <cell r="B165">
            <v>92</v>
          </cell>
        </row>
        <row r="166">
          <cell r="B166">
            <v>3138</v>
          </cell>
        </row>
        <row r="167">
          <cell r="B167">
            <v>1580</v>
          </cell>
        </row>
        <row r="168">
          <cell r="B168">
            <v>2980</v>
          </cell>
        </row>
        <row r="169">
          <cell r="B169">
            <v>93</v>
          </cell>
        </row>
        <row r="170">
          <cell r="B170">
            <v>2938</v>
          </cell>
        </row>
        <row r="171">
          <cell r="B171">
            <v>1242</v>
          </cell>
        </row>
        <row r="172">
          <cell r="B172">
            <v>3196</v>
          </cell>
        </row>
        <row r="173">
          <cell r="B173">
            <v>1243</v>
          </cell>
        </row>
        <row r="174">
          <cell r="B174">
            <v>3163</v>
          </cell>
        </row>
        <row r="175">
          <cell r="B175">
            <v>94</v>
          </cell>
        </row>
        <row r="176">
          <cell r="B176">
            <v>95</v>
          </cell>
        </row>
        <row r="177">
          <cell r="B177">
            <v>1244</v>
          </cell>
        </row>
        <row r="178">
          <cell r="B178">
            <v>1245</v>
          </cell>
        </row>
        <row r="179">
          <cell r="B179">
            <v>96</v>
          </cell>
        </row>
        <row r="180">
          <cell r="B180">
            <v>2369</v>
          </cell>
        </row>
        <row r="181">
          <cell r="B181">
            <v>2771</v>
          </cell>
        </row>
        <row r="182">
          <cell r="B182">
            <v>2810</v>
          </cell>
        </row>
        <row r="183">
          <cell r="B183">
            <v>1246</v>
          </cell>
        </row>
        <row r="184">
          <cell r="B184">
            <v>3284</v>
          </cell>
        </row>
        <row r="185">
          <cell r="B185">
            <v>97</v>
          </cell>
        </row>
        <row r="186">
          <cell r="B186">
            <v>2487</v>
          </cell>
        </row>
        <row r="187">
          <cell r="B187">
            <v>98</v>
          </cell>
        </row>
        <row r="188">
          <cell r="B188">
            <v>2325</v>
          </cell>
        </row>
        <row r="189">
          <cell r="B189">
            <v>1960</v>
          </cell>
        </row>
        <row r="190">
          <cell r="B190">
            <v>3104</v>
          </cell>
        </row>
        <row r="191">
          <cell r="B191">
            <v>3014</v>
          </cell>
        </row>
        <row r="192">
          <cell r="B192">
            <v>3523</v>
          </cell>
        </row>
        <row r="193">
          <cell r="B193">
            <v>2526</v>
          </cell>
        </row>
        <row r="194">
          <cell r="B194">
            <v>2683</v>
          </cell>
        </row>
        <row r="195">
          <cell r="B195">
            <v>2394</v>
          </cell>
        </row>
        <row r="196">
          <cell r="B196">
            <v>2308</v>
          </cell>
        </row>
        <row r="197">
          <cell r="B197">
            <v>99</v>
          </cell>
        </row>
        <row r="198">
          <cell r="B198">
            <v>100</v>
          </cell>
        </row>
        <row r="199">
          <cell r="B199">
            <v>101</v>
          </cell>
        </row>
        <row r="200">
          <cell r="B200">
            <v>2682</v>
          </cell>
        </row>
        <row r="201">
          <cell r="B201">
            <v>102</v>
          </cell>
        </row>
        <row r="202">
          <cell r="B202">
            <v>103</v>
          </cell>
        </row>
        <row r="203">
          <cell r="B203">
            <v>2768</v>
          </cell>
        </row>
        <row r="204">
          <cell r="B204">
            <v>2897</v>
          </cell>
        </row>
        <row r="205">
          <cell r="B205">
            <v>2660</v>
          </cell>
        </row>
        <row r="206">
          <cell r="B206">
            <v>1247</v>
          </cell>
        </row>
        <row r="207">
          <cell r="B207">
            <v>1248</v>
          </cell>
        </row>
        <row r="208">
          <cell r="B208">
            <v>1967</v>
          </cell>
        </row>
        <row r="209">
          <cell r="B209">
            <v>105</v>
          </cell>
        </row>
        <row r="210">
          <cell r="B210">
            <v>3100</v>
          </cell>
        </row>
        <row r="211">
          <cell r="B211">
            <v>2331</v>
          </cell>
        </row>
        <row r="212">
          <cell r="B212">
            <v>2043</v>
          </cell>
        </row>
        <row r="213">
          <cell r="B213">
            <v>106</v>
          </cell>
        </row>
        <row r="214">
          <cell r="B214">
            <v>107</v>
          </cell>
        </row>
        <row r="215">
          <cell r="B215">
            <v>1249</v>
          </cell>
        </row>
        <row r="216">
          <cell r="B216">
            <v>2819</v>
          </cell>
        </row>
        <row r="217">
          <cell r="B217">
            <v>2213</v>
          </cell>
        </row>
        <row r="218">
          <cell r="B218">
            <v>108</v>
          </cell>
        </row>
        <row r="219">
          <cell r="B219">
            <v>3178</v>
          </cell>
        </row>
        <row r="220">
          <cell r="B220">
            <v>2289</v>
          </cell>
        </row>
        <row r="221">
          <cell r="B221">
            <v>2370</v>
          </cell>
        </row>
        <row r="222">
          <cell r="B222">
            <v>109</v>
          </cell>
        </row>
        <row r="223">
          <cell r="B223">
            <v>1968</v>
          </cell>
        </row>
        <row r="224">
          <cell r="B224">
            <v>1250</v>
          </cell>
        </row>
        <row r="225">
          <cell r="B225">
            <v>2961</v>
          </cell>
        </row>
        <row r="226">
          <cell r="B226">
            <v>3518</v>
          </cell>
        </row>
        <row r="227">
          <cell r="B227">
            <v>1251</v>
          </cell>
        </row>
        <row r="228">
          <cell r="B228">
            <v>110</v>
          </cell>
        </row>
        <row r="229">
          <cell r="B229">
            <v>1252</v>
          </cell>
        </row>
        <row r="230">
          <cell r="B230">
            <v>111</v>
          </cell>
        </row>
        <row r="231">
          <cell r="B231">
            <v>2557</v>
          </cell>
        </row>
        <row r="232">
          <cell r="B232">
            <v>112</v>
          </cell>
        </row>
        <row r="233">
          <cell r="B233">
            <v>3207</v>
          </cell>
        </row>
        <row r="234">
          <cell r="B234">
            <v>113</v>
          </cell>
        </row>
        <row r="235">
          <cell r="B235">
            <v>2280</v>
          </cell>
        </row>
        <row r="236">
          <cell r="B236">
            <v>1569</v>
          </cell>
        </row>
        <row r="237">
          <cell r="B237">
            <v>114</v>
          </cell>
        </row>
        <row r="238">
          <cell r="B238">
            <v>115</v>
          </cell>
        </row>
        <row r="239">
          <cell r="B239">
            <v>1253</v>
          </cell>
        </row>
        <row r="240">
          <cell r="B240">
            <v>3026</v>
          </cell>
        </row>
        <row r="241">
          <cell r="B241">
            <v>116</v>
          </cell>
        </row>
        <row r="242">
          <cell r="B242">
            <v>117</v>
          </cell>
        </row>
        <row r="243">
          <cell r="B243">
            <v>118</v>
          </cell>
        </row>
        <row r="244">
          <cell r="B244">
            <v>119</v>
          </cell>
        </row>
        <row r="245">
          <cell r="B245">
            <v>120</v>
          </cell>
        </row>
        <row r="246">
          <cell r="B246">
            <v>2820</v>
          </cell>
        </row>
        <row r="247">
          <cell r="B247">
            <v>2876</v>
          </cell>
        </row>
        <row r="248">
          <cell r="B248">
            <v>121</v>
          </cell>
        </row>
        <row r="249">
          <cell r="B249">
            <v>3632</v>
          </cell>
        </row>
        <row r="250">
          <cell r="B250">
            <v>2936</v>
          </cell>
        </row>
        <row r="251">
          <cell r="B251">
            <v>1254</v>
          </cell>
        </row>
        <row r="252">
          <cell r="B252">
            <v>2402</v>
          </cell>
        </row>
        <row r="253">
          <cell r="B253">
            <v>2467</v>
          </cell>
        </row>
        <row r="254">
          <cell r="B254">
            <v>1255</v>
          </cell>
        </row>
        <row r="255">
          <cell r="B255">
            <v>1961</v>
          </cell>
        </row>
        <row r="256">
          <cell r="B256">
            <v>3209</v>
          </cell>
        </row>
        <row r="257">
          <cell r="B257">
            <v>3027</v>
          </cell>
        </row>
        <row r="258">
          <cell r="B258">
            <v>2979</v>
          </cell>
        </row>
        <row r="259">
          <cell r="B259">
            <v>122</v>
          </cell>
        </row>
        <row r="260">
          <cell r="B260">
            <v>2798</v>
          </cell>
        </row>
        <row r="261">
          <cell r="B261">
            <v>2742</v>
          </cell>
        </row>
        <row r="262">
          <cell r="B262">
            <v>123</v>
          </cell>
        </row>
        <row r="263">
          <cell r="B263">
            <v>3243</v>
          </cell>
        </row>
        <row r="264">
          <cell r="B264">
            <v>2517</v>
          </cell>
        </row>
        <row r="265">
          <cell r="B265">
            <v>124</v>
          </cell>
        </row>
        <row r="266">
          <cell r="B266">
            <v>3296</v>
          </cell>
        </row>
        <row r="267">
          <cell r="B267">
            <v>3086</v>
          </cell>
        </row>
        <row r="268">
          <cell r="B268">
            <v>2943</v>
          </cell>
        </row>
        <row r="269">
          <cell r="B269">
            <v>1716</v>
          </cell>
        </row>
        <row r="270">
          <cell r="B270">
            <v>2039</v>
          </cell>
        </row>
        <row r="271">
          <cell r="B271">
            <v>125</v>
          </cell>
        </row>
        <row r="272">
          <cell r="B272">
            <v>1332</v>
          </cell>
        </row>
        <row r="273">
          <cell r="B273">
            <v>2750</v>
          </cell>
        </row>
        <row r="274">
          <cell r="B274">
            <v>126</v>
          </cell>
        </row>
        <row r="275">
          <cell r="B275">
            <v>330</v>
          </cell>
        </row>
        <row r="276">
          <cell r="B276">
            <v>2157</v>
          </cell>
        </row>
        <row r="277">
          <cell r="B277">
            <v>127</v>
          </cell>
        </row>
        <row r="278">
          <cell r="B278">
            <v>2464</v>
          </cell>
        </row>
        <row r="279">
          <cell r="B279">
            <v>2969</v>
          </cell>
        </row>
        <row r="280">
          <cell r="B280">
            <v>3065</v>
          </cell>
        </row>
        <row r="281">
          <cell r="B281">
            <v>1256</v>
          </cell>
        </row>
        <row r="282">
          <cell r="B282">
            <v>128</v>
          </cell>
        </row>
        <row r="283">
          <cell r="B283">
            <v>3298</v>
          </cell>
        </row>
        <row r="284">
          <cell r="B284">
            <v>129</v>
          </cell>
        </row>
        <row r="285">
          <cell r="B285">
            <v>130</v>
          </cell>
        </row>
        <row r="286">
          <cell r="B286">
            <v>131</v>
          </cell>
        </row>
        <row r="287">
          <cell r="B287">
            <v>3011</v>
          </cell>
        </row>
        <row r="288">
          <cell r="B288">
            <v>1257</v>
          </cell>
        </row>
        <row r="289">
          <cell r="B289">
            <v>3078</v>
          </cell>
        </row>
        <row r="290">
          <cell r="B290">
            <v>1434</v>
          </cell>
        </row>
        <row r="291">
          <cell r="B291">
            <v>2057</v>
          </cell>
        </row>
        <row r="292">
          <cell r="B292">
            <v>1439</v>
          </cell>
        </row>
        <row r="293">
          <cell r="B293">
            <v>1435</v>
          </cell>
        </row>
        <row r="294">
          <cell r="B294">
            <v>1438</v>
          </cell>
        </row>
        <row r="295">
          <cell r="B295">
            <v>1436</v>
          </cell>
        </row>
        <row r="296">
          <cell r="B296">
            <v>1437</v>
          </cell>
        </row>
        <row r="297">
          <cell r="B297">
            <v>1433</v>
          </cell>
        </row>
        <row r="298">
          <cell r="B298">
            <v>3051</v>
          </cell>
        </row>
        <row r="299">
          <cell r="B299">
            <v>1560</v>
          </cell>
        </row>
        <row r="300">
          <cell r="B300">
            <v>2658</v>
          </cell>
        </row>
        <row r="301">
          <cell r="B301">
            <v>2493</v>
          </cell>
        </row>
        <row r="302">
          <cell r="B302">
            <v>3028</v>
          </cell>
        </row>
        <row r="303">
          <cell r="B303">
            <v>2922</v>
          </cell>
        </row>
        <row r="304">
          <cell r="B304">
            <v>2468</v>
          </cell>
        </row>
        <row r="305">
          <cell r="B305">
            <v>2926</v>
          </cell>
        </row>
        <row r="306">
          <cell r="B306">
            <v>3087</v>
          </cell>
        </row>
        <row r="307">
          <cell r="B307">
            <v>132</v>
          </cell>
        </row>
        <row r="308">
          <cell r="B308">
            <v>1258</v>
          </cell>
        </row>
        <row r="309">
          <cell r="B309">
            <v>133</v>
          </cell>
        </row>
        <row r="310">
          <cell r="B310">
            <v>134</v>
          </cell>
        </row>
        <row r="311">
          <cell r="B311">
            <v>2784</v>
          </cell>
        </row>
        <row r="312">
          <cell r="B312">
            <v>135</v>
          </cell>
        </row>
        <row r="313">
          <cell r="B313">
            <v>3005</v>
          </cell>
        </row>
        <row r="314">
          <cell r="B314">
            <v>2431</v>
          </cell>
        </row>
        <row r="315">
          <cell r="B315">
            <v>2656</v>
          </cell>
        </row>
        <row r="316">
          <cell r="B316">
            <v>136</v>
          </cell>
        </row>
        <row r="317">
          <cell r="B317">
            <v>1969</v>
          </cell>
        </row>
        <row r="318">
          <cell r="B318">
            <v>137</v>
          </cell>
        </row>
        <row r="319">
          <cell r="B319">
            <v>331</v>
          </cell>
        </row>
        <row r="320">
          <cell r="B320">
            <v>1259</v>
          </cell>
        </row>
        <row r="321">
          <cell r="B321">
            <v>3266</v>
          </cell>
        </row>
        <row r="322">
          <cell r="B322">
            <v>1942</v>
          </cell>
        </row>
        <row r="323">
          <cell r="B323">
            <v>1260</v>
          </cell>
        </row>
        <row r="324">
          <cell r="B324">
            <v>1955</v>
          </cell>
        </row>
        <row r="325">
          <cell r="B325">
            <v>1261</v>
          </cell>
        </row>
        <row r="326">
          <cell r="B326">
            <v>139</v>
          </cell>
        </row>
        <row r="327">
          <cell r="B327">
            <v>140</v>
          </cell>
        </row>
        <row r="328">
          <cell r="B328">
            <v>1953</v>
          </cell>
        </row>
        <row r="329">
          <cell r="B329">
            <v>3642</v>
          </cell>
        </row>
        <row r="330">
          <cell r="B330">
            <v>141</v>
          </cell>
        </row>
        <row r="331">
          <cell r="B331">
            <v>2931</v>
          </cell>
        </row>
        <row r="332">
          <cell r="B332">
            <v>2978</v>
          </cell>
        </row>
        <row r="333">
          <cell r="B333">
            <v>1943</v>
          </cell>
        </row>
        <row r="334">
          <cell r="B334">
            <v>2997</v>
          </cell>
        </row>
        <row r="335">
          <cell r="B335">
            <v>2192</v>
          </cell>
        </row>
        <row r="336">
          <cell r="B336">
            <v>2648</v>
          </cell>
        </row>
        <row r="337">
          <cell r="B337">
            <v>2815</v>
          </cell>
        </row>
        <row r="338">
          <cell r="B338">
            <v>142</v>
          </cell>
        </row>
        <row r="339">
          <cell r="B339">
            <v>2395</v>
          </cell>
        </row>
        <row r="340">
          <cell r="B340">
            <v>1970</v>
          </cell>
        </row>
        <row r="341">
          <cell r="B341">
            <v>3012</v>
          </cell>
        </row>
        <row r="342">
          <cell r="B342">
            <v>143</v>
          </cell>
        </row>
        <row r="343">
          <cell r="B343">
            <v>3250</v>
          </cell>
        </row>
        <row r="344">
          <cell r="B344">
            <v>2469</v>
          </cell>
        </row>
        <row r="345">
          <cell r="B345">
            <v>144</v>
          </cell>
        </row>
        <row r="346">
          <cell r="B346">
            <v>2345</v>
          </cell>
        </row>
        <row r="347">
          <cell r="B347">
            <v>145</v>
          </cell>
        </row>
        <row r="348">
          <cell r="B348">
            <v>1944</v>
          </cell>
        </row>
        <row r="349">
          <cell r="B349">
            <v>146</v>
          </cell>
        </row>
        <row r="350">
          <cell r="B350">
            <v>2324</v>
          </cell>
        </row>
        <row r="351">
          <cell r="B351">
            <v>2988</v>
          </cell>
        </row>
        <row r="352">
          <cell r="B352">
            <v>2563</v>
          </cell>
        </row>
        <row r="353">
          <cell r="B353">
            <v>147</v>
          </cell>
        </row>
        <row r="354">
          <cell r="B354">
            <v>1262</v>
          </cell>
        </row>
        <row r="355">
          <cell r="B355">
            <v>1263</v>
          </cell>
        </row>
        <row r="356">
          <cell r="B356">
            <v>2428</v>
          </cell>
        </row>
        <row r="357">
          <cell r="B357">
            <v>148</v>
          </cell>
        </row>
        <row r="358">
          <cell r="B358">
            <v>2986</v>
          </cell>
        </row>
        <row r="359">
          <cell r="B359">
            <v>149</v>
          </cell>
        </row>
        <row r="360">
          <cell r="B360">
            <v>3059</v>
          </cell>
        </row>
        <row r="361">
          <cell r="B361">
            <v>150</v>
          </cell>
        </row>
        <row r="362">
          <cell r="B362">
            <v>151</v>
          </cell>
        </row>
        <row r="363">
          <cell r="B363">
            <v>152</v>
          </cell>
        </row>
        <row r="364">
          <cell r="B364">
            <v>2404</v>
          </cell>
        </row>
        <row r="365">
          <cell r="B365">
            <v>2925</v>
          </cell>
        </row>
        <row r="366">
          <cell r="B366">
            <v>153</v>
          </cell>
        </row>
        <row r="367">
          <cell r="B367">
            <v>154</v>
          </cell>
        </row>
        <row r="368">
          <cell r="B368">
            <v>155</v>
          </cell>
        </row>
        <row r="369">
          <cell r="B369">
            <v>156</v>
          </cell>
        </row>
        <row r="370">
          <cell r="B370">
            <v>2964</v>
          </cell>
        </row>
        <row r="371">
          <cell r="B371">
            <v>157</v>
          </cell>
        </row>
        <row r="372">
          <cell r="B372">
            <v>158</v>
          </cell>
        </row>
        <row r="373">
          <cell r="B373">
            <v>159</v>
          </cell>
        </row>
        <row r="374">
          <cell r="B374">
            <v>2269</v>
          </cell>
        </row>
        <row r="375">
          <cell r="B375">
            <v>3046</v>
          </cell>
        </row>
        <row r="376">
          <cell r="B376">
            <v>1584</v>
          </cell>
        </row>
        <row r="377">
          <cell r="B377">
            <v>3084</v>
          </cell>
        </row>
        <row r="378">
          <cell r="B378">
            <v>1583</v>
          </cell>
        </row>
        <row r="379">
          <cell r="B379">
            <v>160</v>
          </cell>
        </row>
        <row r="380">
          <cell r="B380">
            <v>161</v>
          </cell>
        </row>
        <row r="381">
          <cell r="B381">
            <v>1264</v>
          </cell>
        </row>
        <row r="382">
          <cell r="B382">
            <v>162</v>
          </cell>
        </row>
        <row r="383">
          <cell r="B383">
            <v>1265</v>
          </cell>
        </row>
        <row r="384">
          <cell r="B384">
            <v>3030</v>
          </cell>
        </row>
        <row r="385">
          <cell r="B385">
            <v>3634</v>
          </cell>
        </row>
        <row r="386">
          <cell r="B386">
            <v>1562</v>
          </cell>
        </row>
        <row r="387">
          <cell r="B387">
            <v>2406</v>
          </cell>
        </row>
        <row r="388">
          <cell r="B388">
            <v>163</v>
          </cell>
        </row>
        <row r="389">
          <cell r="B389">
            <v>2483</v>
          </cell>
        </row>
        <row r="390">
          <cell r="B390">
            <v>1266</v>
          </cell>
        </row>
        <row r="391">
          <cell r="B391">
            <v>2817</v>
          </cell>
        </row>
        <row r="392">
          <cell r="B392">
            <v>164</v>
          </cell>
        </row>
        <row r="393">
          <cell r="B393">
            <v>165</v>
          </cell>
        </row>
        <row r="394">
          <cell r="B394">
            <v>2509</v>
          </cell>
        </row>
        <row r="395">
          <cell r="B395">
            <v>1692</v>
          </cell>
        </row>
        <row r="396">
          <cell r="B396">
            <v>1267</v>
          </cell>
        </row>
        <row r="397">
          <cell r="B397">
            <v>1945</v>
          </cell>
        </row>
        <row r="398">
          <cell r="B398">
            <v>166</v>
          </cell>
        </row>
        <row r="399">
          <cell r="B399">
            <v>167</v>
          </cell>
        </row>
        <row r="400">
          <cell r="B400">
            <v>2776</v>
          </cell>
        </row>
        <row r="401">
          <cell r="B401">
            <v>2301</v>
          </cell>
        </row>
        <row r="402">
          <cell r="B402">
            <v>168</v>
          </cell>
        </row>
        <row r="403">
          <cell r="B403">
            <v>169</v>
          </cell>
        </row>
        <row r="404">
          <cell r="B404">
            <v>2985</v>
          </cell>
        </row>
        <row r="405">
          <cell r="B405">
            <v>2885</v>
          </cell>
        </row>
        <row r="406">
          <cell r="B406">
            <v>170</v>
          </cell>
        </row>
        <row r="407">
          <cell r="B407">
            <v>1268</v>
          </cell>
        </row>
        <row r="408">
          <cell r="B408">
            <v>171</v>
          </cell>
        </row>
        <row r="409">
          <cell r="B409">
            <v>172</v>
          </cell>
        </row>
        <row r="410">
          <cell r="B410">
            <v>1962</v>
          </cell>
        </row>
        <row r="411">
          <cell r="B411">
            <v>1269</v>
          </cell>
        </row>
        <row r="412">
          <cell r="B412">
            <v>2890</v>
          </cell>
        </row>
        <row r="413">
          <cell r="B413">
            <v>19</v>
          </cell>
        </row>
        <row r="414">
          <cell r="B414">
            <v>1956</v>
          </cell>
        </row>
        <row r="415">
          <cell r="B415">
            <v>173</v>
          </cell>
        </row>
        <row r="416">
          <cell r="B416">
            <v>3161</v>
          </cell>
        </row>
        <row r="417">
          <cell r="B417">
            <v>1270</v>
          </cell>
        </row>
        <row r="418">
          <cell r="B418">
            <v>1271</v>
          </cell>
        </row>
        <row r="419">
          <cell r="B419">
            <v>1971</v>
          </cell>
        </row>
        <row r="420">
          <cell r="B420">
            <v>2411</v>
          </cell>
        </row>
        <row r="421">
          <cell r="B421">
            <v>1272</v>
          </cell>
        </row>
        <row r="422">
          <cell r="B422">
            <v>1273</v>
          </cell>
        </row>
        <row r="423">
          <cell r="B423">
            <v>174</v>
          </cell>
        </row>
        <row r="424">
          <cell r="B424">
            <v>2497</v>
          </cell>
        </row>
        <row r="425">
          <cell r="B425">
            <v>175</v>
          </cell>
        </row>
        <row r="426">
          <cell r="B426">
            <v>1274</v>
          </cell>
        </row>
        <row r="427">
          <cell r="B427">
            <v>176</v>
          </cell>
        </row>
        <row r="428">
          <cell r="B428">
            <v>177</v>
          </cell>
        </row>
        <row r="429">
          <cell r="B429">
            <v>178</v>
          </cell>
        </row>
        <row r="430">
          <cell r="B430">
            <v>3015</v>
          </cell>
        </row>
        <row r="431">
          <cell r="B431">
            <v>3279</v>
          </cell>
        </row>
        <row r="432">
          <cell r="B432">
            <v>1275</v>
          </cell>
        </row>
        <row r="433">
          <cell r="B433">
            <v>1276</v>
          </cell>
        </row>
        <row r="434">
          <cell r="B434">
            <v>179</v>
          </cell>
        </row>
        <row r="435">
          <cell r="B435">
            <v>1277</v>
          </cell>
        </row>
        <row r="436">
          <cell r="B436">
            <v>2197</v>
          </cell>
        </row>
        <row r="437">
          <cell r="B437">
            <v>2763</v>
          </cell>
        </row>
        <row r="438">
          <cell r="B438">
            <v>1575</v>
          </cell>
        </row>
        <row r="439">
          <cell r="B439">
            <v>2924</v>
          </cell>
        </row>
        <row r="440">
          <cell r="B440">
            <v>2747</v>
          </cell>
        </row>
        <row r="441">
          <cell r="B441">
            <v>2758</v>
          </cell>
        </row>
        <row r="442">
          <cell r="B442">
            <v>2382</v>
          </cell>
        </row>
        <row r="443">
          <cell r="B443">
            <v>2317</v>
          </cell>
        </row>
        <row r="444">
          <cell r="B444">
            <v>3517</v>
          </cell>
        </row>
        <row r="445">
          <cell r="B445">
            <v>2971</v>
          </cell>
        </row>
        <row r="446">
          <cell r="B446">
            <v>180</v>
          </cell>
        </row>
        <row r="447">
          <cell r="B447">
            <v>3643</v>
          </cell>
        </row>
        <row r="448">
          <cell r="B448">
            <v>181</v>
          </cell>
        </row>
        <row r="449">
          <cell r="B449">
            <v>182</v>
          </cell>
        </row>
        <row r="450">
          <cell r="B450">
            <v>183</v>
          </cell>
        </row>
        <row r="451">
          <cell r="B451">
            <v>184</v>
          </cell>
        </row>
        <row r="452">
          <cell r="B452">
            <v>3193</v>
          </cell>
        </row>
        <row r="453">
          <cell r="B453">
            <v>185</v>
          </cell>
        </row>
        <row r="454">
          <cell r="B454">
            <v>2785</v>
          </cell>
        </row>
        <row r="455">
          <cell r="B455">
            <v>2268</v>
          </cell>
        </row>
        <row r="456">
          <cell r="B456">
            <v>3120</v>
          </cell>
        </row>
        <row r="457">
          <cell r="B457">
            <v>2840</v>
          </cell>
        </row>
        <row r="458">
          <cell r="B458">
            <v>1963</v>
          </cell>
        </row>
        <row r="459">
          <cell r="B459">
            <v>2699</v>
          </cell>
        </row>
        <row r="460">
          <cell r="B460">
            <v>1278</v>
          </cell>
        </row>
        <row r="461">
          <cell r="B461">
            <v>2326</v>
          </cell>
        </row>
        <row r="462">
          <cell r="B462">
            <v>1946</v>
          </cell>
        </row>
        <row r="463">
          <cell r="B463">
            <v>186</v>
          </cell>
        </row>
        <row r="464">
          <cell r="B464">
            <v>2397</v>
          </cell>
        </row>
        <row r="465">
          <cell r="B465">
            <v>2558</v>
          </cell>
        </row>
        <row r="466">
          <cell r="B466">
            <v>1279</v>
          </cell>
        </row>
        <row r="467">
          <cell r="B467">
            <v>187</v>
          </cell>
        </row>
        <row r="468">
          <cell r="B468">
            <v>188</v>
          </cell>
        </row>
        <row r="469">
          <cell r="B469">
            <v>1280</v>
          </cell>
        </row>
        <row r="470">
          <cell r="B470">
            <v>1333</v>
          </cell>
        </row>
        <row r="471">
          <cell r="B471">
            <v>189</v>
          </cell>
        </row>
        <row r="472">
          <cell r="B472">
            <v>190</v>
          </cell>
        </row>
        <row r="473">
          <cell r="B473">
            <v>191</v>
          </cell>
        </row>
        <row r="474">
          <cell r="B474">
            <v>192</v>
          </cell>
        </row>
        <row r="475">
          <cell r="B475">
            <v>3003</v>
          </cell>
        </row>
        <row r="476">
          <cell r="B476">
            <v>193</v>
          </cell>
        </row>
        <row r="477">
          <cell r="B477">
            <v>3280</v>
          </cell>
        </row>
        <row r="478">
          <cell r="B478">
            <v>2644</v>
          </cell>
        </row>
        <row r="479">
          <cell r="B479">
            <v>2934</v>
          </cell>
        </row>
        <row r="480">
          <cell r="B480">
            <v>3525</v>
          </cell>
        </row>
        <row r="481">
          <cell r="B481">
            <v>1282</v>
          </cell>
        </row>
        <row r="482">
          <cell r="B482">
            <v>1281</v>
          </cell>
        </row>
        <row r="483">
          <cell r="B483">
            <v>194</v>
          </cell>
        </row>
        <row r="484">
          <cell r="B484">
            <v>2368</v>
          </cell>
        </row>
        <row r="485">
          <cell r="B485">
            <v>3079</v>
          </cell>
        </row>
        <row r="486">
          <cell r="B486">
            <v>3043</v>
          </cell>
        </row>
        <row r="487">
          <cell r="B487">
            <v>195</v>
          </cell>
        </row>
        <row r="488">
          <cell r="B488">
            <v>1947</v>
          </cell>
        </row>
        <row r="489">
          <cell r="B489">
            <v>3058</v>
          </cell>
        </row>
        <row r="490">
          <cell r="B490">
            <v>196</v>
          </cell>
        </row>
        <row r="491">
          <cell r="B491">
            <v>197</v>
          </cell>
        </row>
        <row r="492">
          <cell r="B492">
            <v>2759</v>
          </cell>
        </row>
        <row r="493">
          <cell r="B493">
            <v>2741</v>
          </cell>
        </row>
        <row r="494">
          <cell r="B494">
            <v>198</v>
          </cell>
        </row>
        <row r="495">
          <cell r="B495">
            <v>199</v>
          </cell>
        </row>
        <row r="496">
          <cell r="B496">
            <v>200</v>
          </cell>
        </row>
        <row r="497">
          <cell r="B497">
            <v>1543</v>
          </cell>
        </row>
        <row r="498">
          <cell r="B498">
            <v>2805</v>
          </cell>
        </row>
        <row r="499">
          <cell r="B499">
            <v>2857</v>
          </cell>
        </row>
        <row r="500">
          <cell r="B500">
            <v>201</v>
          </cell>
        </row>
        <row r="501">
          <cell r="B501">
            <v>2687</v>
          </cell>
        </row>
        <row r="502">
          <cell r="B502">
            <v>2427</v>
          </cell>
        </row>
        <row r="503">
          <cell r="B503">
            <v>2773</v>
          </cell>
        </row>
        <row r="504">
          <cell r="B504">
            <v>2991</v>
          </cell>
        </row>
        <row r="505">
          <cell r="B505">
            <v>202</v>
          </cell>
        </row>
        <row r="506">
          <cell r="B506">
            <v>1690</v>
          </cell>
        </row>
        <row r="507">
          <cell r="B507">
            <v>203</v>
          </cell>
        </row>
        <row r="508">
          <cell r="B508">
            <v>204</v>
          </cell>
        </row>
        <row r="509">
          <cell r="B509">
            <v>1283</v>
          </cell>
        </row>
        <row r="510">
          <cell r="B510">
            <v>2396</v>
          </cell>
        </row>
        <row r="511">
          <cell r="B511">
            <v>1284</v>
          </cell>
        </row>
        <row r="512">
          <cell r="B512">
            <v>3117</v>
          </cell>
        </row>
        <row r="513">
          <cell r="B513">
            <v>2641</v>
          </cell>
        </row>
        <row r="514">
          <cell r="B514">
            <v>18</v>
          </cell>
        </row>
        <row r="515">
          <cell r="B515">
            <v>3282</v>
          </cell>
        </row>
        <row r="516">
          <cell r="B516">
            <v>205</v>
          </cell>
        </row>
        <row r="517">
          <cell r="B517">
            <v>2902</v>
          </cell>
        </row>
        <row r="518">
          <cell r="B518">
            <v>2596</v>
          </cell>
        </row>
        <row r="519">
          <cell r="B519">
            <v>1285</v>
          </cell>
        </row>
        <row r="520">
          <cell r="B520">
            <v>206</v>
          </cell>
        </row>
        <row r="521">
          <cell r="B521">
            <v>2205</v>
          </cell>
        </row>
        <row r="522">
          <cell r="B522">
            <v>3155</v>
          </cell>
        </row>
        <row r="523">
          <cell r="B523">
            <v>2389</v>
          </cell>
        </row>
        <row r="524">
          <cell r="B524">
            <v>207</v>
          </cell>
        </row>
        <row r="525">
          <cell r="B525">
            <v>2989</v>
          </cell>
        </row>
        <row r="526">
          <cell r="B526">
            <v>3122</v>
          </cell>
        </row>
        <row r="527">
          <cell r="B527">
            <v>208</v>
          </cell>
        </row>
        <row r="528">
          <cell r="B528">
            <v>3146</v>
          </cell>
        </row>
        <row r="529">
          <cell r="B529">
            <v>2657</v>
          </cell>
        </row>
        <row r="530">
          <cell r="B530">
            <v>3258</v>
          </cell>
        </row>
        <row r="531">
          <cell r="B531">
            <v>3174</v>
          </cell>
        </row>
        <row r="532">
          <cell r="B532">
            <v>3073</v>
          </cell>
        </row>
        <row r="533">
          <cell r="B533">
            <v>2527</v>
          </cell>
        </row>
        <row r="534">
          <cell r="B534">
            <v>3131</v>
          </cell>
        </row>
        <row r="535">
          <cell r="B535">
            <v>209</v>
          </cell>
        </row>
        <row r="536">
          <cell r="B536">
            <v>2992</v>
          </cell>
        </row>
        <row r="537">
          <cell r="B537">
            <v>210</v>
          </cell>
        </row>
        <row r="538">
          <cell r="B538">
            <v>1286</v>
          </cell>
        </row>
        <row r="539">
          <cell r="B539">
            <v>2863</v>
          </cell>
        </row>
        <row r="540">
          <cell r="B540">
            <v>2879</v>
          </cell>
        </row>
        <row r="541">
          <cell r="B541">
            <v>211</v>
          </cell>
        </row>
        <row r="542">
          <cell r="B542">
            <v>212</v>
          </cell>
        </row>
        <row r="543">
          <cell r="B543">
            <v>213</v>
          </cell>
        </row>
        <row r="544">
          <cell r="B544">
            <v>2718</v>
          </cell>
        </row>
        <row r="545">
          <cell r="B545">
            <v>1287</v>
          </cell>
        </row>
        <row r="546">
          <cell r="B546">
            <v>1964</v>
          </cell>
        </row>
        <row r="547">
          <cell r="B547">
            <v>2291</v>
          </cell>
        </row>
        <row r="548">
          <cell r="B548">
            <v>3062</v>
          </cell>
        </row>
        <row r="549">
          <cell r="B549">
            <v>214</v>
          </cell>
        </row>
        <row r="550">
          <cell r="B550">
            <v>2737</v>
          </cell>
        </row>
        <row r="551">
          <cell r="B551">
            <v>2390</v>
          </cell>
        </row>
        <row r="552">
          <cell r="B552">
            <v>2693</v>
          </cell>
        </row>
        <row r="553">
          <cell r="B553">
            <v>2823</v>
          </cell>
        </row>
        <row r="554">
          <cell r="B554">
            <v>1972</v>
          </cell>
        </row>
        <row r="555">
          <cell r="B555">
            <v>215</v>
          </cell>
        </row>
        <row r="556">
          <cell r="B556">
            <v>1973</v>
          </cell>
        </row>
        <row r="557">
          <cell r="B557">
            <v>2757</v>
          </cell>
        </row>
        <row r="558">
          <cell r="B558">
            <v>216</v>
          </cell>
        </row>
        <row r="559">
          <cell r="B559">
            <v>217</v>
          </cell>
        </row>
        <row r="560">
          <cell r="B560">
            <v>218</v>
          </cell>
        </row>
        <row r="561">
          <cell r="B561">
            <v>219</v>
          </cell>
        </row>
        <row r="562">
          <cell r="B562">
            <v>220</v>
          </cell>
        </row>
        <row r="563">
          <cell r="B563">
            <v>3157</v>
          </cell>
        </row>
        <row r="564">
          <cell r="B564">
            <v>221</v>
          </cell>
        </row>
        <row r="565">
          <cell r="B565">
            <v>222</v>
          </cell>
        </row>
        <row r="566">
          <cell r="B566">
            <v>1541</v>
          </cell>
        </row>
        <row r="567">
          <cell r="B567">
            <v>3170</v>
          </cell>
        </row>
        <row r="568">
          <cell r="B568">
            <v>223</v>
          </cell>
        </row>
        <row r="569">
          <cell r="B569">
            <v>1545</v>
          </cell>
        </row>
        <row r="570">
          <cell r="B570">
            <v>224</v>
          </cell>
        </row>
        <row r="571">
          <cell r="B571">
            <v>225</v>
          </cell>
        </row>
        <row r="572">
          <cell r="B572">
            <v>1948</v>
          </cell>
        </row>
        <row r="573">
          <cell r="B573">
            <v>2272</v>
          </cell>
        </row>
        <row r="574">
          <cell r="B574">
            <v>226</v>
          </cell>
        </row>
        <row r="575">
          <cell r="B575">
            <v>227</v>
          </cell>
        </row>
        <row r="576">
          <cell r="B576">
            <v>1547</v>
          </cell>
        </row>
        <row r="577">
          <cell r="B577">
            <v>228</v>
          </cell>
        </row>
        <row r="578">
          <cell r="B578">
            <v>229</v>
          </cell>
        </row>
        <row r="579">
          <cell r="B579">
            <v>230</v>
          </cell>
        </row>
        <row r="580">
          <cell r="B580">
            <v>3132</v>
          </cell>
        </row>
        <row r="581">
          <cell r="B581">
            <v>1334</v>
          </cell>
        </row>
        <row r="582">
          <cell r="B582">
            <v>231</v>
          </cell>
        </row>
        <row r="583">
          <cell r="B583">
            <v>2990</v>
          </cell>
        </row>
        <row r="584">
          <cell r="B584">
            <v>2277</v>
          </cell>
        </row>
        <row r="585">
          <cell r="B585">
            <v>232</v>
          </cell>
        </row>
        <row r="586">
          <cell r="B586">
            <v>233</v>
          </cell>
        </row>
        <row r="587">
          <cell r="B587">
            <v>234</v>
          </cell>
        </row>
        <row r="588">
          <cell r="B588">
            <v>1289</v>
          </cell>
        </row>
        <row r="589">
          <cell r="B589">
            <v>3039</v>
          </cell>
        </row>
        <row r="590">
          <cell r="B590">
            <v>235</v>
          </cell>
        </row>
        <row r="591">
          <cell r="B591">
            <v>236</v>
          </cell>
        </row>
        <row r="592">
          <cell r="B592">
            <v>3056</v>
          </cell>
        </row>
        <row r="593">
          <cell r="B593">
            <v>1288</v>
          </cell>
        </row>
        <row r="594">
          <cell r="B594">
            <v>1586</v>
          </cell>
        </row>
        <row r="595">
          <cell r="B595">
            <v>2</v>
          </cell>
        </row>
        <row r="596">
          <cell r="B596">
            <v>1588</v>
          </cell>
        </row>
        <row r="597">
          <cell r="B597">
            <v>1587</v>
          </cell>
        </row>
        <row r="598">
          <cell r="B598">
            <v>1589</v>
          </cell>
        </row>
        <row r="599">
          <cell r="B599">
            <v>1590</v>
          </cell>
        </row>
        <row r="600">
          <cell r="B600">
            <v>1591</v>
          </cell>
        </row>
        <row r="601">
          <cell r="B601">
            <v>1593</v>
          </cell>
        </row>
        <row r="602">
          <cell r="B602">
            <v>1592</v>
          </cell>
        </row>
        <row r="603">
          <cell r="B603">
            <v>1594</v>
          </cell>
        </row>
        <row r="604">
          <cell r="B604">
            <v>1595</v>
          </cell>
        </row>
        <row r="605">
          <cell r="B605">
            <v>1596</v>
          </cell>
        </row>
        <row r="606">
          <cell r="B606">
            <v>1600</v>
          </cell>
        </row>
        <row r="607">
          <cell r="B607">
            <v>1597</v>
          </cell>
        </row>
        <row r="608">
          <cell r="B608">
            <v>1598</v>
          </cell>
        </row>
        <row r="609">
          <cell r="B609">
            <v>1599</v>
          </cell>
        </row>
        <row r="610">
          <cell r="B610">
            <v>1601</v>
          </cell>
        </row>
        <row r="611">
          <cell r="B611">
            <v>1602</v>
          </cell>
        </row>
        <row r="612">
          <cell r="B612">
            <v>1603</v>
          </cell>
        </row>
        <row r="613">
          <cell r="B613">
            <v>1606</v>
          </cell>
        </row>
        <row r="614">
          <cell r="B614">
            <v>1605</v>
          </cell>
        </row>
        <row r="615">
          <cell r="B615">
            <v>1604</v>
          </cell>
        </row>
        <row r="616">
          <cell r="B616">
            <v>1607</v>
          </cell>
        </row>
        <row r="617">
          <cell r="B617">
            <v>1608</v>
          </cell>
        </row>
        <row r="618">
          <cell r="B618">
            <v>1610</v>
          </cell>
        </row>
        <row r="619">
          <cell r="B619">
            <v>1609</v>
          </cell>
        </row>
        <row r="620">
          <cell r="B620">
            <v>1611</v>
          </cell>
        </row>
        <row r="621">
          <cell r="B621">
            <v>1618</v>
          </cell>
        </row>
        <row r="622">
          <cell r="B622">
            <v>1619</v>
          </cell>
        </row>
        <row r="623">
          <cell r="B623">
            <v>1612</v>
          </cell>
        </row>
        <row r="624">
          <cell r="B624">
            <v>1614</v>
          </cell>
        </row>
        <row r="625">
          <cell r="B625">
            <v>1615</v>
          </cell>
        </row>
        <row r="626">
          <cell r="B626">
            <v>1616</v>
          </cell>
        </row>
        <row r="627">
          <cell r="B627">
            <v>1613</v>
          </cell>
        </row>
        <row r="628">
          <cell r="B628">
            <v>1617</v>
          </cell>
        </row>
        <row r="629">
          <cell r="B629">
            <v>1620</v>
          </cell>
        </row>
        <row r="630">
          <cell r="B630">
            <v>1621</v>
          </cell>
        </row>
        <row r="631">
          <cell r="B631">
            <v>1622</v>
          </cell>
        </row>
        <row r="632">
          <cell r="B632">
            <v>1623</v>
          </cell>
        </row>
        <row r="633">
          <cell r="B633">
            <v>1624</v>
          </cell>
        </row>
        <row r="634">
          <cell r="B634">
            <v>1625</v>
          </cell>
        </row>
        <row r="635">
          <cell r="B635">
            <v>1626</v>
          </cell>
        </row>
        <row r="636">
          <cell r="B636">
            <v>1627</v>
          </cell>
        </row>
        <row r="637">
          <cell r="B637">
            <v>1628</v>
          </cell>
        </row>
        <row r="638">
          <cell r="B638">
            <v>10</v>
          </cell>
        </row>
        <row r="639">
          <cell r="B639">
            <v>1629</v>
          </cell>
        </row>
        <row r="640">
          <cell r="B640">
            <v>1631</v>
          </cell>
        </row>
        <row r="641">
          <cell r="B641">
            <v>1630</v>
          </cell>
        </row>
        <row r="642">
          <cell r="B642">
            <v>1632</v>
          </cell>
        </row>
        <row r="643">
          <cell r="B643">
            <v>1634</v>
          </cell>
        </row>
        <row r="644">
          <cell r="B644">
            <v>1633</v>
          </cell>
        </row>
        <row r="645">
          <cell r="B645">
            <v>1635</v>
          </cell>
        </row>
        <row r="646">
          <cell r="B646">
            <v>2974</v>
          </cell>
        </row>
        <row r="647">
          <cell r="B647">
            <v>237</v>
          </cell>
        </row>
        <row r="648">
          <cell r="B648">
            <v>2762</v>
          </cell>
        </row>
        <row r="649">
          <cell r="B649">
            <v>2995</v>
          </cell>
        </row>
        <row r="650">
          <cell r="B650">
            <v>238</v>
          </cell>
        </row>
        <row r="651">
          <cell r="B651">
            <v>239</v>
          </cell>
        </row>
        <row r="652">
          <cell r="B652">
            <v>2315</v>
          </cell>
        </row>
        <row r="653">
          <cell r="B653">
            <v>240</v>
          </cell>
        </row>
        <row r="654">
          <cell r="B654">
            <v>241</v>
          </cell>
        </row>
        <row r="655">
          <cell r="B655">
            <v>242</v>
          </cell>
        </row>
        <row r="656">
          <cell r="B656">
            <v>2398</v>
          </cell>
        </row>
        <row r="657">
          <cell r="B657">
            <v>3145</v>
          </cell>
        </row>
        <row r="658">
          <cell r="B658">
            <v>243</v>
          </cell>
        </row>
        <row r="659">
          <cell r="B659">
            <v>3197</v>
          </cell>
        </row>
        <row r="660">
          <cell r="B660">
            <v>1579</v>
          </cell>
        </row>
        <row r="661">
          <cell r="B661">
            <v>244</v>
          </cell>
        </row>
        <row r="662">
          <cell r="B662">
            <v>3096</v>
          </cell>
        </row>
        <row r="663">
          <cell r="B663">
            <v>245</v>
          </cell>
        </row>
        <row r="664">
          <cell r="B664">
            <v>1957</v>
          </cell>
        </row>
        <row r="665">
          <cell r="B665">
            <v>246</v>
          </cell>
        </row>
        <row r="666">
          <cell r="B666">
            <v>2202</v>
          </cell>
        </row>
        <row r="667">
          <cell r="B667">
            <v>1965</v>
          </cell>
        </row>
        <row r="668">
          <cell r="B668">
            <v>247</v>
          </cell>
        </row>
        <row r="669">
          <cell r="B669">
            <v>248</v>
          </cell>
        </row>
        <row r="670">
          <cell r="B670">
            <v>1290</v>
          </cell>
        </row>
        <row r="671">
          <cell r="B671">
            <v>249</v>
          </cell>
        </row>
        <row r="672">
          <cell r="B672">
            <v>2856</v>
          </cell>
        </row>
        <row r="673">
          <cell r="B673">
            <v>250</v>
          </cell>
        </row>
        <row r="674">
          <cell r="B674">
            <v>251</v>
          </cell>
        </row>
        <row r="675">
          <cell r="B675">
            <v>2341</v>
          </cell>
        </row>
        <row r="676">
          <cell r="B676">
            <v>3024</v>
          </cell>
        </row>
        <row r="677">
          <cell r="B677">
            <v>1546</v>
          </cell>
        </row>
        <row r="678">
          <cell r="B678">
            <v>3408</v>
          </cell>
        </row>
        <row r="679">
          <cell r="B679">
            <v>252</v>
          </cell>
        </row>
        <row r="680">
          <cell r="B680">
            <v>253</v>
          </cell>
        </row>
        <row r="681">
          <cell r="B681">
            <v>1292</v>
          </cell>
        </row>
        <row r="682">
          <cell r="B682">
            <v>254</v>
          </cell>
        </row>
        <row r="683">
          <cell r="B683">
            <v>255</v>
          </cell>
        </row>
        <row r="684">
          <cell r="B684">
            <v>1291</v>
          </cell>
        </row>
        <row r="685">
          <cell r="B685">
            <v>256</v>
          </cell>
        </row>
        <row r="686">
          <cell r="B686">
            <v>257</v>
          </cell>
        </row>
        <row r="687">
          <cell r="B687">
            <v>258</v>
          </cell>
        </row>
        <row r="688">
          <cell r="B688">
            <v>259</v>
          </cell>
        </row>
        <row r="689">
          <cell r="B689">
            <v>2781</v>
          </cell>
        </row>
        <row r="690">
          <cell r="B690">
            <v>260</v>
          </cell>
        </row>
        <row r="691">
          <cell r="B691">
            <v>2669</v>
          </cell>
        </row>
        <row r="692">
          <cell r="B692">
            <v>261</v>
          </cell>
        </row>
        <row r="693">
          <cell r="B693">
            <v>1949</v>
          </cell>
        </row>
        <row r="694">
          <cell r="B694">
            <v>262</v>
          </cell>
        </row>
        <row r="695">
          <cell r="B695">
            <v>1335</v>
          </cell>
        </row>
        <row r="696">
          <cell r="B696">
            <v>263</v>
          </cell>
        </row>
        <row r="697">
          <cell r="B697">
            <v>264</v>
          </cell>
        </row>
        <row r="698">
          <cell r="B698">
            <v>265</v>
          </cell>
        </row>
        <row r="699">
          <cell r="B699">
            <v>2354</v>
          </cell>
        </row>
        <row r="700">
          <cell r="B700">
            <v>266</v>
          </cell>
        </row>
        <row r="701">
          <cell r="B701">
            <v>267</v>
          </cell>
        </row>
        <row r="702">
          <cell r="B702">
            <v>2295</v>
          </cell>
        </row>
        <row r="703">
          <cell r="B703">
            <v>268</v>
          </cell>
        </row>
        <row r="704">
          <cell r="B704">
            <v>269</v>
          </cell>
        </row>
        <row r="705">
          <cell r="B705">
            <v>2816</v>
          </cell>
        </row>
        <row r="706">
          <cell r="B706">
            <v>2839</v>
          </cell>
        </row>
        <row r="707">
          <cell r="B707">
            <v>2362</v>
          </cell>
        </row>
        <row r="708">
          <cell r="B708">
            <v>3057</v>
          </cell>
        </row>
        <row r="709">
          <cell r="B709">
            <v>3013</v>
          </cell>
        </row>
        <row r="710">
          <cell r="B710">
            <v>2789</v>
          </cell>
        </row>
        <row r="711">
          <cell r="B711">
            <v>1293</v>
          </cell>
        </row>
        <row r="712">
          <cell r="B712">
            <v>2384</v>
          </cell>
        </row>
        <row r="713">
          <cell r="B713">
            <v>2772</v>
          </cell>
        </row>
        <row r="714">
          <cell r="B714">
            <v>270</v>
          </cell>
        </row>
        <row r="715">
          <cell r="B715">
            <v>271</v>
          </cell>
        </row>
        <row r="716">
          <cell r="B716">
            <v>2488</v>
          </cell>
        </row>
        <row r="717">
          <cell r="B717">
            <v>2770</v>
          </cell>
        </row>
        <row r="718">
          <cell r="B718">
            <v>1561</v>
          </cell>
        </row>
        <row r="719">
          <cell r="B719">
            <v>272</v>
          </cell>
        </row>
        <row r="720">
          <cell r="B720">
            <v>273</v>
          </cell>
        </row>
        <row r="721">
          <cell r="B721">
            <v>2646</v>
          </cell>
        </row>
        <row r="722">
          <cell r="B722">
            <v>3519</v>
          </cell>
        </row>
        <row r="723">
          <cell r="B723">
            <v>1294</v>
          </cell>
        </row>
        <row r="724">
          <cell r="B724">
            <v>274</v>
          </cell>
        </row>
        <row r="725">
          <cell r="B725">
            <v>2409</v>
          </cell>
        </row>
        <row r="726">
          <cell r="B726">
            <v>275</v>
          </cell>
        </row>
        <row r="727">
          <cell r="B727">
            <v>2367</v>
          </cell>
        </row>
        <row r="728">
          <cell r="B728">
            <v>1951</v>
          </cell>
        </row>
        <row r="729">
          <cell r="B729">
            <v>276</v>
          </cell>
        </row>
        <row r="730">
          <cell r="B730">
            <v>3186</v>
          </cell>
        </row>
        <row r="731">
          <cell r="B731">
            <v>1295</v>
          </cell>
        </row>
        <row r="732">
          <cell r="B732">
            <v>277</v>
          </cell>
        </row>
        <row r="733">
          <cell r="B733">
            <v>1296</v>
          </cell>
        </row>
        <row r="734">
          <cell r="B734">
            <v>3123</v>
          </cell>
        </row>
        <row r="735">
          <cell r="B735">
            <v>1297</v>
          </cell>
        </row>
        <row r="736">
          <cell r="B736">
            <v>1298</v>
          </cell>
        </row>
        <row r="737">
          <cell r="B737">
            <v>278</v>
          </cell>
        </row>
        <row r="738">
          <cell r="B738">
            <v>2767</v>
          </cell>
        </row>
        <row r="739">
          <cell r="B739">
            <v>3246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A3DE0-3E4C-4EB6-B793-475AED8CA62B}">
  <dimension ref="A1:F65"/>
  <sheetViews>
    <sheetView topLeftCell="B1" workbookViewId="0">
      <selection sqref="A1:XFD1048576"/>
    </sheetView>
  </sheetViews>
  <sheetFormatPr defaultRowHeight="14.5" x14ac:dyDescent="0.35"/>
  <cols>
    <col min="1" max="1" width="46.54296875" bestFit="1" customWidth="1"/>
    <col min="2" max="2" width="30.26953125" bestFit="1" customWidth="1"/>
    <col min="3" max="3" width="10.08984375" bestFit="1" customWidth="1"/>
    <col min="4" max="4" width="18.08984375" bestFit="1" customWidth="1"/>
    <col min="5" max="5" width="46.7265625" bestFit="1" customWidth="1"/>
    <col min="6" max="6" width="28.1796875" bestFit="1" customWidth="1"/>
  </cols>
  <sheetData>
    <row r="1" spans="1: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 t="s">
        <v>6</v>
      </c>
      <c r="B2" s="1" t="s">
        <v>7</v>
      </c>
      <c r="C2" s="3"/>
      <c r="D2" s="4"/>
      <c r="E2" s="4"/>
      <c r="F2" s="4"/>
    </row>
    <row r="3" spans="1:6" x14ac:dyDescent="0.35">
      <c r="A3" s="5" t="s">
        <v>8</v>
      </c>
      <c r="B3" s="5" t="s">
        <v>9</v>
      </c>
      <c r="C3" s="6">
        <v>45869</v>
      </c>
      <c r="D3" s="7" t="s">
        <v>10</v>
      </c>
      <c r="E3" s="7" t="s">
        <v>11</v>
      </c>
      <c r="F3" s="7" t="s">
        <v>12</v>
      </c>
    </row>
    <row r="4" spans="1:6" x14ac:dyDescent="0.35">
      <c r="A4" s="5" t="s">
        <v>8</v>
      </c>
      <c r="B4" s="5" t="s">
        <v>9</v>
      </c>
      <c r="C4" s="6">
        <v>45869</v>
      </c>
      <c r="D4" s="7" t="s">
        <v>13</v>
      </c>
      <c r="E4" s="7" t="s">
        <v>11</v>
      </c>
      <c r="F4" s="7" t="s">
        <v>12</v>
      </c>
    </row>
    <row r="5" spans="1:6" x14ac:dyDescent="0.35">
      <c r="A5" s="5" t="s">
        <v>8</v>
      </c>
      <c r="B5" s="5" t="s">
        <v>9</v>
      </c>
      <c r="C5" s="6">
        <v>45869</v>
      </c>
      <c r="D5" s="7" t="s">
        <v>14</v>
      </c>
      <c r="E5" s="7" t="s">
        <v>15</v>
      </c>
      <c r="F5" s="7" t="s">
        <v>12</v>
      </c>
    </row>
    <row r="6" spans="1:6" x14ac:dyDescent="0.35">
      <c r="A6" s="5" t="s">
        <v>8</v>
      </c>
      <c r="B6" s="5" t="s">
        <v>9</v>
      </c>
      <c r="C6" s="6">
        <v>45869</v>
      </c>
      <c r="D6" s="7" t="s">
        <v>16</v>
      </c>
      <c r="E6" s="7" t="s">
        <v>11</v>
      </c>
      <c r="F6" s="7" t="s">
        <v>12</v>
      </c>
    </row>
    <row r="7" spans="1:6" x14ac:dyDescent="0.35">
      <c r="A7" s="5" t="s">
        <v>8</v>
      </c>
      <c r="B7" s="5" t="s">
        <v>9</v>
      </c>
      <c r="C7" s="6">
        <v>45869</v>
      </c>
      <c r="D7" s="7" t="s">
        <v>17</v>
      </c>
      <c r="E7" s="7" t="s">
        <v>11</v>
      </c>
      <c r="F7" s="7" t="s">
        <v>12</v>
      </c>
    </row>
    <row r="8" spans="1:6" x14ac:dyDescent="0.35">
      <c r="A8" s="5" t="s">
        <v>8</v>
      </c>
      <c r="B8" s="5" t="s">
        <v>9</v>
      </c>
      <c r="C8" s="6">
        <v>45869</v>
      </c>
      <c r="D8" s="7" t="s">
        <v>18</v>
      </c>
      <c r="E8" s="7" t="s">
        <v>11</v>
      </c>
      <c r="F8" s="7" t="s">
        <v>12</v>
      </c>
    </row>
    <row r="9" spans="1:6" x14ac:dyDescent="0.35">
      <c r="A9" s="5" t="s">
        <v>8</v>
      </c>
      <c r="B9" s="5" t="s">
        <v>9</v>
      </c>
      <c r="C9" s="6">
        <v>45869</v>
      </c>
      <c r="D9" s="7" t="s">
        <v>19</v>
      </c>
      <c r="E9" s="7" t="s">
        <v>11</v>
      </c>
      <c r="F9" s="7" t="s">
        <v>12</v>
      </c>
    </row>
    <row r="10" spans="1:6" x14ac:dyDescent="0.35">
      <c r="A10" s="5" t="s">
        <v>8</v>
      </c>
      <c r="B10" s="5" t="s">
        <v>9</v>
      </c>
      <c r="C10" s="6">
        <v>45869</v>
      </c>
      <c r="D10" s="7" t="s">
        <v>20</v>
      </c>
      <c r="E10" s="7" t="s">
        <v>11</v>
      </c>
      <c r="F10" s="7" t="s">
        <v>12</v>
      </c>
    </row>
    <row r="11" spans="1:6" x14ac:dyDescent="0.35">
      <c r="A11" s="5" t="s">
        <v>8</v>
      </c>
      <c r="B11" s="5" t="s">
        <v>9</v>
      </c>
      <c r="C11" s="6">
        <v>45869</v>
      </c>
      <c r="D11" s="7">
        <v>20250209</v>
      </c>
      <c r="E11" s="7" t="s">
        <v>21</v>
      </c>
      <c r="F11" s="7" t="s">
        <v>12</v>
      </c>
    </row>
    <row r="12" spans="1:6" x14ac:dyDescent="0.35">
      <c r="A12" s="5" t="s">
        <v>8</v>
      </c>
      <c r="B12" s="5" t="s">
        <v>9</v>
      </c>
      <c r="C12" s="6">
        <v>45869</v>
      </c>
      <c r="D12" s="7">
        <v>20250180</v>
      </c>
      <c r="E12" s="7" t="s">
        <v>21</v>
      </c>
      <c r="F12" s="7" t="s">
        <v>12</v>
      </c>
    </row>
    <row r="13" spans="1:6" x14ac:dyDescent="0.35">
      <c r="A13" s="5" t="s">
        <v>8</v>
      </c>
      <c r="B13" s="5" t="s">
        <v>9</v>
      </c>
      <c r="C13" s="6">
        <v>45869</v>
      </c>
      <c r="D13" s="7" t="s">
        <v>22</v>
      </c>
      <c r="E13" s="7" t="s">
        <v>11</v>
      </c>
      <c r="F13" s="7" t="s">
        <v>12</v>
      </c>
    </row>
    <row r="14" spans="1:6" x14ac:dyDescent="0.35">
      <c r="A14" s="5" t="s">
        <v>8</v>
      </c>
      <c r="B14" s="5" t="s">
        <v>9</v>
      </c>
      <c r="C14" s="6">
        <v>45869</v>
      </c>
      <c r="D14" s="7" t="s">
        <v>23</v>
      </c>
      <c r="E14" s="7" t="s">
        <v>15</v>
      </c>
      <c r="F14" s="7" t="s">
        <v>12</v>
      </c>
    </row>
    <row r="15" spans="1:6" x14ac:dyDescent="0.35">
      <c r="A15" s="5" t="s">
        <v>8</v>
      </c>
      <c r="B15" s="5" t="s">
        <v>9</v>
      </c>
      <c r="C15" s="6">
        <v>45869</v>
      </c>
      <c r="D15" s="7" t="s">
        <v>24</v>
      </c>
      <c r="E15" s="7" t="s">
        <v>11</v>
      </c>
      <c r="F15" s="7" t="s">
        <v>12</v>
      </c>
    </row>
    <row r="16" spans="1:6" x14ac:dyDescent="0.35">
      <c r="A16" s="5" t="s">
        <v>8</v>
      </c>
      <c r="B16" s="5" t="s">
        <v>9</v>
      </c>
      <c r="C16" s="6">
        <v>45869</v>
      </c>
      <c r="D16" s="7" t="s">
        <v>25</v>
      </c>
      <c r="E16" s="7" t="s">
        <v>26</v>
      </c>
      <c r="F16" s="7" t="s">
        <v>12</v>
      </c>
    </row>
    <row r="17" spans="1:6" x14ac:dyDescent="0.35">
      <c r="A17" s="5" t="s">
        <v>8</v>
      </c>
      <c r="B17" s="5" t="s">
        <v>9</v>
      </c>
      <c r="C17" s="6">
        <v>45869</v>
      </c>
      <c r="D17" s="7" t="s">
        <v>27</v>
      </c>
      <c r="E17" s="7" t="s">
        <v>11</v>
      </c>
      <c r="F17" s="7" t="s">
        <v>12</v>
      </c>
    </row>
    <row r="18" spans="1:6" x14ac:dyDescent="0.35">
      <c r="A18" s="5" t="s">
        <v>8</v>
      </c>
      <c r="B18" s="5" t="s">
        <v>9</v>
      </c>
      <c r="C18" s="6">
        <v>45869</v>
      </c>
      <c r="D18" s="7">
        <v>20250179</v>
      </c>
      <c r="E18" s="7" t="s">
        <v>21</v>
      </c>
      <c r="F18" s="7" t="s">
        <v>12</v>
      </c>
    </row>
    <row r="19" spans="1:6" x14ac:dyDescent="0.35">
      <c r="A19" s="5" t="s">
        <v>8</v>
      </c>
      <c r="B19" s="5" t="s">
        <v>9</v>
      </c>
      <c r="C19" s="6">
        <v>45869</v>
      </c>
      <c r="D19" s="7" t="s">
        <v>28</v>
      </c>
      <c r="E19" s="7" t="s">
        <v>15</v>
      </c>
      <c r="F19" s="7" t="s">
        <v>12</v>
      </c>
    </row>
    <row r="20" spans="1:6" x14ac:dyDescent="0.35">
      <c r="A20" s="5" t="s">
        <v>8</v>
      </c>
      <c r="B20" s="5" t="s">
        <v>9</v>
      </c>
      <c r="C20" s="6">
        <v>45869</v>
      </c>
      <c r="D20" s="7" t="s">
        <v>29</v>
      </c>
      <c r="E20" s="7" t="s">
        <v>30</v>
      </c>
      <c r="F20" s="7" t="s">
        <v>12</v>
      </c>
    </row>
    <row r="21" spans="1:6" x14ac:dyDescent="0.35">
      <c r="A21" s="5" t="s">
        <v>8</v>
      </c>
      <c r="B21" s="5" t="s">
        <v>9</v>
      </c>
      <c r="C21" s="6">
        <v>45869</v>
      </c>
      <c r="D21" s="7">
        <v>9</v>
      </c>
      <c r="E21" s="7" t="s">
        <v>31</v>
      </c>
      <c r="F21" s="7" t="s">
        <v>12</v>
      </c>
    </row>
    <row r="22" spans="1:6" x14ac:dyDescent="0.35">
      <c r="A22" s="5" t="s">
        <v>8</v>
      </c>
      <c r="B22" s="5" t="s">
        <v>9</v>
      </c>
      <c r="C22" s="6">
        <v>45869</v>
      </c>
      <c r="D22" s="7" t="s">
        <v>32</v>
      </c>
      <c r="E22" s="7" t="s">
        <v>11</v>
      </c>
      <c r="F22" s="7" t="s">
        <v>12</v>
      </c>
    </row>
    <row r="23" spans="1:6" x14ac:dyDescent="0.35">
      <c r="A23" s="5" t="s">
        <v>8</v>
      </c>
      <c r="B23" s="5" t="s">
        <v>9</v>
      </c>
      <c r="C23" s="6">
        <v>45869</v>
      </c>
      <c r="D23" s="7" t="s">
        <v>33</v>
      </c>
      <c r="E23" s="7" t="s">
        <v>30</v>
      </c>
      <c r="F23" s="7" t="s">
        <v>12</v>
      </c>
    </row>
    <row r="24" spans="1:6" x14ac:dyDescent="0.35">
      <c r="A24" s="5" t="s">
        <v>8</v>
      </c>
      <c r="B24" s="5" t="s">
        <v>9</v>
      </c>
      <c r="C24" s="6">
        <v>45869</v>
      </c>
      <c r="D24" s="7" t="s">
        <v>34</v>
      </c>
      <c r="E24" s="7" t="s">
        <v>30</v>
      </c>
      <c r="F24" s="7" t="s">
        <v>12</v>
      </c>
    </row>
    <row r="25" spans="1:6" x14ac:dyDescent="0.35">
      <c r="A25" s="5" t="s">
        <v>8</v>
      </c>
      <c r="B25" s="5" t="s">
        <v>9</v>
      </c>
      <c r="C25" s="6">
        <v>45869</v>
      </c>
      <c r="D25" s="7">
        <v>20250263</v>
      </c>
      <c r="E25" s="7" t="s">
        <v>21</v>
      </c>
      <c r="F25" s="7" t="s">
        <v>12</v>
      </c>
    </row>
    <row r="26" spans="1:6" x14ac:dyDescent="0.35">
      <c r="A26" s="5" t="s">
        <v>8</v>
      </c>
      <c r="B26" s="5" t="s">
        <v>9</v>
      </c>
      <c r="C26" s="6">
        <v>45869</v>
      </c>
      <c r="D26" s="7">
        <v>20250275</v>
      </c>
      <c r="E26" s="7" t="s">
        <v>21</v>
      </c>
      <c r="F26" s="7" t="s">
        <v>12</v>
      </c>
    </row>
    <row r="27" spans="1:6" x14ac:dyDescent="0.35">
      <c r="A27" s="5" t="s">
        <v>8</v>
      </c>
      <c r="B27" s="5" t="s">
        <v>9</v>
      </c>
      <c r="C27" s="6">
        <v>45869</v>
      </c>
      <c r="D27" s="7" t="s">
        <v>35</v>
      </c>
      <c r="E27" s="7" t="s">
        <v>11</v>
      </c>
      <c r="F27" s="7" t="s">
        <v>12</v>
      </c>
    </row>
    <row r="28" spans="1:6" x14ac:dyDescent="0.35">
      <c r="A28" s="5" t="s">
        <v>8</v>
      </c>
      <c r="B28" s="5" t="s">
        <v>9</v>
      </c>
      <c r="C28" s="6">
        <v>45869</v>
      </c>
      <c r="D28" s="7" t="s">
        <v>36</v>
      </c>
      <c r="E28" s="7" t="s">
        <v>11</v>
      </c>
      <c r="F28" s="7" t="s">
        <v>12</v>
      </c>
    </row>
    <row r="29" spans="1:6" x14ac:dyDescent="0.35">
      <c r="A29" s="5" t="s">
        <v>8</v>
      </c>
      <c r="B29" s="5" t="s">
        <v>9</v>
      </c>
      <c r="C29" s="6">
        <v>45869</v>
      </c>
      <c r="D29" s="7">
        <v>20250316</v>
      </c>
      <c r="E29" s="7" t="s">
        <v>21</v>
      </c>
      <c r="F29" s="7" t="s">
        <v>12</v>
      </c>
    </row>
    <row r="30" spans="1:6" x14ac:dyDescent="0.35">
      <c r="A30" s="5" t="s">
        <v>8</v>
      </c>
      <c r="B30" s="5" t="s">
        <v>9</v>
      </c>
      <c r="C30" s="6">
        <v>45869</v>
      </c>
      <c r="D30" s="7" t="s">
        <v>37</v>
      </c>
      <c r="E30" s="7" t="s">
        <v>30</v>
      </c>
      <c r="F30" s="7" t="s">
        <v>12</v>
      </c>
    </row>
    <row r="31" spans="1:6" x14ac:dyDescent="0.35">
      <c r="A31" s="5" t="s">
        <v>8</v>
      </c>
      <c r="B31" s="5" t="s">
        <v>9</v>
      </c>
      <c r="C31" s="6">
        <v>45869</v>
      </c>
      <c r="D31" s="7">
        <v>28</v>
      </c>
      <c r="E31" s="7" t="s">
        <v>38</v>
      </c>
      <c r="F31" s="7" t="s">
        <v>12</v>
      </c>
    </row>
    <row r="32" spans="1:6" x14ac:dyDescent="0.35">
      <c r="A32" s="5" t="s">
        <v>8</v>
      </c>
      <c r="B32" s="5" t="s">
        <v>9</v>
      </c>
      <c r="C32" s="6">
        <v>45869</v>
      </c>
      <c r="D32" s="7" t="s">
        <v>39</v>
      </c>
      <c r="E32" s="7" t="s">
        <v>30</v>
      </c>
      <c r="F32" s="7" t="s">
        <v>12</v>
      </c>
    </row>
    <row r="33" spans="1:6" x14ac:dyDescent="0.35">
      <c r="A33" s="5" t="s">
        <v>8</v>
      </c>
      <c r="B33" s="5" t="s">
        <v>9</v>
      </c>
      <c r="C33" s="6">
        <v>45869</v>
      </c>
      <c r="D33" s="7" t="s">
        <v>40</v>
      </c>
      <c r="E33" s="7" t="s">
        <v>11</v>
      </c>
      <c r="F33" s="7" t="s">
        <v>12</v>
      </c>
    </row>
    <row r="34" spans="1:6" x14ac:dyDescent="0.35">
      <c r="A34" s="5" t="s">
        <v>8</v>
      </c>
      <c r="B34" s="5" t="s">
        <v>9</v>
      </c>
      <c r="C34" s="6">
        <v>45869</v>
      </c>
      <c r="D34" s="7" t="s">
        <v>41</v>
      </c>
      <c r="E34" s="7" t="s">
        <v>11</v>
      </c>
      <c r="F34" s="7" t="s">
        <v>12</v>
      </c>
    </row>
    <row r="35" spans="1:6" x14ac:dyDescent="0.35">
      <c r="A35" s="5" t="s">
        <v>8</v>
      </c>
      <c r="B35" s="5" t="s">
        <v>9</v>
      </c>
      <c r="C35" s="6">
        <v>45869</v>
      </c>
      <c r="D35" s="7" t="s">
        <v>42</v>
      </c>
      <c r="E35" s="7" t="s">
        <v>30</v>
      </c>
      <c r="F35" s="7" t="s">
        <v>12</v>
      </c>
    </row>
    <row r="36" spans="1:6" x14ac:dyDescent="0.35">
      <c r="A36" s="5" t="s">
        <v>8</v>
      </c>
      <c r="B36" s="5" t="s">
        <v>9</v>
      </c>
      <c r="C36" s="6">
        <v>45869</v>
      </c>
      <c r="D36" s="7" t="s">
        <v>43</v>
      </c>
      <c r="E36" s="7" t="s">
        <v>44</v>
      </c>
      <c r="F36" s="7" t="s">
        <v>12</v>
      </c>
    </row>
    <row r="37" spans="1:6" x14ac:dyDescent="0.35">
      <c r="A37" s="5" t="s">
        <v>8</v>
      </c>
      <c r="B37" s="5" t="s">
        <v>9</v>
      </c>
      <c r="C37" s="6">
        <v>45869</v>
      </c>
      <c r="D37" s="7" t="s">
        <v>45</v>
      </c>
      <c r="E37" s="7" t="s">
        <v>44</v>
      </c>
      <c r="F37" s="7" t="s">
        <v>12</v>
      </c>
    </row>
    <row r="38" spans="1:6" x14ac:dyDescent="0.35">
      <c r="A38" s="5" t="s">
        <v>8</v>
      </c>
      <c r="B38" s="5" t="s">
        <v>9</v>
      </c>
      <c r="C38" s="6">
        <v>45869</v>
      </c>
      <c r="D38" s="7" t="s">
        <v>46</v>
      </c>
      <c r="E38" s="7" t="s">
        <v>44</v>
      </c>
      <c r="F38" s="7" t="s">
        <v>12</v>
      </c>
    </row>
    <row r="39" spans="1:6" x14ac:dyDescent="0.35">
      <c r="A39" s="5" t="s">
        <v>8</v>
      </c>
      <c r="B39" s="5" t="s">
        <v>9</v>
      </c>
      <c r="C39" s="6">
        <v>45869</v>
      </c>
      <c r="D39" s="7" t="s">
        <v>47</v>
      </c>
      <c r="E39" s="7" t="s">
        <v>30</v>
      </c>
      <c r="F39" s="7" t="s">
        <v>12</v>
      </c>
    </row>
    <row r="40" spans="1:6" x14ac:dyDescent="0.35">
      <c r="A40" s="5" t="s">
        <v>8</v>
      </c>
      <c r="B40" s="5" t="s">
        <v>9</v>
      </c>
      <c r="C40" s="6">
        <v>45869</v>
      </c>
      <c r="D40" s="7" t="s">
        <v>48</v>
      </c>
      <c r="E40" s="7" t="s">
        <v>15</v>
      </c>
      <c r="F40" s="7" t="s">
        <v>12</v>
      </c>
    </row>
    <row r="41" spans="1:6" x14ac:dyDescent="0.35">
      <c r="A41" s="5" t="s">
        <v>8</v>
      </c>
      <c r="B41" s="5" t="s">
        <v>9</v>
      </c>
      <c r="C41" s="6">
        <v>45869</v>
      </c>
      <c r="D41" s="7" t="s">
        <v>49</v>
      </c>
      <c r="E41" s="7" t="s">
        <v>50</v>
      </c>
      <c r="F41" s="7" t="s">
        <v>12</v>
      </c>
    </row>
    <row r="42" spans="1:6" x14ac:dyDescent="0.35">
      <c r="A42" s="5" t="s">
        <v>8</v>
      </c>
      <c r="B42" s="5" t="s">
        <v>9</v>
      </c>
      <c r="C42" s="6">
        <v>45869</v>
      </c>
      <c r="D42" s="7">
        <v>20250213</v>
      </c>
      <c r="E42" s="7" t="s">
        <v>21</v>
      </c>
      <c r="F42" s="7" t="s">
        <v>12</v>
      </c>
    </row>
    <row r="43" spans="1:6" x14ac:dyDescent="0.35">
      <c r="A43" s="5" t="s">
        <v>8</v>
      </c>
      <c r="B43" s="5" t="s">
        <v>9</v>
      </c>
      <c r="C43" s="6">
        <v>45869</v>
      </c>
      <c r="D43" s="7">
        <v>20250416</v>
      </c>
      <c r="E43" s="7" t="s">
        <v>21</v>
      </c>
      <c r="F43" s="7" t="s">
        <v>12</v>
      </c>
    </row>
    <row r="44" spans="1:6" x14ac:dyDescent="0.35">
      <c r="A44" s="5" t="s">
        <v>8</v>
      </c>
      <c r="B44" s="5" t="s">
        <v>9</v>
      </c>
      <c r="C44" s="6">
        <v>45869</v>
      </c>
      <c r="D44" s="7" t="s">
        <v>51</v>
      </c>
      <c r="E44" s="7" t="s">
        <v>30</v>
      </c>
      <c r="F44" s="7" t="s">
        <v>12</v>
      </c>
    </row>
    <row r="45" spans="1:6" x14ac:dyDescent="0.35">
      <c r="A45" s="5" t="s">
        <v>8</v>
      </c>
      <c r="B45" s="5" t="s">
        <v>9</v>
      </c>
      <c r="C45" s="6">
        <v>45869</v>
      </c>
      <c r="D45" s="7" t="s">
        <v>52</v>
      </c>
      <c r="E45" s="7" t="s">
        <v>53</v>
      </c>
      <c r="F45" s="7" t="s">
        <v>12</v>
      </c>
    </row>
    <row r="46" spans="1:6" x14ac:dyDescent="0.35">
      <c r="A46" s="5" t="s">
        <v>8</v>
      </c>
      <c r="B46" s="5" t="s">
        <v>9</v>
      </c>
      <c r="C46" s="6">
        <v>45869</v>
      </c>
      <c r="D46" s="7" t="s">
        <v>54</v>
      </c>
      <c r="E46" s="7" t="s">
        <v>53</v>
      </c>
      <c r="F46" s="7" t="s">
        <v>12</v>
      </c>
    </row>
    <row r="47" spans="1:6" x14ac:dyDescent="0.35">
      <c r="A47" s="5" t="s">
        <v>8</v>
      </c>
      <c r="B47" s="5" t="s">
        <v>9</v>
      </c>
      <c r="C47" s="6">
        <v>45869</v>
      </c>
      <c r="D47" s="7">
        <v>880</v>
      </c>
      <c r="E47" s="7" t="s">
        <v>55</v>
      </c>
      <c r="F47" s="7" t="s">
        <v>12</v>
      </c>
    </row>
    <row r="48" spans="1:6" x14ac:dyDescent="0.35">
      <c r="A48" s="5" t="s">
        <v>8</v>
      </c>
      <c r="B48" s="5" t="s">
        <v>9</v>
      </c>
      <c r="C48" s="6">
        <v>45869</v>
      </c>
      <c r="D48" s="7" t="s">
        <v>56</v>
      </c>
      <c r="E48" s="7" t="s">
        <v>44</v>
      </c>
      <c r="F48" s="7" t="s">
        <v>12</v>
      </c>
    </row>
    <row r="49" spans="1:6" x14ac:dyDescent="0.35">
      <c r="A49" s="5" t="s">
        <v>8</v>
      </c>
      <c r="B49" s="5" t="s">
        <v>9</v>
      </c>
      <c r="C49" s="6">
        <v>45869</v>
      </c>
      <c r="D49" s="7">
        <v>72500046</v>
      </c>
      <c r="E49" s="7" t="s">
        <v>57</v>
      </c>
      <c r="F49" s="7" t="s">
        <v>12</v>
      </c>
    </row>
    <row r="50" spans="1:6" x14ac:dyDescent="0.35">
      <c r="A50" s="5" t="s">
        <v>8</v>
      </c>
      <c r="B50" s="5" t="s">
        <v>9</v>
      </c>
      <c r="C50" s="6">
        <v>45869</v>
      </c>
      <c r="D50" s="7" t="s">
        <v>58</v>
      </c>
      <c r="E50" s="7" t="s">
        <v>30</v>
      </c>
      <c r="F50" s="7" t="s">
        <v>12</v>
      </c>
    </row>
    <row r="51" spans="1:6" x14ac:dyDescent="0.35">
      <c r="A51" s="5" t="s">
        <v>8</v>
      </c>
      <c r="B51" s="5" t="s">
        <v>9</v>
      </c>
      <c r="C51" s="6">
        <v>45869</v>
      </c>
      <c r="D51" s="7" t="s">
        <v>59</v>
      </c>
      <c r="E51" s="7" t="s">
        <v>44</v>
      </c>
      <c r="F51" s="7" t="s">
        <v>12</v>
      </c>
    </row>
    <row r="52" spans="1:6" x14ac:dyDescent="0.35">
      <c r="A52" s="5" t="s">
        <v>8</v>
      </c>
      <c r="B52" s="5" t="s">
        <v>9</v>
      </c>
      <c r="C52" s="6">
        <v>45869</v>
      </c>
      <c r="D52" s="7" t="s">
        <v>60</v>
      </c>
      <c r="E52" s="7" t="s">
        <v>30</v>
      </c>
      <c r="F52" s="7" t="s">
        <v>12</v>
      </c>
    </row>
    <row r="53" spans="1:6" x14ac:dyDescent="0.35">
      <c r="A53" s="5" t="s">
        <v>8</v>
      </c>
      <c r="B53" s="5" t="s">
        <v>9</v>
      </c>
      <c r="C53" s="6">
        <v>45869</v>
      </c>
      <c r="D53" s="7" t="s">
        <v>61</v>
      </c>
      <c r="E53" s="7" t="s">
        <v>62</v>
      </c>
      <c r="F53" s="7" t="s">
        <v>12</v>
      </c>
    </row>
    <row r="54" spans="1:6" x14ac:dyDescent="0.35">
      <c r="A54" s="5" t="s">
        <v>8</v>
      </c>
      <c r="B54" s="5" t="s">
        <v>9</v>
      </c>
      <c r="C54" s="6">
        <v>45869</v>
      </c>
      <c r="D54" s="7" t="s">
        <v>63</v>
      </c>
      <c r="E54" s="7" t="s">
        <v>64</v>
      </c>
      <c r="F54" s="7" t="s">
        <v>12</v>
      </c>
    </row>
    <row r="55" spans="1:6" x14ac:dyDescent="0.35">
      <c r="A55" s="5" t="s">
        <v>8</v>
      </c>
      <c r="B55" s="5" t="s">
        <v>9</v>
      </c>
      <c r="C55" s="6">
        <v>45869</v>
      </c>
      <c r="D55" s="7" t="s">
        <v>65</v>
      </c>
      <c r="E55" s="7" t="s">
        <v>53</v>
      </c>
      <c r="F55" s="7" t="s">
        <v>12</v>
      </c>
    </row>
    <row r="56" spans="1:6" x14ac:dyDescent="0.35">
      <c r="A56" s="5" t="s">
        <v>8</v>
      </c>
      <c r="B56" s="5" t="s">
        <v>9</v>
      </c>
      <c r="C56" s="6">
        <v>45869</v>
      </c>
      <c r="D56" s="7" t="s">
        <v>66</v>
      </c>
      <c r="E56" s="7" t="s">
        <v>53</v>
      </c>
      <c r="F56" s="7" t="s">
        <v>12</v>
      </c>
    </row>
    <row r="57" spans="1:6" x14ac:dyDescent="0.35">
      <c r="A57" s="5" t="s">
        <v>8</v>
      </c>
      <c r="B57" s="5" t="s">
        <v>9</v>
      </c>
      <c r="C57" s="6">
        <v>45869</v>
      </c>
      <c r="D57" s="7" t="s">
        <v>67</v>
      </c>
      <c r="E57" s="7" t="s">
        <v>30</v>
      </c>
      <c r="F57" s="7" t="s">
        <v>12</v>
      </c>
    </row>
    <row r="58" spans="1:6" x14ac:dyDescent="0.35">
      <c r="A58" s="5" t="s">
        <v>8</v>
      </c>
      <c r="B58" s="5" t="s">
        <v>9</v>
      </c>
      <c r="C58" s="6">
        <v>45869</v>
      </c>
      <c r="D58" s="7" t="s">
        <v>68</v>
      </c>
      <c r="E58" s="7" t="s">
        <v>53</v>
      </c>
      <c r="F58" s="7" t="s">
        <v>12</v>
      </c>
    </row>
    <row r="59" spans="1:6" x14ac:dyDescent="0.35">
      <c r="A59" s="5" t="s">
        <v>8</v>
      </c>
      <c r="B59" s="5" t="s">
        <v>9</v>
      </c>
      <c r="C59" s="6">
        <v>45869</v>
      </c>
      <c r="D59" s="7" t="s">
        <v>69</v>
      </c>
      <c r="E59" s="7" t="s">
        <v>53</v>
      </c>
      <c r="F59" s="7" t="s">
        <v>12</v>
      </c>
    </row>
    <row r="60" spans="1:6" x14ac:dyDescent="0.35">
      <c r="A60" s="5" t="s">
        <v>8</v>
      </c>
      <c r="B60" s="5" t="s">
        <v>9</v>
      </c>
      <c r="C60" s="6">
        <v>45869</v>
      </c>
      <c r="D60" s="7" t="s">
        <v>70</v>
      </c>
      <c r="E60" s="7" t="s">
        <v>30</v>
      </c>
      <c r="F60" s="7" t="s">
        <v>12</v>
      </c>
    </row>
    <row r="61" spans="1:6" x14ac:dyDescent="0.35">
      <c r="A61" s="5" t="s">
        <v>8</v>
      </c>
      <c r="B61" s="5" t="s">
        <v>9</v>
      </c>
      <c r="C61" s="6">
        <v>45869</v>
      </c>
      <c r="D61" s="7" t="s">
        <v>71</v>
      </c>
      <c r="E61" s="7" t="s">
        <v>53</v>
      </c>
      <c r="F61" s="7" t="s">
        <v>12</v>
      </c>
    </row>
    <row r="62" spans="1:6" x14ac:dyDescent="0.35">
      <c r="A62" s="5" t="s">
        <v>8</v>
      </c>
      <c r="B62" s="5" t="s">
        <v>9</v>
      </c>
      <c r="C62" s="6">
        <v>45869</v>
      </c>
      <c r="D62" s="7" t="s">
        <v>72</v>
      </c>
      <c r="E62" s="7" t="s">
        <v>53</v>
      </c>
      <c r="F62" s="7" t="s">
        <v>12</v>
      </c>
    </row>
    <row r="63" spans="1:6" x14ac:dyDescent="0.35">
      <c r="A63" s="5" t="s">
        <v>8</v>
      </c>
      <c r="B63" s="5" t="s">
        <v>9</v>
      </c>
      <c r="C63" s="6">
        <v>45869</v>
      </c>
      <c r="D63" s="7" t="s">
        <v>73</v>
      </c>
      <c r="E63" s="7" t="s">
        <v>53</v>
      </c>
      <c r="F63" s="7" t="s">
        <v>12</v>
      </c>
    </row>
    <row r="64" spans="1:6" x14ac:dyDescent="0.35">
      <c r="A64" s="5" t="s">
        <v>8</v>
      </c>
      <c r="B64" s="5" t="s">
        <v>9</v>
      </c>
      <c r="C64" s="6">
        <v>45869</v>
      </c>
      <c r="D64" s="7" t="s">
        <v>74</v>
      </c>
      <c r="E64" s="7" t="s">
        <v>53</v>
      </c>
      <c r="F64" s="7" t="s">
        <v>12</v>
      </c>
    </row>
    <row r="65" spans="1:6" x14ac:dyDescent="0.35">
      <c r="A65" s="5" t="s">
        <v>8</v>
      </c>
      <c r="B65" s="5" t="s">
        <v>9</v>
      </c>
      <c r="C65" s="6">
        <v>45869</v>
      </c>
      <c r="D65" s="7" t="s">
        <v>75</v>
      </c>
      <c r="E65" s="7" t="s">
        <v>30</v>
      </c>
      <c r="F65" s="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1A29F-3A83-45FD-8E55-1591D51905BA}">
  <dimension ref="A1:I29"/>
  <sheetViews>
    <sheetView workbookViewId="0">
      <selection activeCell="B10" sqref="B10"/>
    </sheetView>
  </sheetViews>
  <sheetFormatPr defaultRowHeight="14.5" x14ac:dyDescent="0.35"/>
  <cols>
    <col min="1" max="1" width="45.81640625" style="8" customWidth="1"/>
    <col min="2" max="2" width="29.26953125" style="8" customWidth="1"/>
    <col min="3" max="3" width="17.81640625" style="8" customWidth="1"/>
    <col min="4" max="4" width="20.6328125" style="8" customWidth="1"/>
    <col min="5" max="5" width="29.54296875" style="8" customWidth="1"/>
    <col min="6" max="6" width="29.81640625" style="8" customWidth="1"/>
    <col min="7" max="7" width="13.26953125" style="8" customWidth="1"/>
  </cols>
  <sheetData>
    <row r="1" spans="1:9" x14ac:dyDescent="0.35">
      <c r="G1" s="9">
        <f>SUM(G4:G25)</f>
        <v>86444.78</v>
      </c>
      <c r="I1" s="8" t="s">
        <v>76</v>
      </c>
    </row>
    <row r="2" spans="1:9" x14ac:dyDescent="0.35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/>
      <c r="H2" s="10"/>
    </row>
    <row r="3" spans="1:9" x14ac:dyDescent="0.35">
      <c r="A3" s="1" t="s">
        <v>6</v>
      </c>
      <c r="B3" s="1" t="s">
        <v>7</v>
      </c>
      <c r="C3" s="3"/>
      <c r="D3" s="4"/>
      <c r="G3" s="4"/>
    </row>
    <row r="4" spans="1:9" x14ac:dyDescent="0.35">
      <c r="A4" s="5" t="s">
        <v>8</v>
      </c>
      <c r="B4" s="5" t="s">
        <v>9</v>
      </c>
      <c r="C4" s="11">
        <v>45894</v>
      </c>
      <c r="D4" s="7">
        <v>41279</v>
      </c>
      <c r="E4" t="s">
        <v>77</v>
      </c>
      <c r="F4" s="7" t="s">
        <v>78</v>
      </c>
      <c r="G4" s="12">
        <v>17342</v>
      </c>
    </row>
    <row r="5" spans="1:9" x14ac:dyDescent="0.35">
      <c r="A5" s="5" t="s">
        <v>8</v>
      </c>
      <c r="B5" s="5" t="s">
        <v>9</v>
      </c>
      <c r="C5" s="11">
        <v>45895</v>
      </c>
      <c r="D5" s="7">
        <v>20250414</v>
      </c>
      <c r="E5" t="s">
        <v>21</v>
      </c>
      <c r="F5" s="7" t="s">
        <v>78</v>
      </c>
      <c r="G5" s="12">
        <v>3785.09</v>
      </c>
    </row>
    <row r="6" spans="1:9" x14ac:dyDescent="0.35">
      <c r="A6" s="5" t="s">
        <v>8</v>
      </c>
      <c r="B6" s="5" t="s">
        <v>9</v>
      </c>
      <c r="C6" s="11">
        <v>45895</v>
      </c>
      <c r="D6" s="7" t="s">
        <v>79</v>
      </c>
      <c r="E6" t="s">
        <v>53</v>
      </c>
      <c r="F6" s="7" t="s">
        <v>78</v>
      </c>
      <c r="G6" s="12">
        <v>4162</v>
      </c>
    </row>
    <row r="7" spans="1:9" x14ac:dyDescent="0.35">
      <c r="A7" s="5" t="s">
        <v>8</v>
      </c>
      <c r="B7" s="5" t="s">
        <v>9</v>
      </c>
      <c r="C7" s="11">
        <v>45895</v>
      </c>
      <c r="D7" s="7" t="s">
        <v>79</v>
      </c>
      <c r="E7" t="s">
        <v>53</v>
      </c>
      <c r="F7" s="7" t="s">
        <v>78</v>
      </c>
      <c r="G7" s="12">
        <v>4528.0200000000004</v>
      </c>
    </row>
    <row r="8" spans="1:9" x14ac:dyDescent="0.35">
      <c r="A8" s="5" t="s">
        <v>8</v>
      </c>
      <c r="B8" s="5" t="s">
        <v>9</v>
      </c>
      <c r="C8" s="11">
        <v>45895</v>
      </c>
      <c r="D8" s="7" t="s">
        <v>79</v>
      </c>
      <c r="E8" t="s">
        <v>53</v>
      </c>
      <c r="F8" s="7" t="s">
        <v>78</v>
      </c>
      <c r="G8" s="12">
        <v>3271</v>
      </c>
    </row>
    <row r="9" spans="1:9" x14ac:dyDescent="0.35">
      <c r="A9" s="5" t="s">
        <v>8</v>
      </c>
      <c r="B9" s="5" t="s">
        <v>9</v>
      </c>
      <c r="C9" s="11">
        <v>45895</v>
      </c>
      <c r="D9" s="7" t="s">
        <v>80</v>
      </c>
      <c r="E9" t="s">
        <v>44</v>
      </c>
      <c r="F9" s="7" t="s">
        <v>78</v>
      </c>
      <c r="G9" s="12">
        <v>10500.4</v>
      </c>
    </row>
    <row r="10" spans="1:9" x14ac:dyDescent="0.35">
      <c r="A10" s="5" t="s">
        <v>8</v>
      </c>
      <c r="B10" s="5" t="s">
        <v>9</v>
      </c>
      <c r="C10" s="11">
        <v>45895</v>
      </c>
      <c r="D10" s="7" t="s">
        <v>81</v>
      </c>
      <c r="E10" t="s">
        <v>53</v>
      </c>
      <c r="F10" s="7" t="s">
        <v>78</v>
      </c>
      <c r="G10" s="12">
        <v>2527.1799999999998</v>
      </c>
    </row>
    <row r="11" spans="1:9" x14ac:dyDescent="0.35">
      <c r="A11" s="5" t="s">
        <v>8</v>
      </c>
      <c r="B11" s="5" t="s">
        <v>9</v>
      </c>
      <c r="C11" s="11">
        <v>45895</v>
      </c>
      <c r="D11" s="7" t="s">
        <v>81</v>
      </c>
      <c r="E11" t="s">
        <v>53</v>
      </c>
      <c r="F11" s="7" t="s">
        <v>78</v>
      </c>
      <c r="G11" s="12">
        <v>2527</v>
      </c>
    </row>
    <row r="12" spans="1:9" x14ac:dyDescent="0.35">
      <c r="A12" s="5" t="s">
        <v>8</v>
      </c>
      <c r="B12" s="5" t="s">
        <v>9</v>
      </c>
      <c r="C12" s="11">
        <v>45894</v>
      </c>
      <c r="D12" s="7" t="s">
        <v>82</v>
      </c>
      <c r="E12" t="s">
        <v>15</v>
      </c>
      <c r="F12" s="7" t="s">
        <v>78</v>
      </c>
      <c r="G12" s="12">
        <v>669</v>
      </c>
    </row>
    <row r="13" spans="1:9" x14ac:dyDescent="0.35">
      <c r="A13" s="5" t="s">
        <v>8</v>
      </c>
      <c r="B13" s="5" t="s">
        <v>9</v>
      </c>
      <c r="C13" s="11">
        <v>45894</v>
      </c>
      <c r="D13" s="7" t="s">
        <v>82</v>
      </c>
      <c r="E13" t="s">
        <v>15</v>
      </c>
      <c r="F13" s="7" t="s">
        <v>78</v>
      </c>
      <c r="G13" s="12">
        <v>670</v>
      </c>
    </row>
    <row r="14" spans="1:9" x14ac:dyDescent="0.35">
      <c r="A14" s="5" t="s">
        <v>8</v>
      </c>
      <c r="B14" s="5" t="s">
        <v>9</v>
      </c>
      <c r="C14" s="11">
        <v>45894</v>
      </c>
      <c r="D14" s="7" t="s">
        <v>82</v>
      </c>
      <c r="E14" t="s">
        <v>15</v>
      </c>
      <c r="F14" s="7" t="s">
        <v>78</v>
      </c>
      <c r="G14" s="12">
        <v>670</v>
      </c>
    </row>
    <row r="15" spans="1:9" x14ac:dyDescent="0.35">
      <c r="A15" s="5" t="s">
        <v>8</v>
      </c>
      <c r="B15" s="5" t="s">
        <v>9</v>
      </c>
      <c r="C15" s="11">
        <v>45894</v>
      </c>
      <c r="D15" s="7" t="s">
        <v>82</v>
      </c>
      <c r="E15" t="s">
        <v>15</v>
      </c>
      <c r="F15" s="7" t="s">
        <v>78</v>
      </c>
      <c r="G15" s="12">
        <v>669.86</v>
      </c>
    </row>
    <row r="16" spans="1:9" x14ac:dyDescent="0.35">
      <c r="A16" s="5" t="s">
        <v>8</v>
      </c>
      <c r="B16" s="5" t="s">
        <v>9</v>
      </c>
      <c r="C16" s="11">
        <v>45895</v>
      </c>
      <c r="D16" s="7" t="s">
        <v>83</v>
      </c>
      <c r="E16" t="s">
        <v>15</v>
      </c>
      <c r="F16" s="7" t="s">
        <v>78</v>
      </c>
      <c r="G16" s="12">
        <v>108.55</v>
      </c>
    </row>
    <row r="17" spans="1:7" x14ac:dyDescent="0.35">
      <c r="A17" s="5" t="s">
        <v>8</v>
      </c>
      <c r="B17" s="5" t="s">
        <v>9</v>
      </c>
      <c r="C17" s="11">
        <v>45895</v>
      </c>
      <c r="D17" s="7" t="s">
        <v>84</v>
      </c>
      <c r="E17" t="s">
        <v>15</v>
      </c>
      <c r="F17" s="7" t="s">
        <v>78</v>
      </c>
      <c r="G17" s="12">
        <v>1825.62</v>
      </c>
    </row>
    <row r="18" spans="1:7" x14ac:dyDescent="0.35">
      <c r="A18" s="5" t="s">
        <v>8</v>
      </c>
      <c r="B18" s="5" t="s">
        <v>9</v>
      </c>
      <c r="C18" s="11">
        <v>45895</v>
      </c>
      <c r="D18" s="7" t="s">
        <v>84</v>
      </c>
      <c r="E18" t="s">
        <v>15</v>
      </c>
      <c r="F18" s="7" t="s">
        <v>78</v>
      </c>
      <c r="G18" s="12">
        <v>1825</v>
      </c>
    </row>
    <row r="19" spans="1:7" x14ac:dyDescent="0.35">
      <c r="A19" s="5" t="s">
        <v>8</v>
      </c>
      <c r="B19" s="5" t="s">
        <v>9</v>
      </c>
      <c r="C19" s="11">
        <v>45894</v>
      </c>
      <c r="D19" s="7" t="s">
        <v>85</v>
      </c>
      <c r="E19" t="s">
        <v>86</v>
      </c>
      <c r="F19" s="7" t="s">
        <v>78</v>
      </c>
      <c r="G19" s="12">
        <v>17342.16</v>
      </c>
    </row>
    <row r="20" spans="1:7" x14ac:dyDescent="0.35">
      <c r="A20" s="5" t="s">
        <v>8</v>
      </c>
      <c r="B20" s="5" t="s">
        <v>9</v>
      </c>
      <c r="C20" s="11">
        <v>45895</v>
      </c>
      <c r="D20" s="7" t="s">
        <v>87</v>
      </c>
      <c r="E20" t="s">
        <v>88</v>
      </c>
      <c r="F20" s="7" t="s">
        <v>78</v>
      </c>
      <c r="G20" s="12">
        <v>78.08</v>
      </c>
    </row>
    <row r="21" spans="1:7" x14ac:dyDescent="0.35">
      <c r="A21" s="5" t="s">
        <v>8</v>
      </c>
      <c r="B21" s="5" t="s">
        <v>9</v>
      </c>
      <c r="C21" s="11">
        <v>45895</v>
      </c>
      <c r="D21" s="7" t="s">
        <v>89</v>
      </c>
      <c r="E21" t="s">
        <v>90</v>
      </c>
      <c r="F21" s="7" t="s">
        <v>78</v>
      </c>
      <c r="G21" s="12">
        <v>3625</v>
      </c>
    </row>
    <row r="22" spans="1:7" x14ac:dyDescent="0.35">
      <c r="A22" s="5" t="s">
        <v>8</v>
      </c>
      <c r="B22" s="5" t="s">
        <v>9</v>
      </c>
      <c r="C22" s="11">
        <v>45895</v>
      </c>
      <c r="D22" s="7" t="s">
        <v>89</v>
      </c>
      <c r="E22" t="s">
        <v>90</v>
      </c>
      <c r="F22" s="7" t="s">
        <v>78</v>
      </c>
      <c r="G22" s="12">
        <v>3624.25</v>
      </c>
    </row>
    <row r="23" spans="1:7" x14ac:dyDescent="0.35">
      <c r="A23" s="5" t="s">
        <v>8</v>
      </c>
      <c r="B23" s="5" t="s">
        <v>9</v>
      </c>
      <c r="C23" s="11">
        <v>45894</v>
      </c>
      <c r="D23" s="7" t="s">
        <v>29</v>
      </c>
      <c r="E23" t="s">
        <v>30</v>
      </c>
      <c r="F23" s="7" t="s">
        <v>78</v>
      </c>
      <c r="G23" s="12">
        <v>2599.9499999999998</v>
      </c>
    </row>
    <row r="24" spans="1:7" x14ac:dyDescent="0.35">
      <c r="A24" s="5" t="s">
        <v>8</v>
      </c>
      <c r="B24" s="5" t="s">
        <v>9</v>
      </c>
      <c r="C24" s="11">
        <v>45895</v>
      </c>
      <c r="D24" s="7" t="s">
        <v>91</v>
      </c>
      <c r="E24" t="s">
        <v>30</v>
      </c>
      <c r="F24" s="7" t="s">
        <v>78</v>
      </c>
      <c r="G24" s="12">
        <v>804.23</v>
      </c>
    </row>
    <row r="25" spans="1:7" x14ac:dyDescent="0.35">
      <c r="A25" s="5" t="s">
        <v>8</v>
      </c>
      <c r="B25" s="5" t="s">
        <v>9</v>
      </c>
      <c r="C25" s="11">
        <v>45895</v>
      </c>
      <c r="D25" s="7" t="s">
        <v>92</v>
      </c>
      <c r="E25" t="s">
        <v>64</v>
      </c>
      <c r="F25" s="7" t="s">
        <v>78</v>
      </c>
      <c r="G25" s="12">
        <v>3290.39</v>
      </c>
    </row>
    <row r="26" spans="1:7" x14ac:dyDescent="0.35">
      <c r="G26" s="12"/>
    </row>
    <row r="27" spans="1:7" x14ac:dyDescent="0.35">
      <c r="G27" s="12"/>
    </row>
    <row r="28" spans="1:7" x14ac:dyDescent="0.35">
      <c r="G28" s="12"/>
    </row>
    <row r="29" spans="1:7" x14ac:dyDescent="0.35">
      <c r="G29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39C1-D8D3-4751-AECB-9E9F3BF9BD2D}">
  <dimension ref="A1:L127"/>
  <sheetViews>
    <sheetView workbookViewId="0">
      <selection activeCell="C1" sqref="A1:XFD1048576"/>
    </sheetView>
  </sheetViews>
  <sheetFormatPr defaultColWidth="26.08984375" defaultRowHeight="14.5" x14ac:dyDescent="0.35"/>
  <cols>
    <col min="3" max="6" width="26.08984375" style="8"/>
    <col min="7" max="7" width="26.08984375" style="14"/>
    <col min="8" max="8" width="26.08984375" style="7"/>
    <col min="9" max="11" width="26.08984375" style="8"/>
  </cols>
  <sheetData>
    <row r="1" spans="1:12" s="16" customFormat="1" x14ac:dyDescent="0.35">
      <c r="A1" s="16" t="s">
        <v>109</v>
      </c>
      <c r="B1" s="16" t="s">
        <v>93</v>
      </c>
      <c r="C1" s="17" t="s">
        <v>94</v>
      </c>
      <c r="D1" s="17" t="s">
        <v>108</v>
      </c>
      <c r="E1" s="17" t="s">
        <v>95</v>
      </c>
      <c r="F1" s="18" t="s">
        <v>2</v>
      </c>
      <c r="G1" s="19" t="s">
        <v>3</v>
      </c>
      <c r="H1" s="20" t="s">
        <v>4</v>
      </c>
      <c r="I1" s="18" t="s">
        <v>107</v>
      </c>
      <c r="J1" s="18" t="s">
        <v>5</v>
      </c>
      <c r="K1" s="4" t="s">
        <v>96</v>
      </c>
      <c r="L1" s="18" t="s">
        <v>97</v>
      </c>
    </row>
    <row r="2" spans="1:12" x14ac:dyDescent="0.35">
      <c r="A2" t="s">
        <v>110</v>
      </c>
      <c r="B2">
        <v>1</v>
      </c>
      <c r="C2" s="5" t="s">
        <v>8</v>
      </c>
      <c r="D2" s="5">
        <v>966</v>
      </c>
      <c r="E2" s="5"/>
      <c r="F2" s="15">
        <v>45869</v>
      </c>
      <c r="G2" s="13" t="s">
        <v>10</v>
      </c>
      <c r="H2" s="7" t="s">
        <v>11</v>
      </c>
      <c r="I2" s="7" t="e">
        <f>VLOOKUP(H2,[1]Vendors!$B:$B,2,FALSE)</f>
        <v>#N/A</v>
      </c>
      <c r="J2" s="7" t="s">
        <v>12</v>
      </c>
      <c r="K2" s="12">
        <v>12</v>
      </c>
    </row>
    <row r="3" spans="1:12" x14ac:dyDescent="0.35">
      <c r="A3" t="s">
        <v>110</v>
      </c>
      <c r="B3">
        <v>1.5</v>
      </c>
      <c r="C3" s="5"/>
      <c r="D3" s="5">
        <v>979</v>
      </c>
      <c r="E3" s="5" t="s">
        <v>9</v>
      </c>
      <c r="F3" s="15">
        <v>45869</v>
      </c>
      <c r="G3" s="13" t="s">
        <v>10</v>
      </c>
      <c r="H3" s="7" t="s">
        <v>11</v>
      </c>
      <c r="I3" s="7" t="e">
        <f>VLOOKUP(H3,[1]Vendors!$B:$B,2,FALSE)</f>
        <v>#N/A</v>
      </c>
      <c r="J3" s="7" t="s">
        <v>12</v>
      </c>
      <c r="L3" s="12">
        <v>12</v>
      </c>
    </row>
    <row r="4" spans="1:12" x14ac:dyDescent="0.35">
      <c r="A4" t="s">
        <v>111</v>
      </c>
      <c r="B4">
        <v>2</v>
      </c>
      <c r="C4" s="5" t="s">
        <v>8</v>
      </c>
      <c r="D4" s="5">
        <v>966</v>
      </c>
      <c r="E4" s="5"/>
      <c r="F4" s="15">
        <v>45869</v>
      </c>
      <c r="G4" s="13" t="s">
        <v>13</v>
      </c>
      <c r="H4" s="7" t="s">
        <v>11</v>
      </c>
      <c r="I4" s="7" t="e">
        <f>VLOOKUP(H4,[1]Vendors!$B:$B,2,FALSE)</f>
        <v>#N/A</v>
      </c>
      <c r="J4" s="7" t="s">
        <v>12</v>
      </c>
      <c r="K4" s="12">
        <v>12</v>
      </c>
    </row>
    <row r="5" spans="1:12" x14ac:dyDescent="0.35">
      <c r="A5" t="s">
        <v>111</v>
      </c>
      <c r="B5">
        <v>2.5</v>
      </c>
      <c r="C5" s="5"/>
      <c r="D5" s="5">
        <v>979</v>
      </c>
      <c r="E5" s="5" t="s">
        <v>9</v>
      </c>
      <c r="F5" s="15">
        <v>45869</v>
      </c>
      <c r="G5" s="13" t="s">
        <v>13</v>
      </c>
      <c r="H5" s="7" t="s">
        <v>11</v>
      </c>
      <c r="I5" s="7" t="e">
        <f>VLOOKUP(H5,[1]Vendors!$B:$B,2,FALSE)</f>
        <v>#N/A</v>
      </c>
      <c r="J5" s="7" t="s">
        <v>12</v>
      </c>
      <c r="L5" s="12">
        <v>12</v>
      </c>
    </row>
    <row r="6" spans="1:12" x14ac:dyDescent="0.35">
      <c r="A6" t="s">
        <v>112</v>
      </c>
      <c r="B6">
        <v>3</v>
      </c>
      <c r="C6" s="5" t="s">
        <v>8</v>
      </c>
      <c r="D6" s="5">
        <v>966</v>
      </c>
      <c r="E6" s="5"/>
      <c r="F6" s="15">
        <v>45869</v>
      </c>
      <c r="G6" s="13" t="s">
        <v>14</v>
      </c>
      <c r="H6" s="7" t="s">
        <v>102</v>
      </c>
      <c r="I6" s="7" t="e">
        <f>VLOOKUP(H6,[1]Vendors!$B:$B,2,FALSE)</f>
        <v>#N/A</v>
      </c>
      <c r="J6" s="7" t="s">
        <v>12</v>
      </c>
      <c r="K6" s="12">
        <v>240.45</v>
      </c>
    </row>
    <row r="7" spans="1:12" x14ac:dyDescent="0.35">
      <c r="A7" t="s">
        <v>112</v>
      </c>
      <c r="B7">
        <v>3.5</v>
      </c>
      <c r="C7" s="5"/>
      <c r="D7" s="5">
        <v>979</v>
      </c>
      <c r="E7" s="5" t="s">
        <v>9</v>
      </c>
      <c r="F7" s="15">
        <v>45869</v>
      </c>
      <c r="G7" s="13" t="s">
        <v>14</v>
      </c>
      <c r="H7" s="7" t="s">
        <v>102</v>
      </c>
      <c r="I7" s="7" t="e">
        <f>VLOOKUP(H7,[1]Vendors!$B:$B,2,FALSE)</f>
        <v>#N/A</v>
      </c>
      <c r="J7" s="7" t="s">
        <v>12</v>
      </c>
      <c r="L7" s="12">
        <v>240.45</v>
      </c>
    </row>
    <row r="8" spans="1:12" x14ac:dyDescent="0.35">
      <c r="A8" t="s">
        <v>113</v>
      </c>
      <c r="B8">
        <v>4</v>
      </c>
      <c r="C8" s="5" t="s">
        <v>8</v>
      </c>
      <c r="D8" s="5">
        <v>966</v>
      </c>
      <c r="E8" s="5"/>
      <c r="F8" s="15">
        <v>45869</v>
      </c>
      <c r="G8" s="13" t="s">
        <v>16</v>
      </c>
      <c r="H8" s="7" t="s">
        <v>11</v>
      </c>
      <c r="I8" s="7" t="e">
        <f>VLOOKUP(H8,[1]Vendors!$B:$B,2,FALSE)</f>
        <v>#N/A</v>
      </c>
      <c r="J8" s="7" t="s">
        <v>12</v>
      </c>
      <c r="K8" s="12">
        <v>12</v>
      </c>
    </row>
    <row r="9" spans="1:12" x14ac:dyDescent="0.35">
      <c r="A9" t="s">
        <v>113</v>
      </c>
      <c r="B9">
        <v>4.5</v>
      </c>
      <c r="C9" s="5"/>
      <c r="D9" s="5">
        <v>979</v>
      </c>
      <c r="E9" s="5" t="s">
        <v>9</v>
      </c>
      <c r="F9" s="15">
        <v>45869</v>
      </c>
      <c r="G9" s="13" t="s">
        <v>16</v>
      </c>
      <c r="H9" s="7" t="s">
        <v>11</v>
      </c>
      <c r="I9" s="7" t="e">
        <f>VLOOKUP(H9,[1]Vendors!$B:$B,2,FALSE)</f>
        <v>#N/A</v>
      </c>
      <c r="J9" s="7" t="s">
        <v>12</v>
      </c>
      <c r="L9" s="12">
        <v>12</v>
      </c>
    </row>
    <row r="10" spans="1:12" x14ac:dyDescent="0.35">
      <c r="A10" t="s">
        <v>114</v>
      </c>
      <c r="B10">
        <v>5</v>
      </c>
      <c r="C10" s="5" t="s">
        <v>8</v>
      </c>
      <c r="D10" s="5">
        <v>966</v>
      </c>
      <c r="E10" s="5"/>
      <c r="F10" s="15">
        <v>45869</v>
      </c>
      <c r="G10" s="13" t="s">
        <v>17</v>
      </c>
      <c r="H10" s="7" t="s">
        <v>11</v>
      </c>
      <c r="I10" s="7" t="e">
        <f>VLOOKUP(H10,[1]Vendors!$B:$B,2,FALSE)</f>
        <v>#N/A</v>
      </c>
      <c r="J10" s="7" t="s">
        <v>12</v>
      </c>
      <c r="K10" s="12">
        <v>13</v>
      </c>
    </row>
    <row r="11" spans="1:12" x14ac:dyDescent="0.35">
      <c r="A11" t="s">
        <v>114</v>
      </c>
      <c r="B11">
        <v>5.5</v>
      </c>
      <c r="C11" s="5"/>
      <c r="D11" s="5">
        <v>979</v>
      </c>
      <c r="E11" s="5" t="s">
        <v>9</v>
      </c>
      <c r="F11" s="15">
        <v>45869</v>
      </c>
      <c r="G11" s="13" t="s">
        <v>17</v>
      </c>
      <c r="H11" s="7" t="s">
        <v>11</v>
      </c>
      <c r="I11" s="7" t="e">
        <f>VLOOKUP(H11,[1]Vendors!$B:$B,2,FALSE)</f>
        <v>#N/A</v>
      </c>
      <c r="J11" s="7" t="s">
        <v>12</v>
      </c>
      <c r="L11" s="12">
        <v>13</v>
      </c>
    </row>
    <row r="12" spans="1:12" x14ac:dyDescent="0.35">
      <c r="A12" t="s">
        <v>115</v>
      </c>
      <c r="B12">
        <v>6</v>
      </c>
      <c r="C12" s="5" t="s">
        <v>8</v>
      </c>
      <c r="D12" s="5">
        <v>966</v>
      </c>
      <c r="E12" s="5"/>
      <c r="F12" s="15">
        <v>45869</v>
      </c>
      <c r="G12" s="13" t="s">
        <v>18</v>
      </c>
      <c r="H12" s="7" t="s">
        <v>11</v>
      </c>
      <c r="I12" s="7" t="e">
        <f>VLOOKUP(H12,[1]Vendors!$B:$B,2,FALSE)</f>
        <v>#N/A</v>
      </c>
      <c r="J12" s="7" t="s">
        <v>12</v>
      </c>
      <c r="K12" s="12">
        <v>12</v>
      </c>
    </row>
    <row r="13" spans="1:12" x14ac:dyDescent="0.35">
      <c r="A13" t="s">
        <v>115</v>
      </c>
      <c r="B13">
        <v>6.5</v>
      </c>
      <c r="C13" s="5"/>
      <c r="D13" s="5">
        <v>979</v>
      </c>
      <c r="E13" s="5" t="s">
        <v>9</v>
      </c>
      <c r="F13" s="15">
        <v>45869</v>
      </c>
      <c r="G13" s="13" t="s">
        <v>18</v>
      </c>
      <c r="H13" s="7" t="s">
        <v>11</v>
      </c>
      <c r="I13" s="7" t="e">
        <f>VLOOKUP(H13,[1]Vendors!$B:$B,2,FALSE)</f>
        <v>#N/A</v>
      </c>
      <c r="J13" s="7" t="s">
        <v>12</v>
      </c>
      <c r="L13" s="12">
        <v>12</v>
      </c>
    </row>
    <row r="14" spans="1:12" x14ac:dyDescent="0.35">
      <c r="A14" t="s">
        <v>116</v>
      </c>
      <c r="B14">
        <v>7</v>
      </c>
      <c r="C14" s="5" t="s">
        <v>8</v>
      </c>
      <c r="D14" s="5">
        <v>966</v>
      </c>
      <c r="E14" s="5"/>
      <c r="F14" s="15">
        <v>45869</v>
      </c>
      <c r="G14" s="13" t="s">
        <v>19</v>
      </c>
      <c r="H14" s="7" t="s">
        <v>11</v>
      </c>
      <c r="I14" s="7" t="e">
        <f>VLOOKUP(H14,[1]Vendors!$B:$B,2,FALSE)</f>
        <v>#N/A</v>
      </c>
      <c r="J14" s="7" t="s">
        <v>12</v>
      </c>
      <c r="K14" s="12">
        <v>12</v>
      </c>
    </row>
    <row r="15" spans="1:12" x14ac:dyDescent="0.35">
      <c r="A15" t="s">
        <v>116</v>
      </c>
      <c r="B15">
        <v>7.5</v>
      </c>
      <c r="C15" s="5"/>
      <c r="D15" s="5">
        <v>979</v>
      </c>
      <c r="E15" s="5" t="s">
        <v>9</v>
      </c>
      <c r="F15" s="15">
        <v>45869</v>
      </c>
      <c r="G15" s="13" t="s">
        <v>19</v>
      </c>
      <c r="H15" s="7" t="s">
        <v>11</v>
      </c>
      <c r="I15" s="7" t="e">
        <f>VLOOKUP(H15,[1]Vendors!$B:$B,2,FALSE)</f>
        <v>#N/A</v>
      </c>
      <c r="J15" s="7" t="s">
        <v>12</v>
      </c>
      <c r="L15" s="12">
        <v>12</v>
      </c>
    </row>
    <row r="16" spans="1:12" x14ac:dyDescent="0.35">
      <c r="A16" t="s">
        <v>117</v>
      </c>
      <c r="B16">
        <v>8</v>
      </c>
      <c r="C16" s="5" t="s">
        <v>8</v>
      </c>
      <c r="D16" s="5">
        <v>966</v>
      </c>
      <c r="E16" s="5"/>
      <c r="F16" s="15">
        <v>45869</v>
      </c>
      <c r="G16" s="13" t="s">
        <v>20</v>
      </c>
      <c r="H16" s="7" t="s">
        <v>11</v>
      </c>
      <c r="I16" s="7" t="e">
        <f>VLOOKUP(H16,[1]Vendors!$B:$B,2,FALSE)</f>
        <v>#N/A</v>
      </c>
      <c r="J16" s="7" t="s">
        <v>12</v>
      </c>
      <c r="K16" s="12">
        <v>12</v>
      </c>
    </row>
    <row r="17" spans="1:12" x14ac:dyDescent="0.35">
      <c r="A17" t="s">
        <v>117</v>
      </c>
      <c r="B17">
        <v>8.5</v>
      </c>
      <c r="C17" s="5"/>
      <c r="D17" s="5">
        <v>979</v>
      </c>
      <c r="E17" s="5" t="s">
        <v>9</v>
      </c>
      <c r="F17" s="15">
        <v>45869</v>
      </c>
      <c r="G17" s="13" t="s">
        <v>20</v>
      </c>
      <c r="H17" s="7" t="s">
        <v>11</v>
      </c>
      <c r="I17" s="7" t="e">
        <f>VLOOKUP(H17,[1]Vendors!$B:$B,2,FALSE)</f>
        <v>#N/A</v>
      </c>
      <c r="J17" s="7" t="s">
        <v>12</v>
      </c>
      <c r="L17" s="12">
        <v>12</v>
      </c>
    </row>
    <row r="18" spans="1:12" x14ac:dyDescent="0.35">
      <c r="A18" t="s">
        <v>118</v>
      </c>
      <c r="B18">
        <v>9</v>
      </c>
      <c r="C18" s="5" t="s">
        <v>8</v>
      </c>
      <c r="D18" s="5">
        <v>966</v>
      </c>
      <c r="E18" s="5"/>
      <c r="F18" s="15">
        <v>45869</v>
      </c>
      <c r="G18" s="13">
        <v>20250209</v>
      </c>
      <c r="H18" s="7" t="s">
        <v>101</v>
      </c>
      <c r="I18" s="7" t="e">
        <f>VLOOKUP(H18,[1]Vendors!$B:$B,2,FALSE)</f>
        <v>#N/A</v>
      </c>
      <c r="J18" s="7" t="s">
        <v>12</v>
      </c>
      <c r="K18" s="12">
        <v>387.99</v>
      </c>
    </row>
    <row r="19" spans="1:12" x14ac:dyDescent="0.35">
      <c r="A19" t="s">
        <v>118</v>
      </c>
      <c r="B19">
        <v>9.5</v>
      </c>
      <c r="C19" s="5"/>
      <c r="D19" s="5">
        <v>979</v>
      </c>
      <c r="E19" s="5" t="s">
        <v>9</v>
      </c>
      <c r="F19" s="15">
        <v>45869</v>
      </c>
      <c r="G19" s="13">
        <v>20250209</v>
      </c>
      <c r="H19" s="7" t="s">
        <v>101</v>
      </c>
      <c r="I19" s="7" t="e">
        <f>VLOOKUP(H19,[1]Vendors!$B:$B,2,FALSE)</f>
        <v>#N/A</v>
      </c>
      <c r="J19" s="7" t="s">
        <v>12</v>
      </c>
      <c r="L19" s="12">
        <v>387.99</v>
      </c>
    </row>
    <row r="20" spans="1:12" x14ac:dyDescent="0.35">
      <c r="A20" t="s">
        <v>119</v>
      </c>
      <c r="B20">
        <v>10</v>
      </c>
      <c r="C20" s="5" t="s">
        <v>8</v>
      </c>
      <c r="D20" s="5">
        <v>966</v>
      </c>
      <c r="E20" s="5"/>
      <c r="F20" s="15">
        <v>45869</v>
      </c>
      <c r="G20" s="13">
        <v>20250180</v>
      </c>
      <c r="H20" s="7" t="s">
        <v>101</v>
      </c>
      <c r="I20" s="7" t="e">
        <f>VLOOKUP(H20,[1]Vendors!$B:$B,2,FALSE)</f>
        <v>#N/A</v>
      </c>
      <c r="J20" s="7" t="s">
        <v>12</v>
      </c>
      <c r="K20" s="12">
        <v>458.02</v>
      </c>
    </row>
    <row r="21" spans="1:12" x14ac:dyDescent="0.35">
      <c r="A21" t="s">
        <v>119</v>
      </c>
      <c r="B21">
        <v>10.5</v>
      </c>
      <c r="C21" s="5"/>
      <c r="D21" s="5">
        <v>979</v>
      </c>
      <c r="E21" s="5" t="s">
        <v>9</v>
      </c>
      <c r="F21" s="15">
        <v>45869</v>
      </c>
      <c r="G21" s="13">
        <v>20250180</v>
      </c>
      <c r="H21" s="7" t="s">
        <v>101</v>
      </c>
      <c r="I21" s="7" t="e">
        <f>VLOOKUP(H21,[1]Vendors!$B:$B,2,FALSE)</f>
        <v>#N/A</v>
      </c>
      <c r="J21" s="7" t="s">
        <v>12</v>
      </c>
      <c r="L21" s="12">
        <v>458.02</v>
      </c>
    </row>
    <row r="22" spans="1:12" x14ac:dyDescent="0.35">
      <c r="A22" t="s">
        <v>120</v>
      </c>
      <c r="B22">
        <v>11</v>
      </c>
      <c r="C22" s="5" t="s">
        <v>8</v>
      </c>
      <c r="D22" s="5">
        <v>966</v>
      </c>
      <c r="E22" s="5"/>
      <c r="F22" s="15">
        <v>45869</v>
      </c>
      <c r="G22" s="13" t="s">
        <v>22</v>
      </c>
      <c r="H22" s="7" t="s">
        <v>11</v>
      </c>
      <c r="I22" s="7" t="e">
        <f>VLOOKUP(H22,[1]Vendors!$B:$B,2,FALSE)</f>
        <v>#N/A</v>
      </c>
      <c r="J22" s="7" t="s">
        <v>12</v>
      </c>
      <c r="K22" s="12">
        <v>12</v>
      </c>
    </row>
    <row r="23" spans="1:12" x14ac:dyDescent="0.35">
      <c r="A23" t="s">
        <v>120</v>
      </c>
      <c r="B23">
        <v>11.5</v>
      </c>
      <c r="C23" s="5"/>
      <c r="D23" s="5">
        <v>979</v>
      </c>
      <c r="E23" s="5" t="s">
        <v>9</v>
      </c>
      <c r="F23" s="15">
        <v>45869</v>
      </c>
      <c r="G23" s="13" t="s">
        <v>22</v>
      </c>
      <c r="H23" s="7" t="s">
        <v>11</v>
      </c>
      <c r="I23" s="7" t="e">
        <f>VLOOKUP(H23,[1]Vendors!$B:$B,2,FALSE)</f>
        <v>#N/A</v>
      </c>
      <c r="J23" s="7" t="s">
        <v>12</v>
      </c>
      <c r="L23" s="12">
        <v>12</v>
      </c>
    </row>
    <row r="24" spans="1:12" x14ac:dyDescent="0.35">
      <c r="A24" t="s">
        <v>121</v>
      </c>
      <c r="B24">
        <v>12</v>
      </c>
      <c r="C24" s="5" t="s">
        <v>8</v>
      </c>
      <c r="D24" s="5">
        <v>966</v>
      </c>
      <c r="E24" s="5"/>
      <c r="F24" s="15">
        <v>45869</v>
      </c>
      <c r="G24" s="13" t="s">
        <v>23</v>
      </c>
      <c r="H24" s="7" t="s">
        <v>102</v>
      </c>
      <c r="I24" s="7" t="e">
        <f>VLOOKUP(H24,[1]Vendors!$B:$B,2,FALSE)</f>
        <v>#N/A</v>
      </c>
      <c r="J24" s="7" t="s">
        <v>12</v>
      </c>
      <c r="K24" s="12">
        <v>236</v>
      </c>
    </row>
    <row r="25" spans="1:12" x14ac:dyDescent="0.35">
      <c r="A25" t="s">
        <v>121</v>
      </c>
      <c r="B25">
        <v>12.5</v>
      </c>
      <c r="C25" s="5"/>
      <c r="D25" s="5">
        <v>979</v>
      </c>
      <c r="E25" s="5" t="s">
        <v>9</v>
      </c>
      <c r="F25" s="15">
        <v>45869</v>
      </c>
      <c r="G25" s="13" t="s">
        <v>23</v>
      </c>
      <c r="H25" s="7" t="s">
        <v>102</v>
      </c>
      <c r="I25" s="7" t="e">
        <f>VLOOKUP(H25,[1]Vendors!$B:$B,2,FALSE)</f>
        <v>#N/A</v>
      </c>
      <c r="J25" s="7" t="s">
        <v>12</v>
      </c>
      <c r="L25" s="12">
        <v>236</v>
      </c>
    </row>
    <row r="26" spans="1:12" x14ac:dyDescent="0.35">
      <c r="A26" t="s">
        <v>122</v>
      </c>
      <c r="B26">
        <v>13</v>
      </c>
      <c r="C26" s="5" t="s">
        <v>8</v>
      </c>
      <c r="D26" s="5">
        <v>966</v>
      </c>
      <c r="E26" s="5"/>
      <c r="F26" s="15">
        <v>45869</v>
      </c>
      <c r="G26" s="13" t="s">
        <v>24</v>
      </c>
      <c r="H26" s="7" t="s">
        <v>11</v>
      </c>
      <c r="I26" s="7" t="e">
        <f>VLOOKUP(H26,[1]Vendors!$B:$B,2,FALSE)</f>
        <v>#N/A</v>
      </c>
      <c r="J26" s="7" t="s">
        <v>12</v>
      </c>
      <c r="K26" s="12">
        <v>12</v>
      </c>
    </row>
    <row r="27" spans="1:12" x14ac:dyDescent="0.35">
      <c r="A27" t="s">
        <v>122</v>
      </c>
      <c r="B27">
        <v>13.5</v>
      </c>
      <c r="C27" s="5"/>
      <c r="D27" s="5">
        <v>979</v>
      </c>
      <c r="E27" s="5" t="s">
        <v>9</v>
      </c>
      <c r="F27" s="15">
        <v>45869</v>
      </c>
      <c r="G27" s="13" t="s">
        <v>24</v>
      </c>
      <c r="H27" s="7" t="s">
        <v>11</v>
      </c>
      <c r="I27" s="7" t="e">
        <f>VLOOKUP(H27,[1]Vendors!$B:$B,2,FALSE)</f>
        <v>#N/A</v>
      </c>
      <c r="J27" s="7" t="s">
        <v>12</v>
      </c>
      <c r="L27" s="12">
        <v>12</v>
      </c>
    </row>
    <row r="28" spans="1:12" x14ac:dyDescent="0.35">
      <c r="A28" t="s">
        <v>123</v>
      </c>
      <c r="B28">
        <v>14</v>
      </c>
      <c r="C28" s="5" t="s">
        <v>8</v>
      </c>
      <c r="D28" s="5">
        <v>966</v>
      </c>
      <c r="E28" s="5"/>
      <c r="F28" s="15">
        <v>45869</v>
      </c>
      <c r="G28" s="13" t="s">
        <v>25</v>
      </c>
      <c r="H28" s="7" t="s">
        <v>105</v>
      </c>
      <c r="I28" s="7" t="e">
        <f>VLOOKUP(H28,[1]Vendors!$B:$B,2,FALSE)</f>
        <v>#N/A</v>
      </c>
      <c r="J28" s="7" t="s">
        <v>12</v>
      </c>
      <c r="K28" s="12">
        <v>1002.97</v>
      </c>
    </row>
    <row r="29" spans="1:12" x14ac:dyDescent="0.35">
      <c r="A29" t="s">
        <v>123</v>
      </c>
      <c r="B29">
        <v>14.5</v>
      </c>
      <c r="C29" s="5"/>
      <c r="D29" s="5">
        <v>979</v>
      </c>
      <c r="E29" s="5" t="s">
        <v>9</v>
      </c>
      <c r="F29" s="15">
        <v>45869</v>
      </c>
      <c r="G29" s="13" t="s">
        <v>25</v>
      </c>
      <c r="H29" s="7" t="s">
        <v>105</v>
      </c>
      <c r="I29" s="7" t="e">
        <f>VLOOKUP(H29,[1]Vendors!$B:$B,2,FALSE)</f>
        <v>#N/A</v>
      </c>
      <c r="J29" s="7" t="s">
        <v>12</v>
      </c>
      <c r="L29" s="12">
        <v>1002.97</v>
      </c>
    </row>
    <row r="30" spans="1:12" x14ac:dyDescent="0.35">
      <c r="A30" t="s">
        <v>124</v>
      </c>
      <c r="B30">
        <v>15</v>
      </c>
      <c r="C30" s="5" t="s">
        <v>8</v>
      </c>
      <c r="D30" s="5">
        <v>966</v>
      </c>
      <c r="E30" s="5"/>
      <c r="F30" s="15">
        <v>45869</v>
      </c>
      <c r="G30" s="13" t="s">
        <v>27</v>
      </c>
      <c r="H30" s="7" t="s">
        <v>11</v>
      </c>
      <c r="I30" s="7" t="e">
        <f>VLOOKUP(H30,[1]Vendors!$B:$B,2,FALSE)</f>
        <v>#N/A</v>
      </c>
      <c r="J30" s="7" t="s">
        <v>12</v>
      </c>
      <c r="K30" s="12">
        <v>13</v>
      </c>
    </row>
    <row r="31" spans="1:12" x14ac:dyDescent="0.35">
      <c r="A31" t="s">
        <v>124</v>
      </c>
      <c r="B31">
        <v>15.5</v>
      </c>
      <c r="C31" s="5"/>
      <c r="D31" s="5">
        <v>979</v>
      </c>
      <c r="E31" s="5" t="s">
        <v>9</v>
      </c>
      <c r="F31" s="15">
        <v>45869</v>
      </c>
      <c r="G31" s="13" t="s">
        <v>27</v>
      </c>
      <c r="H31" s="7" t="s">
        <v>11</v>
      </c>
      <c r="I31" s="7" t="e">
        <f>VLOOKUP(H31,[1]Vendors!$B:$B,2,FALSE)</f>
        <v>#N/A</v>
      </c>
      <c r="J31" s="7" t="s">
        <v>12</v>
      </c>
      <c r="L31" s="12">
        <v>13</v>
      </c>
    </row>
    <row r="32" spans="1:12" x14ac:dyDescent="0.35">
      <c r="A32" t="s">
        <v>125</v>
      </c>
      <c r="B32">
        <v>16</v>
      </c>
      <c r="C32" s="5" t="s">
        <v>8</v>
      </c>
      <c r="D32" s="5">
        <v>966</v>
      </c>
      <c r="E32" s="5"/>
      <c r="F32" s="15">
        <v>45869</v>
      </c>
      <c r="G32" s="13">
        <v>20250179</v>
      </c>
      <c r="H32" s="7" t="s">
        <v>101</v>
      </c>
      <c r="I32" s="7" t="e">
        <f>VLOOKUP(H32,[1]Vendors!$B:$B,2,FALSE)</f>
        <v>#N/A</v>
      </c>
      <c r="J32" s="7" t="s">
        <v>12</v>
      </c>
      <c r="K32" s="12">
        <v>85.83</v>
      </c>
    </row>
    <row r="33" spans="1:12" x14ac:dyDescent="0.35">
      <c r="A33" t="s">
        <v>125</v>
      </c>
      <c r="B33">
        <v>16.5</v>
      </c>
      <c r="C33" s="5"/>
      <c r="D33" s="5">
        <v>979</v>
      </c>
      <c r="E33" s="5" t="s">
        <v>9</v>
      </c>
      <c r="F33" s="15">
        <v>45869</v>
      </c>
      <c r="G33" s="13">
        <v>20250179</v>
      </c>
      <c r="H33" s="7" t="s">
        <v>101</v>
      </c>
      <c r="I33" s="7" t="e">
        <f>VLOOKUP(H33,[1]Vendors!$B:$B,2,FALSE)</f>
        <v>#N/A</v>
      </c>
      <c r="J33" s="7" t="s">
        <v>12</v>
      </c>
      <c r="L33" s="12">
        <v>85.83</v>
      </c>
    </row>
    <row r="34" spans="1:12" x14ac:dyDescent="0.35">
      <c r="A34" t="s">
        <v>126</v>
      </c>
      <c r="B34">
        <v>17</v>
      </c>
      <c r="C34" s="5" t="s">
        <v>8</v>
      </c>
      <c r="D34" s="5">
        <v>966</v>
      </c>
      <c r="E34" s="5"/>
      <c r="F34" s="15">
        <v>45869</v>
      </c>
      <c r="G34" s="13" t="s">
        <v>28</v>
      </c>
      <c r="H34" s="7" t="s">
        <v>102</v>
      </c>
      <c r="I34" s="7" t="e">
        <f>VLOOKUP(H34,[1]Vendors!$B:$B,2,FALSE)</f>
        <v>#N/A</v>
      </c>
      <c r="J34" s="7" t="s">
        <v>12</v>
      </c>
      <c r="K34" s="12">
        <v>5378.85</v>
      </c>
    </row>
    <row r="35" spans="1:12" x14ac:dyDescent="0.35">
      <c r="A35" t="s">
        <v>126</v>
      </c>
      <c r="B35">
        <v>17.5</v>
      </c>
      <c r="C35" s="5"/>
      <c r="D35" s="5">
        <v>979</v>
      </c>
      <c r="E35" s="5" t="s">
        <v>9</v>
      </c>
      <c r="F35" s="15">
        <v>45869</v>
      </c>
      <c r="G35" s="13" t="s">
        <v>28</v>
      </c>
      <c r="H35" s="7" t="s">
        <v>102</v>
      </c>
      <c r="I35" s="7" t="e">
        <f>VLOOKUP(H35,[1]Vendors!$B:$B,2,FALSE)</f>
        <v>#N/A</v>
      </c>
      <c r="J35" s="7" t="s">
        <v>12</v>
      </c>
      <c r="L35" s="12">
        <v>5378.85</v>
      </c>
    </row>
    <row r="36" spans="1:12" x14ac:dyDescent="0.35">
      <c r="A36" t="s">
        <v>127</v>
      </c>
      <c r="B36">
        <v>18</v>
      </c>
      <c r="C36" s="5" t="s">
        <v>8</v>
      </c>
      <c r="D36" s="5">
        <v>966</v>
      </c>
      <c r="E36" s="5"/>
      <c r="F36" s="15">
        <v>45869</v>
      </c>
      <c r="G36" s="13" t="s">
        <v>29</v>
      </c>
      <c r="H36" s="7" t="s">
        <v>30</v>
      </c>
      <c r="I36" s="7" t="e">
        <f>VLOOKUP(H36,[1]Vendors!$B:$B,2,FALSE)</f>
        <v>#N/A</v>
      </c>
      <c r="J36" s="7" t="s">
        <v>12</v>
      </c>
      <c r="K36" s="12">
        <v>2513.94</v>
      </c>
    </row>
    <row r="37" spans="1:12" x14ac:dyDescent="0.35">
      <c r="A37" t="s">
        <v>127</v>
      </c>
      <c r="B37">
        <v>18.5</v>
      </c>
      <c r="C37" s="5"/>
      <c r="D37" s="5">
        <v>979</v>
      </c>
      <c r="E37" s="5" t="s">
        <v>9</v>
      </c>
      <c r="F37" s="15">
        <v>45869</v>
      </c>
      <c r="G37" s="13" t="s">
        <v>29</v>
      </c>
      <c r="H37" s="7" t="s">
        <v>30</v>
      </c>
      <c r="I37" s="7" t="e">
        <f>VLOOKUP(H37,[1]Vendors!$B:$B,2,FALSE)</f>
        <v>#N/A</v>
      </c>
      <c r="J37" s="7" t="s">
        <v>12</v>
      </c>
      <c r="L37" s="12">
        <v>2513.94</v>
      </c>
    </row>
    <row r="38" spans="1:12" x14ac:dyDescent="0.35">
      <c r="A38" t="s">
        <v>128</v>
      </c>
      <c r="B38">
        <v>19</v>
      </c>
      <c r="C38" s="5" t="s">
        <v>8</v>
      </c>
      <c r="D38" s="5">
        <v>966</v>
      </c>
      <c r="E38" s="5"/>
      <c r="F38" s="15">
        <v>45869</v>
      </c>
      <c r="G38" s="13">
        <v>9</v>
      </c>
      <c r="H38" s="7" t="s">
        <v>104</v>
      </c>
      <c r="I38" s="7" t="e">
        <f>VLOOKUP(H38,[1]Vendors!$B:$B,2,FALSE)</f>
        <v>#N/A</v>
      </c>
      <c r="J38" s="7" t="s">
        <v>12</v>
      </c>
      <c r="K38" s="12">
        <v>11</v>
      </c>
    </row>
    <row r="39" spans="1:12" x14ac:dyDescent="0.35">
      <c r="A39" t="s">
        <v>128</v>
      </c>
      <c r="B39">
        <v>19.5</v>
      </c>
      <c r="C39" s="5"/>
      <c r="D39" s="5">
        <v>979</v>
      </c>
      <c r="E39" s="5" t="s">
        <v>9</v>
      </c>
      <c r="F39" s="15">
        <v>45869</v>
      </c>
      <c r="G39" s="13">
        <v>9</v>
      </c>
      <c r="H39" s="7" t="s">
        <v>104</v>
      </c>
      <c r="I39" s="7" t="e">
        <f>VLOOKUP(H39,[1]Vendors!$B:$B,2,FALSE)</f>
        <v>#N/A</v>
      </c>
      <c r="J39" s="7" t="s">
        <v>12</v>
      </c>
      <c r="L39" s="12">
        <v>11</v>
      </c>
    </row>
    <row r="40" spans="1:12" x14ac:dyDescent="0.35">
      <c r="A40" t="s">
        <v>129</v>
      </c>
      <c r="B40">
        <v>20</v>
      </c>
      <c r="C40" s="5" t="s">
        <v>8</v>
      </c>
      <c r="D40" s="5">
        <v>966</v>
      </c>
      <c r="E40" s="5"/>
      <c r="F40" s="15">
        <v>45869</v>
      </c>
      <c r="G40" s="13" t="s">
        <v>32</v>
      </c>
      <c r="H40" s="7" t="s">
        <v>11</v>
      </c>
      <c r="I40" s="7" t="e">
        <f>VLOOKUP(H40,[1]Vendors!$B:$B,2,FALSE)</f>
        <v>#N/A</v>
      </c>
      <c r="J40" s="7" t="s">
        <v>12</v>
      </c>
      <c r="K40" s="12">
        <v>12.14</v>
      </c>
    </row>
    <row r="41" spans="1:12" x14ac:dyDescent="0.35">
      <c r="A41" t="s">
        <v>129</v>
      </c>
      <c r="B41">
        <v>20.5</v>
      </c>
      <c r="C41" s="5"/>
      <c r="D41" s="5">
        <v>979</v>
      </c>
      <c r="E41" s="5" t="s">
        <v>9</v>
      </c>
      <c r="F41" s="15">
        <v>45869</v>
      </c>
      <c r="G41" s="13" t="s">
        <v>32</v>
      </c>
      <c r="H41" s="7" t="s">
        <v>11</v>
      </c>
      <c r="I41" s="7" t="e">
        <f>VLOOKUP(H41,[1]Vendors!$B:$B,2,FALSE)</f>
        <v>#N/A</v>
      </c>
      <c r="J41" s="7" t="s">
        <v>12</v>
      </c>
      <c r="L41" s="12">
        <v>12.14</v>
      </c>
    </row>
    <row r="42" spans="1:12" x14ac:dyDescent="0.35">
      <c r="A42" t="s">
        <v>130</v>
      </c>
      <c r="B42">
        <v>21</v>
      </c>
      <c r="C42" s="5" t="s">
        <v>8</v>
      </c>
      <c r="D42" s="5">
        <v>966</v>
      </c>
      <c r="E42" s="5"/>
      <c r="F42" s="15">
        <v>45869</v>
      </c>
      <c r="G42" s="13" t="s">
        <v>33</v>
      </c>
      <c r="H42" s="7" t="s">
        <v>30</v>
      </c>
      <c r="I42" s="7" t="e">
        <f>VLOOKUP(H42,[1]Vendors!$B:$B,2,FALSE)</f>
        <v>#N/A</v>
      </c>
      <c r="J42" s="7" t="s">
        <v>12</v>
      </c>
      <c r="K42" s="12">
        <v>72.150000000000006</v>
      </c>
    </row>
    <row r="43" spans="1:12" x14ac:dyDescent="0.35">
      <c r="A43" t="s">
        <v>130</v>
      </c>
      <c r="B43">
        <v>21.5</v>
      </c>
      <c r="C43" s="5"/>
      <c r="D43" s="5">
        <v>979</v>
      </c>
      <c r="E43" s="5" t="s">
        <v>9</v>
      </c>
      <c r="F43" s="15">
        <v>45869</v>
      </c>
      <c r="G43" s="13" t="s">
        <v>33</v>
      </c>
      <c r="H43" s="7" t="s">
        <v>30</v>
      </c>
      <c r="I43" s="7" t="e">
        <f>VLOOKUP(H43,[1]Vendors!$B:$B,2,FALSE)</f>
        <v>#N/A</v>
      </c>
      <c r="J43" s="7" t="s">
        <v>12</v>
      </c>
      <c r="L43" s="12">
        <v>72.150000000000006</v>
      </c>
    </row>
    <row r="44" spans="1:12" x14ac:dyDescent="0.35">
      <c r="A44" t="s">
        <v>131</v>
      </c>
      <c r="B44">
        <v>22</v>
      </c>
      <c r="C44" s="5" t="s">
        <v>8</v>
      </c>
      <c r="D44" s="5">
        <v>966</v>
      </c>
      <c r="E44" s="5"/>
      <c r="F44" s="15">
        <v>45869</v>
      </c>
      <c r="G44" s="13" t="s">
        <v>34</v>
      </c>
      <c r="H44" s="7" t="s">
        <v>30</v>
      </c>
      <c r="I44" s="7" t="e">
        <f>VLOOKUP(H44,[1]Vendors!$B:$B,2,FALSE)</f>
        <v>#N/A</v>
      </c>
      <c r="J44" s="7" t="s">
        <v>12</v>
      </c>
      <c r="K44" s="12">
        <v>36</v>
      </c>
    </row>
    <row r="45" spans="1:12" x14ac:dyDescent="0.35">
      <c r="A45" t="s">
        <v>131</v>
      </c>
      <c r="B45">
        <v>22.5</v>
      </c>
      <c r="C45" s="5"/>
      <c r="D45" s="5">
        <v>979</v>
      </c>
      <c r="E45" s="5" t="s">
        <v>9</v>
      </c>
      <c r="F45" s="15">
        <v>45869</v>
      </c>
      <c r="G45" s="13" t="s">
        <v>34</v>
      </c>
      <c r="H45" s="7" t="s">
        <v>30</v>
      </c>
      <c r="I45" s="7" t="e">
        <f>VLOOKUP(H45,[1]Vendors!$B:$B,2,FALSE)</f>
        <v>#N/A</v>
      </c>
      <c r="J45" s="7" t="s">
        <v>12</v>
      </c>
      <c r="L45" s="12">
        <v>36</v>
      </c>
    </row>
    <row r="46" spans="1:12" x14ac:dyDescent="0.35">
      <c r="A46" t="s">
        <v>132</v>
      </c>
      <c r="B46">
        <v>23</v>
      </c>
      <c r="C46" s="5" t="s">
        <v>8</v>
      </c>
      <c r="D46" s="5">
        <v>966</v>
      </c>
      <c r="E46" s="5"/>
      <c r="F46" s="15">
        <v>45869</v>
      </c>
      <c r="G46" s="13">
        <v>20250263</v>
      </c>
      <c r="H46" s="7" t="s">
        <v>101</v>
      </c>
      <c r="I46" s="7" t="e">
        <f>VLOOKUP(H46,[1]Vendors!$B:$B,2,FALSE)</f>
        <v>#N/A</v>
      </c>
      <c r="J46" s="7" t="s">
        <v>12</v>
      </c>
      <c r="K46" s="12">
        <v>43.15</v>
      </c>
    </row>
    <row r="47" spans="1:12" x14ac:dyDescent="0.35">
      <c r="A47" t="s">
        <v>132</v>
      </c>
      <c r="B47">
        <v>23.5</v>
      </c>
      <c r="C47" s="5"/>
      <c r="D47" s="5">
        <v>979</v>
      </c>
      <c r="E47" s="5" t="s">
        <v>9</v>
      </c>
      <c r="F47" s="15">
        <v>45869</v>
      </c>
      <c r="G47" s="13">
        <v>20250263</v>
      </c>
      <c r="H47" s="7" t="s">
        <v>101</v>
      </c>
      <c r="I47" s="7" t="e">
        <f>VLOOKUP(H47,[1]Vendors!$B:$B,2,FALSE)</f>
        <v>#N/A</v>
      </c>
      <c r="J47" s="7" t="s">
        <v>12</v>
      </c>
      <c r="L47" s="12">
        <v>43.15</v>
      </c>
    </row>
    <row r="48" spans="1:12" x14ac:dyDescent="0.35">
      <c r="A48" t="s">
        <v>133</v>
      </c>
      <c r="B48">
        <v>24</v>
      </c>
      <c r="C48" s="5" t="s">
        <v>8</v>
      </c>
      <c r="D48" s="5">
        <v>966</v>
      </c>
      <c r="E48" s="5"/>
      <c r="F48" s="15">
        <v>45869</v>
      </c>
      <c r="G48" s="13">
        <v>20250275</v>
      </c>
      <c r="H48" s="7" t="s">
        <v>101</v>
      </c>
      <c r="I48" s="7" t="e">
        <f>VLOOKUP(H48,[1]Vendors!$B:$B,2,FALSE)</f>
        <v>#N/A</v>
      </c>
      <c r="J48" s="7" t="s">
        <v>12</v>
      </c>
      <c r="K48" s="12">
        <v>163.44999999999999</v>
      </c>
    </row>
    <row r="49" spans="1:12" x14ac:dyDescent="0.35">
      <c r="A49" t="s">
        <v>133</v>
      </c>
      <c r="B49">
        <v>24.5</v>
      </c>
      <c r="C49" s="5"/>
      <c r="D49" s="5">
        <v>979</v>
      </c>
      <c r="E49" s="5" t="s">
        <v>9</v>
      </c>
      <c r="F49" s="15">
        <v>45869</v>
      </c>
      <c r="G49" s="13">
        <v>20250275</v>
      </c>
      <c r="H49" s="7" t="s">
        <v>101</v>
      </c>
      <c r="I49" s="7" t="e">
        <f>VLOOKUP(H49,[1]Vendors!$B:$B,2,FALSE)</f>
        <v>#N/A</v>
      </c>
      <c r="J49" s="7" t="s">
        <v>12</v>
      </c>
      <c r="L49" s="12">
        <v>163.44999999999999</v>
      </c>
    </row>
    <row r="50" spans="1:12" x14ac:dyDescent="0.35">
      <c r="A50" t="s">
        <v>134</v>
      </c>
      <c r="B50">
        <v>25</v>
      </c>
      <c r="C50" s="5" t="s">
        <v>8</v>
      </c>
      <c r="D50" s="5">
        <v>966</v>
      </c>
      <c r="E50" s="5"/>
      <c r="F50" s="15">
        <v>45869</v>
      </c>
      <c r="G50" s="13" t="s">
        <v>35</v>
      </c>
      <c r="H50" s="7" t="s">
        <v>11</v>
      </c>
      <c r="I50" s="7" t="e">
        <f>VLOOKUP(H50,[1]Vendors!$B:$B,2,FALSE)</f>
        <v>#N/A</v>
      </c>
      <c r="J50" s="7" t="s">
        <v>12</v>
      </c>
      <c r="K50" s="12">
        <v>11</v>
      </c>
    </row>
    <row r="51" spans="1:12" x14ac:dyDescent="0.35">
      <c r="A51" t="s">
        <v>134</v>
      </c>
      <c r="B51">
        <v>25.5</v>
      </c>
      <c r="C51" s="5"/>
      <c r="D51" s="5">
        <v>979</v>
      </c>
      <c r="E51" s="5" t="s">
        <v>9</v>
      </c>
      <c r="F51" s="15">
        <v>45869</v>
      </c>
      <c r="G51" s="13" t="s">
        <v>35</v>
      </c>
      <c r="H51" s="7" t="s">
        <v>11</v>
      </c>
      <c r="I51" s="7" t="e">
        <f>VLOOKUP(H51,[1]Vendors!$B:$B,2,FALSE)</f>
        <v>#N/A</v>
      </c>
      <c r="J51" s="7" t="s">
        <v>12</v>
      </c>
      <c r="L51" s="12">
        <v>11</v>
      </c>
    </row>
    <row r="52" spans="1:12" x14ac:dyDescent="0.35">
      <c r="A52" t="s">
        <v>135</v>
      </c>
      <c r="B52">
        <v>26</v>
      </c>
      <c r="C52" s="5" t="s">
        <v>8</v>
      </c>
      <c r="D52" s="5">
        <v>966</v>
      </c>
      <c r="E52" s="5"/>
      <c r="F52" s="15">
        <v>45869</v>
      </c>
      <c r="G52" s="13" t="s">
        <v>36</v>
      </c>
      <c r="H52" s="7" t="s">
        <v>11</v>
      </c>
      <c r="I52" s="7" t="e">
        <f>VLOOKUP(H52,[1]Vendors!$B:$B,2,FALSE)</f>
        <v>#N/A</v>
      </c>
      <c r="J52" s="7" t="s">
        <v>12</v>
      </c>
      <c r="K52" s="12">
        <v>11</v>
      </c>
    </row>
    <row r="53" spans="1:12" x14ac:dyDescent="0.35">
      <c r="A53" t="s">
        <v>135</v>
      </c>
      <c r="B53">
        <v>26.5</v>
      </c>
      <c r="C53" s="5"/>
      <c r="D53" s="5">
        <v>979</v>
      </c>
      <c r="E53" s="5" t="s">
        <v>9</v>
      </c>
      <c r="F53" s="15">
        <v>45869</v>
      </c>
      <c r="G53" s="13" t="s">
        <v>36</v>
      </c>
      <c r="H53" s="7" t="s">
        <v>11</v>
      </c>
      <c r="I53" s="7" t="e">
        <f>VLOOKUP(H53,[1]Vendors!$B:$B,2,FALSE)</f>
        <v>#N/A</v>
      </c>
      <c r="J53" s="7" t="s">
        <v>12</v>
      </c>
      <c r="L53" s="12">
        <v>11</v>
      </c>
    </row>
    <row r="54" spans="1:12" x14ac:dyDescent="0.35">
      <c r="A54" t="s">
        <v>136</v>
      </c>
      <c r="B54">
        <v>27</v>
      </c>
      <c r="C54" s="5" t="s">
        <v>8</v>
      </c>
      <c r="D54" s="5">
        <v>966</v>
      </c>
      <c r="E54" s="5"/>
      <c r="F54" s="15">
        <v>45869</v>
      </c>
      <c r="G54" s="13">
        <v>20250316</v>
      </c>
      <c r="H54" s="7" t="s">
        <v>101</v>
      </c>
      <c r="I54" s="7" t="e">
        <f>VLOOKUP(H54,[1]Vendors!$B:$B,2,FALSE)</f>
        <v>#N/A</v>
      </c>
      <c r="J54" s="7" t="s">
        <v>12</v>
      </c>
      <c r="K54" s="12">
        <v>137.72999999999999</v>
      </c>
    </row>
    <row r="55" spans="1:12" x14ac:dyDescent="0.35">
      <c r="A55" t="s">
        <v>136</v>
      </c>
      <c r="B55">
        <v>27.5</v>
      </c>
      <c r="C55" s="5"/>
      <c r="D55" s="5">
        <v>979</v>
      </c>
      <c r="E55" s="5" t="s">
        <v>9</v>
      </c>
      <c r="F55" s="15">
        <v>45869</v>
      </c>
      <c r="G55" s="13">
        <v>20250316</v>
      </c>
      <c r="H55" s="7" t="s">
        <v>101</v>
      </c>
      <c r="I55" s="7" t="e">
        <f>VLOOKUP(H55,[1]Vendors!$B:$B,2,FALSE)</f>
        <v>#N/A</v>
      </c>
      <c r="J55" s="7" t="s">
        <v>12</v>
      </c>
      <c r="L55" s="12">
        <v>137.72999999999999</v>
      </c>
    </row>
    <row r="56" spans="1:12" x14ac:dyDescent="0.35">
      <c r="A56" t="s">
        <v>137</v>
      </c>
      <c r="B56">
        <v>28</v>
      </c>
      <c r="C56" s="5" t="s">
        <v>8</v>
      </c>
      <c r="D56" s="5">
        <v>966</v>
      </c>
      <c r="E56" s="5"/>
      <c r="F56" s="15">
        <v>45869</v>
      </c>
      <c r="G56" s="13" t="s">
        <v>37</v>
      </c>
      <c r="H56" s="7" t="s">
        <v>30</v>
      </c>
      <c r="I56" s="7" t="e">
        <f>VLOOKUP(H56,[1]Vendors!$B:$B,2,FALSE)</f>
        <v>#N/A</v>
      </c>
      <c r="J56" s="7" t="s">
        <v>12</v>
      </c>
      <c r="K56" s="12">
        <v>39.97</v>
      </c>
    </row>
    <row r="57" spans="1:12" x14ac:dyDescent="0.35">
      <c r="A57" t="s">
        <v>137</v>
      </c>
      <c r="B57">
        <v>28.5</v>
      </c>
      <c r="C57" s="5"/>
      <c r="D57" s="5">
        <v>979</v>
      </c>
      <c r="E57" s="5" t="s">
        <v>9</v>
      </c>
      <c r="F57" s="15">
        <v>45869</v>
      </c>
      <c r="G57" s="13" t="s">
        <v>37</v>
      </c>
      <c r="H57" s="7" t="s">
        <v>30</v>
      </c>
      <c r="I57" s="7" t="e">
        <f>VLOOKUP(H57,[1]Vendors!$B:$B,2,FALSE)</f>
        <v>#N/A</v>
      </c>
      <c r="J57" s="7" t="s">
        <v>12</v>
      </c>
      <c r="L57" s="12">
        <v>39.97</v>
      </c>
    </row>
    <row r="58" spans="1:12" x14ac:dyDescent="0.35">
      <c r="A58" t="s">
        <v>138</v>
      </c>
      <c r="B58">
        <v>29</v>
      </c>
      <c r="C58" s="5" t="s">
        <v>8</v>
      </c>
      <c r="D58" s="5">
        <v>966</v>
      </c>
      <c r="E58" s="5"/>
      <c r="F58" s="15">
        <v>45869</v>
      </c>
      <c r="G58" s="13">
        <v>28</v>
      </c>
      <c r="H58" s="7" t="s">
        <v>38</v>
      </c>
      <c r="I58" s="7" t="e">
        <f>VLOOKUP(H58,[1]Vendors!$B:$B,2,FALSE)</f>
        <v>#N/A</v>
      </c>
      <c r="J58" s="7" t="s">
        <v>12</v>
      </c>
      <c r="K58" s="12">
        <v>11</v>
      </c>
    </row>
    <row r="59" spans="1:12" x14ac:dyDescent="0.35">
      <c r="A59" t="s">
        <v>138</v>
      </c>
      <c r="B59">
        <v>29.5</v>
      </c>
      <c r="C59" s="5"/>
      <c r="D59" s="5">
        <v>979</v>
      </c>
      <c r="E59" s="5" t="s">
        <v>9</v>
      </c>
      <c r="F59" s="15">
        <v>45869</v>
      </c>
      <c r="G59" s="13">
        <v>28</v>
      </c>
      <c r="H59" s="7" t="s">
        <v>38</v>
      </c>
      <c r="I59" s="7" t="e">
        <f>VLOOKUP(H59,[1]Vendors!$B:$B,2,FALSE)</f>
        <v>#N/A</v>
      </c>
      <c r="J59" s="7" t="s">
        <v>12</v>
      </c>
      <c r="L59" s="12">
        <v>11</v>
      </c>
    </row>
    <row r="60" spans="1:12" x14ac:dyDescent="0.35">
      <c r="A60" t="s">
        <v>139</v>
      </c>
      <c r="B60">
        <v>30</v>
      </c>
      <c r="C60" s="5" t="s">
        <v>8</v>
      </c>
      <c r="D60" s="5">
        <v>966</v>
      </c>
      <c r="E60" s="5"/>
      <c r="F60" s="15">
        <v>45869</v>
      </c>
      <c r="G60" s="13" t="s">
        <v>39</v>
      </c>
      <c r="H60" s="7" t="s">
        <v>30</v>
      </c>
      <c r="I60" s="7" t="e">
        <f>VLOOKUP(H60,[1]Vendors!$B:$B,2,FALSE)</f>
        <v>#N/A</v>
      </c>
      <c r="J60" s="7" t="s">
        <v>12</v>
      </c>
      <c r="K60" s="12">
        <v>22.22</v>
      </c>
    </row>
    <row r="61" spans="1:12" x14ac:dyDescent="0.35">
      <c r="A61" t="s">
        <v>139</v>
      </c>
      <c r="B61">
        <v>30.5</v>
      </c>
      <c r="C61" s="5"/>
      <c r="D61" s="5">
        <v>979</v>
      </c>
      <c r="E61" s="5" t="s">
        <v>9</v>
      </c>
      <c r="F61" s="15">
        <v>45869</v>
      </c>
      <c r="G61" s="13" t="s">
        <v>39</v>
      </c>
      <c r="H61" s="7" t="s">
        <v>30</v>
      </c>
      <c r="I61" s="7" t="e">
        <f>VLOOKUP(H61,[1]Vendors!$B:$B,2,FALSE)</f>
        <v>#N/A</v>
      </c>
      <c r="J61" s="7" t="s">
        <v>12</v>
      </c>
      <c r="L61" s="12">
        <v>22.22</v>
      </c>
    </row>
    <row r="62" spans="1:12" x14ac:dyDescent="0.35">
      <c r="A62" t="s">
        <v>140</v>
      </c>
      <c r="B62">
        <v>31</v>
      </c>
      <c r="C62" s="5" t="s">
        <v>8</v>
      </c>
      <c r="D62" s="5">
        <v>966</v>
      </c>
      <c r="E62" s="5"/>
      <c r="F62" s="15">
        <v>45869</v>
      </c>
      <c r="G62" s="13" t="s">
        <v>40</v>
      </c>
      <c r="H62" s="7" t="s">
        <v>11</v>
      </c>
      <c r="I62" s="7" t="e">
        <f>VLOOKUP(H62,[1]Vendors!$B:$B,2,FALSE)</f>
        <v>#N/A</v>
      </c>
      <c r="J62" s="7" t="s">
        <v>12</v>
      </c>
      <c r="K62" s="12">
        <v>11</v>
      </c>
    </row>
    <row r="63" spans="1:12" x14ac:dyDescent="0.35">
      <c r="A63" t="s">
        <v>140</v>
      </c>
      <c r="B63">
        <v>31.5</v>
      </c>
      <c r="C63" s="5"/>
      <c r="D63" s="5">
        <v>979</v>
      </c>
      <c r="E63" s="5" t="s">
        <v>9</v>
      </c>
      <c r="F63" s="15">
        <v>45869</v>
      </c>
      <c r="G63" s="13" t="s">
        <v>40</v>
      </c>
      <c r="H63" s="7" t="s">
        <v>11</v>
      </c>
      <c r="I63" s="7" t="e">
        <f>VLOOKUP(H63,[1]Vendors!$B:$B,2,FALSE)</f>
        <v>#N/A</v>
      </c>
      <c r="J63" s="7" t="s">
        <v>12</v>
      </c>
      <c r="L63" s="12">
        <v>11</v>
      </c>
    </row>
    <row r="64" spans="1:12" x14ac:dyDescent="0.35">
      <c r="A64" t="s">
        <v>141</v>
      </c>
      <c r="B64">
        <v>32</v>
      </c>
      <c r="C64" s="5" t="s">
        <v>8</v>
      </c>
      <c r="D64" s="5">
        <v>966</v>
      </c>
      <c r="E64" s="5"/>
      <c r="F64" s="15">
        <v>45869</v>
      </c>
      <c r="G64" s="13" t="s">
        <v>41</v>
      </c>
      <c r="H64" s="7" t="s">
        <v>11</v>
      </c>
      <c r="I64" s="7" t="e">
        <f>VLOOKUP(H64,[1]Vendors!$B:$B,2,FALSE)</f>
        <v>#N/A</v>
      </c>
      <c r="J64" s="7" t="s">
        <v>12</v>
      </c>
      <c r="K64" s="12">
        <v>11</v>
      </c>
    </row>
    <row r="65" spans="1:12" x14ac:dyDescent="0.35">
      <c r="A65" t="s">
        <v>141</v>
      </c>
      <c r="B65">
        <v>32.5</v>
      </c>
      <c r="C65" s="5"/>
      <c r="D65" s="5">
        <v>979</v>
      </c>
      <c r="E65" s="5" t="s">
        <v>9</v>
      </c>
      <c r="F65" s="15">
        <v>45869</v>
      </c>
      <c r="G65" s="13" t="s">
        <v>41</v>
      </c>
      <c r="H65" s="7" t="s">
        <v>11</v>
      </c>
      <c r="I65" s="7" t="e">
        <f>VLOOKUP(H65,[1]Vendors!$B:$B,2,FALSE)</f>
        <v>#N/A</v>
      </c>
      <c r="J65" s="7" t="s">
        <v>12</v>
      </c>
      <c r="L65" s="12">
        <v>11</v>
      </c>
    </row>
    <row r="66" spans="1:12" x14ac:dyDescent="0.35">
      <c r="A66" t="s">
        <v>142</v>
      </c>
      <c r="B66">
        <v>33</v>
      </c>
      <c r="C66" s="5" t="s">
        <v>8</v>
      </c>
      <c r="D66" s="5">
        <v>966</v>
      </c>
      <c r="E66" s="5"/>
      <c r="F66" s="15">
        <v>45869</v>
      </c>
      <c r="G66" s="13" t="s">
        <v>42</v>
      </c>
      <c r="H66" s="7" t="s">
        <v>30</v>
      </c>
      <c r="I66" s="7" t="e">
        <f>VLOOKUP(H66,[1]Vendors!$B:$B,2,FALSE)</f>
        <v>#N/A</v>
      </c>
      <c r="J66" s="7" t="s">
        <v>12</v>
      </c>
      <c r="K66" s="12">
        <v>37</v>
      </c>
    </row>
    <row r="67" spans="1:12" x14ac:dyDescent="0.35">
      <c r="A67" t="s">
        <v>142</v>
      </c>
      <c r="B67">
        <v>33.5</v>
      </c>
      <c r="C67" s="5"/>
      <c r="D67" s="5">
        <v>979</v>
      </c>
      <c r="E67" s="5" t="s">
        <v>9</v>
      </c>
      <c r="F67" s="15">
        <v>45869</v>
      </c>
      <c r="G67" s="13" t="s">
        <v>42</v>
      </c>
      <c r="H67" s="7" t="s">
        <v>30</v>
      </c>
      <c r="I67" s="7" t="e">
        <f>VLOOKUP(H67,[1]Vendors!$B:$B,2,FALSE)</f>
        <v>#N/A</v>
      </c>
      <c r="J67" s="7" t="s">
        <v>12</v>
      </c>
      <c r="L67" s="12">
        <v>37</v>
      </c>
    </row>
    <row r="68" spans="1:12" x14ac:dyDescent="0.35">
      <c r="A68" t="s">
        <v>143</v>
      </c>
      <c r="B68">
        <v>34</v>
      </c>
      <c r="C68" s="5" t="s">
        <v>8</v>
      </c>
      <c r="D68" s="5">
        <v>966</v>
      </c>
      <c r="E68" s="5"/>
      <c r="F68" s="15">
        <v>45869</v>
      </c>
      <c r="G68" s="13" t="s">
        <v>43</v>
      </c>
      <c r="H68" s="7" t="s">
        <v>103</v>
      </c>
      <c r="I68" s="7" t="e">
        <f>VLOOKUP(H68,[1]Vendors!$B:$B,2,FALSE)</f>
        <v>#N/A</v>
      </c>
      <c r="J68" s="7" t="s">
        <v>12</v>
      </c>
      <c r="K68" s="12">
        <v>754.46</v>
      </c>
    </row>
    <row r="69" spans="1:12" x14ac:dyDescent="0.35">
      <c r="A69" t="s">
        <v>143</v>
      </c>
      <c r="B69">
        <v>34.5</v>
      </c>
      <c r="C69" s="5"/>
      <c r="D69" s="5">
        <v>979</v>
      </c>
      <c r="E69" s="5" t="s">
        <v>9</v>
      </c>
      <c r="F69" s="15">
        <v>45869</v>
      </c>
      <c r="G69" s="13" t="s">
        <v>43</v>
      </c>
      <c r="H69" s="7" t="s">
        <v>103</v>
      </c>
      <c r="I69" s="7" t="e">
        <f>VLOOKUP(H69,[1]Vendors!$B:$B,2,FALSE)</f>
        <v>#N/A</v>
      </c>
      <c r="J69" s="7" t="s">
        <v>12</v>
      </c>
      <c r="L69" s="12">
        <v>754.46</v>
      </c>
    </row>
    <row r="70" spans="1:12" x14ac:dyDescent="0.35">
      <c r="A70" t="s">
        <v>144</v>
      </c>
      <c r="B70">
        <v>35</v>
      </c>
      <c r="C70" s="5" t="s">
        <v>8</v>
      </c>
      <c r="D70" s="5">
        <v>966</v>
      </c>
      <c r="E70" s="5"/>
      <c r="F70" s="15">
        <v>45869</v>
      </c>
      <c r="G70" s="13" t="s">
        <v>45</v>
      </c>
      <c r="H70" s="7" t="s">
        <v>103</v>
      </c>
      <c r="I70" s="7" t="e">
        <f>VLOOKUP(H70,[1]Vendors!$B:$B,2,FALSE)</f>
        <v>#N/A</v>
      </c>
      <c r="J70" s="7" t="s">
        <v>12</v>
      </c>
      <c r="K70" s="12">
        <v>3038.35</v>
      </c>
    </row>
    <row r="71" spans="1:12" x14ac:dyDescent="0.35">
      <c r="A71" t="s">
        <v>144</v>
      </c>
      <c r="B71">
        <v>35.5</v>
      </c>
      <c r="C71" s="5"/>
      <c r="D71" s="5">
        <v>979</v>
      </c>
      <c r="E71" s="5" t="s">
        <v>9</v>
      </c>
      <c r="F71" s="15">
        <v>45869</v>
      </c>
      <c r="G71" s="13" t="s">
        <v>45</v>
      </c>
      <c r="H71" s="7" t="s">
        <v>103</v>
      </c>
      <c r="I71" s="7" t="e">
        <f>VLOOKUP(H71,[1]Vendors!$B:$B,2,FALSE)</f>
        <v>#N/A</v>
      </c>
      <c r="J71" s="7" t="s">
        <v>12</v>
      </c>
      <c r="L71" s="12">
        <v>3038.35</v>
      </c>
    </row>
    <row r="72" spans="1:12" x14ac:dyDescent="0.35">
      <c r="A72" t="s">
        <v>145</v>
      </c>
      <c r="B72">
        <v>36</v>
      </c>
      <c r="C72" s="5" t="s">
        <v>8</v>
      </c>
      <c r="D72" s="5">
        <v>966</v>
      </c>
      <c r="E72" s="5"/>
      <c r="F72" s="15">
        <v>45869</v>
      </c>
      <c r="G72" s="13" t="s">
        <v>46</v>
      </c>
      <c r="H72" s="7" t="s">
        <v>103</v>
      </c>
      <c r="I72" s="7" t="e">
        <f>VLOOKUP(H72,[1]Vendors!$B:$B,2,FALSE)</f>
        <v>#N/A</v>
      </c>
      <c r="J72" s="7" t="s">
        <v>12</v>
      </c>
      <c r="K72" s="12">
        <v>3039</v>
      </c>
    </row>
    <row r="73" spans="1:12" x14ac:dyDescent="0.35">
      <c r="A73" t="s">
        <v>145</v>
      </c>
      <c r="B73">
        <v>36.5</v>
      </c>
      <c r="C73" s="5"/>
      <c r="D73" s="5">
        <v>979</v>
      </c>
      <c r="E73" s="5" t="s">
        <v>9</v>
      </c>
      <c r="F73" s="15">
        <v>45869</v>
      </c>
      <c r="G73" s="13" t="s">
        <v>46</v>
      </c>
      <c r="H73" s="7" t="s">
        <v>103</v>
      </c>
      <c r="I73" s="7" t="e">
        <f>VLOOKUP(H73,[1]Vendors!$B:$B,2,FALSE)</f>
        <v>#N/A</v>
      </c>
      <c r="J73" s="7" t="s">
        <v>12</v>
      </c>
      <c r="L73" s="12">
        <v>3039</v>
      </c>
    </row>
    <row r="74" spans="1:12" x14ac:dyDescent="0.35">
      <c r="A74" t="s">
        <v>146</v>
      </c>
      <c r="B74">
        <v>37</v>
      </c>
      <c r="C74" s="5" t="s">
        <v>8</v>
      </c>
      <c r="D74" s="5">
        <v>966</v>
      </c>
      <c r="E74" s="5"/>
      <c r="F74" s="15">
        <v>45869</v>
      </c>
      <c r="G74" s="13" t="s">
        <v>47</v>
      </c>
      <c r="H74" s="7" t="s">
        <v>30</v>
      </c>
      <c r="I74" s="7" t="e">
        <f>VLOOKUP(H74,[1]Vendors!$B:$B,2,FALSE)</f>
        <v>#N/A</v>
      </c>
      <c r="J74" s="7" t="s">
        <v>12</v>
      </c>
      <c r="K74" s="12">
        <v>6125.98</v>
      </c>
    </row>
    <row r="75" spans="1:12" x14ac:dyDescent="0.35">
      <c r="A75" t="s">
        <v>146</v>
      </c>
      <c r="B75">
        <v>37.5</v>
      </c>
      <c r="C75" s="5"/>
      <c r="D75" s="5">
        <v>979</v>
      </c>
      <c r="E75" s="5" t="s">
        <v>9</v>
      </c>
      <c r="F75" s="15">
        <v>45869</v>
      </c>
      <c r="G75" s="13" t="s">
        <v>47</v>
      </c>
      <c r="H75" s="7" t="s">
        <v>30</v>
      </c>
      <c r="I75" s="7" t="e">
        <f>VLOOKUP(H75,[1]Vendors!$B:$B,2,FALSE)</f>
        <v>#N/A</v>
      </c>
      <c r="J75" s="7" t="s">
        <v>12</v>
      </c>
      <c r="L75" s="12">
        <v>6125.98</v>
      </c>
    </row>
    <row r="76" spans="1:12" x14ac:dyDescent="0.35">
      <c r="A76" t="s">
        <v>147</v>
      </c>
      <c r="B76">
        <v>38</v>
      </c>
      <c r="C76" s="5" t="s">
        <v>8</v>
      </c>
      <c r="D76" s="5">
        <v>966</v>
      </c>
      <c r="E76" s="5"/>
      <c r="F76" s="15">
        <v>45869</v>
      </c>
      <c r="G76" s="13" t="s">
        <v>48</v>
      </c>
      <c r="H76" s="7" t="s">
        <v>102</v>
      </c>
      <c r="I76" s="7" t="e">
        <f>VLOOKUP(H76,[1]Vendors!$B:$B,2,FALSE)</f>
        <v>#N/A</v>
      </c>
      <c r="J76" s="7" t="s">
        <v>12</v>
      </c>
      <c r="K76" s="12">
        <v>145.35</v>
      </c>
    </row>
    <row r="77" spans="1:12" x14ac:dyDescent="0.35">
      <c r="A77" t="s">
        <v>147</v>
      </c>
      <c r="B77">
        <v>38.5</v>
      </c>
      <c r="C77" s="5"/>
      <c r="D77" s="5">
        <v>979</v>
      </c>
      <c r="E77" s="5" t="s">
        <v>9</v>
      </c>
      <c r="F77" s="15">
        <v>45869</v>
      </c>
      <c r="G77" s="13" t="s">
        <v>48</v>
      </c>
      <c r="H77" s="7" t="s">
        <v>102</v>
      </c>
      <c r="I77" s="7" t="e">
        <f>VLOOKUP(H77,[1]Vendors!$B:$B,2,FALSE)</f>
        <v>#N/A</v>
      </c>
      <c r="J77" s="7" t="s">
        <v>12</v>
      </c>
      <c r="L77" s="12">
        <v>145.35</v>
      </c>
    </row>
    <row r="78" spans="1:12" x14ac:dyDescent="0.35">
      <c r="A78" t="s">
        <v>148</v>
      </c>
      <c r="B78">
        <v>39</v>
      </c>
      <c r="C78" s="5" t="s">
        <v>8</v>
      </c>
      <c r="D78" s="5">
        <v>966</v>
      </c>
      <c r="E78" s="5"/>
      <c r="F78" s="15">
        <v>45869</v>
      </c>
      <c r="G78" s="13" t="s">
        <v>49</v>
      </c>
      <c r="H78" s="7" t="s">
        <v>50</v>
      </c>
      <c r="I78" s="7" t="e">
        <f>VLOOKUP(H78,[1]Vendors!$B:$B,2,FALSE)</f>
        <v>#N/A</v>
      </c>
      <c r="J78" s="7" t="s">
        <v>12</v>
      </c>
      <c r="K78" s="12">
        <v>496.99</v>
      </c>
    </row>
    <row r="79" spans="1:12" x14ac:dyDescent="0.35">
      <c r="A79" t="s">
        <v>148</v>
      </c>
      <c r="B79">
        <v>39.5</v>
      </c>
      <c r="C79" s="5"/>
      <c r="D79" s="5">
        <v>979</v>
      </c>
      <c r="E79" s="5" t="s">
        <v>9</v>
      </c>
      <c r="F79" s="15">
        <v>45869</v>
      </c>
      <c r="G79" s="13" t="s">
        <v>49</v>
      </c>
      <c r="H79" s="7" t="s">
        <v>50</v>
      </c>
      <c r="I79" s="7" t="e">
        <f>VLOOKUP(H79,[1]Vendors!$B:$B,2,FALSE)</f>
        <v>#N/A</v>
      </c>
      <c r="J79" s="7" t="s">
        <v>12</v>
      </c>
      <c r="L79" s="12">
        <v>496.99</v>
      </c>
    </row>
    <row r="80" spans="1:12" x14ac:dyDescent="0.35">
      <c r="A80" t="s">
        <v>149</v>
      </c>
      <c r="B80">
        <v>40</v>
      </c>
      <c r="C80" s="5" t="s">
        <v>8</v>
      </c>
      <c r="D80" s="5">
        <v>966</v>
      </c>
      <c r="E80" s="5"/>
      <c r="F80" s="15">
        <v>45869</v>
      </c>
      <c r="G80" s="13">
        <v>20250213</v>
      </c>
      <c r="H80" s="7" t="s">
        <v>101</v>
      </c>
      <c r="I80" s="7" t="e">
        <f>VLOOKUP(H80,[1]Vendors!$B:$B,2,FALSE)</f>
        <v>#N/A</v>
      </c>
      <c r="J80" s="7" t="s">
        <v>12</v>
      </c>
      <c r="K80" s="12">
        <v>278.5</v>
      </c>
    </row>
    <row r="81" spans="1:12" x14ac:dyDescent="0.35">
      <c r="A81" t="s">
        <v>149</v>
      </c>
      <c r="B81">
        <v>40.5</v>
      </c>
      <c r="C81" s="5"/>
      <c r="D81" s="5">
        <v>979</v>
      </c>
      <c r="E81" s="5" t="s">
        <v>9</v>
      </c>
      <c r="F81" s="15">
        <v>45869</v>
      </c>
      <c r="G81" s="13">
        <v>20250213</v>
      </c>
      <c r="H81" s="7" t="s">
        <v>101</v>
      </c>
      <c r="I81" s="7" t="e">
        <f>VLOOKUP(H81,[1]Vendors!$B:$B,2,FALSE)</f>
        <v>#N/A</v>
      </c>
      <c r="J81" s="7" t="s">
        <v>12</v>
      </c>
      <c r="L81" s="12">
        <v>278.5</v>
      </c>
    </row>
    <row r="82" spans="1:12" x14ac:dyDescent="0.35">
      <c r="A82" t="s">
        <v>150</v>
      </c>
      <c r="B82">
        <v>41</v>
      </c>
      <c r="C82" s="5" t="s">
        <v>8</v>
      </c>
      <c r="D82" s="5">
        <v>966</v>
      </c>
      <c r="E82" s="5"/>
      <c r="F82" s="15">
        <v>45869</v>
      </c>
      <c r="G82" s="13">
        <v>20250416</v>
      </c>
      <c r="H82" s="7" t="s">
        <v>101</v>
      </c>
      <c r="I82" s="7" t="e">
        <f>VLOOKUP(H82,[1]Vendors!$B:$B,2,FALSE)</f>
        <v>#N/A</v>
      </c>
      <c r="J82" s="7" t="s">
        <v>12</v>
      </c>
      <c r="K82" s="12">
        <v>5436.17</v>
      </c>
    </row>
    <row r="83" spans="1:12" x14ac:dyDescent="0.35">
      <c r="A83" t="s">
        <v>150</v>
      </c>
      <c r="B83">
        <v>41.5</v>
      </c>
      <c r="C83" s="5"/>
      <c r="D83" s="5">
        <v>979</v>
      </c>
      <c r="E83" s="5" t="s">
        <v>9</v>
      </c>
      <c r="F83" s="15">
        <v>45869</v>
      </c>
      <c r="G83" s="13">
        <v>20250416</v>
      </c>
      <c r="H83" s="7" t="s">
        <v>101</v>
      </c>
      <c r="I83" s="7" t="e">
        <f>VLOOKUP(H83,[1]Vendors!$B:$B,2,FALSE)</f>
        <v>#N/A</v>
      </c>
      <c r="J83" s="7" t="s">
        <v>12</v>
      </c>
      <c r="L83" s="12">
        <v>5436.17</v>
      </c>
    </row>
    <row r="84" spans="1:12" x14ac:dyDescent="0.35">
      <c r="A84" t="s">
        <v>151</v>
      </c>
      <c r="B84">
        <v>42</v>
      </c>
      <c r="C84" s="5" t="s">
        <v>8</v>
      </c>
      <c r="D84" s="5">
        <v>966</v>
      </c>
      <c r="E84" s="5"/>
      <c r="F84" s="15">
        <v>45869</v>
      </c>
      <c r="G84" s="13" t="s">
        <v>51</v>
      </c>
      <c r="H84" s="7" t="s">
        <v>30</v>
      </c>
      <c r="I84" s="7" t="e">
        <f>VLOOKUP(H84,[1]Vendors!$B:$B,2,FALSE)</f>
        <v>#N/A</v>
      </c>
      <c r="J84" s="7" t="s">
        <v>12</v>
      </c>
      <c r="K84" s="12">
        <v>787</v>
      </c>
    </row>
    <row r="85" spans="1:12" x14ac:dyDescent="0.35">
      <c r="A85" t="s">
        <v>151</v>
      </c>
      <c r="B85">
        <v>42.5</v>
      </c>
      <c r="C85" s="5"/>
      <c r="D85" s="5">
        <v>979</v>
      </c>
      <c r="E85" s="5" t="s">
        <v>9</v>
      </c>
      <c r="F85" s="15">
        <v>45869</v>
      </c>
      <c r="G85" s="13" t="s">
        <v>51</v>
      </c>
      <c r="H85" s="7" t="s">
        <v>30</v>
      </c>
      <c r="I85" s="7" t="e">
        <f>VLOOKUP(H85,[1]Vendors!$B:$B,2,FALSE)</f>
        <v>#N/A</v>
      </c>
      <c r="J85" s="7" t="s">
        <v>12</v>
      </c>
      <c r="L85" s="12">
        <v>787</v>
      </c>
    </row>
    <row r="86" spans="1:12" x14ac:dyDescent="0.35">
      <c r="A86" t="s">
        <v>152</v>
      </c>
      <c r="B86">
        <v>43</v>
      </c>
      <c r="C86" s="5" t="s">
        <v>8</v>
      </c>
      <c r="D86" s="5">
        <v>966</v>
      </c>
      <c r="E86" s="5"/>
      <c r="F86" s="15">
        <v>45869</v>
      </c>
      <c r="G86" s="13" t="s">
        <v>52</v>
      </c>
      <c r="H86" s="7" t="s">
        <v>98</v>
      </c>
      <c r="I86" s="7" t="e">
        <f>VLOOKUP(H86,[1]Vendors!$B:$B,2,FALSE)</f>
        <v>#N/A</v>
      </c>
      <c r="J86" s="7" t="s">
        <v>12</v>
      </c>
      <c r="K86" s="12">
        <v>976.92</v>
      </c>
    </row>
    <row r="87" spans="1:12" x14ac:dyDescent="0.35">
      <c r="A87" t="s">
        <v>152</v>
      </c>
      <c r="B87">
        <v>43.5</v>
      </c>
      <c r="C87" s="5"/>
      <c r="D87" s="5">
        <v>979</v>
      </c>
      <c r="E87" s="5" t="s">
        <v>9</v>
      </c>
      <c r="F87" s="15">
        <v>45869</v>
      </c>
      <c r="G87" s="13" t="s">
        <v>52</v>
      </c>
      <c r="H87" s="7" t="s">
        <v>98</v>
      </c>
      <c r="I87" s="7" t="e">
        <f>VLOOKUP(H87,[1]Vendors!$B:$B,2,FALSE)</f>
        <v>#N/A</v>
      </c>
      <c r="J87" s="7" t="s">
        <v>12</v>
      </c>
      <c r="L87" s="12">
        <v>976.92</v>
      </c>
    </row>
    <row r="88" spans="1:12" x14ac:dyDescent="0.35">
      <c r="A88" t="s">
        <v>153</v>
      </c>
      <c r="B88">
        <v>44</v>
      </c>
      <c r="C88" s="5" t="s">
        <v>8</v>
      </c>
      <c r="D88" s="5">
        <v>966</v>
      </c>
      <c r="E88" s="5"/>
      <c r="F88" s="15">
        <v>45869</v>
      </c>
      <c r="G88" s="13" t="s">
        <v>54</v>
      </c>
      <c r="H88" s="7" t="s">
        <v>98</v>
      </c>
      <c r="I88" s="7" t="e">
        <f>VLOOKUP(H88,[1]Vendors!$B:$B,2,FALSE)</f>
        <v>#N/A</v>
      </c>
      <c r="J88" s="7" t="s">
        <v>12</v>
      </c>
      <c r="K88" s="12">
        <v>977</v>
      </c>
    </row>
    <row r="89" spans="1:12" x14ac:dyDescent="0.35">
      <c r="A89" t="s">
        <v>153</v>
      </c>
      <c r="B89">
        <v>44.5</v>
      </c>
      <c r="C89" s="5"/>
      <c r="D89" s="5">
        <v>979</v>
      </c>
      <c r="E89" s="5" t="s">
        <v>9</v>
      </c>
      <c r="F89" s="15">
        <v>45869</v>
      </c>
      <c r="G89" s="13" t="s">
        <v>54</v>
      </c>
      <c r="H89" s="7" t="s">
        <v>98</v>
      </c>
      <c r="I89" s="7" t="e">
        <f>VLOOKUP(H89,[1]Vendors!$B:$B,2,FALSE)</f>
        <v>#N/A</v>
      </c>
      <c r="J89" s="7" t="s">
        <v>12</v>
      </c>
      <c r="L89" s="12">
        <v>977</v>
      </c>
    </row>
    <row r="90" spans="1:12" x14ac:dyDescent="0.35">
      <c r="A90" t="s">
        <v>154</v>
      </c>
      <c r="B90">
        <v>45</v>
      </c>
      <c r="C90" s="5" t="s">
        <v>8</v>
      </c>
      <c r="D90" s="5">
        <v>966</v>
      </c>
      <c r="E90" s="5"/>
      <c r="F90" s="15">
        <v>45869</v>
      </c>
      <c r="G90" s="13">
        <v>880</v>
      </c>
      <c r="H90" s="7" t="s">
        <v>55</v>
      </c>
      <c r="I90" s="7" t="e">
        <f>VLOOKUP(H90,[1]Vendors!$B:$B,2,FALSE)</f>
        <v>#N/A</v>
      </c>
      <c r="J90" s="7" t="s">
        <v>12</v>
      </c>
      <c r="K90" s="12">
        <v>5019.7199999999993</v>
      </c>
    </row>
    <row r="91" spans="1:12" x14ac:dyDescent="0.35">
      <c r="A91" t="s">
        <v>154</v>
      </c>
      <c r="B91">
        <v>45.5</v>
      </c>
      <c r="C91" s="5"/>
      <c r="D91" s="5">
        <v>979</v>
      </c>
      <c r="E91" s="5" t="s">
        <v>9</v>
      </c>
      <c r="F91" s="15">
        <v>45869</v>
      </c>
      <c r="G91" s="13">
        <v>880</v>
      </c>
      <c r="H91" s="7" t="s">
        <v>55</v>
      </c>
      <c r="I91" s="7" t="e">
        <f>VLOOKUP(H91,[1]Vendors!$B:$B,2,FALSE)</f>
        <v>#N/A</v>
      </c>
      <c r="J91" s="7" t="s">
        <v>12</v>
      </c>
      <c r="L91" s="12">
        <v>5019.7199999999993</v>
      </c>
    </row>
    <row r="92" spans="1:12" x14ac:dyDescent="0.35">
      <c r="A92" t="s">
        <v>155</v>
      </c>
      <c r="B92">
        <v>46</v>
      </c>
      <c r="C92" s="5" t="s">
        <v>8</v>
      </c>
      <c r="D92" s="5">
        <v>966</v>
      </c>
      <c r="E92" s="5"/>
      <c r="F92" s="15">
        <v>45869</v>
      </c>
      <c r="G92" s="13" t="s">
        <v>56</v>
      </c>
      <c r="H92" s="7" t="s">
        <v>103</v>
      </c>
      <c r="I92" s="7" t="e">
        <f>VLOOKUP(H92,[1]Vendors!$B:$B,2,FALSE)</f>
        <v>#N/A</v>
      </c>
      <c r="J92" s="7" t="s">
        <v>12</v>
      </c>
      <c r="K92" s="12">
        <v>1907.6799999999998</v>
      </c>
    </row>
    <row r="93" spans="1:12" x14ac:dyDescent="0.35">
      <c r="A93" t="s">
        <v>155</v>
      </c>
      <c r="B93">
        <v>46.5</v>
      </c>
      <c r="C93" s="5"/>
      <c r="D93" s="5">
        <v>979</v>
      </c>
      <c r="E93" s="5" t="s">
        <v>9</v>
      </c>
      <c r="F93" s="15">
        <v>45869</v>
      </c>
      <c r="G93" s="13" t="s">
        <v>56</v>
      </c>
      <c r="H93" s="7" t="s">
        <v>103</v>
      </c>
      <c r="I93" s="7" t="e">
        <f>VLOOKUP(H93,[1]Vendors!$B:$B,2,FALSE)</f>
        <v>#N/A</v>
      </c>
      <c r="J93" s="7" t="s">
        <v>12</v>
      </c>
      <c r="L93" s="12">
        <v>1907.6799999999998</v>
      </c>
    </row>
    <row r="94" spans="1:12" x14ac:dyDescent="0.35">
      <c r="A94" t="s">
        <v>156</v>
      </c>
      <c r="B94">
        <v>47</v>
      </c>
      <c r="C94" s="5" t="s">
        <v>8</v>
      </c>
      <c r="D94" s="5">
        <v>966</v>
      </c>
      <c r="E94" s="5"/>
      <c r="F94" s="15">
        <v>45869</v>
      </c>
      <c r="G94" s="13">
        <v>72500046</v>
      </c>
      <c r="H94" s="7" t="s">
        <v>106</v>
      </c>
      <c r="I94" s="7" t="e">
        <f>VLOOKUP(H94,[1]Vendors!$B:$B,2,FALSE)</f>
        <v>#N/A</v>
      </c>
      <c r="J94" s="7" t="s">
        <v>12</v>
      </c>
      <c r="K94" s="12">
        <v>30</v>
      </c>
    </row>
    <row r="95" spans="1:12" x14ac:dyDescent="0.35">
      <c r="A95" t="s">
        <v>156</v>
      </c>
      <c r="B95">
        <v>47.5</v>
      </c>
      <c r="C95" s="5"/>
      <c r="D95" s="5">
        <v>979</v>
      </c>
      <c r="E95" s="5" t="s">
        <v>9</v>
      </c>
      <c r="F95" s="15">
        <v>45869</v>
      </c>
      <c r="G95" s="13">
        <v>72500046</v>
      </c>
      <c r="H95" s="7" t="s">
        <v>106</v>
      </c>
      <c r="I95" s="7" t="e">
        <f>VLOOKUP(H95,[1]Vendors!$B:$B,2,FALSE)</f>
        <v>#N/A</v>
      </c>
      <c r="J95" s="7" t="s">
        <v>12</v>
      </c>
      <c r="L95" s="12">
        <v>30</v>
      </c>
    </row>
    <row r="96" spans="1:12" x14ac:dyDescent="0.35">
      <c r="A96" t="s">
        <v>157</v>
      </c>
      <c r="B96">
        <v>48</v>
      </c>
      <c r="C96" s="5" t="s">
        <v>8</v>
      </c>
      <c r="D96" s="5">
        <v>966</v>
      </c>
      <c r="E96" s="5"/>
      <c r="F96" s="15">
        <v>45869</v>
      </c>
      <c r="G96" s="13" t="s">
        <v>58</v>
      </c>
      <c r="H96" s="7" t="s">
        <v>30</v>
      </c>
      <c r="I96" s="7" t="e">
        <f>VLOOKUP(H96,[1]Vendors!$B:$B,2,FALSE)</f>
        <v>#N/A</v>
      </c>
      <c r="J96" s="7" t="s">
        <v>12</v>
      </c>
      <c r="K96" s="12">
        <v>786.65</v>
      </c>
    </row>
    <row r="97" spans="1:12" x14ac:dyDescent="0.35">
      <c r="A97" t="s">
        <v>157</v>
      </c>
      <c r="B97">
        <v>48.5</v>
      </c>
      <c r="C97" s="5"/>
      <c r="D97" s="5">
        <v>979</v>
      </c>
      <c r="E97" s="5" t="s">
        <v>9</v>
      </c>
      <c r="F97" s="15">
        <v>45869</v>
      </c>
      <c r="G97" s="13" t="s">
        <v>58</v>
      </c>
      <c r="H97" s="7" t="s">
        <v>30</v>
      </c>
      <c r="I97" s="7" t="e">
        <f>VLOOKUP(H97,[1]Vendors!$B:$B,2,FALSE)</f>
        <v>#N/A</v>
      </c>
      <c r="J97" s="7" t="s">
        <v>12</v>
      </c>
      <c r="L97" s="12">
        <v>786.65</v>
      </c>
    </row>
    <row r="98" spans="1:12" x14ac:dyDescent="0.35">
      <c r="A98" t="s">
        <v>158</v>
      </c>
      <c r="B98">
        <v>49</v>
      </c>
      <c r="C98" s="5" t="s">
        <v>8</v>
      </c>
      <c r="D98" s="5">
        <v>966</v>
      </c>
      <c r="E98" s="5"/>
      <c r="F98" s="15">
        <v>45869</v>
      </c>
      <c r="G98" s="13" t="s">
        <v>59</v>
      </c>
      <c r="H98" s="7" t="s">
        <v>103</v>
      </c>
      <c r="I98" s="7" t="e">
        <f>VLOOKUP(H98,[1]Vendors!$B:$B,2,FALSE)</f>
        <v>#N/A</v>
      </c>
      <c r="J98" s="7" t="s">
        <v>12</v>
      </c>
      <c r="K98" s="12">
        <v>2280</v>
      </c>
    </row>
    <row r="99" spans="1:12" x14ac:dyDescent="0.35">
      <c r="A99" t="s">
        <v>158</v>
      </c>
      <c r="B99">
        <v>49.5</v>
      </c>
      <c r="C99" s="5"/>
      <c r="D99" s="5">
        <v>979</v>
      </c>
      <c r="E99" s="5" t="s">
        <v>9</v>
      </c>
      <c r="F99" s="15">
        <v>45869</v>
      </c>
      <c r="G99" s="13" t="s">
        <v>59</v>
      </c>
      <c r="H99" s="7" t="s">
        <v>103</v>
      </c>
      <c r="I99" s="7" t="e">
        <f>VLOOKUP(H99,[1]Vendors!$B:$B,2,FALSE)</f>
        <v>#N/A</v>
      </c>
      <c r="J99" s="7" t="s">
        <v>12</v>
      </c>
      <c r="L99" s="12">
        <v>2280</v>
      </c>
    </row>
    <row r="100" spans="1:12" x14ac:dyDescent="0.35">
      <c r="A100" t="s">
        <v>159</v>
      </c>
      <c r="B100">
        <v>50</v>
      </c>
      <c r="C100" s="5" t="s">
        <v>8</v>
      </c>
      <c r="D100" s="5">
        <v>966</v>
      </c>
      <c r="E100" s="5"/>
      <c r="F100" s="15">
        <v>45869</v>
      </c>
      <c r="G100" s="13" t="s">
        <v>60</v>
      </c>
      <c r="H100" s="7" t="s">
        <v>30</v>
      </c>
      <c r="I100" s="7" t="e">
        <f>VLOOKUP(H100,[1]Vendors!$B:$B,2,FALSE)</f>
        <v>#N/A</v>
      </c>
      <c r="J100" s="7" t="s">
        <v>12</v>
      </c>
      <c r="K100" s="12">
        <v>1572</v>
      </c>
    </row>
    <row r="101" spans="1:12" x14ac:dyDescent="0.35">
      <c r="A101" t="s">
        <v>159</v>
      </c>
      <c r="B101">
        <v>50.5</v>
      </c>
      <c r="C101" s="5"/>
      <c r="D101" s="5">
        <v>979</v>
      </c>
      <c r="E101" s="5" t="s">
        <v>9</v>
      </c>
      <c r="F101" s="15">
        <v>45869</v>
      </c>
      <c r="G101" s="13" t="s">
        <v>60</v>
      </c>
      <c r="H101" s="7" t="s">
        <v>30</v>
      </c>
      <c r="I101" s="7" t="e">
        <f>VLOOKUP(H101,[1]Vendors!$B:$B,2,FALSE)</f>
        <v>#N/A</v>
      </c>
      <c r="J101" s="7" t="s">
        <v>12</v>
      </c>
      <c r="L101" s="12">
        <v>1572</v>
      </c>
    </row>
    <row r="102" spans="1:12" x14ac:dyDescent="0.35">
      <c r="A102" t="s">
        <v>160</v>
      </c>
      <c r="B102">
        <v>51</v>
      </c>
      <c r="C102" s="5" t="s">
        <v>8</v>
      </c>
      <c r="D102" s="5">
        <v>966</v>
      </c>
      <c r="E102" s="5"/>
      <c r="F102" s="15">
        <v>45869</v>
      </c>
      <c r="G102" s="13" t="s">
        <v>61</v>
      </c>
      <c r="H102" s="7" t="s">
        <v>99</v>
      </c>
      <c r="I102" s="7" t="e">
        <f>VLOOKUP(H102,[1]Vendors!$B:$B,2,FALSE)</f>
        <v>#N/A</v>
      </c>
      <c r="J102" s="7" t="s">
        <v>12</v>
      </c>
      <c r="K102" s="12">
        <v>1551.02</v>
      </c>
    </row>
    <row r="103" spans="1:12" x14ac:dyDescent="0.35">
      <c r="A103" t="s">
        <v>160</v>
      </c>
      <c r="B103">
        <v>51.5</v>
      </c>
      <c r="C103" s="5"/>
      <c r="D103" s="5">
        <v>979</v>
      </c>
      <c r="E103" s="5" t="s">
        <v>9</v>
      </c>
      <c r="F103" s="15">
        <v>45869</v>
      </c>
      <c r="G103" s="13" t="s">
        <v>61</v>
      </c>
      <c r="H103" s="7" t="s">
        <v>99</v>
      </c>
      <c r="I103" s="7" t="e">
        <f>VLOOKUP(H103,[1]Vendors!$B:$B,2,FALSE)</f>
        <v>#N/A</v>
      </c>
      <c r="J103" s="7" t="s">
        <v>12</v>
      </c>
      <c r="L103" s="12">
        <v>1551.02</v>
      </c>
    </row>
    <row r="104" spans="1:12" x14ac:dyDescent="0.35">
      <c r="A104" t="s">
        <v>161</v>
      </c>
      <c r="B104">
        <v>52</v>
      </c>
      <c r="C104" s="5" t="s">
        <v>8</v>
      </c>
      <c r="D104" s="5">
        <v>966</v>
      </c>
      <c r="E104" s="5"/>
      <c r="F104" s="15">
        <v>45869</v>
      </c>
      <c r="G104" s="13" t="s">
        <v>63</v>
      </c>
      <c r="H104" s="7" t="s">
        <v>100</v>
      </c>
      <c r="I104" s="7" t="e">
        <f>VLOOKUP(H104,[1]Vendors!$B:$B,2,FALSE)</f>
        <v>#N/A</v>
      </c>
      <c r="J104" s="7" t="s">
        <v>12</v>
      </c>
      <c r="K104" s="12">
        <v>6580.78</v>
      </c>
    </row>
    <row r="105" spans="1:12" x14ac:dyDescent="0.35">
      <c r="A105" t="s">
        <v>161</v>
      </c>
      <c r="B105">
        <v>52.5</v>
      </c>
      <c r="C105" s="5"/>
      <c r="D105" s="5">
        <v>979</v>
      </c>
      <c r="E105" s="5" t="s">
        <v>9</v>
      </c>
      <c r="F105" s="15">
        <v>45869</v>
      </c>
      <c r="G105" s="13" t="s">
        <v>63</v>
      </c>
      <c r="H105" s="7" t="s">
        <v>100</v>
      </c>
      <c r="I105" s="7" t="e">
        <f>VLOOKUP(H105,[1]Vendors!$B:$B,2,FALSE)</f>
        <v>#N/A</v>
      </c>
      <c r="J105" s="7" t="s">
        <v>12</v>
      </c>
      <c r="L105" s="12">
        <v>6580.78</v>
      </c>
    </row>
    <row r="106" spans="1:12" x14ac:dyDescent="0.35">
      <c r="A106" t="s">
        <v>162</v>
      </c>
      <c r="B106">
        <v>53</v>
      </c>
      <c r="C106" s="5" t="s">
        <v>8</v>
      </c>
      <c r="D106" s="5">
        <v>966</v>
      </c>
      <c r="E106" s="5"/>
      <c r="F106" s="15">
        <v>45869</v>
      </c>
      <c r="G106" s="13" t="s">
        <v>65</v>
      </c>
      <c r="H106" s="7" t="s">
        <v>98</v>
      </c>
      <c r="I106" s="7" t="e">
        <f>VLOOKUP(H106,[1]Vendors!$B:$B,2,FALSE)</f>
        <v>#N/A</v>
      </c>
      <c r="J106" s="7" t="s">
        <v>12</v>
      </c>
      <c r="K106" s="12">
        <v>1008</v>
      </c>
    </row>
    <row r="107" spans="1:12" x14ac:dyDescent="0.35">
      <c r="A107" t="s">
        <v>162</v>
      </c>
      <c r="B107">
        <v>53.5</v>
      </c>
      <c r="C107" s="5"/>
      <c r="D107" s="5">
        <v>979</v>
      </c>
      <c r="E107" s="5" t="s">
        <v>9</v>
      </c>
      <c r="F107" s="15">
        <v>45869</v>
      </c>
      <c r="G107" s="13" t="s">
        <v>65</v>
      </c>
      <c r="H107" s="7" t="s">
        <v>98</v>
      </c>
      <c r="I107" s="7" t="e">
        <f>VLOOKUP(H107,[1]Vendors!$B:$B,2,FALSE)</f>
        <v>#N/A</v>
      </c>
      <c r="J107" s="7" t="s">
        <v>12</v>
      </c>
      <c r="L107" s="12">
        <v>1008</v>
      </c>
    </row>
    <row r="108" spans="1:12" x14ac:dyDescent="0.35">
      <c r="A108" t="s">
        <v>163</v>
      </c>
      <c r="B108">
        <v>54</v>
      </c>
      <c r="C108" s="5" t="s">
        <v>8</v>
      </c>
      <c r="D108" s="5">
        <v>966</v>
      </c>
      <c r="E108" s="5"/>
      <c r="F108" s="15">
        <v>45869</v>
      </c>
      <c r="G108" s="13" t="s">
        <v>66</v>
      </c>
      <c r="H108" s="7" t="s">
        <v>98</v>
      </c>
      <c r="I108" s="7" t="e">
        <f>VLOOKUP(H108,[1]Vendors!$B:$B,2,FALSE)</f>
        <v>#N/A</v>
      </c>
      <c r="J108" s="7" t="s">
        <v>12</v>
      </c>
      <c r="K108" s="12">
        <v>7356.52</v>
      </c>
    </row>
    <row r="109" spans="1:12" x14ac:dyDescent="0.35">
      <c r="A109" t="s">
        <v>163</v>
      </c>
      <c r="B109">
        <v>54.5</v>
      </c>
      <c r="C109" s="5"/>
      <c r="D109" s="5">
        <v>979</v>
      </c>
      <c r="E109" s="5" t="s">
        <v>9</v>
      </c>
      <c r="F109" s="15">
        <v>45869</v>
      </c>
      <c r="G109" s="13" t="s">
        <v>66</v>
      </c>
      <c r="H109" s="7" t="s">
        <v>98</v>
      </c>
      <c r="I109" s="7" t="e">
        <f>VLOOKUP(H109,[1]Vendors!$B:$B,2,FALSE)</f>
        <v>#N/A</v>
      </c>
      <c r="J109" s="7" t="s">
        <v>12</v>
      </c>
      <c r="L109" s="12">
        <v>7356.52</v>
      </c>
    </row>
    <row r="110" spans="1:12" x14ac:dyDescent="0.35">
      <c r="A110" t="s">
        <v>164</v>
      </c>
      <c r="B110">
        <v>55</v>
      </c>
      <c r="C110" s="5" t="s">
        <v>8</v>
      </c>
      <c r="D110" s="5">
        <v>966</v>
      </c>
      <c r="E110" s="5"/>
      <c r="F110" s="15">
        <v>45869</v>
      </c>
      <c r="G110" s="13" t="s">
        <v>67</v>
      </c>
      <c r="H110" s="7" t="s">
        <v>30</v>
      </c>
      <c r="I110" s="7" t="e">
        <f>VLOOKUP(H110,[1]Vendors!$B:$B,2,FALSE)</f>
        <v>#N/A</v>
      </c>
      <c r="J110" s="7" t="s">
        <v>12</v>
      </c>
      <c r="K110" s="12">
        <v>786</v>
      </c>
    </row>
    <row r="111" spans="1:12" x14ac:dyDescent="0.35">
      <c r="A111" t="s">
        <v>164</v>
      </c>
      <c r="B111">
        <v>55.5</v>
      </c>
      <c r="C111" s="5"/>
      <c r="D111" s="5">
        <v>979</v>
      </c>
      <c r="E111" s="5" t="s">
        <v>9</v>
      </c>
      <c r="F111" s="15">
        <v>45869</v>
      </c>
      <c r="G111" s="13" t="s">
        <v>67</v>
      </c>
      <c r="H111" s="7" t="s">
        <v>30</v>
      </c>
      <c r="I111" s="7" t="e">
        <f>VLOOKUP(H111,[1]Vendors!$B:$B,2,FALSE)</f>
        <v>#N/A</v>
      </c>
      <c r="J111" s="7" t="s">
        <v>12</v>
      </c>
      <c r="L111" s="12">
        <v>786</v>
      </c>
    </row>
    <row r="112" spans="1:12" x14ac:dyDescent="0.35">
      <c r="A112" t="s">
        <v>165</v>
      </c>
      <c r="B112">
        <v>56</v>
      </c>
      <c r="C112" s="5" t="s">
        <v>8</v>
      </c>
      <c r="D112" s="5">
        <v>966</v>
      </c>
      <c r="E112" s="5"/>
      <c r="F112" s="15">
        <v>45869</v>
      </c>
      <c r="G112" s="13" t="s">
        <v>68</v>
      </c>
      <c r="H112" s="7" t="s">
        <v>98</v>
      </c>
      <c r="I112" s="7" t="e">
        <f>VLOOKUP(H112,[1]Vendors!$B:$B,2,FALSE)</f>
        <v>#N/A</v>
      </c>
      <c r="J112" s="7" t="s">
        <v>12</v>
      </c>
      <c r="K112" s="12">
        <v>2626.11</v>
      </c>
    </row>
    <row r="113" spans="1:12" x14ac:dyDescent="0.35">
      <c r="A113" t="s">
        <v>165</v>
      </c>
      <c r="B113">
        <v>56.5</v>
      </c>
      <c r="C113" s="5"/>
      <c r="D113" s="5">
        <v>979</v>
      </c>
      <c r="E113" s="5" t="s">
        <v>9</v>
      </c>
      <c r="F113" s="15">
        <v>45869</v>
      </c>
      <c r="G113" s="13" t="s">
        <v>68</v>
      </c>
      <c r="H113" s="7" t="s">
        <v>98</v>
      </c>
      <c r="I113" s="7" t="e">
        <f>VLOOKUP(H113,[1]Vendors!$B:$B,2,FALSE)</f>
        <v>#N/A</v>
      </c>
      <c r="J113" s="7" t="s">
        <v>12</v>
      </c>
      <c r="L113" s="12">
        <v>2626.11</v>
      </c>
    </row>
    <row r="114" spans="1:12" x14ac:dyDescent="0.35">
      <c r="A114" t="s">
        <v>166</v>
      </c>
      <c r="B114">
        <v>57</v>
      </c>
      <c r="C114" s="5" t="s">
        <v>8</v>
      </c>
      <c r="D114" s="5">
        <v>966</v>
      </c>
      <c r="E114" s="5"/>
      <c r="F114" s="15">
        <v>45869</v>
      </c>
      <c r="G114" s="13" t="s">
        <v>69</v>
      </c>
      <c r="H114" s="7" t="s">
        <v>98</v>
      </c>
      <c r="I114" s="7" t="e">
        <f>VLOOKUP(H114,[1]Vendors!$B:$B,2,FALSE)</f>
        <v>#N/A</v>
      </c>
      <c r="J114" s="7" t="s">
        <v>12</v>
      </c>
      <c r="K114" s="12">
        <v>5640.08</v>
      </c>
    </row>
    <row r="115" spans="1:12" x14ac:dyDescent="0.35">
      <c r="A115" t="s">
        <v>166</v>
      </c>
      <c r="B115">
        <v>57.5</v>
      </c>
      <c r="C115" s="5"/>
      <c r="D115" s="5">
        <v>979</v>
      </c>
      <c r="E115" s="5" t="s">
        <v>9</v>
      </c>
      <c r="F115" s="15">
        <v>45869</v>
      </c>
      <c r="G115" s="13" t="s">
        <v>69</v>
      </c>
      <c r="H115" s="7" t="s">
        <v>98</v>
      </c>
      <c r="I115" s="7" t="e">
        <f>VLOOKUP(H115,[1]Vendors!$B:$B,2,FALSE)</f>
        <v>#N/A</v>
      </c>
      <c r="J115" s="7" t="s">
        <v>12</v>
      </c>
      <c r="L115" s="12">
        <v>5640.08</v>
      </c>
    </row>
    <row r="116" spans="1:12" x14ac:dyDescent="0.35">
      <c r="A116" t="s">
        <v>167</v>
      </c>
      <c r="B116">
        <v>58</v>
      </c>
      <c r="C116" s="5" t="s">
        <v>8</v>
      </c>
      <c r="D116" s="5">
        <v>966</v>
      </c>
      <c r="E116" s="5"/>
      <c r="F116" s="15">
        <v>45869</v>
      </c>
      <c r="G116" s="13" t="s">
        <v>70</v>
      </c>
      <c r="H116" s="7" t="s">
        <v>30</v>
      </c>
      <c r="I116" s="7" t="e">
        <f>VLOOKUP(H116,[1]Vendors!$B:$B,2,FALSE)</f>
        <v>#N/A</v>
      </c>
      <c r="J116" s="7" t="s">
        <v>12</v>
      </c>
      <c r="K116" s="12">
        <v>786</v>
      </c>
    </row>
    <row r="117" spans="1:12" x14ac:dyDescent="0.35">
      <c r="A117" t="s">
        <v>167</v>
      </c>
      <c r="B117">
        <v>58.5</v>
      </c>
      <c r="C117" s="5"/>
      <c r="D117" s="5">
        <v>979</v>
      </c>
      <c r="E117" s="5" t="s">
        <v>9</v>
      </c>
      <c r="F117" s="15">
        <v>45869</v>
      </c>
      <c r="G117" s="13" t="s">
        <v>70</v>
      </c>
      <c r="H117" s="7" t="s">
        <v>30</v>
      </c>
      <c r="I117" s="7" t="e">
        <f>VLOOKUP(H117,[1]Vendors!$B:$B,2,FALSE)</f>
        <v>#N/A</v>
      </c>
      <c r="J117" s="7" t="s">
        <v>12</v>
      </c>
      <c r="L117" s="12">
        <v>786</v>
      </c>
    </row>
    <row r="118" spans="1:12" x14ac:dyDescent="0.35">
      <c r="A118" t="s">
        <v>168</v>
      </c>
      <c r="B118">
        <v>59</v>
      </c>
      <c r="C118" s="5" t="s">
        <v>8</v>
      </c>
      <c r="D118" s="5">
        <v>966</v>
      </c>
      <c r="E118" s="5"/>
      <c r="F118" s="15">
        <v>45869</v>
      </c>
      <c r="G118" s="13" t="s">
        <v>71</v>
      </c>
      <c r="H118" s="7" t="s">
        <v>98</v>
      </c>
      <c r="I118" s="7" t="e">
        <f>VLOOKUP(H118,[1]Vendors!$B:$B,2,FALSE)</f>
        <v>#N/A</v>
      </c>
      <c r="J118" s="7" t="s">
        <v>12</v>
      </c>
      <c r="K118" s="12">
        <v>3765.9</v>
      </c>
    </row>
    <row r="119" spans="1:12" x14ac:dyDescent="0.35">
      <c r="A119" t="s">
        <v>168</v>
      </c>
      <c r="B119">
        <v>59.5</v>
      </c>
      <c r="C119" s="5"/>
      <c r="D119" s="5">
        <v>979</v>
      </c>
      <c r="E119" s="5" t="s">
        <v>9</v>
      </c>
      <c r="F119" s="15">
        <v>45869</v>
      </c>
      <c r="G119" s="13" t="s">
        <v>71</v>
      </c>
      <c r="H119" s="7" t="s">
        <v>98</v>
      </c>
      <c r="I119" s="7" t="e">
        <f>VLOOKUP(H119,[1]Vendors!$B:$B,2,FALSE)</f>
        <v>#N/A</v>
      </c>
      <c r="J119" s="7" t="s">
        <v>12</v>
      </c>
      <c r="L119" s="12">
        <v>3765.9</v>
      </c>
    </row>
    <row r="120" spans="1:12" x14ac:dyDescent="0.35">
      <c r="A120" t="s">
        <v>169</v>
      </c>
      <c r="B120">
        <v>60</v>
      </c>
      <c r="C120" s="5" t="s">
        <v>8</v>
      </c>
      <c r="D120" s="5">
        <v>966</v>
      </c>
      <c r="E120" s="5"/>
      <c r="F120" s="15">
        <v>45869</v>
      </c>
      <c r="G120" s="13" t="s">
        <v>72</v>
      </c>
      <c r="H120" s="7" t="s">
        <v>98</v>
      </c>
      <c r="I120" s="7" t="e">
        <f>VLOOKUP(H120,[1]Vendors!$B:$B,2,FALSE)</f>
        <v>#N/A</v>
      </c>
      <c r="J120" s="7" t="s">
        <v>12</v>
      </c>
      <c r="K120" s="12">
        <v>3765</v>
      </c>
    </row>
    <row r="121" spans="1:12" x14ac:dyDescent="0.35">
      <c r="A121" t="s">
        <v>169</v>
      </c>
      <c r="B121">
        <v>60.5</v>
      </c>
      <c r="C121" s="5"/>
      <c r="D121" s="5">
        <v>979</v>
      </c>
      <c r="E121" s="5" t="s">
        <v>9</v>
      </c>
      <c r="F121" s="15">
        <v>45869</v>
      </c>
      <c r="G121" s="13" t="s">
        <v>72</v>
      </c>
      <c r="H121" s="7" t="s">
        <v>98</v>
      </c>
      <c r="I121" s="7" t="e">
        <f>VLOOKUP(H121,[1]Vendors!$B:$B,2,FALSE)</f>
        <v>#N/A</v>
      </c>
      <c r="J121" s="7" t="s">
        <v>12</v>
      </c>
      <c r="L121" s="12">
        <v>3765</v>
      </c>
    </row>
    <row r="122" spans="1:12" x14ac:dyDescent="0.35">
      <c r="A122" t="s">
        <v>170</v>
      </c>
      <c r="B122">
        <v>61</v>
      </c>
      <c r="C122" s="5" t="s">
        <v>8</v>
      </c>
      <c r="D122" s="5">
        <v>966</v>
      </c>
      <c r="E122" s="5"/>
      <c r="F122" s="15">
        <v>45869</v>
      </c>
      <c r="G122" s="13" t="s">
        <v>73</v>
      </c>
      <c r="H122" s="7" t="s">
        <v>98</v>
      </c>
      <c r="I122" s="7" t="e">
        <f>VLOOKUP(H122,[1]Vendors!$B:$B,2,FALSE)</f>
        <v>#N/A</v>
      </c>
      <c r="J122" s="7" t="s">
        <v>12</v>
      </c>
      <c r="K122" s="12">
        <v>3765</v>
      </c>
    </row>
    <row r="123" spans="1:12" x14ac:dyDescent="0.35">
      <c r="A123" t="s">
        <v>170</v>
      </c>
      <c r="B123">
        <v>61.5</v>
      </c>
      <c r="C123" s="5"/>
      <c r="D123" s="5">
        <v>979</v>
      </c>
      <c r="E123" s="5" t="s">
        <v>9</v>
      </c>
      <c r="F123" s="15">
        <v>45869</v>
      </c>
      <c r="G123" s="13" t="s">
        <v>73</v>
      </c>
      <c r="H123" s="7" t="s">
        <v>98</v>
      </c>
      <c r="I123" s="7" t="e">
        <f>VLOOKUP(H123,[1]Vendors!$B:$B,2,FALSE)</f>
        <v>#N/A</v>
      </c>
      <c r="J123" s="7" t="s">
        <v>12</v>
      </c>
      <c r="L123" s="12">
        <v>3765</v>
      </c>
    </row>
    <row r="124" spans="1:12" x14ac:dyDescent="0.35">
      <c r="A124" t="s">
        <v>171</v>
      </c>
      <c r="B124">
        <v>62</v>
      </c>
      <c r="C124" s="5" t="s">
        <v>8</v>
      </c>
      <c r="D124" s="5">
        <v>966</v>
      </c>
      <c r="E124" s="5"/>
      <c r="F124" s="15">
        <v>45869</v>
      </c>
      <c r="G124" s="13" t="s">
        <v>74</v>
      </c>
      <c r="H124" s="7" t="s">
        <v>98</v>
      </c>
      <c r="I124" s="7" t="e">
        <f>VLOOKUP(H124,[1]Vendors!$B:$B,2,FALSE)</f>
        <v>#N/A</v>
      </c>
      <c r="J124" s="7" t="s">
        <v>12</v>
      </c>
      <c r="K124" s="12">
        <v>1927.05</v>
      </c>
    </row>
    <row r="125" spans="1:12" x14ac:dyDescent="0.35">
      <c r="A125" t="s">
        <v>171</v>
      </c>
      <c r="B125">
        <v>62.5</v>
      </c>
      <c r="C125" s="5"/>
      <c r="D125" s="5">
        <v>979</v>
      </c>
      <c r="E125" s="5" t="s">
        <v>9</v>
      </c>
      <c r="F125" s="15">
        <v>45869</v>
      </c>
      <c r="G125" s="13" t="s">
        <v>74</v>
      </c>
      <c r="H125" s="7" t="s">
        <v>98</v>
      </c>
      <c r="I125" s="7" t="e">
        <f>VLOOKUP(H125,[1]Vendors!$B:$B,2,FALSE)</f>
        <v>#N/A</v>
      </c>
      <c r="J125" s="7" t="s">
        <v>12</v>
      </c>
      <c r="L125" s="12">
        <v>1927.05</v>
      </c>
    </row>
    <row r="126" spans="1:12" x14ac:dyDescent="0.35">
      <c r="A126" t="s">
        <v>172</v>
      </c>
      <c r="B126">
        <v>63</v>
      </c>
      <c r="C126" s="5" t="s">
        <v>8</v>
      </c>
      <c r="D126" s="5">
        <v>966</v>
      </c>
      <c r="E126" s="5"/>
      <c r="F126" s="15">
        <v>45869</v>
      </c>
      <c r="G126" s="13" t="s">
        <v>75</v>
      </c>
      <c r="H126" s="7" t="s">
        <v>30</v>
      </c>
      <c r="I126" s="7" t="e">
        <f>VLOOKUP(H126,[1]Vendors!$B:$B,2,FALSE)</f>
        <v>#N/A</v>
      </c>
      <c r="J126" s="7" t="s">
        <v>12</v>
      </c>
      <c r="K126" s="12">
        <v>786</v>
      </c>
    </row>
    <row r="127" spans="1:12" x14ac:dyDescent="0.35">
      <c r="A127" t="s">
        <v>172</v>
      </c>
      <c r="B127">
        <v>63.5</v>
      </c>
      <c r="C127" s="5"/>
      <c r="D127" s="5">
        <v>979</v>
      </c>
      <c r="E127" s="5" t="s">
        <v>9</v>
      </c>
      <c r="F127" s="15">
        <v>45869</v>
      </c>
      <c r="G127" s="13" t="s">
        <v>75</v>
      </c>
      <c r="H127" s="7" t="s">
        <v>30</v>
      </c>
      <c r="I127" s="7" t="e">
        <f>VLOOKUP(H127,[1]Vendors!$B:$B,2,FALSE)</f>
        <v>#N/A</v>
      </c>
      <c r="J127" s="7" t="s">
        <v>12</v>
      </c>
      <c r="L127" s="12">
        <v>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301F8-77F7-4F82-B40E-AC55AF95352E}">
  <dimension ref="A1:C127"/>
  <sheetViews>
    <sheetView topLeftCell="A4" workbookViewId="0">
      <selection activeCell="C2" sqref="C2:C64"/>
    </sheetView>
  </sheetViews>
  <sheetFormatPr defaultRowHeight="14.5" x14ac:dyDescent="0.35"/>
  <cols>
    <col min="1" max="1" width="20.6328125" style="14" customWidth="1"/>
    <col min="3" max="3" width="26.08984375"/>
  </cols>
  <sheetData>
    <row r="1" spans="1:3" x14ac:dyDescent="0.35">
      <c r="A1" s="19" t="s">
        <v>3</v>
      </c>
      <c r="C1" s="16" t="s">
        <v>109</v>
      </c>
    </row>
    <row r="2" spans="1:3" x14ac:dyDescent="0.35">
      <c r="A2" s="13" t="s">
        <v>10</v>
      </c>
      <c r="C2" t="s">
        <v>110</v>
      </c>
    </row>
    <row r="3" spans="1:3" x14ac:dyDescent="0.35">
      <c r="A3" s="13" t="s">
        <v>13</v>
      </c>
      <c r="C3" t="s">
        <v>111</v>
      </c>
    </row>
    <row r="4" spans="1:3" x14ac:dyDescent="0.35">
      <c r="A4" s="13" t="s">
        <v>14</v>
      </c>
      <c r="C4" t="s">
        <v>112</v>
      </c>
    </row>
    <row r="5" spans="1:3" x14ac:dyDescent="0.35">
      <c r="A5" s="13" t="s">
        <v>16</v>
      </c>
      <c r="C5" t="s">
        <v>113</v>
      </c>
    </row>
    <row r="6" spans="1:3" x14ac:dyDescent="0.35">
      <c r="A6" s="13" t="s">
        <v>17</v>
      </c>
      <c r="C6" t="s">
        <v>114</v>
      </c>
    </row>
    <row r="7" spans="1:3" x14ac:dyDescent="0.35">
      <c r="A7" s="13" t="s">
        <v>18</v>
      </c>
      <c r="C7" t="s">
        <v>115</v>
      </c>
    </row>
    <row r="8" spans="1:3" x14ac:dyDescent="0.35">
      <c r="A8" s="13" t="s">
        <v>19</v>
      </c>
      <c r="C8" t="s">
        <v>116</v>
      </c>
    </row>
    <row r="9" spans="1:3" x14ac:dyDescent="0.35">
      <c r="A9" s="13" t="s">
        <v>20</v>
      </c>
      <c r="C9" t="s">
        <v>117</v>
      </c>
    </row>
    <row r="10" spans="1:3" x14ac:dyDescent="0.35">
      <c r="A10" s="13">
        <v>20250209</v>
      </c>
      <c r="C10" t="s">
        <v>118</v>
      </c>
    </row>
    <row r="11" spans="1:3" x14ac:dyDescent="0.35">
      <c r="A11" s="13">
        <v>20250180</v>
      </c>
      <c r="C11" t="s">
        <v>119</v>
      </c>
    </row>
    <row r="12" spans="1:3" x14ac:dyDescent="0.35">
      <c r="A12" s="13" t="s">
        <v>22</v>
      </c>
      <c r="C12" t="s">
        <v>120</v>
      </c>
    </row>
    <row r="13" spans="1:3" x14ac:dyDescent="0.35">
      <c r="A13" s="13" t="s">
        <v>23</v>
      </c>
      <c r="C13" t="s">
        <v>121</v>
      </c>
    </row>
    <row r="14" spans="1:3" x14ac:dyDescent="0.35">
      <c r="A14" s="13" t="s">
        <v>24</v>
      </c>
      <c r="C14" t="s">
        <v>122</v>
      </c>
    </row>
    <row r="15" spans="1:3" x14ac:dyDescent="0.35">
      <c r="A15" s="13" t="s">
        <v>25</v>
      </c>
      <c r="C15" t="s">
        <v>123</v>
      </c>
    </row>
    <row r="16" spans="1:3" x14ac:dyDescent="0.35">
      <c r="A16" s="13" t="s">
        <v>27</v>
      </c>
      <c r="C16" t="s">
        <v>124</v>
      </c>
    </row>
    <row r="17" spans="1:3" x14ac:dyDescent="0.35">
      <c r="A17" s="13">
        <v>20250179</v>
      </c>
      <c r="C17" t="s">
        <v>125</v>
      </c>
    </row>
    <row r="18" spans="1:3" x14ac:dyDescent="0.35">
      <c r="A18" s="13" t="s">
        <v>28</v>
      </c>
      <c r="C18" t="s">
        <v>126</v>
      </c>
    </row>
    <row r="19" spans="1:3" x14ac:dyDescent="0.35">
      <c r="A19" s="13" t="s">
        <v>29</v>
      </c>
      <c r="C19" t="s">
        <v>127</v>
      </c>
    </row>
    <row r="20" spans="1:3" x14ac:dyDescent="0.35">
      <c r="A20" s="13">
        <v>9</v>
      </c>
      <c r="C20" t="s">
        <v>128</v>
      </c>
    </row>
    <row r="21" spans="1:3" x14ac:dyDescent="0.35">
      <c r="A21" s="13" t="s">
        <v>32</v>
      </c>
      <c r="C21" t="s">
        <v>129</v>
      </c>
    </row>
    <row r="22" spans="1:3" x14ac:dyDescent="0.35">
      <c r="A22" s="13" t="s">
        <v>33</v>
      </c>
      <c r="C22" t="s">
        <v>130</v>
      </c>
    </row>
    <row r="23" spans="1:3" x14ac:dyDescent="0.35">
      <c r="A23" s="13" t="s">
        <v>34</v>
      </c>
      <c r="C23" t="s">
        <v>131</v>
      </c>
    </row>
    <row r="24" spans="1:3" x14ac:dyDescent="0.35">
      <c r="A24" s="13">
        <v>20250263</v>
      </c>
      <c r="C24" t="s">
        <v>132</v>
      </c>
    </row>
    <row r="25" spans="1:3" x14ac:dyDescent="0.35">
      <c r="A25" s="13">
        <v>20250275</v>
      </c>
      <c r="C25" t="s">
        <v>133</v>
      </c>
    </row>
    <row r="26" spans="1:3" x14ac:dyDescent="0.35">
      <c r="A26" s="13" t="s">
        <v>35</v>
      </c>
      <c r="C26" t="s">
        <v>134</v>
      </c>
    </row>
    <row r="27" spans="1:3" x14ac:dyDescent="0.35">
      <c r="A27" s="13" t="s">
        <v>36</v>
      </c>
      <c r="C27" t="s">
        <v>135</v>
      </c>
    </row>
    <row r="28" spans="1:3" x14ac:dyDescent="0.35">
      <c r="A28" s="13">
        <v>20250316</v>
      </c>
      <c r="C28" t="s">
        <v>136</v>
      </c>
    </row>
    <row r="29" spans="1:3" x14ac:dyDescent="0.35">
      <c r="A29" s="13" t="s">
        <v>37</v>
      </c>
      <c r="C29" t="s">
        <v>137</v>
      </c>
    </row>
    <row r="30" spans="1:3" x14ac:dyDescent="0.35">
      <c r="A30" s="13">
        <v>28</v>
      </c>
      <c r="C30" t="s">
        <v>138</v>
      </c>
    </row>
    <row r="31" spans="1:3" x14ac:dyDescent="0.35">
      <c r="A31" s="13" t="s">
        <v>39</v>
      </c>
      <c r="C31" t="s">
        <v>139</v>
      </c>
    </row>
    <row r="32" spans="1:3" x14ac:dyDescent="0.35">
      <c r="A32" s="13" t="s">
        <v>40</v>
      </c>
      <c r="C32" t="s">
        <v>140</v>
      </c>
    </row>
    <row r="33" spans="1:3" x14ac:dyDescent="0.35">
      <c r="A33" s="13" t="s">
        <v>41</v>
      </c>
      <c r="C33" t="s">
        <v>141</v>
      </c>
    </row>
    <row r="34" spans="1:3" x14ac:dyDescent="0.35">
      <c r="A34" s="13" t="s">
        <v>42</v>
      </c>
      <c r="C34" t="s">
        <v>142</v>
      </c>
    </row>
    <row r="35" spans="1:3" x14ac:dyDescent="0.35">
      <c r="A35" s="13" t="s">
        <v>43</v>
      </c>
      <c r="C35" t="s">
        <v>143</v>
      </c>
    </row>
    <row r="36" spans="1:3" x14ac:dyDescent="0.35">
      <c r="A36" s="13" t="s">
        <v>45</v>
      </c>
      <c r="C36" t="s">
        <v>144</v>
      </c>
    </row>
    <row r="37" spans="1:3" x14ac:dyDescent="0.35">
      <c r="A37" s="13" t="s">
        <v>46</v>
      </c>
      <c r="C37" t="s">
        <v>145</v>
      </c>
    </row>
    <row r="38" spans="1:3" x14ac:dyDescent="0.35">
      <c r="A38" s="13" t="s">
        <v>47</v>
      </c>
      <c r="C38" t="s">
        <v>146</v>
      </c>
    </row>
    <row r="39" spans="1:3" x14ac:dyDescent="0.35">
      <c r="A39" s="13" t="s">
        <v>48</v>
      </c>
      <c r="C39" t="s">
        <v>147</v>
      </c>
    </row>
    <row r="40" spans="1:3" x14ac:dyDescent="0.35">
      <c r="A40" s="13" t="s">
        <v>49</v>
      </c>
      <c r="C40" t="s">
        <v>148</v>
      </c>
    </row>
    <row r="41" spans="1:3" x14ac:dyDescent="0.35">
      <c r="A41" s="13">
        <v>20250213</v>
      </c>
      <c r="C41" t="s">
        <v>149</v>
      </c>
    </row>
    <row r="42" spans="1:3" x14ac:dyDescent="0.35">
      <c r="A42" s="13">
        <v>20250416</v>
      </c>
      <c r="C42" t="s">
        <v>150</v>
      </c>
    </row>
    <row r="43" spans="1:3" x14ac:dyDescent="0.35">
      <c r="A43" s="13" t="s">
        <v>51</v>
      </c>
      <c r="C43" t="s">
        <v>151</v>
      </c>
    </row>
    <row r="44" spans="1:3" x14ac:dyDescent="0.35">
      <c r="A44" s="13" t="s">
        <v>52</v>
      </c>
      <c r="C44" t="s">
        <v>152</v>
      </c>
    </row>
    <row r="45" spans="1:3" x14ac:dyDescent="0.35">
      <c r="A45" s="13" t="s">
        <v>54</v>
      </c>
      <c r="C45" t="s">
        <v>153</v>
      </c>
    </row>
    <row r="46" spans="1:3" x14ac:dyDescent="0.35">
      <c r="A46" s="13">
        <v>880</v>
      </c>
      <c r="C46" t="s">
        <v>154</v>
      </c>
    </row>
    <row r="47" spans="1:3" x14ac:dyDescent="0.35">
      <c r="A47" s="13" t="s">
        <v>56</v>
      </c>
      <c r="C47" t="s">
        <v>155</v>
      </c>
    </row>
    <row r="48" spans="1:3" x14ac:dyDescent="0.35">
      <c r="A48" s="13">
        <v>72500046</v>
      </c>
      <c r="C48" t="s">
        <v>156</v>
      </c>
    </row>
    <row r="49" spans="1:3" x14ac:dyDescent="0.35">
      <c r="A49" s="13" t="s">
        <v>58</v>
      </c>
      <c r="C49" t="s">
        <v>157</v>
      </c>
    </row>
    <row r="50" spans="1:3" x14ac:dyDescent="0.35">
      <c r="A50" s="13" t="s">
        <v>59</v>
      </c>
      <c r="C50" t="s">
        <v>158</v>
      </c>
    </row>
    <row r="51" spans="1:3" x14ac:dyDescent="0.35">
      <c r="A51" s="13" t="s">
        <v>60</v>
      </c>
      <c r="C51" t="s">
        <v>159</v>
      </c>
    </row>
    <row r="52" spans="1:3" x14ac:dyDescent="0.35">
      <c r="A52" s="13" t="s">
        <v>61</v>
      </c>
      <c r="C52" t="s">
        <v>160</v>
      </c>
    </row>
    <row r="53" spans="1:3" x14ac:dyDescent="0.35">
      <c r="A53" s="13" t="s">
        <v>63</v>
      </c>
      <c r="C53" t="s">
        <v>161</v>
      </c>
    </row>
    <row r="54" spans="1:3" x14ac:dyDescent="0.35">
      <c r="A54" s="13" t="s">
        <v>65</v>
      </c>
      <c r="C54" t="s">
        <v>162</v>
      </c>
    </row>
    <row r="55" spans="1:3" x14ac:dyDescent="0.35">
      <c r="A55" s="13" t="s">
        <v>66</v>
      </c>
      <c r="C55" t="s">
        <v>163</v>
      </c>
    </row>
    <row r="56" spans="1:3" x14ac:dyDescent="0.35">
      <c r="A56" s="13" t="s">
        <v>67</v>
      </c>
      <c r="C56" t="s">
        <v>164</v>
      </c>
    </row>
    <row r="57" spans="1:3" x14ac:dyDescent="0.35">
      <c r="A57" s="13" t="s">
        <v>68</v>
      </c>
      <c r="C57" t="s">
        <v>165</v>
      </c>
    </row>
    <row r="58" spans="1:3" x14ac:dyDescent="0.35">
      <c r="A58" s="13" t="s">
        <v>69</v>
      </c>
      <c r="C58" t="s">
        <v>166</v>
      </c>
    </row>
    <row r="59" spans="1:3" x14ac:dyDescent="0.35">
      <c r="A59" s="13" t="s">
        <v>70</v>
      </c>
      <c r="C59" t="s">
        <v>167</v>
      </c>
    </row>
    <row r="60" spans="1:3" x14ac:dyDescent="0.35">
      <c r="A60" s="13" t="s">
        <v>71</v>
      </c>
      <c r="C60" t="s">
        <v>168</v>
      </c>
    </row>
    <row r="61" spans="1:3" x14ac:dyDescent="0.35">
      <c r="A61" s="13" t="s">
        <v>72</v>
      </c>
      <c r="C61" t="s">
        <v>169</v>
      </c>
    </row>
    <row r="62" spans="1:3" x14ac:dyDescent="0.35">
      <c r="A62" s="13" t="s">
        <v>73</v>
      </c>
      <c r="C62" t="s">
        <v>170</v>
      </c>
    </row>
    <row r="63" spans="1:3" x14ac:dyDescent="0.35">
      <c r="A63" s="13" t="s">
        <v>74</v>
      </c>
      <c r="C63" t="s">
        <v>171</v>
      </c>
    </row>
    <row r="64" spans="1:3" x14ac:dyDescent="0.35">
      <c r="A64" s="13" t="s">
        <v>75</v>
      </c>
      <c r="C64" t="s">
        <v>172</v>
      </c>
    </row>
    <row r="65" spans="1:1" x14ac:dyDescent="0.35">
      <c r="A65"/>
    </row>
    <row r="66" spans="1:1" x14ac:dyDescent="0.35">
      <c r="A66"/>
    </row>
    <row r="67" spans="1:1" x14ac:dyDescent="0.35">
      <c r="A67"/>
    </row>
    <row r="68" spans="1:1" x14ac:dyDescent="0.35">
      <c r="A68"/>
    </row>
    <row r="69" spans="1:1" x14ac:dyDescent="0.35">
      <c r="A69"/>
    </row>
    <row r="70" spans="1:1" x14ac:dyDescent="0.35">
      <c r="A70"/>
    </row>
    <row r="71" spans="1:1" x14ac:dyDescent="0.35">
      <c r="A71"/>
    </row>
    <row r="72" spans="1:1" x14ac:dyDescent="0.35">
      <c r="A72"/>
    </row>
    <row r="73" spans="1:1" x14ac:dyDescent="0.35">
      <c r="A73"/>
    </row>
    <row r="74" spans="1:1" x14ac:dyDescent="0.35">
      <c r="A74"/>
    </row>
    <row r="75" spans="1:1" x14ac:dyDescent="0.35">
      <c r="A75"/>
    </row>
    <row r="76" spans="1:1" x14ac:dyDescent="0.35">
      <c r="A76"/>
    </row>
    <row r="77" spans="1:1" x14ac:dyDescent="0.35">
      <c r="A77"/>
    </row>
    <row r="78" spans="1:1" x14ac:dyDescent="0.35">
      <c r="A78"/>
    </row>
    <row r="79" spans="1:1" x14ac:dyDescent="0.35">
      <c r="A79"/>
    </row>
    <row r="80" spans="1:1" x14ac:dyDescent="0.35">
      <c r="A80"/>
    </row>
    <row r="81" spans="1:1" x14ac:dyDescent="0.35">
      <c r="A81"/>
    </row>
    <row r="82" spans="1:1" x14ac:dyDescent="0.35">
      <c r="A82"/>
    </row>
    <row r="83" spans="1:1" x14ac:dyDescent="0.35">
      <c r="A83"/>
    </row>
    <row r="84" spans="1:1" x14ac:dyDescent="0.35">
      <c r="A84"/>
    </row>
    <row r="85" spans="1:1" x14ac:dyDescent="0.35">
      <c r="A85"/>
    </row>
    <row r="86" spans="1:1" x14ac:dyDescent="0.35">
      <c r="A86"/>
    </row>
    <row r="87" spans="1:1" x14ac:dyDescent="0.35">
      <c r="A87"/>
    </row>
    <row r="88" spans="1:1" x14ac:dyDescent="0.35">
      <c r="A88"/>
    </row>
    <row r="89" spans="1:1" x14ac:dyDescent="0.35">
      <c r="A89"/>
    </row>
    <row r="90" spans="1:1" x14ac:dyDescent="0.35">
      <c r="A90"/>
    </row>
    <row r="91" spans="1:1" x14ac:dyDescent="0.35">
      <c r="A91"/>
    </row>
    <row r="92" spans="1:1" x14ac:dyDescent="0.35">
      <c r="A92"/>
    </row>
    <row r="93" spans="1:1" x14ac:dyDescent="0.35">
      <c r="A93"/>
    </row>
    <row r="94" spans="1:1" x14ac:dyDescent="0.35">
      <c r="A94"/>
    </row>
    <row r="95" spans="1:1" x14ac:dyDescent="0.35">
      <c r="A95"/>
    </row>
    <row r="96" spans="1:1" x14ac:dyDescent="0.35">
      <c r="A96"/>
    </row>
    <row r="97" spans="1:1" x14ac:dyDescent="0.35">
      <c r="A97"/>
    </row>
    <row r="98" spans="1:1" x14ac:dyDescent="0.35">
      <c r="A98"/>
    </row>
    <row r="99" spans="1:1" x14ac:dyDescent="0.35">
      <c r="A99"/>
    </row>
    <row r="100" spans="1:1" x14ac:dyDescent="0.35">
      <c r="A100"/>
    </row>
    <row r="101" spans="1:1" x14ac:dyDescent="0.35">
      <c r="A101"/>
    </row>
    <row r="102" spans="1:1" x14ac:dyDescent="0.35">
      <c r="A102"/>
    </row>
    <row r="103" spans="1:1" x14ac:dyDescent="0.35">
      <c r="A103"/>
    </row>
    <row r="104" spans="1:1" x14ac:dyDescent="0.35">
      <c r="A104"/>
    </row>
    <row r="105" spans="1:1" x14ac:dyDescent="0.35">
      <c r="A105"/>
    </row>
    <row r="106" spans="1:1" x14ac:dyDescent="0.35">
      <c r="A106"/>
    </row>
    <row r="107" spans="1:1" x14ac:dyDescent="0.35">
      <c r="A107"/>
    </row>
    <row r="108" spans="1:1" x14ac:dyDescent="0.35">
      <c r="A108"/>
    </row>
    <row r="109" spans="1:1" x14ac:dyDescent="0.35">
      <c r="A109"/>
    </row>
    <row r="110" spans="1:1" x14ac:dyDescent="0.35">
      <c r="A110"/>
    </row>
    <row r="111" spans="1:1" x14ac:dyDescent="0.35">
      <c r="A111"/>
    </row>
    <row r="112" spans="1:1" x14ac:dyDescent="0.35">
      <c r="A112"/>
    </row>
    <row r="113" spans="1:1" x14ac:dyDescent="0.35">
      <c r="A113"/>
    </row>
    <row r="114" spans="1:1" x14ac:dyDescent="0.35">
      <c r="A114"/>
    </row>
    <row r="115" spans="1:1" x14ac:dyDescent="0.35">
      <c r="A115"/>
    </row>
    <row r="116" spans="1:1" x14ac:dyDescent="0.35">
      <c r="A116"/>
    </row>
    <row r="117" spans="1:1" x14ac:dyDescent="0.35">
      <c r="A117"/>
    </row>
    <row r="118" spans="1:1" x14ac:dyDescent="0.35">
      <c r="A118"/>
    </row>
    <row r="119" spans="1:1" x14ac:dyDescent="0.35">
      <c r="A119"/>
    </row>
    <row r="120" spans="1:1" x14ac:dyDescent="0.35">
      <c r="A120"/>
    </row>
    <row r="121" spans="1:1" x14ac:dyDescent="0.35">
      <c r="A121"/>
    </row>
    <row r="122" spans="1:1" x14ac:dyDescent="0.35">
      <c r="A122"/>
    </row>
    <row r="123" spans="1:1" x14ac:dyDescent="0.35">
      <c r="A123"/>
    </row>
    <row r="124" spans="1:1" x14ac:dyDescent="0.35">
      <c r="A124"/>
    </row>
    <row r="125" spans="1:1" x14ac:dyDescent="0.35">
      <c r="A125"/>
    </row>
    <row r="126" spans="1:1" x14ac:dyDescent="0.35">
      <c r="A126"/>
    </row>
    <row r="127" spans="1:1" x14ac:dyDescent="0.35">
      <c r="A1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F86DD-24F4-4F84-8C30-95A1A073C24E}">
  <dimension ref="A1:L45"/>
  <sheetViews>
    <sheetView tabSelected="1" workbookViewId="0">
      <selection activeCell="B15" sqref="B15"/>
    </sheetView>
  </sheetViews>
  <sheetFormatPr defaultColWidth="32.90625" defaultRowHeight="14.5" x14ac:dyDescent="0.35"/>
  <cols>
    <col min="3" max="3" width="32.90625" style="8"/>
    <col min="4" max="4" width="27" style="8" customWidth="1"/>
    <col min="5" max="6" width="32.90625" style="8"/>
    <col min="7" max="7" width="32.90625" style="14"/>
    <col min="9" max="10" width="32.90625" style="8"/>
    <col min="11" max="11" width="32.90625" style="25"/>
    <col min="12" max="12" width="32.90625" style="24"/>
  </cols>
  <sheetData>
    <row r="1" spans="1:12" s="16" customFormat="1" x14ac:dyDescent="0.35">
      <c r="A1" s="16" t="s">
        <v>109</v>
      </c>
      <c r="B1" s="16" t="s">
        <v>173</v>
      </c>
      <c r="C1" s="17" t="s">
        <v>0</v>
      </c>
      <c r="D1" s="17" t="s">
        <v>174</v>
      </c>
      <c r="E1" s="17" t="s">
        <v>1</v>
      </c>
      <c r="F1" s="18" t="s">
        <v>2</v>
      </c>
      <c r="G1" s="19" t="s">
        <v>3</v>
      </c>
      <c r="H1" t="s">
        <v>4</v>
      </c>
      <c r="I1" s="18" t="s">
        <v>107</v>
      </c>
      <c r="J1" s="18" t="s">
        <v>5</v>
      </c>
      <c r="K1" s="21" t="s">
        <v>96</v>
      </c>
      <c r="L1" s="22" t="s">
        <v>97</v>
      </c>
    </row>
    <row r="2" spans="1:12" x14ac:dyDescent="0.35">
      <c r="A2" t="str">
        <f>_xlfn.CONCAT("AUGCUSTOM","-",G2)</f>
        <v>AUGCUSTOM-41279</v>
      </c>
      <c r="B2">
        <v>1</v>
      </c>
      <c r="C2" s="5" t="s">
        <v>8</v>
      </c>
      <c r="D2" s="5">
        <v>966</v>
      </c>
      <c r="E2" s="5"/>
      <c r="F2" s="11">
        <v>45894</v>
      </c>
      <c r="G2" s="13">
        <v>41279</v>
      </c>
      <c r="H2" t="s">
        <v>77</v>
      </c>
      <c r="I2">
        <v>2367</v>
      </c>
      <c r="J2" s="7" t="s">
        <v>78</v>
      </c>
      <c r="K2" s="23">
        <v>17342</v>
      </c>
    </row>
    <row r="3" spans="1:12" x14ac:dyDescent="0.35">
      <c r="A3" t="str">
        <f t="shared" ref="A3:A45" si="0">_xlfn.CONCAT("AUGCUSTOM","-",G3)</f>
        <v>AUGCUSTOM-41279</v>
      </c>
      <c r="B3">
        <v>1.5</v>
      </c>
      <c r="C3" s="5"/>
      <c r="D3" s="5">
        <v>979</v>
      </c>
      <c r="E3" s="5" t="s">
        <v>9</v>
      </c>
      <c r="F3" s="11">
        <v>45894</v>
      </c>
      <c r="G3" s="13">
        <v>41279</v>
      </c>
      <c r="H3" t="s">
        <v>77</v>
      </c>
      <c r="I3">
        <v>2367</v>
      </c>
      <c r="J3" s="7" t="s">
        <v>78</v>
      </c>
      <c r="L3" s="23">
        <v>17342</v>
      </c>
    </row>
    <row r="4" spans="1:12" x14ac:dyDescent="0.35">
      <c r="A4" t="str">
        <f t="shared" si="0"/>
        <v>AUGCUSTOM-20250414</v>
      </c>
      <c r="B4">
        <v>2</v>
      </c>
      <c r="C4" s="5" t="s">
        <v>8</v>
      </c>
      <c r="D4" s="5">
        <v>966</v>
      </c>
      <c r="E4" s="5"/>
      <c r="F4" s="11">
        <v>45895</v>
      </c>
      <c r="G4" s="13">
        <v>20250414</v>
      </c>
      <c r="H4" t="s">
        <v>101</v>
      </c>
      <c r="I4">
        <v>1542</v>
      </c>
      <c r="J4" s="7" t="s">
        <v>78</v>
      </c>
      <c r="K4" s="23">
        <v>3785.09</v>
      </c>
    </row>
    <row r="5" spans="1:12" x14ac:dyDescent="0.35">
      <c r="A5" t="str">
        <f t="shared" si="0"/>
        <v>AUGCUSTOM-20250414</v>
      </c>
      <c r="B5">
        <v>2.5</v>
      </c>
      <c r="C5" s="5"/>
      <c r="D5" s="5">
        <v>979</v>
      </c>
      <c r="E5" s="5" t="s">
        <v>9</v>
      </c>
      <c r="F5" s="11">
        <v>45895</v>
      </c>
      <c r="G5" s="13">
        <v>20250414</v>
      </c>
      <c r="H5" t="s">
        <v>101</v>
      </c>
      <c r="I5">
        <v>1542</v>
      </c>
      <c r="J5" s="7" t="s">
        <v>78</v>
      </c>
      <c r="L5" s="23">
        <v>3785.09</v>
      </c>
    </row>
    <row r="6" spans="1:12" x14ac:dyDescent="0.35">
      <c r="A6" t="str">
        <f t="shared" si="0"/>
        <v>AUGCUSTOM-14086/VE</v>
      </c>
      <c r="B6">
        <v>3</v>
      </c>
      <c r="C6" s="5" t="s">
        <v>8</v>
      </c>
      <c r="D6" s="5">
        <v>966</v>
      </c>
      <c r="E6" s="5"/>
      <c r="F6" s="11">
        <v>45895</v>
      </c>
      <c r="G6" s="13" t="s">
        <v>79</v>
      </c>
      <c r="H6" t="s">
        <v>98</v>
      </c>
      <c r="I6">
        <v>1232</v>
      </c>
      <c r="J6" s="7" t="s">
        <v>78</v>
      </c>
      <c r="K6" s="23">
        <v>4162</v>
      </c>
    </row>
    <row r="7" spans="1:12" x14ac:dyDescent="0.35">
      <c r="A7" t="str">
        <f t="shared" si="0"/>
        <v>AUGCUSTOM-14086/VE</v>
      </c>
      <c r="B7">
        <v>3.5</v>
      </c>
      <c r="C7" s="5"/>
      <c r="D7" s="5">
        <v>979</v>
      </c>
      <c r="E7" s="5" t="s">
        <v>9</v>
      </c>
      <c r="F7" s="11">
        <v>45895</v>
      </c>
      <c r="G7" s="13" t="s">
        <v>79</v>
      </c>
      <c r="H7" t="s">
        <v>98</v>
      </c>
      <c r="I7">
        <v>1232</v>
      </c>
      <c r="J7" s="7" t="s">
        <v>78</v>
      </c>
      <c r="L7" s="23">
        <v>4162</v>
      </c>
    </row>
    <row r="8" spans="1:12" x14ac:dyDescent="0.35">
      <c r="A8" t="str">
        <f t="shared" si="0"/>
        <v>AUGCUSTOM-14086/VE</v>
      </c>
      <c r="B8">
        <v>4</v>
      </c>
      <c r="C8" s="5" t="s">
        <v>8</v>
      </c>
      <c r="D8" s="5">
        <v>966</v>
      </c>
      <c r="E8" s="5"/>
      <c r="F8" s="11">
        <v>45895</v>
      </c>
      <c r="G8" s="13" t="s">
        <v>79</v>
      </c>
      <c r="H8" t="s">
        <v>98</v>
      </c>
      <c r="I8">
        <v>1232</v>
      </c>
      <c r="J8" s="7" t="s">
        <v>78</v>
      </c>
      <c r="K8" s="23">
        <v>4528.0200000000004</v>
      </c>
    </row>
    <row r="9" spans="1:12" x14ac:dyDescent="0.35">
      <c r="A9" t="str">
        <f t="shared" si="0"/>
        <v>AUGCUSTOM-14086/VE</v>
      </c>
      <c r="B9">
        <v>4.5</v>
      </c>
      <c r="C9" s="5"/>
      <c r="D9" s="5">
        <v>979</v>
      </c>
      <c r="E9" s="5" t="s">
        <v>9</v>
      </c>
      <c r="F9" s="11">
        <v>45895</v>
      </c>
      <c r="G9" s="13" t="s">
        <v>79</v>
      </c>
      <c r="H9" t="s">
        <v>98</v>
      </c>
      <c r="I9">
        <v>1232</v>
      </c>
      <c r="J9" s="7" t="s">
        <v>78</v>
      </c>
      <c r="L9" s="23">
        <v>4528.0200000000004</v>
      </c>
    </row>
    <row r="10" spans="1:12" x14ac:dyDescent="0.35">
      <c r="A10" t="str">
        <f t="shared" si="0"/>
        <v>AUGCUSTOM-14086/VE</v>
      </c>
      <c r="B10">
        <v>5</v>
      </c>
      <c r="C10" s="5" t="s">
        <v>8</v>
      </c>
      <c r="D10" s="5">
        <v>966</v>
      </c>
      <c r="E10" s="5"/>
      <c r="F10" s="11">
        <v>45895</v>
      </c>
      <c r="G10" s="13" t="s">
        <v>79</v>
      </c>
      <c r="H10" t="s">
        <v>98</v>
      </c>
      <c r="I10">
        <v>1232</v>
      </c>
      <c r="J10" s="7" t="s">
        <v>78</v>
      </c>
      <c r="K10" s="23">
        <v>3271</v>
      </c>
    </row>
    <row r="11" spans="1:12" x14ac:dyDescent="0.35">
      <c r="A11" t="str">
        <f t="shared" si="0"/>
        <v>AUGCUSTOM-14086/VE</v>
      </c>
      <c r="B11">
        <v>5.5</v>
      </c>
      <c r="C11" s="5"/>
      <c r="D11" s="5">
        <v>979</v>
      </c>
      <c r="E11" s="5" t="s">
        <v>9</v>
      </c>
      <c r="F11" s="11">
        <v>45895</v>
      </c>
      <c r="G11" s="13" t="s">
        <v>79</v>
      </c>
      <c r="H11" t="s">
        <v>98</v>
      </c>
      <c r="I11">
        <v>1232</v>
      </c>
      <c r="J11" s="7" t="s">
        <v>78</v>
      </c>
      <c r="L11" s="23">
        <v>3271</v>
      </c>
    </row>
    <row r="12" spans="1:12" x14ac:dyDescent="0.35">
      <c r="A12" t="str">
        <f t="shared" si="0"/>
        <v>AUGCUSTOM-19542/VE</v>
      </c>
      <c r="B12">
        <v>6</v>
      </c>
      <c r="C12" s="5" t="s">
        <v>8</v>
      </c>
      <c r="D12" s="5">
        <v>966</v>
      </c>
      <c r="E12" s="5"/>
      <c r="F12" s="11">
        <v>45895</v>
      </c>
      <c r="G12" s="13" t="s">
        <v>80</v>
      </c>
      <c r="H12" t="s">
        <v>103</v>
      </c>
      <c r="I12">
        <v>173</v>
      </c>
      <c r="J12" s="7" t="s">
        <v>78</v>
      </c>
      <c r="K12" s="23">
        <v>10500.4</v>
      </c>
    </row>
    <row r="13" spans="1:12" x14ac:dyDescent="0.35">
      <c r="A13" t="str">
        <f t="shared" si="0"/>
        <v>AUGCUSTOM-19542/VE</v>
      </c>
      <c r="B13">
        <v>6.5</v>
      </c>
      <c r="C13" s="5"/>
      <c r="D13" s="5">
        <v>979</v>
      </c>
      <c r="E13" s="5" t="s">
        <v>9</v>
      </c>
      <c r="F13" s="11">
        <v>45895</v>
      </c>
      <c r="G13" s="13" t="s">
        <v>80</v>
      </c>
      <c r="H13" t="s">
        <v>103</v>
      </c>
      <c r="I13">
        <v>173</v>
      </c>
      <c r="J13" s="7" t="s">
        <v>78</v>
      </c>
      <c r="L13" s="23">
        <v>10500.4</v>
      </c>
    </row>
    <row r="14" spans="1:12" x14ac:dyDescent="0.35">
      <c r="A14" t="str">
        <f t="shared" si="0"/>
        <v>AUGCUSTOM-22487/VE</v>
      </c>
      <c r="B14">
        <v>7</v>
      </c>
      <c r="C14" s="5" t="s">
        <v>8</v>
      </c>
      <c r="D14" s="5">
        <v>966</v>
      </c>
      <c r="E14" s="5"/>
      <c r="F14" s="11">
        <v>45895</v>
      </c>
      <c r="G14" s="13" t="s">
        <v>81</v>
      </c>
      <c r="H14" t="s">
        <v>98</v>
      </c>
      <c r="I14">
        <v>1232</v>
      </c>
      <c r="J14" s="7" t="s">
        <v>78</v>
      </c>
      <c r="K14" s="23">
        <v>2527.1799999999998</v>
      </c>
    </row>
    <row r="15" spans="1:12" x14ac:dyDescent="0.35">
      <c r="A15" t="str">
        <f t="shared" si="0"/>
        <v>AUGCUSTOM-22487/VE</v>
      </c>
      <c r="B15">
        <v>7.5</v>
      </c>
      <c r="C15" s="5"/>
      <c r="D15" s="5">
        <v>979</v>
      </c>
      <c r="E15" s="5" t="s">
        <v>9</v>
      </c>
      <c r="F15" s="11">
        <v>45895</v>
      </c>
      <c r="G15" s="13" t="s">
        <v>81</v>
      </c>
      <c r="H15" t="s">
        <v>98</v>
      </c>
      <c r="I15">
        <v>1232</v>
      </c>
      <c r="J15" s="7" t="s">
        <v>78</v>
      </c>
      <c r="L15" s="23">
        <v>2527.1799999999998</v>
      </c>
    </row>
    <row r="16" spans="1:12" x14ac:dyDescent="0.35">
      <c r="A16" t="str">
        <f t="shared" si="0"/>
        <v>AUGCUSTOM-22487/VE</v>
      </c>
      <c r="B16">
        <v>8</v>
      </c>
      <c r="C16" s="5" t="s">
        <v>8</v>
      </c>
      <c r="D16" s="5">
        <v>966</v>
      </c>
      <c r="E16" s="5"/>
      <c r="F16" s="11">
        <v>45895</v>
      </c>
      <c r="G16" s="13" t="s">
        <v>81</v>
      </c>
      <c r="H16" t="s">
        <v>98</v>
      </c>
      <c r="I16">
        <v>1232</v>
      </c>
      <c r="J16" s="7" t="s">
        <v>78</v>
      </c>
      <c r="K16" s="23">
        <v>2527</v>
      </c>
    </row>
    <row r="17" spans="1:12" x14ac:dyDescent="0.35">
      <c r="A17" t="str">
        <f t="shared" si="0"/>
        <v>AUGCUSTOM-22487/VE</v>
      </c>
      <c r="B17">
        <v>8.5</v>
      </c>
      <c r="C17" s="5"/>
      <c r="D17" s="5">
        <v>979</v>
      </c>
      <c r="E17" s="5" t="s">
        <v>9</v>
      </c>
      <c r="F17" s="11">
        <v>45895</v>
      </c>
      <c r="G17" s="13" t="s">
        <v>81</v>
      </c>
      <c r="H17" t="s">
        <v>98</v>
      </c>
      <c r="I17">
        <v>1232</v>
      </c>
      <c r="J17" s="7" t="s">
        <v>78</v>
      </c>
      <c r="L17" s="23">
        <v>2527</v>
      </c>
    </row>
    <row r="18" spans="1:12" x14ac:dyDescent="0.35">
      <c r="A18" t="str">
        <f t="shared" si="0"/>
        <v>AUGCUSTOM-22532306-E</v>
      </c>
      <c r="B18">
        <v>9</v>
      </c>
      <c r="C18" s="5" t="s">
        <v>8</v>
      </c>
      <c r="D18" s="5">
        <v>966</v>
      </c>
      <c r="E18" s="5"/>
      <c r="F18" s="11">
        <v>45894</v>
      </c>
      <c r="G18" s="13" t="s">
        <v>82</v>
      </c>
      <c r="H18" t="s">
        <v>102</v>
      </c>
      <c r="I18">
        <v>1248</v>
      </c>
      <c r="J18" s="7" t="s">
        <v>78</v>
      </c>
      <c r="K18" s="23">
        <v>669</v>
      </c>
    </row>
    <row r="19" spans="1:12" x14ac:dyDescent="0.35">
      <c r="A19" t="str">
        <f t="shared" si="0"/>
        <v>AUGCUSTOM-22532306-E</v>
      </c>
      <c r="B19">
        <v>9.5</v>
      </c>
      <c r="C19" s="5"/>
      <c r="D19" s="5">
        <v>979</v>
      </c>
      <c r="E19" s="5" t="s">
        <v>9</v>
      </c>
      <c r="F19" s="11">
        <v>45894</v>
      </c>
      <c r="G19" s="13" t="s">
        <v>82</v>
      </c>
      <c r="H19" t="s">
        <v>102</v>
      </c>
      <c r="I19">
        <v>1248</v>
      </c>
      <c r="J19" s="7" t="s">
        <v>78</v>
      </c>
      <c r="L19" s="23">
        <v>669</v>
      </c>
    </row>
    <row r="20" spans="1:12" x14ac:dyDescent="0.35">
      <c r="A20" t="str">
        <f t="shared" si="0"/>
        <v>AUGCUSTOM-22532306-E</v>
      </c>
      <c r="B20">
        <v>10</v>
      </c>
      <c r="C20" s="5" t="s">
        <v>8</v>
      </c>
      <c r="D20" s="5">
        <v>966</v>
      </c>
      <c r="E20" s="5"/>
      <c r="F20" s="11">
        <v>45894</v>
      </c>
      <c r="G20" s="13" t="s">
        <v>82</v>
      </c>
      <c r="H20" t="s">
        <v>102</v>
      </c>
      <c r="I20">
        <v>1248</v>
      </c>
      <c r="J20" s="7" t="s">
        <v>78</v>
      </c>
      <c r="K20" s="23">
        <v>670</v>
      </c>
    </row>
    <row r="21" spans="1:12" x14ac:dyDescent="0.35">
      <c r="A21" t="str">
        <f t="shared" si="0"/>
        <v>AUGCUSTOM-22532306-E</v>
      </c>
      <c r="B21">
        <v>10.5</v>
      </c>
      <c r="C21" s="5"/>
      <c r="D21" s="5">
        <v>979</v>
      </c>
      <c r="E21" s="5" t="s">
        <v>9</v>
      </c>
      <c r="F21" s="11">
        <v>45894</v>
      </c>
      <c r="G21" s="13" t="s">
        <v>82</v>
      </c>
      <c r="H21" t="s">
        <v>102</v>
      </c>
      <c r="I21">
        <v>1248</v>
      </c>
      <c r="J21" s="7" t="s">
        <v>78</v>
      </c>
      <c r="L21" s="23">
        <v>670</v>
      </c>
    </row>
    <row r="22" spans="1:12" x14ac:dyDescent="0.35">
      <c r="A22" t="str">
        <f t="shared" si="0"/>
        <v>AUGCUSTOM-22532306-E</v>
      </c>
      <c r="B22">
        <v>11</v>
      </c>
      <c r="C22" s="5" t="s">
        <v>8</v>
      </c>
      <c r="D22" s="5">
        <v>966</v>
      </c>
      <c r="E22" s="5"/>
      <c r="F22" s="11">
        <v>45894</v>
      </c>
      <c r="G22" s="13" t="s">
        <v>82</v>
      </c>
      <c r="H22" t="s">
        <v>102</v>
      </c>
      <c r="I22">
        <v>1248</v>
      </c>
      <c r="J22" s="7" t="s">
        <v>78</v>
      </c>
      <c r="K22" s="23">
        <v>670</v>
      </c>
    </row>
    <row r="23" spans="1:12" x14ac:dyDescent="0.35">
      <c r="A23" t="str">
        <f t="shared" si="0"/>
        <v>AUGCUSTOM-22532306-E</v>
      </c>
      <c r="B23">
        <v>11.5</v>
      </c>
      <c r="C23" s="5"/>
      <c r="D23" s="5">
        <v>979</v>
      </c>
      <c r="E23" s="5" t="s">
        <v>9</v>
      </c>
      <c r="F23" s="11">
        <v>45894</v>
      </c>
      <c r="G23" s="13" t="s">
        <v>82</v>
      </c>
      <c r="H23" t="s">
        <v>102</v>
      </c>
      <c r="I23">
        <v>1248</v>
      </c>
      <c r="J23" s="7" t="s">
        <v>78</v>
      </c>
      <c r="L23" s="23">
        <v>670</v>
      </c>
    </row>
    <row r="24" spans="1:12" x14ac:dyDescent="0.35">
      <c r="A24" t="str">
        <f t="shared" si="0"/>
        <v>AUGCUSTOM-22532306-E</v>
      </c>
      <c r="B24">
        <v>12</v>
      </c>
      <c r="C24" s="5" t="s">
        <v>8</v>
      </c>
      <c r="D24" s="5">
        <v>966</v>
      </c>
      <c r="E24" s="5"/>
      <c r="F24" s="11">
        <v>45894</v>
      </c>
      <c r="G24" s="13" t="s">
        <v>82</v>
      </c>
      <c r="H24" t="s">
        <v>102</v>
      </c>
      <c r="I24">
        <v>1248</v>
      </c>
      <c r="J24" s="7" t="s">
        <v>78</v>
      </c>
      <c r="K24" s="23">
        <v>669.86</v>
      </c>
    </row>
    <row r="25" spans="1:12" x14ac:dyDescent="0.35">
      <c r="A25" t="str">
        <f t="shared" si="0"/>
        <v>AUGCUSTOM-22532306-E</v>
      </c>
      <c r="B25">
        <v>12.5</v>
      </c>
      <c r="C25" s="5"/>
      <c r="D25" s="5">
        <v>979</v>
      </c>
      <c r="E25" s="5" t="s">
        <v>9</v>
      </c>
      <c r="F25" s="11">
        <v>45894</v>
      </c>
      <c r="G25" s="13" t="s">
        <v>82</v>
      </c>
      <c r="H25" t="s">
        <v>102</v>
      </c>
      <c r="I25">
        <v>1248</v>
      </c>
      <c r="J25" s="7" t="s">
        <v>78</v>
      </c>
      <c r="L25" s="23">
        <v>669.86</v>
      </c>
    </row>
    <row r="26" spans="1:12" x14ac:dyDescent="0.35">
      <c r="A26" t="str">
        <f t="shared" si="0"/>
        <v>AUGCUSTOM-22532939-E</v>
      </c>
      <c r="B26">
        <v>13</v>
      </c>
      <c r="C26" s="5" t="s">
        <v>8</v>
      </c>
      <c r="D26" s="5">
        <v>966</v>
      </c>
      <c r="E26" s="5"/>
      <c r="F26" s="11">
        <v>45895</v>
      </c>
      <c r="G26" s="13" t="s">
        <v>83</v>
      </c>
      <c r="H26" t="s">
        <v>102</v>
      </c>
      <c r="I26">
        <v>1248</v>
      </c>
      <c r="J26" s="7" t="s">
        <v>78</v>
      </c>
      <c r="K26" s="23">
        <v>108.55</v>
      </c>
    </row>
    <row r="27" spans="1:12" x14ac:dyDescent="0.35">
      <c r="A27" t="str">
        <f t="shared" si="0"/>
        <v>AUGCUSTOM-22532939-E</v>
      </c>
      <c r="B27">
        <v>13.5</v>
      </c>
      <c r="C27" s="5"/>
      <c r="D27" s="5">
        <v>979</v>
      </c>
      <c r="E27" s="5" t="s">
        <v>9</v>
      </c>
      <c r="F27" s="11">
        <v>45895</v>
      </c>
      <c r="G27" s="13" t="s">
        <v>83</v>
      </c>
      <c r="H27" t="s">
        <v>102</v>
      </c>
      <c r="I27">
        <v>1248</v>
      </c>
      <c r="J27" s="7" t="s">
        <v>78</v>
      </c>
      <c r="L27" s="23">
        <v>108.55</v>
      </c>
    </row>
    <row r="28" spans="1:12" x14ac:dyDescent="0.35">
      <c r="A28" t="str">
        <f t="shared" si="0"/>
        <v>AUGCUSTOM-22533263-E</v>
      </c>
      <c r="B28">
        <v>14</v>
      </c>
      <c r="C28" s="5" t="s">
        <v>8</v>
      </c>
      <c r="D28" s="5">
        <v>966</v>
      </c>
      <c r="E28" s="5"/>
      <c r="F28" s="11">
        <v>45895</v>
      </c>
      <c r="G28" s="13" t="s">
        <v>84</v>
      </c>
      <c r="H28" t="s">
        <v>102</v>
      </c>
      <c r="I28">
        <v>1248</v>
      </c>
      <c r="J28" s="7" t="s">
        <v>78</v>
      </c>
      <c r="K28" s="23">
        <v>1825.62</v>
      </c>
    </row>
    <row r="29" spans="1:12" x14ac:dyDescent="0.35">
      <c r="A29" t="str">
        <f t="shared" si="0"/>
        <v>AUGCUSTOM-22533263-E</v>
      </c>
      <c r="B29">
        <v>14.5</v>
      </c>
      <c r="C29" s="5"/>
      <c r="D29" s="5">
        <v>979</v>
      </c>
      <c r="E29" s="5" t="s">
        <v>9</v>
      </c>
      <c r="F29" s="11">
        <v>45895</v>
      </c>
      <c r="G29" s="13" t="s">
        <v>84</v>
      </c>
      <c r="H29" t="s">
        <v>102</v>
      </c>
      <c r="I29">
        <v>1248</v>
      </c>
      <c r="J29" s="7" t="s">
        <v>78</v>
      </c>
      <c r="L29" s="23">
        <v>1825.62</v>
      </c>
    </row>
    <row r="30" spans="1:12" x14ac:dyDescent="0.35">
      <c r="A30" t="str">
        <f t="shared" si="0"/>
        <v>AUGCUSTOM-22533263-E</v>
      </c>
      <c r="B30">
        <v>15</v>
      </c>
      <c r="C30" s="5" t="s">
        <v>8</v>
      </c>
      <c r="D30" s="5">
        <v>966</v>
      </c>
      <c r="E30" s="5"/>
      <c r="F30" s="11">
        <v>45895</v>
      </c>
      <c r="G30" s="13" t="s">
        <v>84</v>
      </c>
      <c r="H30" t="s">
        <v>102</v>
      </c>
      <c r="I30">
        <v>1248</v>
      </c>
      <c r="J30" s="7" t="s">
        <v>78</v>
      </c>
      <c r="K30" s="23">
        <v>1825</v>
      </c>
    </row>
    <row r="31" spans="1:12" x14ac:dyDescent="0.35">
      <c r="A31" t="str">
        <f t="shared" si="0"/>
        <v>AUGCUSTOM-22533263-E</v>
      </c>
      <c r="B31">
        <v>15.5</v>
      </c>
      <c r="C31" s="5"/>
      <c r="D31" s="5">
        <v>979</v>
      </c>
      <c r="E31" s="5" t="s">
        <v>9</v>
      </c>
      <c r="F31" s="11">
        <v>45895</v>
      </c>
      <c r="G31" s="13" t="s">
        <v>84</v>
      </c>
      <c r="H31" t="s">
        <v>102</v>
      </c>
      <c r="I31">
        <v>1248</v>
      </c>
      <c r="J31" s="7" t="s">
        <v>78</v>
      </c>
      <c r="L31" s="23">
        <v>1825</v>
      </c>
    </row>
    <row r="32" spans="1:12" x14ac:dyDescent="0.35">
      <c r="A32" t="str">
        <f t="shared" si="0"/>
        <v>AUGCUSTOM-E/201</v>
      </c>
      <c r="B32">
        <v>16</v>
      </c>
      <c r="C32" s="5" t="s">
        <v>8</v>
      </c>
      <c r="D32" s="5">
        <v>966</v>
      </c>
      <c r="E32" s="5"/>
      <c r="F32" s="11">
        <v>45894</v>
      </c>
      <c r="G32" s="13" t="s">
        <v>85</v>
      </c>
      <c r="H32" t="s">
        <v>175</v>
      </c>
      <c r="I32">
        <v>1276</v>
      </c>
      <c r="J32" s="7" t="s">
        <v>78</v>
      </c>
      <c r="K32" s="23">
        <v>17342.16</v>
      </c>
    </row>
    <row r="33" spans="1:12" x14ac:dyDescent="0.35">
      <c r="A33" t="str">
        <f t="shared" si="0"/>
        <v>AUGCUSTOM-E/201</v>
      </c>
      <c r="B33">
        <v>16.5</v>
      </c>
      <c r="C33" s="5"/>
      <c r="D33" s="5">
        <v>979</v>
      </c>
      <c r="E33" s="5" t="s">
        <v>9</v>
      </c>
      <c r="F33" s="11">
        <v>45894</v>
      </c>
      <c r="G33" s="13" t="s">
        <v>85</v>
      </c>
      <c r="H33" t="s">
        <v>175</v>
      </c>
      <c r="I33">
        <v>1276</v>
      </c>
      <c r="J33" s="7" t="s">
        <v>78</v>
      </c>
      <c r="L33" s="23">
        <v>17342.16</v>
      </c>
    </row>
    <row r="34" spans="1:12" x14ac:dyDescent="0.35">
      <c r="A34" t="str">
        <f t="shared" si="0"/>
        <v>AUGCUSTOM-EXP2024000000498</v>
      </c>
      <c r="B34">
        <v>17</v>
      </c>
      <c r="C34" s="5" t="s">
        <v>8</v>
      </c>
      <c r="D34" s="5">
        <v>966</v>
      </c>
      <c r="E34" s="5"/>
      <c r="F34" s="11">
        <v>45895</v>
      </c>
      <c r="G34" s="13" t="s">
        <v>87</v>
      </c>
      <c r="H34" t="s">
        <v>88</v>
      </c>
      <c r="I34">
        <v>1333</v>
      </c>
      <c r="J34" s="7" t="s">
        <v>78</v>
      </c>
      <c r="K34" s="23">
        <v>78.08</v>
      </c>
    </row>
    <row r="35" spans="1:12" x14ac:dyDescent="0.35">
      <c r="A35" t="str">
        <f t="shared" si="0"/>
        <v>AUGCUSTOM-EXP2024000000498</v>
      </c>
      <c r="B35">
        <v>17.5</v>
      </c>
      <c r="C35" s="5"/>
      <c r="D35" s="5">
        <v>979</v>
      </c>
      <c r="E35" s="5" t="s">
        <v>9</v>
      </c>
      <c r="F35" s="11">
        <v>45895</v>
      </c>
      <c r="G35" s="13" t="s">
        <v>87</v>
      </c>
      <c r="H35" t="s">
        <v>88</v>
      </c>
      <c r="I35">
        <v>1333</v>
      </c>
      <c r="J35" s="7" t="s">
        <v>78</v>
      </c>
      <c r="L35" s="23">
        <v>78.08</v>
      </c>
    </row>
    <row r="36" spans="1:12" x14ac:dyDescent="0.35">
      <c r="A36" t="str">
        <f t="shared" si="0"/>
        <v>AUGCUSTOM-FT 1/36203</v>
      </c>
      <c r="B36">
        <v>18</v>
      </c>
      <c r="C36" s="5" t="s">
        <v>8</v>
      </c>
      <c r="D36" s="5">
        <v>966</v>
      </c>
      <c r="E36" s="5"/>
      <c r="F36" s="11">
        <v>45895</v>
      </c>
      <c r="G36" s="13" t="s">
        <v>89</v>
      </c>
      <c r="H36" t="s">
        <v>176</v>
      </c>
      <c r="I36">
        <v>1955</v>
      </c>
      <c r="J36" s="7" t="s">
        <v>78</v>
      </c>
      <c r="K36" s="23">
        <v>3625</v>
      </c>
    </row>
    <row r="37" spans="1:12" x14ac:dyDescent="0.35">
      <c r="A37" t="str">
        <f t="shared" si="0"/>
        <v>AUGCUSTOM-FT 1/36203</v>
      </c>
      <c r="B37">
        <v>18.5</v>
      </c>
      <c r="C37" s="5"/>
      <c r="D37" s="5">
        <v>979</v>
      </c>
      <c r="E37" s="5" t="s">
        <v>9</v>
      </c>
      <c r="F37" s="11">
        <v>45895</v>
      </c>
      <c r="G37" s="13" t="s">
        <v>89</v>
      </c>
      <c r="H37" t="s">
        <v>176</v>
      </c>
      <c r="I37">
        <v>1955</v>
      </c>
      <c r="J37" s="7" t="s">
        <v>78</v>
      </c>
      <c r="L37" s="23">
        <v>3625</v>
      </c>
    </row>
    <row r="38" spans="1:12" x14ac:dyDescent="0.35">
      <c r="A38" t="str">
        <f t="shared" si="0"/>
        <v>AUGCUSTOM-FT 1/36203</v>
      </c>
      <c r="B38">
        <v>19</v>
      </c>
      <c r="C38" s="5" t="s">
        <v>8</v>
      </c>
      <c r="D38" s="5">
        <v>966</v>
      </c>
      <c r="E38" s="5"/>
      <c r="F38" s="11">
        <v>45895</v>
      </c>
      <c r="G38" s="13" t="s">
        <v>89</v>
      </c>
      <c r="H38" t="s">
        <v>176</v>
      </c>
      <c r="I38">
        <v>1955</v>
      </c>
      <c r="J38" s="7" t="s">
        <v>78</v>
      </c>
      <c r="K38" s="23">
        <v>3624.25</v>
      </c>
    </row>
    <row r="39" spans="1:12" x14ac:dyDescent="0.35">
      <c r="A39" t="str">
        <f t="shared" si="0"/>
        <v>AUGCUSTOM-FT 1/36203</v>
      </c>
      <c r="B39">
        <v>19.5</v>
      </c>
      <c r="C39" s="5"/>
      <c r="D39" s="5">
        <v>979</v>
      </c>
      <c r="E39" s="5" t="s">
        <v>9</v>
      </c>
      <c r="F39" s="11">
        <v>45895</v>
      </c>
      <c r="G39" s="13" t="s">
        <v>89</v>
      </c>
      <c r="H39" t="s">
        <v>176</v>
      </c>
      <c r="I39">
        <v>1955</v>
      </c>
      <c r="J39" s="7" t="s">
        <v>78</v>
      </c>
      <c r="L39" s="23">
        <v>3624.25</v>
      </c>
    </row>
    <row r="40" spans="1:12" x14ac:dyDescent="0.35">
      <c r="A40" t="str">
        <f t="shared" si="0"/>
        <v>AUGCUSTOM-GV2025008</v>
      </c>
      <c r="B40">
        <v>20</v>
      </c>
      <c r="C40" s="5" t="s">
        <v>8</v>
      </c>
      <c r="D40" s="5">
        <v>966</v>
      </c>
      <c r="E40" s="5"/>
      <c r="F40" s="11">
        <v>45894</v>
      </c>
      <c r="G40" s="13" t="s">
        <v>29</v>
      </c>
      <c r="H40" t="s">
        <v>30</v>
      </c>
      <c r="I40">
        <v>1237</v>
      </c>
      <c r="J40" s="7" t="s">
        <v>78</v>
      </c>
      <c r="K40" s="23">
        <v>2599.9499999999998</v>
      </c>
    </row>
    <row r="41" spans="1:12" x14ac:dyDescent="0.35">
      <c r="A41" t="str">
        <f t="shared" si="0"/>
        <v>AUGCUSTOM-GV2025008</v>
      </c>
      <c r="B41">
        <v>20.5</v>
      </c>
      <c r="C41" s="5"/>
      <c r="D41" s="5">
        <v>979</v>
      </c>
      <c r="E41" s="5" t="s">
        <v>9</v>
      </c>
      <c r="F41" s="11">
        <v>45894</v>
      </c>
      <c r="G41" s="13" t="s">
        <v>29</v>
      </c>
      <c r="H41" t="s">
        <v>30</v>
      </c>
      <c r="I41">
        <v>1237</v>
      </c>
      <c r="J41" s="7" t="s">
        <v>78</v>
      </c>
      <c r="L41" s="23">
        <v>2599.9499999999998</v>
      </c>
    </row>
    <row r="42" spans="1:12" x14ac:dyDescent="0.35">
      <c r="A42" t="str">
        <f t="shared" si="0"/>
        <v>AUGCUSTOM-GV2025014</v>
      </c>
      <c r="B42">
        <v>21</v>
      </c>
      <c r="C42" s="5" t="s">
        <v>8</v>
      </c>
      <c r="D42" s="5">
        <v>966</v>
      </c>
      <c r="E42" s="5"/>
      <c r="F42" s="11">
        <v>45895</v>
      </c>
      <c r="G42" s="13" t="s">
        <v>91</v>
      </c>
      <c r="H42" t="s">
        <v>30</v>
      </c>
      <c r="I42">
        <v>1237</v>
      </c>
      <c r="J42" s="7" t="s">
        <v>78</v>
      </c>
      <c r="K42" s="23">
        <v>804.23</v>
      </c>
    </row>
    <row r="43" spans="1:12" x14ac:dyDescent="0.35">
      <c r="A43" t="str">
        <f t="shared" si="0"/>
        <v>AUGCUSTOM-GV2025014</v>
      </c>
      <c r="B43">
        <v>21.5</v>
      </c>
      <c r="C43" s="5"/>
      <c r="D43" s="5">
        <v>979</v>
      </c>
      <c r="E43" s="5" t="s">
        <v>9</v>
      </c>
      <c r="F43" s="11">
        <v>45895</v>
      </c>
      <c r="G43" s="13" t="s">
        <v>91</v>
      </c>
      <c r="H43" t="s">
        <v>30</v>
      </c>
      <c r="I43">
        <v>1237</v>
      </c>
      <c r="J43" s="7" t="s">
        <v>78</v>
      </c>
      <c r="L43" s="23">
        <v>804.23</v>
      </c>
    </row>
    <row r="44" spans="1:12" x14ac:dyDescent="0.35">
      <c r="A44" t="str">
        <f t="shared" si="0"/>
        <v>AUGCUSTOM-INV-HE.05-02-03-25</v>
      </c>
      <c r="B44">
        <v>22</v>
      </c>
      <c r="C44" s="5" t="s">
        <v>8</v>
      </c>
      <c r="D44" s="5">
        <v>966</v>
      </c>
      <c r="E44" s="5"/>
      <c r="F44" s="11">
        <v>45895</v>
      </c>
      <c r="G44" s="13" t="s">
        <v>92</v>
      </c>
      <c r="H44" t="s">
        <v>100</v>
      </c>
      <c r="I44">
        <v>1331</v>
      </c>
      <c r="J44" s="7" t="s">
        <v>78</v>
      </c>
      <c r="K44" s="23">
        <v>3290.39</v>
      </c>
    </row>
    <row r="45" spans="1:12" x14ac:dyDescent="0.35">
      <c r="A45" t="str">
        <f t="shared" si="0"/>
        <v>AUGCUSTOM-INV-HE.05-02-03-25</v>
      </c>
      <c r="B45">
        <v>22.5</v>
      </c>
      <c r="C45" s="5"/>
      <c r="D45" s="5">
        <v>979</v>
      </c>
      <c r="E45" s="5" t="s">
        <v>9</v>
      </c>
      <c r="F45" s="11">
        <v>45895</v>
      </c>
      <c r="G45" s="13" t="s">
        <v>92</v>
      </c>
      <c r="H45" t="s">
        <v>100</v>
      </c>
      <c r="I45">
        <v>1331</v>
      </c>
      <c r="J45" s="7" t="s">
        <v>78</v>
      </c>
      <c r="L45" s="23">
        <v>3290.39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7_July 25 Customs clearence</vt:lpstr>
      <vt:lpstr>8_Aug 25 Customs clearence </vt:lpstr>
      <vt:lpstr>July custom working file</vt:lpstr>
      <vt:lpstr>Sheet5</vt:lpstr>
      <vt:lpstr>AUG Custom Clearance- 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Pranali Patil</dc:creator>
  <cp:lastModifiedBy>Pranali Patil</cp:lastModifiedBy>
  <dcterms:created xsi:type="dcterms:W3CDTF">2026-03-18T19:09:22Z</dcterms:created>
  <dcterms:modified xsi:type="dcterms:W3CDTF">2026-03-20T07:05:49Z</dcterms:modified>
</cp:coreProperties>
</file>